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e46f6d0183c23da/Desktop/KasturiChavan_2511786_part1_data_cleaning/outputs/"/>
    </mc:Choice>
  </mc:AlternateContent>
  <xr:revisionPtr revIDLastSave="10" documentId="11_378A73CE4D42A8CEDBE487F40F23D5B33970B3BC" xr6:coauthVersionLast="47" xr6:coauthVersionMax="47" xr10:uidLastSave="{43C28337-E7B3-4EF7-9E0C-CDB695A4AC54}"/>
  <bookViews>
    <workbookView xWindow="-108" yWindow="-108" windowWidth="23256" windowHeight="12456" tabRatio="500" activeTab="5" xr2:uid="{00000000-000D-0000-FFFF-FFFF00000000}"/>
  </bookViews>
  <sheets>
    <sheet name="Sales-Profit by Region" sheetId="1" r:id="rId1"/>
    <sheet name="Sales-Profit by Category" sheetId="2" r:id="rId2"/>
    <sheet name="Order Count by Ship Mode" sheetId="3" r:id="rId3"/>
    <sheet name="Profit Margin by Segment" sheetId="4" r:id="rId4"/>
    <sheet name="Refunded-Cancelled-Failed" sheetId="5" r:id="rId5"/>
    <sheet name="Monthly Sales Trend" sheetId="6" r:id="rId6"/>
    <sheet name="CleanRef" sheetId="7" state="hidden" r:id="rId7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6" l="1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D29" i="6" s="1"/>
  <c r="C5" i="6"/>
  <c r="C29" i="6" s="1"/>
  <c r="B5" i="6"/>
  <c r="B29" i="6" s="1"/>
  <c r="D8" i="5"/>
  <c r="C8" i="5"/>
  <c r="B8" i="5"/>
  <c r="D7" i="5"/>
  <c r="C7" i="5"/>
  <c r="C9" i="5" s="1"/>
  <c r="B7" i="5"/>
  <c r="D6" i="5"/>
  <c r="C6" i="5"/>
  <c r="B6" i="5"/>
  <c r="D5" i="5"/>
  <c r="C5" i="5"/>
  <c r="B5" i="5"/>
  <c r="D4" i="5"/>
  <c r="D9" i="5" s="1"/>
  <c r="C4" i="5"/>
  <c r="B4" i="5"/>
  <c r="B9" i="5" s="1"/>
  <c r="C8" i="4"/>
  <c r="B8" i="4"/>
  <c r="D8" i="4" s="1"/>
  <c r="C7" i="4"/>
  <c r="B7" i="4"/>
  <c r="D7" i="4" s="1"/>
  <c r="C6" i="4"/>
  <c r="B6" i="4"/>
  <c r="D6" i="4" s="1"/>
  <c r="C5" i="4"/>
  <c r="B5" i="4"/>
  <c r="D5" i="4" s="1"/>
  <c r="C8" i="3"/>
  <c r="B8" i="3"/>
  <c r="C7" i="3"/>
  <c r="B7" i="3"/>
  <c r="B6" i="3"/>
  <c r="C6" i="3" s="1"/>
  <c r="B5" i="3"/>
  <c r="C5" i="3" s="1"/>
  <c r="C4" i="3"/>
  <c r="B4" i="3"/>
  <c r="B9" i="3" s="1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D18" i="2" s="1"/>
  <c r="C5" i="2"/>
  <c r="C18" i="2" s="1"/>
  <c r="E9" i="1"/>
  <c r="D9" i="1"/>
  <c r="C9" i="1"/>
  <c r="B9" i="1"/>
  <c r="E8" i="1"/>
  <c r="C8" i="1"/>
  <c r="B8" i="1"/>
  <c r="D8" i="1" s="1"/>
  <c r="E7" i="1"/>
  <c r="D7" i="1"/>
  <c r="C7" i="1"/>
  <c r="B7" i="1"/>
  <c r="E6" i="1"/>
  <c r="C6" i="1"/>
  <c r="B6" i="1"/>
  <c r="D6" i="1" s="1"/>
  <c r="E5" i="1"/>
  <c r="E10" i="1" s="1"/>
  <c r="D5" i="1"/>
  <c r="C5" i="1"/>
  <c r="C10" i="1" s="1"/>
  <c r="B5" i="1"/>
  <c r="B10" i="1" l="1"/>
</calcChain>
</file>

<file path=xl/sharedStrings.xml><?xml version="1.0" encoding="utf-8"?>
<sst xmlns="http://schemas.openxmlformats.org/spreadsheetml/2006/main" count="30210" uniqueCount="3317">
  <si>
    <t>Sales &amp; Profit by Region (Completed Orders Only)</t>
  </si>
  <si>
    <t>Region</t>
  </si>
  <si>
    <t>Completed Sales (₹)</t>
  </si>
  <si>
    <t>Completed Profit (₹)</t>
  </si>
  <si>
    <t>Profit Margin</t>
  </si>
  <si>
    <t>Completed Orders</t>
  </si>
  <si>
    <t>South</t>
  </si>
  <si>
    <t>West</t>
  </si>
  <si>
    <t>East</t>
  </si>
  <si>
    <t>North</t>
  </si>
  <si>
    <t>Unknown</t>
  </si>
  <si>
    <t>TOTAL</t>
  </si>
  <si>
    <t>Sales &amp; Profit by Category and Sub-Category (Completed Orders Only)</t>
  </si>
  <si>
    <t>Category</t>
  </si>
  <si>
    <t>Sub-Category</t>
  </si>
  <si>
    <t>Technology</t>
  </si>
  <si>
    <t>Copiers</t>
  </si>
  <si>
    <t>Phones</t>
  </si>
  <si>
    <t>Furniture</t>
  </si>
  <si>
    <t>Chairs</t>
  </si>
  <si>
    <t>Office Supplies</t>
  </si>
  <si>
    <t>Storage</t>
  </si>
  <si>
    <t>Accessories</t>
  </si>
  <si>
    <t>Furnishings</t>
  </si>
  <si>
    <t>Paper</t>
  </si>
  <si>
    <t>Machines</t>
  </si>
  <si>
    <t>Bookcases</t>
  </si>
  <si>
    <t>Tables</t>
  </si>
  <si>
    <t>Binders</t>
  </si>
  <si>
    <t>Art</t>
  </si>
  <si>
    <t>Labels</t>
  </si>
  <si>
    <t>Order Count by Ship Mode (All Orders)</t>
  </si>
  <si>
    <t>Ship Mode</t>
  </si>
  <si>
    <t>Order Count</t>
  </si>
  <si>
    <t>% of Total Orders</t>
  </si>
  <si>
    <t>Standard Class</t>
  </si>
  <si>
    <t>First Class</t>
  </si>
  <si>
    <t>Second Class</t>
  </si>
  <si>
    <t>Same Day</t>
  </si>
  <si>
    <t>Profit Margin by Customer Segment (Completed Orders Only)</t>
  </si>
  <si>
    <t>Segment</t>
  </si>
  <si>
    <t>Home Office</t>
  </si>
  <si>
    <t>Consumer</t>
  </si>
  <si>
    <t>Corporate</t>
  </si>
  <si>
    <t>Small Business</t>
  </si>
  <si>
    <t>Refunded, Cancelled &amp; Failed Orders by Region</t>
  </si>
  <si>
    <t>Refunded (payment_status)</t>
  </si>
  <si>
    <t>Cancelled (order_status)</t>
  </si>
  <si>
    <t>Failed Payment (payment_status)</t>
  </si>
  <si>
    <t>Monthly Sales Trend (Completed Orders Only)</t>
  </si>
  <si>
    <t>Year-Month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</si>
  <si>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</si>
  <si>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</si>
  <si>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</si>
  <si>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</si>
  <si>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</si>
  <si>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</si>
  <si>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</si>
  <si>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</si>
  <si>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</si>
  <si>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</si>
  <si>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</si>
  <si>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</si>
  <si>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</si>
  <si>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</si>
  <si>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</si>
  <si>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</si>
  <si>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</si>
  <si>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</si>
  <si>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</si>
  <si>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</si>
  <si>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</si>
  <si>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</si>
  <si>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</si>
  <si>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</si>
  <si>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</si>
  <si>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</si>
  <si>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</si>
  <si>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</si>
  <si>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</si>
  <si>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</si>
  <si>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</si>
  <si>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</si>
  <si>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</si>
  <si>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</si>
  <si>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</si>
  <si>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</si>
  <si>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</si>
  <si>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</si>
  <si>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</si>
  <si>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discount_parsed</t>
  </si>
  <si>
    <t>cleaned_discount</t>
  </si>
  <si>
    <t>recorded_sales</t>
  </si>
  <si>
    <t>cost</t>
  </si>
  <si>
    <t>calculated_sales</t>
  </si>
  <si>
    <t>calculated_profit</t>
  </si>
  <si>
    <t>profit_margin</t>
  </si>
  <si>
    <t>shipping_delay_days</t>
  </si>
  <si>
    <t>order_month</t>
  </si>
  <si>
    <t>order_year</t>
  </si>
  <si>
    <t>payment_status</t>
  </si>
  <si>
    <t>order_status</t>
  </si>
  <si>
    <t>is_region_filled</t>
  </si>
  <si>
    <t>is_shipmode_filled</t>
  </si>
  <si>
    <t>is_discount_filled</t>
  </si>
  <si>
    <t>is_shipping_invalid</t>
  </si>
  <si>
    <t>is_discount_invalid</t>
  </si>
  <si>
    <t>is_duplicate_conflict</t>
  </si>
  <si>
    <t>is_completed_sale</t>
  </si>
  <si>
    <t>data_quality_flag</t>
  </si>
  <si>
    <t>raw_order_date</t>
  </si>
  <si>
    <t>raw_ship_date</t>
  </si>
  <si>
    <t>raw_customer_name</t>
  </si>
  <si>
    <t>raw_segment</t>
  </si>
  <si>
    <t>raw_region</t>
  </si>
  <si>
    <t>raw_state</t>
  </si>
  <si>
    <t>raw_city</t>
  </si>
  <si>
    <t>raw_category</t>
  </si>
  <si>
    <t>raw_sub_category</t>
  </si>
  <si>
    <t>raw_ship_mode</t>
  </si>
  <si>
    <t>raw_discount</t>
  </si>
  <si>
    <t>raw_payment_status</t>
  </si>
  <si>
    <t>raw_order_status</t>
  </si>
  <si>
    <t>ORD-2024-10001</t>
  </si>
  <si>
    <t>CUST-4655</t>
  </si>
  <si>
    <t>Karan Malhotra</t>
  </si>
  <si>
    <t>Rajasthan</t>
  </si>
  <si>
    <t>Jaipur</t>
  </si>
  <si>
    <t>July</t>
  </si>
  <si>
    <t>Paid</t>
  </si>
  <si>
    <t>Completed</t>
  </si>
  <si>
    <t>No</t>
  </si>
  <si>
    <t>Yes</t>
  </si>
  <si>
    <t>Clean</t>
  </si>
  <si>
    <t>21 Jul 2024</t>
  </si>
  <si>
    <t>07/27/2024</t>
  </si>
  <si>
    <t xml:space="preserve">  North </t>
  </si>
  <si>
    <t>ORD-2024-10002</t>
  </si>
  <si>
    <t>CUST-2054</t>
  </si>
  <si>
    <t>Mira Das</t>
  </si>
  <si>
    <t>Odisha</t>
  </si>
  <si>
    <t>Bhubaneswar</t>
  </si>
  <si>
    <t>August</t>
  </si>
  <si>
    <t>08/31/2024</t>
  </si>
  <si>
    <t>05 Sep 2024</t>
  </si>
  <si>
    <t>ORD-2024-10003</t>
  </si>
  <si>
    <t>CUST-6843</t>
  </si>
  <si>
    <t>Isha Nair</t>
  </si>
  <si>
    <t>June</t>
  </si>
  <si>
    <t>Invalid</t>
  </si>
  <si>
    <t>06/08/2024</t>
  </si>
  <si>
    <t>15 Jun 2024</t>
  </si>
  <si>
    <t>ORD-2024-10004</t>
  </si>
  <si>
    <t>CUST-3722</t>
  </si>
  <si>
    <t>Arjun Bose</t>
  </si>
  <si>
    <t>Telangana</t>
  </si>
  <si>
    <t>Hyderabad</t>
  </si>
  <si>
    <t>November</t>
  </si>
  <si>
    <t>28-11-2024</t>
  </si>
  <si>
    <t>11/29/2024</t>
  </si>
  <si>
    <t>ORD-2025-10005</t>
  </si>
  <si>
    <t>CUST-8130</t>
  </si>
  <si>
    <t>Ananya Rao</t>
  </si>
  <si>
    <t>Maharashtra</t>
  </si>
  <si>
    <t>Mumbai</t>
  </si>
  <si>
    <t>Cancelled</t>
  </si>
  <si>
    <t>29 Aug 2025</t>
  </si>
  <si>
    <t>2025-09-01</t>
  </si>
  <si>
    <t>ORD-2024-10006</t>
  </si>
  <si>
    <t>CUST-6056</t>
  </si>
  <si>
    <t>Vikram Iyer</t>
  </si>
  <si>
    <t>Madhya Pradesh</t>
  </si>
  <si>
    <t>Indore</t>
  </si>
  <si>
    <t>May</t>
  </si>
  <si>
    <t>2024-05-24</t>
  </si>
  <si>
    <t>28-05-2024</t>
  </si>
  <si>
    <t>ORD-2025-10007</t>
  </si>
  <si>
    <t>CUST-3656</t>
  </si>
  <si>
    <t>Neha Gupta</t>
  </si>
  <si>
    <t>April</t>
  </si>
  <si>
    <t>04/10/2025</t>
  </si>
  <si>
    <t>04/16/2025</t>
  </si>
  <si>
    <t>ORD-2025-10008</t>
  </si>
  <si>
    <t>CUST-4683</t>
  </si>
  <si>
    <t>Andhra Pradesh</t>
  </si>
  <si>
    <t>Vijayawada</t>
  </si>
  <si>
    <t>February</t>
  </si>
  <si>
    <t>2025-02-23</t>
  </si>
  <si>
    <t>26-02-2025</t>
  </si>
  <si>
    <t>ORD-2024-10009</t>
  </si>
  <si>
    <t>CUST-2598</t>
  </si>
  <si>
    <t>Aditi Sen</t>
  </si>
  <si>
    <t>11/05/2024</t>
  </si>
  <si>
    <t>11/10/2024</t>
  </si>
  <si>
    <t>ORD-2025-10010</t>
  </si>
  <si>
    <t>CUST-2483</t>
  </si>
  <si>
    <t>September</t>
  </si>
  <si>
    <t>07-09-2025</t>
  </si>
  <si>
    <t>09/12/2025</t>
  </si>
  <si>
    <t>ORD-2025-10011</t>
  </si>
  <si>
    <t>CUST-8092</t>
  </si>
  <si>
    <t>West Bengal</t>
  </si>
  <si>
    <t>Kolkata</t>
  </si>
  <si>
    <t>Refunded</t>
  </si>
  <si>
    <t>Returned</t>
  </si>
  <si>
    <t>20 May 2025</t>
  </si>
  <si>
    <t>05/20/2025</t>
  </si>
  <si>
    <t>ORD-2024-10012</t>
  </si>
  <si>
    <t>CUST-6528</t>
  </si>
  <si>
    <t>2024-07-22</t>
  </si>
  <si>
    <t>23-07-2024</t>
  </si>
  <si>
    <t>ORD-2024-10013</t>
  </si>
  <si>
    <t>CUST-2648</t>
  </si>
  <si>
    <t>Udaipur</t>
  </si>
  <si>
    <t>December</t>
  </si>
  <si>
    <t>Pending</t>
  </si>
  <si>
    <t>20 Dec 2024</t>
  </si>
  <si>
    <t>12/21/2024</t>
  </si>
  <si>
    <t xml:space="preserve">Corporate </t>
  </si>
  <si>
    <t>ORD-2025-10014</t>
  </si>
  <si>
    <t>CUST-7482</t>
  </si>
  <si>
    <t>Priya Menon</t>
  </si>
  <si>
    <t>October</t>
  </si>
  <si>
    <t>2025-10-12</t>
  </si>
  <si>
    <t>16-10-2025</t>
  </si>
  <si>
    <t>ORD-2024-10015</t>
  </si>
  <si>
    <t>CUST-4912</t>
  </si>
  <si>
    <t>Rahul Verma</t>
  </si>
  <si>
    <t>27 Dec 2024</t>
  </si>
  <si>
    <t>12/28/2024</t>
  </si>
  <si>
    <t>ORD-2024-10016</t>
  </si>
  <si>
    <t>CUST-7656</t>
  </si>
  <si>
    <t>Punjab</t>
  </si>
  <si>
    <t>Ludhiana</t>
  </si>
  <si>
    <t>07/09/2024</t>
  </si>
  <si>
    <t>09 Jul 2024</t>
  </si>
  <si>
    <t>ORD-2024-10017</t>
  </si>
  <si>
    <t>CUST-6214</t>
  </si>
  <si>
    <t>Aarav Sharma</t>
  </si>
  <si>
    <t>05/08/2024</t>
  </si>
  <si>
    <t>15-05-2024</t>
  </si>
  <si>
    <t>ORD-2024-10018</t>
  </si>
  <si>
    <t>CUST-1626</t>
  </si>
  <si>
    <t>Sneha Kapoor</t>
  </si>
  <si>
    <t>January</t>
  </si>
  <si>
    <t>01/07/2024</t>
  </si>
  <si>
    <t>2024-01-08</t>
  </si>
  <si>
    <t>ORD-2025-10019</t>
  </si>
  <si>
    <t>CUST-2110</t>
  </si>
  <si>
    <t>Uttar Pradesh</t>
  </si>
  <si>
    <t>Noida</t>
  </si>
  <si>
    <t>07/15/2025</t>
  </si>
  <si>
    <t>17-07-2025</t>
  </si>
  <si>
    <t>ORD-2024-10020</t>
  </si>
  <si>
    <t>CUST-3186</t>
  </si>
  <si>
    <t>Rohan Mehta</t>
  </si>
  <si>
    <t>31 Jul 2024</t>
  </si>
  <si>
    <t>ORD-2025-10021</t>
  </si>
  <si>
    <t>CUST-3190</t>
  </si>
  <si>
    <t>Bihar</t>
  </si>
  <si>
    <t>Patna</t>
  </si>
  <si>
    <t>21-01-2025</t>
  </si>
  <si>
    <t>23 Jan 2025</t>
  </si>
  <si>
    <t>ORD-2025-10022</t>
  </si>
  <si>
    <t>CUST-3036</t>
  </si>
  <si>
    <t>24-01-2025</t>
  </si>
  <si>
    <t>01/30/2025</t>
  </si>
  <si>
    <t>ORD-2025-10023</t>
  </si>
  <si>
    <t>CUST-3588</t>
  </si>
  <si>
    <t>Failed</t>
  </si>
  <si>
    <t>19 Jan 2025</t>
  </si>
  <si>
    <t>2025-01-21</t>
  </si>
  <si>
    <t>ORD-2025-10024</t>
  </si>
  <si>
    <t>CUST-7098</t>
  </si>
  <si>
    <t>31-08-2025</t>
  </si>
  <si>
    <t>ORD-2024-10025</t>
  </si>
  <si>
    <t>CUST-1747</t>
  </si>
  <si>
    <t>Diya Patel</t>
  </si>
  <si>
    <t>March</t>
  </si>
  <si>
    <t>2024-03-04</t>
  </si>
  <si>
    <t>03/01/2024</t>
  </si>
  <si>
    <t>ORD-2024-10026</t>
  </si>
  <si>
    <t>CUST-1731</t>
  </si>
  <si>
    <t>Assam</t>
  </si>
  <si>
    <t>Guwahati</t>
  </si>
  <si>
    <t>11-10-2024</t>
  </si>
  <si>
    <t>2024-10-19</t>
  </si>
  <si>
    <t>ORD-2024-10027</t>
  </si>
  <si>
    <t>CUST-4401</t>
  </si>
  <si>
    <t>23-11-2024</t>
  </si>
  <si>
    <t>23 Nov 2024</t>
  </si>
  <si>
    <t xml:space="preserve">Paid </t>
  </si>
  <si>
    <t>ORD-2025-10028</t>
  </si>
  <si>
    <t>CUST-9875</t>
  </si>
  <si>
    <t>Karnataka</t>
  </si>
  <si>
    <t>Bengaluru</t>
  </si>
  <si>
    <t>29 Sep 2025</t>
  </si>
  <si>
    <t>05-10-2025</t>
  </si>
  <si>
    <t>ORD-2024-10029</t>
  </si>
  <si>
    <t>CUST-1569</t>
  </si>
  <si>
    <t>Gujarat</t>
  </si>
  <si>
    <t>Ahmedabad</t>
  </si>
  <si>
    <t>18-10-2024</t>
  </si>
  <si>
    <t>ORD-2025-10030</t>
  </si>
  <si>
    <t>CUST-5936</t>
  </si>
  <si>
    <t>Kerala</t>
  </si>
  <si>
    <t>Kochi</t>
  </si>
  <si>
    <t>13 Aug 2025</t>
  </si>
  <si>
    <t>13-08-2025</t>
  </si>
  <si>
    <t>ORD-2024-10031</t>
  </si>
  <si>
    <t>CUST-8759</t>
  </si>
  <si>
    <t>Goa</t>
  </si>
  <si>
    <t>Panaji</t>
  </si>
  <si>
    <t>09 Feb 2024</t>
  </si>
  <si>
    <t>02/12/2024</t>
  </si>
  <si>
    <t>ORD-2025-10032</t>
  </si>
  <si>
    <t>CUST-7867</t>
  </si>
  <si>
    <t>15-06-2025</t>
  </si>
  <si>
    <t>19-06-2025</t>
  </si>
  <si>
    <t>ORD-2024-10033</t>
  </si>
  <si>
    <t>CUST-6509</t>
  </si>
  <si>
    <t>Warning</t>
  </si>
  <si>
    <t>22-11-2024</t>
  </si>
  <si>
    <t>2024-11-26</t>
  </si>
  <si>
    <t>ORD-2024-10034</t>
  </si>
  <si>
    <t>CUST-6660</t>
  </si>
  <si>
    <t>07/22/2024</t>
  </si>
  <si>
    <t>27-07-2024</t>
  </si>
  <si>
    <t>ORD-2025-10035</t>
  </si>
  <si>
    <t>CUST-2392</t>
  </si>
  <si>
    <t>2025-01-31</t>
  </si>
  <si>
    <t>2025-02-05</t>
  </si>
  <si>
    <t>ORD-2024-10036</t>
  </si>
  <si>
    <t>CUST-1611</t>
  </si>
  <si>
    <t>29-05-2024</t>
  </si>
  <si>
    <t>29 May 2024</t>
  </si>
  <si>
    <t>ORD-2024-10037</t>
  </si>
  <si>
    <t>CUST-8296</t>
  </si>
  <si>
    <t>2024-10-25</t>
  </si>
  <si>
    <t>28 Oct 2024</t>
  </si>
  <si>
    <t>ORD-2025-10038</t>
  </si>
  <si>
    <t>CUST-4646</t>
  </si>
  <si>
    <t>29-07-2025</t>
  </si>
  <si>
    <t>STANDARD CLASS</t>
  </si>
  <si>
    <t>ORD-2024-10039</t>
  </si>
  <si>
    <t>CUST-8235</t>
  </si>
  <si>
    <t>2024-06-17</t>
  </si>
  <si>
    <t>22-06-2024</t>
  </si>
  <si>
    <t>ORD-2024-10040</t>
  </si>
  <si>
    <t>CUST-5830</t>
  </si>
  <si>
    <t>12/11/2024</t>
  </si>
  <si>
    <t>2024-12-11</t>
  </si>
  <si>
    <t>ORD-2024-10041</t>
  </si>
  <si>
    <t>CUST-7178</t>
  </si>
  <si>
    <t>10-10-2024</t>
  </si>
  <si>
    <t>16 Oct 2024</t>
  </si>
  <si>
    <t>ORD-2024-10042</t>
  </si>
  <si>
    <t>CUST-3829</t>
  </si>
  <si>
    <t>03/12/2024</t>
  </si>
  <si>
    <t>17-03-2024</t>
  </si>
  <si>
    <t>ORD-2025-10043</t>
  </si>
  <si>
    <t>CUST-6708</t>
  </si>
  <si>
    <t>Jharkhand</t>
  </si>
  <si>
    <t>Ranchi</t>
  </si>
  <si>
    <t>2025-10-10</t>
  </si>
  <si>
    <t>15 Oct 2025</t>
  </si>
  <si>
    <t>ORD-2024-10044</t>
  </si>
  <si>
    <t>CUST-7119</t>
  </si>
  <si>
    <t>07/08/2024</t>
  </si>
  <si>
    <t>07/14/2024</t>
  </si>
  <si>
    <t>ORD-2024-10045</t>
  </si>
  <si>
    <t>CUST-3373</t>
  </si>
  <si>
    <t>Haryana</t>
  </si>
  <si>
    <t>Gurugram</t>
  </si>
  <si>
    <t>06/22/2024</t>
  </si>
  <si>
    <t>25-06-2024</t>
  </si>
  <si>
    <t>ORD-2024-10046</t>
  </si>
  <si>
    <t>CUST-8896</t>
  </si>
  <si>
    <t>18 Jan 2024</t>
  </si>
  <si>
    <t>24-01-2024</t>
  </si>
  <si>
    <t>ORD-2024-10047</t>
  </si>
  <si>
    <t>CUST-8517</t>
  </si>
  <si>
    <t>19-07-2024</t>
  </si>
  <si>
    <t>ORD-2024-10048</t>
  </si>
  <si>
    <t>CUST-1987</t>
  </si>
  <si>
    <t>Tamil Nadu</t>
  </si>
  <si>
    <t>Chennai</t>
  </si>
  <si>
    <t>12-08-2024</t>
  </si>
  <si>
    <t>2024-08-12</t>
  </si>
  <si>
    <t>ORD-2025-10049</t>
  </si>
  <si>
    <t>CUST-8183</t>
  </si>
  <si>
    <t>30 Jan 2025</t>
  </si>
  <si>
    <t>05 Feb 2025</t>
  </si>
  <si>
    <t xml:space="preserve">Second Class </t>
  </si>
  <si>
    <t>ORD-2024-10050</t>
  </si>
  <si>
    <t>CUST-2380</t>
  </si>
  <si>
    <t>2024-04-06</t>
  </si>
  <si>
    <t>13 Apr 2024</t>
  </si>
  <si>
    <t>ORD-2025-10051</t>
  </si>
  <si>
    <t>CUST-8787</t>
  </si>
  <si>
    <t>05/11/2025</t>
  </si>
  <si>
    <t>19 May 2025</t>
  </si>
  <si>
    <t>ORD-2024-10052</t>
  </si>
  <si>
    <t>CUST-3557</t>
  </si>
  <si>
    <t>24 Apr 2024</t>
  </si>
  <si>
    <t>29 Apr 2024</t>
  </si>
  <si>
    <t xml:space="preserve">Ananya Rao </t>
  </si>
  <si>
    <t>ORD-2024-10053</t>
  </si>
  <si>
    <t>CUST-2778</t>
  </si>
  <si>
    <t>Kabir Singh</t>
  </si>
  <si>
    <t>26-10-2024</t>
  </si>
  <si>
    <t>2024-10-28</t>
  </si>
  <si>
    <t>ORD-2025-10054</t>
  </si>
  <si>
    <t>CUST-7195</t>
  </si>
  <si>
    <t>31 Mar 2025</t>
  </si>
  <si>
    <t>2025-03-31</t>
  </si>
  <si>
    <t>ORD-2025-10055</t>
  </si>
  <si>
    <t>CUST-9039</t>
  </si>
  <si>
    <t>30 May 2025</t>
  </si>
  <si>
    <t>2025-06-02</t>
  </si>
  <si>
    <t>ORD-2025-10056</t>
  </si>
  <si>
    <t>CUST-9821</t>
  </si>
  <si>
    <t>01-07-2025</t>
  </si>
  <si>
    <t>03-07-2025</t>
  </si>
  <si>
    <t>ORD-2025-10057</t>
  </si>
  <si>
    <t>CUST-8701</t>
  </si>
  <si>
    <t>2025-01-05</t>
  </si>
  <si>
    <t>06-01-2025</t>
  </si>
  <si>
    <t>ORD-2024-10058</t>
  </si>
  <si>
    <t>CUST-9941</t>
  </si>
  <si>
    <t>2024-02-07</t>
  </si>
  <si>
    <t>15 Feb 2024</t>
  </si>
  <si>
    <t>ORD-2024-10059</t>
  </si>
  <si>
    <t>CUST-3983</t>
  </si>
  <si>
    <t>2024-09-01</t>
  </si>
  <si>
    <t>2024-09-07</t>
  </si>
  <si>
    <t>ORD-2024-10060</t>
  </si>
  <si>
    <t>CUST-2418</t>
  </si>
  <si>
    <t>20-07-2024</t>
  </si>
  <si>
    <t>25 Jul 2024</t>
  </si>
  <si>
    <t>ORD-2024-10061</t>
  </si>
  <si>
    <t>CUST-2892</t>
  </si>
  <si>
    <t>07/13/2024</t>
  </si>
  <si>
    <t>2024-07-19</t>
  </si>
  <si>
    <t>ORD-2024-10062</t>
  </si>
  <si>
    <t>CUST-7008</t>
  </si>
  <si>
    <t>16 Apr 2024</t>
  </si>
  <si>
    <t>04/16/2024</t>
  </si>
  <si>
    <t>ORD-2024-10063</t>
  </si>
  <si>
    <t>CUST-4900</t>
  </si>
  <si>
    <t>30 Oct 2024</t>
  </si>
  <si>
    <t>02-11-2024</t>
  </si>
  <si>
    <t>ORD-2024-10064</t>
  </si>
  <si>
    <t>CUST-5382</t>
  </si>
  <si>
    <t>2024-01-25</t>
  </si>
  <si>
    <t>01-02-2024</t>
  </si>
  <si>
    <t>ORD-2024-10065</t>
  </si>
  <si>
    <t>CUST-2749</t>
  </si>
  <si>
    <t>2024-12-23</t>
  </si>
  <si>
    <t>12/29/2024</t>
  </si>
  <si>
    <t>ORD-2024-10066</t>
  </si>
  <si>
    <t>CUST-2463</t>
  </si>
  <si>
    <t>22 Apr 2024</t>
  </si>
  <si>
    <t>2024-04-27</t>
  </si>
  <si>
    <t>ORD-2025-10067</t>
  </si>
  <si>
    <t>CUST-1504</t>
  </si>
  <si>
    <t>08/28/2025</t>
  </si>
  <si>
    <t>01 Sep 2025</t>
  </si>
  <si>
    <t>ORD-2025-10068</t>
  </si>
  <si>
    <t>CUST-8282</t>
  </si>
  <si>
    <t>03 Feb 2025</t>
  </si>
  <si>
    <t>07-02-2025</t>
  </si>
  <si>
    <t>ORD-2024-10069</t>
  </si>
  <si>
    <t>CUST-6054</t>
  </si>
  <si>
    <t>13 Nov 2024</t>
  </si>
  <si>
    <t>ORD-2024-10070</t>
  </si>
  <si>
    <t>CUST-5979</t>
  </si>
  <si>
    <t>09 Apr 2024</t>
  </si>
  <si>
    <t>04/14/2024</t>
  </si>
  <si>
    <t>ORD-2025-10071</t>
  </si>
  <si>
    <t>CUST-5582</t>
  </si>
  <si>
    <t>2025-08-22</t>
  </si>
  <si>
    <t>27 Aug 2025</t>
  </si>
  <si>
    <t>ORD-2025-10072</t>
  </si>
  <si>
    <t>CUST-3308</t>
  </si>
  <si>
    <t>2025-04-23</t>
  </si>
  <si>
    <t xml:space="preserve">  Small Business </t>
  </si>
  <si>
    <t>ORD-2024-10073</t>
  </si>
  <si>
    <t>CUST-5018</t>
  </si>
  <si>
    <t>2024-02-11</t>
  </si>
  <si>
    <t>07 Feb 2024</t>
  </si>
  <si>
    <t>ORD-2025-10074</t>
  </si>
  <si>
    <t>CUST-2342</t>
  </si>
  <si>
    <t>29-03-2025</t>
  </si>
  <si>
    <t>04/03/2025</t>
  </si>
  <si>
    <t>ORD-2025-10075</t>
  </si>
  <si>
    <t>CUST-6201</t>
  </si>
  <si>
    <t>02/27/2025</t>
  </si>
  <si>
    <t>2025-03-01</t>
  </si>
  <si>
    <t>ORD-2025-10076</t>
  </si>
  <si>
    <t>CUST-5808</t>
  </si>
  <si>
    <t>22-08-2025</t>
  </si>
  <si>
    <t>08/27/2025</t>
  </si>
  <si>
    <t>ORD-2024-10077</t>
  </si>
  <si>
    <t>CUST-2642</t>
  </si>
  <si>
    <t>03 Nov 2024</t>
  </si>
  <si>
    <t>11-11-2024</t>
  </si>
  <si>
    <t>ORD-2025-10078</t>
  </si>
  <si>
    <t>CUST-4385</t>
  </si>
  <si>
    <t>07/08/2025</t>
  </si>
  <si>
    <t>12-07-2025</t>
  </si>
  <si>
    <t>ORD-2025-10079</t>
  </si>
  <si>
    <t>CUST-8043</t>
  </si>
  <si>
    <t>07/16/2025</t>
  </si>
  <si>
    <t>21-07-2025</t>
  </si>
  <si>
    <t>ORD-2025-10080</t>
  </si>
  <si>
    <t>CUST-9978</t>
  </si>
  <si>
    <t>2025-09-27</t>
  </si>
  <si>
    <t>2025-10-03</t>
  </si>
  <si>
    <t xml:space="preserve">  Furniture </t>
  </si>
  <si>
    <t>ORD-2024-10081</t>
  </si>
  <si>
    <t>CUST-2094</t>
  </si>
  <si>
    <t>Delhi</t>
  </si>
  <si>
    <t>New Delhi</t>
  </si>
  <si>
    <t>2024-08-10</t>
  </si>
  <si>
    <t>2024-08-14</t>
  </si>
  <si>
    <t>ORD-2025-10082</t>
  </si>
  <si>
    <t>CUST-7907</t>
  </si>
  <si>
    <t>2025-03-16</t>
  </si>
  <si>
    <t>17-03-2025</t>
  </si>
  <si>
    <t>ORD-2024-10083</t>
  </si>
  <si>
    <t>CUST-6516</t>
  </si>
  <si>
    <t>2024-08-03</t>
  </si>
  <si>
    <t>04-08-2024</t>
  </si>
  <si>
    <t>ORD-2024-10084</t>
  </si>
  <si>
    <t>CUST-4989</t>
  </si>
  <si>
    <t>29-10-2024</t>
  </si>
  <si>
    <t>ORD-2024-10085</t>
  </si>
  <si>
    <t>CUST-3758</t>
  </si>
  <si>
    <t>01 Oct 2024</t>
  </si>
  <si>
    <t>2024-10-03</t>
  </si>
  <si>
    <t xml:space="preserve">Technology </t>
  </si>
  <si>
    <t>ORD-2024-10086</t>
  </si>
  <si>
    <t>CUST-6702</t>
  </si>
  <si>
    <t>2024-07-30</t>
  </si>
  <si>
    <t>08/05/2024</t>
  </si>
  <si>
    <t>ORD-2024-10087</t>
  </si>
  <si>
    <t>CUST-9148</t>
  </si>
  <si>
    <t>01 Jul 2024</t>
  </si>
  <si>
    <t>ORD-2024-10088</t>
  </si>
  <si>
    <t>CUST-5829</t>
  </si>
  <si>
    <t>02-08-2024</t>
  </si>
  <si>
    <t>ORD-2024-10089</t>
  </si>
  <si>
    <t>CUST-6059</t>
  </si>
  <si>
    <t>03/24/2024</t>
  </si>
  <si>
    <t>27 Mar 2024</t>
  </si>
  <si>
    <t>ORD-2024-10090</t>
  </si>
  <si>
    <t>CUST-7744</t>
  </si>
  <si>
    <t>ORD-2025-10091</t>
  </si>
  <si>
    <t>CUST-5909</t>
  </si>
  <si>
    <t>08/24/2025</t>
  </si>
  <si>
    <t>ORD-2025-10092</t>
  </si>
  <si>
    <t>CUST-6409</t>
  </si>
  <si>
    <t>02-03-2025</t>
  </si>
  <si>
    <t>03/08/2025</t>
  </si>
  <si>
    <t>ORD-2025-10093</t>
  </si>
  <si>
    <t>CUST-3014</t>
  </si>
  <si>
    <t>01/26/2025</t>
  </si>
  <si>
    <t>ORD-2024-10094</t>
  </si>
  <si>
    <t>CUST-6106</t>
  </si>
  <si>
    <t>13-01-2024</t>
  </si>
  <si>
    <t>ORD-2024-10095</t>
  </si>
  <si>
    <t>CUST-1926</t>
  </si>
  <si>
    <t>09/06/2024</t>
  </si>
  <si>
    <t>09 Sep 2024</t>
  </si>
  <si>
    <t>ORD-2025-10096</t>
  </si>
  <si>
    <t>CUST-2687</t>
  </si>
  <si>
    <t>05-09-2025</t>
  </si>
  <si>
    <t>09/10/2025</t>
  </si>
  <si>
    <t>ORD-2024-10097</t>
  </si>
  <si>
    <t>CUST-7283</t>
  </si>
  <si>
    <t>05 Jun 2024</t>
  </si>
  <si>
    <t>07-06-2024</t>
  </si>
  <si>
    <t>ORD-2025-10098</t>
  </si>
  <si>
    <t>CUST-8111</t>
  </si>
  <si>
    <t>08 Aug 2025</t>
  </si>
  <si>
    <t>2025-08-11</t>
  </si>
  <si>
    <t>ORD-2024-10099</t>
  </si>
  <si>
    <t>CUST-5434</t>
  </si>
  <si>
    <t>2024-01-26</t>
  </si>
  <si>
    <t>02/01/2024</t>
  </si>
  <si>
    <t>ORD-2025-10100</t>
  </si>
  <si>
    <t>CUST-3865</t>
  </si>
  <si>
    <t>11-01-2025</t>
  </si>
  <si>
    <t>ORD-2025-10101</t>
  </si>
  <si>
    <t>CUST-6015</t>
  </si>
  <si>
    <t>12 Sep 2025</t>
  </si>
  <si>
    <t>18 Sep 2025</t>
  </si>
  <si>
    <t>ORD-2024-10102</t>
  </si>
  <si>
    <t>CUST-7909</t>
  </si>
  <si>
    <t>26-06-2024</t>
  </si>
  <si>
    <t xml:space="preserve">  Home Office </t>
  </si>
  <si>
    <t>ORD-2025-10103</t>
  </si>
  <si>
    <t>CUST-9603</t>
  </si>
  <si>
    <t>12 Jul 2025</t>
  </si>
  <si>
    <t>2025-07-16</t>
  </si>
  <si>
    <t>ORD-2025-10104</t>
  </si>
  <si>
    <t>CUST-6263</t>
  </si>
  <si>
    <t>05/02/2025</t>
  </si>
  <si>
    <t>05/10/2025</t>
  </si>
  <si>
    <t>ORD-2025-10105</t>
  </si>
  <si>
    <t>CUST-1576</t>
  </si>
  <si>
    <t>2025-02-01</t>
  </si>
  <si>
    <t>02/08/2025</t>
  </si>
  <si>
    <t>ORD-2024-10106</t>
  </si>
  <si>
    <t>CUST-6540</t>
  </si>
  <si>
    <t>06/24/2024</t>
  </si>
  <si>
    <t>29-06-2024</t>
  </si>
  <si>
    <t>ORD-2024-10107</t>
  </si>
  <si>
    <t>CUST-4008</t>
  </si>
  <si>
    <t>20-02-2024</t>
  </si>
  <si>
    <t>28 Feb 2024</t>
  </si>
  <si>
    <t>ORD-2024-10108</t>
  </si>
  <si>
    <t>CUST-6604</t>
  </si>
  <si>
    <t>29 Oct 2024</t>
  </si>
  <si>
    <t>2024-11-04</t>
  </si>
  <si>
    <t>ORD-2024-10109</t>
  </si>
  <si>
    <t>CUST-4337</t>
  </si>
  <si>
    <t>15 Aug 2024</t>
  </si>
  <si>
    <t>08/23/2024</t>
  </si>
  <si>
    <t>ORD-2025-10110</t>
  </si>
  <si>
    <t>CUST-3740</t>
  </si>
  <si>
    <t>23-08-2025</t>
  </si>
  <si>
    <t>ORD-2024-10111</t>
  </si>
  <si>
    <t>CUST-7128</t>
  </si>
  <si>
    <t>10/18/2024</t>
  </si>
  <si>
    <t>2024-10-24</t>
  </si>
  <si>
    <t>ORD-2025-10112</t>
  </si>
  <si>
    <t>CUST-4743</t>
  </si>
  <si>
    <t>06/27/2025</t>
  </si>
  <si>
    <t>2025-06-30</t>
  </si>
  <si>
    <t>ORD-2024-10113</t>
  </si>
  <si>
    <t>CUST-5213</t>
  </si>
  <si>
    <t>10 Jan 2024</t>
  </si>
  <si>
    <t>14-01-2024</t>
  </si>
  <si>
    <t xml:space="preserve">  Consumer </t>
  </si>
  <si>
    <t>ORD-2024-10114</t>
  </si>
  <si>
    <t>12-02-2024</t>
  </si>
  <si>
    <t>ORD-2024-10115</t>
  </si>
  <si>
    <t>CUST-2927</t>
  </si>
  <si>
    <t>2024-09-25</t>
  </si>
  <si>
    <t>30 Sep 2024</t>
  </si>
  <si>
    <t>ORD-2024-10116</t>
  </si>
  <si>
    <t>CUST-7764</t>
  </si>
  <si>
    <t>2024-12-27</t>
  </si>
  <si>
    <t>01-01-2025</t>
  </si>
  <si>
    <t>ORD-2025-10117</t>
  </si>
  <si>
    <t>CUST-3632</t>
  </si>
  <si>
    <t>2025-02-15</t>
  </si>
  <si>
    <t>19 Feb 2025</t>
  </si>
  <si>
    <t>ORD-2024-10118</t>
  </si>
  <si>
    <t>CUST-9608</t>
  </si>
  <si>
    <t>2024-02-15</t>
  </si>
  <si>
    <t>17 Feb 2024</t>
  </si>
  <si>
    <t>70%</t>
  </si>
  <si>
    <t>ORD-2024-10119</t>
  </si>
  <si>
    <t>CUST-9135</t>
  </si>
  <si>
    <t>06/10/2024</t>
  </si>
  <si>
    <t>2024-06-18</t>
  </si>
  <si>
    <t>Vikram  Iyer</t>
  </si>
  <si>
    <t>ORD-2024-10120</t>
  </si>
  <si>
    <t>CUST-7861</t>
  </si>
  <si>
    <t>12 Jun 2024</t>
  </si>
  <si>
    <t>19 Jun 2024</t>
  </si>
  <si>
    <t xml:space="preserve">Small Business </t>
  </si>
  <si>
    <t>ORD-2024-10121</t>
  </si>
  <si>
    <t>CUST-6096</t>
  </si>
  <si>
    <t>2024-08-18</t>
  </si>
  <si>
    <t>ORD-2025-10122</t>
  </si>
  <si>
    <t>CUST-2044</t>
  </si>
  <si>
    <t>08/22/2025</t>
  </si>
  <si>
    <t>08/26/2025</t>
  </si>
  <si>
    <t>Small  Business</t>
  </si>
  <si>
    <t>ORD-2024-10123</t>
  </si>
  <si>
    <t>CUST-1721</t>
  </si>
  <si>
    <t>11/30/2024</t>
  </si>
  <si>
    <t>04-12-2024</t>
  </si>
  <si>
    <t>ORD-2024-10124</t>
  </si>
  <si>
    <t>CUST-1007</t>
  </si>
  <si>
    <t>05/24/2024</t>
  </si>
  <si>
    <t>25 May 2024</t>
  </si>
  <si>
    <t>NORTH</t>
  </si>
  <si>
    <t>ORD-2024-10125</t>
  </si>
  <si>
    <t>CUST-4450</t>
  </si>
  <si>
    <t>07/24/2024</t>
  </si>
  <si>
    <t xml:space="preserve">Completed </t>
  </si>
  <si>
    <t>ORD-2025-10126</t>
  </si>
  <si>
    <t>CUST-7924</t>
  </si>
  <si>
    <t>2025-07-17</t>
  </si>
  <si>
    <t>18-07-2025</t>
  </si>
  <si>
    <t>ORD-2025-10127</t>
  </si>
  <si>
    <t>CUST-1715</t>
  </si>
  <si>
    <t>24-09-2025</t>
  </si>
  <si>
    <t>26 Sep 2025</t>
  </si>
  <si>
    <t>ORD-2025-10128</t>
  </si>
  <si>
    <t>CUST-6802</t>
  </si>
  <si>
    <t>26-01-2025</t>
  </si>
  <si>
    <t>ORD-2024-10129</t>
  </si>
  <si>
    <t>CUST-9328</t>
  </si>
  <si>
    <t>13 Dec 2024</t>
  </si>
  <si>
    <t>16 Dec 2024</t>
  </si>
  <si>
    <t>ORD-2024-10130</t>
  </si>
  <si>
    <t>CUST-2588</t>
  </si>
  <si>
    <t>25-07-2024</t>
  </si>
  <si>
    <t>ORD-2024-10131</t>
  </si>
  <si>
    <t>CUST-5435</t>
  </si>
  <si>
    <t>2024-01-27</t>
  </si>
  <si>
    <t>02 Feb 2024</t>
  </si>
  <si>
    <t>ORD-2025-10132</t>
  </si>
  <si>
    <t>CUST-7637</t>
  </si>
  <si>
    <t>09/29/2025</t>
  </si>
  <si>
    <t>2025-10-04</t>
  </si>
  <si>
    <t>ORD-2024-10133</t>
  </si>
  <si>
    <t>CUST-3602</t>
  </si>
  <si>
    <t>04 Nov 2024</t>
  </si>
  <si>
    <t>ORD-2024-10134</t>
  </si>
  <si>
    <t>CUST-9441</t>
  </si>
  <si>
    <t>2024-12-13</t>
  </si>
  <si>
    <t>12/18/2024</t>
  </si>
  <si>
    <t>ORD-2025-10135</t>
  </si>
  <si>
    <t>CUST-7361</t>
  </si>
  <si>
    <t>07/14/2025</t>
  </si>
  <si>
    <t>2025-07-14</t>
  </si>
  <si>
    <t>ORD-2025-10136</t>
  </si>
  <si>
    <t>CUST-1148</t>
  </si>
  <si>
    <t>2025-08-24</t>
  </si>
  <si>
    <t xml:space="preserve">Furniture </t>
  </si>
  <si>
    <t>ORD-2025-10137</t>
  </si>
  <si>
    <t>CUST-3350</t>
  </si>
  <si>
    <t>09-02-2025</t>
  </si>
  <si>
    <t>15-02-2025</t>
  </si>
  <si>
    <t>Standard  Class</t>
  </si>
  <si>
    <t>ORD-2025-10138</t>
  </si>
  <si>
    <t>CUST-7932</t>
  </si>
  <si>
    <t>01/09/2025</t>
  </si>
  <si>
    <t>2025-01-09</t>
  </si>
  <si>
    <t>ORD-2024-10139</t>
  </si>
  <si>
    <t>CUST-7173</t>
  </si>
  <si>
    <t>2024-01-20</t>
  </si>
  <si>
    <t>26-01-2024</t>
  </si>
  <si>
    <t>ORD-2025-10140</t>
  </si>
  <si>
    <t>CUST-4225</t>
  </si>
  <si>
    <t>03/02/2025</t>
  </si>
  <si>
    <t>07-03-2025</t>
  </si>
  <si>
    <t>ORD-2024-10141</t>
  </si>
  <si>
    <t>CUST-2149</t>
  </si>
  <si>
    <t>31-05-2024</t>
  </si>
  <si>
    <t>01 Jun 2024</t>
  </si>
  <si>
    <t>ORD-2024-10142</t>
  </si>
  <si>
    <t>CUST-3314</t>
  </si>
  <si>
    <t>03/23/2024</t>
  </si>
  <si>
    <t>2024-03-29</t>
  </si>
  <si>
    <t>ORD-2024-10143</t>
  </si>
  <si>
    <t>CUST-8944</t>
  </si>
  <si>
    <t>30 Mar 2024</t>
  </si>
  <si>
    <t>26 Mar 2024</t>
  </si>
  <si>
    <t>ORD-2024-10144</t>
  </si>
  <si>
    <t>CUST-3144</t>
  </si>
  <si>
    <t>2024-03-26</t>
  </si>
  <si>
    <t>ORD-2024-10145</t>
  </si>
  <si>
    <t>CUST-6747</t>
  </si>
  <si>
    <t>2024-06-15</t>
  </si>
  <si>
    <t>ORD-2025-10146</t>
  </si>
  <si>
    <t>CUST-6161</t>
  </si>
  <si>
    <t>11-04-2025</t>
  </si>
  <si>
    <t>04/13/2025</t>
  </si>
  <si>
    <t>ORD-2025-10147</t>
  </si>
  <si>
    <t>CUST-1460</t>
  </si>
  <si>
    <t>30 Jul 2025</t>
  </si>
  <si>
    <t>08/01/2025</t>
  </si>
  <si>
    <t>ORD-2024-10148</t>
  </si>
  <si>
    <t>CUST-2692</t>
  </si>
  <si>
    <t>23-12-2024</t>
  </si>
  <si>
    <t>2024-12-30</t>
  </si>
  <si>
    <t>ORD-2025-10149</t>
  </si>
  <si>
    <t>CUST-2822</t>
  </si>
  <si>
    <t>09 Feb 2025</t>
  </si>
  <si>
    <t>13-02-2025</t>
  </si>
  <si>
    <t>ORD-2024-10150</t>
  </si>
  <si>
    <t>CUST-5876</t>
  </si>
  <si>
    <t>30-01-2024</t>
  </si>
  <si>
    <t>west</t>
  </si>
  <si>
    <t>ORD-2024-10151</t>
  </si>
  <si>
    <t>CUST-4661</t>
  </si>
  <si>
    <t>04-03-2024</t>
  </si>
  <si>
    <t>2024-03-12</t>
  </si>
  <si>
    <t>ORD-2024-10152</t>
  </si>
  <si>
    <t>CUST-6011</t>
  </si>
  <si>
    <t>27 Jun 2024</t>
  </si>
  <si>
    <t>06/27/2024</t>
  </si>
  <si>
    <t>ORD-2024-10153</t>
  </si>
  <si>
    <t>CUST-6160</t>
  </si>
  <si>
    <t>14 Jun 2024</t>
  </si>
  <si>
    <t>06/17/2024</t>
  </si>
  <si>
    <t>ORD-2025-10154</t>
  </si>
  <si>
    <t>CUST-6971</t>
  </si>
  <si>
    <t>23 Sep 2025</t>
  </si>
  <si>
    <t>2025-09-25</t>
  </si>
  <si>
    <t>ORD-2024-10155</t>
  </si>
  <si>
    <t>12 Feb 2024</t>
  </si>
  <si>
    <t>02/11/2024</t>
  </si>
  <si>
    <t>ORD-2025-10156</t>
  </si>
  <si>
    <t>CUST-8327</t>
  </si>
  <si>
    <t>ORD-2025-10157</t>
  </si>
  <si>
    <t>CUST-4058</t>
  </si>
  <si>
    <t>27-03-2025</t>
  </si>
  <si>
    <t>27 Mar 2025</t>
  </si>
  <si>
    <t>ORD-2024-10158</t>
  </si>
  <si>
    <t>CUST-1142</t>
  </si>
  <si>
    <t>10/22/2024</t>
  </si>
  <si>
    <t>24-10-2024</t>
  </si>
  <si>
    <t>ORD-2024-10159</t>
  </si>
  <si>
    <t>CUST-2324</t>
  </si>
  <si>
    <t>2024-09-09</t>
  </si>
  <si>
    <t>09/11/2024</t>
  </si>
  <si>
    <t>ORD-2025-10160</t>
  </si>
  <si>
    <t>CUST-7717</t>
  </si>
  <si>
    <t>2025-01-30</t>
  </si>
  <si>
    <t>04-02-2025</t>
  </si>
  <si>
    <t>ORD-2025-10161</t>
  </si>
  <si>
    <t>CUST-4932</t>
  </si>
  <si>
    <t>08-10-2025</t>
  </si>
  <si>
    <t>10/06/2025</t>
  </si>
  <si>
    <t>ORD-2025-10162</t>
  </si>
  <si>
    <t>CUST-2367</t>
  </si>
  <si>
    <t>2025-07-24</t>
  </si>
  <si>
    <t>30-07-2025</t>
  </si>
  <si>
    <t>consumer</t>
  </si>
  <si>
    <t>ORD-2024-10163</t>
  </si>
  <si>
    <t>CUST-4830</t>
  </si>
  <si>
    <t>2024-03-09</t>
  </si>
  <si>
    <t>14 Mar 2024</t>
  </si>
  <si>
    <t>ORD-2025-10164</t>
  </si>
  <si>
    <t>CUST-2548</t>
  </si>
  <si>
    <t>09/21/2025</t>
  </si>
  <si>
    <t>ORD-2025-10165</t>
  </si>
  <si>
    <t>CUST-3833</t>
  </si>
  <si>
    <t>09 Sep 2025</t>
  </si>
  <si>
    <t>09/14/2025</t>
  </si>
  <si>
    <t>ORD-2024-10166</t>
  </si>
  <si>
    <t>CUST-4598</t>
  </si>
  <si>
    <t>11/22/2024</t>
  </si>
  <si>
    <t>29-11-2024</t>
  </si>
  <si>
    <t>ORD-2025-10167</t>
  </si>
  <si>
    <t>CUST-7215</t>
  </si>
  <si>
    <t>20-02-2025</t>
  </si>
  <si>
    <t>OFFICE SUPPLIES</t>
  </si>
  <si>
    <t>ORD-2025-10168</t>
  </si>
  <si>
    <t>CUST-7770</t>
  </si>
  <si>
    <t>2025-08-18</t>
  </si>
  <si>
    <t>08/18/2025</t>
  </si>
  <si>
    <t>ORD-2025-10169</t>
  </si>
  <si>
    <t>CUST-9756</t>
  </si>
  <si>
    <t>01/20/2025</t>
  </si>
  <si>
    <t>ORD-2025-10170</t>
  </si>
  <si>
    <t>CUST-2261</t>
  </si>
  <si>
    <t>2025-09-13</t>
  </si>
  <si>
    <t>09/13/2025</t>
  </si>
  <si>
    <t>ORD-2025-10171</t>
  </si>
  <si>
    <t>CUST-3734</t>
  </si>
  <si>
    <t>09/15/2025</t>
  </si>
  <si>
    <t>ORD-2025-10172</t>
  </si>
  <si>
    <t>CUST-3436</t>
  </si>
  <si>
    <t>02/25/2025</t>
  </si>
  <si>
    <t>ORD-2025-10173</t>
  </si>
  <si>
    <t>CUST-4845</t>
  </si>
  <si>
    <t>02-08-2025</t>
  </si>
  <si>
    <t>10-08-2025</t>
  </si>
  <si>
    <t>ORD-2024-10174</t>
  </si>
  <si>
    <t>CUST-6153</t>
  </si>
  <si>
    <t>02-05-2024</t>
  </si>
  <si>
    <t>08 May 2024</t>
  </si>
  <si>
    <t>PRIYA MENON</t>
  </si>
  <si>
    <t>ORD-2025-10175</t>
  </si>
  <si>
    <t>CUST-5475</t>
  </si>
  <si>
    <t>28 Sep 2025</t>
  </si>
  <si>
    <t>04-10-2025</t>
  </si>
  <si>
    <t>ORD-2024-10176</t>
  </si>
  <si>
    <t>CUST-5580</t>
  </si>
  <si>
    <t>2024-02-03</t>
  </si>
  <si>
    <t>ORD-2025-10177</t>
  </si>
  <si>
    <t>CUST-3027</t>
  </si>
  <si>
    <t>18-03-2025</t>
  </si>
  <si>
    <t>03/26/2025</t>
  </si>
  <si>
    <t>ORD-2024-10178</t>
  </si>
  <si>
    <t>CUST-4399</t>
  </si>
  <si>
    <t>01-06-2024</t>
  </si>
  <si>
    <t>06/03/2024</t>
  </si>
  <si>
    <t>ORD-2024-10179</t>
  </si>
  <si>
    <t>CUST-3092</t>
  </si>
  <si>
    <t>30-09-2024</t>
  </si>
  <si>
    <t>2024-09-30</t>
  </si>
  <si>
    <t>ORD-2024-10180</t>
  </si>
  <si>
    <t>CUST-1778</t>
  </si>
  <si>
    <t>2024-03-15</t>
  </si>
  <si>
    <t>03/19/2024</t>
  </si>
  <si>
    <t>ORD-2024-10181</t>
  </si>
  <si>
    <t>CUST-3787</t>
  </si>
  <si>
    <t>2024-08-26</t>
  </si>
  <si>
    <t>26-08-2024</t>
  </si>
  <si>
    <t>ORD-2025-10182</t>
  </si>
  <si>
    <t>CUST-5119</t>
  </si>
  <si>
    <t>09/09/2025</t>
  </si>
  <si>
    <t>10-09-2025</t>
  </si>
  <si>
    <t>ORD-2024-10183</t>
  </si>
  <si>
    <t>CUST-4121</t>
  </si>
  <si>
    <t>ORD-2025-10184</t>
  </si>
  <si>
    <t>CUST-3366</t>
  </si>
  <si>
    <t>2025-06-24</t>
  </si>
  <si>
    <t>27-06-2025</t>
  </si>
  <si>
    <t>ORD-2024-10185</t>
  </si>
  <si>
    <t>CUST-1358</t>
  </si>
  <si>
    <t>2024-04-02</t>
  </si>
  <si>
    <t>ORD-2024-10186</t>
  </si>
  <si>
    <t>CUST-4968</t>
  </si>
  <si>
    <t>2024-11-13</t>
  </si>
  <si>
    <t>ORD-2024-10187</t>
  </si>
  <si>
    <t>20 Jul 2024</t>
  </si>
  <si>
    <t>ORD-2025-10188</t>
  </si>
  <si>
    <t>CUST-3109</t>
  </si>
  <si>
    <t>2025-05-01</t>
  </si>
  <si>
    <t>02 May 2025</t>
  </si>
  <si>
    <t>ORD-2025-10189</t>
  </si>
  <si>
    <t>CUST-3422</t>
  </si>
  <si>
    <t>2025-05-21</t>
  </si>
  <si>
    <t>28 May 2025</t>
  </si>
  <si>
    <t>ORD-2025-10190</t>
  </si>
  <si>
    <t>CUST-3375</t>
  </si>
  <si>
    <t>2025-05-06</t>
  </si>
  <si>
    <t>07 May 2025</t>
  </si>
  <si>
    <t>completed</t>
  </si>
  <si>
    <t>ORD-2025-10191</t>
  </si>
  <si>
    <t>CUST-5138</t>
  </si>
  <si>
    <t>20-04-2025</t>
  </si>
  <si>
    <t>04/21/2025</t>
  </si>
  <si>
    <t xml:space="preserve">  Completed </t>
  </si>
  <si>
    <t>ORD-2024-10192</t>
  </si>
  <si>
    <t>CUST-7410</t>
  </si>
  <si>
    <t>19-10-2024</t>
  </si>
  <si>
    <t>ORD-2024-10193</t>
  </si>
  <si>
    <t>CUST-7115</t>
  </si>
  <si>
    <t>2024-12-09</t>
  </si>
  <si>
    <t>12/16/2024</t>
  </si>
  <si>
    <t>ORD-2024-10194</t>
  </si>
  <si>
    <t>CUST-9853</t>
  </si>
  <si>
    <t>2024-06-23</t>
  </si>
  <si>
    <t>28-06-2024</t>
  </si>
  <si>
    <t>ORD-2025-10195</t>
  </si>
  <si>
    <t>CUST-3637</t>
  </si>
  <si>
    <t>2025-01-28</t>
  </si>
  <si>
    <t>01/31/2025</t>
  </si>
  <si>
    <t>WEST</t>
  </si>
  <si>
    <t>ORD-2025-10196</t>
  </si>
  <si>
    <t>CUST-4328</t>
  </si>
  <si>
    <t>22 Jul 2025</t>
  </si>
  <si>
    <t>07/24/2025</t>
  </si>
  <si>
    <t>ORD-2024-10197</t>
  </si>
  <si>
    <t>CUST-8028</t>
  </si>
  <si>
    <t>22-01-2024</t>
  </si>
  <si>
    <t>25 Jan 2024</t>
  </si>
  <si>
    <t>ORD-2025-10198</t>
  </si>
  <si>
    <t>07-04-2025</t>
  </si>
  <si>
    <t>ORD-2024-10199</t>
  </si>
  <si>
    <t>CUST-7820</t>
  </si>
  <si>
    <t>05-06-2024</t>
  </si>
  <si>
    <t>06/06/2024</t>
  </si>
  <si>
    <t>ORD-2024-10200</t>
  </si>
  <si>
    <t>CUST-4536</t>
  </si>
  <si>
    <t>12-03-2024</t>
  </si>
  <si>
    <t>ORD-2025-10201</t>
  </si>
  <si>
    <t>CUST-7047</t>
  </si>
  <si>
    <t>05 Jul 2025</t>
  </si>
  <si>
    <t>ORD-2025-10202</t>
  </si>
  <si>
    <t>CUST-8005</t>
  </si>
  <si>
    <t>26-07-2025</t>
  </si>
  <si>
    <t>08/03/2025</t>
  </si>
  <si>
    <t>ORD-2025-10203</t>
  </si>
  <si>
    <t>CUST-9378</t>
  </si>
  <si>
    <t>2025-03-28</t>
  </si>
  <si>
    <t>28 Mar 2025</t>
  </si>
  <si>
    <t>ORD-2024-10204</t>
  </si>
  <si>
    <t>CUST-3384</t>
  </si>
  <si>
    <t>28 Mar 2024</t>
  </si>
  <si>
    <t>2024-03-30</t>
  </si>
  <si>
    <t>ORD-2025-10205</t>
  </si>
  <si>
    <t>CUST-1986</t>
  </si>
  <si>
    <t>20-07-2025</t>
  </si>
  <si>
    <t>2025-07-23</t>
  </si>
  <si>
    <t>ORD-2025-10206</t>
  </si>
  <si>
    <t>CUST-3338</t>
  </si>
  <si>
    <t>21-04-2025</t>
  </si>
  <si>
    <t>04/26/2025</t>
  </si>
  <si>
    <t>ORD-2025-10207</t>
  </si>
  <si>
    <t>CUST-2343</t>
  </si>
  <si>
    <t>05/18/2025</t>
  </si>
  <si>
    <t>ORD-2024-10208</t>
  </si>
  <si>
    <t>CUST-3362</t>
  </si>
  <si>
    <t>10 Jul 2024</t>
  </si>
  <si>
    <t>2024-07-16</t>
  </si>
  <si>
    <t>ORD-2025-10209</t>
  </si>
  <si>
    <t>CUST-3662</t>
  </si>
  <si>
    <t>06/29/2025</t>
  </si>
  <si>
    <t>05-07-2025</t>
  </si>
  <si>
    <t>ORD-2025-10210</t>
  </si>
  <si>
    <t>CUST-4947</t>
  </si>
  <si>
    <t>08/13/2025</t>
  </si>
  <si>
    <t>08/14/2025</t>
  </si>
  <si>
    <t>ORD-2024-10211</t>
  </si>
  <si>
    <t>CUST-3076</t>
  </si>
  <si>
    <t>03/15/2024</t>
  </si>
  <si>
    <t>18-03-2024</t>
  </si>
  <si>
    <t>ORD-2024-10212</t>
  </si>
  <si>
    <t>CUST-2222</t>
  </si>
  <si>
    <t>05/16/2024</t>
  </si>
  <si>
    <t>05/17/2024</t>
  </si>
  <si>
    <t>EAST</t>
  </si>
  <si>
    <t>ORD-2024-10213</t>
  </si>
  <si>
    <t>CUST-3610</t>
  </si>
  <si>
    <t>09/21/2024</t>
  </si>
  <si>
    <t>2024-09-21</t>
  </si>
  <si>
    <t>ORD-2024-10214</t>
  </si>
  <si>
    <t>CUST-9136</t>
  </si>
  <si>
    <t>15 May 2024</t>
  </si>
  <si>
    <t>21-05-2024</t>
  </si>
  <si>
    <t xml:space="preserve">  Second Class </t>
  </si>
  <si>
    <t>ORD-2024-10215</t>
  </si>
  <si>
    <t>CUST-1301</t>
  </si>
  <si>
    <t>17 Mar 2024</t>
  </si>
  <si>
    <t>23-03-2024</t>
  </si>
  <si>
    <t xml:space="preserve">  First Class </t>
  </si>
  <si>
    <t>ORD-2024-10216</t>
  </si>
  <si>
    <t>CUST-8603</t>
  </si>
  <si>
    <t>01-03-2024</t>
  </si>
  <si>
    <t>ORD-2025-10217</t>
  </si>
  <si>
    <t>CUST-4330</t>
  </si>
  <si>
    <t>15 Apr 2025</t>
  </si>
  <si>
    <t>ORD-2025-10218</t>
  </si>
  <si>
    <t>CUST-4533</t>
  </si>
  <si>
    <t>01-04-2025</t>
  </si>
  <si>
    <t>04/08/2025</t>
  </si>
  <si>
    <t>ORD-2025-10219</t>
  </si>
  <si>
    <t>CUST-8270</t>
  </si>
  <si>
    <t>26 Feb 2025</t>
  </si>
  <si>
    <t>27-02-2025</t>
  </si>
  <si>
    <t>ORD-2024-10220</t>
  </si>
  <si>
    <t>CUST-1472</t>
  </si>
  <si>
    <t>06/19/2024</t>
  </si>
  <si>
    <t>85%</t>
  </si>
  <si>
    <t>ORD-2024-10221</t>
  </si>
  <si>
    <t>CUST-1031</t>
  </si>
  <si>
    <t>09/03/2024</t>
  </si>
  <si>
    <t>ORD-2025-10222</t>
  </si>
  <si>
    <t>CUST-2495</t>
  </si>
  <si>
    <t>12-01-2025</t>
  </si>
  <si>
    <t>2025-01-15</t>
  </si>
  <si>
    <t>ORD-2025-10223</t>
  </si>
  <si>
    <t>CUST-4583</t>
  </si>
  <si>
    <t>04/29/2025</t>
  </si>
  <si>
    <t>ORD-2025-10224</t>
  </si>
  <si>
    <t>CUST-5319</t>
  </si>
  <si>
    <t>19-02-2025</t>
  </si>
  <si>
    <t>02/26/2025</t>
  </si>
  <si>
    <t>ORD-2025-10225</t>
  </si>
  <si>
    <t>CUST-9871</t>
  </si>
  <si>
    <t>10/02/2025</t>
  </si>
  <si>
    <t>08 Oct 2025</t>
  </si>
  <si>
    <t>ORD-2024-10226</t>
  </si>
  <si>
    <t>CUST-1266</t>
  </si>
  <si>
    <t>02 Sep 2024</t>
  </si>
  <si>
    <t>2024-09-10</t>
  </si>
  <si>
    <t>ORD-2025-10227</t>
  </si>
  <si>
    <t>CUST-2545</t>
  </si>
  <si>
    <t>10-04-2025</t>
  </si>
  <si>
    <t>ORD-2024-10228</t>
  </si>
  <si>
    <t>CUST-2819</t>
  </si>
  <si>
    <t>2024-07-05</t>
  </si>
  <si>
    <t>12 Jul 2024</t>
  </si>
  <si>
    <t>SMALL BUSINESS</t>
  </si>
  <si>
    <t>ORD-2024-10229</t>
  </si>
  <si>
    <t>CUST-1076</t>
  </si>
  <si>
    <t>24-04-2024</t>
  </si>
  <si>
    <t>28 Apr 2024</t>
  </si>
  <si>
    <t>ORD-2025-10230</t>
  </si>
  <si>
    <t>CUST-1943</t>
  </si>
  <si>
    <t>2025-06-28</t>
  </si>
  <si>
    <t>07/04/2025</t>
  </si>
  <si>
    <t>ORD-2024-10231</t>
  </si>
  <si>
    <t>CUST-3434</t>
  </si>
  <si>
    <t>03-06-2024</t>
  </si>
  <si>
    <t>ORD-2024-10232</t>
  </si>
  <si>
    <t>CUST-9139</t>
  </si>
  <si>
    <t>2024-05-02</t>
  </si>
  <si>
    <t>05/02/2024</t>
  </si>
  <si>
    <t>Office  Supplies</t>
  </si>
  <si>
    <t>ORD-2025-10233</t>
  </si>
  <si>
    <t>CUST-5341</t>
  </si>
  <si>
    <t>2025-06-04</t>
  </si>
  <si>
    <t>2025-06-10</t>
  </si>
  <si>
    <t>ORD-2024-10234</t>
  </si>
  <si>
    <t>CUST-3710</t>
  </si>
  <si>
    <t>14-10-2024</t>
  </si>
  <si>
    <t>10/14/2024</t>
  </si>
  <si>
    <t>ORD-2024-10235</t>
  </si>
  <si>
    <t>CUST-9754</t>
  </si>
  <si>
    <t>09/02/2024</t>
  </si>
  <si>
    <t>03 Sep 2024</t>
  </si>
  <si>
    <t>ORD-2024-10236</t>
  </si>
  <si>
    <t>CUST-6256</t>
  </si>
  <si>
    <t>11/02/2024</t>
  </si>
  <si>
    <t>11/03/2024</t>
  </si>
  <si>
    <t>ORD-2024-10237</t>
  </si>
  <si>
    <t>CUST-7113</t>
  </si>
  <si>
    <t>21 Oct 2024</t>
  </si>
  <si>
    <t>ORD-2024-10238</t>
  </si>
  <si>
    <t>CUST-3827</t>
  </si>
  <si>
    <t>2024-08-27</t>
  </si>
  <si>
    <t>ORD-2024-10239</t>
  </si>
  <si>
    <t>CUST-2375</t>
  </si>
  <si>
    <t>01/12/2024</t>
  </si>
  <si>
    <t>01/17/2024</t>
  </si>
  <si>
    <t>ORD-2024-10240</t>
  </si>
  <si>
    <t>CUST-2233</t>
  </si>
  <si>
    <t>21-09-2024</t>
  </si>
  <si>
    <t>ORD-2024-10241</t>
  </si>
  <si>
    <t>CUST-9778</t>
  </si>
  <si>
    <t>17 Dec 2024</t>
  </si>
  <si>
    <t>ORD-2025-10242</t>
  </si>
  <si>
    <t>CUST-6949</t>
  </si>
  <si>
    <t>07/06/2025</t>
  </si>
  <si>
    <t>06-07-2025</t>
  </si>
  <si>
    <t>ORD-2025-10243</t>
  </si>
  <si>
    <t>CUST-3430</t>
  </si>
  <si>
    <t>07 Feb 2025</t>
  </si>
  <si>
    <t>2025-02-07</t>
  </si>
  <si>
    <t>ORD-2025-10244</t>
  </si>
  <si>
    <t>CUST-6310</t>
  </si>
  <si>
    <t>02 Aug 2025</t>
  </si>
  <si>
    <t>ORD-2024-10245</t>
  </si>
  <si>
    <t>CUST-6008</t>
  </si>
  <si>
    <t>2024-08-24</t>
  </si>
  <si>
    <t>ORD-2024-10246</t>
  </si>
  <si>
    <t>CUST-1704</t>
  </si>
  <si>
    <t>FURNITURE</t>
  </si>
  <si>
    <t>ORD-2024-10247</t>
  </si>
  <si>
    <t>CUST-1827</t>
  </si>
  <si>
    <t>04 May 2024</t>
  </si>
  <si>
    <t>09 May 2024</t>
  </si>
  <si>
    <t>ORD-2024-10248</t>
  </si>
  <si>
    <t>CUST-6663</t>
  </si>
  <si>
    <t>07/25/2024</t>
  </si>
  <si>
    <t>01 Aug 2024</t>
  </si>
  <si>
    <t>ORD-2024-10249</t>
  </si>
  <si>
    <t>CUST-6278</t>
  </si>
  <si>
    <t>06/02/2024</t>
  </si>
  <si>
    <t>ORD-2025-10250</t>
  </si>
  <si>
    <t>CUST-2305</t>
  </si>
  <si>
    <t>08/02/2025</t>
  </si>
  <si>
    <t>ORD-2024-10251</t>
  </si>
  <si>
    <t>CUST-5351</t>
  </si>
  <si>
    <t>02/21/2024</t>
  </si>
  <si>
    <t>02/27/2024</t>
  </si>
  <si>
    <t>ORD-2025-10252</t>
  </si>
  <si>
    <t>CUST-6268</t>
  </si>
  <si>
    <t>2025-04-06</t>
  </si>
  <si>
    <t>ORD-2025-10253</t>
  </si>
  <si>
    <t>CUST-2103</t>
  </si>
  <si>
    <t>25-06-2025</t>
  </si>
  <si>
    <t>ORD-2024-10254</t>
  </si>
  <si>
    <t>CUST-5394</t>
  </si>
  <si>
    <t>2024-09-12</t>
  </si>
  <si>
    <t>09/13/2024</t>
  </si>
  <si>
    <t>ORD-2025-10255</t>
  </si>
  <si>
    <t>CUST-6853</t>
  </si>
  <si>
    <t>01/01/2025</t>
  </si>
  <si>
    <t>03-01-2025</t>
  </si>
  <si>
    <t>ORD-2025-10256</t>
  </si>
  <si>
    <t>CUST-1549</t>
  </si>
  <si>
    <t>2025-02-04</t>
  </si>
  <si>
    <t>02/10/2025</t>
  </si>
  <si>
    <t>ORD-2024-10257</t>
  </si>
  <si>
    <t>CUST-8411</t>
  </si>
  <si>
    <t>2024-11-05</t>
  </si>
  <si>
    <t>ORD-2025-10258</t>
  </si>
  <si>
    <t>CUST-5615</t>
  </si>
  <si>
    <t>2025-08-09</t>
  </si>
  <si>
    <t>2025-08-12</t>
  </si>
  <si>
    <t>ORD-2024-10259</t>
  </si>
  <si>
    <t>CUST-8467</t>
  </si>
  <si>
    <t>2025-01-04</t>
  </si>
  <si>
    <t>ORD-2024-10260</t>
  </si>
  <si>
    <t>CUST-5174</t>
  </si>
  <si>
    <t>06/21/2024</t>
  </si>
  <si>
    <t>29 Jun 2024</t>
  </si>
  <si>
    <t>ORD-2025-10261</t>
  </si>
  <si>
    <t>CUST-3543</t>
  </si>
  <si>
    <t>2025-09-23</t>
  </si>
  <si>
    <t>09/27/2025</t>
  </si>
  <si>
    <t>ORD-2025-10262</t>
  </si>
  <si>
    <t>CUST-7623</t>
  </si>
  <si>
    <t>06/18/2025</t>
  </si>
  <si>
    <t>06/24/2025</t>
  </si>
  <si>
    <t>ORD-2025-10263</t>
  </si>
  <si>
    <t>2025-05-26</t>
  </si>
  <si>
    <t>01 Jun 2025</t>
  </si>
  <si>
    <t>ORD-2025-10264</t>
  </si>
  <si>
    <t>CUST-8265</t>
  </si>
  <si>
    <t>06 Aug 2025</t>
  </si>
  <si>
    <t>ORD-2024-10265</t>
  </si>
  <si>
    <t>CUST-4750</t>
  </si>
  <si>
    <t>16-05-2024</t>
  </si>
  <si>
    <t>05/21/2024</t>
  </si>
  <si>
    <t>ORD-2024-10266</t>
  </si>
  <si>
    <t>CUST-3974</t>
  </si>
  <si>
    <t>14 Nov 2024</t>
  </si>
  <si>
    <t xml:space="preserve">  Cancelled </t>
  </si>
  <si>
    <t>ORD-2025-10267</t>
  </si>
  <si>
    <t>CUST-7114</t>
  </si>
  <si>
    <t>2025-05-03</t>
  </si>
  <si>
    <t>2025-05-10</t>
  </si>
  <si>
    <t>ORD-2025-10268</t>
  </si>
  <si>
    <t>CUST-4431</t>
  </si>
  <si>
    <t>04-06-2025</t>
  </si>
  <si>
    <t>ORD-2025-10269</t>
  </si>
  <si>
    <t>CUST-1488</t>
  </si>
  <si>
    <t>08/17/2025</t>
  </si>
  <si>
    <t>ORD-2025-10270</t>
  </si>
  <si>
    <t>CUST-1586</t>
  </si>
  <si>
    <t>02/12/2025</t>
  </si>
  <si>
    <t>ORD-2024-10271</t>
  </si>
  <si>
    <t>CUST-2487</t>
  </si>
  <si>
    <t>ORD-2024-10272</t>
  </si>
  <si>
    <t>CUST-8009</t>
  </si>
  <si>
    <t>21 Dec 2024</t>
  </si>
  <si>
    <t>25 Dec 2024</t>
  </si>
  <si>
    <t>ORD-2024-10273</t>
  </si>
  <si>
    <t>CUST-7389</t>
  </si>
  <si>
    <t>08/18/2024</t>
  </si>
  <si>
    <t>24 Aug 2024</t>
  </si>
  <si>
    <t>ORD-2025-10274</t>
  </si>
  <si>
    <t>CUST-8249</t>
  </si>
  <si>
    <t>02/13/2025</t>
  </si>
  <si>
    <t>13 Feb 2025</t>
  </si>
  <si>
    <t>ORD-2024-10275</t>
  </si>
  <si>
    <t>CUST-4202</t>
  </si>
  <si>
    <t>07-04-2024</t>
  </si>
  <si>
    <t>14-04-2024</t>
  </si>
  <si>
    <t>ORD-2024-10276</t>
  </si>
  <si>
    <t>CUST-2875</t>
  </si>
  <si>
    <t>02/22/2024</t>
  </si>
  <si>
    <t>ORD-2024-10277</t>
  </si>
  <si>
    <t>CUST-7039</t>
  </si>
  <si>
    <t>23-01-2024</t>
  </si>
  <si>
    <t>ORD-2025-10278</t>
  </si>
  <si>
    <t>04 Jun 2025</t>
  </si>
  <si>
    <t>ORD-2025-10279</t>
  </si>
  <si>
    <t>CUST-8242</t>
  </si>
  <si>
    <t>2025-03-14</t>
  </si>
  <si>
    <t xml:space="preserve">Priya Menon </t>
  </si>
  <si>
    <t>ORD-2024-10280</t>
  </si>
  <si>
    <t>CUST-4571</t>
  </si>
  <si>
    <t>04/09/2024</t>
  </si>
  <si>
    <t>10 Apr 2024</t>
  </si>
  <si>
    <t>ORD-2024-10281</t>
  </si>
  <si>
    <t>CUST-4098</t>
  </si>
  <si>
    <t>12/23/2024</t>
  </si>
  <si>
    <t>26-12-2024</t>
  </si>
  <si>
    <t>ORD-2025-10282</t>
  </si>
  <si>
    <t>CUST-2052</t>
  </si>
  <si>
    <t>25-07-2025</t>
  </si>
  <si>
    <t>07/27/2025</t>
  </si>
  <si>
    <t>ORD-2024-10283</t>
  </si>
  <si>
    <t>CUST-9445</t>
  </si>
  <si>
    <t>2024-10-01</t>
  </si>
  <si>
    <t>10/02/2024</t>
  </si>
  <si>
    <t>ORD-2025-10284</t>
  </si>
  <si>
    <t>CUST-6568</t>
  </si>
  <si>
    <t>03/13/2025</t>
  </si>
  <si>
    <t>20-03-2025</t>
  </si>
  <si>
    <t>ORD-2024-10285</t>
  </si>
  <si>
    <t>CUST-2076</t>
  </si>
  <si>
    <t>12/08/2024</t>
  </si>
  <si>
    <t>12/14/2024</t>
  </si>
  <si>
    <t>ORD-2025-10286</t>
  </si>
  <si>
    <t>CUST-5610</t>
  </si>
  <si>
    <t>2025-08-15</t>
  </si>
  <si>
    <t>2025-08-20</t>
  </si>
  <si>
    <t>ORD-2024-10287</t>
  </si>
  <si>
    <t>CUST-5823</t>
  </si>
  <si>
    <t>28-02-2024</t>
  </si>
  <si>
    <t>03/02/2024</t>
  </si>
  <si>
    <t>ORD-2024-10288</t>
  </si>
  <si>
    <t>CUST-7095</t>
  </si>
  <si>
    <t>09/05/2024</t>
  </si>
  <si>
    <t>07-09-2024</t>
  </si>
  <si>
    <t>ORD-2024-10289</t>
  </si>
  <si>
    <t>CUST-4805</t>
  </si>
  <si>
    <t>2024-06-24</t>
  </si>
  <si>
    <t>ORD-2025-10290</t>
  </si>
  <si>
    <t>CUST-9114</t>
  </si>
  <si>
    <t>ORD-2025-10291</t>
  </si>
  <si>
    <t>CUST-8557</t>
  </si>
  <si>
    <t>22 Aug 2025</t>
  </si>
  <si>
    <t>2025-08-26</t>
  </si>
  <si>
    <t>ORD-2024-10292</t>
  </si>
  <si>
    <t>CUST-2860</t>
  </si>
  <si>
    <t>04/05/2024</t>
  </si>
  <si>
    <t>2024-04-10</t>
  </si>
  <si>
    <t>ORD-2025-10293</t>
  </si>
  <si>
    <t>CUST-7837</t>
  </si>
  <si>
    <t>28 Feb 2025</t>
  </si>
  <si>
    <t>03-03-2025</t>
  </si>
  <si>
    <t>ORD-2024-10294</t>
  </si>
  <si>
    <t>CUST-7010</t>
  </si>
  <si>
    <t>03/07/2024</t>
  </si>
  <si>
    <t>11-03-2024</t>
  </si>
  <si>
    <t>ORD-2025-10295</t>
  </si>
  <si>
    <t>CUST-4755</t>
  </si>
  <si>
    <t>16 Jul 2025</t>
  </si>
  <si>
    <t>07/22/2025</t>
  </si>
  <si>
    <t>ORD-2025-10296</t>
  </si>
  <si>
    <t>CUST-6778</t>
  </si>
  <si>
    <t>25 Jun 2025</t>
  </si>
  <si>
    <t>28 Jun 2025</t>
  </si>
  <si>
    <t>ORD-2025-10297</t>
  </si>
  <si>
    <t>CUST-7629</t>
  </si>
  <si>
    <t>24 May 2025</t>
  </si>
  <si>
    <t>05/26/2025</t>
  </si>
  <si>
    <t>ORD-2024-10298</t>
  </si>
  <si>
    <t>CUST-6724</t>
  </si>
  <si>
    <t>2024-10-29</t>
  </si>
  <si>
    <t>06-11-2024</t>
  </si>
  <si>
    <t>ORD-2025-10299</t>
  </si>
  <si>
    <t>CUST-2141</t>
  </si>
  <si>
    <t>23-01-2025</t>
  </si>
  <si>
    <t>2025-01-26</t>
  </si>
  <si>
    <t>ORD-2024-10300</t>
  </si>
  <si>
    <t>CUST-7264</t>
  </si>
  <si>
    <t>2024-11-12</t>
  </si>
  <si>
    <t>ORD-2024-10301</t>
  </si>
  <si>
    <t>CUST-2668</t>
  </si>
  <si>
    <t>15-04-2024</t>
  </si>
  <si>
    <t>04/23/2024</t>
  </si>
  <si>
    <t>ORD-2025-10302</t>
  </si>
  <si>
    <t>CUST-5599</t>
  </si>
  <si>
    <t>01-06-2025</t>
  </si>
  <si>
    <t>ORD-2025-10303</t>
  </si>
  <si>
    <t>CUST-1623</t>
  </si>
  <si>
    <t>2025-06-12</t>
  </si>
  <si>
    <t>ORD-2024-10304</t>
  </si>
  <si>
    <t>CUST-9035</t>
  </si>
  <si>
    <t>23 Jun 2024</t>
  </si>
  <si>
    <t>ORD-2024-10305</t>
  </si>
  <si>
    <t>CUST-6286</t>
  </si>
  <si>
    <t>03/06/2024</t>
  </si>
  <si>
    <t>2024-03-13</t>
  </si>
  <si>
    <t>ORD-2024-10306</t>
  </si>
  <si>
    <t>CUST-7246</t>
  </si>
  <si>
    <t>01 May 2024</t>
  </si>
  <si>
    <t>ORD-2025-10307</t>
  </si>
  <si>
    <t>CUST-2589</t>
  </si>
  <si>
    <t>20 Feb 2025</t>
  </si>
  <si>
    <t>ORD-2025-10308</t>
  </si>
  <si>
    <t>CUST-4153</t>
  </si>
  <si>
    <t>2025-07-12</t>
  </si>
  <si>
    <t>19 Jul 2025</t>
  </si>
  <si>
    <t>PENDING</t>
  </si>
  <si>
    <t>ORD-2025-10309</t>
  </si>
  <si>
    <t>CUST-6727</t>
  </si>
  <si>
    <t>2025-06-13</t>
  </si>
  <si>
    <t>2025-06-19</t>
  </si>
  <si>
    <t>ORD-2024-10310</t>
  </si>
  <si>
    <t>CUST-8860</t>
  </si>
  <si>
    <t>07/20/2024</t>
  </si>
  <si>
    <t>ORD-2024-10311</t>
  </si>
  <si>
    <t>CUST-3784</t>
  </si>
  <si>
    <t>04-07-2024</t>
  </si>
  <si>
    <t>08-07-2024</t>
  </si>
  <si>
    <t>ORD-2024-10312</t>
  </si>
  <si>
    <t>CUST-3545</t>
  </si>
  <si>
    <t>27-04-2024</t>
  </si>
  <si>
    <t>ORD-2024-10313</t>
  </si>
  <si>
    <t>CUST-4851</t>
  </si>
  <si>
    <t>07/31/2024</t>
  </si>
  <si>
    <t>ORD-2025-10314</t>
  </si>
  <si>
    <t>CUST-4770</t>
  </si>
  <si>
    <t>2025-05-30</t>
  </si>
  <si>
    <t>31-05-2025</t>
  </si>
  <si>
    <t>ORD-2025-10315</t>
  </si>
  <si>
    <t>CUST-1945</t>
  </si>
  <si>
    <t>ORD-2024-10316</t>
  </si>
  <si>
    <t>CUST-7565</t>
  </si>
  <si>
    <t>2024-07-02</t>
  </si>
  <si>
    <t>2024-07-08</t>
  </si>
  <si>
    <t>ORD-2024-10317</t>
  </si>
  <si>
    <t>CUST-9913</t>
  </si>
  <si>
    <t>16-02-2024</t>
  </si>
  <si>
    <t>02/18/2024</t>
  </si>
  <si>
    <t>ORD-2025-10318</t>
  </si>
  <si>
    <t>CUST-7992</t>
  </si>
  <si>
    <t>29-08-2025</t>
  </si>
  <si>
    <t>04 Sep 2025</t>
  </si>
  <si>
    <t>ORD-2024-10319</t>
  </si>
  <si>
    <t>CUST-8877</t>
  </si>
  <si>
    <t>25 Apr 2024</t>
  </si>
  <si>
    <t>30-04-2024</t>
  </si>
  <si>
    <t>ORD-2024-10320</t>
  </si>
  <si>
    <t>CUST-4589</t>
  </si>
  <si>
    <t>21 Aug 2024</t>
  </si>
  <si>
    <t>08/25/2024</t>
  </si>
  <si>
    <t>ORD-2024-10321</t>
  </si>
  <si>
    <t>CUST-4667</t>
  </si>
  <si>
    <t>12/04/2024</t>
  </si>
  <si>
    <t>12/06/2024</t>
  </si>
  <si>
    <t>ORD-2024-10322</t>
  </si>
  <si>
    <t>CUST-7821</t>
  </si>
  <si>
    <t>06/23/2024</t>
  </si>
  <si>
    <t>30 Jun 2024</t>
  </si>
  <si>
    <t>ORD-2024-10323</t>
  </si>
  <si>
    <t>CUST-8579</t>
  </si>
  <si>
    <t>12-11-2024</t>
  </si>
  <si>
    <t>ORD-2024-10324</t>
  </si>
  <si>
    <t>CUST-6909</t>
  </si>
  <si>
    <t>25-02-2024</t>
  </si>
  <si>
    <t>29 Feb 2024</t>
  </si>
  <si>
    <t>ORD-2025-10325</t>
  </si>
  <si>
    <t>CUST-7212</t>
  </si>
  <si>
    <t>31 Jul 2025</t>
  </si>
  <si>
    <t>ORD-2025-10326</t>
  </si>
  <si>
    <t>CUST-7980</t>
  </si>
  <si>
    <t>09/16/2025</t>
  </si>
  <si>
    <t>2025-09-22</t>
  </si>
  <si>
    <t>ORD-2025-10327</t>
  </si>
  <si>
    <t>CUST-1966</t>
  </si>
  <si>
    <t>2025-07-22</t>
  </si>
  <si>
    <t>ORD-2024-10328</t>
  </si>
  <si>
    <t>CUST-6163</t>
  </si>
  <si>
    <t>2024-07-24</t>
  </si>
  <si>
    <t>ORD-2025-10329</t>
  </si>
  <si>
    <t>CUST-7239</t>
  </si>
  <si>
    <t>2025-05-29</t>
  </si>
  <si>
    <t>ORD-2025-10330</t>
  </si>
  <si>
    <t>CUST-9718</t>
  </si>
  <si>
    <t>12 May 2025</t>
  </si>
  <si>
    <t>2025-05-18</t>
  </si>
  <si>
    <t>ORD-2024-10331</t>
  </si>
  <si>
    <t>CUST-1116</t>
  </si>
  <si>
    <t>ORD-2024-10332</t>
  </si>
  <si>
    <t>CUST-9346</t>
  </si>
  <si>
    <t>2024-12-06</t>
  </si>
  <si>
    <t>ORD-2025-10333</t>
  </si>
  <si>
    <t>CUST-5332</t>
  </si>
  <si>
    <t>27 May 2025</t>
  </si>
  <si>
    <t>2025-05-28</t>
  </si>
  <si>
    <t>machines</t>
  </si>
  <si>
    <t>ORD-2025-10334</t>
  </si>
  <si>
    <t>CUST-8081</t>
  </si>
  <si>
    <t>22 Jun 2025</t>
  </si>
  <si>
    <t>2025-06-27</t>
  </si>
  <si>
    <t>ORD-2024-10335</t>
  </si>
  <si>
    <t>CUST-3062</t>
  </si>
  <si>
    <t>12 Sep 2024</t>
  </si>
  <si>
    <t>17-09-2024</t>
  </si>
  <si>
    <t>ORD-2025-10336</t>
  </si>
  <si>
    <t>CUST-3621</t>
  </si>
  <si>
    <t>06/16/2025</t>
  </si>
  <si>
    <t>18 Jun 2025</t>
  </si>
  <si>
    <t>ORD-2024-10337</t>
  </si>
  <si>
    <t>03/21/2024</t>
  </si>
  <si>
    <t>ORD-2024-10338</t>
  </si>
  <si>
    <t>CUST-4599</t>
  </si>
  <si>
    <t>12 Aug 2024</t>
  </si>
  <si>
    <t>18 Aug 2024</t>
  </si>
  <si>
    <t>ORD-2024-10339</t>
  </si>
  <si>
    <t>CUST-3066</t>
  </si>
  <si>
    <t>08-12-2024</t>
  </si>
  <si>
    <t>ORD-2025-10340</t>
  </si>
  <si>
    <t>CUST-2752</t>
  </si>
  <si>
    <t>22-02-2025</t>
  </si>
  <si>
    <t>ORD-2024-10341</t>
  </si>
  <si>
    <t>CUST-6291</t>
  </si>
  <si>
    <t>21 Jan 2024</t>
  </si>
  <si>
    <t>01/29/2024</t>
  </si>
  <si>
    <t>ORD-2025-10342</t>
  </si>
  <si>
    <t>CUST-9969</t>
  </si>
  <si>
    <t>08 Sep 2025</t>
  </si>
  <si>
    <t>2025-09-09</t>
  </si>
  <si>
    <t>ORD-2025-10343</t>
  </si>
  <si>
    <t>CUST-3335</t>
  </si>
  <si>
    <t>24-07-2025</t>
  </si>
  <si>
    <t>01-08-2025</t>
  </si>
  <si>
    <t>ORD-2025-10344</t>
  </si>
  <si>
    <t>CUST-7358</t>
  </si>
  <si>
    <t>10/03/2025</t>
  </si>
  <si>
    <t>ORD-2024-10345</t>
  </si>
  <si>
    <t>CUST-8025</t>
  </si>
  <si>
    <t>ORD-2024-10346</t>
  </si>
  <si>
    <t>CUST-4634</t>
  </si>
  <si>
    <t>2024-09-14</t>
  </si>
  <si>
    <t>2024-09-22</t>
  </si>
  <si>
    <t>ORD-2025-10347</t>
  </si>
  <si>
    <t>CUST-3400</t>
  </si>
  <si>
    <t>28-07-2025</t>
  </si>
  <si>
    <t>ORD-2024-10348</t>
  </si>
  <si>
    <t>CUST-1172</t>
  </si>
  <si>
    <t>01-12-2024</t>
  </si>
  <si>
    <t>ORD-2024-10349</t>
  </si>
  <si>
    <t>CUST-9517</t>
  </si>
  <si>
    <t>06/07/2024</t>
  </si>
  <si>
    <t>ORD-2025-10350</t>
  </si>
  <si>
    <t>CUST-6697</t>
  </si>
  <si>
    <t>27-09-2025</t>
  </si>
  <si>
    <t>ORD-2024-10351</t>
  </si>
  <si>
    <t>CUST-7644</t>
  </si>
  <si>
    <t>07-01-2024</t>
  </si>
  <si>
    <t>14 Jan 2024</t>
  </si>
  <si>
    <t>ORD-2025-10352</t>
  </si>
  <si>
    <t>CUST-9963</t>
  </si>
  <si>
    <t>23-05-2025</t>
  </si>
  <si>
    <t>ORD-2025-10353</t>
  </si>
  <si>
    <t>CUST-6382</t>
  </si>
  <si>
    <t>15 Aug 2025</t>
  </si>
  <si>
    <t>ORD-2025-10354</t>
  </si>
  <si>
    <t>CUST-3253</t>
  </si>
  <si>
    <t>21-02-2025</t>
  </si>
  <si>
    <t>ORD-2024-10355</t>
  </si>
  <si>
    <t>CUST-1058</t>
  </si>
  <si>
    <t>2024-12-31</t>
  </si>
  <si>
    <t>corporate</t>
  </si>
  <si>
    <t>ORD-2024-10356</t>
  </si>
  <si>
    <t>CUST-6414</t>
  </si>
  <si>
    <t>12-05-2024</t>
  </si>
  <si>
    <t>2024-05-09</t>
  </si>
  <si>
    <t>ORD-2025-10357</t>
  </si>
  <si>
    <t>CUST-9268</t>
  </si>
  <si>
    <t>27 Jun 2025</t>
  </si>
  <si>
    <t>29 Jun 2025</t>
  </si>
  <si>
    <t>ORD-2025-10358</t>
  </si>
  <si>
    <t>CUST-1363</t>
  </si>
  <si>
    <t>01/29/2025</t>
  </si>
  <si>
    <t>ORD-2025-10359</t>
  </si>
  <si>
    <t>CUST-2477</t>
  </si>
  <si>
    <t>08/09/2025</t>
  </si>
  <si>
    <t>2025-08-07</t>
  </si>
  <si>
    <t>ORD-2024-10360</t>
  </si>
  <si>
    <t>CUST-9571</t>
  </si>
  <si>
    <t>22-08-2024</t>
  </si>
  <si>
    <t>ORD-2024-10361</t>
  </si>
  <si>
    <t>CUST-3690</t>
  </si>
  <si>
    <t>17 Jun 2024</t>
  </si>
  <si>
    <t>2024-06-20</t>
  </si>
  <si>
    <t>ORD-2025-10362</t>
  </si>
  <si>
    <t>CUST-2909</t>
  </si>
  <si>
    <t>2025-04-02</t>
  </si>
  <si>
    <t>ORD-2024-10363</t>
  </si>
  <si>
    <t>CUST-6755</t>
  </si>
  <si>
    <t>23 Aug 2024</t>
  </si>
  <si>
    <t>25-08-2024</t>
  </si>
  <si>
    <t>ORD-2025-10364</t>
  </si>
  <si>
    <t>CUST-1832</t>
  </si>
  <si>
    <t>07/07/2025</t>
  </si>
  <si>
    <t>07/12/2025</t>
  </si>
  <si>
    <t>ORD-2025-10365</t>
  </si>
  <si>
    <t>CUST-4452</t>
  </si>
  <si>
    <t>03/21/2025</t>
  </si>
  <si>
    <t>2025-03-24</t>
  </si>
  <si>
    <t>ORD-2024-10366</t>
  </si>
  <si>
    <t>CUST-2203</t>
  </si>
  <si>
    <t>15-06-2024</t>
  </si>
  <si>
    <t>21-06-2024</t>
  </si>
  <si>
    <t>ORD-2025-10367</t>
  </si>
  <si>
    <t>CUST-5397</t>
  </si>
  <si>
    <t>2025-01-16</t>
  </si>
  <si>
    <t>2025-01-22</t>
  </si>
  <si>
    <t>ORD-2024-10368</t>
  </si>
  <si>
    <t>CUST-4696</t>
  </si>
  <si>
    <t>03/16/2024</t>
  </si>
  <si>
    <t>ORD-2025-10369</t>
  </si>
  <si>
    <t>CUST-8246</t>
  </si>
  <si>
    <t>ORD-2025-10370</t>
  </si>
  <si>
    <t>CUST-5672</t>
  </si>
  <si>
    <t>ORD-2024-10371</t>
  </si>
  <si>
    <t>CUST-8521</t>
  </si>
  <si>
    <t>08/15/2024</t>
  </si>
  <si>
    <t>ORD-2024-10372</t>
  </si>
  <si>
    <t>CUST-2204</t>
  </si>
  <si>
    <t>2024-01-24</t>
  </si>
  <si>
    <t>ORD-2025-10373</t>
  </si>
  <si>
    <t>2025-08-16</t>
  </si>
  <si>
    <t>ORD-2025-10374</t>
  </si>
  <si>
    <t>CUST-8566</t>
  </si>
  <si>
    <t>2025-04-13</t>
  </si>
  <si>
    <t>ORD-2025-10375</t>
  </si>
  <si>
    <t>CUST-2358</t>
  </si>
  <si>
    <t>2025-02-27</t>
  </si>
  <si>
    <t>28-02-2025</t>
  </si>
  <si>
    <t>ORD-2024-10376</t>
  </si>
  <si>
    <t>CUST-2810</t>
  </si>
  <si>
    <t>31-12-2024</t>
  </si>
  <si>
    <t>04 Jan 2025</t>
  </si>
  <si>
    <t>ORD-2024-10377</t>
  </si>
  <si>
    <t>CUST-5166</t>
  </si>
  <si>
    <t>29-12-2024</t>
  </si>
  <si>
    <t>ORD-2025-10378</t>
  </si>
  <si>
    <t>CUST-4875</t>
  </si>
  <si>
    <t>30-05-2025</t>
  </si>
  <si>
    <t>storage</t>
  </si>
  <si>
    <t>ORD-2025-10379</t>
  </si>
  <si>
    <t>CUST-3154</t>
  </si>
  <si>
    <t>22-05-2025</t>
  </si>
  <si>
    <t>ORD-2024-10380</t>
  </si>
  <si>
    <t>CUST-6405</t>
  </si>
  <si>
    <t>09/19/2024</t>
  </si>
  <si>
    <t>23 Sep 2024</t>
  </si>
  <si>
    <t>ORD-2024-10381</t>
  </si>
  <si>
    <t>CUST-5779</t>
  </si>
  <si>
    <t>07 Apr 2024</t>
  </si>
  <si>
    <t>ORD-2025-10382</t>
  </si>
  <si>
    <t>CUST-9943</t>
  </si>
  <si>
    <t>2025-09-19</t>
  </si>
  <si>
    <t>23-09-2025</t>
  </si>
  <si>
    <t>HOME OFFICE</t>
  </si>
  <si>
    <t>ORD-2025-10383</t>
  </si>
  <si>
    <t>04 Mar 2025</t>
  </si>
  <si>
    <t>TECHNOLOGY</t>
  </si>
  <si>
    <t>ORD-2025-10384</t>
  </si>
  <si>
    <t>CUST-7438</t>
  </si>
  <si>
    <t>ORD-2024-10385</t>
  </si>
  <si>
    <t>CUST-8432</t>
  </si>
  <si>
    <t>15-03-2024</t>
  </si>
  <si>
    <t>2024-03-20</t>
  </si>
  <si>
    <t>ORD-2025-10386</t>
  </si>
  <si>
    <t>CUST-2834</t>
  </si>
  <si>
    <t>30 Jun 2025</t>
  </si>
  <si>
    <t>ORD-2025-10387</t>
  </si>
  <si>
    <t>CUST-4222</t>
  </si>
  <si>
    <t>14-02-2025</t>
  </si>
  <si>
    <t>ORD-2025-10388</t>
  </si>
  <si>
    <t>CUST-1053</t>
  </si>
  <si>
    <t>ORD-2024-10389</t>
  </si>
  <si>
    <t>CUST-1457</t>
  </si>
  <si>
    <t>2024-05-13</t>
  </si>
  <si>
    <t>18 May 2024</t>
  </si>
  <si>
    <t>ORD-2024-10390</t>
  </si>
  <si>
    <t>CUST-3930</t>
  </si>
  <si>
    <t>05 Apr 2024</t>
  </si>
  <si>
    <t>ORD-2024-10391</t>
  </si>
  <si>
    <t>CUST-7853</t>
  </si>
  <si>
    <t>06 Nov 2024</t>
  </si>
  <si>
    <t>ORD-2025-10392</t>
  </si>
  <si>
    <t>CUST-2267</t>
  </si>
  <si>
    <t>14 Feb 2025</t>
  </si>
  <si>
    <t>ORD-2024-10393</t>
  </si>
  <si>
    <t>CUST-6866</t>
  </si>
  <si>
    <t>02/19/2024</t>
  </si>
  <si>
    <t>22 Feb 2024</t>
  </si>
  <si>
    <t>ORD-2024-10394</t>
  </si>
  <si>
    <t>CUST-3160</t>
  </si>
  <si>
    <t>2024-08-23</t>
  </si>
  <si>
    <t>08/29/2024</t>
  </si>
  <si>
    <t>ORD-2024-10395</t>
  </si>
  <si>
    <t>CUST-8444</t>
  </si>
  <si>
    <t>03-04-2024</t>
  </si>
  <si>
    <t>04 Apr 2024</t>
  </si>
  <si>
    <t>ORD-2024-10396</t>
  </si>
  <si>
    <t>CUST-4765</t>
  </si>
  <si>
    <t>ORD-2025-10397</t>
  </si>
  <si>
    <t>CUST-2280</t>
  </si>
  <si>
    <t>2025-04-14</t>
  </si>
  <si>
    <t>22 Apr 2025</t>
  </si>
  <si>
    <t>ORD-2025-10398</t>
  </si>
  <si>
    <t>CUST-3177</t>
  </si>
  <si>
    <t>09 Jun 2025</t>
  </si>
  <si>
    <t>10 Jun 2025</t>
  </si>
  <si>
    <t>ORD-2024-10399</t>
  </si>
  <si>
    <t>CUST-4718</t>
  </si>
  <si>
    <t>19 Jul 2024</t>
  </si>
  <si>
    <t>2024-07-26</t>
  </si>
  <si>
    <t xml:space="preserve">  Corporate </t>
  </si>
  <si>
    <t>ORD-2025-10400</t>
  </si>
  <si>
    <t>CUST-5647</t>
  </si>
  <si>
    <t>04/24/2025</t>
  </si>
  <si>
    <t>2025-04-29</t>
  </si>
  <si>
    <t>ORD-2025-10401</t>
  </si>
  <si>
    <t>CUST-7150</t>
  </si>
  <si>
    <t>06-06-2025</t>
  </si>
  <si>
    <t>2025-06-11</t>
  </si>
  <si>
    <t>ORD-2025-10402</t>
  </si>
  <si>
    <t>CUST-6694</t>
  </si>
  <si>
    <t>09 Mar 2025</t>
  </si>
  <si>
    <t>16-03-2025</t>
  </si>
  <si>
    <t>ORD-2024-10403</t>
  </si>
  <si>
    <t>CUST-7680</t>
  </si>
  <si>
    <t>22 Mar 2024</t>
  </si>
  <si>
    <t>03/22/2024</t>
  </si>
  <si>
    <t>ORD-2024-10404</t>
  </si>
  <si>
    <t>CUST-2700</t>
  </si>
  <si>
    <t>09/30/2024</t>
  </si>
  <si>
    <t>04-10-2024</t>
  </si>
  <si>
    <t>PAPER</t>
  </si>
  <si>
    <t>ORD-2024-10405</t>
  </si>
  <si>
    <t>CUST-2904</t>
  </si>
  <si>
    <t>27 Jan 2024</t>
  </si>
  <si>
    <t>02/03/2024</t>
  </si>
  <si>
    <t>ORD-2024-10406</t>
  </si>
  <si>
    <t>CUST-9961</t>
  </si>
  <si>
    <t>09/23/2024</t>
  </si>
  <si>
    <t>24 Sep 2024</t>
  </si>
  <si>
    <t>ORD-2025-10407</t>
  </si>
  <si>
    <t>CUST-9909</t>
  </si>
  <si>
    <t>25 Feb 2025</t>
  </si>
  <si>
    <t>ORD-2024-10408</t>
  </si>
  <si>
    <t>CUST-8520</t>
  </si>
  <si>
    <t>12 May 2024</t>
  </si>
  <si>
    <t>13 May 2024</t>
  </si>
  <si>
    <t>ORD-2025-10409</t>
  </si>
  <si>
    <t>CUST-5036</t>
  </si>
  <si>
    <t>ORD-2025-10410</t>
  </si>
  <si>
    <t>CUST-7721</t>
  </si>
  <si>
    <t>ORD-2024-10411</t>
  </si>
  <si>
    <t>CUST-9495</t>
  </si>
  <si>
    <t>2024-04-12</t>
  </si>
  <si>
    <t>20 Apr 2024</t>
  </si>
  <si>
    <t>ORD-2025-10412</t>
  </si>
  <si>
    <t>CUST-2855</t>
  </si>
  <si>
    <t>2025-08-23</t>
  </si>
  <si>
    <t>2025-08-28</t>
  </si>
  <si>
    <t>ORD-2024-10413</t>
  </si>
  <si>
    <t>CUST-4329</t>
  </si>
  <si>
    <t>2024-01-22</t>
  </si>
  <si>
    <t>ORD-2025-10414</t>
  </si>
  <si>
    <t>CUST-5094</t>
  </si>
  <si>
    <t>17-08-2025</t>
  </si>
  <si>
    <t>ORD-2024-10415</t>
  </si>
  <si>
    <t>CUST-4194</t>
  </si>
  <si>
    <t>2024-08-29</t>
  </si>
  <si>
    <t>08/30/2024</t>
  </si>
  <si>
    <t>ORD-2024-10416</t>
  </si>
  <si>
    <t>CUST-7087</t>
  </si>
  <si>
    <t>01/25/2024</t>
  </si>
  <si>
    <t>ORD-2025-10417</t>
  </si>
  <si>
    <t>CUST-7608</t>
  </si>
  <si>
    <t>2025-01-08</t>
  </si>
  <si>
    <t>16-01-2025</t>
  </si>
  <si>
    <t>ORD-2025-10418</t>
  </si>
  <si>
    <t>CUST-5269</t>
  </si>
  <si>
    <t>02/05/2025</t>
  </si>
  <si>
    <t>ORD-2024-10419</t>
  </si>
  <si>
    <t>CUST-7925</t>
  </si>
  <si>
    <t>11/09/2024</t>
  </si>
  <si>
    <t>11/17/2024</t>
  </si>
  <si>
    <t>ORD-2025-10420</t>
  </si>
  <si>
    <t>CUST-6552</t>
  </si>
  <si>
    <t>26-09-2025</t>
  </si>
  <si>
    <t>09/30/2025</t>
  </si>
  <si>
    <t>ORD-2025-10421</t>
  </si>
  <si>
    <t>CUST-7131</t>
  </si>
  <si>
    <t>2025-03-19</t>
  </si>
  <si>
    <t>ORD-2025-10422</t>
  </si>
  <si>
    <t>CUST-2779</t>
  </si>
  <si>
    <t>06/14/2025</t>
  </si>
  <si>
    <t>19 Jun 2025</t>
  </si>
  <si>
    <t>ORD-2025-10423</t>
  </si>
  <si>
    <t>CUST-6077</t>
  </si>
  <si>
    <t>09/03/2025</t>
  </si>
  <si>
    <t>06 Sep 2025</t>
  </si>
  <si>
    <t>ORD-2024-10424</t>
  </si>
  <si>
    <t>CUST-6169</t>
  </si>
  <si>
    <t>2024-02-20</t>
  </si>
  <si>
    <t>27-02-2024</t>
  </si>
  <si>
    <t>FIRST CLASS</t>
  </si>
  <si>
    <t>ORD-2024-10425</t>
  </si>
  <si>
    <t>CUST-8904</t>
  </si>
  <si>
    <t>06/26/2024</t>
  </si>
  <si>
    <t>2024-06-29</t>
  </si>
  <si>
    <t>ORD-2024-10426</t>
  </si>
  <si>
    <t>CUST-9586</t>
  </si>
  <si>
    <t>26-09-2024</t>
  </si>
  <si>
    <t>09/27/2024</t>
  </si>
  <si>
    <t>ORD-2024-10427</t>
  </si>
  <si>
    <t>CUST-5431</t>
  </si>
  <si>
    <t>30-06-2024</t>
  </si>
  <si>
    <t>01-07-2024</t>
  </si>
  <si>
    <t>ORD-2025-10428</t>
  </si>
  <si>
    <t>CUST-8843</t>
  </si>
  <si>
    <t>2025-04-22</t>
  </si>
  <si>
    <t>24-04-2025</t>
  </si>
  <si>
    <t>ORD-2025-10429</t>
  </si>
  <si>
    <t>CUST-7626</t>
  </si>
  <si>
    <t>2025-03-15</t>
  </si>
  <si>
    <t>22 Mar 2025</t>
  </si>
  <si>
    <t>ORD-2025-10430</t>
  </si>
  <si>
    <t>CUST-8562</t>
  </si>
  <si>
    <t>01 Mar 2025</t>
  </si>
  <si>
    <t>08-03-2025</t>
  </si>
  <si>
    <t>ORD-2024-10431</t>
  </si>
  <si>
    <t>CUST-2732</t>
  </si>
  <si>
    <t>30 Aug 2024</t>
  </si>
  <si>
    <t>02-09-2024</t>
  </si>
  <si>
    <t xml:space="preserve">Office Supplies </t>
  </si>
  <si>
    <t>ORD-2024-10432</t>
  </si>
  <si>
    <t>CUST-3989</t>
  </si>
  <si>
    <t>10 Feb 2024</t>
  </si>
  <si>
    <t>02/13/2024</t>
  </si>
  <si>
    <t>ORD-2024-10433</t>
  </si>
  <si>
    <t>CUST-3522</t>
  </si>
  <si>
    <t>ORD-2024-10434</t>
  </si>
  <si>
    <t>CUST-7066</t>
  </si>
  <si>
    <t>04/19/2024</t>
  </si>
  <si>
    <t>20-04-2024</t>
  </si>
  <si>
    <t>ORD-2025-10435</t>
  </si>
  <si>
    <t>CUST-2351</t>
  </si>
  <si>
    <t>04/11/2025</t>
  </si>
  <si>
    <t>2025-04-15</t>
  </si>
  <si>
    <t>ORD-2025-10436</t>
  </si>
  <si>
    <t>CUST-7291</t>
  </si>
  <si>
    <t>2025-04-12</t>
  </si>
  <si>
    <t>ORD-2024-10437</t>
  </si>
  <si>
    <t>CUST-4492</t>
  </si>
  <si>
    <t>16 Jun 2024</t>
  </si>
  <si>
    <t>21 Jun 2024</t>
  </si>
  <si>
    <t>ORD-2024-10438</t>
  </si>
  <si>
    <t>CUST-5029</t>
  </si>
  <si>
    <t>15-02-2024</t>
  </si>
  <si>
    <t>2024-02-18</t>
  </si>
  <si>
    <t xml:space="preserve">  Accessories </t>
  </si>
  <si>
    <t>ORD-2025-10439</t>
  </si>
  <si>
    <t>CUST-7252</t>
  </si>
  <si>
    <t>05/05/2025</t>
  </si>
  <si>
    <t>ORD-2025-10440</t>
  </si>
  <si>
    <t>CUST-7346</t>
  </si>
  <si>
    <t>30-06-2025</t>
  </si>
  <si>
    <t>03 Jul 2025</t>
  </si>
  <si>
    <t>ORD-2024-10441</t>
  </si>
  <si>
    <t>04/02/2024</t>
  </si>
  <si>
    <t>04/08/2024</t>
  </si>
  <si>
    <t>ORD-2024-10442</t>
  </si>
  <si>
    <t>CUST-3975</t>
  </si>
  <si>
    <t>03-10-2024</t>
  </si>
  <si>
    <t>ORD-2025-10443</t>
  </si>
  <si>
    <t>CUST-6588</t>
  </si>
  <si>
    <t>12 Jan 2025</t>
  </si>
  <si>
    <t>2025-01-19</t>
  </si>
  <si>
    <t>ORD-2024-10444</t>
  </si>
  <si>
    <t>CUST-2207</t>
  </si>
  <si>
    <t>04-04-2024</t>
  </si>
  <si>
    <t>ORD-2025-10445</t>
  </si>
  <si>
    <t>CUST-4475</t>
  </si>
  <si>
    <t>12 Aug 2025</t>
  </si>
  <si>
    <t>ORD-2024-10446</t>
  </si>
  <si>
    <t>CUST-1351</t>
  </si>
  <si>
    <t>05/09/2024</t>
  </si>
  <si>
    <t>05-05-2024</t>
  </si>
  <si>
    <t>ORD-2025-10447</t>
  </si>
  <si>
    <t>CUST-9295</t>
  </si>
  <si>
    <t>18-09-2025</t>
  </si>
  <si>
    <t>19-09-2025</t>
  </si>
  <si>
    <t>ORD-2025-10448</t>
  </si>
  <si>
    <t>CUST-3614</t>
  </si>
  <si>
    <t>10 Aug 2025</t>
  </si>
  <si>
    <t>ORD-2024-10449</t>
  </si>
  <si>
    <t>CUST-1932</t>
  </si>
  <si>
    <t>01/15/2024</t>
  </si>
  <si>
    <t>ORD-2024-10450</t>
  </si>
  <si>
    <t>06-06-2024</t>
  </si>
  <si>
    <t>13 Jun 2024</t>
  </si>
  <si>
    <t>ORD-2025-10451</t>
  </si>
  <si>
    <t>CUST-8672</t>
  </si>
  <si>
    <t>06/12/2025</t>
  </si>
  <si>
    <t>ORD-2024-10452</t>
  </si>
  <si>
    <t>CUST-3907</t>
  </si>
  <si>
    <t>24-03-2024</t>
  </si>
  <si>
    <t>26-03-2024</t>
  </si>
  <si>
    <t>ORD-2024-10453</t>
  </si>
  <si>
    <t>CUST-8796</t>
  </si>
  <si>
    <t>10-05-2024</t>
  </si>
  <si>
    <t>ORD-2025-10454</t>
  </si>
  <si>
    <t>CUST-2317</t>
  </si>
  <si>
    <t>05/03/2025</t>
  </si>
  <si>
    <t>2025-05-11</t>
  </si>
  <si>
    <t>ORD-2025-10455</t>
  </si>
  <si>
    <t>CUST-8643</t>
  </si>
  <si>
    <t>2025-03-23</t>
  </si>
  <si>
    <t>28-03-2025</t>
  </si>
  <si>
    <t>ORD-2024-10456</t>
  </si>
  <si>
    <t>CUST-1800</t>
  </si>
  <si>
    <t>18 Jul 2024</t>
  </si>
  <si>
    <t>22-07-2024</t>
  </si>
  <si>
    <t>ORD-2024-10457</t>
  </si>
  <si>
    <t>CUST-7688</t>
  </si>
  <si>
    <t>ORD-2024-10458</t>
  </si>
  <si>
    <t>CUST-4957</t>
  </si>
  <si>
    <t>05/04/2024</t>
  </si>
  <si>
    <t>2024-05-04</t>
  </si>
  <si>
    <t>ORD-2024-10459</t>
  </si>
  <si>
    <t>CUST-1263</t>
  </si>
  <si>
    <t>2024-02-10</t>
  </si>
  <si>
    <t>ORD-2024-10460</t>
  </si>
  <si>
    <t>CUST-4745</t>
  </si>
  <si>
    <t>03/28/2024</t>
  </si>
  <si>
    <t>ORD-2025-10461</t>
  </si>
  <si>
    <t>CUST-5551</t>
  </si>
  <si>
    <t>30 Sep 2025</t>
  </si>
  <si>
    <t>06 Oct 2025</t>
  </si>
  <si>
    <t>ORD-2025-10462</t>
  </si>
  <si>
    <t>CUST-3659</t>
  </si>
  <si>
    <t>05/25/2025</t>
  </si>
  <si>
    <t>ORD-2024-10463</t>
  </si>
  <si>
    <t>CUST-6594</t>
  </si>
  <si>
    <t>25-09-2024</t>
  </si>
  <si>
    <t>ORD-2025-10464</t>
  </si>
  <si>
    <t>CUST-2626</t>
  </si>
  <si>
    <t>2025-02-08</t>
  </si>
  <si>
    <t>ORD-2025-10465</t>
  </si>
  <si>
    <t>CUST-7362</t>
  </si>
  <si>
    <t>11-03-2025</t>
  </si>
  <si>
    <t>03/15/2025</t>
  </si>
  <si>
    <t>ORD-2024-10466</t>
  </si>
  <si>
    <t>CUST-1748</t>
  </si>
  <si>
    <t>29-01-2024</t>
  </si>
  <si>
    <t>2024-02-06</t>
  </si>
  <si>
    <t>ORD-2024-10467</t>
  </si>
  <si>
    <t>CUST-2725</t>
  </si>
  <si>
    <t>04-01-2024</t>
  </si>
  <si>
    <t>01/08/2024</t>
  </si>
  <si>
    <t>ORD-2024-10468</t>
  </si>
  <si>
    <t>CUST-9470</t>
  </si>
  <si>
    <t>20-08-2024</t>
  </si>
  <si>
    <t>ORD-2025-10469</t>
  </si>
  <si>
    <t>CUST-4176</t>
  </si>
  <si>
    <t>09 Jan 2025</t>
  </si>
  <si>
    <t>07 Jan 2025</t>
  </si>
  <si>
    <t>ORD-2024-10470</t>
  </si>
  <si>
    <t>CUST-3448</t>
  </si>
  <si>
    <t>2024-01-19</t>
  </si>
  <si>
    <t>ORD-2024-10471</t>
  </si>
  <si>
    <t>CUST-4970</t>
  </si>
  <si>
    <t>28-07-2024</t>
  </si>
  <si>
    <t>ORD-2024-10472</t>
  </si>
  <si>
    <t>CUST-6147</t>
  </si>
  <si>
    <t>11-02-2024</t>
  </si>
  <si>
    <t>02/15/2024</t>
  </si>
  <si>
    <t>ORD-2024-10473</t>
  </si>
  <si>
    <t>CUST-7208</t>
  </si>
  <si>
    <t>02-03-2024</t>
  </si>
  <si>
    <t>ORD-2024-10474</t>
  </si>
  <si>
    <t>CUST-2794</t>
  </si>
  <si>
    <t>13-11-2024</t>
  </si>
  <si>
    <t>ORD-2024-10475</t>
  </si>
  <si>
    <t>CUST-6249</t>
  </si>
  <si>
    <t>2024-06-10</t>
  </si>
  <si>
    <t>ORD-2025-10476</t>
  </si>
  <si>
    <t>CUST-5712</t>
  </si>
  <si>
    <t>03/01/2025</t>
  </si>
  <si>
    <t>08 Mar 2025</t>
  </si>
  <si>
    <t>ORD-2024-10477</t>
  </si>
  <si>
    <t>CUST-3004</t>
  </si>
  <si>
    <t>05/07/2024</t>
  </si>
  <si>
    <t>05/14/2024</t>
  </si>
  <si>
    <t>ORD-2025-10478</t>
  </si>
  <si>
    <t>CUST-6920</t>
  </si>
  <si>
    <t>08/23/2025</t>
  </si>
  <si>
    <t>28-08-2025</t>
  </si>
  <si>
    <t>ORD-2024-10479</t>
  </si>
  <si>
    <t>CUST-4838</t>
  </si>
  <si>
    <t>06/09/2024</t>
  </si>
  <si>
    <t>2024-06-13</t>
  </si>
  <si>
    <t>ORD-2024-10480</t>
  </si>
  <si>
    <t>CUST-7520</t>
  </si>
  <si>
    <t>23 Feb 2024</t>
  </si>
  <si>
    <t>ORD-2025-10481</t>
  </si>
  <si>
    <t>CUST-9947</t>
  </si>
  <si>
    <t>ORD-2025-10482</t>
  </si>
  <si>
    <t>CUST-4403</t>
  </si>
  <si>
    <t>2025-06-05</t>
  </si>
  <si>
    <t>06/13/2025</t>
  </si>
  <si>
    <t>ORD-2024-10483</t>
  </si>
  <si>
    <t>CUST-3583</t>
  </si>
  <si>
    <t>ORD-2024-10484</t>
  </si>
  <si>
    <t>CUST-9432</t>
  </si>
  <si>
    <t>25-12-2024</t>
  </si>
  <si>
    <t>ORD-2024-10485</t>
  </si>
  <si>
    <t>CUST-1801</t>
  </si>
  <si>
    <t>2024-12-28</t>
  </si>
  <si>
    <t>12/31/2024</t>
  </si>
  <si>
    <t>ORD-2025-10486</t>
  </si>
  <si>
    <t>CUST-1594</t>
  </si>
  <si>
    <t>ORD-2025-10487</t>
  </si>
  <si>
    <t>CUST-8132</t>
  </si>
  <si>
    <t>22-06-2025</t>
  </si>
  <si>
    <t>06/26/2025</t>
  </si>
  <si>
    <t>ORD-2025-10488</t>
  </si>
  <si>
    <t>CUST-7685</t>
  </si>
  <si>
    <t>06/17/2025</t>
  </si>
  <si>
    <t>ORD-2024-10489</t>
  </si>
  <si>
    <t>CUST-2183</t>
  </si>
  <si>
    <t>14 Oct 2024</t>
  </si>
  <si>
    <t>2024-10-20</t>
  </si>
  <si>
    <t xml:space="preserve">North </t>
  </si>
  <si>
    <t>ORD-2024-10490</t>
  </si>
  <si>
    <t>CUST-1636</t>
  </si>
  <si>
    <t>2024-02-12</t>
  </si>
  <si>
    <t>ORD-2024-10491</t>
  </si>
  <si>
    <t>CUST-1350</t>
  </si>
  <si>
    <t>2024-09-16</t>
  </si>
  <si>
    <t>ORD-2025-10492</t>
  </si>
  <si>
    <t>CUST-4101</t>
  </si>
  <si>
    <t>30-04-2025</t>
  </si>
  <si>
    <t>ORD-2025-10493</t>
  </si>
  <si>
    <t>CUST-4679</t>
  </si>
  <si>
    <t>28-06-2025</t>
  </si>
  <si>
    <t>07/02/2025</t>
  </si>
  <si>
    <t>ORD-2025-10494</t>
  </si>
  <si>
    <t>CUST-3765</t>
  </si>
  <si>
    <t>2025-02-13</t>
  </si>
  <si>
    <t>COMPLETED</t>
  </si>
  <si>
    <t>ORD-2024-10495</t>
  </si>
  <si>
    <t>CUST-9056</t>
  </si>
  <si>
    <t>2024-11-14</t>
  </si>
  <si>
    <t>2024-11-22</t>
  </si>
  <si>
    <t>ORD-2024-10496</t>
  </si>
  <si>
    <t>CUST-9801</t>
  </si>
  <si>
    <t>05/15/2024</t>
  </si>
  <si>
    <t>ORD-2025-10497</t>
  </si>
  <si>
    <t>CUST-2038</t>
  </si>
  <si>
    <t>2025-07-04</t>
  </si>
  <si>
    <t>2025-07-06</t>
  </si>
  <si>
    <t>ORD-2024-10498</t>
  </si>
  <si>
    <t>CUST-1567</t>
  </si>
  <si>
    <t>29 Aug 2024</t>
  </si>
  <si>
    <t>ORD-2025-10499</t>
  </si>
  <si>
    <t>CUST-1190</t>
  </si>
  <si>
    <t>2025-09-07</t>
  </si>
  <si>
    <t>10 Sep 2025</t>
  </si>
  <si>
    <t>cancelled</t>
  </si>
  <si>
    <t>ORD-2024-10500</t>
  </si>
  <si>
    <t>CUST-5604</t>
  </si>
  <si>
    <t>2024-12-22</t>
  </si>
  <si>
    <t>ORD-2024-10501</t>
  </si>
  <si>
    <t>CUST-7661</t>
  </si>
  <si>
    <t>05/22/2024</t>
  </si>
  <si>
    <t>ORD-2024-10502</t>
  </si>
  <si>
    <t>11 Aug 2024</t>
  </si>
  <si>
    <t>08/17/2024</t>
  </si>
  <si>
    <t>ORD-2024-10503</t>
  </si>
  <si>
    <t>CUST-1534</t>
  </si>
  <si>
    <t>04/01/2024</t>
  </si>
  <si>
    <t>2024-04-09</t>
  </si>
  <si>
    <t xml:space="preserve">  East </t>
  </si>
  <si>
    <t>ORD-2024-10504</t>
  </si>
  <si>
    <t>CUST-7422</t>
  </si>
  <si>
    <t>2024-09-28</t>
  </si>
  <si>
    <t>2024-10-05</t>
  </si>
  <si>
    <t>ORD-2025-10505</t>
  </si>
  <si>
    <t>CUST-9693</t>
  </si>
  <si>
    <t>2025-02-12</t>
  </si>
  <si>
    <t>2025-02-17</t>
  </si>
  <si>
    <t>ORD-2024-10506</t>
  </si>
  <si>
    <t>CUST-5458</t>
  </si>
  <si>
    <t>2024-11-09</t>
  </si>
  <si>
    <t>ORD-2024-10507</t>
  </si>
  <si>
    <t>CUST-3011</t>
  </si>
  <si>
    <t>15-12-2024</t>
  </si>
  <si>
    <t>2024-12-15</t>
  </si>
  <si>
    <t>ORD-2025-10508</t>
  </si>
  <si>
    <t>CUST-1826</t>
  </si>
  <si>
    <t>ORD-2024-10509</t>
  </si>
  <si>
    <t>CUST-3333</t>
  </si>
  <si>
    <t>31 Mar 2024</t>
  </si>
  <si>
    <t>ORD-2025-10510</t>
  </si>
  <si>
    <t>CUST-7901</t>
  </si>
  <si>
    <t>2025-05-12</t>
  </si>
  <si>
    <t>05/14/2025</t>
  </si>
  <si>
    <t>ORD-2024-10511</t>
  </si>
  <si>
    <t>CUST-9759</t>
  </si>
  <si>
    <t>21-10-2024</t>
  </si>
  <si>
    <t>Aarav  Sharma</t>
  </si>
  <si>
    <t>ORD-2024-10512</t>
  </si>
  <si>
    <t>CUST-7232</t>
  </si>
  <si>
    <t>10/23/2024</t>
  </si>
  <si>
    <t>26 Oct 2024</t>
  </si>
  <si>
    <t>ORD-2025-10513</t>
  </si>
  <si>
    <t>2025-03-03</t>
  </si>
  <si>
    <t>ORD-2025-10514</t>
  </si>
  <si>
    <t>CUST-8993</t>
  </si>
  <si>
    <t xml:space="preserve">Accessories </t>
  </si>
  <si>
    <t>ORD-2024-10515</t>
  </si>
  <si>
    <t>CUST-7729</t>
  </si>
  <si>
    <t>18 Nov 2024</t>
  </si>
  <si>
    <t>ORD-2025-10516</t>
  </si>
  <si>
    <t>CUST-9986</t>
  </si>
  <si>
    <t>2025-04-11</t>
  </si>
  <si>
    <t>ORD-2024-10517</t>
  </si>
  <si>
    <t>CUST-2731</t>
  </si>
  <si>
    <t>09/28/2024</t>
  </si>
  <si>
    <t>04 Oct 2024</t>
  </si>
  <si>
    <t>ORD-2025-10518</t>
  </si>
  <si>
    <t>CUST-4235</t>
  </si>
  <si>
    <t>2025-05-25</t>
  </si>
  <si>
    <t>ORD-2025-10519</t>
  </si>
  <si>
    <t>CUST-3377</t>
  </si>
  <si>
    <t>26 Apr 2025</t>
  </si>
  <si>
    <t>ORD-2025-10520</t>
  </si>
  <si>
    <t>CUST-3258</t>
  </si>
  <si>
    <t>2025-07-07</t>
  </si>
  <si>
    <t>ORD-2024-10521</t>
  </si>
  <si>
    <t>CUST-2155</t>
  </si>
  <si>
    <t>23 Jul 2024</t>
  </si>
  <si>
    <t>ORD-2025-10522</t>
  </si>
  <si>
    <t>CUST-8012</t>
  </si>
  <si>
    <t>2025-03-25</t>
  </si>
  <si>
    <t>2025-04-01</t>
  </si>
  <si>
    <t>ORD-2025-10523</t>
  </si>
  <si>
    <t>CUST-2917</t>
  </si>
  <si>
    <t>02/28/2025</t>
  </si>
  <si>
    <t>ORD-2024-10524</t>
  </si>
  <si>
    <t>CUST-4653</t>
  </si>
  <si>
    <t>02-04-2024</t>
  </si>
  <si>
    <t>2024-04-03</t>
  </si>
  <si>
    <t>ORD-2024-10525</t>
  </si>
  <si>
    <t>CUST-3311</t>
  </si>
  <si>
    <t>30 Nov 2024</t>
  </si>
  <si>
    <t>01 Dec 2024</t>
  </si>
  <si>
    <t>ORD-2024-10526</t>
  </si>
  <si>
    <t>CUST-2924</t>
  </si>
  <si>
    <t>10/17/2024</t>
  </si>
  <si>
    <t>2024-10-17</t>
  </si>
  <si>
    <t>ORD-2025-10527</t>
  </si>
  <si>
    <t>CUST-7198</t>
  </si>
  <si>
    <t>2025-07-18</t>
  </si>
  <si>
    <t>21 Jul 2025</t>
  </si>
  <si>
    <t>ORD-2025-10528</t>
  </si>
  <si>
    <t>CUST-3419</t>
  </si>
  <si>
    <t>01-10-2025</t>
  </si>
  <si>
    <t>2025-10-05</t>
  </si>
  <si>
    <t>ORD-2024-10529</t>
  </si>
  <si>
    <t>CUST-2390</t>
  </si>
  <si>
    <t>2024-10-07</t>
  </si>
  <si>
    <t>09-10-2024</t>
  </si>
  <si>
    <t>ORD-2024-10530</t>
  </si>
  <si>
    <t>2024-02-08</t>
  </si>
  <si>
    <t>ORD-2025-10531</t>
  </si>
  <si>
    <t>CUST-8177</t>
  </si>
  <si>
    <t>05/30/2025</t>
  </si>
  <si>
    <t>2025-06-01</t>
  </si>
  <si>
    <t>ORD-2024-10532</t>
  </si>
  <si>
    <t>CUST-6357</t>
  </si>
  <si>
    <t>08-08-2024</t>
  </si>
  <si>
    <t>ORD-2025-10533</t>
  </si>
  <si>
    <t>CUST-7690</t>
  </si>
  <si>
    <t>ORD-2024-10534</t>
  </si>
  <si>
    <t>CUST-4487</t>
  </si>
  <si>
    <t>25 Aug 2024</t>
  </si>
  <si>
    <t>ORD-2025-10535</t>
  </si>
  <si>
    <t>CUST-8204</t>
  </si>
  <si>
    <t>04/27/2025</t>
  </si>
  <si>
    <t>2025-05-05</t>
  </si>
  <si>
    <t>ORD-2024-10536</t>
  </si>
  <si>
    <t>CUST-1729</t>
  </si>
  <si>
    <t>19-05-2024</t>
  </si>
  <si>
    <t>21 May 2024</t>
  </si>
  <si>
    <t>ORD-2025-10537</t>
  </si>
  <si>
    <t>CUST-4269</t>
  </si>
  <si>
    <t>2025-04-10</t>
  </si>
  <si>
    <t>2025-04-17</t>
  </si>
  <si>
    <t>ORD-2024-10538</t>
  </si>
  <si>
    <t>CUST-1370</t>
  </si>
  <si>
    <t>2024-01-30</t>
  </si>
  <si>
    <t>ORD-2024-10539</t>
  </si>
  <si>
    <t>CUST-5381</t>
  </si>
  <si>
    <t>01-10-2024</t>
  </si>
  <si>
    <t>ORD-2025-10540</t>
  </si>
  <si>
    <t>CUST-3694</t>
  </si>
  <si>
    <t>mira das</t>
  </si>
  <si>
    <t>ORD-2024-10541</t>
  </si>
  <si>
    <t>CUST-7563</t>
  </si>
  <si>
    <t>26-02-2024</t>
  </si>
  <si>
    <t>ORD-2025-10542</t>
  </si>
  <si>
    <t>CUST-4188</t>
  </si>
  <si>
    <t>08-07-2025</t>
  </si>
  <si>
    <t>2025-07-09</t>
  </si>
  <si>
    <t>ORD-2024-10543</t>
  </si>
  <si>
    <t>CUST-9376</t>
  </si>
  <si>
    <t>09/17/2024</t>
  </si>
  <si>
    <t>2024-09-23</t>
  </si>
  <si>
    <t>CANCELLED</t>
  </si>
  <si>
    <t>ORD-2024-10544</t>
  </si>
  <si>
    <t>CUST-9094</t>
  </si>
  <si>
    <t>2024-07-14</t>
  </si>
  <si>
    <t>ORD-2025-10545</t>
  </si>
  <si>
    <t>CUST-2366</t>
  </si>
  <si>
    <t>2025-01-29</t>
  </si>
  <si>
    <t>ORD-2024-10546</t>
  </si>
  <si>
    <t>CUST-7168</t>
  </si>
  <si>
    <t>05/27/2024</t>
  </si>
  <si>
    <t>30 May 2024</t>
  </si>
  <si>
    <t>ORD-2025-10547</t>
  </si>
  <si>
    <t>CUST-8157</t>
  </si>
  <si>
    <t>2025-08-14</t>
  </si>
  <si>
    <t>office supplies</t>
  </si>
  <si>
    <t>ORD-2024-10548</t>
  </si>
  <si>
    <t>CUST-9146</t>
  </si>
  <si>
    <t>16 May 2024</t>
  </si>
  <si>
    <t>23 May 2024</t>
  </si>
  <si>
    <t>ORD-2024-10549</t>
  </si>
  <si>
    <t>CUST-5129</t>
  </si>
  <si>
    <t>ORD-2025-10550</t>
  </si>
  <si>
    <t>CUST-6028</t>
  </si>
  <si>
    <t>10/11/2025</t>
  </si>
  <si>
    <t>13 Oct 2025</t>
  </si>
  <si>
    <t>ORD-2024-10551</t>
  </si>
  <si>
    <t>CUST-8687</t>
  </si>
  <si>
    <t>08/10/2024</t>
  </si>
  <si>
    <t>ORD-2024-10552</t>
  </si>
  <si>
    <t>CUST-8172</t>
  </si>
  <si>
    <t>2024-02-27</t>
  </si>
  <si>
    <t>ORD-2025-10553</t>
  </si>
  <si>
    <t>CUST-8861</t>
  </si>
  <si>
    <t>ORD-2025-10554</t>
  </si>
  <si>
    <t>CUST-9241</t>
  </si>
  <si>
    <t>04/25/2025</t>
  </si>
  <si>
    <t>2025-04-28</t>
  </si>
  <si>
    <t>ORD-2024-10555</t>
  </si>
  <si>
    <t>CUST-2126</t>
  </si>
  <si>
    <t>2024-10-12</t>
  </si>
  <si>
    <t>17 Oct 2024</t>
  </si>
  <si>
    <t>ORD-2025-10556</t>
  </si>
  <si>
    <t>CUST-7513</t>
  </si>
  <si>
    <t>10 Feb 2025</t>
  </si>
  <si>
    <t>ORD-2024-10557</t>
  </si>
  <si>
    <t>CUST-1992</t>
  </si>
  <si>
    <t>ORD-2024-10558</t>
  </si>
  <si>
    <t>CUST-8848</t>
  </si>
  <si>
    <t>2024-05-08</t>
  </si>
  <si>
    <t>14-05-2024</t>
  </si>
  <si>
    <t>ORD-2025-10559</t>
  </si>
  <si>
    <t>CUST-9368</t>
  </si>
  <si>
    <t>2025-09-04</t>
  </si>
  <si>
    <t>09/04/2025</t>
  </si>
  <si>
    <t>ORD-2025-10560</t>
  </si>
  <si>
    <t>CUST-6797</t>
  </si>
  <si>
    <t>2025-10-07</t>
  </si>
  <si>
    <t>ORD-2024-10561</t>
  </si>
  <si>
    <t>CUST-9333</t>
  </si>
  <si>
    <t>2024-01-16</t>
  </si>
  <si>
    <t>ORD-2025-10562</t>
  </si>
  <si>
    <t>CUST-6654</t>
  </si>
  <si>
    <t>18 Jul 2025</t>
  </si>
  <si>
    <t>ORD-2024-10563</t>
  </si>
  <si>
    <t>CUST-8622</t>
  </si>
  <si>
    <t>10 May 2024</t>
  </si>
  <si>
    <t>ORD-2024-10564</t>
  </si>
  <si>
    <t>CUST-8776</t>
  </si>
  <si>
    <t>05/06/2024</t>
  </si>
  <si>
    <t>ORD-2024-10565</t>
  </si>
  <si>
    <t>CUST-9100</t>
  </si>
  <si>
    <t>14-11-2024</t>
  </si>
  <si>
    <t>ORD-2025-10566</t>
  </si>
  <si>
    <t>CUST-5601</t>
  </si>
  <si>
    <t>07 Aug 2025</t>
  </si>
  <si>
    <t>ORD-2024-10567</t>
  </si>
  <si>
    <t>CUST-5246</t>
  </si>
  <si>
    <t>2024-08-19</t>
  </si>
  <si>
    <t>ORD-2024-10568</t>
  </si>
  <si>
    <t>CUST-3128</t>
  </si>
  <si>
    <t>06 Feb 2024</t>
  </si>
  <si>
    <t>10-02-2024</t>
  </si>
  <si>
    <t>ORD-2024-10569</t>
  </si>
  <si>
    <t>CUST-4604</t>
  </si>
  <si>
    <t>24 Jan 2024</t>
  </si>
  <si>
    <t>ORD-2025-10570</t>
  </si>
  <si>
    <t>CUST-2586</t>
  </si>
  <si>
    <t>09/08/2025</t>
  </si>
  <si>
    <t>2025-09-10</t>
  </si>
  <si>
    <t>ORD-2025-10571</t>
  </si>
  <si>
    <t>CUST-6585</t>
  </si>
  <si>
    <t>ORD-2025-10572</t>
  </si>
  <si>
    <t>CUST-3425</t>
  </si>
  <si>
    <t>2025-02-14</t>
  </si>
  <si>
    <t>ORD-2024-10573</t>
  </si>
  <si>
    <t>CUST-8633</t>
  </si>
  <si>
    <t>01/02/2024</t>
  </si>
  <si>
    <t>09-01-2024</t>
  </si>
  <si>
    <t xml:space="preserve">  Diya Patel </t>
  </si>
  <si>
    <t>ORD-2025-10574</t>
  </si>
  <si>
    <t>CUST-8243</t>
  </si>
  <si>
    <t>09/22/2025</t>
  </si>
  <si>
    <t>09/26/2025</t>
  </si>
  <si>
    <t>ORD-2024-10575</t>
  </si>
  <si>
    <t>20 Feb 2024</t>
  </si>
  <si>
    <t>ORD-2025-10576</t>
  </si>
  <si>
    <t>CUST-5496</t>
  </si>
  <si>
    <t>11 Mar 2025</t>
  </si>
  <si>
    <t>14 Mar 2025</t>
  </si>
  <si>
    <t>ORD-2024-10577</t>
  </si>
  <si>
    <t>CUST-2228</t>
  </si>
  <si>
    <t>17-02-2024</t>
  </si>
  <si>
    <t>02/23/2024</t>
  </si>
  <si>
    <t>ORD-2025-10578</t>
  </si>
  <si>
    <t>CUST-4151</t>
  </si>
  <si>
    <t>2025-09-03</t>
  </si>
  <si>
    <t>ORD-2024-10579</t>
  </si>
  <si>
    <t>2024-02-21</t>
  </si>
  <si>
    <t>23-02-2024</t>
  </si>
  <si>
    <t>ORD-2024-10580</t>
  </si>
  <si>
    <t>CUST-9617</t>
  </si>
  <si>
    <t>19-06-2024</t>
  </si>
  <si>
    <t>24 Jun 2024</t>
  </si>
  <si>
    <t>ORD-2025-10581</t>
  </si>
  <si>
    <t>CUST-7958</t>
  </si>
  <si>
    <t>06-03-2025</t>
  </si>
  <si>
    <t>ORD-2025-10582</t>
  </si>
  <si>
    <t>CUST-9931</t>
  </si>
  <si>
    <t>08/10/2025</t>
  </si>
  <si>
    <t>ORD-2024-10583</t>
  </si>
  <si>
    <t>CUST-2088</t>
  </si>
  <si>
    <t>2024-10-15</t>
  </si>
  <si>
    <t>10/20/2024</t>
  </si>
  <si>
    <t>ORD-2024-10584</t>
  </si>
  <si>
    <t>CUST-1686</t>
  </si>
  <si>
    <t>02/28/2024</t>
  </si>
  <si>
    <t>ORD-2024-10585</t>
  </si>
  <si>
    <t>CUST-4894</t>
  </si>
  <si>
    <t>08/04/2024</t>
  </si>
  <si>
    <t>10-08-2024</t>
  </si>
  <si>
    <t>ORD-2025-10586</t>
  </si>
  <si>
    <t>CUST-5201</t>
  </si>
  <si>
    <t>2025-06-25</t>
  </si>
  <si>
    <t>ORD-2025-10587</t>
  </si>
  <si>
    <t>CUST-8626</t>
  </si>
  <si>
    <t>12-04-2025</t>
  </si>
  <si>
    <t>12 Apr 2025</t>
  </si>
  <si>
    <t>ORD-2025-10588</t>
  </si>
  <si>
    <t>CUST-1013</t>
  </si>
  <si>
    <t>23-07-2025</t>
  </si>
  <si>
    <t>2025-07-31</t>
  </si>
  <si>
    <t>ORD-2025-10589</t>
  </si>
  <si>
    <t>CUST-3601</t>
  </si>
  <si>
    <t>2025-03-11</t>
  </si>
  <si>
    <t>15 Mar 2025</t>
  </si>
  <si>
    <t>ORD-2024-10590</t>
  </si>
  <si>
    <t>CUST-7846</t>
  </si>
  <si>
    <t>06 Dec 2024</t>
  </si>
  <si>
    <t>12/12/2024</t>
  </si>
  <si>
    <t>ORD-2024-10591</t>
  </si>
  <si>
    <t>CUST-3433</t>
  </si>
  <si>
    <t>2024-05-29</t>
  </si>
  <si>
    <t xml:space="preserve">  Pending </t>
  </si>
  <si>
    <t>ORD-2024-10592</t>
  </si>
  <si>
    <t>CUST-2423</t>
  </si>
  <si>
    <t>2024-02-22</t>
  </si>
  <si>
    <t>24-02-2024</t>
  </si>
  <si>
    <t>ORD-2024-10593</t>
  </si>
  <si>
    <t>CUST-3559</t>
  </si>
  <si>
    <t>ORD-2025-10594</t>
  </si>
  <si>
    <t>2025-09-29</t>
  </si>
  <si>
    <t>ORD-2024-10595</t>
  </si>
  <si>
    <t>CUST-6850</t>
  </si>
  <si>
    <t>2024-09-19</t>
  </si>
  <si>
    <t>ORD-2025-10596</t>
  </si>
  <si>
    <t>CUST-5566</t>
  </si>
  <si>
    <t>02/11/2025</t>
  </si>
  <si>
    <t>16-02-2025</t>
  </si>
  <si>
    <t>ORD-2024-10597</t>
  </si>
  <si>
    <t>CUST-2593</t>
  </si>
  <si>
    <t>ORD-2025-10598</t>
  </si>
  <si>
    <t>CUST-6957</t>
  </si>
  <si>
    <t>08 Jul 2025</t>
  </si>
  <si>
    <t>ORD-2024-10599</t>
  </si>
  <si>
    <t>CUST-8498</t>
  </si>
  <si>
    <t>08/24/2024</t>
  </si>
  <si>
    <t>ORD-2024-10600</t>
  </si>
  <si>
    <t>CUST-2612</t>
  </si>
  <si>
    <t>19-08-2024</t>
  </si>
  <si>
    <t>ORD-2025-10601</t>
  </si>
  <si>
    <t>CUST-6013</t>
  </si>
  <si>
    <t>05-03-2025</t>
  </si>
  <si>
    <t>2025-03-12</t>
  </si>
  <si>
    <t>ORD-2024-10602</t>
  </si>
  <si>
    <t>CUST-8289</t>
  </si>
  <si>
    <t>26 Jan 2024</t>
  </si>
  <si>
    <t>01/31/2024</t>
  </si>
  <si>
    <t>ORD-2024-10603</t>
  </si>
  <si>
    <t>CUST-5668</t>
  </si>
  <si>
    <t>23-10-2024</t>
  </si>
  <si>
    <t>2024-10-30</t>
  </si>
  <si>
    <t>ORD-2025-10604</t>
  </si>
  <si>
    <t>01/03/2025</t>
  </si>
  <si>
    <t>ORD-2025-10605</t>
  </si>
  <si>
    <t>CUST-4526</t>
  </si>
  <si>
    <t>05-02-2025</t>
  </si>
  <si>
    <t>02/06/2025</t>
  </si>
  <si>
    <t>ORD-2025-10606</t>
  </si>
  <si>
    <t>CUST-4447</t>
  </si>
  <si>
    <t>13 Jul 2025</t>
  </si>
  <si>
    <t>ORD-2025-10607</t>
  </si>
  <si>
    <t>CUST-2698</t>
  </si>
  <si>
    <t>22 Feb 2025</t>
  </si>
  <si>
    <t>ORD-2025-10608</t>
  </si>
  <si>
    <t>CUST-6297</t>
  </si>
  <si>
    <t>ORD-2024-10609</t>
  </si>
  <si>
    <t>ORD-2025-10610</t>
  </si>
  <si>
    <t>CUST-4380</t>
  </si>
  <si>
    <t>ORD-2024-10611</t>
  </si>
  <si>
    <t>20 May 2024</t>
  </si>
  <si>
    <t>05/20/2024</t>
  </si>
  <si>
    <t>ORD-2025-10612</t>
  </si>
  <si>
    <t>CUST-6108</t>
  </si>
  <si>
    <t>15 Jul 2025</t>
  </si>
  <si>
    <t>ORD-2025-10613</t>
  </si>
  <si>
    <t>CUST-5663</t>
  </si>
  <si>
    <t>06 Apr 2025</t>
  </si>
  <si>
    <t>13-04-2025</t>
  </si>
  <si>
    <t>ORD-2024-10614</t>
  </si>
  <si>
    <t>CUST-9311</t>
  </si>
  <si>
    <t>10/10/2024</t>
  </si>
  <si>
    <t>ORD-2024-10615</t>
  </si>
  <si>
    <t>CUST-8154</t>
  </si>
  <si>
    <t>19-02-2024</t>
  </si>
  <si>
    <t>ORD-2024-10616</t>
  </si>
  <si>
    <t>CUST-4462</t>
  </si>
  <si>
    <t>2024-10-04</t>
  </si>
  <si>
    <t>10/07/2024</t>
  </si>
  <si>
    <t>ORD-2024-10617</t>
  </si>
  <si>
    <t>CUST-4660</t>
  </si>
  <si>
    <t>16 Aug 2024</t>
  </si>
  <si>
    <t>ORD-2024-10618</t>
  </si>
  <si>
    <t>CUST-9002</t>
  </si>
  <si>
    <t>09/29/2024</t>
  </si>
  <si>
    <t>ORD-2024-10619</t>
  </si>
  <si>
    <t>CUST-1057</t>
  </si>
  <si>
    <t>2024-07-23</t>
  </si>
  <si>
    <t>ORD-2024-10620</t>
  </si>
  <si>
    <t>CUST-9596</t>
  </si>
  <si>
    <t>27 Nov 2024</t>
  </si>
  <si>
    <t>ORD-2024-10621</t>
  </si>
  <si>
    <t>CUST-6947</t>
  </si>
  <si>
    <t>18-08-2024</t>
  </si>
  <si>
    <t>08/21/2024</t>
  </si>
  <si>
    <t>ORD-2024-10622</t>
  </si>
  <si>
    <t>CUST-7236</t>
  </si>
  <si>
    <t>06-12-2024</t>
  </si>
  <si>
    <t>ORD-2025-10623</t>
  </si>
  <si>
    <t>CUST-1127</t>
  </si>
  <si>
    <t>29-01-2025</t>
  </si>
  <si>
    <t>06 Feb 2025</t>
  </si>
  <si>
    <t>ORD-2024-10624</t>
  </si>
  <si>
    <t>CUST-6262</t>
  </si>
  <si>
    <t>08 Aug 2024</t>
  </si>
  <si>
    <t>14 Aug 2024</t>
  </si>
  <si>
    <t>ORD-2024-10625</t>
  </si>
  <si>
    <t>CUST-5070</t>
  </si>
  <si>
    <t>01/30/2024</t>
  </si>
  <si>
    <t>2024-02-01</t>
  </si>
  <si>
    <t>ORD-2024-10626</t>
  </si>
  <si>
    <t>CUST-7946</t>
  </si>
  <si>
    <t>12/15/2024</t>
  </si>
  <si>
    <t>ORD-2025-10627</t>
  </si>
  <si>
    <t>CUST-1793</t>
  </si>
  <si>
    <t>06/07/2025</t>
  </si>
  <si>
    <t xml:space="preserve">  Technology </t>
  </si>
  <si>
    <t>ORD-2025-10628</t>
  </si>
  <si>
    <t>CUST-8839</t>
  </si>
  <si>
    <t>ORD-2025-10629</t>
  </si>
  <si>
    <t>CUST-6725</t>
  </si>
  <si>
    <t>12 Oct 2025</t>
  </si>
  <si>
    <t>ORD-2025-10630</t>
  </si>
  <si>
    <t>CUST-3793</t>
  </si>
  <si>
    <t>14 Sep 2025</t>
  </si>
  <si>
    <t>ORD-2024-10631</t>
  </si>
  <si>
    <t>CUST-6075</t>
  </si>
  <si>
    <t>ORD-2024-10632</t>
  </si>
  <si>
    <t>CUST-6381</t>
  </si>
  <si>
    <t>ORD-2025-10633</t>
  </si>
  <si>
    <t>CUST-4593</t>
  </si>
  <si>
    <t>15-04-2025</t>
  </si>
  <si>
    <t>16-04-2025</t>
  </si>
  <si>
    <t>ORD-2025-10634</t>
  </si>
  <si>
    <t>CUST-5043</t>
  </si>
  <si>
    <t>04/18/2025</t>
  </si>
  <si>
    <t>20 Apr 2025</t>
  </si>
  <si>
    <t>ORD-2025-10635</t>
  </si>
  <si>
    <t>CUST-4722</t>
  </si>
  <si>
    <t>01/11/2025</t>
  </si>
  <si>
    <t>ORD-2024-10636</t>
  </si>
  <si>
    <t>CUST-7931</t>
  </si>
  <si>
    <t>2024-05-25</t>
  </si>
  <si>
    <t>ORD-2024-10637</t>
  </si>
  <si>
    <t>CUST-7221</t>
  </si>
  <si>
    <t>02 Oct 2024</t>
  </si>
  <si>
    <t>09 Oct 2024</t>
  </si>
  <si>
    <t>ORD-2024-10638</t>
  </si>
  <si>
    <t>CUST-2594</t>
  </si>
  <si>
    <t>26-05-2024</t>
  </si>
  <si>
    <t>2024-05-26</t>
  </si>
  <si>
    <t>ORD-2024-10639</t>
  </si>
  <si>
    <t>CUST-2111</t>
  </si>
  <si>
    <t>31-01-2024</t>
  </si>
  <si>
    <t>ORD-2024-10640</t>
  </si>
  <si>
    <t>CUST-6829</t>
  </si>
  <si>
    <t>12/27/2024</t>
  </si>
  <si>
    <t>ORD-2025-10641</t>
  </si>
  <si>
    <t>CUST-5061</t>
  </si>
  <si>
    <t>14-01-2025</t>
  </si>
  <si>
    <t>17 Jan 2025</t>
  </si>
  <si>
    <t>ORD-2025-10642</t>
  </si>
  <si>
    <t>CUST-7915</t>
  </si>
  <si>
    <t>2025-04-09</t>
  </si>
  <si>
    <t>ORD-2024-10643</t>
  </si>
  <si>
    <t>CUST-1940</t>
  </si>
  <si>
    <t>binders</t>
  </si>
  <si>
    <t>ORD-2024-10644</t>
  </si>
  <si>
    <t>05-02-2024</t>
  </si>
  <si>
    <t>2024-02-13</t>
  </si>
  <si>
    <t>ORD-2025-10645</t>
  </si>
  <si>
    <t>CUST-5549</t>
  </si>
  <si>
    <t>04/17/2025</t>
  </si>
  <si>
    <t>ORD-2024-10646</t>
  </si>
  <si>
    <t>CUST-2314</t>
  </si>
  <si>
    <t>2024-01-04</t>
  </si>
  <si>
    <t>ORD-2024-10647</t>
  </si>
  <si>
    <t>CUST-6360</t>
  </si>
  <si>
    <t>09/18/2024</t>
  </si>
  <si>
    <t>24-09-2024</t>
  </si>
  <si>
    <t>ORD-2025-10648</t>
  </si>
  <si>
    <t>CUST-9942</t>
  </si>
  <si>
    <t>09-01-2025</t>
  </si>
  <si>
    <t>Rohan  Mehta</t>
  </si>
  <si>
    <t>ORD-2024-10649</t>
  </si>
  <si>
    <t>CUST-1808</t>
  </si>
  <si>
    <t>21-04-2024</t>
  </si>
  <si>
    <t>ORD-2025-10650</t>
  </si>
  <si>
    <t>CUST-7277</t>
  </si>
  <si>
    <t>11 Aug 2025</t>
  </si>
  <si>
    <t>19-08-2025</t>
  </si>
  <si>
    <t>ORD-2024-10651</t>
  </si>
  <si>
    <t>04/13/2024</t>
  </si>
  <si>
    <t>21 Apr 2024</t>
  </si>
  <si>
    <t>ORD-2025-10652</t>
  </si>
  <si>
    <t>CUST-2660</t>
  </si>
  <si>
    <t>09-08-2025</t>
  </si>
  <si>
    <t>ORD-2025-10653</t>
  </si>
  <si>
    <t>03/17/2025</t>
  </si>
  <si>
    <t>2025-03-21</t>
  </si>
  <si>
    <t>ORD-2025-10654</t>
  </si>
  <si>
    <t>CUST-3970</t>
  </si>
  <si>
    <t>04-04-2025</t>
  </si>
  <si>
    <t>04/07/2025</t>
  </si>
  <si>
    <t>ORD-2025-10655</t>
  </si>
  <si>
    <t>10/12/2025</t>
  </si>
  <si>
    <t>ORD-2025-10656</t>
  </si>
  <si>
    <t>CUST-8039</t>
  </si>
  <si>
    <t>ORD-2024-10657</t>
  </si>
  <si>
    <t>CUST-4446</t>
  </si>
  <si>
    <t>07-05-2024</t>
  </si>
  <si>
    <t>ORD-2025-10658</t>
  </si>
  <si>
    <t>CUST-7787</t>
  </si>
  <si>
    <t>08/07/2025</t>
  </si>
  <si>
    <t>2025-08-10</t>
  </si>
  <si>
    <t>ORD-2025-10659</t>
  </si>
  <si>
    <t>CUST-9074</t>
  </si>
  <si>
    <t>2025-06-09</t>
  </si>
  <si>
    <t>ORD-2025-10660</t>
  </si>
  <si>
    <t>CUST-8330</t>
  </si>
  <si>
    <t>ORD-2025-10661</t>
  </si>
  <si>
    <t>CUST-5638</t>
  </si>
  <si>
    <t>15-07-2025</t>
  </si>
  <si>
    <t>ORD-2024-10662</t>
  </si>
  <si>
    <t>CUST-4537</t>
  </si>
  <si>
    <t>17-05-2024</t>
  </si>
  <si>
    <t>2024-05-22</t>
  </si>
  <si>
    <t>ORD-2024-10663</t>
  </si>
  <si>
    <t>CUST-3181</t>
  </si>
  <si>
    <t>2024-01-14</t>
  </si>
  <si>
    <t>18-01-2024</t>
  </si>
  <si>
    <t>ORD-2024-10664</t>
  </si>
  <si>
    <t>CUST-1015</t>
  </si>
  <si>
    <t>ORD-2024-10665</t>
  </si>
  <si>
    <t>CUST-2709</t>
  </si>
  <si>
    <t>07 Dec 2024</t>
  </si>
  <si>
    <t>10 Dec 2024</t>
  </si>
  <si>
    <t>ORD-2025-10666</t>
  </si>
  <si>
    <t>CUST-1197</t>
  </si>
  <si>
    <t>2025-01-13</t>
  </si>
  <si>
    <t>01/13/2025</t>
  </si>
  <si>
    <t xml:space="preserve">  Rahul Verma </t>
  </si>
  <si>
    <t>ORD-2024-10667</t>
  </si>
  <si>
    <t>CUST-7758</t>
  </si>
  <si>
    <t>ORD-2025-10668</t>
  </si>
  <si>
    <t>CUST-3912</t>
  </si>
  <si>
    <t>20-05-2025</t>
  </si>
  <si>
    <t>27-05-2025</t>
  </si>
  <si>
    <t>ORD-2024-10669</t>
  </si>
  <si>
    <t>CUST-4190</t>
  </si>
  <si>
    <t>11/21/2024</t>
  </si>
  <si>
    <t>ORD-2024-10670</t>
  </si>
  <si>
    <t>CUST-7568</t>
  </si>
  <si>
    <t>2024-03-24</t>
  </si>
  <si>
    <t>01 Apr 2024</t>
  </si>
  <si>
    <t>ORD-2025-10671</t>
  </si>
  <si>
    <t>02/02/2025</t>
  </si>
  <si>
    <t>ORD-2024-10672</t>
  </si>
  <si>
    <t>CUST-3293</t>
  </si>
  <si>
    <t>2024-03-22</t>
  </si>
  <si>
    <t>27-03-2024</t>
  </si>
  <si>
    <t>COPIERS</t>
  </si>
  <si>
    <t>ORD-2024-10673</t>
  </si>
  <si>
    <t>CUST-8180</t>
  </si>
  <si>
    <t>2024-09-04</t>
  </si>
  <si>
    <t>2024-09-05</t>
  </si>
  <si>
    <t>ORD-2025-10674</t>
  </si>
  <si>
    <t>CUST-2807</t>
  </si>
  <si>
    <t>16 Feb 2025</t>
  </si>
  <si>
    <t>ORD-2024-10675</t>
  </si>
  <si>
    <t>CUST-4081</t>
  </si>
  <si>
    <t>2024-05-18</t>
  </si>
  <si>
    <t>2024-05-21</t>
  </si>
  <si>
    <t>ORD-2025-10676</t>
  </si>
  <si>
    <t>07-06-2025</t>
  </si>
  <si>
    <t>06/10/2025</t>
  </si>
  <si>
    <t>ORD-2025-10677</t>
  </si>
  <si>
    <t>CUST-9212</t>
  </si>
  <si>
    <t>09/11/2025</t>
  </si>
  <si>
    <t>09/18/2025</t>
  </si>
  <si>
    <t>ORD-2024-10678</t>
  </si>
  <si>
    <t>2024-06-22</t>
  </si>
  <si>
    <t>27-06-2024</t>
  </si>
  <si>
    <t>ORD-2024-10679</t>
  </si>
  <si>
    <t>CUST-1674</t>
  </si>
  <si>
    <t>24-11-2024</t>
  </si>
  <si>
    <t>12/01/2024</t>
  </si>
  <si>
    <t>ORD-2025-10680</t>
  </si>
  <si>
    <t>CUST-2897</t>
  </si>
  <si>
    <t>16-08-2025</t>
  </si>
  <si>
    <t>ORD-2024-10681</t>
  </si>
  <si>
    <t>CUST-1136</t>
  </si>
  <si>
    <t>ORD-2024-10682</t>
  </si>
  <si>
    <t>CUST-1376</t>
  </si>
  <si>
    <t>07/04/2024</t>
  </si>
  <si>
    <t>2024-07-10</t>
  </si>
  <si>
    <t>ORD-2025-10683</t>
  </si>
  <si>
    <t>CUST-1553</t>
  </si>
  <si>
    <t>ananya rao</t>
  </si>
  <si>
    <t>ORD-2025-10684</t>
  </si>
  <si>
    <t>CUST-5704</t>
  </si>
  <si>
    <t>2025-07-20</t>
  </si>
  <si>
    <t>ORD-2025-10685</t>
  </si>
  <si>
    <t>CUST-6738</t>
  </si>
  <si>
    <t>2025-07-21</t>
  </si>
  <si>
    <t>ORD-2025-10686</t>
  </si>
  <si>
    <t>01 Oct 2025</t>
  </si>
  <si>
    <t>ORD-2024-10687</t>
  </si>
  <si>
    <t>CUST-3127</t>
  </si>
  <si>
    <t>25-03-2024</t>
  </si>
  <si>
    <t>ORD-2025-10688</t>
  </si>
  <si>
    <t>CUST-9347</t>
  </si>
  <si>
    <t>13-10-2025</t>
  </si>
  <si>
    <t>ORD-2025-10689</t>
  </si>
  <si>
    <t>CUST-8575</t>
  </si>
  <si>
    <t>27 Feb 2025</t>
  </si>
  <si>
    <t>ORD-2024-10690</t>
  </si>
  <si>
    <t>CUST-4382</t>
  </si>
  <si>
    <t>05-10-2024</t>
  </si>
  <si>
    <t>06 Oct 2024</t>
  </si>
  <si>
    <t>ORD-2024-10691</t>
  </si>
  <si>
    <t>CUST-6815</t>
  </si>
  <si>
    <t>2024-09-15</t>
  </si>
  <si>
    <t>ORD-2024-10692</t>
  </si>
  <si>
    <t>CUST-7309</t>
  </si>
  <si>
    <t>16-12-2024</t>
  </si>
  <si>
    <t>ORD-2025-10693</t>
  </si>
  <si>
    <t>CUST-9531</t>
  </si>
  <si>
    <t>10-10-2025</t>
  </si>
  <si>
    <t>ORD-2025-10694</t>
  </si>
  <si>
    <t>CUST-6032</t>
  </si>
  <si>
    <t>03-04-2025</t>
  </si>
  <si>
    <t>ORD-2025-10695</t>
  </si>
  <si>
    <t>ORD-2024-10696</t>
  </si>
  <si>
    <t>CUST-6257</t>
  </si>
  <si>
    <t>2024-07-01</t>
  </si>
  <si>
    <t xml:space="preserve">Machines </t>
  </si>
  <si>
    <t>ORD-2025-10697</t>
  </si>
  <si>
    <t>CUST-7812</t>
  </si>
  <si>
    <t>22 Sep 2025</t>
  </si>
  <si>
    <t>25 Sep 2025</t>
  </si>
  <si>
    <t>ORD-2025-10698</t>
  </si>
  <si>
    <t>CUST-6205</t>
  </si>
  <si>
    <t>ORD-2024-10699</t>
  </si>
  <si>
    <t>CUST-5357</t>
  </si>
  <si>
    <t>14-09-2024</t>
  </si>
  <si>
    <t>ORD-2024-10700</t>
  </si>
  <si>
    <t>CUST-9802</t>
  </si>
  <si>
    <t>2024-06-11</t>
  </si>
  <si>
    <t>11 Jun 2024</t>
  </si>
  <si>
    <t>ORD-2024-10701</t>
  </si>
  <si>
    <t>CUST-5646</t>
  </si>
  <si>
    <t>18-09-2024</t>
  </si>
  <si>
    <t>ORD-2024-10702</t>
  </si>
  <si>
    <t>CUST-7171</t>
  </si>
  <si>
    <t>ORD-2025-10703</t>
  </si>
  <si>
    <t>CUST-5231</t>
  </si>
  <si>
    <t>2025-02-02</t>
  </si>
  <si>
    <t>ORD-2024-10704</t>
  </si>
  <si>
    <t>CUST-8734</t>
  </si>
  <si>
    <t>19 Oct 2024</t>
  </si>
  <si>
    <t>ORD-2024-10705</t>
  </si>
  <si>
    <t>CUST-4916</t>
  </si>
  <si>
    <t>03/20/2024</t>
  </si>
  <si>
    <t>ORD-2024-10706</t>
  </si>
  <si>
    <t>CUST-3289</t>
  </si>
  <si>
    <t>08 Sep 2024</t>
  </si>
  <si>
    <t>09/14/2024</t>
  </si>
  <si>
    <t>ORD-2024-10707</t>
  </si>
  <si>
    <t>CUST-4928</t>
  </si>
  <si>
    <t>24-06-2024</t>
  </si>
  <si>
    <t>ORD-2025-10708</t>
  </si>
  <si>
    <t>CUST-4902</t>
  </si>
  <si>
    <t>24-06-2025</t>
  </si>
  <si>
    <t>ORD-2025-10709</t>
  </si>
  <si>
    <t>CUST-6504</t>
  </si>
  <si>
    <t>03/20/2025</t>
  </si>
  <si>
    <t>2025-03-26</t>
  </si>
  <si>
    <t>ORD-2025-10710</t>
  </si>
  <si>
    <t>CUST-8036</t>
  </si>
  <si>
    <t>ORD-2024-10711</t>
  </si>
  <si>
    <t>CUST-7199</t>
  </si>
  <si>
    <t>07/12/2024</t>
  </si>
  <si>
    <t>07/19/2024</t>
  </si>
  <si>
    <t>ORD-2025-10712</t>
  </si>
  <si>
    <t>CUST-6176</t>
  </si>
  <si>
    <t>02-02-2025</t>
  </si>
  <si>
    <t>ORD-2024-10713</t>
  </si>
  <si>
    <t>CUST-5127</t>
  </si>
  <si>
    <t>18 Feb 2024</t>
  </si>
  <si>
    <t>ORD-2025-10714</t>
  </si>
  <si>
    <t>06/06/2025</t>
  </si>
  <si>
    <t>ORD-2025-10715</t>
  </si>
  <si>
    <t>CUST-9902</t>
  </si>
  <si>
    <t>ORD-2025-10716</t>
  </si>
  <si>
    <t>CUST-7446</t>
  </si>
  <si>
    <t>ORD-2025-10717</t>
  </si>
  <si>
    <t>CUST-7540</t>
  </si>
  <si>
    <t>26 Aug 2025</t>
  </si>
  <si>
    <t>ORD-2025-10718</t>
  </si>
  <si>
    <t>CUST-8351</t>
  </si>
  <si>
    <t>12-10-2025</t>
  </si>
  <si>
    <t>ORD-2024-10719</t>
  </si>
  <si>
    <t>CUST-3918</t>
  </si>
  <si>
    <t>06 Sep 2024</t>
  </si>
  <si>
    <t>ORD-2025-10720</t>
  </si>
  <si>
    <t>ORD-2024-10721</t>
  </si>
  <si>
    <t>CUST-1991</t>
  </si>
  <si>
    <t>07/16/2024</t>
  </si>
  <si>
    <t>ORD-2025-10722</t>
  </si>
  <si>
    <t>CUST-7606</t>
  </si>
  <si>
    <t>23-06-2025</t>
  </si>
  <si>
    <t>ORD-2024-10723</t>
  </si>
  <si>
    <t>CUST-8844</t>
  </si>
  <si>
    <t>10 Oct 2024</t>
  </si>
  <si>
    <t>ORD-2025-10724</t>
  </si>
  <si>
    <t>CUST-4335</t>
  </si>
  <si>
    <t>2025-10-13</t>
  </si>
  <si>
    <t>ORD-2024-10725</t>
  </si>
  <si>
    <t>CUST-5891</t>
  </si>
  <si>
    <t>02/10/2024</t>
  </si>
  <si>
    <t>ORD-2025-10726</t>
  </si>
  <si>
    <t>CUST-6371</t>
  </si>
  <si>
    <t>10/05/2025</t>
  </si>
  <si>
    <t>ORD-2024-10727</t>
  </si>
  <si>
    <t>CUST-6655</t>
  </si>
  <si>
    <t>2024-01-17</t>
  </si>
  <si>
    <t>01/23/2024</t>
  </si>
  <si>
    <t>ORD-2024-10728</t>
  </si>
  <si>
    <t>CUST-6492</t>
  </si>
  <si>
    <t>13 Oct 2024</t>
  </si>
  <si>
    <t>ORD-2024-10729</t>
  </si>
  <si>
    <t>CUST-1154</t>
  </si>
  <si>
    <t>ORD-2025-10730</t>
  </si>
  <si>
    <t>CUST-8713</t>
  </si>
  <si>
    <t>17-05-2025</t>
  </si>
  <si>
    <t>25 May 2025</t>
  </si>
  <si>
    <t>ORD-2025-10731</t>
  </si>
  <si>
    <t>CUST-6765</t>
  </si>
  <si>
    <t>06/19/2025</t>
  </si>
  <si>
    <t>ORD-2024-10732</t>
  </si>
  <si>
    <t>CUST-6849</t>
  </si>
  <si>
    <t>2024-03-17</t>
  </si>
  <si>
    <t>19 Mar 2024</t>
  </si>
  <si>
    <t>ORD-2024-10733</t>
  </si>
  <si>
    <t>CUST-4973</t>
  </si>
  <si>
    <t>2024-11-28</t>
  </si>
  <si>
    <t>ORD-2024-10734</t>
  </si>
  <si>
    <t>CUST-2394</t>
  </si>
  <si>
    <t>28 Jun 2024</t>
  </si>
  <si>
    <t>ORD-2024-10735</t>
  </si>
  <si>
    <t>CUST-5406</t>
  </si>
  <si>
    <t>24-08-2024</t>
  </si>
  <si>
    <t>ORD-2024-10736</t>
  </si>
  <si>
    <t>CUST-1963</t>
  </si>
  <si>
    <t>2024-08-11</t>
  </si>
  <si>
    <t>ORD-2024-10737</t>
  </si>
  <si>
    <t>CUST-9017</t>
  </si>
  <si>
    <t>09-12-2024</t>
  </si>
  <si>
    <t>ORD-2024-10738</t>
  </si>
  <si>
    <t>CUST-7967</t>
  </si>
  <si>
    <t xml:space="preserve">Home Office </t>
  </si>
  <si>
    <t>ORD-2025-10739</t>
  </si>
  <si>
    <t>CUST-5334</t>
  </si>
  <si>
    <t>02/22/2025</t>
  </si>
  <si>
    <t>ORD-2024-10740</t>
  </si>
  <si>
    <t>CUST-5846</t>
  </si>
  <si>
    <t>03 Dec 2024</t>
  </si>
  <si>
    <t>12/10/2024</t>
  </si>
  <si>
    <t>ORD-2024-10741</t>
  </si>
  <si>
    <t>02 Apr 2024</t>
  </si>
  <si>
    <t>ORD-2025-10742</t>
  </si>
  <si>
    <t>CUST-3285</t>
  </si>
  <si>
    <t>04/23/2025</t>
  </si>
  <si>
    <t>2025-04-25</t>
  </si>
  <si>
    <t>ORD-2024-10743</t>
  </si>
  <si>
    <t>CUST-6368</t>
  </si>
  <si>
    <t>10/15/2024</t>
  </si>
  <si>
    <t>22 Oct 2024</t>
  </si>
  <si>
    <t>east</t>
  </si>
  <si>
    <t>ORD-2025-10744</t>
  </si>
  <si>
    <t>CUST-6231</t>
  </si>
  <si>
    <t>ORD-2025-10745</t>
  </si>
  <si>
    <t>CUST-2021</t>
  </si>
  <si>
    <t>2025-08-17</t>
  </si>
  <si>
    <t>ORD-2024-10746</t>
  </si>
  <si>
    <t>CUST-1493</t>
  </si>
  <si>
    <t>24 Oct 2024</t>
  </si>
  <si>
    <t>28-10-2024</t>
  </si>
  <si>
    <t>ORD-2025-10747</t>
  </si>
  <si>
    <t>10-01-2025</t>
  </si>
  <si>
    <t>ORD-2024-10748</t>
  </si>
  <si>
    <t>CUST-8416</t>
  </si>
  <si>
    <t>2024-05-01</t>
  </si>
  <si>
    <t>07 May 2024</t>
  </si>
  <si>
    <t>ORD-2024-10749</t>
  </si>
  <si>
    <t>CUST-3103</t>
  </si>
  <si>
    <t>30-05-2024</t>
  </si>
  <si>
    <t>05/30/2024</t>
  </si>
  <si>
    <t>ORD-2024-10750</t>
  </si>
  <si>
    <t>CUST-4457</t>
  </si>
  <si>
    <t>21 Mar 2024</t>
  </si>
  <si>
    <t>2024-03-25</t>
  </si>
  <si>
    <t>ORD-2025-10751</t>
  </si>
  <si>
    <t>CUST-7036</t>
  </si>
  <si>
    <t>06/02/2025</t>
  </si>
  <si>
    <t>ORD-2025-10752</t>
  </si>
  <si>
    <t>CUST-8512</t>
  </si>
  <si>
    <t>19-07-2025</t>
  </si>
  <si>
    <t>ORD-2024-10753</t>
  </si>
  <si>
    <t>CUST-6345</t>
  </si>
  <si>
    <t xml:space="preserve">West </t>
  </si>
  <si>
    <t>ORD-2024-10754</t>
  </si>
  <si>
    <t>CUST-4505</t>
  </si>
  <si>
    <t>ORD-2025-10755</t>
  </si>
  <si>
    <t>CUST-7960</t>
  </si>
  <si>
    <t>06/04/2025</t>
  </si>
  <si>
    <t>ORD-2025-10756</t>
  </si>
  <si>
    <t>CUST-3365</t>
  </si>
  <si>
    <t>ORD-2024-10757</t>
  </si>
  <si>
    <t>CUST-1557</t>
  </si>
  <si>
    <t>10/27/2024</t>
  </si>
  <si>
    <t>11/01/2024</t>
  </si>
  <si>
    <t>ORD-2025-10758</t>
  </si>
  <si>
    <t>CUST-3058</t>
  </si>
  <si>
    <t>01 Aug 2025</t>
  </si>
  <si>
    <t>2025-08-03</t>
  </si>
  <si>
    <t>ORD-2024-10759</t>
  </si>
  <si>
    <t>CUST-6076</t>
  </si>
  <si>
    <t>02 May 2024</t>
  </si>
  <si>
    <t>ORD-2024-10760</t>
  </si>
  <si>
    <t>CUST-2098</t>
  </si>
  <si>
    <t>26-07-2024</t>
  </si>
  <si>
    <t xml:space="preserve">  South </t>
  </si>
  <si>
    <t>ORD-2024-10761</t>
  </si>
  <si>
    <t>CUST-7193</t>
  </si>
  <si>
    <t>28-08-2024</t>
  </si>
  <si>
    <t>ORD-2025-10762</t>
  </si>
  <si>
    <t>CUST-8948</t>
  </si>
  <si>
    <t>08/31/2025</t>
  </si>
  <si>
    <t>ORD-2024-10763</t>
  </si>
  <si>
    <t>CUST-6921</t>
  </si>
  <si>
    <t>01/01/2024</t>
  </si>
  <si>
    <t>05 Jan 2024</t>
  </si>
  <si>
    <t>ORD-2025-10764</t>
  </si>
  <si>
    <t>CUST-4086</t>
  </si>
  <si>
    <t>23 Aug 2025</t>
  </si>
  <si>
    <t>2025-08-25</t>
  </si>
  <si>
    <t>ORD-2025-10765</t>
  </si>
  <si>
    <t>ORD-2025-10766</t>
  </si>
  <si>
    <t>CUST-8747</t>
  </si>
  <si>
    <t>29-06-2025</t>
  </si>
  <si>
    <t>2025-07-03</t>
  </si>
  <si>
    <t>ORD-2024-10767</t>
  </si>
  <si>
    <t>CUST-3156</t>
  </si>
  <si>
    <t>17 Sep 2024</t>
  </si>
  <si>
    <t>ORD-2024-10768</t>
  </si>
  <si>
    <t>CUST-2043</t>
  </si>
  <si>
    <t>03 May 2024</t>
  </si>
  <si>
    <t>ORD-2025-10769</t>
  </si>
  <si>
    <t>CUST-8808</t>
  </si>
  <si>
    <t>2025-04-04</t>
  </si>
  <si>
    <t>ORD-2024-10770</t>
  </si>
  <si>
    <t>CUST-1293</t>
  </si>
  <si>
    <t>05/11/2024</t>
  </si>
  <si>
    <t>ORD-2024-10771</t>
  </si>
  <si>
    <t>CUST-8384</t>
  </si>
  <si>
    <t>ORD-2024-10772</t>
  </si>
  <si>
    <t>2024-07-12</t>
  </si>
  <si>
    <t>ORD-2025-10773</t>
  </si>
  <si>
    <t>CUST-8422</t>
  </si>
  <si>
    <t>ORD-2025-10774</t>
  </si>
  <si>
    <t>CUST-4766</t>
  </si>
  <si>
    <t>2025-02-21</t>
  </si>
  <si>
    <t>21 Feb 2025</t>
  </si>
  <si>
    <t>ORD-2025-10775</t>
  </si>
  <si>
    <t>CUST-1182</t>
  </si>
  <si>
    <t>07-08-2025</t>
  </si>
  <si>
    <t>ORD-2024-10776</t>
  </si>
  <si>
    <t>CUST-4461</t>
  </si>
  <si>
    <t>14 Apr 2024</t>
  </si>
  <si>
    <t>22-04-2024</t>
  </si>
  <si>
    <t>ORD-2025-10777</t>
  </si>
  <si>
    <t>CUST-9690</t>
  </si>
  <si>
    <t>08-06-2025</t>
  </si>
  <si>
    <t>ORD-2024-10778</t>
  </si>
  <si>
    <t>CUST-6879</t>
  </si>
  <si>
    <t>04-02-2024</t>
  </si>
  <si>
    <t>ORD-2024-10779</t>
  </si>
  <si>
    <t>CUST-4714</t>
  </si>
  <si>
    <t>24-07-2024</t>
  </si>
  <si>
    <t>ORD-2024-10780</t>
  </si>
  <si>
    <t>CUST-7547</t>
  </si>
  <si>
    <t>20-01-2024</t>
  </si>
  <si>
    <t>ORD-2024-10781</t>
  </si>
  <si>
    <t>CUST-3288</t>
  </si>
  <si>
    <t>04 Aug 2024</t>
  </si>
  <si>
    <t>ORD-2024-10782</t>
  </si>
  <si>
    <t>CUST-8597</t>
  </si>
  <si>
    <t>2024-02-02</t>
  </si>
  <si>
    <t>ORD-2025-10783</t>
  </si>
  <si>
    <t>CUST-9085</t>
  </si>
  <si>
    <t>03/22/2025</t>
  </si>
  <si>
    <t>ORD-2024-10784</t>
  </si>
  <si>
    <t>CUST-7746</t>
  </si>
  <si>
    <t>07 Jun 2024</t>
  </si>
  <si>
    <t>2024-06-07</t>
  </si>
  <si>
    <t>ORD-2025-10785</t>
  </si>
  <si>
    <t>CUST-3119</t>
  </si>
  <si>
    <t>10/04/2025</t>
  </si>
  <si>
    <t>north</t>
  </si>
  <si>
    <t>ORD-2024-10786</t>
  </si>
  <si>
    <t>CUST-7518</t>
  </si>
  <si>
    <t>23-05-2024</t>
  </si>
  <si>
    <t>ORD-2025-10787</t>
  </si>
  <si>
    <t>CUST-1343</t>
  </si>
  <si>
    <t>ORD-2024-10788</t>
  </si>
  <si>
    <t>CUST-7548</t>
  </si>
  <si>
    <t>2024-09-18</t>
  </si>
  <si>
    <t>ORD-2024-10789</t>
  </si>
  <si>
    <t>CUST-3631</t>
  </si>
  <si>
    <t>ORD-2025-10790</t>
  </si>
  <si>
    <t>CUST-1453</t>
  </si>
  <si>
    <t>07 Mar 2025</t>
  </si>
  <si>
    <t>ORD-2024-10791</t>
  </si>
  <si>
    <t>CUST-1951</t>
  </si>
  <si>
    <t>31 May 2024</t>
  </si>
  <si>
    <t>2024-06-02</t>
  </si>
  <si>
    <t>ORD-2024-10792</t>
  </si>
  <si>
    <t>CUST-6300</t>
  </si>
  <si>
    <t>2024-10-06</t>
  </si>
  <si>
    <t>ORD-2025-10793</t>
  </si>
  <si>
    <t>CUST-1417</t>
  </si>
  <si>
    <t>08 Jun 2025</t>
  </si>
  <si>
    <t>ORD-2024-10794</t>
  </si>
  <si>
    <t>CUST-5421</t>
  </si>
  <si>
    <t>03 Jun 2024</t>
  </si>
  <si>
    <t>ORD-2025-10795</t>
  </si>
  <si>
    <t>CUST-2829</t>
  </si>
  <si>
    <t>2025-06-22</t>
  </si>
  <si>
    <t>ORD-2024-10796</t>
  </si>
  <si>
    <t>CUST-6529</t>
  </si>
  <si>
    <t>30-07-2024</t>
  </si>
  <si>
    <t>ORD-2024-10797</t>
  </si>
  <si>
    <t>CUST-3126</t>
  </si>
  <si>
    <t>30-03-2024</t>
  </si>
  <si>
    <t>ORD-2024-10798</t>
  </si>
  <si>
    <t>CUST-3991</t>
  </si>
  <si>
    <t>18 Apr 2024</t>
  </si>
  <si>
    <t>ORD-2025-10799</t>
  </si>
  <si>
    <t>CUST-7553</t>
  </si>
  <si>
    <t>2025-07-11</t>
  </si>
  <si>
    <t>09-07-2025</t>
  </si>
  <si>
    <t>ORD-2024-10800</t>
  </si>
  <si>
    <t>CUST-8527</t>
  </si>
  <si>
    <t>ORD-2024-10801</t>
  </si>
  <si>
    <t>CUST-5015</t>
  </si>
  <si>
    <t>01 Mar 2024</t>
  </si>
  <si>
    <t>2024-03-07</t>
  </si>
  <si>
    <t>ORD-2025-10802</t>
  </si>
  <si>
    <t>CUST-3344</t>
  </si>
  <si>
    <t>2025-10-08</t>
  </si>
  <si>
    <t>ORD-2025-10803</t>
  </si>
  <si>
    <t>CUST-5866</t>
  </si>
  <si>
    <t>2025-02-16</t>
  </si>
  <si>
    <t>failed</t>
  </si>
  <si>
    <t>ORD-2024-10804</t>
  </si>
  <si>
    <t>CUST-7180</t>
  </si>
  <si>
    <t>09 Dec 2024</t>
  </si>
  <si>
    <t>ORD-2025-10805</t>
  </si>
  <si>
    <t>CUST-8745</t>
  </si>
  <si>
    <t>ORD-2025-10806</t>
  </si>
  <si>
    <t>ORD-2024-10807</t>
  </si>
  <si>
    <t>CUST-3704</t>
  </si>
  <si>
    <t>09-11-2024</t>
  </si>
  <si>
    <t>15 Nov 2024</t>
  </si>
  <si>
    <t>ORD-2025-10808</t>
  </si>
  <si>
    <t>CUST-5884</t>
  </si>
  <si>
    <t>standard class</t>
  </si>
  <si>
    <t>ORD-2025-10809</t>
  </si>
  <si>
    <t>CUST-7503</t>
  </si>
  <si>
    <t>2025-08-31</t>
  </si>
  <si>
    <t>ORD-2025-10810</t>
  </si>
  <si>
    <t>CUST-6973</t>
  </si>
  <si>
    <t>ORD-2024-10811</t>
  </si>
  <si>
    <t>04/03/2024</t>
  </si>
  <si>
    <t>08-04-2024</t>
  </si>
  <si>
    <t>ORD-2024-10812</t>
  </si>
  <si>
    <t>CUST-3303</t>
  </si>
  <si>
    <t>12 Dec 2024</t>
  </si>
  <si>
    <t>19 Dec 2024</t>
  </si>
  <si>
    <t>ORD-2024-10813</t>
  </si>
  <si>
    <t>CUST-5754</t>
  </si>
  <si>
    <t>20-06-2024</t>
  </si>
  <si>
    <t>ORD-2025-10814</t>
  </si>
  <si>
    <t>CUST-7848</t>
  </si>
  <si>
    <t>04/06/2025</t>
  </si>
  <si>
    <t>10 Apr 2025</t>
  </si>
  <si>
    <t>ORD-2025-10815</t>
  </si>
  <si>
    <t>CUST-9048</t>
  </si>
  <si>
    <t>ORD-2024-10816</t>
  </si>
  <si>
    <t>CUST-2951</t>
  </si>
  <si>
    <t>2024-04-08</t>
  </si>
  <si>
    <t>ORD-2024-10817</t>
  </si>
  <si>
    <t>CUST-3072</t>
  </si>
  <si>
    <t>11/27/2024</t>
  </si>
  <si>
    <t>2024-11-30</t>
  </si>
  <si>
    <t>ORD-2025-10818</t>
  </si>
  <si>
    <t>CUST-2221</t>
  </si>
  <si>
    <t>05 Apr 2025</t>
  </si>
  <si>
    <t>04/05/2025</t>
  </si>
  <si>
    <t>ORD-2024-10819</t>
  </si>
  <si>
    <t>CUST-3943</t>
  </si>
  <si>
    <t>29 Sep 2024</t>
  </si>
  <si>
    <t>ORD-2024-10820</t>
  </si>
  <si>
    <t>CUST-7510</t>
  </si>
  <si>
    <t>31-07-2024</t>
  </si>
  <si>
    <t>MACHINES</t>
  </si>
  <si>
    <t>ORD-2025-10821</t>
  </si>
  <si>
    <t>CUST-2041</t>
  </si>
  <si>
    <t>06-02-2025</t>
  </si>
  <si>
    <t>10-02-2025</t>
  </si>
  <si>
    <t>ORD-2024-10822</t>
  </si>
  <si>
    <t>CUST-4466</t>
  </si>
  <si>
    <t>2024-07-03</t>
  </si>
  <si>
    <t>06-07-2024</t>
  </si>
  <si>
    <t>ORD-2024-10823</t>
  </si>
  <si>
    <t>CUST-3188</t>
  </si>
  <si>
    <t>10/12/2024</t>
  </si>
  <si>
    <t>08 Oct 2024</t>
  </si>
  <si>
    <t>ORD-2025-10824</t>
  </si>
  <si>
    <t>CUST-6638</t>
  </si>
  <si>
    <t>2025-01-06</t>
  </si>
  <si>
    <t>ORD-2025-10825</t>
  </si>
  <si>
    <t>CUST-3540</t>
  </si>
  <si>
    <t>21-03-2025</t>
  </si>
  <si>
    <t>ORD-2025-10826</t>
  </si>
  <si>
    <t>CUST-3351</t>
  </si>
  <si>
    <t>16 Apr 2025</t>
  </si>
  <si>
    <t>17-04-2025</t>
  </si>
  <si>
    <t>ORD-2025-10827</t>
  </si>
  <si>
    <t>CUST-4375</t>
  </si>
  <si>
    <t>14 Aug 2025</t>
  </si>
  <si>
    <t>ORD-2024-10828</t>
  </si>
  <si>
    <t>CUST-5125</t>
  </si>
  <si>
    <t>24 Nov 2024</t>
  </si>
  <si>
    <t>ORD-2025-10829</t>
  </si>
  <si>
    <t>CUST-6010</t>
  </si>
  <si>
    <t>10/10/2025</t>
  </si>
  <si>
    <t>11-10-2025</t>
  </si>
  <si>
    <t xml:space="preserve">Karan Malhotra </t>
  </si>
  <si>
    <t>ORD-2024-10830</t>
  </si>
  <si>
    <t>CUST-9036</t>
  </si>
  <si>
    <t>02/26/2024</t>
  </si>
  <si>
    <t>ORD-2025-10831</t>
  </si>
  <si>
    <t>CUST-7929</t>
  </si>
  <si>
    <t>ORD-2025-10832</t>
  </si>
  <si>
    <t>CUST-1106</t>
  </si>
  <si>
    <t>ORD-2025-10833</t>
  </si>
  <si>
    <t>CUST-9557</t>
  </si>
  <si>
    <t>26 May 2025</t>
  </si>
  <si>
    <t>28-05-2025</t>
  </si>
  <si>
    <t>ORD-2024-10834</t>
  </si>
  <si>
    <t>CUST-2689</t>
  </si>
  <si>
    <t>2024-06-04</t>
  </si>
  <si>
    <t>06/04/2024</t>
  </si>
  <si>
    <t>ORD-2024-10835</t>
  </si>
  <si>
    <t>CUST-2879</t>
  </si>
  <si>
    <t>2024-10-22</t>
  </si>
  <si>
    <t>ORD-2025-10836</t>
  </si>
  <si>
    <t>CUST-5150</t>
  </si>
  <si>
    <t>ORD-2024-10837</t>
  </si>
  <si>
    <t>CUST-9776</t>
  </si>
  <si>
    <t>2024-12-18</t>
  </si>
  <si>
    <t>ORD-2025-10838</t>
  </si>
  <si>
    <t>CUST-2551</t>
  </si>
  <si>
    <t>09/28/2025</t>
  </si>
  <si>
    <t>ORD-2025-10839</t>
  </si>
  <si>
    <t>CUST-4708</t>
  </si>
  <si>
    <t>07 Apr 2025</t>
  </si>
  <si>
    <t>ORD-2024-10840</t>
  </si>
  <si>
    <t>CUST-8206</t>
  </si>
  <si>
    <t>09/20/2024</t>
  </si>
  <si>
    <t>22-09-2024</t>
  </si>
  <si>
    <t>ORD-2025-10841</t>
  </si>
  <si>
    <t>CUST-1297</t>
  </si>
  <si>
    <t>ORD-2025-10842</t>
  </si>
  <si>
    <t>CUST-7558</t>
  </si>
  <si>
    <t>2025-02-06</t>
  </si>
  <si>
    <t>12 Feb 2025</t>
  </si>
  <si>
    <t>ORD-2024-10843</t>
  </si>
  <si>
    <t>CUST-1798</t>
  </si>
  <si>
    <t>31-03-2024</t>
  </si>
  <si>
    <t>03/30/2024</t>
  </si>
  <si>
    <t>kabir singh</t>
  </si>
  <si>
    <t>ORD-2025-10844</t>
  </si>
  <si>
    <t>CUST-7333</t>
  </si>
  <si>
    <t>25 Jul 2025</t>
  </si>
  <si>
    <t>ORD-2025-10845</t>
  </si>
  <si>
    <t>CUST-2086</t>
  </si>
  <si>
    <t>20-01-2025</t>
  </si>
  <si>
    <t>25-01-2025</t>
  </si>
  <si>
    <t>ORD-2024-10846</t>
  </si>
  <si>
    <t>27 Feb 2024</t>
  </si>
  <si>
    <t>ORD-2024-10847</t>
  </si>
  <si>
    <t>CUST-6522</t>
  </si>
  <si>
    <t>2024-04-14</t>
  </si>
  <si>
    <t>2024-04-22</t>
  </si>
  <si>
    <t>ORD-2025-10848</t>
  </si>
  <si>
    <t>CUST-8329</t>
  </si>
  <si>
    <t>2025-05-20</t>
  </si>
  <si>
    <t>05/22/2025</t>
  </si>
  <si>
    <t>ORD-2025-10849</t>
  </si>
  <si>
    <t>CUST-4426</t>
  </si>
  <si>
    <t>29 May 2025</t>
  </si>
  <si>
    <t>ORD-2024-10850</t>
  </si>
  <si>
    <t>CUST-3360</t>
  </si>
  <si>
    <t>2024-03-06</t>
  </si>
  <si>
    <t>ORD-2024-10851</t>
  </si>
  <si>
    <t>CUST-2623</t>
  </si>
  <si>
    <t>ORD-2024-10852</t>
  </si>
  <si>
    <t>CUST-3175</t>
  </si>
  <si>
    <t>ORD-2024-10853</t>
  </si>
  <si>
    <t>CUST-9630</t>
  </si>
  <si>
    <t>01-04-2024</t>
  </si>
  <si>
    <t>ORD-2025-10854</t>
  </si>
  <si>
    <t>CUST-8274</t>
  </si>
  <si>
    <t>2025-05-16</t>
  </si>
  <si>
    <t>ORD-2025-10855</t>
  </si>
  <si>
    <t>CUST-2514</t>
  </si>
  <si>
    <t>03/25/2025</t>
  </si>
  <si>
    <t>04/02/2025</t>
  </si>
  <si>
    <t>ORD-2024-10856</t>
  </si>
  <si>
    <t>02 Aug 2024</t>
  </si>
  <si>
    <t>LABELS</t>
  </si>
  <si>
    <t>ORD-2024-10857</t>
  </si>
  <si>
    <t>2024-06-12</t>
  </si>
  <si>
    <t>ORD-2024-10858</t>
  </si>
  <si>
    <t>04 Jun 2024</t>
  </si>
  <si>
    <t>04-06-2024</t>
  </si>
  <si>
    <t>ORD-2024-10859</t>
  </si>
  <si>
    <t>CUST-9576</t>
  </si>
  <si>
    <t>ORD-2024-10860</t>
  </si>
  <si>
    <t>CUST-2395</t>
  </si>
  <si>
    <t>2024-11-01</t>
  </si>
  <si>
    <t>ORD-2024-10861</t>
  </si>
  <si>
    <t>CUST-8941</t>
  </si>
  <si>
    <t>04 Feb 2024</t>
  </si>
  <si>
    <t>ORD-2025-10862</t>
  </si>
  <si>
    <t>CUST-9448</t>
  </si>
  <si>
    <t>2025-03-08</t>
  </si>
  <si>
    <t>2025-03-09</t>
  </si>
  <si>
    <t>ORD-2025-10863</t>
  </si>
  <si>
    <t>CUST-8354</t>
  </si>
  <si>
    <t>31-03-2025</t>
  </si>
  <si>
    <t>ORD-2025-10864</t>
  </si>
  <si>
    <t>CUST-2200</t>
  </si>
  <si>
    <t>09/06/2025</t>
  </si>
  <si>
    <t>ORD-2025-10865</t>
  </si>
  <si>
    <t>CUST-1178</t>
  </si>
  <si>
    <t>02 Sep 2025</t>
  </si>
  <si>
    <t>ORD-2025-10866</t>
  </si>
  <si>
    <t>CUST-8099</t>
  </si>
  <si>
    <t>ORD-2025-10867</t>
  </si>
  <si>
    <t>CUST-7596</t>
  </si>
  <si>
    <t>2025-03-06</t>
  </si>
  <si>
    <t>ORD-2024-10868</t>
  </si>
  <si>
    <t>CUST-2328</t>
  </si>
  <si>
    <t>21 Nov 2024</t>
  </si>
  <si>
    <t>22 Nov 2024</t>
  </si>
  <si>
    <t>ORD-2025-10869</t>
  </si>
  <si>
    <t>CUST-8483</t>
  </si>
  <si>
    <t>ORD-2025-10870</t>
  </si>
  <si>
    <t>CUST-2388</t>
  </si>
  <si>
    <t>03/06/2025</t>
  </si>
  <si>
    <t>ORD-2025-10871</t>
  </si>
  <si>
    <t>CUST-7054</t>
  </si>
  <si>
    <t>06 Jun 2025</t>
  </si>
  <si>
    <t>07 Jun 2025</t>
  </si>
  <si>
    <t>ORD-2024-10872</t>
  </si>
  <si>
    <t>02/20/2024</t>
  </si>
  <si>
    <t>ORD-2024-10873</t>
  </si>
  <si>
    <t>02 Nov 2024</t>
  </si>
  <si>
    <t>ORD-2025-10874</t>
  </si>
  <si>
    <t>CUST-8160</t>
  </si>
  <si>
    <t>01 Feb 2025</t>
  </si>
  <si>
    <t>08-02-2025</t>
  </si>
  <si>
    <t>ORD-2025-10875</t>
  </si>
  <si>
    <t>CUST-8770</t>
  </si>
  <si>
    <t>ORD-2024-10876</t>
  </si>
  <si>
    <t>CUST-6928</t>
  </si>
  <si>
    <t>10 Aug 2024</t>
  </si>
  <si>
    <t>08/11/2024</t>
  </si>
  <si>
    <t>ORD-2024-10877</t>
  </si>
  <si>
    <t>CUST-9044</t>
  </si>
  <si>
    <t>11/18/2024</t>
  </si>
  <si>
    <t>20-11-2024</t>
  </si>
  <si>
    <t>ORD-2025-10878</t>
  </si>
  <si>
    <t>CUST-7146</t>
  </si>
  <si>
    <t>26-08-2025</t>
  </si>
  <si>
    <t>ORD-2024-10879</t>
  </si>
  <si>
    <t>CUST-8534</t>
  </si>
  <si>
    <t>ORD-2025-10880</t>
  </si>
  <si>
    <t>CUST-4486</t>
  </si>
  <si>
    <t>2025-08-27</t>
  </si>
  <si>
    <t>ORD-2024-10881</t>
  </si>
  <si>
    <t>CUST-5287</t>
  </si>
  <si>
    <t>08-03-2024</t>
  </si>
  <si>
    <t>ORD-2024-10882</t>
  </si>
  <si>
    <t>CUST-3445</t>
  </si>
  <si>
    <t>05-12-2024</t>
  </si>
  <si>
    <t>ORD-2025-10883</t>
  </si>
  <si>
    <t>CUST-4983</t>
  </si>
  <si>
    <t>02 Feb 2025</t>
  </si>
  <si>
    <t>ORD-2025-10884</t>
  </si>
  <si>
    <t>CUST-2597</t>
  </si>
  <si>
    <t>28 Apr 2025</t>
  </si>
  <si>
    <t>05/01/2025</t>
  </si>
  <si>
    <t>ORD-2025-10885</t>
  </si>
  <si>
    <t>CUST-7505</t>
  </si>
  <si>
    <t>18-01-2025</t>
  </si>
  <si>
    <t>2025-01-25</t>
  </si>
  <si>
    <t>ORD-2024-10886</t>
  </si>
  <si>
    <t>CUST-3446</t>
  </si>
  <si>
    <t>2024-01-05</t>
  </si>
  <si>
    <t>ORD-2025-10887</t>
  </si>
  <si>
    <t>CUST-3549</t>
  </si>
  <si>
    <t>26-04-2025</t>
  </si>
  <si>
    <t>03-05-2025</t>
  </si>
  <si>
    <t>ORD-2024-10888</t>
  </si>
  <si>
    <t>CUST-2795</t>
  </si>
  <si>
    <t>ORD-2025-10889</t>
  </si>
  <si>
    <t>CUST-1081</t>
  </si>
  <si>
    <t>06-08-2025</t>
  </si>
  <si>
    <t>ORD-2025-10890</t>
  </si>
  <si>
    <t>10 Mar 2025</t>
  </si>
  <si>
    <t>03/11/2025</t>
  </si>
  <si>
    <t>ORD-2024-10891</t>
  </si>
  <si>
    <t>CUST-3992</t>
  </si>
  <si>
    <t>ORD-2024-10892</t>
  </si>
  <si>
    <t>CUST-6647</t>
  </si>
  <si>
    <t>ORD-2025-10893</t>
  </si>
  <si>
    <t>CUST-5087</t>
  </si>
  <si>
    <t>04/12/2025</t>
  </si>
  <si>
    <t>ORD-2024-10894</t>
  </si>
  <si>
    <t>CUST-9297</t>
  </si>
  <si>
    <t>06 Jun 2024</t>
  </si>
  <si>
    <t>08 Jun 2024</t>
  </si>
  <si>
    <t>ORD-2024-10895</t>
  </si>
  <si>
    <t>CUST-7996</t>
  </si>
  <si>
    <t>02/29/2024</t>
  </si>
  <si>
    <t>ORD-2024-10896</t>
  </si>
  <si>
    <t>CUST-4117</t>
  </si>
  <si>
    <t>05 Nov 2024</t>
  </si>
  <si>
    <t>ORD-2024-10897</t>
  </si>
  <si>
    <t>CUST-4848</t>
  </si>
  <si>
    <t>12/24/2024</t>
  </si>
  <si>
    <t>ORD-2025-10898</t>
  </si>
  <si>
    <t>03 May 2025</t>
  </si>
  <si>
    <t>ORD-2024-10899</t>
  </si>
  <si>
    <t>CUST-6046</t>
  </si>
  <si>
    <t>ORD-2025-10900</t>
  </si>
  <si>
    <t>CUST-3789</t>
  </si>
  <si>
    <t>06/03/2025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</si>
</sst>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:mm:ss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name val="Cambria"/>
      <charset val="1"/>
    </font>
    <font>
      <i/>
      <sz val="9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0" xfId="0" applyFont="1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0" fontId="6" fillId="0" borderId="0" xfId="0" applyFon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ipModeTable" displayName="ShipModeTable" ref="A3:C8" totalsRowShown="0">
  <autoFilter ref="A3:C8" xr:uid="{00000000-0009-0000-0100-000001000000}"/>
  <tableColumns count="3">
    <tableColumn id="1" xr3:uid="{00000000-0010-0000-0000-000001000000}" name="Ship Mode"/>
    <tableColumn id="2" xr3:uid="{00000000-0010-0000-0000-000002000000}" name="Order Count"/>
    <tableColumn id="3" xr3:uid="{00000000-0010-0000-0000-000003000000}" name="% of Total Orde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zoomScaleNormal="100" workbookViewId="0">
      <selection activeCell="B18" sqref="B18"/>
    </sheetView>
  </sheetViews>
  <sheetFormatPr defaultColWidth="8.6640625" defaultRowHeight="14.4" x14ac:dyDescent="0.3"/>
  <cols>
    <col min="1" max="1" width="14" customWidth="1"/>
    <col min="2" max="3" width="20" customWidth="1"/>
    <col min="4" max="4" width="14" customWidth="1"/>
    <col min="5" max="5" width="18" customWidth="1"/>
  </cols>
  <sheetData>
    <row r="1" spans="1:6" ht="17.399999999999999" x14ac:dyDescent="0.3">
      <c r="A1" s="3" t="s">
        <v>0</v>
      </c>
      <c r="B1" s="3"/>
      <c r="C1" s="3"/>
      <c r="D1" s="3"/>
      <c r="E1" s="3"/>
      <c r="F1" s="3"/>
    </row>
    <row r="2" spans="1:6" x14ac:dyDescent="0.3">
      <c r="A2" s="2"/>
      <c r="B2" s="2"/>
      <c r="C2" s="2"/>
      <c r="D2" s="2"/>
      <c r="E2" s="2"/>
    </row>
    <row r="4" spans="1:6" ht="27.6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6" x14ac:dyDescent="0.3">
      <c r="A5" t="s">
        <v>6</v>
      </c>
      <c r="B5" s="5">
        <f>SUMIFS(CleanRef!$T$2:$T$913,CleanRef!$G$2:$G$913,"South",CleanRef!$AH$2:$AH$913,"Yes")</f>
        <v>1641549.9719999996</v>
      </c>
      <c r="C5" s="5">
        <f>SUMIFS(CleanRef!$U$2:$U$913,CleanRef!$G$2:$G$913,"South",CleanRef!$AH$2:$AH$913,"Yes")</f>
        <v>468067.9320000002</v>
      </c>
      <c r="D5" s="6">
        <f>IF(B5=0,0,C5/B5)</f>
        <v>0.28513779049304527</v>
      </c>
      <c r="E5">
        <f>COUNTIFS(CleanRef!$G$2:$G$913,"South",CleanRef!$AH$2:$AH$913,"Yes")</f>
        <v>153</v>
      </c>
    </row>
    <row r="6" spans="1:6" x14ac:dyDescent="0.3">
      <c r="A6" t="s">
        <v>7</v>
      </c>
      <c r="B6" s="5">
        <f>SUMIFS(CleanRef!$T$2:$T$913,CleanRef!$G$2:$G$913,"West",CleanRef!$AH$2:$AH$913,"Yes")</f>
        <v>1502507.2004999998</v>
      </c>
      <c r="C6" s="5">
        <f>SUMIFS(CleanRef!$U$2:$U$913,CleanRef!$G$2:$G$913,"West",CleanRef!$AH$2:$AH$913,"Yes")</f>
        <v>433402.26049999997</v>
      </c>
      <c r="D6" s="6">
        <f>IF(B6=0,0,C6/B6)</f>
        <v>0.28845270116227972</v>
      </c>
      <c r="E6">
        <f>COUNTIFS(CleanRef!$G$2:$G$913,"West",CleanRef!$AH$2:$AH$913,"Yes")</f>
        <v>153</v>
      </c>
    </row>
    <row r="7" spans="1:6" x14ac:dyDescent="0.3">
      <c r="A7" t="s">
        <v>8</v>
      </c>
      <c r="B7" s="5">
        <f>SUMIFS(CleanRef!$T$2:$T$913,CleanRef!$G$2:$G$913,"East",CleanRef!$AH$2:$AH$913,"Yes")</f>
        <v>1385008.3530000006</v>
      </c>
      <c r="C7" s="5">
        <f>SUMIFS(CleanRef!$U$2:$U$913,CleanRef!$G$2:$G$913,"East",CleanRef!$AH$2:$AH$913,"Yes")</f>
        <v>418198.97300000029</v>
      </c>
      <c r="D7" s="6">
        <f>IF(B7=0,0,C7/B7)</f>
        <v>0.30194689591160906</v>
      </c>
      <c r="E7">
        <f>COUNTIFS(CleanRef!$G$2:$G$913,"East",CleanRef!$AH$2:$AH$913,"Yes")</f>
        <v>149</v>
      </c>
    </row>
    <row r="8" spans="1:6" x14ac:dyDescent="0.3">
      <c r="A8" t="s">
        <v>9</v>
      </c>
      <c r="B8" s="5">
        <f>SUMIFS(CleanRef!$T$2:$T$913,CleanRef!$G$2:$G$913,"North",CleanRef!$AH$2:$AH$913,"Yes")</f>
        <v>1293210.3839999994</v>
      </c>
      <c r="C8" s="5">
        <f>SUMIFS(CleanRef!$U$2:$U$913,CleanRef!$G$2:$G$913,"North",CleanRef!$AH$2:$AH$913,"Yes")</f>
        <v>389626.99400000001</v>
      </c>
      <c r="D8" s="6">
        <f>IF(B8=0,0,C8/B8)</f>
        <v>0.30128662653856342</v>
      </c>
      <c r="E8">
        <f>COUNTIFS(CleanRef!$G$2:$G$913,"North",CleanRef!$AH$2:$AH$913,"Yes")</f>
        <v>128</v>
      </c>
    </row>
    <row r="9" spans="1:6" x14ac:dyDescent="0.3">
      <c r="A9" t="s">
        <v>10</v>
      </c>
      <c r="B9" s="5">
        <f>SUMIFS(CleanRef!$T$2:$T$913,CleanRef!$G$2:$G$913,"Unknown",CleanRef!$AH$2:$AH$913,"Yes")</f>
        <v>187898.4615</v>
      </c>
      <c r="C9" s="5">
        <f>SUMIFS(CleanRef!$U$2:$U$913,CleanRef!$G$2:$G$913,"Unknown",CleanRef!$AH$2:$AH$913,"Yes")</f>
        <v>63943.191500000015</v>
      </c>
      <c r="D9" s="6">
        <f>IF(B9=0,0,C9/B9)</f>
        <v>0.34030715839575948</v>
      </c>
      <c r="E9">
        <f>COUNTIFS(CleanRef!$G$2:$G$913,"Unknown",CleanRef!$AH$2:$AH$913,"Yes")</f>
        <v>19</v>
      </c>
    </row>
    <row r="10" spans="1:6" x14ac:dyDescent="0.3">
      <c r="A10" s="7" t="s">
        <v>11</v>
      </c>
      <c r="B10" s="8">
        <f>SUM(B5:B9)</f>
        <v>6010174.3709999993</v>
      </c>
      <c r="C10" s="8">
        <f>SUM(C5:C9)</f>
        <v>1773239.3510000003</v>
      </c>
      <c r="E10" s="9">
        <f>SUM(E5:E9)</f>
        <v>602</v>
      </c>
    </row>
    <row r="12" spans="1:6" x14ac:dyDescent="0.3">
      <c r="A12" s="10"/>
    </row>
  </sheetData>
  <mergeCells count="2">
    <mergeCell ref="A1:F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zoomScaleNormal="100" workbookViewId="0">
      <selection activeCell="A20" sqref="A20:C20"/>
    </sheetView>
  </sheetViews>
  <sheetFormatPr defaultColWidth="8.6640625" defaultRowHeight="14.4" x14ac:dyDescent="0.3"/>
  <cols>
    <col min="1" max="2" width="18" customWidth="1"/>
    <col min="3" max="4" width="20" customWidth="1"/>
  </cols>
  <sheetData>
    <row r="1" spans="1:4" ht="17.399999999999999" x14ac:dyDescent="0.3">
      <c r="A1" s="3" t="s">
        <v>12</v>
      </c>
      <c r="B1" s="3"/>
      <c r="C1" s="3"/>
      <c r="D1" s="3"/>
    </row>
    <row r="2" spans="1:4" x14ac:dyDescent="0.3">
      <c r="A2" s="2"/>
      <c r="B2" s="2"/>
      <c r="C2" s="2"/>
      <c r="D2" s="2"/>
    </row>
    <row r="4" spans="1:4" ht="27.6" x14ac:dyDescent="0.3">
      <c r="A4" s="4" t="s">
        <v>13</v>
      </c>
      <c r="B4" s="4" t="s">
        <v>14</v>
      </c>
      <c r="C4" s="4" t="s">
        <v>2</v>
      </c>
      <c r="D4" s="4" t="s">
        <v>3</v>
      </c>
    </row>
    <row r="5" spans="1:4" x14ac:dyDescent="0.3">
      <c r="A5" t="s">
        <v>15</v>
      </c>
      <c r="B5" t="s">
        <v>16</v>
      </c>
      <c r="C5" s="5">
        <f>SUMIFS(CleanRef!$T$2:$T$913,CleanRef!$J$2:$J$913,"Technology",CleanRef!$K$2:$K$913,"Copiers",CleanRef!$AH$2:$AH$913,"Yes")</f>
        <v>670173.3130000002</v>
      </c>
      <c r="D5" s="5">
        <f>SUMIFS(CleanRef!$U$2:$U$913,CleanRef!$J$2:$J$913,"Technology",CleanRef!$K$2:$K$913,"Copiers",CleanRef!$AH$2:$AH$913,"Yes")</f>
        <v>194107.973</v>
      </c>
    </row>
    <row r="6" spans="1:4" x14ac:dyDescent="0.3">
      <c r="A6" t="s">
        <v>15</v>
      </c>
      <c r="B6" t="s">
        <v>17</v>
      </c>
      <c r="C6" s="5">
        <f>SUMIFS(CleanRef!$T$2:$T$913,CleanRef!$J$2:$J$913,"Technology",CleanRef!$K$2:$K$913,"Phones",CleanRef!$AH$2:$AH$913,"Yes")</f>
        <v>585862.4665000001</v>
      </c>
      <c r="D6" s="5">
        <f>SUMIFS(CleanRef!$U$2:$U$913,CleanRef!$J$2:$J$913,"Technology",CleanRef!$K$2:$K$913,"Phones",CleanRef!$AH$2:$AH$913,"Yes")</f>
        <v>170370.79650000003</v>
      </c>
    </row>
    <row r="7" spans="1:4" x14ac:dyDescent="0.3">
      <c r="A7" t="s">
        <v>18</v>
      </c>
      <c r="B7" t="s">
        <v>19</v>
      </c>
      <c r="C7" s="5">
        <f>SUMIFS(CleanRef!$T$2:$T$913,CleanRef!$J$2:$J$913,"Furniture",CleanRef!$K$2:$K$913,"Chairs",CleanRef!$AH$2:$AH$913,"Yes")</f>
        <v>583968.64749999996</v>
      </c>
      <c r="D7" s="5">
        <f>SUMIFS(CleanRef!$U$2:$U$913,CleanRef!$J$2:$J$913,"Furniture",CleanRef!$K$2:$K$913,"Chairs",CleanRef!$AH$2:$AH$913,"Yes")</f>
        <v>175651.41749999998</v>
      </c>
    </row>
    <row r="8" spans="1:4" x14ac:dyDescent="0.3">
      <c r="A8" t="s">
        <v>20</v>
      </c>
      <c r="B8" t="s">
        <v>21</v>
      </c>
      <c r="C8" s="5">
        <f>SUMIFS(CleanRef!$T$2:$T$913,CleanRef!$J$2:$J$913,"Office Supplies",CleanRef!$K$2:$K$913,"Storage",CleanRef!$AH$2:$AH$913,"Yes")</f>
        <v>557307.69300000009</v>
      </c>
      <c r="D8" s="5">
        <f>SUMIFS(CleanRef!$U$2:$U$913,CleanRef!$J$2:$J$913,"Office Supplies",CleanRef!$K$2:$K$913,"Storage",CleanRef!$AH$2:$AH$913,"Yes")</f>
        <v>150002.36300000001</v>
      </c>
    </row>
    <row r="9" spans="1:4" x14ac:dyDescent="0.3">
      <c r="A9" t="s">
        <v>15</v>
      </c>
      <c r="B9" t="s">
        <v>22</v>
      </c>
      <c r="C9" s="5">
        <f>SUMIFS(CleanRef!$T$2:$T$913,CleanRef!$J$2:$J$913,"Technology",CleanRef!$K$2:$K$913,"Accessories",CleanRef!$AH$2:$AH$913,"Yes")</f>
        <v>530334.75950000004</v>
      </c>
      <c r="D9" s="5">
        <f>SUMIFS(CleanRef!$U$2:$U$913,CleanRef!$J$2:$J$913,"Technology",CleanRef!$K$2:$K$913,"Accessories",CleanRef!$AH$2:$AH$913,"Yes")</f>
        <v>158243.76949999997</v>
      </c>
    </row>
    <row r="10" spans="1:4" x14ac:dyDescent="0.3">
      <c r="A10" t="s">
        <v>18</v>
      </c>
      <c r="B10" t="s">
        <v>23</v>
      </c>
      <c r="C10" s="5">
        <f>SUMIFS(CleanRef!$T$2:$T$913,CleanRef!$J$2:$J$913,"Furniture",CleanRef!$K$2:$K$913,"Furnishings",CleanRef!$AH$2:$AH$913,"Yes")</f>
        <v>503021.35000000003</v>
      </c>
      <c r="D10" s="5">
        <f>SUMIFS(CleanRef!$U$2:$U$913,CleanRef!$J$2:$J$913,"Furniture",CleanRef!$K$2:$K$913,"Furnishings",CleanRef!$AH$2:$AH$913,"Yes")</f>
        <v>146832.71000000005</v>
      </c>
    </row>
    <row r="11" spans="1:4" x14ac:dyDescent="0.3">
      <c r="A11" t="s">
        <v>20</v>
      </c>
      <c r="B11" t="s">
        <v>24</v>
      </c>
      <c r="C11" s="5">
        <f>SUMIFS(CleanRef!$T$2:$T$913,CleanRef!$J$2:$J$913,"Office Supplies",CleanRef!$K$2:$K$913,"Paper",CleanRef!$AH$2:$AH$913,"Yes")</f>
        <v>447884.39199999999</v>
      </c>
      <c r="D11" s="5">
        <f>SUMIFS(CleanRef!$U$2:$U$913,CleanRef!$J$2:$J$913,"Office Supplies",CleanRef!$K$2:$K$913,"Paper",CleanRef!$AH$2:$AH$913,"Yes")</f>
        <v>123501.05199999998</v>
      </c>
    </row>
    <row r="12" spans="1:4" x14ac:dyDescent="0.3">
      <c r="A12" t="s">
        <v>15</v>
      </c>
      <c r="B12" t="s">
        <v>25</v>
      </c>
      <c r="C12" s="5">
        <f>SUMIFS(CleanRef!$T$2:$T$913,CleanRef!$J$2:$J$913,"Technology",CleanRef!$K$2:$K$913,"Machines",CleanRef!$AH$2:$AH$913,"Yes")</f>
        <v>429529.92600000004</v>
      </c>
      <c r="D12" s="5">
        <f>SUMIFS(CleanRef!$U$2:$U$913,CleanRef!$J$2:$J$913,"Technology",CleanRef!$K$2:$K$913,"Machines",CleanRef!$AH$2:$AH$913,"Yes")</f>
        <v>148398.05600000001</v>
      </c>
    </row>
    <row r="13" spans="1:4" x14ac:dyDescent="0.3">
      <c r="A13" t="s">
        <v>18</v>
      </c>
      <c r="B13" t="s">
        <v>26</v>
      </c>
      <c r="C13" s="5">
        <f>SUMIFS(CleanRef!$T$2:$T$913,CleanRef!$J$2:$J$913,"Furniture",CleanRef!$K$2:$K$913,"Bookcases",CleanRef!$AH$2:$AH$913,"Yes")</f>
        <v>426946.02150000003</v>
      </c>
      <c r="D13" s="5">
        <f>SUMIFS(CleanRef!$U$2:$U$913,CleanRef!$J$2:$J$913,"Furniture",CleanRef!$K$2:$K$913,"Bookcases",CleanRef!$AH$2:$AH$913,"Yes")</f>
        <v>121943.99149999999</v>
      </c>
    </row>
    <row r="14" spans="1:4" x14ac:dyDescent="0.3">
      <c r="A14" t="s">
        <v>18</v>
      </c>
      <c r="B14" t="s">
        <v>27</v>
      </c>
      <c r="C14" s="5">
        <f>SUMIFS(CleanRef!$T$2:$T$913,CleanRef!$J$2:$J$913,"Furniture",CleanRef!$K$2:$K$913,"Tables",CleanRef!$AH$2:$AH$913,"Yes")</f>
        <v>420185.32899999997</v>
      </c>
      <c r="D14" s="5">
        <f>SUMIFS(CleanRef!$U$2:$U$913,CleanRef!$J$2:$J$913,"Furniture",CleanRef!$K$2:$K$913,"Tables",CleanRef!$AH$2:$AH$913,"Yes")</f>
        <v>127253.68899999998</v>
      </c>
    </row>
    <row r="15" spans="1:4" x14ac:dyDescent="0.3">
      <c r="A15" t="s">
        <v>20</v>
      </c>
      <c r="B15" t="s">
        <v>28</v>
      </c>
      <c r="C15" s="5">
        <f>SUMIFS(CleanRef!$T$2:$T$913,CleanRef!$J$2:$J$913,"Office Supplies",CleanRef!$K$2:$K$913,"Binders",CleanRef!$AH$2:$AH$913,"Yes")</f>
        <v>342853.56149999995</v>
      </c>
      <c r="D15" s="5">
        <f>SUMIFS(CleanRef!$U$2:$U$913,CleanRef!$J$2:$J$913,"Office Supplies",CleanRef!$K$2:$K$913,"Binders",CleanRef!$AH$2:$AH$913,"Yes")</f>
        <v>109222.1915</v>
      </c>
    </row>
    <row r="16" spans="1:4" x14ac:dyDescent="0.3">
      <c r="A16" t="s">
        <v>20</v>
      </c>
      <c r="B16" t="s">
        <v>29</v>
      </c>
      <c r="C16" s="5">
        <f>SUMIFS(CleanRef!$T$2:$T$913,CleanRef!$J$2:$J$913,"Office Supplies",CleanRef!$K$2:$K$913,"Art",CleanRef!$AH$2:$AH$913,"Yes")</f>
        <v>302936.38350000005</v>
      </c>
      <c r="D16" s="5">
        <f>SUMIFS(CleanRef!$U$2:$U$913,CleanRef!$J$2:$J$913,"Office Supplies",CleanRef!$K$2:$K$913,"Art",CleanRef!$AH$2:$AH$913,"Yes")</f>
        <v>82544.723499999993</v>
      </c>
    </row>
    <row r="17" spans="1:4" x14ac:dyDescent="0.3">
      <c r="A17" t="s">
        <v>20</v>
      </c>
      <c r="B17" t="s">
        <v>30</v>
      </c>
      <c r="C17" s="5">
        <f>SUMIFS(CleanRef!$T$2:$T$913,CleanRef!$J$2:$J$913,"Office Supplies",CleanRef!$K$2:$K$913,"Labels",CleanRef!$AH$2:$AH$913,"Yes")</f>
        <v>209170.52800000002</v>
      </c>
      <c r="D17" s="5">
        <f>SUMIFS(CleanRef!$U$2:$U$913,CleanRef!$J$2:$J$913,"Office Supplies",CleanRef!$K$2:$K$913,"Labels",CleanRef!$AH$2:$AH$913,"Yes")</f>
        <v>65166.618000000002</v>
      </c>
    </row>
    <row r="18" spans="1:4" x14ac:dyDescent="0.3">
      <c r="B18" s="7" t="s">
        <v>11</v>
      </c>
      <c r="C18" s="8">
        <f>SUM(C5:C17)</f>
        <v>6010174.3710000003</v>
      </c>
      <c r="D18" s="8">
        <f>SUM(D5:D17)</f>
        <v>1773239.3510000003</v>
      </c>
    </row>
    <row r="20" spans="1:4" x14ac:dyDescent="0.3">
      <c r="A20" s="10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zoomScaleNormal="100" workbookViewId="0">
      <selection activeCell="A11" sqref="A10:F11"/>
    </sheetView>
  </sheetViews>
  <sheetFormatPr defaultColWidth="8.6640625" defaultRowHeight="14.4" x14ac:dyDescent="0.3"/>
  <cols>
    <col min="1" max="1" width="18" customWidth="1"/>
    <col min="2" max="2" width="14" customWidth="1"/>
    <col min="3" max="3" width="18" customWidth="1"/>
  </cols>
  <sheetData>
    <row r="1" spans="1:3" ht="17.399999999999999" x14ac:dyDescent="0.3">
      <c r="A1" s="3" t="s">
        <v>31</v>
      </c>
      <c r="B1" s="3"/>
      <c r="C1" s="3"/>
    </row>
    <row r="3" spans="1:3" ht="27.6" x14ac:dyDescent="0.3">
      <c r="A3" s="4" t="s">
        <v>32</v>
      </c>
      <c r="B3" s="4" t="s">
        <v>33</v>
      </c>
      <c r="C3" s="4" t="s">
        <v>34</v>
      </c>
    </row>
    <row r="4" spans="1:3" x14ac:dyDescent="0.3">
      <c r="A4" t="s">
        <v>35</v>
      </c>
      <c r="B4">
        <f>COUNTIF(CleanRef!$M$2:$M$913,"Standard Class")</f>
        <v>242</v>
      </c>
      <c r="C4" s="6">
        <f>B4/COUNTA(CleanRef!$A$2:$A$913)</f>
        <v>0.26535087719298245</v>
      </c>
    </row>
    <row r="5" spans="1:3" x14ac:dyDescent="0.3">
      <c r="A5" t="s">
        <v>36</v>
      </c>
      <c r="B5">
        <f>COUNTIF(CleanRef!$M$2:$M$913,"First Class")</f>
        <v>223</v>
      </c>
      <c r="C5" s="6">
        <f>B5/COUNTA(CleanRef!$A$2:$A$913)</f>
        <v>0.24451754385964913</v>
      </c>
    </row>
    <row r="6" spans="1:3" x14ac:dyDescent="0.3">
      <c r="A6" t="s">
        <v>37</v>
      </c>
      <c r="B6">
        <f>COUNTIF(CleanRef!$M$2:$M$913,"Second Class")</f>
        <v>222</v>
      </c>
      <c r="C6" s="6">
        <f>B6/COUNTA(CleanRef!$A$2:$A$913)</f>
        <v>0.24342105263157895</v>
      </c>
    </row>
    <row r="7" spans="1:3" x14ac:dyDescent="0.3">
      <c r="A7" t="s">
        <v>38</v>
      </c>
      <c r="B7">
        <f>COUNTIF(CleanRef!$M$2:$M$913,"Same Day")</f>
        <v>204</v>
      </c>
      <c r="C7" s="6">
        <f>B7/COUNTA(CleanRef!$A$2:$A$913)</f>
        <v>0.22368421052631579</v>
      </c>
    </row>
    <row r="8" spans="1:3" x14ac:dyDescent="0.3">
      <c r="A8" t="s">
        <v>10</v>
      </c>
      <c r="B8">
        <f>COUNTIF(CleanRef!$M$2:$M$913,"Unknown")</f>
        <v>21</v>
      </c>
      <c r="C8" s="6">
        <f>B8/COUNTA(CleanRef!$A$2:$A$913)</f>
        <v>2.3026315789473683E-2</v>
      </c>
    </row>
    <row r="9" spans="1:3" x14ac:dyDescent="0.3">
      <c r="A9" s="7" t="s">
        <v>11</v>
      </c>
      <c r="B9" s="9">
        <f>SUM(B4:B8)</f>
        <v>912</v>
      </c>
    </row>
    <row r="11" spans="1:3" x14ac:dyDescent="0.3">
      <c r="A11" s="10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selection activeCell="A10" sqref="A10:B10"/>
    </sheetView>
  </sheetViews>
  <sheetFormatPr defaultColWidth="8.6640625" defaultRowHeight="14.4" x14ac:dyDescent="0.3"/>
  <cols>
    <col min="1" max="1" width="18" customWidth="1"/>
    <col min="2" max="3" width="20" customWidth="1"/>
    <col min="4" max="4" width="16" customWidth="1"/>
  </cols>
  <sheetData>
    <row r="1" spans="1:4" ht="17.399999999999999" x14ac:dyDescent="0.3">
      <c r="A1" s="3" t="s">
        <v>39</v>
      </c>
      <c r="B1" s="3"/>
      <c r="C1" s="3"/>
      <c r="D1" s="3"/>
    </row>
    <row r="2" spans="1:4" x14ac:dyDescent="0.3">
      <c r="A2" s="2"/>
      <c r="B2" s="2"/>
      <c r="C2" s="2"/>
      <c r="D2" s="2"/>
    </row>
    <row r="4" spans="1:4" ht="27.6" x14ac:dyDescent="0.3">
      <c r="A4" s="4" t="s">
        <v>40</v>
      </c>
      <c r="B4" s="4" t="s">
        <v>2</v>
      </c>
      <c r="C4" s="4" t="s">
        <v>3</v>
      </c>
      <c r="D4" s="4" t="s">
        <v>4</v>
      </c>
    </row>
    <row r="5" spans="1:4" x14ac:dyDescent="0.3">
      <c r="A5" t="s">
        <v>41</v>
      </c>
      <c r="B5" s="5">
        <f>SUMIFS(CleanRef!$T$2:$T$913,CleanRef!$F$2:$F$913,"Home Office",CleanRef!$AH$2:$AH$913,"Yes")</f>
        <v>1564214.5294999992</v>
      </c>
      <c r="C5" s="5">
        <f>SUMIFS(CleanRef!$U$2:$U$913,CleanRef!$F$2:$F$913,"Home Office",CleanRef!$AH$2:$AH$913,"Yes")</f>
        <v>474152.63950000022</v>
      </c>
      <c r="D5" s="11">
        <f>IF(B5=0,0,C5/B5)</f>
        <v>0.30312507047966303</v>
      </c>
    </row>
    <row r="6" spans="1:4" x14ac:dyDescent="0.3">
      <c r="A6" t="s">
        <v>42</v>
      </c>
      <c r="B6" s="5">
        <f>SUMIFS(CleanRef!$T$2:$T$913,CleanRef!$F$2:$F$913,"Consumer",CleanRef!$AH$2:$AH$913,"Yes")</f>
        <v>1472995.8765</v>
      </c>
      <c r="C6" s="5">
        <f>SUMIFS(CleanRef!$U$2:$U$913,CleanRef!$F$2:$F$913,"Consumer",CleanRef!$AH$2:$AH$913,"Yes")</f>
        <v>438320.57649999991</v>
      </c>
      <c r="D6" s="11">
        <f>IF(B6=0,0,C6/B6)</f>
        <v>0.2975708102737516</v>
      </c>
    </row>
    <row r="7" spans="1:4" x14ac:dyDescent="0.3">
      <c r="A7" t="s">
        <v>43</v>
      </c>
      <c r="B7" s="5">
        <f>SUMIFS(CleanRef!$T$2:$T$913,CleanRef!$F$2:$F$913,"Corporate",CleanRef!$AH$2:$AH$913,"Yes")</f>
        <v>1312159.6194999998</v>
      </c>
      <c r="C7" s="5">
        <f>SUMIFS(CleanRef!$U$2:$U$913,CleanRef!$F$2:$F$913,"Corporate",CleanRef!$AH$2:$AH$913,"Yes")</f>
        <v>386126.61950000009</v>
      </c>
      <c r="D7" s="11">
        <f>IF(B7=0,0,C7/B7)</f>
        <v>0.29426802483613551</v>
      </c>
    </row>
    <row r="8" spans="1:4" x14ac:dyDescent="0.3">
      <c r="A8" t="s">
        <v>44</v>
      </c>
      <c r="B8" s="5">
        <f>SUMIFS(CleanRef!$T$2:$T$913,CleanRef!$F$2:$F$913,"Small Business",CleanRef!$AH$2:$AH$913,"Yes")</f>
        <v>1660804.3455000005</v>
      </c>
      <c r="C8" s="5">
        <f>SUMIFS(CleanRef!$U$2:$U$913,CleanRef!$F$2:$F$913,"Small Business",CleanRef!$AH$2:$AH$913,"Yes")</f>
        <v>474639.51550000015</v>
      </c>
      <c r="D8" s="11">
        <f>IF(B8=0,0,C8/B8)</f>
        <v>0.28578894123564297</v>
      </c>
    </row>
    <row r="10" spans="1:4" x14ac:dyDescent="0.3">
      <c r="A10" s="10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showGridLines="0" zoomScaleNormal="100" workbookViewId="0">
      <selection activeCell="A11" sqref="A11:D11"/>
    </sheetView>
  </sheetViews>
  <sheetFormatPr defaultColWidth="8.6640625" defaultRowHeight="14.4" x14ac:dyDescent="0.3"/>
  <cols>
    <col min="1" max="1" width="14" customWidth="1"/>
    <col min="2" max="2" width="24" customWidth="1"/>
    <col min="3" max="3" width="22" customWidth="1"/>
    <col min="4" max="4" width="24" customWidth="1"/>
  </cols>
  <sheetData>
    <row r="1" spans="1:4" ht="17.399999999999999" x14ac:dyDescent="0.3">
      <c r="A1" s="3" t="s">
        <v>45</v>
      </c>
      <c r="B1" s="3"/>
      <c r="C1" s="3"/>
      <c r="D1" s="3"/>
    </row>
    <row r="3" spans="1:4" ht="27.6" x14ac:dyDescent="0.3">
      <c r="A3" s="4" t="s">
        <v>1</v>
      </c>
      <c r="B3" s="4" t="s">
        <v>46</v>
      </c>
      <c r="C3" s="4" t="s">
        <v>47</v>
      </c>
      <c r="D3" s="4" t="s">
        <v>48</v>
      </c>
    </row>
    <row r="4" spans="1:4" x14ac:dyDescent="0.3">
      <c r="A4" t="s">
        <v>8</v>
      </c>
      <c r="B4">
        <f>COUNTIFS(CleanRef!$G$2:$G$913,"East",CleanRef!$Z$2:$Z$913,"Refunded")</f>
        <v>14</v>
      </c>
      <c r="C4">
        <f>COUNTIFS(CleanRef!$G$2:$G$913,"East",CleanRef!$AA$2:$AA$913,"Cancelled")</f>
        <v>30</v>
      </c>
      <c r="D4">
        <f>COUNTIFS(CleanRef!$G$2:$G$913,"East",CleanRef!$Z$2:$Z$913,"Failed")</f>
        <v>13</v>
      </c>
    </row>
    <row r="5" spans="1:4" x14ac:dyDescent="0.3">
      <c r="A5" t="s">
        <v>9</v>
      </c>
      <c r="B5">
        <f>COUNTIFS(CleanRef!$G$2:$G$913,"North",CleanRef!$Z$2:$Z$913,"Refunded")</f>
        <v>20</v>
      </c>
      <c r="C5">
        <f>COUNTIFS(CleanRef!$G$2:$G$913,"North",CleanRef!$AA$2:$AA$913,"Cancelled")</f>
        <v>48</v>
      </c>
      <c r="D5">
        <f>COUNTIFS(CleanRef!$G$2:$G$913,"North",CleanRef!$Z$2:$Z$913,"Failed")</f>
        <v>20</v>
      </c>
    </row>
    <row r="6" spans="1:4" x14ac:dyDescent="0.3">
      <c r="A6" t="s">
        <v>6</v>
      </c>
      <c r="B6">
        <f>COUNTIFS(CleanRef!$G$2:$G$913,"South",CleanRef!$Z$2:$Z$913,"Refunded")</f>
        <v>20</v>
      </c>
      <c r="C6">
        <f>COUNTIFS(CleanRef!$G$2:$G$913,"South",CleanRef!$AA$2:$AA$913,"Cancelled")</f>
        <v>35</v>
      </c>
      <c r="D6">
        <f>COUNTIFS(CleanRef!$G$2:$G$913,"South",CleanRef!$Z$2:$Z$913,"Failed")</f>
        <v>20</v>
      </c>
    </row>
    <row r="7" spans="1:4" x14ac:dyDescent="0.3">
      <c r="A7" t="s">
        <v>7</v>
      </c>
      <c r="B7">
        <f>COUNTIFS(CleanRef!$G$2:$G$913,"West",CleanRef!$Z$2:$Z$913,"Refunded")</f>
        <v>14</v>
      </c>
      <c r="C7">
        <f>COUNTIFS(CleanRef!$G$2:$G$913,"West",CleanRef!$AA$2:$AA$913,"Cancelled")</f>
        <v>30</v>
      </c>
      <c r="D7">
        <f>COUNTIFS(CleanRef!$G$2:$G$913,"West",CleanRef!$Z$2:$Z$913,"Failed")</f>
        <v>14</v>
      </c>
    </row>
    <row r="8" spans="1:4" x14ac:dyDescent="0.3">
      <c r="A8" t="s">
        <v>10</v>
      </c>
      <c r="B8">
        <f>COUNTIFS(CleanRef!$G$2:$G$913,"Unknown",CleanRef!$Z$2:$Z$913,"Refunded")</f>
        <v>3</v>
      </c>
      <c r="C8">
        <f>COUNTIFS(CleanRef!$G$2:$G$913,"Unknown",CleanRef!$AA$2:$AA$913,"Cancelled")</f>
        <v>2</v>
      </c>
      <c r="D8">
        <f>COUNTIFS(CleanRef!$G$2:$G$913,"Unknown",CleanRef!$Z$2:$Z$913,"Failed")</f>
        <v>2</v>
      </c>
    </row>
    <row r="9" spans="1:4" x14ac:dyDescent="0.3">
      <c r="A9" s="7" t="s">
        <v>11</v>
      </c>
      <c r="B9" s="9">
        <f>SUM(B4:B8)</f>
        <v>71</v>
      </c>
      <c r="C9" s="9">
        <f>SUM(C4:C8)</f>
        <v>145</v>
      </c>
      <c r="D9" s="9">
        <f>SUM(D4:D8)</f>
        <v>69</v>
      </c>
    </row>
    <row r="11" spans="1:4" x14ac:dyDescent="0.3">
      <c r="A11" s="1"/>
      <c r="B11" s="1"/>
      <c r="C11" s="1"/>
      <c r="D11" s="1"/>
    </row>
  </sheetData>
  <mergeCells count="2">
    <mergeCell ref="A1:D1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showGridLines="0" tabSelected="1" zoomScaleNormal="100" workbookViewId="0">
      <selection activeCell="A31" sqref="A31:D31"/>
    </sheetView>
  </sheetViews>
  <sheetFormatPr defaultColWidth="8.6640625" defaultRowHeight="14.4" x14ac:dyDescent="0.3"/>
  <cols>
    <col min="1" max="1" width="16" customWidth="1"/>
    <col min="2" max="3" width="20" customWidth="1"/>
    <col min="4" max="4" width="18" customWidth="1"/>
  </cols>
  <sheetData>
    <row r="1" spans="1:4" ht="17.399999999999999" x14ac:dyDescent="0.3">
      <c r="A1" s="3" t="s">
        <v>49</v>
      </c>
      <c r="B1" s="3"/>
      <c r="C1" s="3"/>
      <c r="D1" s="3"/>
    </row>
    <row r="2" spans="1:4" x14ac:dyDescent="0.3">
      <c r="A2" s="2"/>
      <c r="B2" s="2"/>
      <c r="C2" s="2"/>
      <c r="D2" s="2"/>
    </row>
    <row r="4" spans="1:4" ht="27.6" x14ac:dyDescent="0.3">
      <c r="A4" s="4" t="s">
        <v>50</v>
      </c>
      <c r="B4" s="4" t="s">
        <v>2</v>
      </c>
      <c r="C4" s="4" t="s">
        <v>3</v>
      </c>
      <c r="D4" s="4" t="s">
        <v>5</v>
      </c>
    </row>
    <row r="5" spans="1:4" x14ac:dyDescent="0.3">
      <c r="A5" t="s">
        <v>51</v>
      </c>
      <c r="B5" s="5">
        <f>SUMIFS(CleanRef!$T$2:$T$913,CleanRef!$Y$2:$Y$913,2024,CleanRef!$X$2:$X$913,"January",CleanRef!$AH$2:$AH$913,"Yes")</f>
        <v>257280.76499999996</v>
      </c>
      <c r="C5" s="5">
        <f>SUMIFS(CleanRef!$U$2:$U$913,CleanRef!$Y$2:$Y$913,2024,CleanRef!$X$2:$X$913,"January",CleanRef!$AH$2:$AH$913,"Yes")</f>
        <v>93253.284999999989</v>
      </c>
      <c r="D5">
        <f>COUNTIFS(CleanRef!$Y$2:$Y$913,2024,CleanRef!$X$2:$X$913,"January",CleanRef!$AH$2:$AH$913,"Yes")</f>
        <v>28</v>
      </c>
    </row>
    <row r="6" spans="1:4" x14ac:dyDescent="0.3">
      <c r="A6" t="s">
        <v>52</v>
      </c>
      <c r="B6" s="5">
        <f>SUMIFS(CleanRef!$T$2:$T$913,CleanRef!$Y$2:$Y$913,2024,CleanRef!$X$2:$X$913,"February",CleanRef!$AH$2:$AH$913,"Yes")</f>
        <v>272999.96549999999</v>
      </c>
      <c r="C6" s="5">
        <f>SUMIFS(CleanRef!$U$2:$U$913,CleanRef!$Y$2:$Y$913,2024,CleanRef!$X$2:$X$913,"February",CleanRef!$AH$2:$AH$913,"Yes")</f>
        <v>85401.395500000013</v>
      </c>
      <c r="D6">
        <f>COUNTIFS(CleanRef!$Y$2:$Y$913,2024,CleanRef!$X$2:$X$913,"February",CleanRef!$AH$2:$AH$913,"Yes")</f>
        <v>28</v>
      </c>
    </row>
    <row r="7" spans="1:4" x14ac:dyDescent="0.3">
      <c r="A7" t="s">
        <v>53</v>
      </c>
      <c r="B7" s="5">
        <f>SUMIFS(CleanRef!$T$2:$T$913,CleanRef!$Y$2:$Y$913,2024,CleanRef!$X$2:$X$913,"March",CleanRef!$AH$2:$AH$913,"Yes")</f>
        <v>248995.00000000003</v>
      </c>
      <c r="C7" s="5">
        <f>SUMIFS(CleanRef!$U$2:$U$913,CleanRef!$Y$2:$Y$913,2024,CleanRef!$X$2:$X$913,"March",CleanRef!$AH$2:$AH$913,"Yes")</f>
        <v>76783.939999999988</v>
      </c>
      <c r="D7">
        <f>COUNTIFS(CleanRef!$Y$2:$Y$913,2024,CleanRef!$X$2:$X$913,"March",CleanRef!$AH$2:$AH$913,"Yes")</f>
        <v>27</v>
      </c>
    </row>
    <row r="8" spans="1:4" x14ac:dyDescent="0.3">
      <c r="A8" t="s">
        <v>54</v>
      </c>
      <c r="B8" s="5">
        <f>SUMIFS(CleanRef!$T$2:$T$913,CleanRef!$Y$2:$Y$913,2024,CleanRef!$X$2:$X$913,"April",CleanRef!$AH$2:$AH$913,"Yes")</f>
        <v>241541.505</v>
      </c>
      <c r="C8" s="5">
        <f>SUMIFS(CleanRef!$U$2:$U$913,CleanRef!$Y$2:$Y$913,2024,CleanRef!$X$2:$X$913,"April",CleanRef!$AH$2:$AH$913,"Yes")</f>
        <v>67927.845000000001</v>
      </c>
      <c r="D8">
        <f>COUNTIFS(CleanRef!$Y$2:$Y$913,2024,CleanRef!$X$2:$X$913,"April",CleanRef!$AH$2:$AH$913,"Yes")</f>
        <v>21</v>
      </c>
    </row>
    <row r="9" spans="1:4" x14ac:dyDescent="0.3">
      <c r="A9" t="s">
        <v>55</v>
      </c>
      <c r="B9" s="5">
        <f>SUMIFS(CleanRef!$T$2:$T$913,CleanRef!$Y$2:$Y$913,2024,CleanRef!$X$2:$X$913,"May",CleanRef!$AH$2:$AH$913,"Yes")</f>
        <v>359038.67949999997</v>
      </c>
      <c r="C9" s="5">
        <f>SUMIFS(CleanRef!$U$2:$U$913,CleanRef!$Y$2:$Y$913,2024,CleanRef!$X$2:$X$913,"May",CleanRef!$AH$2:$AH$913,"Yes")</f>
        <v>91003.629499999981</v>
      </c>
      <c r="D9">
        <f>COUNTIFS(CleanRef!$Y$2:$Y$913,2024,CleanRef!$X$2:$X$913,"May",CleanRef!$AH$2:$AH$913,"Yes")</f>
        <v>34</v>
      </c>
    </row>
    <row r="10" spans="1:4" x14ac:dyDescent="0.3">
      <c r="A10" t="s">
        <v>56</v>
      </c>
      <c r="B10" s="5">
        <f>SUMIFS(CleanRef!$T$2:$T$913,CleanRef!$Y$2:$Y$913,2024,CleanRef!$X$2:$X$913,"June",CleanRef!$AH$2:$AH$913,"Yes")</f>
        <v>395531.12150000001</v>
      </c>
      <c r="C10" s="5">
        <f>SUMIFS(CleanRef!$U$2:$U$913,CleanRef!$Y$2:$Y$913,2024,CleanRef!$X$2:$X$913,"June",CleanRef!$AH$2:$AH$913,"Yes")</f>
        <v>116614.76150000001</v>
      </c>
      <c r="D10">
        <f>COUNTIFS(CleanRef!$Y$2:$Y$913,2024,CleanRef!$X$2:$X$913,"June",CleanRef!$AH$2:$AH$913,"Yes")</f>
        <v>33</v>
      </c>
    </row>
    <row r="11" spans="1:4" x14ac:dyDescent="0.3">
      <c r="A11" t="s">
        <v>57</v>
      </c>
      <c r="B11" s="5">
        <f>SUMIFS(CleanRef!$T$2:$T$913,CleanRef!$Y$2:$Y$913,2024,CleanRef!$X$2:$X$913,"July",CleanRef!$AH$2:$AH$913,"Yes")</f>
        <v>235720.30449999994</v>
      </c>
      <c r="C11" s="5">
        <f>SUMIFS(CleanRef!$U$2:$U$913,CleanRef!$Y$2:$Y$913,2024,CleanRef!$X$2:$X$913,"July",CleanRef!$AH$2:$AH$913,"Yes")</f>
        <v>62651.654500000004</v>
      </c>
      <c r="D11">
        <f>COUNTIFS(CleanRef!$Y$2:$Y$913,2024,CleanRef!$X$2:$X$913,"July",CleanRef!$AH$2:$AH$913,"Yes")</f>
        <v>27</v>
      </c>
    </row>
    <row r="12" spans="1:4" x14ac:dyDescent="0.3">
      <c r="A12" t="s">
        <v>58</v>
      </c>
      <c r="B12" s="5">
        <f>SUMIFS(CleanRef!$T$2:$T$913,CleanRef!$Y$2:$Y$913,2024,CleanRef!$X$2:$X$913,"August",CleanRef!$AH$2:$AH$913,"Yes")</f>
        <v>241428.66549999997</v>
      </c>
      <c r="C12" s="5">
        <f>SUMIFS(CleanRef!$U$2:$U$913,CleanRef!$Y$2:$Y$913,2024,CleanRef!$X$2:$X$913,"August",CleanRef!$AH$2:$AH$913,"Yes")</f>
        <v>74723.395499999999</v>
      </c>
      <c r="D12">
        <f>COUNTIFS(CleanRef!$Y$2:$Y$913,2024,CleanRef!$X$2:$X$913,"August",CleanRef!$AH$2:$AH$913,"Yes")</f>
        <v>30</v>
      </c>
    </row>
    <row r="13" spans="1:4" x14ac:dyDescent="0.3">
      <c r="A13" t="s">
        <v>59</v>
      </c>
      <c r="B13" s="5">
        <f>SUMIFS(CleanRef!$T$2:$T$913,CleanRef!$Y$2:$Y$913,2024,CleanRef!$X$2:$X$913,"September",CleanRef!$AH$2:$AH$913,"Yes")</f>
        <v>226234.26500000004</v>
      </c>
      <c r="C13" s="5">
        <f>SUMIFS(CleanRef!$U$2:$U$913,CleanRef!$Y$2:$Y$913,2024,CleanRef!$X$2:$X$913,"September",CleanRef!$AH$2:$AH$913,"Yes")</f>
        <v>57228.044999999991</v>
      </c>
      <c r="D13">
        <f>COUNTIFS(CleanRef!$Y$2:$Y$913,2024,CleanRef!$X$2:$X$913,"September",CleanRef!$AH$2:$AH$913,"Yes")</f>
        <v>23</v>
      </c>
    </row>
    <row r="14" spans="1:4" x14ac:dyDescent="0.3">
      <c r="A14" t="s">
        <v>60</v>
      </c>
      <c r="B14" s="5">
        <f>SUMIFS(CleanRef!$T$2:$T$913,CleanRef!$Y$2:$Y$913,2024,CleanRef!$X$2:$X$913,"October",CleanRef!$AH$2:$AH$913,"Yes")</f>
        <v>351284.31999999989</v>
      </c>
      <c r="C14" s="5">
        <f>SUMIFS(CleanRef!$U$2:$U$913,CleanRef!$Y$2:$Y$913,2024,CleanRef!$X$2:$X$913,"October",CleanRef!$AH$2:$AH$913,"Yes")</f>
        <v>100336.11000000002</v>
      </c>
      <c r="D14">
        <f>COUNTIFS(CleanRef!$Y$2:$Y$913,2024,CleanRef!$X$2:$X$913,"October",CleanRef!$AH$2:$AH$913,"Yes")</f>
        <v>30</v>
      </c>
    </row>
    <row r="15" spans="1:4" x14ac:dyDescent="0.3">
      <c r="A15" t="s">
        <v>61</v>
      </c>
      <c r="B15" s="5">
        <f>SUMIFS(CleanRef!$T$2:$T$913,CleanRef!$Y$2:$Y$913,2024,CleanRef!$X$2:$X$913,"November",CleanRef!$AH$2:$AH$913,"Yes")</f>
        <v>260061.65300000002</v>
      </c>
      <c r="C15" s="5">
        <f>SUMIFS(CleanRef!$U$2:$U$913,CleanRef!$Y$2:$Y$913,2024,CleanRef!$X$2:$X$913,"November",CleanRef!$AH$2:$AH$913,"Yes")</f>
        <v>91770.353000000017</v>
      </c>
      <c r="D15">
        <f>COUNTIFS(CleanRef!$Y$2:$Y$913,2024,CleanRef!$X$2:$X$913,"November",CleanRef!$AH$2:$AH$913,"Yes")</f>
        <v>23</v>
      </c>
    </row>
    <row r="16" spans="1:4" x14ac:dyDescent="0.3">
      <c r="A16" t="s">
        <v>62</v>
      </c>
      <c r="B16" s="5">
        <f>SUMIFS(CleanRef!$T$2:$T$913,CleanRef!$Y$2:$Y$913,2024,CleanRef!$X$2:$X$913,"December",CleanRef!$AH$2:$AH$913,"Yes")</f>
        <v>201157.15700000006</v>
      </c>
      <c r="C16" s="5">
        <f>SUMIFS(CleanRef!$U$2:$U$913,CleanRef!$Y$2:$Y$913,2024,CleanRef!$X$2:$X$913,"December",CleanRef!$AH$2:$AH$913,"Yes")</f>
        <v>56327.187000000005</v>
      </c>
      <c r="D16">
        <f>COUNTIFS(CleanRef!$Y$2:$Y$913,2024,CleanRef!$X$2:$X$913,"December",CleanRef!$AH$2:$AH$913,"Yes")</f>
        <v>24</v>
      </c>
    </row>
    <row r="17" spans="1:4" x14ac:dyDescent="0.3">
      <c r="A17" t="s">
        <v>63</v>
      </c>
      <c r="B17" s="5">
        <f>SUMIFS(CleanRef!$T$2:$T$913,CleanRef!$Y$2:$Y$913,2025,CleanRef!$X$2:$X$913,"January",CleanRef!$AH$2:$AH$913,"Yes")</f>
        <v>272866.44499999995</v>
      </c>
      <c r="C17" s="5">
        <f>SUMIFS(CleanRef!$U$2:$U$913,CleanRef!$Y$2:$Y$913,2025,CleanRef!$X$2:$X$913,"January",CleanRef!$AH$2:$AH$913,"Yes")</f>
        <v>76028.784999999989</v>
      </c>
      <c r="D17">
        <f>COUNTIFS(CleanRef!$Y$2:$Y$913,2025,CleanRef!$X$2:$X$913,"January",CleanRef!$AH$2:$AH$913,"Yes")</f>
        <v>27</v>
      </c>
    </row>
    <row r="18" spans="1:4" x14ac:dyDescent="0.3">
      <c r="A18" t="s">
        <v>64</v>
      </c>
      <c r="B18" s="5">
        <f>SUMIFS(CleanRef!$T$2:$T$913,CleanRef!$Y$2:$Y$913,2025,CleanRef!$X$2:$X$913,"February",CleanRef!$AH$2:$AH$913,"Yes")</f>
        <v>394995.71850000002</v>
      </c>
      <c r="C18" s="5">
        <f>SUMIFS(CleanRef!$U$2:$U$913,CleanRef!$Y$2:$Y$913,2025,CleanRef!$X$2:$X$913,"February",CleanRef!$AH$2:$AH$913,"Yes")</f>
        <v>117043.42849999999</v>
      </c>
      <c r="D18">
        <f>COUNTIFS(CleanRef!$Y$2:$Y$913,2025,CleanRef!$X$2:$X$913,"February",CleanRef!$AH$2:$AH$913,"Yes")</f>
        <v>39</v>
      </c>
    </row>
    <row r="19" spans="1:4" x14ac:dyDescent="0.3">
      <c r="A19" t="s">
        <v>65</v>
      </c>
      <c r="B19" s="5">
        <f>SUMIFS(CleanRef!$T$2:$T$913,CleanRef!$Y$2:$Y$913,2025,CleanRef!$X$2:$X$913,"March",CleanRef!$AH$2:$AH$913,"Yes")</f>
        <v>322614.28649999993</v>
      </c>
      <c r="C19" s="5">
        <f>SUMIFS(CleanRef!$U$2:$U$913,CleanRef!$Y$2:$Y$913,2025,CleanRef!$X$2:$X$913,"March",CleanRef!$AH$2:$AH$913,"Yes")</f>
        <v>92228.466499999995</v>
      </c>
      <c r="D19">
        <f>COUNTIFS(CleanRef!$Y$2:$Y$913,2025,CleanRef!$X$2:$X$913,"March",CleanRef!$AH$2:$AH$913,"Yes")</f>
        <v>27</v>
      </c>
    </row>
    <row r="20" spans="1:4" x14ac:dyDescent="0.3">
      <c r="A20" t="s">
        <v>66</v>
      </c>
      <c r="B20" s="5">
        <f>SUMIFS(CleanRef!$T$2:$T$913,CleanRef!$Y$2:$Y$913,2025,CleanRef!$X$2:$X$913,"April",CleanRef!$AH$2:$AH$913,"Yes")</f>
        <v>293107.40049999999</v>
      </c>
      <c r="C20" s="5">
        <f>SUMIFS(CleanRef!$U$2:$U$913,CleanRef!$Y$2:$Y$913,2025,CleanRef!$X$2:$X$913,"April",CleanRef!$AH$2:$AH$913,"Yes")</f>
        <v>80559.250499999995</v>
      </c>
      <c r="D20">
        <f>COUNTIFS(CleanRef!$Y$2:$Y$913,2025,CleanRef!$X$2:$X$913,"April",CleanRef!$AH$2:$AH$913,"Yes")</f>
        <v>35</v>
      </c>
    </row>
    <row r="21" spans="1:4" x14ac:dyDescent="0.3">
      <c r="A21" t="s">
        <v>67</v>
      </c>
      <c r="B21" s="5">
        <f>SUMIFS(CleanRef!$T$2:$T$913,CleanRef!$Y$2:$Y$913,2025,CleanRef!$X$2:$X$913,"May",CleanRef!$AH$2:$AH$913,"Yes")</f>
        <v>246177.84650000001</v>
      </c>
      <c r="C21" s="5">
        <f>SUMIFS(CleanRef!$U$2:$U$913,CleanRef!$Y$2:$Y$913,2025,CleanRef!$X$2:$X$913,"May",CleanRef!$AH$2:$AH$913,"Yes")</f>
        <v>76545.446499999991</v>
      </c>
      <c r="D21">
        <f>COUNTIFS(CleanRef!$Y$2:$Y$913,2025,CleanRef!$X$2:$X$913,"May",CleanRef!$AH$2:$AH$913,"Yes")</f>
        <v>24</v>
      </c>
    </row>
    <row r="22" spans="1:4" x14ac:dyDescent="0.3">
      <c r="A22" t="s">
        <v>68</v>
      </c>
      <c r="B22" s="5">
        <f>SUMIFS(CleanRef!$T$2:$T$913,CleanRef!$Y$2:$Y$913,2025,CleanRef!$X$2:$X$913,"June",CleanRef!$AH$2:$AH$913,"Yes")</f>
        <v>228915.64950000003</v>
      </c>
      <c r="C22" s="5">
        <f>SUMIFS(CleanRef!$U$2:$U$913,CleanRef!$Y$2:$Y$913,2025,CleanRef!$X$2:$X$913,"June",CleanRef!$AH$2:$AH$913,"Yes")</f>
        <v>67418.019500000009</v>
      </c>
      <c r="D22">
        <f>COUNTIFS(CleanRef!$Y$2:$Y$913,2025,CleanRef!$X$2:$X$913,"June",CleanRef!$AH$2:$AH$913,"Yes")</f>
        <v>27</v>
      </c>
    </row>
    <row r="23" spans="1:4" x14ac:dyDescent="0.3">
      <c r="A23" t="s">
        <v>69</v>
      </c>
      <c r="B23" s="5">
        <f>SUMIFS(CleanRef!$T$2:$T$913,CleanRef!$Y$2:$Y$913,2025,CleanRef!$X$2:$X$913,"July",CleanRef!$AH$2:$AH$913,"Yes")</f>
        <v>258764.03600000002</v>
      </c>
      <c r="C23" s="5">
        <f>SUMIFS(CleanRef!$U$2:$U$913,CleanRef!$Y$2:$Y$913,2025,CleanRef!$X$2:$X$913,"July",CleanRef!$AH$2:$AH$913,"Yes")</f>
        <v>74288.206000000006</v>
      </c>
      <c r="D23">
        <f>COUNTIFS(CleanRef!$Y$2:$Y$913,2025,CleanRef!$X$2:$X$913,"July",CleanRef!$AH$2:$AH$913,"Yes")</f>
        <v>23</v>
      </c>
    </row>
    <row r="24" spans="1:4" x14ac:dyDescent="0.3">
      <c r="A24" t="s">
        <v>70</v>
      </c>
      <c r="B24" s="5">
        <f>SUMIFS(CleanRef!$T$2:$T$913,CleanRef!$Y$2:$Y$913,2025,CleanRef!$X$2:$X$913,"August",CleanRef!$AH$2:$AH$913,"Yes")</f>
        <v>262335.28450000001</v>
      </c>
      <c r="C24" s="5">
        <f>SUMIFS(CleanRef!$U$2:$U$913,CleanRef!$Y$2:$Y$913,2025,CleanRef!$X$2:$X$913,"August",CleanRef!$AH$2:$AH$913,"Yes")</f>
        <v>82704.964500000002</v>
      </c>
      <c r="D24">
        <f>COUNTIFS(CleanRef!$Y$2:$Y$913,2025,CleanRef!$X$2:$X$913,"August",CleanRef!$AH$2:$AH$913,"Yes")</f>
        <v>33</v>
      </c>
    </row>
    <row r="25" spans="1:4" x14ac:dyDescent="0.3">
      <c r="A25" t="s">
        <v>71</v>
      </c>
      <c r="B25" s="5">
        <f>SUMIFS(CleanRef!$T$2:$T$913,CleanRef!$Y$2:$Y$913,2025,CleanRef!$X$2:$X$913,"September",CleanRef!$AH$2:$AH$913,"Yes")</f>
        <v>317689.49799999991</v>
      </c>
      <c r="C25" s="5">
        <f>SUMIFS(CleanRef!$U$2:$U$913,CleanRef!$Y$2:$Y$913,2025,CleanRef!$X$2:$X$913,"September",CleanRef!$AH$2:$AH$913,"Yes")</f>
        <v>95438.908000000025</v>
      </c>
      <c r="D25">
        <f>COUNTIFS(CleanRef!$Y$2:$Y$913,2025,CleanRef!$X$2:$X$913,"September",CleanRef!$AH$2:$AH$913,"Yes")</f>
        <v>29</v>
      </c>
    </row>
    <row r="26" spans="1:4" x14ac:dyDescent="0.3">
      <c r="A26" t="s">
        <v>72</v>
      </c>
      <c r="B26" s="5">
        <f>SUMIFS(CleanRef!$T$2:$T$913,CleanRef!$Y$2:$Y$913,2025,CleanRef!$X$2:$X$913,"October",CleanRef!$AH$2:$AH$913,"Yes")</f>
        <v>121434.80450000001</v>
      </c>
      <c r="C26" s="5">
        <f>SUMIFS(CleanRef!$U$2:$U$913,CleanRef!$Y$2:$Y$913,2025,CleanRef!$X$2:$X$913,"October",CleanRef!$AH$2:$AH$913,"Yes")</f>
        <v>36962.274499999992</v>
      </c>
      <c r="D26">
        <f>COUNTIFS(CleanRef!$Y$2:$Y$913,2025,CleanRef!$X$2:$X$913,"October",CleanRef!$AH$2:$AH$913,"Yes")</f>
        <v>10</v>
      </c>
    </row>
    <row r="27" spans="1:4" x14ac:dyDescent="0.3">
      <c r="A27" t="s">
        <v>73</v>
      </c>
      <c r="B27" s="5">
        <f>SUMIFS(CleanRef!$T$2:$T$913,CleanRef!$Y$2:$Y$913,2025,CleanRef!$X$2:$X$913,"November",CleanRef!$AH$2:$AH$913,"Yes")</f>
        <v>0</v>
      </c>
      <c r="C27" s="5">
        <f>SUMIFS(CleanRef!$U$2:$U$913,CleanRef!$Y$2:$Y$913,2025,CleanRef!$X$2:$X$913,"November",CleanRef!$AH$2:$AH$913,"Yes")</f>
        <v>0</v>
      </c>
      <c r="D27">
        <f>COUNTIFS(CleanRef!$Y$2:$Y$913,2025,CleanRef!$X$2:$X$913,"November",CleanRef!$AH$2:$AH$913,"Yes")</f>
        <v>0</v>
      </c>
    </row>
    <row r="28" spans="1:4" x14ac:dyDescent="0.3">
      <c r="A28" t="s">
        <v>74</v>
      </c>
      <c r="B28" s="5">
        <f>SUMIFS(CleanRef!$T$2:$T$913,CleanRef!$Y$2:$Y$913,2025,CleanRef!$X$2:$X$913,"December",CleanRef!$AH$2:$AH$913,"Yes")</f>
        <v>0</v>
      </c>
      <c r="C28" s="5">
        <f>SUMIFS(CleanRef!$U$2:$U$913,CleanRef!$Y$2:$Y$913,2025,CleanRef!$X$2:$X$913,"December",CleanRef!$AH$2:$AH$913,"Yes")</f>
        <v>0</v>
      </c>
      <c r="D28">
        <f>COUNTIFS(CleanRef!$Y$2:$Y$913,2025,CleanRef!$X$2:$X$913,"December",CleanRef!$AH$2:$AH$913,"Yes")</f>
        <v>0</v>
      </c>
    </row>
    <row r="29" spans="1:4" x14ac:dyDescent="0.3">
      <c r="A29" s="7" t="s">
        <v>11</v>
      </c>
      <c r="B29" s="8">
        <f>SUM(B5:B28)</f>
        <v>6010174.3709999984</v>
      </c>
      <c r="C29" s="8">
        <f>SUM(C5:C28)</f>
        <v>1773239.3510000003</v>
      </c>
      <c r="D29" s="9">
        <f>SUM(D5:D28)</f>
        <v>602</v>
      </c>
    </row>
    <row r="31" spans="1:4" x14ac:dyDescent="0.3">
      <c r="A31" s="1"/>
      <c r="B31" s="1"/>
      <c r="C31" s="1"/>
      <c r="D31" s="1"/>
    </row>
  </sheetData>
  <mergeCells count="3">
    <mergeCell ref="A1:D1"/>
    <mergeCell ref="A2:D2"/>
    <mergeCell ref="A31:D3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913"/>
  <sheetViews>
    <sheetView zoomScaleNormal="100" workbookViewId="0"/>
  </sheetViews>
  <sheetFormatPr defaultColWidth="8.6640625" defaultRowHeight="14.4" x14ac:dyDescent="0.3"/>
  <sheetData>
    <row r="1" spans="1:48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</row>
    <row r="2" spans="1:48" x14ac:dyDescent="0.3">
      <c r="A2" t="s">
        <v>123</v>
      </c>
      <c r="B2" s="12">
        <v>45494</v>
      </c>
      <c r="C2" s="12">
        <v>45500</v>
      </c>
      <c r="D2" t="s">
        <v>124</v>
      </c>
      <c r="E2" t="s">
        <v>125</v>
      </c>
      <c r="F2" t="s">
        <v>42</v>
      </c>
      <c r="G2" t="s">
        <v>9</v>
      </c>
      <c r="H2" t="s">
        <v>126</v>
      </c>
      <c r="I2" t="s">
        <v>127</v>
      </c>
      <c r="J2" t="s">
        <v>20</v>
      </c>
      <c r="K2" t="s">
        <v>24</v>
      </c>
      <c r="M2" t="s">
        <v>37</v>
      </c>
      <c r="N2">
        <v>8</v>
      </c>
      <c r="O2">
        <v>2976.45</v>
      </c>
      <c r="P2">
        <v>0.2</v>
      </c>
      <c r="Q2">
        <v>0.2</v>
      </c>
      <c r="R2">
        <v>19049.28</v>
      </c>
      <c r="S2">
        <v>15841.89</v>
      </c>
      <c r="T2">
        <v>19049.28</v>
      </c>
      <c r="U2">
        <v>3207.39</v>
      </c>
      <c r="V2">
        <v>0.16837329284886399</v>
      </c>
      <c r="W2">
        <v>6</v>
      </c>
      <c r="X2" t="s">
        <v>128</v>
      </c>
      <c r="Y2">
        <v>2024</v>
      </c>
      <c r="Z2" t="s">
        <v>129</v>
      </c>
      <c r="AA2" t="s">
        <v>130</v>
      </c>
      <c r="AB2" t="s">
        <v>131</v>
      </c>
      <c r="AC2" t="s">
        <v>131</v>
      </c>
      <c r="AD2" t="s">
        <v>131</v>
      </c>
      <c r="AE2" t="s">
        <v>131</v>
      </c>
      <c r="AF2" t="s">
        <v>131</v>
      </c>
      <c r="AG2" t="s">
        <v>131</v>
      </c>
      <c r="AH2" t="s">
        <v>132</v>
      </c>
      <c r="AI2" t="s">
        <v>133</v>
      </c>
      <c r="AJ2" t="s">
        <v>134</v>
      </c>
      <c r="AK2" t="s">
        <v>135</v>
      </c>
      <c r="AL2" t="s">
        <v>125</v>
      </c>
      <c r="AM2" t="s">
        <v>42</v>
      </c>
      <c r="AN2" t="s">
        <v>136</v>
      </c>
      <c r="AO2" t="s">
        <v>126</v>
      </c>
      <c r="AP2" t="s">
        <v>127</v>
      </c>
      <c r="AQ2" t="s">
        <v>20</v>
      </c>
      <c r="AR2" t="s">
        <v>24</v>
      </c>
      <c r="AS2" t="s">
        <v>37</v>
      </c>
      <c r="AT2">
        <v>0.2</v>
      </c>
      <c r="AU2" t="s">
        <v>129</v>
      </c>
      <c r="AV2" t="s">
        <v>130</v>
      </c>
    </row>
    <row r="3" spans="1:48" x14ac:dyDescent="0.3">
      <c r="A3" t="s">
        <v>137</v>
      </c>
      <c r="B3" s="12">
        <v>45535</v>
      </c>
      <c r="C3" s="12">
        <v>45540</v>
      </c>
      <c r="D3" t="s">
        <v>138</v>
      </c>
      <c r="E3" t="s">
        <v>139</v>
      </c>
      <c r="F3" t="s">
        <v>44</v>
      </c>
      <c r="G3" t="s">
        <v>8</v>
      </c>
      <c r="H3" t="s">
        <v>140</v>
      </c>
      <c r="I3" t="s">
        <v>141</v>
      </c>
      <c r="J3" t="s">
        <v>18</v>
      </c>
      <c r="K3" t="s">
        <v>27</v>
      </c>
      <c r="M3" t="s">
        <v>38</v>
      </c>
      <c r="N3">
        <v>3</v>
      </c>
      <c r="O3">
        <v>2437.5</v>
      </c>
      <c r="P3">
        <v>0</v>
      </c>
      <c r="Q3">
        <v>0</v>
      </c>
      <c r="R3">
        <v>7312.5</v>
      </c>
      <c r="S3">
        <v>4904.7299999999996</v>
      </c>
      <c r="T3">
        <v>7312.5</v>
      </c>
      <c r="U3">
        <v>2407.77</v>
      </c>
      <c r="V3">
        <v>0.32926769230769198</v>
      </c>
      <c r="W3">
        <v>5</v>
      </c>
      <c r="X3" t="s">
        <v>142</v>
      </c>
      <c r="Y3">
        <v>2024</v>
      </c>
      <c r="Z3" t="s">
        <v>129</v>
      </c>
      <c r="AA3" t="s">
        <v>130</v>
      </c>
      <c r="AB3" t="s">
        <v>131</v>
      </c>
      <c r="AC3" t="s">
        <v>131</v>
      </c>
      <c r="AD3" t="s">
        <v>131</v>
      </c>
      <c r="AE3" t="s">
        <v>131</v>
      </c>
      <c r="AF3" t="s">
        <v>131</v>
      </c>
      <c r="AG3" t="s">
        <v>131</v>
      </c>
      <c r="AH3" t="s">
        <v>132</v>
      </c>
      <c r="AI3" t="s">
        <v>133</v>
      </c>
      <c r="AJ3" t="s">
        <v>143</v>
      </c>
      <c r="AK3" t="s">
        <v>144</v>
      </c>
      <c r="AL3" t="s">
        <v>139</v>
      </c>
      <c r="AM3" t="s">
        <v>44</v>
      </c>
      <c r="AN3" t="s">
        <v>8</v>
      </c>
      <c r="AO3" t="s">
        <v>140</v>
      </c>
      <c r="AP3" t="s">
        <v>141</v>
      </c>
      <c r="AQ3" t="s">
        <v>18</v>
      </c>
      <c r="AR3" t="s">
        <v>27</v>
      </c>
      <c r="AS3" t="s">
        <v>38</v>
      </c>
      <c r="AT3">
        <v>0</v>
      </c>
      <c r="AU3" t="s">
        <v>129</v>
      </c>
      <c r="AV3" t="s">
        <v>130</v>
      </c>
    </row>
    <row r="4" spans="1:48" x14ac:dyDescent="0.3">
      <c r="A4" t="s">
        <v>145</v>
      </c>
      <c r="B4" s="12">
        <v>45451</v>
      </c>
      <c r="C4" s="12">
        <v>45458</v>
      </c>
      <c r="D4" t="s">
        <v>146</v>
      </c>
      <c r="E4" t="s">
        <v>147</v>
      </c>
      <c r="F4" t="s">
        <v>42</v>
      </c>
      <c r="G4" t="s">
        <v>8</v>
      </c>
      <c r="H4" t="s">
        <v>140</v>
      </c>
      <c r="I4" t="s">
        <v>141</v>
      </c>
      <c r="J4" t="s">
        <v>20</v>
      </c>
      <c r="K4" t="s">
        <v>29</v>
      </c>
      <c r="M4" t="s">
        <v>36</v>
      </c>
      <c r="N4">
        <v>4</v>
      </c>
      <c r="O4">
        <v>1065.43</v>
      </c>
      <c r="P4">
        <v>0.55000000000000004</v>
      </c>
      <c r="Q4">
        <v>0</v>
      </c>
      <c r="R4">
        <v>4261.72</v>
      </c>
      <c r="S4">
        <v>2465.69</v>
      </c>
      <c r="T4">
        <v>4261.72</v>
      </c>
      <c r="U4">
        <v>1796.03</v>
      </c>
      <c r="V4">
        <v>0.42143313028542501</v>
      </c>
      <c r="W4">
        <v>7</v>
      </c>
      <c r="X4" t="s">
        <v>148</v>
      </c>
      <c r="Y4">
        <v>2024</v>
      </c>
      <c r="Z4" t="s">
        <v>129</v>
      </c>
      <c r="AA4" t="s">
        <v>130</v>
      </c>
      <c r="AB4" t="s">
        <v>131</v>
      </c>
      <c r="AC4" t="s">
        <v>131</v>
      </c>
      <c r="AD4" t="s">
        <v>131</v>
      </c>
      <c r="AE4" t="s">
        <v>131</v>
      </c>
      <c r="AF4" t="s">
        <v>132</v>
      </c>
      <c r="AG4" t="s">
        <v>131</v>
      </c>
      <c r="AH4" t="s">
        <v>132</v>
      </c>
      <c r="AI4" t="s">
        <v>149</v>
      </c>
      <c r="AJ4" t="s">
        <v>150</v>
      </c>
      <c r="AK4" t="s">
        <v>151</v>
      </c>
      <c r="AL4" t="s">
        <v>147</v>
      </c>
      <c r="AM4" t="s">
        <v>42</v>
      </c>
      <c r="AN4" t="s">
        <v>8</v>
      </c>
      <c r="AO4" t="s">
        <v>140</v>
      </c>
      <c r="AP4" t="s">
        <v>141</v>
      </c>
      <c r="AQ4" t="s">
        <v>20</v>
      </c>
      <c r="AR4" t="s">
        <v>29</v>
      </c>
      <c r="AS4" t="s">
        <v>36</v>
      </c>
      <c r="AT4">
        <v>0.55000000000000004</v>
      </c>
      <c r="AU4" t="s">
        <v>129</v>
      </c>
      <c r="AV4" t="s">
        <v>130</v>
      </c>
    </row>
    <row r="5" spans="1:48" x14ac:dyDescent="0.3">
      <c r="A5" t="s">
        <v>152</v>
      </c>
      <c r="B5" s="12">
        <v>45624</v>
      </c>
      <c r="C5" s="12">
        <v>45625</v>
      </c>
      <c r="D5" t="s">
        <v>153</v>
      </c>
      <c r="E5" t="s">
        <v>154</v>
      </c>
      <c r="F5" t="s">
        <v>44</v>
      </c>
      <c r="G5" t="s">
        <v>6</v>
      </c>
      <c r="H5" t="s">
        <v>155</v>
      </c>
      <c r="I5" t="s">
        <v>156</v>
      </c>
      <c r="J5" t="s">
        <v>18</v>
      </c>
      <c r="K5" t="s">
        <v>23</v>
      </c>
      <c r="M5" t="s">
        <v>35</v>
      </c>
      <c r="N5">
        <v>6</v>
      </c>
      <c r="O5">
        <v>1848.43</v>
      </c>
      <c r="P5">
        <v>0.25</v>
      </c>
      <c r="Q5">
        <v>0.25</v>
      </c>
      <c r="R5">
        <v>8317.93</v>
      </c>
      <c r="S5">
        <v>6796.77</v>
      </c>
      <c r="T5">
        <v>8317.9349999999995</v>
      </c>
      <c r="U5">
        <v>1521.165</v>
      </c>
      <c r="V5">
        <v>0.18287772145370201</v>
      </c>
      <c r="W5">
        <v>1</v>
      </c>
      <c r="X5" t="s">
        <v>157</v>
      </c>
      <c r="Y5">
        <v>2024</v>
      </c>
      <c r="Z5" t="s">
        <v>129</v>
      </c>
      <c r="AA5" t="s">
        <v>130</v>
      </c>
      <c r="AB5" t="s">
        <v>131</v>
      </c>
      <c r="AC5" t="s">
        <v>131</v>
      </c>
      <c r="AD5" t="s">
        <v>131</v>
      </c>
      <c r="AE5" t="s">
        <v>131</v>
      </c>
      <c r="AF5" t="s">
        <v>131</v>
      </c>
      <c r="AG5" t="s">
        <v>131</v>
      </c>
      <c r="AH5" t="s">
        <v>132</v>
      </c>
      <c r="AI5" t="s">
        <v>133</v>
      </c>
      <c r="AJ5" t="s">
        <v>158</v>
      </c>
      <c r="AK5" t="s">
        <v>159</v>
      </c>
      <c r="AL5" t="s">
        <v>154</v>
      </c>
      <c r="AM5" t="s">
        <v>44</v>
      </c>
      <c r="AN5" t="s">
        <v>6</v>
      </c>
      <c r="AO5" t="s">
        <v>155</v>
      </c>
      <c r="AP5" t="s">
        <v>156</v>
      </c>
      <c r="AQ5" t="s">
        <v>18</v>
      </c>
      <c r="AR5" t="s">
        <v>23</v>
      </c>
      <c r="AS5" t="s">
        <v>35</v>
      </c>
      <c r="AT5">
        <v>0.25</v>
      </c>
      <c r="AU5" t="s">
        <v>129</v>
      </c>
      <c r="AV5" t="s">
        <v>130</v>
      </c>
    </row>
    <row r="6" spans="1:48" x14ac:dyDescent="0.3">
      <c r="A6" t="s">
        <v>160</v>
      </c>
      <c r="B6" s="12">
        <v>45898</v>
      </c>
      <c r="C6" s="12">
        <v>45901</v>
      </c>
      <c r="D6" t="s">
        <v>161</v>
      </c>
      <c r="E6" t="s">
        <v>162</v>
      </c>
      <c r="F6" t="s">
        <v>44</v>
      </c>
      <c r="G6" t="s">
        <v>7</v>
      </c>
      <c r="H6" t="s">
        <v>163</v>
      </c>
      <c r="I6" t="s">
        <v>164</v>
      </c>
      <c r="J6" t="s">
        <v>18</v>
      </c>
      <c r="K6" t="s">
        <v>19</v>
      </c>
      <c r="M6" t="s">
        <v>36</v>
      </c>
      <c r="N6">
        <v>7</v>
      </c>
      <c r="O6">
        <v>2973.76</v>
      </c>
      <c r="P6">
        <v>0</v>
      </c>
      <c r="Q6">
        <v>0</v>
      </c>
      <c r="R6">
        <v>20816.32</v>
      </c>
      <c r="S6">
        <v>17705.37</v>
      </c>
      <c r="T6">
        <v>20816.32</v>
      </c>
      <c r="U6">
        <v>3110.95</v>
      </c>
      <c r="V6">
        <v>0.14944764492475099</v>
      </c>
      <c r="W6">
        <v>3</v>
      </c>
      <c r="X6" t="s">
        <v>142</v>
      </c>
      <c r="Y6">
        <v>2025</v>
      </c>
      <c r="Z6" t="s">
        <v>129</v>
      </c>
      <c r="AA6" t="s">
        <v>165</v>
      </c>
      <c r="AB6" t="s">
        <v>131</v>
      </c>
      <c r="AC6" t="s">
        <v>131</v>
      </c>
      <c r="AD6" t="s">
        <v>131</v>
      </c>
      <c r="AE6" t="s">
        <v>131</v>
      </c>
      <c r="AF6" t="s">
        <v>131</v>
      </c>
      <c r="AG6" t="s">
        <v>131</v>
      </c>
      <c r="AH6" t="s">
        <v>131</v>
      </c>
      <c r="AI6" t="s">
        <v>133</v>
      </c>
      <c r="AJ6" t="s">
        <v>166</v>
      </c>
      <c r="AK6" t="s">
        <v>167</v>
      </c>
      <c r="AL6" t="s">
        <v>162</v>
      </c>
      <c r="AM6" t="s">
        <v>44</v>
      </c>
      <c r="AN6" t="s">
        <v>7</v>
      </c>
      <c r="AO6" t="s">
        <v>163</v>
      </c>
      <c r="AP6" t="s">
        <v>164</v>
      </c>
      <c r="AQ6" t="s">
        <v>18</v>
      </c>
      <c r="AR6" t="s">
        <v>19</v>
      </c>
      <c r="AS6" t="s">
        <v>36</v>
      </c>
      <c r="AT6">
        <v>0</v>
      </c>
      <c r="AU6" t="s">
        <v>129</v>
      </c>
      <c r="AV6" t="s">
        <v>165</v>
      </c>
    </row>
    <row r="7" spans="1:48" x14ac:dyDescent="0.3">
      <c r="A7" t="s">
        <v>168</v>
      </c>
      <c r="B7" s="12">
        <v>45436</v>
      </c>
      <c r="C7" s="12">
        <v>45440</v>
      </c>
      <c r="D7" t="s">
        <v>169</v>
      </c>
      <c r="E7" t="s">
        <v>170</v>
      </c>
      <c r="F7" t="s">
        <v>44</v>
      </c>
      <c r="G7" t="s">
        <v>7</v>
      </c>
      <c r="H7" t="s">
        <v>171</v>
      </c>
      <c r="I7" t="s">
        <v>172</v>
      </c>
      <c r="J7" t="s">
        <v>15</v>
      </c>
      <c r="K7" t="s">
        <v>22</v>
      </c>
      <c r="M7" t="s">
        <v>38</v>
      </c>
      <c r="N7">
        <v>3</v>
      </c>
      <c r="O7">
        <v>1053.1099999999999</v>
      </c>
      <c r="P7">
        <v>0.2</v>
      </c>
      <c r="Q7">
        <v>0.2</v>
      </c>
      <c r="R7">
        <v>2527.46</v>
      </c>
      <c r="S7">
        <v>1533.58</v>
      </c>
      <c r="T7">
        <v>2527.4639999999999</v>
      </c>
      <c r="U7">
        <v>993.88400000000001</v>
      </c>
      <c r="V7">
        <v>0.39323369195367402</v>
      </c>
      <c r="W7">
        <v>4</v>
      </c>
      <c r="X7" t="s">
        <v>173</v>
      </c>
      <c r="Y7">
        <v>2024</v>
      </c>
      <c r="Z7" t="s">
        <v>129</v>
      </c>
      <c r="AA7" t="s">
        <v>130</v>
      </c>
      <c r="AB7" t="s">
        <v>131</v>
      </c>
      <c r="AC7" t="s">
        <v>131</v>
      </c>
      <c r="AD7" t="s">
        <v>131</v>
      </c>
      <c r="AE7" t="s">
        <v>131</v>
      </c>
      <c r="AF7" t="s">
        <v>131</v>
      </c>
      <c r="AG7" t="s">
        <v>131</v>
      </c>
      <c r="AH7" t="s">
        <v>132</v>
      </c>
      <c r="AI7" t="s">
        <v>133</v>
      </c>
      <c r="AJ7" t="s">
        <v>174</v>
      </c>
      <c r="AK7" t="s">
        <v>175</v>
      </c>
      <c r="AL7" t="s">
        <v>170</v>
      </c>
      <c r="AM7" t="s">
        <v>44</v>
      </c>
      <c r="AN7" t="s">
        <v>7</v>
      </c>
      <c r="AO7" t="s">
        <v>171</v>
      </c>
      <c r="AP7" t="s">
        <v>172</v>
      </c>
      <c r="AQ7" t="s">
        <v>15</v>
      </c>
      <c r="AR7" t="s">
        <v>22</v>
      </c>
      <c r="AS7" t="s">
        <v>38</v>
      </c>
      <c r="AT7">
        <v>0.2</v>
      </c>
      <c r="AU7" t="s">
        <v>129</v>
      </c>
      <c r="AV7" t="s">
        <v>130</v>
      </c>
    </row>
    <row r="8" spans="1:48" x14ac:dyDescent="0.3">
      <c r="A8" t="s">
        <v>176</v>
      </c>
      <c r="B8" s="12">
        <v>45757</v>
      </c>
      <c r="C8" s="12">
        <v>45763</v>
      </c>
      <c r="D8" t="s">
        <v>177</v>
      </c>
      <c r="E8" t="s">
        <v>178</v>
      </c>
      <c r="F8" t="s">
        <v>42</v>
      </c>
      <c r="G8" t="s">
        <v>8</v>
      </c>
      <c r="H8" t="s">
        <v>140</v>
      </c>
      <c r="I8" t="s">
        <v>141</v>
      </c>
      <c r="J8" t="s">
        <v>15</v>
      </c>
      <c r="K8" t="s">
        <v>16</v>
      </c>
      <c r="M8" t="s">
        <v>35</v>
      </c>
      <c r="N8">
        <v>4</v>
      </c>
      <c r="O8">
        <v>1719.87</v>
      </c>
      <c r="P8">
        <v>0.15</v>
      </c>
      <c r="Q8">
        <v>0.15</v>
      </c>
      <c r="R8">
        <v>5847.56</v>
      </c>
      <c r="S8">
        <v>4727.25</v>
      </c>
      <c r="T8">
        <v>5847.558</v>
      </c>
      <c r="U8">
        <v>1120.308</v>
      </c>
      <c r="V8">
        <v>0.191585615739083</v>
      </c>
      <c r="W8">
        <v>6</v>
      </c>
      <c r="X8" t="s">
        <v>179</v>
      </c>
      <c r="Y8">
        <v>2025</v>
      </c>
      <c r="Z8" t="s">
        <v>129</v>
      </c>
      <c r="AA8" t="s">
        <v>130</v>
      </c>
      <c r="AB8" t="s">
        <v>131</v>
      </c>
      <c r="AC8" t="s">
        <v>131</v>
      </c>
      <c r="AD8" t="s">
        <v>131</v>
      </c>
      <c r="AE8" t="s">
        <v>131</v>
      </c>
      <c r="AF8" t="s">
        <v>131</v>
      </c>
      <c r="AG8" t="s">
        <v>131</v>
      </c>
      <c r="AH8" t="s">
        <v>132</v>
      </c>
      <c r="AI8" t="s">
        <v>133</v>
      </c>
      <c r="AJ8" t="s">
        <v>180</v>
      </c>
      <c r="AK8" t="s">
        <v>181</v>
      </c>
      <c r="AL8" t="s">
        <v>178</v>
      </c>
      <c r="AM8" t="s">
        <v>42</v>
      </c>
      <c r="AN8" t="s">
        <v>8</v>
      </c>
      <c r="AO8" t="s">
        <v>140</v>
      </c>
      <c r="AP8" t="s">
        <v>141</v>
      </c>
      <c r="AQ8" t="s">
        <v>15</v>
      </c>
      <c r="AR8" t="s">
        <v>16</v>
      </c>
      <c r="AS8" t="s">
        <v>35</v>
      </c>
      <c r="AT8">
        <v>0.15</v>
      </c>
      <c r="AU8" t="s">
        <v>129</v>
      </c>
      <c r="AV8" t="s">
        <v>130</v>
      </c>
    </row>
    <row r="9" spans="1:48" x14ac:dyDescent="0.3">
      <c r="A9" t="s">
        <v>182</v>
      </c>
      <c r="B9" s="12">
        <v>45711</v>
      </c>
      <c r="C9" s="12">
        <v>45714</v>
      </c>
      <c r="D9" t="s">
        <v>183</v>
      </c>
      <c r="E9" t="s">
        <v>147</v>
      </c>
      <c r="F9" t="s">
        <v>44</v>
      </c>
      <c r="G9" t="s">
        <v>6</v>
      </c>
      <c r="H9" t="s">
        <v>184</v>
      </c>
      <c r="I9" t="s">
        <v>185</v>
      </c>
      <c r="J9" t="s">
        <v>20</v>
      </c>
      <c r="K9" t="s">
        <v>29</v>
      </c>
      <c r="M9" t="s">
        <v>36</v>
      </c>
      <c r="N9">
        <v>1</v>
      </c>
      <c r="O9">
        <v>2980.71</v>
      </c>
      <c r="P9">
        <v>0</v>
      </c>
      <c r="Q9">
        <v>0</v>
      </c>
      <c r="R9">
        <v>2980.71</v>
      </c>
      <c r="S9">
        <v>2357.2199999999998</v>
      </c>
      <c r="T9">
        <v>2980.71</v>
      </c>
      <c r="U9">
        <v>623.49</v>
      </c>
      <c r="V9">
        <v>0.20917499521926</v>
      </c>
      <c r="W9">
        <v>3</v>
      </c>
      <c r="X9" t="s">
        <v>186</v>
      </c>
      <c r="Y9">
        <v>2025</v>
      </c>
      <c r="Z9" t="s">
        <v>129</v>
      </c>
      <c r="AA9" t="s">
        <v>130</v>
      </c>
      <c r="AB9" t="s">
        <v>131</v>
      </c>
      <c r="AC9" t="s">
        <v>131</v>
      </c>
      <c r="AD9" t="s">
        <v>131</v>
      </c>
      <c r="AE9" t="s">
        <v>131</v>
      </c>
      <c r="AF9" t="s">
        <v>131</v>
      </c>
      <c r="AG9" t="s">
        <v>131</v>
      </c>
      <c r="AH9" t="s">
        <v>132</v>
      </c>
      <c r="AI9" t="s">
        <v>133</v>
      </c>
      <c r="AJ9" t="s">
        <v>187</v>
      </c>
      <c r="AK9" t="s">
        <v>188</v>
      </c>
      <c r="AL9" t="s">
        <v>147</v>
      </c>
      <c r="AM9" t="s">
        <v>44</v>
      </c>
      <c r="AN9" t="s">
        <v>6</v>
      </c>
      <c r="AO9" t="s">
        <v>184</v>
      </c>
      <c r="AP9" t="s">
        <v>185</v>
      </c>
      <c r="AQ9" t="s">
        <v>20</v>
      </c>
      <c r="AR9" t="s">
        <v>29</v>
      </c>
      <c r="AS9" t="s">
        <v>36</v>
      </c>
      <c r="AT9">
        <v>0</v>
      </c>
      <c r="AU9" t="s">
        <v>129</v>
      </c>
      <c r="AV9" t="s">
        <v>130</v>
      </c>
    </row>
    <row r="10" spans="1:48" x14ac:dyDescent="0.3">
      <c r="A10" t="s">
        <v>189</v>
      </c>
      <c r="B10" s="12">
        <v>45601</v>
      </c>
      <c r="C10" s="12">
        <v>45606</v>
      </c>
      <c r="D10" t="s">
        <v>190</v>
      </c>
      <c r="E10" t="s">
        <v>191</v>
      </c>
      <c r="F10" t="s">
        <v>43</v>
      </c>
      <c r="G10" t="s">
        <v>6</v>
      </c>
      <c r="H10" t="s">
        <v>155</v>
      </c>
      <c r="I10" t="s">
        <v>156</v>
      </c>
      <c r="J10" t="s">
        <v>20</v>
      </c>
      <c r="K10" t="s">
        <v>30</v>
      </c>
      <c r="M10" t="s">
        <v>36</v>
      </c>
      <c r="N10">
        <v>8</v>
      </c>
      <c r="O10">
        <v>3134.2</v>
      </c>
      <c r="P10">
        <v>0</v>
      </c>
      <c r="Q10">
        <v>0</v>
      </c>
      <c r="R10">
        <v>25073.599999999999</v>
      </c>
      <c r="S10">
        <v>17347.23</v>
      </c>
      <c r="T10">
        <v>25073.599999999999</v>
      </c>
      <c r="U10">
        <v>7726.37</v>
      </c>
      <c r="V10">
        <v>0.308147613426074</v>
      </c>
      <c r="W10">
        <v>5</v>
      </c>
      <c r="X10" t="s">
        <v>157</v>
      </c>
      <c r="Y10">
        <v>2024</v>
      </c>
      <c r="Z10" t="s">
        <v>129</v>
      </c>
      <c r="AA10" t="s">
        <v>130</v>
      </c>
      <c r="AB10" t="s">
        <v>131</v>
      </c>
      <c r="AC10" t="s">
        <v>131</v>
      </c>
      <c r="AD10" t="s">
        <v>131</v>
      </c>
      <c r="AE10" t="s">
        <v>131</v>
      </c>
      <c r="AF10" t="s">
        <v>131</v>
      </c>
      <c r="AG10" t="s">
        <v>131</v>
      </c>
      <c r="AH10" t="s">
        <v>132</v>
      </c>
      <c r="AI10" t="s">
        <v>133</v>
      </c>
      <c r="AJ10" t="s">
        <v>192</v>
      </c>
      <c r="AK10" t="s">
        <v>193</v>
      </c>
      <c r="AL10" t="s">
        <v>191</v>
      </c>
      <c r="AM10" t="s">
        <v>43</v>
      </c>
      <c r="AN10" t="s">
        <v>6</v>
      </c>
      <c r="AO10" t="s">
        <v>155</v>
      </c>
      <c r="AP10" t="s">
        <v>156</v>
      </c>
      <c r="AQ10" t="s">
        <v>20</v>
      </c>
      <c r="AR10" t="s">
        <v>30</v>
      </c>
      <c r="AS10" t="s">
        <v>36</v>
      </c>
      <c r="AT10">
        <v>0</v>
      </c>
      <c r="AU10" t="s">
        <v>129</v>
      </c>
      <c r="AV10" t="s">
        <v>130</v>
      </c>
    </row>
    <row r="11" spans="1:48" x14ac:dyDescent="0.3">
      <c r="A11" t="s">
        <v>194</v>
      </c>
      <c r="B11" s="12">
        <v>45907</v>
      </c>
      <c r="C11" s="12">
        <v>45912</v>
      </c>
      <c r="D11" t="s">
        <v>195</v>
      </c>
      <c r="E11" t="s">
        <v>139</v>
      </c>
      <c r="F11" t="s">
        <v>41</v>
      </c>
      <c r="G11" t="s">
        <v>6</v>
      </c>
      <c r="H11" t="s">
        <v>155</v>
      </c>
      <c r="I11" t="s">
        <v>156</v>
      </c>
      <c r="J11" t="s">
        <v>20</v>
      </c>
      <c r="K11" t="s">
        <v>24</v>
      </c>
      <c r="M11" t="s">
        <v>37</v>
      </c>
      <c r="N11">
        <v>9</v>
      </c>
      <c r="O11">
        <v>852.04</v>
      </c>
      <c r="P11">
        <v>0.2</v>
      </c>
      <c r="Q11">
        <v>0.2</v>
      </c>
      <c r="R11">
        <v>6134.69</v>
      </c>
      <c r="S11">
        <v>3800.19</v>
      </c>
      <c r="T11">
        <v>6134.6880000000001</v>
      </c>
      <c r="U11">
        <v>2334.498</v>
      </c>
      <c r="V11">
        <v>0.38054062407085698</v>
      </c>
      <c r="W11">
        <v>5</v>
      </c>
      <c r="X11" t="s">
        <v>196</v>
      </c>
      <c r="Y11">
        <v>2025</v>
      </c>
      <c r="Z11" t="s">
        <v>129</v>
      </c>
      <c r="AA11" t="s">
        <v>130</v>
      </c>
      <c r="AB11" t="s">
        <v>131</v>
      </c>
      <c r="AC11" t="s">
        <v>131</v>
      </c>
      <c r="AD11" t="s">
        <v>131</v>
      </c>
      <c r="AE11" t="s">
        <v>131</v>
      </c>
      <c r="AF11" t="s">
        <v>131</v>
      </c>
      <c r="AG11" t="s">
        <v>131</v>
      </c>
      <c r="AH11" t="s">
        <v>132</v>
      </c>
      <c r="AI11" t="s">
        <v>133</v>
      </c>
      <c r="AJ11" t="s">
        <v>197</v>
      </c>
      <c r="AK11" t="s">
        <v>198</v>
      </c>
      <c r="AL11" t="s">
        <v>139</v>
      </c>
      <c r="AM11" t="s">
        <v>41</v>
      </c>
      <c r="AN11" t="s">
        <v>6</v>
      </c>
      <c r="AO11" t="s">
        <v>155</v>
      </c>
      <c r="AP11" t="s">
        <v>156</v>
      </c>
      <c r="AQ11" t="s">
        <v>20</v>
      </c>
      <c r="AR11" t="s">
        <v>24</v>
      </c>
      <c r="AS11" t="s">
        <v>37</v>
      </c>
      <c r="AT11">
        <v>0.2</v>
      </c>
      <c r="AU11" t="s">
        <v>129</v>
      </c>
      <c r="AV11" t="s">
        <v>130</v>
      </c>
    </row>
    <row r="12" spans="1:48" x14ac:dyDescent="0.3">
      <c r="A12" t="s">
        <v>199</v>
      </c>
      <c r="B12" s="12">
        <v>45797</v>
      </c>
      <c r="C12" s="12">
        <v>45797</v>
      </c>
      <c r="D12" t="s">
        <v>200</v>
      </c>
      <c r="E12" t="s">
        <v>162</v>
      </c>
      <c r="F12" t="s">
        <v>43</v>
      </c>
      <c r="G12" t="s">
        <v>8</v>
      </c>
      <c r="H12" t="s">
        <v>201</v>
      </c>
      <c r="I12" t="s">
        <v>202</v>
      </c>
      <c r="J12" t="s">
        <v>20</v>
      </c>
      <c r="K12" t="s">
        <v>30</v>
      </c>
      <c r="M12" t="s">
        <v>37</v>
      </c>
      <c r="N12">
        <v>3</v>
      </c>
      <c r="O12">
        <v>3534.83</v>
      </c>
      <c r="P12">
        <v>0.05</v>
      </c>
      <c r="Q12">
        <v>0.05</v>
      </c>
      <c r="R12">
        <v>10074.27</v>
      </c>
      <c r="S12">
        <v>6048.27</v>
      </c>
      <c r="T12">
        <v>10074.2655</v>
      </c>
      <c r="U12">
        <v>4025.9955</v>
      </c>
      <c r="V12">
        <v>0.39963166545491602</v>
      </c>
      <c r="W12">
        <v>0</v>
      </c>
      <c r="X12" t="s">
        <v>173</v>
      </c>
      <c r="Y12">
        <v>2025</v>
      </c>
      <c r="Z12" t="s">
        <v>203</v>
      </c>
      <c r="AA12" t="s">
        <v>204</v>
      </c>
      <c r="AB12" t="s">
        <v>131</v>
      </c>
      <c r="AC12" t="s">
        <v>131</v>
      </c>
      <c r="AD12" t="s">
        <v>131</v>
      </c>
      <c r="AE12" t="s">
        <v>131</v>
      </c>
      <c r="AF12" t="s">
        <v>131</v>
      </c>
      <c r="AG12" t="s">
        <v>131</v>
      </c>
      <c r="AH12" t="s">
        <v>131</v>
      </c>
      <c r="AI12" t="s">
        <v>133</v>
      </c>
      <c r="AJ12" t="s">
        <v>205</v>
      </c>
      <c r="AK12" t="s">
        <v>206</v>
      </c>
      <c r="AL12" t="s">
        <v>162</v>
      </c>
      <c r="AM12" t="s">
        <v>43</v>
      </c>
      <c r="AN12" t="s">
        <v>8</v>
      </c>
      <c r="AO12" t="s">
        <v>201</v>
      </c>
      <c r="AP12" t="s">
        <v>202</v>
      </c>
      <c r="AQ12" t="s">
        <v>20</v>
      </c>
      <c r="AR12" t="s">
        <v>30</v>
      </c>
      <c r="AS12" t="s">
        <v>37</v>
      </c>
      <c r="AT12">
        <v>0.05</v>
      </c>
      <c r="AU12" t="s">
        <v>203</v>
      </c>
      <c r="AV12" t="s">
        <v>204</v>
      </c>
    </row>
    <row r="13" spans="1:48" x14ac:dyDescent="0.3">
      <c r="A13" t="s">
        <v>207</v>
      </c>
      <c r="B13" s="12">
        <v>45495</v>
      </c>
      <c r="C13" s="12">
        <v>45496</v>
      </c>
      <c r="D13" t="s">
        <v>208</v>
      </c>
      <c r="E13" t="s">
        <v>170</v>
      </c>
      <c r="F13" t="s">
        <v>44</v>
      </c>
      <c r="G13" t="s">
        <v>8</v>
      </c>
      <c r="H13" t="s">
        <v>140</v>
      </c>
      <c r="I13" t="s">
        <v>141</v>
      </c>
      <c r="J13" t="s">
        <v>15</v>
      </c>
      <c r="K13" t="s">
        <v>22</v>
      </c>
      <c r="M13" t="s">
        <v>38</v>
      </c>
      <c r="N13">
        <v>6</v>
      </c>
      <c r="O13">
        <v>2005.95</v>
      </c>
      <c r="P13">
        <v>0.2</v>
      </c>
      <c r="Q13">
        <v>0.2</v>
      </c>
      <c r="R13">
        <v>9628.56</v>
      </c>
      <c r="S13">
        <v>8038.59</v>
      </c>
      <c r="T13">
        <v>9628.56</v>
      </c>
      <c r="U13">
        <v>1589.97</v>
      </c>
      <c r="V13">
        <v>0.165130611430993</v>
      </c>
      <c r="W13">
        <v>1</v>
      </c>
      <c r="X13" t="s">
        <v>128</v>
      </c>
      <c r="Y13">
        <v>2024</v>
      </c>
      <c r="Z13" t="s">
        <v>129</v>
      </c>
      <c r="AA13" t="s">
        <v>130</v>
      </c>
      <c r="AB13" t="s">
        <v>131</v>
      </c>
      <c r="AC13" t="s">
        <v>131</v>
      </c>
      <c r="AD13" t="s">
        <v>131</v>
      </c>
      <c r="AE13" t="s">
        <v>131</v>
      </c>
      <c r="AF13" t="s">
        <v>131</v>
      </c>
      <c r="AG13" t="s">
        <v>131</v>
      </c>
      <c r="AH13" t="s">
        <v>132</v>
      </c>
      <c r="AI13" t="s">
        <v>133</v>
      </c>
      <c r="AJ13" t="s">
        <v>209</v>
      </c>
      <c r="AK13" t="s">
        <v>210</v>
      </c>
      <c r="AL13" t="s">
        <v>170</v>
      </c>
      <c r="AM13" t="s">
        <v>44</v>
      </c>
      <c r="AN13" t="s">
        <v>8</v>
      </c>
      <c r="AO13" t="s">
        <v>140</v>
      </c>
      <c r="AP13" t="s">
        <v>141</v>
      </c>
      <c r="AQ13" t="s">
        <v>15</v>
      </c>
      <c r="AR13" t="s">
        <v>22</v>
      </c>
      <c r="AS13" t="s">
        <v>38</v>
      </c>
      <c r="AT13">
        <v>0.2</v>
      </c>
      <c r="AU13" t="s">
        <v>129</v>
      </c>
      <c r="AV13" t="s">
        <v>130</v>
      </c>
    </row>
    <row r="14" spans="1:48" x14ac:dyDescent="0.3">
      <c r="A14" t="s">
        <v>211</v>
      </c>
      <c r="B14" s="12">
        <v>45646</v>
      </c>
      <c r="C14" s="12">
        <v>45647</v>
      </c>
      <c r="D14" t="s">
        <v>212</v>
      </c>
      <c r="E14" t="s">
        <v>162</v>
      </c>
      <c r="F14" t="s">
        <v>43</v>
      </c>
      <c r="G14" t="s">
        <v>7</v>
      </c>
      <c r="H14" t="s">
        <v>126</v>
      </c>
      <c r="I14" t="s">
        <v>213</v>
      </c>
      <c r="J14" t="s">
        <v>20</v>
      </c>
      <c r="K14" t="s">
        <v>24</v>
      </c>
      <c r="M14" t="s">
        <v>36</v>
      </c>
      <c r="N14">
        <v>1</v>
      </c>
      <c r="O14">
        <v>702.14</v>
      </c>
      <c r="P14">
        <v>0.15</v>
      </c>
      <c r="Q14">
        <v>0.15</v>
      </c>
      <c r="R14">
        <v>596.82000000000005</v>
      </c>
      <c r="S14">
        <v>380.25</v>
      </c>
      <c r="T14">
        <v>596.81899999999996</v>
      </c>
      <c r="U14">
        <v>216.56899999999999</v>
      </c>
      <c r="V14">
        <v>0.36287216057129501</v>
      </c>
      <c r="W14">
        <v>1</v>
      </c>
      <c r="X14" t="s">
        <v>214</v>
      </c>
      <c r="Y14">
        <v>2024</v>
      </c>
      <c r="Z14" t="s">
        <v>215</v>
      </c>
      <c r="AA14" t="s">
        <v>204</v>
      </c>
      <c r="AB14" t="s">
        <v>131</v>
      </c>
      <c r="AC14" t="s">
        <v>131</v>
      </c>
      <c r="AD14" t="s">
        <v>131</v>
      </c>
      <c r="AE14" t="s">
        <v>131</v>
      </c>
      <c r="AF14" t="s">
        <v>131</v>
      </c>
      <c r="AG14" t="s">
        <v>131</v>
      </c>
      <c r="AH14" t="s">
        <v>131</v>
      </c>
      <c r="AI14" t="s">
        <v>133</v>
      </c>
      <c r="AJ14" t="s">
        <v>216</v>
      </c>
      <c r="AK14" t="s">
        <v>217</v>
      </c>
      <c r="AL14" t="s">
        <v>162</v>
      </c>
      <c r="AM14" t="s">
        <v>218</v>
      </c>
      <c r="AN14" t="s">
        <v>7</v>
      </c>
      <c r="AO14" t="s">
        <v>126</v>
      </c>
      <c r="AP14" t="s">
        <v>213</v>
      </c>
      <c r="AQ14" t="s">
        <v>20</v>
      </c>
      <c r="AR14" t="s">
        <v>24</v>
      </c>
      <c r="AS14" t="s">
        <v>36</v>
      </c>
      <c r="AT14">
        <v>0.15</v>
      </c>
      <c r="AU14" t="s">
        <v>215</v>
      </c>
      <c r="AV14" t="s">
        <v>204</v>
      </c>
    </row>
    <row r="15" spans="1:48" x14ac:dyDescent="0.3">
      <c r="A15" t="s">
        <v>219</v>
      </c>
      <c r="B15" s="12">
        <v>45942</v>
      </c>
      <c r="C15" s="12">
        <v>45946</v>
      </c>
      <c r="D15" t="s">
        <v>220</v>
      </c>
      <c r="E15" t="s">
        <v>221</v>
      </c>
      <c r="F15" t="s">
        <v>44</v>
      </c>
      <c r="G15" t="s">
        <v>7</v>
      </c>
      <c r="H15" t="s">
        <v>163</v>
      </c>
      <c r="I15" t="s">
        <v>164</v>
      </c>
      <c r="J15" t="s">
        <v>20</v>
      </c>
      <c r="K15" t="s">
        <v>29</v>
      </c>
      <c r="M15" t="s">
        <v>37</v>
      </c>
      <c r="N15">
        <v>7</v>
      </c>
      <c r="O15">
        <v>3964.72</v>
      </c>
      <c r="P15">
        <v>0.05</v>
      </c>
      <c r="Q15">
        <v>0.05</v>
      </c>
      <c r="R15">
        <v>26365.39</v>
      </c>
      <c r="S15">
        <v>22306.240000000002</v>
      </c>
      <c r="T15">
        <v>26365.387999999999</v>
      </c>
      <c r="U15">
        <v>4059.1479999999901</v>
      </c>
      <c r="V15">
        <v>0.153957453613047</v>
      </c>
      <c r="W15">
        <v>4</v>
      </c>
      <c r="X15" t="s">
        <v>222</v>
      </c>
      <c r="Y15">
        <v>2025</v>
      </c>
      <c r="Z15" t="s">
        <v>129</v>
      </c>
      <c r="AA15" t="s">
        <v>130</v>
      </c>
      <c r="AB15" t="s">
        <v>131</v>
      </c>
      <c r="AC15" t="s">
        <v>131</v>
      </c>
      <c r="AD15" t="s">
        <v>131</v>
      </c>
      <c r="AE15" t="s">
        <v>131</v>
      </c>
      <c r="AF15" t="s">
        <v>131</v>
      </c>
      <c r="AG15" t="s">
        <v>131</v>
      </c>
      <c r="AH15" t="s">
        <v>132</v>
      </c>
      <c r="AI15" t="s">
        <v>133</v>
      </c>
      <c r="AJ15" t="s">
        <v>223</v>
      </c>
      <c r="AK15" t="s">
        <v>224</v>
      </c>
      <c r="AL15" t="s">
        <v>221</v>
      </c>
      <c r="AM15" t="s">
        <v>44</v>
      </c>
      <c r="AN15" t="s">
        <v>7</v>
      </c>
      <c r="AO15" t="s">
        <v>163</v>
      </c>
      <c r="AP15" t="s">
        <v>164</v>
      </c>
      <c r="AQ15" t="s">
        <v>20</v>
      </c>
      <c r="AR15" t="s">
        <v>29</v>
      </c>
      <c r="AS15" t="s">
        <v>37</v>
      </c>
      <c r="AT15">
        <v>0.05</v>
      </c>
      <c r="AU15" t="s">
        <v>129</v>
      </c>
      <c r="AV15" t="s">
        <v>130</v>
      </c>
    </row>
    <row r="16" spans="1:48" x14ac:dyDescent="0.3">
      <c r="A16" t="s">
        <v>225</v>
      </c>
      <c r="B16" s="12">
        <v>45653</v>
      </c>
      <c r="C16" s="12">
        <v>45654</v>
      </c>
      <c r="D16" t="s">
        <v>226</v>
      </c>
      <c r="E16" t="s">
        <v>227</v>
      </c>
      <c r="F16" t="s">
        <v>42</v>
      </c>
      <c r="G16" t="s">
        <v>7</v>
      </c>
      <c r="H16" t="s">
        <v>126</v>
      </c>
      <c r="I16" t="s">
        <v>213</v>
      </c>
      <c r="J16" t="s">
        <v>15</v>
      </c>
      <c r="K16" t="s">
        <v>16</v>
      </c>
      <c r="M16" t="s">
        <v>35</v>
      </c>
      <c r="N16">
        <v>2</v>
      </c>
      <c r="O16">
        <v>2737.83</v>
      </c>
      <c r="P16">
        <v>0.25</v>
      </c>
      <c r="Q16">
        <v>0.25</v>
      </c>
      <c r="R16">
        <v>4106.74</v>
      </c>
      <c r="S16">
        <v>2666.3</v>
      </c>
      <c r="T16">
        <v>4106.7449999999999</v>
      </c>
      <c r="U16">
        <v>1440.4449999999999</v>
      </c>
      <c r="V16">
        <v>0.35075102057712398</v>
      </c>
      <c r="W16">
        <v>1</v>
      </c>
      <c r="X16" t="s">
        <v>214</v>
      </c>
      <c r="Y16">
        <v>2024</v>
      </c>
      <c r="Z16" t="s">
        <v>129</v>
      </c>
      <c r="AA16" t="s">
        <v>130</v>
      </c>
      <c r="AB16" t="s">
        <v>131</v>
      </c>
      <c r="AC16" t="s">
        <v>131</v>
      </c>
      <c r="AD16" t="s">
        <v>131</v>
      </c>
      <c r="AE16" t="s">
        <v>131</v>
      </c>
      <c r="AF16" t="s">
        <v>131</v>
      </c>
      <c r="AG16" t="s">
        <v>131</v>
      </c>
      <c r="AH16" t="s">
        <v>132</v>
      </c>
      <c r="AI16" t="s">
        <v>133</v>
      </c>
      <c r="AJ16" t="s">
        <v>228</v>
      </c>
      <c r="AK16" t="s">
        <v>229</v>
      </c>
      <c r="AL16" t="s">
        <v>227</v>
      </c>
      <c r="AM16" t="s">
        <v>42</v>
      </c>
      <c r="AN16" t="s">
        <v>7</v>
      </c>
      <c r="AO16" t="s">
        <v>126</v>
      </c>
      <c r="AP16" t="s">
        <v>213</v>
      </c>
      <c r="AQ16" t="s">
        <v>15</v>
      </c>
      <c r="AR16" t="s">
        <v>16</v>
      </c>
      <c r="AS16" t="s">
        <v>35</v>
      </c>
      <c r="AT16">
        <v>0.25</v>
      </c>
      <c r="AU16" t="s">
        <v>129</v>
      </c>
      <c r="AV16" t="s">
        <v>130</v>
      </c>
    </row>
    <row r="17" spans="1:48" x14ac:dyDescent="0.3">
      <c r="A17" t="s">
        <v>230</v>
      </c>
      <c r="B17" s="12">
        <v>45482</v>
      </c>
      <c r="C17" s="12">
        <v>45482</v>
      </c>
      <c r="D17" t="s">
        <v>231</v>
      </c>
      <c r="E17" t="s">
        <v>125</v>
      </c>
      <c r="F17" t="s">
        <v>44</v>
      </c>
      <c r="G17" t="s">
        <v>9</v>
      </c>
      <c r="H17" t="s">
        <v>232</v>
      </c>
      <c r="I17" t="s">
        <v>233</v>
      </c>
      <c r="J17" t="s">
        <v>20</v>
      </c>
      <c r="K17" t="s">
        <v>21</v>
      </c>
      <c r="M17" t="s">
        <v>37</v>
      </c>
      <c r="N17">
        <v>6</v>
      </c>
      <c r="O17">
        <v>3965.76</v>
      </c>
      <c r="P17">
        <v>0</v>
      </c>
      <c r="Q17">
        <v>0</v>
      </c>
      <c r="R17">
        <v>23794.560000000001</v>
      </c>
      <c r="S17">
        <v>15698.47</v>
      </c>
      <c r="T17">
        <v>23794.560000000001</v>
      </c>
      <c r="U17">
        <v>8096.09</v>
      </c>
      <c r="V17">
        <v>0.340249620081229</v>
      </c>
      <c r="W17">
        <v>0</v>
      </c>
      <c r="X17" t="s">
        <v>128</v>
      </c>
      <c r="Y17">
        <v>2024</v>
      </c>
      <c r="Z17" t="s">
        <v>129</v>
      </c>
      <c r="AA17" t="s">
        <v>130</v>
      </c>
      <c r="AB17" t="s">
        <v>131</v>
      </c>
      <c r="AC17" t="s">
        <v>131</v>
      </c>
      <c r="AD17" t="s">
        <v>131</v>
      </c>
      <c r="AE17" t="s">
        <v>131</v>
      </c>
      <c r="AF17" t="s">
        <v>131</v>
      </c>
      <c r="AG17" t="s">
        <v>131</v>
      </c>
      <c r="AH17" t="s">
        <v>132</v>
      </c>
      <c r="AI17" t="s">
        <v>133</v>
      </c>
      <c r="AJ17" t="s">
        <v>234</v>
      </c>
      <c r="AK17" t="s">
        <v>235</v>
      </c>
      <c r="AL17" t="s">
        <v>125</v>
      </c>
      <c r="AM17" t="s">
        <v>44</v>
      </c>
      <c r="AN17" t="s">
        <v>9</v>
      </c>
      <c r="AO17" t="s">
        <v>232</v>
      </c>
      <c r="AP17" t="s">
        <v>233</v>
      </c>
      <c r="AQ17" t="s">
        <v>20</v>
      </c>
      <c r="AR17" t="s">
        <v>21</v>
      </c>
      <c r="AS17" t="s">
        <v>37</v>
      </c>
      <c r="AT17">
        <v>0</v>
      </c>
      <c r="AU17" t="s">
        <v>129</v>
      </c>
      <c r="AV17" t="s">
        <v>130</v>
      </c>
    </row>
    <row r="18" spans="1:48" x14ac:dyDescent="0.3">
      <c r="A18" t="s">
        <v>236</v>
      </c>
      <c r="B18" s="12">
        <v>45420</v>
      </c>
      <c r="C18" s="12">
        <v>45427</v>
      </c>
      <c r="D18" t="s">
        <v>237</v>
      </c>
      <c r="E18" t="s">
        <v>238</v>
      </c>
      <c r="F18" t="s">
        <v>42</v>
      </c>
      <c r="G18" t="s">
        <v>6</v>
      </c>
      <c r="H18" t="s">
        <v>155</v>
      </c>
      <c r="I18" t="s">
        <v>156</v>
      </c>
      <c r="J18" t="s">
        <v>20</v>
      </c>
      <c r="K18" t="s">
        <v>29</v>
      </c>
      <c r="M18" t="s">
        <v>36</v>
      </c>
      <c r="N18">
        <v>4</v>
      </c>
      <c r="O18">
        <v>3323.51</v>
      </c>
      <c r="P18">
        <v>0.25</v>
      </c>
      <c r="Q18">
        <v>0.25</v>
      </c>
      <c r="R18">
        <v>9970.5300000000007</v>
      </c>
      <c r="S18">
        <v>5668.17</v>
      </c>
      <c r="T18">
        <v>9970.5300000000007</v>
      </c>
      <c r="U18">
        <v>4302.3599999999997</v>
      </c>
      <c r="V18">
        <v>0.43150765305354899</v>
      </c>
      <c r="W18">
        <v>7</v>
      </c>
      <c r="X18" t="s">
        <v>173</v>
      </c>
      <c r="Y18">
        <v>2024</v>
      </c>
      <c r="Z18" t="s">
        <v>129</v>
      </c>
      <c r="AA18" t="s">
        <v>130</v>
      </c>
      <c r="AB18" t="s">
        <v>131</v>
      </c>
      <c r="AC18" t="s">
        <v>131</v>
      </c>
      <c r="AD18" t="s">
        <v>131</v>
      </c>
      <c r="AE18" t="s">
        <v>131</v>
      </c>
      <c r="AF18" t="s">
        <v>131</v>
      </c>
      <c r="AG18" t="s">
        <v>131</v>
      </c>
      <c r="AH18" t="s">
        <v>132</v>
      </c>
      <c r="AI18" t="s">
        <v>133</v>
      </c>
      <c r="AJ18" t="s">
        <v>239</v>
      </c>
      <c r="AK18" t="s">
        <v>240</v>
      </c>
      <c r="AL18" t="s">
        <v>238</v>
      </c>
      <c r="AM18" t="s">
        <v>42</v>
      </c>
      <c r="AN18" t="s">
        <v>6</v>
      </c>
      <c r="AO18" t="s">
        <v>155</v>
      </c>
      <c r="AP18" t="s">
        <v>156</v>
      </c>
      <c r="AQ18" t="s">
        <v>20</v>
      </c>
      <c r="AR18" t="s">
        <v>29</v>
      </c>
      <c r="AS18" t="s">
        <v>36</v>
      </c>
      <c r="AT18">
        <v>0.25</v>
      </c>
      <c r="AU18" t="s">
        <v>129</v>
      </c>
      <c r="AV18" t="s">
        <v>130</v>
      </c>
    </row>
    <row r="19" spans="1:48" x14ac:dyDescent="0.3">
      <c r="A19" t="s">
        <v>241</v>
      </c>
      <c r="B19" s="12">
        <v>45298</v>
      </c>
      <c r="C19" s="12">
        <v>45299</v>
      </c>
      <c r="D19" t="s">
        <v>242</v>
      </c>
      <c r="E19" t="s">
        <v>243</v>
      </c>
      <c r="F19" t="s">
        <v>44</v>
      </c>
      <c r="G19" t="s">
        <v>9</v>
      </c>
      <c r="H19" t="s">
        <v>126</v>
      </c>
      <c r="I19" t="s">
        <v>127</v>
      </c>
      <c r="J19" t="s">
        <v>18</v>
      </c>
      <c r="K19" t="s">
        <v>23</v>
      </c>
      <c r="M19" t="s">
        <v>38</v>
      </c>
      <c r="N19">
        <v>5</v>
      </c>
      <c r="O19">
        <v>1526.78</v>
      </c>
      <c r="P19">
        <v>0</v>
      </c>
      <c r="Q19">
        <v>0</v>
      </c>
      <c r="R19">
        <v>7633.9</v>
      </c>
      <c r="S19">
        <v>4706.91</v>
      </c>
      <c r="T19">
        <v>7633.9</v>
      </c>
      <c r="U19">
        <v>2926.99</v>
      </c>
      <c r="V19">
        <v>0.38342000812166799</v>
      </c>
      <c r="W19">
        <v>1</v>
      </c>
      <c r="X19" t="s">
        <v>244</v>
      </c>
      <c r="Y19">
        <v>2024</v>
      </c>
      <c r="Z19" t="s">
        <v>129</v>
      </c>
      <c r="AA19" t="s">
        <v>130</v>
      </c>
      <c r="AB19" t="s">
        <v>131</v>
      </c>
      <c r="AC19" t="s">
        <v>131</v>
      </c>
      <c r="AD19" t="s">
        <v>131</v>
      </c>
      <c r="AE19" t="s">
        <v>131</v>
      </c>
      <c r="AF19" t="s">
        <v>131</v>
      </c>
      <c r="AG19" t="s">
        <v>131</v>
      </c>
      <c r="AH19" t="s">
        <v>132</v>
      </c>
      <c r="AI19" t="s">
        <v>133</v>
      </c>
      <c r="AJ19" t="s">
        <v>245</v>
      </c>
      <c r="AK19" t="s">
        <v>246</v>
      </c>
      <c r="AL19" t="s">
        <v>243</v>
      </c>
      <c r="AM19" t="s">
        <v>44</v>
      </c>
      <c r="AN19" t="s">
        <v>9</v>
      </c>
      <c r="AO19" t="s">
        <v>126</v>
      </c>
      <c r="AP19" t="s">
        <v>127</v>
      </c>
      <c r="AQ19" t="s">
        <v>18</v>
      </c>
      <c r="AR19" t="s">
        <v>23</v>
      </c>
      <c r="AS19" t="s">
        <v>38</v>
      </c>
      <c r="AT19">
        <v>0</v>
      </c>
      <c r="AU19" t="s">
        <v>129</v>
      </c>
      <c r="AV19" t="s">
        <v>130</v>
      </c>
    </row>
    <row r="20" spans="1:48" x14ac:dyDescent="0.3">
      <c r="A20" t="s">
        <v>247</v>
      </c>
      <c r="B20" s="12">
        <v>45853</v>
      </c>
      <c r="C20" s="12">
        <v>45855</v>
      </c>
      <c r="D20" t="s">
        <v>248</v>
      </c>
      <c r="E20" t="s">
        <v>238</v>
      </c>
      <c r="F20" t="s">
        <v>41</v>
      </c>
      <c r="G20" t="s">
        <v>9</v>
      </c>
      <c r="H20" t="s">
        <v>249</v>
      </c>
      <c r="I20" t="s">
        <v>250</v>
      </c>
      <c r="J20" t="s">
        <v>15</v>
      </c>
      <c r="K20" t="s">
        <v>16</v>
      </c>
      <c r="M20" t="s">
        <v>36</v>
      </c>
      <c r="N20">
        <v>2</v>
      </c>
      <c r="O20">
        <v>1997.99</v>
      </c>
      <c r="P20">
        <v>0</v>
      </c>
      <c r="Q20">
        <v>0</v>
      </c>
      <c r="R20">
        <v>3995.98</v>
      </c>
      <c r="S20">
        <v>2633.2</v>
      </c>
      <c r="T20">
        <v>3995.98</v>
      </c>
      <c r="U20">
        <v>1362.78</v>
      </c>
      <c r="V20">
        <v>0.34103774293164602</v>
      </c>
      <c r="W20">
        <v>2</v>
      </c>
      <c r="X20" t="s">
        <v>128</v>
      </c>
      <c r="Y20">
        <v>2025</v>
      </c>
      <c r="Z20" t="s">
        <v>203</v>
      </c>
      <c r="AA20" t="s">
        <v>165</v>
      </c>
      <c r="AB20" t="s">
        <v>131</v>
      </c>
      <c r="AC20" t="s">
        <v>131</v>
      </c>
      <c r="AD20" t="s">
        <v>131</v>
      </c>
      <c r="AE20" t="s">
        <v>131</v>
      </c>
      <c r="AF20" t="s">
        <v>131</v>
      </c>
      <c r="AG20" t="s">
        <v>131</v>
      </c>
      <c r="AH20" t="s">
        <v>131</v>
      </c>
      <c r="AI20" t="s">
        <v>133</v>
      </c>
      <c r="AJ20" t="s">
        <v>251</v>
      </c>
      <c r="AK20" t="s">
        <v>252</v>
      </c>
      <c r="AL20" t="s">
        <v>238</v>
      </c>
      <c r="AM20" t="s">
        <v>41</v>
      </c>
      <c r="AN20" t="s">
        <v>9</v>
      </c>
      <c r="AO20" t="s">
        <v>249</v>
      </c>
      <c r="AP20" t="s">
        <v>250</v>
      </c>
      <c r="AQ20" t="s">
        <v>15</v>
      </c>
      <c r="AR20" t="s">
        <v>16</v>
      </c>
      <c r="AS20" t="s">
        <v>36</v>
      </c>
      <c r="AT20">
        <v>0</v>
      </c>
      <c r="AU20" t="s">
        <v>203</v>
      </c>
      <c r="AV20" t="s">
        <v>165</v>
      </c>
    </row>
    <row r="21" spans="1:48" x14ac:dyDescent="0.3">
      <c r="A21" t="s">
        <v>253</v>
      </c>
      <c r="B21" s="12">
        <v>45500</v>
      </c>
      <c r="C21" s="12">
        <v>45504</v>
      </c>
      <c r="D21" t="s">
        <v>254</v>
      </c>
      <c r="E21" t="s">
        <v>255</v>
      </c>
      <c r="F21" t="s">
        <v>41</v>
      </c>
      <c r="G21" t="s">
        <v>7</v>
      </c>
      <c r="H21" t="s">
        <v>171</v>
      </c>
      <c r="I21" t="s">
        <v>172</v>
      </c>
      <c r="J21" t="s">
        <v>20</v>
      </c>
      <c r="K21" t="s">
        <v>21</v>
      </c>
      <c r="M21" t="s">
        <v>37</v>
      </c>
      <c r="N21">
        <v>3</v>
      </c>
      <c r="O21">
        <v>3887.94</v>
      </c>
      <c r="P21">
        <v>-0.19</v>
      </c>
      <c r="Q21">
        <v>0</v>
      </c>
      <c r="R21">
        <v>9331.06</v>
      </c>
      <c r="S21">
        <v>7529.31</v>
      </c>
      <c r="T21">
        <v>11663.82</v>
      </c>
      <c r="U21">
        <v>4134.51</v>
      </c>
      <c r="V21">
        <v>0.35447306285590802</v>
      </c>
      <c r="W21">
        <v>4</v>
      </c>
      <c r="X21" t="s">
        <v>128</v>
      </c>
      <c r="Y21">
        <v>2024</v>
      </c>
      <c r="Z21" t="s">
        <v>129</v>
      </c>
      <c r="AA21" t="s">
        <v>130</v>
      </c>
      <c r="AB21" t="s">
        <v>131</v>
      </c>
      <c r="AC21" t="s">
        <v>131</v>
      </c>
      <c r="AD21" t="s">
        <v>131</v>
      </c>
      <c r="AE21" t="s">
        <v>131</v>
      </c>
      <c r="AF21" t="s">
        <v>132</v>
      </c>
      <c r="AG21" t="s">
        <v>131</v>
      </c>
      <c r="AH21" t="s">
        <v>132</v>
      </c>
      <c r="AI21" t="s">
        <v>149</v>
      </c>
      <c r="AJ21" t="s">
        <v>135</v>
      </c>
      <c r="AK21" t="s">
        <v>256</v>
      </c>
      <c r="AL21" t="s">
        <v>255</v>
      </c>
      <c r="AM21" t="s">
        <v>41</v>
      </c>
      <c r="AN21" t="s">
        <v>7</v>
      </c>
      <c r="AO21" t="s">
        <v>171</v>
      </c>
      <c r="AP21" t="s">
        <v>172</v>
      </c>
      <c r="AQ21" t="s">
        <v>20</v>
      </c>
      <c r="AR21" t="s">
        <v>21</v>
      </c>
      <c r="AS21" t="s">
        <v>37</v>
      </c>
      <c r="AT21">
        <v>-0.19</v>
      </c>
      <c r="AU21" t="s">
        <v>129</v>
      </c>
      <c r="AV21" t="s">
        <v>130</v>
      </c>
    </row>
    <row r="22" spans="1:48" x14ac:dyDescent="0.3">
      <c r="A22" t="s">
        <v>257</v>
      </c>
      <c r="B22" s="12">
        <v>45678</v>
      </c>
      <c r="C22" s="12">
        <v>45680</v>
      </c>
      <c r="D22" t="s">
        <v>258</v>
      </c>
      <c r="E22" t="s">
        <v>191</v>
      </c>
      <c r="F22" t="s">
        <v>41</v>
      </c>
      <c r="G22" t="s">
        <v>8</v>
      </c>
      <c r="H22" t="s">
        <v>259</v>
      </c>
      <c r="I22" t="s">
        <v>260</v>
      </c>
      <c r="J22" t="s">
        <v>15</v>
      </c>
      <c r="K22" t="s">
        <v>16</v>
      </c>
      <c r="M22" t="s">
        <v>36</v>
      </c>
      <c r="N22">
        <v>5</v>
      </c>
      <c r="O22">
        <v>4373.0600000000004</v>
      </c>
      <c r="P22">
        <v>0.25</v>
      </c>
      <c r="Q22">
        <v>0.25</v>
      </c>
      <c r="R22">
        <v>16398.98</v>
      </c>
      <c r="S22">
        <v>9556.52</v>
      </c>
      <c r="T22">
        <v>16398.974999999999</v>
      </c>
      <c r="U22">
        <v>6842.4549999999999</v>
      </c>
      <c r="V22">
        <v>0.41724894391265299</v>
      </c>
      <c r="W22">
        <v>2</v>
      </c>
      <c r="X22" t="s">
        <v>244</v>
      </c>
      <c r="Y22">
        <v>2025</v>
      </c>
      <c r="Z22" t="s">
        <v>129</v>
      </c>
      <c r="AA22" t="s">
        <v>130</v>
      </c>
      <c r="AB22" t="s">
        <v>131</v>
      </c>
      <c r="AC22" t="s">
        <v>131</v>
      </c>
      <c r="AD22" t="s">
        <v>131</v>
      </c>
      <c r="AE22" t="s">
        <v>131</v>
      </c>
      <c r="AF22" t="s">
        <v>131</v>
      </c>
      <c r="AG22" t="s">
        <v>131</v>
      </c>
      <c r="AH22" t="s">
        <v>132</v>
      </c>
      <c r="AI22" t="s">
        <v>133</v>
      </c>
      <c r="AJ22" t="s">
        <v>261</v>
      </c>
      <c r="AK22" t="s">
        <v>262</v>
      </c>
      <c r="AL22" t="s">
        <v>191</v>
      </c>
      <c r="AM22" t="s">
        <v>41</v>
      </c>
      <c r="AN22" t="s">
        <v>8</v>
      </c>
      <c r="AO22" t="s">
        <v>259</v>
      </c>
      <c r="AP22" t="s">
        <v>260</v>
      </c>
      <c r="AQ22" t="s">
        <v>15</v>
      </c>
      <c r="AR22" t="s">
        <v>16</v>
      </c>
      <c r="AS22" t="s">
        <v>36</v>
      </c>
      <c r="AT22">
        <v>0.25</v>
      </c>
      <c r="AU22" t="s">
        <v>129</v>
      </c>
      <c r="AV22" t="s">
        <v>130</v>
      </c>
    </row>
    <row r="23" spans="1:48" x14ac:dyDescent="0.3">
      <c r="A23" t="s">
        <v>263</v>
      </c>
      <c r="B23" s="12">
        <v>45681</v>
      </c>
      <c r="C23" s="12">
        <v>45687</v>
      </c>
      <c r="D23" t="s">
        <v>264</v>
      </c>
      <c r="E23" t="s">
        <v>243</v>
      </c>
      <c r="F23" t="s">
        <v>42</v>
      </c>
      <c r="G23" t="s">
        <v>7</v>
      </c>
      <c r="H23" t="s">
        <v>171</v>
      </c>
      <c r="I23" t="s">
        <v>172</v>
      </c>
      <c r="J23" t="s">
        <v>18</v>
      </c>
      <c r="K23" t="s">
        <v>23</v>
      </c>
      <c r="M23" t="s">
        <v>37</v>
      </c>
      <c r="N23">
        <v>4</v>
      </c>
      <c r="O23">
        <v>697.69</v>
      </c>
      <c r="P23">
        <v>-0.23</v>
      </c>
      <c r="Q23">
        <v>0</v>
      </c>
      <c r="R23">
        <v>2790.76</v>
      </c>
      <c r="S23">
        <v>2037.71</v>
      </c>
      <c r="T23">
        <v>2790.76</v>
      </c>
      <c r="U23">
        <v>753.05</v>
      </c>
      <c r="V23">
        <v>0.26983689030945002</v>
      </c>
      <c r="W23">
        <v>6</v>
      </c>
      <c r="X23" t="s">
        <v>244</v>
      </c>
      <c r="Y23">
        <v>2025</v>
      </c>
      <c r="Z23" t="s">
        <v>129</v>
      </c>
      <c r="AA23" t="s">
        <v>130</v>
      </c>
      <c r="AB23" t="s">
        <v>131</v>
      </c>
      <c r="AC23" t="s">
        <v>131</v>
      </c>
      <c r="AD23" t="s">
        <v>131</v>
      </c>
      <c r="AE23" t="s">
        <v>131</v>
      </c>
      <c r="AF23" t="s">
        <v>132</v>
      </c>
      <c r="AG23" t="s">
        <v>131</v>
      </c>
      <c r="AH23" t="s">
        <v>132</v>
      </c>
      <c r="AI23" t="s">
        <v>149</v>
      </c>
      <c r="AJ23" t="s">
        <v>265</v>
      </c>
      <c r="AK23" t="s">
        <v>266</v>
      </c>
      <c r="AL23" t="s">
        <v>243</v>
      </c>
      <c r="AM23" t="s">
        <v>42</v>
      </c>
      <c r="AN23" t="s">
        <v>7</v>
      </c>
      <c r="AO23" t="s">
        <v>171</v>
      </c>
      <c r="AP23" t="s">
        <v>172</v>
      </c>
      <c r="AQ23" t="s">
        <v>18</v>
      </c>
      <c r="AR23" t="s">
        <v>23</v>
      </c>
      <c r="AS23" t="s">
        <v>37</v>
      </c>
      <c r="AT23">
        <v>-0.23</v>
      </c>
      <c r="AU23" t="s">
        <v>129</v>
      </c>
      <c r="AV23" t="s">
        <v>130</v>
      </c>
    </row>
    <row r="24" spans="1:48" x14ac:dyDescent="0.3">
      <c r="A24" t="s">
        <v>267</v>
      </c>
      <c r="B24" s="12">
        <v>45676</v>
      </c>
      <c r="C24" s="12">
        <v>45678</v>
      </c>
      <c r="D24" t="s">
        <v>268</v>
      </c>
      <c r="E24" t="s">
        <v>139</v>
      </c>
      <c r="F24" t="s">
        <v>42</v>
      </c>
      <c r="G24" t="s">
        <v>6</v>
      </c>
      <c r="H24" t="s">
        <v>155</v>
      </c>
      <c r="I24" t="s">
        <v>156</v>
      </c>
      <c r="J24" t="s">
        <v>20</v>
      </c>
      <c r="K24" t="s">
        <v>28</v>
      </c>
      <c r="M24" t="s">
        <v>35</v>
      </c>
      <c r="N24">
        <v>8</v>
      </c>
      <c r="O24">
        <v>1219.3399999999999</v>
      </c>
      <c r="P24">
        <v>0.15</v>
      </c>
      <c r="Q24">
        <v>0.15</v>
      </c>
      <c r="R24">
        <v>8291.51</v>
      </c>
      <c r="S24">
        <v>6685.03</v>
      </c>
      <c r="T24">
        <v>8291.5120000000006</v>
      </c>
      <c r="U24">
        <v>1606.482</v>
      </c>
      <c r="V24">
        <v>0.19375018693816001</v>
      </c>
      <c r="W24">
        <v>2</v>
      </c>
      <c r="X24" t="s">
        <v>244</v>
      </c>
      <c r="Y24">
        <v>2025</v>
      </c>
      <c r="Z24" t="s">
        <v>269</v>
      </c>
      <c r="AA24" t="s">
        <v>204</v>
      </c>
      <c r="AB24" t="s">
        <v>131</v>
      </c>
      <c r="AC24" t="s">
        <v>131</v>
      </c>
      <c r="AD24" t="s">
        <v>131</v>
      </c>
      <c r="AE24" t="s">
        <v>131</v>
      </c>
      <c r="AF24" t="s">
        <v>131</v>
      </c>
      <c r="AG24" t="s">
        <v>131</v>
      </c>
      <c r="AH24" t="s">
        <v>131</v>
      </c>
      <c r="AI24" t="s">
        <v>133</v>
      </c>
      <c r="AJ24" t="s">
        <v>270</v>
      </c>
      <c r="AK24" t="s">
        <v>271</v>
      </c>
      <c r="AL24" t="s">
        <v>139</v>
      </c>
      <c r="AM24" t="s">
        <v>42</v>
      </c>
      <c r="AN24" t="s">
        <v>6</v>
      </c>
      <c r="AO24" t="s">
        <v>155</v>
      </c>
      <c r="AP24" t="s">
        <v>156</v>
      </c>
      <c r="AQ24" t="s">
        <v>20</v>
      </c>
      <c r="AR24" t="s">
        <v>28</v>
      </c>
      <c r="AS24" t="s">
        <v>35</v>
      </c>
      <c r="AT24">
        <v>0.15</v>
      </c>
      <c r="AU24" t="s">
        <v>269</v>
      </c>
      <c r="AV24" t="s">
        <v>204</v>
      </c>
    </row>
    <row r="25" spans="1:48" x14ac:dyDescent="0.3">
      <c r="A25" t="s">
        <v>272</v>
      </c>
      <c r="B25" s="12">
        <v>45898</v>
      </c>
      <c r="C25" s="12">
        <v>45900</v>
      </c>
      <c r="D25" t="s">
        <v>273</v>
      </c>
      <c r="E25" t="s">
        <v>227</v>
      </c>
      <c r="F25" t="s">
        <v>41</v>
      </c>
      <c r="G25" t="s">
        <v>8</v>
      </c>
      <c r="H25" t="s">
        <v>259</v>
      </c>
      <c r="I25" t="s">
        <v>260</v>
      </c>
      <c r="J25" t="s">
        <v>18</v>
      </c>
      <c r="K25" t="s">
        <v>26</v>
      </c>
      <c r="M25" t="s">
        <v>36</v>
      </c>
      <c r="N25">
        <v>4</v>
      </c>
      <c r="O25">
        <v>1958.01</v>
      </c>
      <c r="P25">
        <v>0.2</v>
      </c>
      <c r="Q25">
        <v>0.2</v>
      </c>
      <c r="R25">
        <v>6265.63</v>
      </c>
      <c r="S25">
        <v>4321.8599999999997</v>
      </c>
      <c r="T25">
        <v>6265.6319999999996</v>
      </c>
      <c r="U25">
        <v>1943.7719999999999</v>
      </c>
      <c r="V25">
        <v>0.31022760353624401</v>
      </c>
      <c r="W25">
        <v>2</v>
      </c>
      <c r="X25" t="s">
        <v>142</v>
      </c>
      <c r="Y25">
        <v>2025</v>
      </c>
      <c r="Z25" t="s">
        <v>129</v>
      </c>
      <c r="AA25" t="s">
        <v>130</v>
      </c>
      <c r="AB25" t="s">
        <v>131</v>
      </c>
      <c r="AC25" t="s">
        <v>131</v>
      </c>
      <c r="AD25" t="s">
        <v>131</v>
      </c>
      <c r="AE25" t="s">
        <v>131</v>
      </c>
      <c r="AF25" t="s">
        <v>131</v>
      </c>
      <c r="AG25" t="s">
        <v>131</v>
      </c>
      <c r="AH25" t="s">
        <v>132</v>
      </c>
      <c r="AI25" t="s">
        <v>133</v>
      </c>
      <c r="AJ25" t="s">
        <v>166</v>
      </c>
      <c r="AK25" t="s">
        <v>274</v>
      </c>
      <c r="AL25" t="s">
        <v>227</v>
      </c>
      <c r="AM25" t="s">
        <v>41</v>
      </c>
      <c r="AN25" t="s">
        <v>8</v>
      </c>
      <c r="AO25" t="s">
        <v>259</v>
      </c>
      <c r="AP25" t="s">
        <v>260</v>
      </c>
      <c r="AQ25" t="s">
        <v>18</v>
      </c>
      <c r="AR25" t="s">
        <v>26</v>
      </c>
      <c r="AS25" t="s">
        <v>36</v>
      </c>
      <c r="AT25">
        <v>0.2</v>
      </c>
      <c r="AU25" t="s">
        <v>129</v>
      </c>
      <c r="AV25" t="s">
        <v>130</v>
      </c>
    </row>
    <row r="26" spans="1:48" x14ac:dyDescent="0.3">
      <c r="A26" t="s">
        <v>275</v>
      </c>
      <c r="B26" s="12">
        <v>45355</v>
      </c>
      <c r="C26" s="12">
        <v>45352</v>
      </c>
      <c r="D26" t="s">
        <v>276</v>
      </c>
      <c r="E26" t="s">
        <v>277</v>
      </c>
      <c r="F26" t="s">
        <v>42</v>
      </c>
      <c r="G26" t="s">
        <v>9</v>
      </c>
      <c r="H26" t="s">
        <v>232</v>
      </c>
      <c r="I26" t="s">
        <v>233</v>
      </c>
      <c r="J26" t="s">
        <v>20</v>
      </c>
      <c r="K26" t="s">
        <v>29</v>
      </c>
      <c r="M26" t="s">
        <v>35</v>
      </c>
      <c r="N26">
        <v>4</v>
      </c>
      <c r="O26">
        <v>4492.9399999999996</v>
      </c>
      <c r="P26">
        <v>0.25</v>
      </c>
      <c r="Q26">
        <v>0.25</v>
      </c>
      <c r="R26">
        <v>13478.82</v>
      </c>
      <c r="S26">
        <v>10937.35</v>
      </c>
      <c r="T26">
        <v>13478.82</v>
      </c>
      <c r="U26">
        <v>2541.4699999999998</v>
      </c>
      <c r="V26">
        <v>0.188552855517026</v>
      </c>
      <c r="W26">
        <v>-3</v>
      </c>
      <c r="X26" t="s">
        <v>278</v>
      </c>
      <c r="Y26">
        <v>2024</v>
      </c>
      <c r="Z26" t="s">
        <v>215</v>
      </c>
      <c r="AA26" t="s">
        <v>165</v>
      </c>
      <c r="AB26" t="s">
        <v>131</v>
      </c>
      <c r="AC26" t="s">
        <v>131</v>
      </c>
      <c r="AD26" t="s">
        <v>131</v>
      </c>
      <c r="AE26" t="s">
        <v>132</v>
      </c>
      <c r="AF26" t="s">
        <v>131</v>
      </c>
      <c r="AG26" t="s">
        <v>131</v>
      </c>
      <c r="AH26" t="s">
        <v>131</v>
      </c>
      <c r="AI26" t="s">
        <v>149</v>
      </c>
      <c r="AJ26" t="s">
        <v>279</v>
      </c>
      <c r="AK26" t="s">
        <v>280</v>
      </c>
      <c r="AL26" t="s">
        <v>277</v>
      </c>
      <c r="AM26" t="s">
        <v>42</v>
      </c>
      <c r="AN26" t="s">
        <v>9</v>
      </c>
      <c r="AO26" t="s">
        <v>232</v>
      </c>
      <c r="AP26" t="s">
        <v>233</v>
      </c>
      <c r="AQ26" t="s">
        <v>20</v>
      </c>
      <c r="AR26" t="s">
        <v>29</v>
      </c>
      <c r="AS26" t="s">
        <v>35</v>
      </c>
      <c r="AT26">
        <v>0.25</v>
      </c>
      <c r="AU26" t="s">
        <v>215</v>
      </c>
      <c r="AV26" t="s">
        <v>165</v>
      </c>
    </row>
    <row r="27" spans="1:48" x14ac:dyDescent="0.3">
      <c r="A27" t="s">
        <v>281</v>
      </c>
      <c r="B27" s="12">
        <v>45576</v>
      </c>
      <c r="C27" s="12">
        <v>45584</v>
      </c>
      <c r="D27" t="s">
        <v>282</v>
      </c>
      <c r="E27" t="s">
        <v>154</v>
      </c>
      <c r="F27" t="s">
        <v>43</v>
      </c>
      <c r="G27" t="s">
        <v>8</v>
      </c>
      <c r="H27" t="s">
        <v>283</v>
      </c>
      <c r="I27" t="s">
        <v>284</v>
      </c>
      <c r="J27" t="s">
        <v>15</v>
      </c>
      <c r="K27" t="s">
        <v>22</v>
      </c>
      <c r="M27" t="s">
        <v>36</v>
      </c>
      <c r="N27">
        <v>2</v>
      </c>
      <c r="O27">
        <v>4315.2</v>
      </c>
      <c r="P27">
        <v>0.15</v>
      </c>
      <c r="Q27">
        <v>0.15</v>
      </c>
      <c r="R27">
        <v>7335.84</v>
      </c>
      <c r="S27">
        <v>4968.41</v>
      </c>
      <c r="T27">
        <v>7335.84</v>
      </c>
      <c r="U27">
        <v>2367.4299999999998</v>
      </c>
      <c r="V27">
        <v>0.32272105171323301</v>
      </c>
      <c r="W27">
        <v>8</v>
      </c>
      <c r="X27" t="s">
        <v>222</v>
      </c>
      <c r="Y27">
        <v>2024</v>
      </c>
      <c r="Z27" t="s">
        <v>129</v>
      </c>
      <c r="AA27" t="s">
        <v>130</v>
      </c>
      <c r="AB27" t="s">
        <v>131</v>
      </c>
      <c r="AC27" t="s">
        <v>131</v>
      </c>
      <c r="AD27" t="s">
        <v>131</v>
      </c>
      <c r="AE27" t="s">
        <v>131</v>
      </c>
      <c r="AF27" t="s">
        <v>131</v>
      </c>
      <c r="AG27" t="s">
        <v>131</v>
      </c>
      <c r="AH27" t="s">
        <v>132</v>
      </c>
      <c r="AI27" t="s">
        <v>133</v>
      </c>
      <c r="AJ27" t="s">
        <v>285</v>
      </c>
      <c r="AK27" t="s">
        <v>286</v>
      </c>
      <c r="AL27" t="s">
        <v>154</v>
      </c>
      <c r="AM27" t="s">
        <v>43</v>
      </c>
      <c r="AN27" t="s">
        <v>8</v>
      </c>
      <c r="AO27" t="s">
        <v>283</v>
      </c>
      <c r="AP27" t="s">
        <v>284</v>
      </c>
      <c r="AQ27" t="s">
        <v>15</v>
      </c>
      <c r="AR27" t="s">
        <v>22</v>
      </c>
      <c r="AS27" t="s">
        <v>36</v>
      </c>
      <c r="AT27">
        <v>0.15</v>
      </c>
      <c r="AU27" t="s">
        <v>129</v>
      </c>
      <c r="AV27" t="s">
        <v>130</v>
      </c>
    </row>
    <row r="28" spans="1:48" x14ac:dyDescent="0.3">
      <c r="A28" t="s">
        <v>287</v>
      </c>
      <c r="B28" s="12">
        <v>45619</v>
      </c>
      <c r="C28" s="12">
        <v>45619</v>
      </c>
      <c r="D28" t="s">
        <v>288</v>
      </c>
      <c r="E28" t="s">
        <v>277</v>
      </c>
      <c r="F28" t="s">
        <v>43</v>
      </c>
      <c r="G28" t="s">
        <v>9</v>
      </c>
      <c r="H28" t="s">
        <v>249</v>
      </c>
      <c r="I28" t="s">
        <v>250</v>
      </c>
      <c r="J28" t="s">
        <v>15</v>
      </c>
      <c r="K28" t="s">
        <v>17</v>
      </c>
      <c r="M28" t="s">
        <v>35</v>
      </c>
      <c r="N28">
        <v>4</v>
      </c>
      <c r="O28">
        <v>716.13</v>
      </c>
      <c r="P28">
        <v>0.1</v>
      </c>
      <c r="Q28">
        <v>0.1</v>
      </c>
      <c r="R28">
        <v>2578.0700000000002</v>
      </c>
      <c r="S28">
        <v>1527.55</v>
      </c>
      <c r="T28">
        <v>2578.0680000000002</v>
      </c>
      <c r="U28">
        <v>1050.518</v>
      </c>
      <c r="V28">
        <v>0.40748265755596802</v>
      </c>
      <c r="W28">
        <v>0</v>
      </c>
      <c r="X28" t="s">
        <v>157</v>
      </c>
      <c r="Y28">
        <v>2024</v>
      </c>
      <c r="Z28" t="s">
        <v>129</v>
      </c>
      <c r="AA28" t="s">
        <v>204</v>
      </c>
      <c r="AB28" t="s">
        <v>131</v>
      </c>
      <c r="AC28" t="s">
        <v>131</v>
      </c>
      <c r="AD28" t="s">
        <v>131</v>
      </c>
      <c r="AE28" t="s">
        <v>131</v>
      </c>
      <c r="AF28" t="s">
        <v>131</v>
      </c>
      <c r="AG28" t="s">
        <v>131</v>
      </c>
      <c r="AH28" t="s">
        <v>131</v>
      </c>
      <c r="AI28" t="s">
        <v>133</v>
      </c>
      <c r="AJ28" t="s">
        <v>289</v>
      </c>
      <c r="AK28" t="s">
        <v>290</v>
      </c>
      <c r="AL28" t="s">
        <v>277</v>
      </c>
      <c r="AM28" t="s">
        <v>43</v>
      </c>
      <c r="AN28" t="s">
        <v>9</v>
      </c>
      <c r="AO28" t="s">
        <v>249</v>
      </c>
      <c r="AP28" t="s">
        <v>250</v>
      </c>
      <c r="AQ28" t="s">
        <v>15</v>
      </c>
      <c r="AR28" t="s">
        <v>17</v>
      </c>
      <c r="AS28" t="s">
        <v>35</v>
      </c>
      <c r="AT28">
        <v>0.1</v>
      </c>
      <c r="AU28" t="s">
        <v>291</v>
      </c>
      <c r="AV28" t="s">
        <v>204</v>
      </c>
    </row>
    <row r="29" spans="1:48" x14ac:dyDescent="0.3">
      <c r="A29" t="s">
        <v>292</v>
      </c>
      <c r="B29" s="12">
        <v>45929</v>
      </c>
      <c r="C29" s="12">
        <v>45935</v>
      </c>
      <c r="D29" t="s">
        <v>293</v>
      </c>
      <c r="E29" t="s">
        <v>154</v>
      </c>
      <c r="F29" t="s">
        <v>44</v>
      </c>
      <c r="G29" t="s">
        <v>6</v>
      </c>
      <c r="H29" t="s">
        <v>294</v>
      </c>
      <c r="I29" t="s">
        <v>295</v>
      </c>
      <c r="J29" t="s">
        <v>20</v>
      </c>
      <c r="K29" t="s">
        <v>24</v>
      </c>
      <c r="M29" t="s">
        <v>37</v>
      </c>
      <c r="N29">
        <v>5</v>
      </c>
      <c r="O29">
        <v>1806.51</v>
      </c>
      <c r="P29">
        <v>0.25</v>
      </c>
      <c r="Q29">
        <v>0.25</v>
      </c>
      <c r="R29">
        <v>6774.41</v>
      </c>
      <c r="S29">
        <v>4710.3599999999997</v>
      </c>
      <c r="T29">
        <v>6774.4125000000004</v>
      </c>
      <c r="U29">
        <v>2064.0524999999998</v>
      </c>
      <c r="V29">
        <v>0.30468361647596798</v>
      </c>
      <c r="W29">
        <v>6</v>
      </c>
      <c r="X29" t="s">
        <v>196</v>
      </c>
      <c r="Y29">
        <v>2025</v>
      </c>
      <c r="Z29" t="s">
        <v>269</v>
      </c>
      <c r="AA29" t="s">
        <v>204</v>
      </c>
      <c r="AB29" t="s">
        <v>131</v>
      </c>
      <c r="AC29" t="s">
        <v>131</v>
      </c>
      <c r="AD29" t="s">
        <v>131</v>
      </c>
      <c r="AE29" t="s">
        <v>131</v>
      </c>
      <c r="AF29" t="s">
        <v>131</v>
      </c>
      <c r="AG29" t="s">
        <v>131</v>
      </c>
      <c r="AH29" t="s">
        <v>131</v>
      </c>
      <c r="AI29" t="s">
        <v>133</v>
      </c>
      <c r="AJ29" t="s">
        <v>296</v>
      </c>
      <c r="AK29" t="s">
        <v>297</v>
      </c>
      <c r="AL29" t="s">
        <v>154</v>
      </c>
      <c r="AM29" t="s">
        <v>44</v>
      </c>
      <c r="AN29" t="s">
        <v>6</v>
      </c>
      <c r="AO29" t="s">
        <v>294</v>
      </c>
      <c r="AP29" t="s">
        <v>295</v>
      </c>
      <c r="AQ29" t="s">
        <v>20</v>
      </c>
      <c r="AR29" t="s">
        <v>24</v>
      </c>
      <c r="AS29" t="s">
        <v>37</v>
      </c>
      <c r="AT29">
        <v>0.25</v>
      </c>
      <c r="AU29" t="s">
        <v>269</v>
      </c>
      <c r="AV29" t="s">
        <v>204</v>
      </c>
    </row>
    <row r="30" spans="1:48" x14ac:dyDescent="0.3">
      <c r="A30" t="s">
        <v>298</v>
      </c>
      <c r="B30" s="12">
        <v>45576</v>
      </c>
      <c r="C30" s="12">
        <v>45583</v>
      </c>
      <c r="D30" t="s">
        <v>299</v>
      </c>
      <c r="E30" t="s">
        <v>162</v>
      </c>
      <c r="F30" t="s">
        <v>41</v>
      </c>
      <c r="G30" t="s">
        <v>7</v>
      </c>
      <c r="H30" t="s">
        <v>300</v>
      </c>
      <c r="I30" t="s">
        <v>301</v>
      </c>
      <c r="J30" t="s">
        <v>15</v>
      </c>
      <c r="K30" t="s">
        <v>17</v>
      </c>
      <c r="M30" t="s">
        <v>37</v>
      </c>
      <c r="N30">
        <v>2</v>
      </c>
      <c r="O30">
        <v>1942.22</v>
      </c>
      <c r="P30">
        <v>0.25</v>
      </c>
      <c r="Q30">
        <v>0.25</v>
      </c>
      <c r="R30">
        <v>2913.33</v>
      </c>
      <c r="S30">
        <v>2122.33</v>
      </c>
      <c r="T30">
        <v>2913.33</v>
      </c>
      <c r="U30">
        <v>791</v>
      </c>
      <c r="V30">
        <v>0.27151060813570699</v>
      </c>
      <c r="W30">
        <v>7</v>
      </c>
      <c r="X30" t="s">
        <v>222</v>
      </c>
      <c r="Y30">
        <v>2024</v>
      </c>
      <c r="Z30" t="s">
        <v>203</v>
      </c>
      <c r="AA30" t="s">
        <v>165</v>
      </c>
      <c r="AB30" t="s">
        <v>131</v>
      </c>
      <c r="AC30" t="s">
        <v>131</v>
      </c>
      <c r="AD30" t="s">
        <v>131</v>
      </c>
      <c r="AE30" t="s">
        <v>131</v>
      </c>
      <c r="AF30" t="s">
        <v>131</v>
      </c>
      <c r="AG30" t="s">
        <v>131</v>
      </c>
      <c r="AH30" t="s">
        <v>131</v>
      </c>
      <c r="AI30" t="s">
        <v>133</v>
      </c>
      <c r="AJ30" t="s">
        <v>285</v>
      </c>
      <c r="AK30" t="s">
        <v>302</v>
      </c>
      <c r="AL30" t="s">
        <v>162</v>
      </c>
      <c r="AM30" t="s">
        <v>41</v>
      </c>
      <c r="AN30" t="s">
        <v>7</v>
      </c>
      <c r="AO30" t="s">
        <v>300</v>
      </c>
      <c r="AP30" t="s">
        <v>301</v>
      </c>
      <c r="AQ30" t="s">
        <v>15</v>
      </c>
      <c r="AR30" t="s">
        <v>17</v>
      </c>
      <c r="AS30" t="s">
        <v>37</v>
      </c>
      <c r="AT30">
        <v>0.25</v>
      </c>
      <c r="AU30" t="s">
        <v>203</v>
      </c>
      <c r="AV30" t="s">
        <v>165</v>
      </c>
    </row>
    <row r="31" spans="1:48" x14ac:dyDescent="0.3">
      <c r="A31" t="s">
        <v>303</v>
      </c>
      <c r="B31" s="12">
        <v>45882</v>
      </c>
      <c r="C31" s="12">
        <v>45882</v>
      </c>
      <c r="D31" t="s">
        <v>304</v>
      </c>
      <c r="E31" t="s">
        <v>255</v>
      </c>
      <c r="F31" t="s">
        <v>41</v>
      </c>
      <c r="G31" t="s">
        <v>6</v>
      </c>
      <c r="H31" t="s">
        <v>305</v>
      </c>
      <c r="I31" t="s">
        <v>306</v>
      </c>
      <c r="J31" t="s">
        <v>15</v>
      </c>
      <c r="K31" t="s">
        <v>17</v>
      </c>
      <c r="M31" t="s">
        <v>35</v>
      </c>
      <c r="N31">
        <v>1</v>
      </c>
      <c r="O31">
        <v>256.01</v>
      </c>
      <c r="P31">
        <v>0.15</v>
      </c>
      <c r="Q31">
        <v>0.15</v>
      </c>
      <c r="R31">
        <v>217.61</v>
      </c>
      <c r="S31">
        <v>119.77</v>
      </c>
      <c r="T31">
        <v>217.60849999999999</v>
      </c>
      <c r="U31">
        <v>97.838499999999996</v>
      </c>
      <c r="V31">
        <v>0.44960789675035701</v>
      </c>
      <c r="W31">
        <v>0</v>
      </c>
      <c r="X31" t="s">
        <v>142</v>
      </c>
      <c r="Y31">
        <v>2025</v>
      </c>
      <c r="Z31" t="s">
        <v>129</v>
      </c>
      <c r="AA31" t="s">
        <v>130</v>
      </c>
      <c r="AB31" t="s">
        <v>131</v>
      </c>
      <c r="AC31" t="s">
        <v>131</v>
      </c>
      <c r="AD31" t="s">
        <v>131</v>
      </c>
      <c r="AE31" t="s">
        <v>131</v>
      </c>
      <c r="AF31" t="s">
        <v>131</v>
      </c>
      <c r="AG31" t="s">
        <v>131</v>
      </c>
      <c r="AH31" t="s">
        <v>132</v>
      </c>
      <c r="AI31" t="s">
        <v>133</v>
      </c>
      <c r="AJ31" t="s">
        <v>307</v>
      </c>
      <c r="AK31" t="s">
        <v>308</v>
      </c>
      <c r="AL31" t="s">
        <v>255</v>
      </c>
      <c r="AM31" t="s">
        <v>41</v>
      </c>
      <c r="AN31" t="s">
        <v>6</v>
      </c>
      <c r="AO31" t="s">
        <v>305</v>
      </c>
      <c r="AP31" t="s">
        <v>306</v>
      </c>
      <c r="AQ31" t="s">
        <v>15</v>
      </c>
      <c r="AR31" t="s">
        <v>17</v>
      </c>
      <c r="AS31" t="s">
        <v>35</v>
      </c>
      <c r="AT31">
        <v>0.15</v>
      </c>
      <c r="AU31" t="s">
        <v>129</v>
      </c>
      <c r="AV31" t="s">
        <v>130</v>
      </c>
    </row>
    <row r="32" spans="1:48" x14ac:dyDescent="0.3">
      <c r="A32" t="s">
        <v>309</v>
      </c>
      <c r="B32" s="12">
        <v>45331</v>
      </c>
      <c r="C32" s="12">
        <v>45334</v>
      </c>
      <c r="D32" t="s">
        <v>310</v>
      </c>
      <c r="E32" t="s">
        <v>162</v>
      </c>
      <c r="F32" t="s">
        <v>43</v>
      </c>
      <c r="G32" t="s">
        <v>7</v>
      </c>
      <c r="H32" t="s">
        <v>311</v>
      </c>
      <c r="I32" t="s">
        <v>312</v>
      </c>
      <c r="J32" t="s">
        <v>20</v>
      </c>
      <c r="K32" t="s">
        <v>30</v>
      </c>
      <c r="M32" t="s">
        <v>36</v>
      </c>
      <c r="N32">
        <v>1</v>
      </c>
      <c r="O32">
        <v>3421.77</v>
      </c>
      <c r="P32">
        <v>0.1</v>
      </c>
      <c r="Q32">
        <v>0.1</v>
      </c>
      <c r="R32">
        <v>3079.59</v>
      </c>
      <c r="S32">
        <v>2001.89</v>
      </c>
      <c r="T32">
        <v>3079.5929999999998</v>
      </c>
      <c r="U32">
        <v>1077.703</v>
      </c>
      <c r="V32">
        <v>0.34994981479695503</v>
      </c>
      <c r="W32">
        <v>3</v>
      </c>
      <c r="X32" t="s">
        <v>186</v>
      </c>
      <c r="Y32">
        <v>2024</v>
      </c>
      <c r="Z32" t="s">
        <v>129</v>
      </c>
      <c r="AA32" t="s">
        <v>130</v>
      </c>
      <c r="AB32" t="s">
        <v>131</v>
      </c>
      <c r="AC32" t="s">
        <v>131</v>
      </c>
      <c r="AD32" t="s">
        <v>131</v>
      </c>
      <c r="AE32" t="s">
        <v>131</v>
      </c>
      <c r="AF32" t="s">
        <v>131</v>
      </c>
      <c r="AG32" t="s">
        <v>131</v>
      </c>
      <c r="AH32" t="s">
        <v>132</v>
      </c>
      <c r="AI32" t="s">
        <v>133</v>
      </c>
      <c r="AJ32" t="s">
        <v>313</v>
      </c>
      <c r="AK32" t="s">
        <v>314</v>
      </c>
      <c r="AL32" t="s">
        <v>162</v>
      </c>
      <c r="AM32" t="s">
        <v>43</v>
      </c>
      <c r="AN32" t="s">
        <v>7</v>
      </c>
      <c r="AO32" t="s">
        <v>311</v>
      </c>
      <c r="AP32" t="s">
        <v>312</v>
      </c>
      <c r="AQ32" t="s">
        <v>20</v>
      </c>
      <c r="AR32" t="s">
        <v>30</v>
      </c>
      <c r="AS32" t="s">
        <v>36</v>
      </c>
      <c r="AT32">
        <v>0.1</v>
      </c>
      <c r="AU32" t="s">
        <v>129</v>
      </c>
      <c r="AV32" t="s">
        <v>130</v>
      </c>
    </row>
    <row r="33" spans="1:48" x14ac:dyDescent="0.3">
      <c r="A33" t="s">
        <v>315</v>
      </c>
      <c r="B33" s="12">
        <v>45823</v>
      </c>
      <c r="C33" s="12">
        <v>45827</v>
      </c>
      <c r="D33" t="s">
        <v>316</v>
      </c>
      <c r="E33" t="s">
        <v>125</v>
      </c>
      <c r="F33" t="s">
        <v>44</v>
      </c>
      <c r="G33" t="s">
        <v>7</v>
      </c>
      <c r="H33" t="s">
        <v>171</v>
      </c>
      <c r="I33" t="s">
        <v>172</v>
      </c>
      <c r="J33" t="s">
        <v>20</v>
      </c>
      <c r="K33" t="s">
        <v>24</v>
      </c>
      <c r="M33" t="s">
        <v>37</v>
      </c>
      <c r="N33">
        <v>9</v>
      </c>
      <c r="O33">
        <v>3092.55</v>
      </c>
      <c r="P33">
        <v>0</v>
      </c>
      <c r="Q33">
        <v>0</v>
      </c>
      <c r="R33">
        <v>27832.95</v>
      </c>
      <c r="S33">
        <v>17769.75</v>
      </c>
      <c r="T33">
        <v>27832.95</v>
      </c>
      <c r="U33">
        <v>10063.200000000001</v>
      </c>
      <c r="V33">
        <v>0.36155707533696602</v>
      </c>
      <c r="W33">
        <v>4</v>
      </c>
      <c r="X33" t="s">
        <v>148</v>
      </c>
      <c r="Y33">
        <v>2025</v>
      </c>
      <c r="Z33" t="s">
        <v>269</v>
      </c>
      <c r="AA33" t="s">
        <v>204</v>
      </c>
      <c r="AB33" t="s">
        <v>131</v>
      </c>
      <c r="AC33" t="s">
        <v>131</v>
      </c>
      <c r="AD33" t="s">
        <v>131</v>
      </c>
      <c r="AE33" t="s">
        <v>131</v>
      </c>
      <c r="AF33" t="s">
        <v>131</v>
      </c>
      <c r="AG33" t="s">
        <v>131</v>
      </c>
      <c r="AH33" t="s">
        <v>131</v>
      </c>
      <c r="AI33" t="s">
        <v>133</v>
      </c>
      <c r="AJ33" t="s">
        <v>317</v>
      </c>
      <c r="AK33" t="s">
        <v>318</v>
      </c>
      <c r="AL33" t="s">
        <v>125</v>
      </c>
      <c r="AM33" t="s">
        <v>44</v>
      </c>
      <c r="AN33" t="s">
        <v>7</v>
      </c>
      <c r="AO33" t="s">
        <v>171</v>
      </c>
      <c r="AP33" t="s">
        <v>172</v>
      </c>
      <c r="AQ33" t="s">
        <v>20</v>
      </c>
      <c r="AR33" t="s">
        <v>24</v>
      </c>
      <c r="AS33" t="s">
        <v>37</v>
      </c>
      <c r="AT33">
        <v>0</v>
      </c>
      <c r="AU33" t="s">
        <v>269</v>
      </c>
      <c r="AV33" t="s">
        <v>204</v>
      </c>
    </row>
    <row r="34" spans="1:48" x14ac:dyDescent="0.3">
      <c r="A34" t="s">
        <v>319</v>
      </c>
      <c r="B34" s="12">
        <v>45618</v>
      </c>
      <c r="C34" s="12">
        <v>45622</v>
      </c>
      <c r="D34" t="s">
        <v>320</v>
      </c>
      <c r="E34" t="s">
        <v>238</v>
      </c>
      <c r="F34" t="s">
        <v>43</v>
      </c>
      <c r="G34" t="s">
        <v>6</v>
      </c>
      <c r="H34" t="s">
        <v>184</v>
      </c>
      <c r="I34" t="s">
        <v>185</v>
      </c>
      <c r="J34" t="s">
        <v>15</v>
      </c>
      <c r="K34" t="s">
        <v>17</v>
      </c>
      <c r="M34" t="s">
        <v>37</v>
      </c>
      <c r="N34">
        <v>3</v>
      </c>
      <c r="O34">
        <v>4001.25</v>
      </c>
      <c r="Q34">
        <v>0</v>
      </c>
      <c r="R34">
        <v>9002.81</v>
      </c>
      <c r="S34">
        <v>7529.92</v>
      </c>
      <c r="T34">
        <v>12003.75</v>
      </c>
      <c r="U34">
        <v>4473.83</v>
      </c>
      <c r="V34">
        <v>0.37270269707383102</v>
      </c>
      <c r="W34">
        <v>4</v>
      </c>
      <c r="X34" t="s">
        <v>157</v>
      </c>
      <c r="Y34">
        <v>2024</v>
      </c>
      <c r="Z34" t="s">
        <v>129</v>
      </c>
      <c r="AA34" t="s">
        <v>130</v>
      </c>
      <c r="AB34" t="s">
        <v>131</v>
      </c>
      <c r="AC34" t="s">
        <v>131</v>
      </c>
      <c r="AD34" t="s">
        <v>132</v>
      </c>
      <c r="AE34" t="s">
        <v>131</v>
      </c>
      <c r="AF34" t="s">
        <v>131</v>
      </c>
      <c r="AG34" t="s">
        <v>131</v>
      </c>
      <c r="AH34" t="s">
        <v>132</v>
      </c>
      <c r="AI34" t="s">
        <v>321</v>
      </c>
      <c r="AJ34" t="s">
        <v>322</v>
      </c>
      <c r="AK34" t="s">
        <v>323</v>
      </c>
      <c r="AL34" t="s">
        <v>238</v>
      </c>
      <c r="AM34" t="s">
        <v>43</v>
      </c>
      <c r="AN34" t="s">
        <v>6</v>
      </c>
      <c r="AO34" t="s">
        <v>184</v>
      </c>
      <c r="AP34" t="s">
        <v>185</v>
      </c>
      <c r="AQ34" t="s">
        <v>15</v>
      </c>
      <c r="AR34" t="s">
        <v>17</v>
      </c>
      <c r="AS34" t="s">
        <v>37</v>
      </c>
      <c r="AU34" t="s">
        <v>129</v>
      </c>
      <c r="AV34" t="s">
        <v>130</v>
      </c>
    </row>
    <row r="35" spans="1:48" x14ac:dyDescent="0.3">
      <c r="A35" t="s">
        <v>324</v>
      </c>
      <c r="B35" s="12">
        <v>45495</v>
      </c>
      <c r="C35" s="12">
        <v>45500</v>
      </c>
      <c r="D35" t="s">
        <v>325</v>
      </c>
      <c r="E35" t="s">
        <v>221</v>
      </c>
      <c r="F35" t="s">
        <v>41</v>
      </c>
      <c r="G35" t="s">
        <v>7</v>
      </c>
      <c r="H35" t="s">
        <v>311</v>
      </c>
      <c r="I35" t="s">
        <v>312</v>
      </c>
      <c r="J35" t="s">
        <v>18</v>
      </c>
      <c r="K35" t="s">
        <v>27</v>
      </c>
      <c r="M35" t="s">
        <v>38</v>
      </c>
      <c r="N35">
        <v>7</v>
      </c>
      <c r="O35">
        <v>492.41</v>
      </c>
      <c r="P35">
        <v>0.25</v>
      </c>
      <c r="Q35">
        <v>0.25</v>
      </c>
      <c r="R35">
        <v>2585.15</v>
      </c>
      <c r="S35">
        <v>2070.73</v>
      </c>
      <c r="T35">
        <v>2585.1525000000001</v>
      </c>
      <c r="U35">
        <v>514.42250000000001</v>
      </c>
      <c r="V35">
        <v>0.19899116203009301</v>
      </c>
      <c r="W35">
        <v>5</v>
      </c>
      <c r="X35" t="s">
        <v>128</v>
      </c>
      <c r="Y35">
        <v>2024</v>
      </c>
      <c r="Z35" t="s">
        <v>129</v>
      </c>
      <c r="AA35" t="s">
        <v>130</v>
      </c>
      <c r="AB35" t="s">
        <v>131</v>
      </c>
      <c r="AC35" t="s">
        <v>131</v>
      </c>
      <c r="AD35" t="s">
        <v>131</v>
      </c>
      <c r="AE35" t="s">
        <v>131</v>
      </c>
      <c r="AF35" t="s">
        <v>131</v>
      </c>
      <c r="AG35" t="s">
        <v>131</v>
      </c>
      <c r="AH35" t="s">
        <v>132</v>
      </c>
      <c r="AI35" t="s">
        <v>133</v>
      </c>
      <c r="AJ35" t="s">
        <v>326</v>
      </c>
      <c r="AK35" t="s">
        <v>327</v>
      </c>
      <c r="AL35" t="s">
        <v>221</v>
      </c>
      <c r="AM35" t="s">
        <v>41</v>
      </c>
      <c r="AN35" t="s">
        <v>7</v>
      </c>
      <c r="AO35" t="s">
        <v>311</v>
      </c>
      <c r="AP35" t="s">
        <v>312</v>
      </c>
      <c r="AQ35" t="s">
        <v>18</v>
      </c>
      <c r="AR35" t="s">
        <v>27</v>
      </c>
      <c r="AS35" t="s">
        <v>38</v>
      </c>
      <c r="AT35">
        <v>0.25</v>
      </c>
      <c r="AU35" t="s">
        <v>129</v>
      </c>
      <c r="AV35" t="s">
        <v>130</v>
      </c>
    </row>
    <row r="36" spans="1:48" x14ac:dyDescent="0.3">
      <c r="A36" t="s">
        <v>328</v>
      </c>
      <c r="B36" s="12">
        <v>45688</v>
      </c>
      <c r="C36" s="12">
        <v>45693</v>
      </c>
      <c r="D36" t="s">
        <v>329</v>
      </c>
      <c r="E36" t="s">
        <v>221</v>
      </c>
      <c r="F36" t="s">
        <v>41</v>
      </c>
      <c r="G36" t="s">
        <v>8</v>
      </c>
      <c r="H36" t="s">
        <v>201</v>
      </c>
      <c r="I36" t="s">
        <v>202</v>
      </c>
      <c r="J36" t="s">
        <v>18</v>
      </c>
      <c r="K36" t="s">
        <v>19</v>
      </c>
      <c r="M36" t="s">
        <v>10</v>
      </c>
      <c r="N36">
        <v>2</v>
      </c>
      <c r="O36">
        <v>4159.6899999999996</v>
      </c>
      <c r="P36">
        <v>0.2</v>
      </c>
      <c r="Q36">
        <v>0.2</v>
      </c>
      <c r="R36">
        <v>6655.5</v>
      </c>
      <c r="S36">
        <v>4340.21</v>
      </c>
      <c r="T36">
        <v>6655.5039999999999</v>
      </c>
      <c r="U36">
        <v>2315.2939999999999</v>
      </c>
      <c r="V36">
        <v>0.34787658455317599</v>
      </c>
      <c r="W36">
        <v>5</v>
      </c>
      <c r="X36" t="s">
        <v>244</v>
      </c>
      <c r="Y36">
        <v>2025</v>
      </c>
      <c r="Z36" t="s">
        <v>129</v>
      </c>
      <c r="AA36" t="s">
        <v>130</v>
      </c>
      <c r="AB36" t="s">
        <v>131</v>
      </c>
      <c r="AC36" t="s">
        <v>132</v>
      </c>
      <c r="AD36" t="s">
        <v>131</v>
      </c>
      <c r="AE36" t="s">
        <v>131</v>
      </c>
      <c r="AF36" t="s">
        <v>131</v>
      </c>
      <c r="AG36" t="s">
        <v>131</v>
      </c>
      <c r="AH36" t="s">
        <v>132</v>
      </c>
      <c r="AI36" t="s">
        <v>321</v>
      </c>
      <c r="AJ36" t="s">
        <v>330</v>
      </c>
      <c r="AK36" t="s">
        <v>331</v>
      </c>
      <c r="AL36" t="s">
        <v>221</v>
      </c>
      <c r="AM36" t="s">
        <v>41</v>
      </c>
      <c r="AN36" t="s">
        <v>8</v>
      </c>
      <c r="AO36" t="s">
        <v>201</v>
      </c>
      <c r="AP36" t="s">
        <v>202</v>
      </c>
      <c r="AQ36" t="s">
        <v>18</v>
      </c>
      <c r="AR36" t="s">
        <v>19</v>
      </c>
      <c r="AT36">
        <v>0.2</v>
      </c>
      <c r="AU36" t="s">
        <v>129</v>
      </c>
      <c r="AV36" t="s">
        <v>130</v>
      </c>
    </row>
    <row r="37" spans="1:48" x14ac:dyDescent="0.3">
      <c r="A37" t="s">
        <v>332</v>
      </c>
      <c r="B37" s="12">
        <v>45441</v>
      </c>
      <c r="C37" s="12">
        <v>45441</v>
      </c>
      <c r="D37" t="s">
        <v>333</v>
      </c>
      <c r="E37" t="s">
        <v>243</v>
      </c>
      <c r="F37" t="s">
        <v>44</v>
      </c>
      <c r="G37" t="s">
        <v>7</v>
      </c>
      <c r="H37" t="s">
        <v>300</v>
      </c>
      <c r="I37" t="s">
        <v>301</v>
      </c>
      <c r="J37" t="s">
        <v>18</v>
      </c>
      <c r="K37" t="s">
        <v>26</v>
      </c>
      <c r="M37" t="s">
        <v>37</v>
      </c>
      <c r="N37">
        <v>8</v>
      </c>
      <c r="O37">
        <v>2507.12</v>
      </c>
      <c r="P37">
        <v>0.05</v>
      </c>
      <c r="Q37">
        <v>0.05</v>
      </c>
      <c r="R37">
        <v>19054.11</v>
      </c>
      <c r="S37">
        <v>15313.83</v>
      </c>
      <c r="T37">
        <v>19054.112000000001</v>
      </c>
      <c r="U37">
        <v>3740.2820000000002</v>
      </c>
      <c r="V37">
        <v>0.19629789097492401</v>
      </c>
      <c r="W37">
        <v>0</v>
      </c>
      <c r="X37" t="s">
        <v>173</v>
      </c>
      <c r="Y37">
        <v>2024</v>
      </c>
      <c r="Z37" t="s">
        <v>215</v>
      </c>
      <c r="AA37" t="s">
        <v>204</v>
      </c>
      <c r="AB37" t="s">
        <v>131</v>
      </c>
      <c r="AC37" t="s">
        <v>131</v>
      </c>
      <c r="AD37" t="s">
        <v>131</v>
      </c>
      <c r="AE37" t="s">
        <v>131</v>
      </c>
      <c r="AF37" t="s">
        <v>131</v>
      </c>
      <c r="AG37" t="s">
        <v>131</v>
      </c>
      <c r="AH37" t="s">
        <v>131</v>
      </c>
      <c r="AI37" t="s">
        <v>133</v>
      </c>
      <c r="AJ37" t="s">
        <v>334</v>
      </c>
      <c r="AK37" t="s">
        <v>335</v>
      </c>
      <c r="AL37" t="s">
        <v>243</v>
      </c>
      <c r="AM37" t="s">
        <v>44</v>
      </c>
      <c r="AN37" t="s">
        <v>7</v>
      </c>
      <c r="AO37" t="s">
        <v>300</v>
      </c>
      <c r="AP37" t="s">
        <v>301</v>
      </c>
      <c r="AQ37" t="s">
        <v>18</v>
      </c>
      <c r="AR37" t="s">
        <v>26</v>
      </c>
      <c r="AS37" t="s">
        <v>37</v>
      </c>
      <c r="AT37">
        <v>0.05</v>
      </c>
      <c r="AU37" t="s">
        <v>215</v>
      </c>
      <c r="AV37" t="s">
        <v>204</v>
      </c>
    </row>
    <row r="38" spans="1:48" x14ac:dyDescent="0.3">
      <c r="A38" t="s">
        <v>336</v>
      </c>
      <c r="B38" s="12">
        <v>45590</v>
      </c>
      <c r="C38" s="12">
        <v>45593</v>
      </c>
      <c r="D38" t="s">
        <v>337</v>
      </c>
      <c r="E38" t="s">
        <v>255</v>
      </c>
      <c r="F38" t="s">
        <v>43</v>
      </c>
      <c r="G38" t="s">
        <v>7</v>
      </c>
      <c r="H38" t="s">
        <v>163</v>
      </c>
      <c r="I38" t="s">
        <v>164</v>
      </c>
      <c r="J38" t="s">
        <v>18</v>
      </c>
      <c r="K38" t="s">
        <v>26</v>
      </c>
      <c r="M38" t="s">
        <v>37</v>
      </c>
      <c r="N38">
        <v>3</v>
      </c>
      <c r="O38">
        <v>3126.47</v>
      </c>
      <c r="P38">
        <v>0</v>
      </c>
      <c r="Q38">
        <v>0</v>
      </c>
      <c r="R38">
        <v>9379.41</v>
      </c>
      <c r="S38">
        <v>6670.85</v>
      </c>
      <c r="T38">
        <v>9379.41</v>
      </c>
      <c r="U38">
        <v>2708.56</v>
      </c>
      <c r="V38">
        <v>0.28877722585962201</v>
      </c>
      <c r="W38">
        <v>3</v>
      </c>
      <c r="X38" t="s">
        <v>222</v>
      </c>
      <c r="Y38">
        <v>2024</v>
      </c>
      <c r="Z38" t="s">
        <v>129</v>
      </c>
      <c r="AA38" t="s">
        <v>204</v>
      </c>
      <c r="AB38" t="s">
        <v>131</v>
      </c>
      <c r="AC38" t="s">
        <v>131</v>
      </c>
      <c r="AD38" t="s">
        <v>131</v>
      </c>
      <c r="AE38" t="s">
        <v>131</v>
      </c>
      <c r="AF38" t="s">
        <v>131</v>
      </c>
      <c r="AG38" t="s">
        <v>131</v>
      </c>
      <c r="AH38" t="s">
        <v>131</v>
      </c>
      <c r="AI38" t="s">
        <v>133</v>
      </c>
      <c r="AJ38" t="s">
        <v>338</v>
      </c>
      <c r="AK38" t="s">
        <v>339</v>
      </c>
      <c r="AL38" t="s">
        <v>255</v>
      </c>
      <c r="AM38" t="s">
        <v>43</v>
      </c>
      <c r="AN38" t="s">
        <v>7</v>
      </c>
      <c r="AO38" t="s">
        <v>163</v>
      </c>
      <c r="AP38" t="s">
        <v>164</v>
      </c>
      <c r="AQ38" t="s">
        <v>18</v>
      </c>
      <c r="AR38" t="s">
        <v>26</v>
      </c>
      <c r="AS38" t="s">
        <v>37</v>
      </c>
      <c r="AT38">
        <v>0</v>
      </c>
      <c r="AU38" t="s">
        <v>129</v>
      </c>
      <c r="AV38" t="s">
        <v>204</v>
      </c>
    </row>
    <row r="39" spans="1:48" x14ac:dyDescent="0.3">
      <c r="A39" t="s">
        <v>340</v>
      </c>
      <c r="B39" s="12">
        <v>45867</v>
      </c>
      <c r="C39" s="12">
        <v>45867</v>
      </c>
      <c r="D39" t="s">
        <v>341</v>
      </c>
      <c r="E39" t="s">
        <v>277</v>
      </c>
      <c r="F39" t="s">
        <v>42</v>
      </c>
      <c r="G39" t="s">
        <v>7</v>
      </c>
      <c r="H39" t="s">
        <v>163</v>
      </c>
      <c r="I39" t="s">
        <v>164</v>
      </c>
      <c r="J39" t="s">
        <v>15</v>
      </c>
      <c r="K39" t="s">
        <v>16</v>
      </c>
      <c r="M39" t="s">
        <v>35</v>
      </c>
      <c r="N39">
        <v>4</v>
      </c>
      <c r="O39">
        <v>1327.54</v>
      </c>
      <c r="P39">
        <v>0.2</v>
      </c>
      <c r="Q39">
        <v>0.2</v>
      </c>
      <c r="R39">
        <v>4248.13</v>
      </c>
      <c r="S39">
        <v>3321.09</v>
      </c>
      <c r="T39">
        <v>4248.1279999999997</v>
      </c>
      <c r="U39">
        <v>927.03800000000001</v>
      </c>
      <c r="V39">
        <v>0.218222708920258</v>
      </c>
      <c r="W39">
        <v>0</v>
      </c>
      <c r="X39" t="s">
        <v>128</v>
      </c>
      <c r="Y39">
        <v>2025</v>
      </c>
      <c r="Z39" t="s">
        <v>129</v>
      </c>
      <c r="AA39" t="s">
        <v>130</v>
      </c>
      <c r="AB39" t="s">
        <v>131</v>
      </c>
      <c r="AC39" t="s">
        <v>131</v>
      </c>
      <c r="AD39" t="s">
        <v>131</v>
      </c>
      <c r="AE39" t="s">
        <v>131</v>
      </c>
      <c r="AF39" t="s">
        <v>131</v>
      </c>
      <c r="AG39" t="s">
        <v>131</v>
      </c>
      <c r="AH39" t="s">
        <v>132</v>
      </c>
      <c r="AI39" t="s">
        <v>133</v>
      </c>
      <c r="AJ39" t="s">
        <v>342</v>
      </c>
      <c r="AK39" t="s">
        <v>342</v>
      </c>
      <c r="AL39" t="s">
        <v>277</v>
      </c>
      <c r="AM39" t="s">
        <v>42</v>
      </c>
      <c r="AN39" t="s">
        <v>7</v>
      </c>
      <c r="AO39" t="s">
        <v>163</v>
      </c>
      <c r="AP39" t="s">
        <v>164</v>
      </c>
      <c r="AQ39" t="s">
        <v>15</v>
      </c>
      <c r="AR39" t="s">
        <v>16</v>
      </c>
      <c r="AS39" t="s">
        <v>343</v>
      </c>
      <c r="AT39">
        <v>0.2</v>
      </c>
      <c r="AU39" t="s">
        <v>129</v>
      </c>
      <c r="AV39" t="s">
        <v>130</v>
      </c>
    </row>
    <row r="40" spans="1:48" x14ac:dyDescent="0.3">
      <c r="A40" t="s">
        <v>344</v>
      </c>
      <c r="B40" s="12">
        <v>45460</v>
      </c>
      <c r="C40" s="12">
        <v>45465</v>
      </c>
      <c r="D40" t="s">
        <v>345</v>
      </c>
      <c r="E40" t="s">
        <v>238</v>
      </c>
      <c r="F40" t="s">
        <v>43</v>
      </c>
      <c r="G40" t="s">
        <v>7</v>
      </c>
      <c r="H40" t="s">
        <v>300</v>
      </c>
      <c r="I40" t="s">
        <v>301</v>
      </c>
      <c r="J40" t="s">
        <v>15</v>
      </c>
      <c r="K40" t="s">
        <v>17</v>
      </c>
      <c r="M40" t="s">
        <v>36</v>
      </c>
      <c r="N40">
        <v>7</v>
      </c>
      <c r="O40">
        <v>2210.6799999999998</v>
      </c>
      <c r="P40">
        <v>0.1</v>
      </c>
      <c r="Q40">
        <v>0.1</v>
      </c>
      <c r="R40">
        <v>13927.28</v>
      </c>
      <c r="S40">
        <v>10504.87</v>
      </c>
      <c r="T40">
        <v>13927.284</v>
      </c>
      <c r="U40">
        <v>3422.4140000000002</v>
      </c>
      <c r="V40">
        <v>0.24573448778670701</v>
      </c>
      <c r="W40">
        <v>5</v>
      </c>
      <c r="X40" t="s">
        <v>148</v>
      </c>
      <c r="Y40">
        <v>2024</v>
      </c>
      <c r="Z40" t="s">
        <v>129</v>
      </c>
      <c r="AA40" t="s">
        <v>130</v>
      </c>
      <c r="AB40" t="s">
        <v>131</v>
      </c>
      <c r="AC40" t="s">
        <v>131</v>
      </c>
      <c r="AD40" t="s">
        <v>131</v>
      </c>
      <c r="AE40" t="s">
        <v>131</v>
      </c>
      <c r="AF40" t="s">
        <v>131</v>
      </c>
      <c r="AG40" t="s">
        <v>131</v>
      </c>
      <c r="AH40" t="s">
        <v>132</v>
      </c>
      <c r="AI40" t="s">
        <v>133</v>
      </c>
      <c r="AJ40" t="s">
        <v>346</v>
      </c>
      <c r="AK40" t="s">
        <v>347</v>
      </c>
      <c r="AL40" t="s">
        <v>238</v>
      </c>
      <c r="AM40" t="s">
        <v>43</v>
      </c>
      <c r="AN40" t="s">
        <v>7</v>
      </c>
      <c r="AO40" t="s">
        <v>300</v>
      </c>
      <c r="AP40" t="s">
        <v>301</v>
      </c>
      <c r="AQ40" t="s">
        <v>15</v>
      </c>
      <c r="AR40" t="s">
        <v>17</v>
      </c>
      <c r="AS40" t="s">
        <v>36</v>
      </c>
      <c r="AT40">
        <v>0.1</v>
      </c>
      <c r="AU40" t="s">
        <v>129</v>
      </c>
      <c r="AV40" t="s">
        <v>130</v>
      </c>
    </row>
    <row r="41" spans="1:48" x14ac:dyDescent="0.3">
      <c r="A41" t="s">
        <v>348</v>
      </c>
      <c r="B41" s="12">
        <v>45637</v>
      </c>
      <c r="C41" s="12">
        <v>45637</v>
      </c>
      <c r="D41" t="s">
        <v>349</v>
      </c>
      <c r="E41" t="s">
        <v>139</v>
      </c>
      <c r="F41" t="s">
        <v>44</v>
      </c>
      <c r="G41" t="s">
        <v>7</v>
      </c>
      <c r="H41" t="s">
        <v>171</v>
      </c>
      <c r="I41" t="s">
        <v>172</v>
      </c>
      <c r="J41" t="s">
        <v>15</v>
      </c>
      <c r="K41" t="s">
        <v>16</v>
      </c>
      <c r="M41" t="s">
        <v>36</v>
      </c>
      <c r="N41">
        <v>4</v>
      </c>
      <c r="O41">
        <v>1370.92</v>
      </c>
      <c r="P41">
        <v>0.1</v>
      </c>
      <c r="Q41">
        <v>0.1</v>
      </c>
      <c r="R41">
        <v>4935.3100000000004</v>
      </c>
      <c r="S41">
        <v>3374.77</v>
      </c>
      <c r="T41">
        <v>4935.3119999999999</v>
      </c>
      <c r="U41">
        <v>1560.5419999999999</v>
      </c>
      <c r="V41">
        <v>0.31619925954022798</v>
      </c>
      <c r="W41">
        <v>0</v>
      </c>
      <c r="X41" t="s">
        <v>214</v>
      </c>
      <c r="Y41">
        <v>2024</v>
      </c>
      <c r="Z41" t="s">
        <v>215</v>
      </c>
      <c r="AA41" t="s">
        <v>204</v>
      </c>
      <c r="AB41" t="s">
        <v>131</v>
      </c>
      <c r="AC41" t="s">
        <v>131</v>
      </c>
      <c r="AD41" t="s">
        <v>131</v>
      </c>
      <c r="AE41" t="s">
        <v>131</v>
      </c>
      <c r="AF41" t="s">
        <v>131</v>
      </c>
      <c r="AG41" t="s">
        <v>131</v>
      </c>
      <c r="AH41" t="s">
        <v>131</v>
      </c>
      <c r="AI41" t="s">
        <v>133</v>
      </c>
      <c r="AJ41" t="s">
        <v>350</v>
      </c>
      <c r="AK41" t="s">
        <v>351</v>
      </c>
      <c r="AL41" t="s">
        <v>139</v>
      </c>
      <c r="AM41" t="s">
        <v>44</v>
      </c>
      <c r="AN41" t="s">
        <v>7</v>
      </c>
      <c r="AO41" t="s">
        <v>171</v>
      </c>
      <c r="AP41" t="s">
        <v>172</v>
      </c>
      <c r="AQ41" t="s">
        <v>15</v>
      </c>
      <c r="AR41" t="s">
        <v>16</v>
      </c>
      <c r="AS41" t="s">
        <v>36</v>
      </c>
      <c r="AT41">
        <v>0.1</v>
      </c>
      <c r="AU41" t="s">
        <v>215</v>
      </c>
      <c r="AV41" t="s">
        <v>204</v>
      </c>
    </row>
    <row r="42" spans="1:48" x14ac:dyDescent="0.3">
      <c r="A42" t="s">
        <v>352</v>
      </c>
      <c r="B42" s="12">
        <v>45575</v>
      </c>
      <c r="C42" s="12">
        <v>45581</v>
      </c>
      <c r="D42" t="s">
        <v>353</v>
      </c>
      <c r="E42" t="s">
        <v>147</v>
      </c>
      <c r="F42" t="s">
        <v>41</v>
      </c>
      <c r="G42" t="s">
        <v>7</v>
      </c>
      <c r="H42" t="s">
        <v>126</v>
      </c>
      <c r="I42" t="s">
        <v>213</v>
      </c>
      <c r="J42" t="s">
        <v>15</v>
      </c>
      <c r="K42" t="s">
        <v>16</v>
      </c>
      <c r="M42" t="s">
        <v>35</v>
      </c>
      <c r="N42">
        <v>7</v>
      </c>
      <c r="O42">
        <v>2509.27</v>
      </c>
      <c r="P42">
        <v>0.2</v>
      </c>
      <c r="Q42">
        <v>0.2</v>
      </c>
      <c r="R42">
        <v>14051.91</v>
      </c>
      <c r="S42">
        <v>11990.37</v>
      </c>
      <c r="T42">
        <v>14051.912</v>
      </c>
      <c r="U42">
        <v>2061.5419999999999</v>
      </c>
      <c r="V42">
        <v>0.146709003016814</v>
      </c>
      <c r="W42">
        <v>6</v>
      </c>
      <c r="X42" t="s">
        <v>222</v>
      </c>
      <c r="Y42">
        <v>2024</v>
      </c>
      <c r="Z42" t="s">
        <v>129</v>
      </c>
      <c r="AA42" t="s">
        <v>130</v>
      </c>
      <c r="AB42" t="s">
        <v>131</v>
      </c>
      <c r="AC42" t="s">
        <v>131</v>
      </c>
      <c r="AD42" t="s">
        <v>131</v>
      </c>
      <c r="AE42" t="s">
        <v>131</v>
      </c>
      <c r="AF42" t="s">
        <v>131</v>
      </c>
      <c r="AG42" t="s">
        <v>131</v>
      </c>
      <c r="AH42" t="s">
        <v>132</v>
      </c>
      <c r="AI42" t="s">
        <v>133</v>
      </c>
      <c r="AJ42" t="s">
        <v>354</v>
      </c>
      <c r="AK42" t="s">
        <v>355</v>
      </c>
      <c r="AL42" t="s">
        <v>147</v>
      </c>
      <c r="AM42" t="s">
        <v>41</v>
      </c>
      <c r="AN42" t="s">
        <v>7</v>
      </c>
      <c r="AO42" t="s">
        <v>126</v>
      </c>
      <c r="AP42" t="s">
        <v>213</v>
      </c>
      <c r="AQ42" t="s">
        <v>15</v>
      </c>
      <c r="AR42" t="s">
        <v>16</v>
      </c>
      <c r="AS42" t="s">
        <v>35</v>
      </c>
      <c r="AT42">
        <v>0.2</v>
      </c>
      <c r="AU42" t="s">
        <v>129</v>
      </c>
      <c r="AV42" t="s">
        <v>130</v>
      </c>
    </row>
    <row r="43" spans="1:48" x14ac:dyDescent="0.3">
      <c r="A43" t="s">
        <v>356</v>
      </c>
      <c r="B43" s="12">
        <v>45363</v>
      </c>
      <c r="C43" s="12">
        <v>45368</v>
      </c>
      <c r="D43" t="s">
        <v>357</v>
      </c>
      <c r="E43" t="s">
        <v>238</v>
      </c>
      <c r="F43" t="s">
        <v>44</v>
      </c>
      <c r="G43" t="s">
        <v>8</v>
      </c>
      <c r="H43" t="s">
        <v>140</v>
      </c>
      <c r="I43" t="s">
        <v>141</v>
      </c>
      <c r="J43" t="s">
        <v>18</v>
      </c>
      <c r="K43" t="s">
        <v>26</v>
      </c>
      <c r="M43" t="s">
        <v>38</v>
      </c>
      <c r="N43">
        <v>8</v>
      </c>
      <c r="O43">
        <v>855.81</v>
      </c>
      <c r="P43">
        <v>0</v>
      </c>
      <c r="Q43">
        <v>0</v>
      </c>
      <c r="R43">
        <v>6846.48</v>
      </c>
      <c r="S43">
        <v>4239.8900000000003</v>
      </c>
      <c r="T43">
        <v>6846.48</v>
      </c>
      <c r="U43">
        <v>2606.59</v>
      </c>
      <c r="V43">
        <v>0.38071972750961097</v>
      </c>
      <c r="W43">
        <v>5</v>
      </c>
      <c r="X43" t="s">
        <v>278</v>
      </c>
      <c r="Y43">
        <v>2024</v>
      </c>
      <c r="Z43" t="s">
        <v>215</v>
      </c>
      <c r="AA43" t="s">
        <v>165</v>
      </c>
      <c r="AB43" t="s">
        <v>131</v>
      </c>
      <c r="AC43" t="s">
        <v>131</v>
      </c>
      <c r="AD43" t="s">
        <v>131</v>
      </c>
      <c r="AE43" t="s">
        <v>131</v>
      </c>
      <c r="AF43" t="s">
        <v>131</v>
      </c>
      <c r="AG43" t="s">
        <v>131</v>
      </c>
      <c r="AH43" t="s">
        <v>131</v>
      </c>
      <c r="AI43" t="s">
        <v>133</v>
      </c>
      <c r="AJ43" t="s">
        <v>358</v>
      </c>
      <c r="AK43" t="s">
        <v>359</v>
      </c>
      <c r="AL43" t="s">
        <v>238</v>
      </c>
      <c r="AM43" t="s">
        <v>44</v>
      </c>
      <c r="AN43" t="s">
        <v>8</v>
      </c>
      <c r="AO43" t="s">
        <v>140</v>
      </c>
      <c r="AP43" t="s">
        <v>141</v>
      </c>
      <c r="AQ43" t="s">
        <v>18</v>
      </c>
      <c r="AR43" t="s">
        <v>26</v>
      </c>
      <c r="AS43" t="s">
        <v>38</v>
      </c>
      <c r="AT43">
        <v>0</v>
      </c>
      <c r="AU43" t="s">
        <v>215</v>
      </c>
      <c r="AV43" t="s">
        <v>165</v>
      </c>
    </row>
    <row r="44" spans="1:48" x14ac:dyDescent="0.3">
      <c r="A44" t="s">
        <v>360</v>
      </c>
      <c r="B44" s="12">
        <v>45940</v>
      </c>
      <c r="C44" s="12">
        <v>45945</v>
      </c>
      <c r="D44" t="s">
        <v>361</v>
      </c>
      <c r="E44" t="s">
        <v>154</v>
      </c>
      <c r="F44" t="s">
        <v>43</v>
      </c>
      <c r="G44" t="s">
        <v>8</v>
      </c>
      <c r="H44" t="s">
        <v>362</v>
      </c>
      <c r="I44" t="s">
        <v>363</v>
      </c>
      <c r="J44" t="s">
        <v>15</v>
      </c>
      <c r="K44" t="s">
        <v>17</v>
      </c>
      <c r="M44" t="s">
        <v>35</v>
      </c>
      <c r="N44">
        <v>8</v>
      </c>
      <c r="O44">
        <v>979.87</v>
      </c>
      <c r="P44">
        <v>0.05</v>
      </c>
      <c r="Q44">
        <v>0.05</v>
      </c>
      <c r="R44">
        <v>7447.01</v>
      </c>
      <c r="S44">
        <v>4496.22</v>
      </c>
      <c r="T44">
        <v>7447.0119999999997</v>
      </c>
      <c r="U44">
        <v>2950.7919999999999</v>
      </c>
      <c r="V44">
        <v>0.39623838393170302</v>
      </c>
      <c r="W44">
        <v>5</v>
      </c>
      <c r="X44" t="s">
        <v>222</v>
      </c>
      <c r="Y44">
        <v>2025</v>
      </c>
      <c r="Z44" t="s">
        <v>129</v>
      </c>
      <c r="AA44" t="s">
        <v>130</v>
      </c>
      <c r="AB44" t="s">
        <v>131</v>
      </c>
      <c r="AC44" t="s">
        <v>131</v>
      </c>
      <c r="AD44" t="s">
        <v>131</v>
      </c>
      <c r="AE44" t="s">
        <v>131</v>
      </c>
      <c r="AF44" t="s">
        <v>131</v>
      </c>
      <c r="AG44" t="s">
        <v>131</v>
      </c>
      <c r="AH44" t="s">
        <v>132</v>
      </c>
      <c r="AI44" t="s">
        <v>133</v>
      </c>
      <c r="AJ44" t="s">
        <v>364</v>
      </c>
      <c r="AK44" t="s">
        <v>365</v>
      </c>
      <c r="AL44" t="s">
        <v>154</v>
      </c>
      <c r="AM44" t="s">
        <v>43</v>
      </c>
      <c r="AN44" t="s">
        <v>8</v>
      </c>
      <c r="AO44" t="s">
        <v>362</v>
      </c>
      <c r="AP44" t="s">
        <v>363</v>
      </c>
      <c r="AQ44" t="s">
        <v>15</v>
      </c>
      <c r="AR44" t="s">
        <v>17</v>
      </c>
      <c r="AS44" t="s">
        <v>35</v>
      </c>
      <c r="AT44">
        <v>0.05</v>
      </c>
      <c r="AU44" t="s">
        <v>129</v>
      </c>
      <c r="AV44" t="s">
        <v>130</v>
      </c>
    </row>
    <row r="45" spans="1:48" x14ac:dyDescent="0.3">
      <c r="A45" t="s">
        <v>366</v>
      </c>
      <c r="B45" s="12">
        <v>45481</v>
      </c>
      <c r="C45" s="12">
        <v>45487</v>
      </c>
      <c r="D45" t="s">
        <v>367</v>
      </c>
      <c r="E45" t="s">
        <v>221</v>
      </c>
      <c r="F45" t="s">
        <v>44</v>
      </c>
      <c r="G45" t="s">
        <v>8</v>
      </c>
      <c r="H45" t="s">
        <v>140</v>
      </c>
      <c r="I45" t="s">
        <v>141</v>
      </c>
      <c r="J45" t="s">
        <v>18</v>
      </c>
      <c r="K45" t="s">
        <v>23</v>
      </c>
      <c r="M45" t="s">
        <v>38</v>
      </c>
      <c r="N45">
        <v>3</v>
      </c>
      <c r="O45">
        <v>1010.23</v>
      </c>
      <c r="P45">
        <v>0</v>
      </c>
      <c r="Q45">
        <v>0</v>
      </c>
      <c r="R45">
        <v>3030.69</v>
      </c>
      <c r="S45">
        <v>1721.08</v>
      </c>
      <c r="T45">
        <v>3030.69</v>
      </c>
      <c r="U45">
        <v>1309.6099999999999</v>
      </c>
      <c r="V45">
        <v>0.43211611877163297</v>
      </c>
      <c r="W45">
        <v>6</v>
      </c>
      <c r="X45" t="s">
        <v>128</v>
      </c>
      <c r="Y45">
        <v>2024</v>
      </c>
      <c r="Z45" t="s">
        <v>129</v>
      </c>
      <c r="AA45" t="s">
        <v>130</v>
      </c>
      <c r="AB45" t="s">
        <v>131</v>
      </c>
      <c r="AC45" t="s">
        <v>131</v>
      </c>
      <c r="AD45" t="s">
        <v>131</v>
      </c>
      <c r="AE45" t="s">
        <v>131</v>
      </c>
      <c r="AF45" t="s">
        <v>131</v>
      </c>
      <c r="AG45" t="s">
        <v>131</v>
      </c>
      <c r="AH45" t="s">
        <v>132</v>
      </c>
      <c r="AI45" t="s">
        <v>133</v>
      </c>
      <c r="AJ45" t="s">
        <v>368</v>
      </c>
      <c r="AK45" t="s">
        <v>369</v>
      </c>
      <c r="AL45" t="s">
        <v>221</v>
      </c>
      <c r="AM45" t="s">
        <v>44</v>
      </c>
      <c r="AN45" t="s">
        <v>8</v>
      </c>
      <c r="AO45" t="s">
        <v>140</v>
      </c>
      <c r="AP45" t="s">
        <v>141</v>
      </c>
      <c r="AQ45" t="s">
        <v>18</v>
      </c>
      <c r="AR45" t="s">
        <v>23</v>
      </c>
      <c r="AS45" t="s">
        <v>38</v>
      </c>
      <c r="AT45">
        <v>0</v>
      </c>
      <c r="AU45" t="s">
        <v>129</v>
      </c>
      <c r="AV45" t="s">
        <v>130</v>
      </c>
    </row>
    <row r="46" spans="1:48" x14ac:dyDescent="0.3">
      <c r="A46" t="s">
        <v>370</v>
      </c>
      <c r="B46" s="12">
        <v>45465</v>
      </c>
      <c r="C46" s="12">
        <v>45468</v>
      </c>
      <c r="D46" t="s">
        <v>371</v>
      </c>
      <c r="E46" t="s">
        <v>255</v>
      </c>
      <c r="F46" t="s">
        <v>44</v>
      </c>
      <c r="G46" t="s">
        <v>9</v>
      </c>
      <c r="H46" t="s">
        <v>372</v>
      </c>
      <c r="I46" t="s">
        <v>373</v>
      </c>
      <c r="J46" t="s">
        <v>18</v>
      </c>
      <c r="K46" t="s">
        <v>19</v>
      </c>
      <c r="M46" t="s">
        <v>35</v>
      </c>
      <c r="N46">
        <v>9</v>
      </c>
      <c r="O46">
        <v>3329.77</v>
      </c>
      <c r="P46">
        <v>0.1</v>
      </c>
      <c r="Q46">
        <v>0.1</v>
      </c>
      <c r="R46">
        <v>26971.14</v>
      </c>
      <c r="S46">
        <v>17376.2</v>
      </c>
      <c r="T46">
        <v>26971.136999999999</v>
      </c>
      <c r="U46">
        <v>9594.9369999999999</v>
      </c>
      <c r="V46">
        <v>0.35574833200394901</v>
      </c>
      <c r="W46">
        <v>3</v>
      </c>
      <c r="X46" t="s">
        <v>148</v>
      </c>
      <c r="Y46">
        <v>2024</v>
      </c>
      <c r="Z46" t="s">
        <v>129</v>
      </c>
      <c r="AA46" t="s">
        <v>130</v>
      </c>
      <c r="AB46" t="s">
        <v>131</v>
      </c>
      <c r="AC46" t="s">
        <v>131</v>
      </c>
      <c r="AD46" t="s">
        <v>131</v>
      </c>
      <c r="AE46" t="s">
        <v>131</v>
      </c>
      <c r="AF46" t="s">
        <v>131</v>
      </c>
      <c r="AG46" t="s">
        <v>131</v>
      </c>
      <c r="AH46" t="s">
        <v>132</v>
      </c>
      <c r="AI46" t="s">
        <v>133</v>
      </c>
      <c r="AJ46" t="s">
        <v>374</v>
      </c>
      <c r="AK46" t="s">
        <v>375</v>
      </c>
      <c r="AL46" t="s">
        <v>255</v>
      </c>
      <c r="AM46" t="s">
        <v>44</v>
      </c>
      <c r="AN46" t="s">
        <v>9</v>
      </c>
      <c r="AO46" t="s">
        <v>372</v>
      </c>
      <c r="AP46" t="s">
        <v>373</v>
      </c>
      <c r="AQ46" t="s">
        <v>18</v>
      </c>
      <c r="AR46" t="s">
        <v>19</v>
      </c>
      <c r="AS46" t="s">
        <v>35</v>
      </c>
      <c r="AT46">
        <v>0.1</v>
      </c>
      <c r="AU46" t="s">
        <v>129</v>
      </c>
      <c r="AV46" t="s">
        <v>130</v>
      </c>
    </row>
    <row r="47" spans="1:48" x14ac:dyDescent="0.3">
      <c r="A47" t="s">
        <v>376</v>
      </c>
      <c r="B47" s="12">
        <v>45309</v>
      </c>
      <c r="C47" s="12">
        <v>45315</v>
      </c>
      <c r="D47" t="s">
        <v>377</v>
      </c>
      <c r="E47" t="s">
        <v>147</v>
      </c>
      <c r="F47" t="s">
        <v>41</v>
      </c>
      <c r="G47" t="s">
        <v>8</v>
      </c>
      <c r="H47" t="s">
        <v>259</v>
      </c>
      <c r="I47" t="s">
        <v>260</v>
      </c>
      <c r="J47" t="s">
        <v>20</v>
      </c>
      <c r="K47" t="s">
        <v>29</v>
      </c>
      <c r="M47" t="s">
        <v>37</v>
      </c>
      <c r="N47">
        <v>8</v>
      </c>
      <c r="O47">
        <v>3927.82</v>
      </c>
      <c r="P47">
        <v>0.05</v>
      </c>
      <c r="Q47">
        <v>0.05</v>
      </c>
      <c r="R47">
        <v>29851.43</v>
      </c>
      <c r="S47">
        <v>17487.48</v>
      </c>
      <c r="T47">
        <v>29851.432000000001</v>
      </c>
      <c r="U47">
        <v>12363.951999999999</v>
      </c>
      <c r="V47">
        <v>0.41418287739094101</v>
      </c>
      <c r="W47">
        <v>6</v>
      </c>
      <c r="X47" t="s">
        <v>244</v>
      </c>
      <c r="Y47">
        <v>2024</v>
      </c>
      <c r="Z47" t="s">
        <v>215</v>
      </c>
      <c r="AA47" t="s">
        <v>204</v>
      </c>
      <c r="AB47" t="s">
        <v>131</v>
      </c>
      <c r="AC47" t="s">
        <v>131</v>
      </c>
      <c r="AD47" t="s">
        <v>131</v>
      </c>
      <c r="AE47" t="s">
        <v>131</v>
      </c>
      <c r="AF47" t="s">
        <v>131</v>
      </c>
      <c r="AG47" t="s">
        <v>131</v>
      </c>
      <c r="AH47" t="s">
        <v>131</v>
      </c>
      <c r="AI47" t="s">
        <v>133</v>
      </c>
      <c r="AJ47" t="s">
        <v>378</v>
      </c>
      <c r="AK47" t="s">
        <v>379</v>
      </c>
      <c r="AL47" t="s">
        <v>147</v>
      </c>
      <c r="AM47" t="s">
        <v>41</v>
      </c>
      <c r="AN47" t="s">
        <v>8</v>
      </c>
      <c r="AO47" t="s">
        <v>259</v>
      </c>
      <c r="AP47" t="s">
        <v>260</v>
      </c>
      <c r="AQ47" t="s">
        <v>20</v>
      </c>
      <c r="AR47" t="s">
        <v>29</v>
      </c>
      <c r="AS47" t="s">
        <v>37</v>
      </c>
      <c r="AT47">
        <v>0.05</v>
      </c>
      <c r="AU47" t="s">
        <v>215</v>
      </c>
      <c r="AV47" t="s">
        <v>204</v>
      </c>
    </row>
    <row r="48" spans="1:48" x14ac:dyDescent="0.3">
      <c r="A48" t="s">
        <v>380</v>
      </c>
      <c r="B48" s="12">
        <v>45492</v>
      </c>
      <c r="C48" s="12">
        <v>45492</v>
      </c>
      <c r="D48" t="s">
        <v>381</v>
      </c>
      <c r="E48" t="s">
        <v>162</v>
      </c>
      <c r="F48" t="s">
        <v>44</v>
      </c>
      <c r="G48" t="s">
        <v>6</v>
      </c>
      <c r="H48" t="s">
        <v>305</v>
      </c>
      <c r="I48" t="s">
        <v>306</v>
      </c>
      <c r="J48" t="s">
        <v>18</v>
      </c>
      <c r="K48" t="s">
        <v>26</v>
      </c>
      <c r="M48" t="s">
        <v>35</v>
      </c>
      <c r="N48">
        <v>9</v>
      </c>
      <c r="O48">
        <v>2386.79</v>
      </c>
      <c r="P48">
        <v>0.25</v>
      </c>
      <c r="Q48">
        <v>0.25</v>
      </c>
      <c r="R48">
        <v>16110.83</v>
      </c>
      <c r="S48">
        <v>10680.03</v>
      </c>
      <c r="T48">
        <v>16110.8325</v>
      </c>
      <c r="U48">
        <v>5430.8024999999998</v>
      </c>
      <c r="V48">
        <v>0.337090122437807</v>
      </c>
      <c r="W48">
        <v>0</v>
      </c>
      <c r="X48" t="s">
        <v>128</v>
      </c>
      <c r="Y48">
        <v>2024</v>
      </c>
      <c r="Z48" t="s">
        <v>203</v>
      </c>
      <c r="AA48" t="s">
        <v>204</v>
      </c>
      <c r="AB48" t="s">
        <v>131</v>
      </c>
      <c r="AC48" t="s">
        <v>131</v>
      </c>
      <c r="AD48" t="s">
        <v>131</v>
      </c>
      <c r="AE48" t="s">
        <v>131</v>
      </c>
      <c r="AF48" t="s">
        <v>131</v>
      </c>
      <c r="AG48" t="s">
        <v>131</v>
      </c>
      <c r="AH48" t="s">
        <v>131</v>
      </c>
      <c r="AI48" t="s">
        <v>133</v>
      </c>
      <c r="AJ48" t="s">
        <v>382</v>
      </c>
      <c r="AK48" t="s">
        <v>382</v>
      </c>
      <c r="AL48" t="s">
        <v>162</v>
      </c>
      <c r="AM48" t="s">
        <v>44</v>
      </c>
      <c r="AN48" t="s">
        <v>6</v>
      </c>
      <c r="AO48" t="s">
        <v>305</v>
      </c>
      <c r="AP48" t="s">
        <v>306</v>
      </c>
      <c r="AQ48" t="s">
        <v>18</v>
      </c>
      <c r="AR48" t="s">
        <v>26</v>
      </c>
      <c r="AS48" t="s">
        <v>35</v>
      </c>
      <c r="AT48">
        <v>0.25</v>
      </c>
      <c r="AU48" t="s">
        <v>203</v>
      </c>
      <c r="AV48" t="s">
        <v>204</v>
      </c>
    </row>
    <row r="49" spans="1:48" x14ac:dyDescent="0.3">
      <c r="A49" t="s">
        <v>383</v>
      </c>
      <c r="B49" s="12">
        <v>45516</v>
      </c>
      <c r="C49" s="12">
        <v>45516</v>
      </c>
      <c r="D49" t="s">
        <v>384</v>
      </c>
      <c r="E49" t="s">
        <v>227</v>
      </c>
      <c r="F49" t="s">
        <v>43</v>
      </c>
      <c r="G49" t="s">
        <v>6</v>
      </c>
      <c r="H49" t="s">
        <v>385</v>
      </c>
      <c r="I49" t="s">
        <v>386</v>
      </c>
      <c r="J49" t="s">
        <v>20</v>
      </c>
      <c r="K49" t="s">
        <v>21</v>
      </c>
      <c r="M49" t="s">
        <v>35</v>
      </c>
      <c r="N49">
        <v>8</v>
      </c>
      <c r="O49">
        <v>2445.31</v>
      </c>
      <c r="P49">
        <v>0.1</v>
      </c>
      <c r="Q49">
        <v>0.1</v>
      </c>
      <c r="R49">
        <v>17606.23</v>
      </c>
      <c r="S49">
        <v>12438.96</v>
      </c>
      <c r="T49">
        <v>17606.232</v>
      </c>
      <c r="U49">
        <v>5167.2719999999999</v>
      </c>
      <c r="V49">
        <v>0.29349107747756598</v>
      </c>
      <c r="W49">
        <v>0</v>
      </c>
      <c r="X49" t="s">
        <v>142</v>
      </c>
      <c r="Y49">
        <v>2024</v>
      </c>
      <c r="Z49" t="s">
        <v>129</v>
      </c>
      <c r="AA49" t="s">
        <v>130</v>
      </c>
      <c r="AB49" t="s">
        <v>131</v>
      </c>
      <c r="AC49" t="s">
        <v>131</v>
      </c>
      <c r="AD49" t="s">
        <v>131</v>
      </c>
      <c r="AE49" t="s">
        <v>131</v>
      </c>
      <c r="AF49" t="s">
        <v>131</v>
      </c>
      <c r="AG49" t="s">
        <v>131</v>
      </c>
      <c r="AH49" t="s">
        <v>132</v>
      </c>
      <c r="AI49" t="s">
        <v>133</v>
      </c>
      <c r="AJ49" t="s">
        <v>387</v>
      </c>
      <c r="AK49" t="s">
        <v>388</v>
      </c>
      <c r="AL49" t="s">
        <v>227</v>
      </c>
      <c r="AM49" t="s">
        <v>43</v>
      </c>
      <c r="AN49" t="s">
        <v>6</v>
      </c>
      <c r="AO49" t="s">
        <v>385</v>
      </c>
      <c r="AP49" t="s">
        <v>386</v>
      </c>
      <c r="AQ49" t="s">
        <v>20</v>
      </c>
      <c r="AR49" t="s">
        <v>21</v>
      </c>
      <c r="AS49" t="s">
        <v>35</v>
      </c>
      <c r="AT49">
        <v>0.1</v>
      </c>
      <c r="AU49" t="s">
        <v>129</v>
      </c>
      <c r="AV49" t="s">
        <v>130</v>
      </c>
    </row>
    <row r="50" spans="1:48" x14ac:dyDescent="0.3">
      <c r="A50" t="s">
        <v>389</v>
      </c>
      <c r="B50" s="12">
        <v>45687</v>
      </c>
      <c r="C50" s="12">
        <v>45693</v>
      </c>
      <c r="D50" t="s">
        <v>390</v>
      </c>
      <c r="E50" t="s">
        <v>178</v>
      </c>
      <c r="F50" t="s">
        <v>43</v>
      </c>
      <c r="G50" t="s">
        <v>7</v>
      </c>
      <c r="H50" t="s">
        <v>163</v>
      </c>
      <c r="I50" t="s">
        <v>164</v>
      </c>
      <c r="J50" t="s">
        <v>18</v>
      </c>
      <c r="K50" t="s">
        <v>19</v>
      </c>
      <c r="M50" t="s">
        <v>37</v>
      </c>
      <c r="N50">
        <v>7</v>
      </c>
      <c r="O50">
        <v>4063.66</v>
      </c>
      <c r="P50">
        <v>0</v>
      </c>
      <c r="Q50">
        <v>0</v>
      </c>
      <c r="R50">
        <v>28445.62</v>
      </c>
      <c r="S50">
        <v>20938.59</v>
      </c>
      <c r="T50">
        <v>28445.62</v>
      </c>
      <c r="U50">
        <v>7507.03</v>
      </c>
      <c r="V50">
        <v>0.26390811660986802</v>
      </c>
      <c r="W50">
        <v>6</v>
      </c>
      <c r="X50" t="s">
        <v>244</v>
      </c>
      <c r="Y50">
        <v>2025</v>
      </c>
      <c r="Z50" t="s">
        <v>129</v>
      </c>
      <c r="AA50" t="s">
        <v>130</v>
      </c>
      <c r="AB50" t="s">
        <v>131</v>
      </c>
      <c r="AC50" t="s">
        <v>131</v>
      </c>
      <c r="AD50" t="s">
        <v>131</v>
      </c>
      <c r="AE50" t="s">
        <v>131</v>
      </c>
      <c r="AF50" t="s">
        <v>131</v>
      </c>
      <c r="AG50" t="s">
        <v>131</v>
      </c>
      <c r="AH50" t="s">
        <v>132</v>
      </c>
      <c r="AI50" t="s">
        <v>133</v>
      </c>
      <c r="AJ50" t="s">
        <v>391</v>
      </c>
      <c r="AK50" t="s">
        <v>392</v>
      </c>
      <c r="AL50" t="s">
        <v>178</v>
      </c>
      <c r="AM50" t="s">
        <v>43</v>
      </c>
      <c r="AN50" t="s">
        <v>7</v>
      </c>
      <c r="AO50" t="s">
        <v>163</v>
      </c>
      <c r="AP50" t="s">
        <v>164</v>
      </c>
      <c r="AQ50" t="s">
        <v>18</v>
      </c>
      <c r="AR50" t="s">
        <v>19</v>
      </c>
      <c r="AS50" t="s">
        <v>393</v>
      </c>
      <c r="AT50">
        <v>0</v>
      </c>
      <c r="AU50" t="s">
        <v>129</v>
      </c>
      <c r="AV50" t="s">
        <v>130</v>
      </c>
    </row>
    <row r="51" spans="1:48" x14ac:dyDescent="0.3">
      <c r="A51" t="s">
        <v>394</v>
      </c>
      <c r="B51" s="12">
        <v>45388</v>
      </c>
      <c r="C51" s="12">
        <v>45395</v>
      </c>
      <c r="D51" t="s">
        <v>395</v>
      </c>
      <c r="E51" t="s">
        <v>238</v>
      </c>
      <c r="F51" t="s">
        <v>41</v>
      </c>
      <c r="G51" t="s">
        <v>9</v>
      </c>
      <c r="H51" t="s">
        <v>249</v>
      </c>
      <c r="I51" t="s">
        <v>250</v>
      </c>
      <c r="J51" t="s">
        <v>15</v>
      </c>
      <c r="K51" t="s">
        <v>16</v>
      </c>
      <c r="M51" t="s">
        <v>37</v>
      </c>
      <c r="N51">
        <v>9</v>
      </c>
      <c r="O51">
        <v>792.11</v>
      </c>
      <c r="P51">
        <v>0.05</v>
      </c>
      <c r="Q51">
        <v>0.05</v>
      </c>
      <c r="R51">
        <v>6772.54</v>
      </c>
      <c r="S51">
        <v>5755.46</v>
      </c>
      <c r="T51">
        <v>6772.5405000000001</v>
      </c>
      <c r="U51">
        <v>1017.0805</v>
      </c>
      <c r="V51">
        <v>0.15017710119267599</v>
      </c>
      <c r="W51">
        <v>7</v>
      </c>
      <c r="X51" t="s">
        <v>179</v>
      </c>
      <c r="Y51">
        <v>2024</v>
      </c>
      <c r="Z51" t="s">
        <v>129</v>
      </c>
      <c r="AA51" t="s">
        <v>130</v>
      </c>
      <c r="AB51" t="s">
        <v>131</v>
      </c>
      <c r="AC51" t="s">
        <v>131</v>
      </c>
      <c r="AD51" t="s">
        <v>131</v>
      </c>
      <c r="AE51" t="s">
        <v>131</v>
      </c>
      <c r="AF51" t="s">
        <v>131</v>
      </c>
      <c r="AG51" t="s">
        <v>131</v>
      </c>
      <c r="AH51" t="s">
        <v>132</v>
      </c>
      <c r="AI51" t="s">
        <v>133</v>
      </c>
      <c r="AJ51" t="s">
        <v>396</v>
      </c>
      <c r="AK51" t="s">
        <v>397</v>
      </c>
      <c r="AL51" t="s">
        <v>238</v>
      </c>
      <c r="AM51" t="s">
        <v>41</v>
      </c>
      <c r="AN51" t="s">
        <v>9</v>
      </c>
      <c r="AO51" t="s">
        <v>249</v>
      </c>
      <c r="AP51" t="s">
        <v>250</v>
      </c>
      <c r="AQ51" t="s">
        <v>15</v>
      </c>
      <c r="AR51" t="s">
        <v>16</v>
      </c>
      <c r="AS51" t="s">
        <v>37</v>
      </c>
      <c r="AT51">
        <v>0.05</v>
      </c>
      <c r="AU51" t="s">
        <v>129</v>
      </c>
      <c r="AV51" t="s">
        <v>130</v>
      </c>
    </row>
    <row r="52" spans="1:48" x14ac:dyDescent="0.3">
      <c r="A52" t="s">
        <v>398</v>
      </c>
      <c r="B52" s="12">
        <v>45788</v>
      </c>
      <c r="C52" s="12">
        <v>45796</v>
      </c>
      <c r="D52" t="s">
        <v>399</v>
      </c>
      <c r="E52" t="s">
        <v>243</v>
      </c>
      <c r="F52" t="s">
        <v>42</v>
      </c>
      <c r="G52" t="s">
        <v>8</v>
      </c>
      <c r="H52" t="s">
        <v>201</v>
      </c>
      <c r="I52" t="s">
        <v>202</v>
      </c>
      <c r="J52" t="s">
        <v>15</v>
      </c>
      <c r="K52" t="s">
        <v>16</v>
      </c>
      <c r="M52" t="s">
        <v>35</v>
      </c>
      <c r="N52">
        <v>1</v>
      </c>
      <c r="O52">
        <v>2382.8000000000002</v>
      </c>
      <c r="P52">
        <v>0.15</v>
      </c>
      <c r="Q52">
        <v>0.15</v>
      </c>
      <c r="R52">
        <v>2025.38</v>
      </c>
      <c r="S52">
        <v>1140.6500000000001</v>
      </c>
      <c r="T52">
        <v>2025.38</v>
      </c>
      <c r="U52">
        <v>884.73</v>
      </c>
      <c r="V52">
        <v>0.43682173221815201</v>
      </c>
      <c r="W52">
        <v>8</v>
      </c>
      <c r="X52" t="s">
        <v>173</v>
      </c>
      <c r="Y52">
        <v>2025</v>
      </c>
      <c r="Z52" t="s">
        <v>129</v>
      </c>
      <c r="AA52" t="s">
        <v>130</v>
      </c>
      <c r="AB52" t="s">
        <v>131</v>
      </c>
      <c r="AC52" t="s">
        <v>131</v>
      </c>
      <c r="AD52" t="s">
        <v>131</v>
      </c>
      <c r="AE52" t="s">
        <v>131</v>
      </c>
      <c r="AF52" t="s">
        <v>131</v>
      </c>
      <c r="AG52" t="s">
        <v>131</v>
      </c>
      <c r="AH52" t="s">
        <v>132</v>
      </c>
      <c r="AI52" t="s">
        <v>133</v>
      </c>
      <c r="AJ52" t="s">
        <v>400</v>
      </c>
      <c r="AK52" t="s">
        <v>401</v>
      </c>
      <c r="AL52" t="s">
        <v>243</v>
      </c>
      <c r="AM52" t="s">
        <v>42</v>
      </c>
      <c r="AN52" t="s">
        <v>8</v>
      </c>
      <c r="AO52" t="s">
        <v>201</v>
      </c>
      <c r="AP52" t="s">
        <v>202</v>
      </c>
      <c r="AQ52" t="s">
        <v>15</v>
      </c>
      <c r="AR52" t="s">
        <v>16</v>
      </c>
      <c r="AS52" t="s">
        <v>35</v>
      </c>
      <c r="AT52">
        <v>0.15</v>
      </c>
      <c r="AU52" t="s">
        <v>129</v>
      </c>
      <c r="AV52" t="s">
        <v>130</v>
      </c>
    </row>
    <row r="53" spans="1:48" x14ac:dyDescent="0.3">
      <c r="A53" t="s">
        <v>402</v>
      </c>
      <c r="B53" s="12">
        <v>45406</v>
      </c>
      <c r="C53" s="12">
        <v>45411</v>
      </c>
      <c r="D53" t="s">
        <v>403</v>
      </c>
      <c r="E53" t="s">
        <v>162</v>
      </c>
      <c r="F53" t="s">
        <v>43</v>
      </c>
      <c r="G53" t="s">
        <v>6</v>
      </c>
      <c r="H53" t="s">
        <v>155</v>
      </c>
      <c r="I53" t="s">
        <v>156</v>
      </c>
      <c r="J53" t="s">
        <v>20</v>
      </c>
      <c r="K53" t="s">
        <v>29</v>
      </c>
      <c r="M53" t="s">
        <v>35</v>
      </c>
      <c r="N53">
        <v>6</v>
      </c>
      <c r="O53">
        <v>1528.08</v>
      </c>
      <c r="P53">
        <v>0</v>
      </c>
      <c r="Q53">
        <v>0</v>
      </c>
      <c r="R53">
        <v>9168.48</v>
      </c>
      <c r="S53">
        <v>7439.77</v>
      </c>
      <c r="T53">
        <v>9168.48</v>
      </c>
      <c r="U53">
        <v>1728.71</v>
      </c>
      <c r="V53">
        <v>0.18854924698532399</v>
      </c>
      <c r="W53">
        <v>5</v>
      </c>
      <c r="X53" t="s">
        <v>179</v>
      </c>
      <c r="Y53">
        <v>2024</v>
      </c>
      <c r="Z53" t="s">
        <v>129</v>
      </c>
      <c r="AA53" t="s">
        <v>130</v>
      </c>
      <c r="AB53" t="s">
        <v>131</v>
      </c>
      <c r="AC53" t="s">
        <v>131</v>
      </c>
      <c r="AD53" t="s">
        <v>131</v>
      </c>
      <c r="AE53" t="s">
        <v>131</v>
      </c>
      <c r="AF53" t="s">
        <v>131</v>
      </c>
      <c r="AG53" t="s">
        <v>131</v>
      </c>
      <c r="AH53" t="s">
        <v>132</v>
      </c>
      <c r="AI53" t="s">
        <v>133</v>
      </c>
      <c r="AJ53" t="s">
        <v>404</v>
      </c>
      <c r="AK53" t="s">
        <v>405</v>
      </c>
      <c r="AL53" t="s">
        <v>406</v>
      </c>
      <c r="AM53" t="s">
        <v>43</v>
      </c>
      <c r="AN53" t="s">
        <v>6</v>
      </c>
      <c r="AO53" t="s">
        <v>155</v>
      </c>
      <c r="AP53" t="s">
        <v>156</v>
      </c>
      <c r="AQ53" t="s">
        <v>20</v>
      </c>
      <c r="AR53" t="s">
        <v>29</v>
      </c>
      <c r="AS53" t="s">
        <v>35</v>
      </c>
      <c r="AT53">
        <v>0</v>
      </c>
      <c r="AU53" t="s">
        <v>129</v>
      </c>
      <c r="AV53" t="s">
        <v>130</v>
      </c>
    </row>
    <row r="54" spans="1:48" x14ac:dyDescent="0.3">
      <c r="A54" t="s">
        <v>407</v>
      </c>
      <c r="B54" s="12">
        <v>45591</v>
      </c>
      <c r="C54" s="12">
        <v>45593</v>
      </c>
      <c r="D54" t="s">
        <v>408</v>
      </c>
      <c r="E54" t="s">
        <v>409</v>
      </c>
      <c r="F54" t="s">
        <v>44</v>
      </c>
      <c r="G54" t="s">
        <v>9</v>
      </c>
      <c r="H54" t="s">
        <v>126</v>
      </c>
      <c r="I54" t="s">
        <v>127</v>
      </c>
      <c r="J54" t="s">
        <v>18</v>
      </c>
      <c r="K54" t="s">
        <v>19</v>
      </c>
      <c r="M54" t="s">
        <v>36</v>
      </c>
      <c r="N54">
        <v>9</v>
      </c>
      <c r="O54">
        <v>1399.63</v>
      </c>
      <c r="P54">
        <v>0</v>
      </c>
      <c r="Q54">
        <v>0</v>
      </c>
      <c r="R54">
        <v>12596.67</v>
      </c>
      <c r="S54">
        <v>10603.29</v>
      </c>
      <c r="T54">
        <v>12596.67</v>
      </c>
      <c r="U54">
        <v>1993.38</v>
      </c>
      <c r="V54">
        <v>0.158246584216305</v>
      </c>
      <c r="W54">
        <v>2</v>
      </c>
      <c r="X54" t="s">
        <v>222</v>
      </c>
      <c r="Y54">
        <v>2024</v>
      </c>
      <c r="Z54" t="s">
        <v>269</v>
      </c>
      <c r="AA54" t="s">
        <v>165</v>
      </c>
      <c r="AB54" t="s">
        <v>131</v>
      </c>
      <c r="AC54" t="s">
        <v>131</v>
      </c>
      <c r="AD54" t="s">
        <v>131</v>
      </c>
      <c r="AE54" t="s">
        <v>131</v>
      </c>
      <c r="AF54" t="s">
        <v>131</v>
      </c>
      <c r="AG54" t="s">
        <v>131</v>
      </c>
      <c r="AH54" t="s">
        <v>131</v>
      </c>
      <c r="AI54" t="s">
        <v>133</v>
      </c>
      <c r="AJ54" t="s">
        <v>410</v>
      </c>
      <c r="AK54" t="s">
        <v>411</v>
      </c>
      <c r="AL54" t="s">
        <v>409</v>
      </c>
      <c r="AM54" t="s">
        <v>44</v>
      </c>
      <c r="AN54" t="s">
        <v>9</v>
      </c>
      <c r="AO54" t="s">
        <v>126</v>
      </c>
      <c r="AP54" t="s">
        <v>127</v>
      </c>
      <c r="AQ54" t="s">
        <v>18</v>
      </c>
      <c r="AR54" t="s">
        <v>19</v>
      </c>
      <c r="AS54" t="s">
        <v>36</v>
      </c>
      <c r="AT54">
        <v>0</v>
      </c>
      <c r="AU54" t="s">
        <v>269</v>
      </c>
      <c r="AV54" t="s">
        <v>165</v>
      </c>
    </row>
    <row r="55" spans="1:48" x14ac:dyDescent="0.3">
      <c r="A55" t="s">
        <v>412</v>
      </c>
      <c r="B55" s="12">
        <v>45747</v>
      </c>
      <c r="C55" s="12">
        <v>45747</v>
      </c>
      <c r="D55" t="s">
        <v>413</v>
      </c>
      <c r="E55" t="s">
        <v>409</v>
      </c>
      <c r="F55" t="s">
        <v>41</v>
      </c>
      <c r="G55" t="s">
        <v>7</v>
      </c>
      <c r="H55" t="s">
        <v>300</v>
      </c>
      <c r="I55" t="s">
        <v>301</v>
      </c>
      <c r="J55" t="s">
        <v>20</v>
      </c>
      <c r="K55" t="s">
        <v>21</v>
      </c>
      <c r="M55" t="s">
        <v>36</v>
      </c>
      <c r="N55">
        <v>5</v>
      </c>
      <c r="O55">
        <v>1207.47</v>
      </c>
      <c r="P55">
        <v>0.15</v>
      </c>
      <c r="Q55">
        <v>0.15</v>
      </c>
      <c r="R55">
        <v>5131.75</v>
      </c>
      <c r="S55">
        <v>2838.68</v>
      </c>
      <c r="T55">
        <v>5131.7475000000004</v>
      </c>
      <c r="U55">
        <v>2293.0675000000001</v>
      </c>
      <c r="V55">
        <v>0.44683950252813498</v>
      </c>
      <c r="W55">
        <v>0</v>
      </c>
      <c r="X55" t="s">
        <v>278</v>
      </c>
      <c r="Y55">
        <v>2025</v>
      </c>
      <c r="Z55" t="s">
        <v>129</v>
      </c>
      <c r="AA55" t="s">
        <v>130</v>
      </c>
      <c r="AB55" t="s">
        <v>131</v>
      </c>
      <c r="AC55" t="s">
        <v>131</v>
      </c>
      <c r="AD55" t="s">
        <v>131</v>
      </c>
      <c r="AE55" t="s">
        <v>131</v>
      </c>
      <c r="AF55" t="s">
        <v>131</v>
      </c>
      <c r="AG55" t="s">
        <v>131</v>
      </c>
      <c r="AH55" t="s">
        <v>132</v>
      </c>
      <c r="AI55" t="s">
        <v>133</v>
      </c>
      <c r="AJ55" t="s">
        <v>414</v>
      </c>
      <c r="AK55" t="s">
        <v>415</v>
      </c>
      <c r="AL55" t="s">
        <v>409</v>
      </c>
      <c r="AM55" t="s">
        <v>41</v>
      </c>
      <c r="AN55" t="s">
        <v>7</v>
      </c>
      <c r="AO55" t="s">
        <v>300</v>
      </c>
      <c r="AP55" t="s">
        <v>301</v>
      </c>
      <c r="AQ55" t="s">
        <v>20</v>
      </c>
      <c r="AR55" t="s">
        <v>21</v>
      </c>
      <c r="AS55" t="s">
        <v>36</v>
      </c>
      <c r="AT55">
        <v>0.15</v>
      </c>
      <c r="AU55" t="s">
        <v>129</v>
      </c>
      <c r="AV55" t="s">
        <v>130</v>
      </c>
    </row>
    <row r="56" spans="1:48" x14ac:dyDescent="0.3">
      <c r="A56" t="s">
        <v>416</v>
      </c>
      <c r="B56" s="12">
        <v>45807</v>
      </c>
      <c r="C56" s="12">
        <v>45810</v>
      </c>
      <c r="D56" t="s">
        <v>417</v>
      </c>
      <c r="E56" t="s">
        <v>154</v>
      </c>
      <c r="F56" t="s">
        <v>43</v>
      </c>
      <c r="G56" t="s">
        <v>6</v>
      </c>
      <c r="H56" t="s">
        <v>385</v>
      </c>
      <c r="I56" t="s">
        <v>386</v>
      </c>
      <c r="J56" t="s">
        <v>20</v>
      </c>
      <c r="K56" t="s">
        <v>30</v>
      </c>
      <c r="M56" t="s">
        <v>38</v>
      </c>
      <c r="N56">
        <v>8</v>
      </c>
      <c r="O56">
        <v>474.37</v>
      </c>
      <c r="P56">
        <v>0.1</v>
      </c>
      <c r="Q56">
        <v>0.1</v>
      </c>
      <c r="R56">
        <v>3415.46</v>
      </c>
      <c r="S56">
        <v>1993.23</v>
      </c>
      <c r="T56">
        <v>3415.4639999999999</v>
      </c>
      <c r="U56">
        <v>1422.2339999999999</v>
      </c>
      <c r="V56">
        <v>0.41641018614161901</v>
      </c>
      <c r="W56">
        <v>3</v>
      </c>
      <c r="X56" t="s">
        <v>173</v>
      </c>
      <c r="Y56">
        <v>2025</v>
      </c>
      <c r="Z56" t="s">
        <v>269</v>
      </c>
      <c r="AA56" t="s">
        <v>165</v>
      </c>
      <c r="AB56" t="s">
        <v>131</v>
      </c>
      <c r="AC56" t="s">
        <v>131</v>
      </c>
      <c r="AD56" t="s">
        <v>131</v>
      </c>
      <c r="AE56" t="s">
        <v>131</v>
      </c>
      <c r="AF56" t="s">
        <v>131</v>
      </c>
      <c r="AG56" t="s">
        <v>131</v>
      </c>
      <c r="AH56" t="s">
        <v>131</v>
      </c>
      <c r="AI56" t="s">
        <v>133</v>
      </c>
      <c r="AJ56" t="s">
        <v>418</v>
      </c>
      <c r="AK56" t="s">
        <v>419</v>
      </c>
      <c r="AL56" t="s">
        <v>154</v>
      </c>
      <c r="AM56" t="s">
        <v>43</v>
      </c>
      <c r="AN56" t="s">
        <v>6</v>
      </c>
      <c r="AO56" t="s">
        <v>385</v>
      </c>
      <c r="AP56" t="s">
        <v>386</v>
      </c>
      <c r="AQ56" t="s">
        <v>20</v>
      </c>
      <c r="AR56" t="s">
        <v>30</v>
      </c>
      <c r="AS56" t="s">
        <v>38</v>
      </c>
      <c r="AT56">
        <v>0.1</v>
      </c>
      <c r="AU56" t="s">
        <v>269</v>
      </c>
      <c r="AV56" t="s">
        <v>165</v>
      </c>
    </row>
    <row r="57" spans="1:48" x14ac:dyDescent="0.3">
      <c r="A57" t="s">
        <v>420</v>
      </c>
      <c r="B57" s="12">
        <v>45839</v>
      </c>
      <c r="C57" s="12">
        <v>45841</v>
      </c>
      <c r="D57" t="s">
        <v>421</v>
      </c>
      <c r="E57" t="s">
        <v>139</v>
      </c>
      <c r="F57" t="s">
        <v>44</v>
      </c>
      <c r="G57" t="s">
        <v>6</v>
      </c>
      <c r="H57" t="s">
        <v>184</v>
      </c>
      <c r="I57" t="s">
        <v>185</v>
      </c>
      <c r="J57" t="s">
        <v>15</v>
      </c>
      <c r="K57" t="s">
        <v>25</v>
      </c>
      <c r="M57" t="s">
        <v>38</v>
      </c>
      <c r="N57">
        <v>3</v>
      </c>
      <c r="O57">
        <v>1516.24</v>
      </c>
      <c r="P57">
        <v>0.25</v>
      </c>
      <c r="Q57">
        <v>0.25</v>
      </c>
      <c r="R57">
        <v>3411.54</v>
      </c>
      <c r="S57">
        <v>2803.13</v>
      </c>
      <c r="T57">
        <v>3411.54</v>
      </c>
      <c r="U57">
        <v>608.41</v>
      </c>
      <c r="V57">
        <v>0.17833881472883201</v>
      </c>
      <c r="W57">
        <v>2</v>
      </c>
      <c r="X57" t="s">
        <v>128</v>
      </c>
      <c r="Y57">
        <v>2025</v>
      </c>
      <c r="Z57" t="s">
        <v>129</v>
      </c>
      <c r="AA57" t="s">
        <v>130</v>
      </c>
      <c r="AB57" t="s">
        <v>131</v>
      </c>
      <c r="AC57" t="s">
        <v>131</v>
      </c>
      <c r="AD57" t="s">
        <v>131</v>
      </c>
      <c r="AE57" t="s">
        <v>131</v>
      </c>
      <c r="AF57" t="s">
        <v>131</v>
      </c>
      <c r="AG57" t="s">
        <v>131</v>
      </c>
      <c r="AH57" t="s">
        <v>132</v>
      </c>
      <c r="AI57" t="s">
        <v>133</v>
      </c>
      <c r="AJ57" t="s">
        <v>422</v>
      </c>
      <c r="AK57" t="s">
        <v>423</v>
      </c>
      <c r="AL57" t="s">
        <v>139</v>
      </c>
      <c r="AM57" t="s">
        <v>44</v>
      </c>
      <c r="AN57" t="s">
        <v>6</v>
      </c>
      <c r="AO57" t="s">
        <v>184</v>
      </c>
      <c r="AP57" t="s">
        <v>185</v>
      </c>
      <c r="AQ57" t="s">
        <v>15</v>
      </c>
      <c r="AR57" t="s">
        <v>25</v>
      </c>
      <c r="AS57" t="s">
        <v>38</v>
      </c>
      <c r="AT57">
        <v>0.25</v>
      </c>
      <c r="AU57" t="s">
        <v>129</v>
      </c>
      <c r="AV57" t="s">
        <v>130</v>
      </c>
    </row>
    <row r="58" spans="1:48" x14ac:dyDescent="0.3">
      <c r="A58" t="s">
        <v>424</v>
      </c>
      <c r="B58" s="12">
        <v>45662</v>
      </c>
      <c r="C58" s="12">
        <v>45663</v>
      </c>
      <c r="D58" t="s">
        <v>425</v>
      </c>
      <c r="E58" t="s">
        <v>125</v>
      </c>
      <c r="F58" t="s">
        <v>42</v>
      </c>
      <c r="G58" t="s">
        <v>6</v>
      </c>
      <c r="H58" t="s">
        <v>294</v>
      </c>
      <c r="I58" t="s">
        <v>295</v>
      </c>
      <c r="J58" t="s">
        <v>20</v>
      </c>
      <c r="K58" t="s">
        <v>28</v>
      </c>
      <c r="M58" t="s">
        <v>37</v>
      </c>
      <c r="N58">
        <v>3</v>
      </c>
      <c r="O58">
        <v>3155.61</v>
      </c>
      <c r="P58">
        <v>0</v>
      </c>
      <c r="Q58">
        <v>0</v>
      </c>
      <c r="R58">
        <v>9466.83</v>
      </c>
      <c r="S58">
        <v>6557.83</v>
      </c>
      <c r="T58">
        <v>9466.83</v>
      </c>
      <c r="U58">
        <v>2909</v>
      </c>
      <c r="V58">
        <v>0.30728343067320302</v>
      </c>
      <c r="W58">
        <v>1</v>
      </c>
      <c r="X58" t="s">
        <v>244</v>
      </c>
      <c r="Y58">
        <v>2025</v>
      </c>
      <c r="Z58" t="s">
        <v>203</v>
      </c>
      <c r="AA58" t="s">
        <v>165</v>
      </c>
      <c r="AB58" t="s">
        <v>131</v>
      </c>
      <c r="AC58" t="s">
        <v>131</v>
      </c>
      <c r="AD58" t="s">
        <v>131</v>
      </c>
      <c r="AE58" t="s">
        <v>131</v>
      </c>
      <c r="AF58" t="s">
        <v>131</v>
      </c>
      <c r="AG58" t="s">
        <v>131</v>
      </c>
      <c r="AH58" t="s">
        <v>131</v>
      </c>
      <c r="AI58" t="s">
        <v>133</v>
      </c>
      <c r="AJ58" t="s">
        <v>426</v>
      </c>
      <c r="AK58" t="s">
        <v>427</v>
      </c>
      <c r="AL58" t="s">
        <v>125</v>
      </c>
      <c r="AM58" t="s">
        <v>42</v>
      </c>
      <c r="AN58" t="s">
        <v>6</v>
      </c>
      <c r="AO58" t="s">
        <v>294</v>
      </c>
      <c r="AP58" t="s">
        <v>295</v>
      </c>
      <c r="AQ58" t="s">
        <v>20</v>
      </c>
      <c r="AR58" t="s">
        <v>28</v>
      </c>
      <c r="AS58" t="s">
        <v>37</v>
      </c>
      <c r="AT58">
        <v>0</v>
      </c>
      <c r="AU58" t="s">
        <v>203</v>
      </c>
      <c r="AV58" t="s">
        <v>165</v>
      </c>
    </row>
    <row r="59" spans="1:48" x14ac:dyDescent="0.3">
      <c r="A59" t="s">
        <v>428</v>
      </c>
      <c r="B59" s="12">
        <v>45329</v>
      </c>
      <c r="C59" s="12">
        <v>45337</v>
      </c>
      <c r="D59" t="s">
        <v>429</v>
      </c>
      <c r="E59" t="s">
        <v>221</v>
      </c>
      <c r="F59" t="s">
        <v>42</v>
      </c>
      <c r="G59" t="s">
        <v>7</v>
      </c>
      <c r="H59" t="s">
        <v>311</v>
      </c>
      <c r="I59" t="s">
        <v>312</v>
      </c>
      <c r="J59" t="s">
        <v>18</v>
      </c>
      <c r="K59" t="s">
        <v>19</v>
      </c>
      <c r="M59" t="s">
        <v>38</v>
      </c>
      <c r="N59">
        <v>5</v>
      </c>
      <c r="O59">
        <v>255.87</v>
      </c>
      <c r="P59">
        <v>0</v>
      </c>
      <c r="Q59">
        <v>0</v>
      </c>
      <c r="R59">
        <v>1279.3499999999999</v>
      </c>
      <c r="S59">
        <v>1091.54</v>
      </c>
      <c r="T59">
        <v>1279.3499999999999</v>
      </c>
      <c r="U59">
        <v>187.81</v>
      </c>
      <c r="V59">
        <v>0.14680110993864101</v>
      </c>
      <c r="W59">
        <v>8</v>
      </c>
      <c r="X59" t="s">
        <v>186</v>
      </c>
      <c r="Y59">
        <v>2024</v>
      </c>
      <c r="Z59" t="s">
        <v>129</v>
      </c>
      <c r="AA59" t="s">
        <v>130</v>
      </c>
      <c r="AB59" t="s">
        <v>131</v>
      </c>
      <c r="AC59" t="s">
        <v>131</v>
      </c>
      <c r="AD59" t="s">
        <v>131</v>
      </c>
      <c r="AE59" t="s">
        <v>131</v>
      </c>
      <c r="AF59" t="s">
        <v>131</v>
      </c>
      <c r="AG59" t="s">
        <v>131</v>
      </c>
      <c r="AH59" t="s">
        <v>132</v>
      </c>
      <c r="AI59" t="s">
        <v>133</v>
      </c>
      <c r="AJ59" t="s">
        <v>430</v>
      </c>
      <c r="AK59" t="s">
        <v>431</v>
      </c>
      <c r="AL59" t="s">
        <v>221</v>
      </c>
      <c r="AM59" t="s">
        <v>42</v>
      </c>
      <c r="AN59" t="s">
        <v>7</v>
      </c>
      <c r="AO59" t="s">
        <v>311</v>
      </c>
      <c r="AP59" t="s">
        <v>312</v>
      </c>
      <c r="AQ59" t="s">
        <v>18</v>
      </c>
      <c r="AR59" t="s">
        <v>19</v>
      </c>
      <c r="AS59" t="s">
        <v>38</v>
      </c>
      <c r="AT59">
        <v>0</v>
      </c>
      <c r="AU59" t="s">
        <v>129</v>
      </c>
      <c r="AV59" t="s">
        <v>130</v>
      </c>
    </row>
    <row r="60" spans="1:48" x14ac:dyDescent="0.3">
      <c r="A60" t="s">
        <v>432</v>
      </c>
      <c r="B60" s="12">
        <v>45536</v>
      </c>
      <c r="C60" s="12">
        <v>45542</v>
      </c>
      <c r="D60" t="s">
        <v>433</v>
      </c>
      <c r="E60" t="s">
        <v>147</v>
      </c>
      <c r="F60" t="s">
        <v>41</v>
      </c>
      <c r="G60" t="s">
        <v>9</v>
      </c>
      <c r="H60" t="s">
        <v>126</v>
      </c>
      <c r="I60" t="s">
        <v>127</v>
      </c>
      <c r="J60" t="s">
        <v>20</v>
      </c>
      <c r="K60" t="s">
        <v>21</v>
      </c>
      <c r="M60" t="s">
        <v>10</v>
      </c>
      <c r="N60">
        <v>9</v>
      </c>
      <c r="O60">
        <v>1389.48</v>
      </c>
      <c r="P60">
        <v>0.1</v>
      </c>
      <c r="Q60">
        <v>0.1</v>
      </c>
      <c r="R60">
        <v>11254.79</v>
      </c>
      <c r="S60">
        <v>6578.06</v>
      </c>
      <c r="T60">
        <v>11254.788</v>
      </c>
      <c r="U60">
        <v>4676.7280000000001</v>
      </c>
      <c r="V60">
        <v>0.41553230500654498</v>
      </c>
      <c r="W60">
        <v>6</v>
      </c>
      <c r="X60" t="s">
        <v>196</v>
      </c>
      <c r="Y60">
        <v>2024</v>
      </c>
      <c r="Z60" t="s">
        <v>215</v>
      </c>
      <c r="AA60" t="s">
        <v>204</v>
      </c>
      <c r="AB60" t="s">
        <v>131</v>
      </c>
      <c r="AC60" t="s">
        <v>132</v>
      </c>
      <c r="AD60" t="s">
        <v>131</v>
      </c>
      <c r="AE60" t="s">
        <v>131</v>
      </c>
      <c r="AF60" t="s">
        <v>131</v>
      </c>
      <c r="AG60" t="s">
        <v>131</v>
      </c>
      <c r="AH60" t="s">
        <v>131</v>
      </c>
      <c r="AI60" t="s">
        <v>321</v>
      </c>
      <c r="AJ60" t="s">
        <v>434</v>
      </c>
      <c r="AK60" t="s">
        <v>435</v>
      </c>
      <c r="AL60" t="s">
        <v>147</v>
      </c>
      <c r="AM60" t="s">
        <v>41</v>
      </c>
      <c r="AN60" t="s">
        <v>9</v>
      </c>
      <c r="AO60" t="s">
        <v>126</v>
      </c>
      <c r="AP60" t="s">
        <v>127</v>
      </c>
      <c r="AQ60" t="s">
        <v>20</v>
      </c>
      <c r="AR60" t="s">
        <v>21</v>
      </c>
      <c r="AT60">
        <v>0.1</v>
      </c>
      <c r="AU60" t="s">
        <v>215</v>
      </c>
      <c r="AV60" t="s">
        <v>204</v>
      </c>
    </row>
    <row r="61" spans="1:48" x14ac:dyDescent="0.3">
      <c r="A61" t="s">
        <v>436</v>
      </c>
      <c r="B61" s="12">
        <v>45493</v>
      </c>
      <c r="C61" s="12">
        <v>45498</v>
      </c>
      <c r="D61" t="s">
        <v>437</v>
      </c>
      <c r="E61" t="s">
        <v>221</v>
      </c>
      <c r="F61" t="s">
        <v>43</v>
      </c>
      <c r="G61" t="s">
        <v>8</v>
      </c>
      <c r="H61" t="s">
        <v>283</v>
      </c>
      <c r="I61" t="s">
        <v>284</v>
      </c>
      <c r="J61" t="s">
        <v>20</v>
      </c>
      <c r="K61" t="s">
        <v>30</v>
      </c>
      <c r="M61" t="s">
        <v>38</v>
      </c>
      <c r="N61">
        <v>5</v>
      </c>
      <c r="O61">
        <v>4133.8500000000004</v>
      </c>
      <c r="P61">
        <v>0.2</v>
      </c>
      <c r="Q61">
        <v>0.2</v>
      </c>
      <c r="R61">
        <v>16535.400000000001</v>
      </c>
      <c r="S61">
        <v>12990.21</v>
      </c>
      <c r="T61">
        <v>16535.400000000001</v>
      </c>
      <c r="U61">
        <v>3545.19</v>
      </c>
      <c r="V61">
        <v>0.21440001451431501</v>
      </c>
      <c r="W61">
        <v>5</v>
      </c>
      <c r="X61" t="s">
        <v>128</v>
      </c>
      <c r="Y61">
        <v>2024</v>
      </c>
      <c r="Z61" t="s">
        <v>129</v>
      </c>
      <c r="AA61" t="s">
        <v>165</v>
      </c>
      <c r="AB61" t="s">
        <v>131</v>
      </c>
      <c r="AC61" t="s">
        <v>131</v>
      </c>
      <c r="AD61" t="s">
        <v>131</v>
      </c>
      <c r="AE61" t="s">
        <v>131</v>
      </c>
      <c r="AF61" t="s">
        <v>131</v>
      </c>
      <c r="AG61" t="s">
        <v>131</v>
      </c>
      <c r="AH61" t="s">
        <v>131</v>
      </c>
      <c r="AI61" t="s">
        <v>133</v>
      </c>
      <c r="AJ61" t="s">
        <v>438</v>
      </c>
      <c r="AK61" t="s">
        <v>439</v>
      </c>
      <c r="AL61" t="s">
        <v>221</v>
      </c>
      <c r="AM61" t="s">
        <v>43</v>
      </c>
      <c r="AN61" t="s">
        <v>8</v>
      </c>
      <c r="AO61" t="s">
        <v>283</v>
      </c>
      <c r="AP61" t="s">
        <v>284</v>
      </c>
      <c r="AQ61" t="s">
        <v>20</v>
      </c>
      <c r="AR61" t="s">
        <v>30</v>
      </c>
      <c r="AS61" t="s">
        <v>38</v>
      </c>
      <c r="AT61">
        <v>0.2</v>
      </c>
      <c r="AU61" t="s">
        <v>129</v>
      </c>
      <c r="AV61" t="s">
        <v>165</v>
      </c>
    </row>
    <row r="62" spans="1:48" x14ac:dyDescent="0.3">
      <c r="A62" t="s">
        <v>440</v>
      </c>
      <c r="B62" s="12">
        <v>45486</v>
      </c>
      <c r="C62" s="12">
        <v>45492</v>
      </c>
      <c r="D62" t="s">
        <v>441</v>
      </c>
      <c r="E62" t="s">
        <v>162</v>
      </c>
      <c r="F62" t="s">
        <v>43</v>
      </c>
      <c r="G62" t="s">
        <v>8</v>
      </c>
      <c r="H62" t="s">
        <v>283</v>
      </c>
      <c r="I62" t="s">
        <v>284</v>
      </c>
      <c r="J62" t="s">
        <v>20</v>
      </c>
      <c r="K62" t="s">
        <v>30</v>
      </c>
      <c r="M62" t="s">
        <v>38</v>
      </c>
      <c r="N62">
        <v>3</v>
      </c>
      <c r="O62">
        <v>275.76</v>
      </c>
      <c r="P62">
        <v>0.2</v>
      </c>
      <c r="Q62">
        <v>0.2</v>
      </c>
      <c r="R62">
        <v>661.82</v>
      </c>
      <c r="S62">
        <v>481.47</v>
      </c>
      <c r="T62">
        <v>661.82399999999996</v>
      </c>
      <c r="U62">
        <v>180.35400000000001</v>
      </c>
      <c r="V62">
        <v>0.27251051639106499</v>
      </c>
      <c r="W62">
        <v>6</v>
      </c>
      <c r="X62" t="s">
        <v>128</v>
      </c>
      <c r="Y62">
        <v>2024</v>
      </c>
      <c r="Z62" t="s">
        <v>203</v>
      </c>
      <c r="AA62" t="s">
        <v>165</v>
      </c>
      <c r="AB62" t="s">
        <v>131</v>
      </c>
      <c r="AC62" t="s">
        <v>131</v>
      </c>
      <c r="AD62" t="s">
        <v>131</v>
      </c>
      <c r="AE62" t="s">
        <v>131</v>
      </c>
      <c r="AF62" t="s">
        <v>131</v>
      </c>
      <c r="AG62" t="s">
        <v>131</v>
      </c>
      <c r="AH62" t="s">
        <v>131</v>
      </c>
      <c r="AI62" t="s">
        <v>133</v>
      </c>
      <c r="AJ62" t="s">
        <v>442</v>
      </c>
      <c r="AK62" t="s">
        <v>443</v>
      </c>
      <c r="AL62" t="s">
        <v>162</v>
      </c>
      <c r="AM62" t="s">
        <v>43</v>
      </c>
      <c r="AN62" t="s">
        <v>8</v>
      </c>
      <c r="AO62" t="s">
        <v>283</v>
      </c>
      <c r="AP62" t="s">
        <v>284</v>
      </c>
      <c r="AQ62" t="s">
        <v>20</v>
      </c>
      <c r="AR62" t="s">
        <v>30</v>
      </c>
      <c r="AS62" t="s">
        <v>38</v>
      </c>
      <c r="AT62">
        <v>0.2</v>
      </c>
      <c r="AU62" t="s">
        <v>203</v>
      </c>
      <c r="AV62" t="s">
        <v>165</v>
      </c>
    </row>
    <row r="63" spans="1:48" x14ac:dyDescent="0.3">
      <c r="A63" t="s">
        <v>444</v>
      </c>
      <c r="B63" s="12">
        <v>45398</v>
      </c>
      <c r="C63" s="12">
        <v>45398</v>
      </c>
      <c r="D63" t="s">
        <v>445</v>
      </c>
      <c r="E63" t="s">
        <v>170</v>
      </c>
      <c r="F63" t="s">
        <v>41</v>
      </c>
      <c r="G63" t="s">
        <v>8</v>
      </c>
      <c r="H63" t="s">
        <v>259</v>
      </c>
      <c r="I63" t="s">
        <v>260</v>
      </c>
      <c r="J63" t="s">
        <v>18</v>
      </c>
      <c r="K63" t="s">
        <v>26</v>
      </c>
      <c r="M63" t="s">
        <v>35</v>
      </c>
      <c r="N63">
        <v>1</v>
      </c>
      <c r="O63">
        <v>949.59</v>
      </c>
      <c r="P63">
        <v>0</v>
      </c>
      <c r="Q63">
        <v>0</v>
      </c>
      <c r="R63">
        <v>949.59</v>
      </c>
      <c r="S63">
        <v>751.25</v>
      </c>
      <c r="T63">
        <v>949.59</v>
      </c>
      <c r="U63">
        <v>198.34</v>
      </c>
      <c r="V63">
        <v>0.208869090870797</v>
      </c>
      <c r="W63">
        <v>0</v>
      </c>
      <c r="X63" t="s">
        <v>179</v>
      </c>
      <c r="Y63">
        <v>2024</v>
      </c>
      <c r="Z63" t="s">
        <v>129</v>
      </c>
      <c r="AA63" t="s">
        <v>130</v>
      </c>
      <c r="AB63" t="s">
        <v>131</v>
      </c>
      <c r="AC63" t="s">
        <v>131</v>
      </c>
      <c r="AD63" t="s">
        <v>131</v>
      </c>
      <c r="AE63" t="s">
        <v>131</v>
      </c>
      <c r="AF63" t="s">
        <v>131</v>
      </c>
      <c r="AG63" t="s">
        <v>131</v>
      </c>
      <c r="AH63" t="s">
        <v>132</v>
      </c>
      <c r="AI63" t="s">
        <v>133</v>
      </c>
      <c r="AJ63" t="s">
        <v>446</v>
      </c>
      <c r="AK63" t="s">
        <v>447</v>
      </c>
      <c r="AL63" t="s">
        <v>170</v>
      </c>
      <c r="AM63" t="s">
        <v>41</v>
      </c>
      <c r="AN63" t="s">
        <v>8</v>
      </c>
      <c r="AO63" t="s">
        <v>259</v>
      </c>
      <c r="AP63" t="s">
        <v>260</v>
      </c>
      <c r="AQ63" t="s">
        <v>18</v>
      </c>
      <c r="AR63" t="s">
        <v>26</v>
      </c>
      <c r="AS63" t="s">
        <v>35</v>
      </c>
      <c r="AT63">
        <v>0</v>
      </c>
      <c r="AU63" t="s">
        <v>129</v>
      </c>
      <c r="AV63" t="s">
        <v>130</v>
      </c>
    </row>
    <row r="64" spans="1:48" x14ac:dyDescent="0.3">
      <c r="A64" t="s">
        <v>448</v>
      </c>
      <c r="B64" s="12">
        <v>45595</v>
      </c>
      <c r="C64" s="12">
        <v>45598</v>
      </c>
      <c r="D64" t="s">
        <v>449</v>
      </c>
      <c r="E64" t="s">
        <v>243</v>
      </c>
      <c r="F64" t="s">
        <v>41</v>
      </c>
      <c r="G64" t="s">
        <v>9</v>
      </c>
      <c r="H64" t="s">
        <v>126</v>
      </c>
      <c r="I64" t="s">
        <v>127</v>
      </c>
      <c r="J64" t="s">
        <v>15</v>
      </c>
      <c r="K64" t="s">
        <v>17</v>
      </c>
      <c r="M64" t="s">
        <v>35</v>
      </c>
      <c r="N64">
        <v>9</v>
      </c>
      <c r="O64">
        <v>3042.29</v>
      </c>
      <c r="P64">
        <v>0.2</v>
      </c>
      <c r="Q64">
        <v>0.2</v>
      </c>
      <c r="R64">
        <v>21904.49</v>
      </c>
      <c r="S64">
        <v>13570.55</v>
      </c>
      <c r="T64">
        <v>21904.488000000001</v>
      </c>
      <c r="U64">
        <v>8333.9380000000001</v>
      </c>
      <c r="V64">
        <v>0.38046714445003199</v>
      </c>
      <c r="W64">
        <v>3</v>
      </c>
      <c r="X64" t="s">
        <v>222</v>
      </c>
      <c r="Y64">
        <v>2024</v>
      </c>
      <c r="Z64" t="s">
        <v>129</v>
      </c>
      <c r="AA64" t="s">
        <v>130</v>
      </c>
      <c r="AB64" t="s">
        <v>131</v>
      </c>
      <c r="AC64" t="s">
        <v>131</v>
      </c>
      <c r="AD64" t="s">
        <v>131</v>
      </c>
      <c r="AE64" t="s">
        <v>131</v>
      </c>
      <c r="AF64" t="s">
        <v>131</v>
      </c>
      <c r="AG64" t="s">
        <v>131</v>
      </c>
      <c r="AH64" t="s">
        <v>132</v>
      </c>
      <c r="AI64" t="s">
        <v>133</v>
      </c>
      <c r="AJ64" t="s">
        <v>450</v>
      </c>
      <c r="AK64" t="s">
        <v>451</v>
      </c>
      <c r="AL64" t="s">
        <v>243</v>
      </c>
      <c r="AM64" t="s">
        <v>41</v>
      </c>
      <c r="AN64" t="s">
        <v>9</v>
      </c>
      <c r="AO64" t="s">
        <v>126</v>
      </c>
      <c r="AP64" t="s">
        <v>127</v>
      </c>
      <c r="AQ64" t="s">
        <v>15</v>
      </c>
      <c r="AR64" t="s">
        <v>17</v>
      </c>
      <c r="AS64" t="s">
        <v>35</v>
      </c>
      <c r="AT64">
        <v>0.2</v>
      </c>
      <c r="AU64" t="s">
        <v>129</v>
      </c>
      <c r="AV64" t="s">
        <v>130</v>
      </c>
    </row>
    <row r="65" spans="1:48" x14ac:dyDescent="0.3">
      <c r="A65" t="s">
        <v>452</v>
      </c>
      <c r="B65" s="12">
        <v>45316</v>
      </c>
      <c r="C65" s="12">
        <v>45323</v>
      </c>
      <c r="D65" t="s">
        <v>453</v>
      </c>
      <c r="E65" t="s">
        <v>243</v>
      </c>
      <c r="F65" t="s">
        <v>41</v>
      </c>
      <c r="G65" t="s">
        <v>9</v>
      </c>
      <c r="H65" t="s">
        <v>372</v>
      </c>
      <c r="I65" t="s">
        <v>373</v>
      </c>
      <c r="J65" t="s">
        <v>20</v>
      </c>
      <c r="K65" t="s">
        <v>28</v>
      </c>
      <c r="M65" t="s">
        <v>38</v>
      </c>
      <c r="N65">
        <v>2</v>
      </c>
      <c r="O65">
        <v>2832.77</v>
      </c>
      <c r="P65">
        <v>0.15</v>
      </c>
      <c r="Q65">
        <v>0.15</v>
      </c>
      <c r="R65">
        <v>4815.71</v>
      </c>
      <c r="S65">
        <v>3027.75</v>
      </c>
      <c r="T65">
        <v>4815.7089999999998</v>
      </c>
      <c r="U65">
        <v>1787.9590000000001</v>
      </c>
      <c r="V65">
        <v>0.37127637903369998</v>
      </c>
      <c r="W65">
        <v>7</v>
      </c>
      <c r="X65" t="s">
        <v>244</v>
      </c>
      <c r="Y65">
        <v>2024</v>
      </c>
      <c r="Z65" t="s">
        <v>129</v>
      </c>
      <c r="AA65" t="s">
        <v>130</v>
      </c>
      <c r="AB65" t="s">
        <v>131</v>
      </c>
      <c r="AC65" t="s">
        <v>131</v>
      </c>
      <c r="AD65" t="s">
        <v>131</v>
      </c>
      <c r="AE65" t="s">
        <v>131</v>
      </c>
      <c r="AF65" t="s">
        <v>131</v>
      </c>
      <c r="AG65" t="s">
        <v>131</v>
      </c>
      <c r="AH65" t="s">
        <v>132</v>
      </c>
      <c r="AI65" t="s">
        <v>133</v>
      </c>
      <c r="AJ65" t="s">
        <v>454</v>
      </c>
      <c r="AK65" t="s">
        <v>455</v>
      </c>
      <c r="AL65" t="s">
        <v>243</v>
      </c>
      <c r="AM65" t="s">
        <v>41</v>
      </c>
      <c r="AN65" t="s">
        <v>9</v>
      </c>
      <c r="AO65" t="s">
        <v>372</v>
      </c>
      <c r="AP65" t="s">
        <v>373</v>
      </c>
      <c r="AQ65" t="s">
        <v>20</v>
      </c>
      <c r="AR65" t="s">
        <v>28</v>
      </c>
      <c r="AS65" t="s">
        <v>38</v>
      </c>
      <c r="AT65">
        <v>0.15</v>
      </c>
      <c r="AU65" t="s">
        <v>291</v>
      </c>
      <c r="AV65" t="s">
        <v>130</v>
      </c>
    </row>
    <row r="66" spans="1:48" x14ac:dyDescent="0.3">
      <c r="A66" t="s">
        <v>456</v>
      </c>
      <c r="B66" s="12">
        <v>45649</v>
      </c>
      <c r="C66" s="12">
        <v>45655</v>
      </c>
      <c r="D66" t="s">
        <v>457</v>
      </c>
      <c r="E66" t="s">
        <v>238</v>
      </c>
      <c r="F66" t="s">
        <v>43</v>
      </c>
      <c r="G66" t="s">
        <v>8</v>
      </c>
      <c r="H66" t="s">
        <v>362</v>
      </c>
      <c r="I66" t="s">
        <v>363</v>
      </c>
      <c r="J66" t="s">
        <v>20</v>
      </c>
      <c r="K66" t="s">
        <v>24</v>
      </c>
      <c r="M66" t="s">
        <v>36</v>
      </c>
      <c r="N66">
        <v>7</v>
      </c>
      <c r="O66">
        <v>447.84</v>
      </c>
      <c r="P66">
        <v>0</v>
      </c>
      <c r="Q66">
        <v>0</v>
      </c>
      <c r="R66">
        <v>3134.88</v>
      </c>
      <c r="S66">
        <v>2367.63</v>
      </c>
      <c r="T66">
        <v>3134.88</v>
      </c>
      <c r="U66">
        <v>767.25</v>
      </c>
      <c r="V66">
        <v>0.24474621038125899</v>
      </c>
      <c r="W66">
        <v>6</v>
      </c>
      <c r="X66" t="s">
        <v>214</v>
      </c>
      <c r="Y66">
        <v>2024</v>
      </c>
      <c r="Z66" t="s">
        <v>203</v>
      </c>
      <c r="AA66" t="s">
        <v>204</v>
      </c>
      <c r="AB66" t="s">
        <v>131</v>
      </c>
      <c r="AC66" t="s">
        <v>131</v>
      </c>
      <c r="AD66" t="s">
        <v>131</v>
      </c>
      <c r="AE66" t="s">
        <v>131</v>
      </c>
      <c r="AF66" t="s">
        <v>131</v>
      </c>
      <c r="AG66" t="s">
        <v>131</v>
      </c>
      <c r="AH66" t="s">
        <v>131</v>
      </c>
      <c r="AI66" t="s">
        <v>133</v>
      </c>
      <c r="AJ66" t="s">
        <v>458</v>
      </c>
      <c r="AK66" t="s">
        <v>459</v>
      </c>
      <c r="AL66" t="s">
        <v>238</v>
      </c>
      <c r="AM66" t="s">
        <v>43</v>
      </c>
      <c r="AN66" t="s">
        <v>8</v>
      </c>
      <c r="AO66" t="s">
        <v>362</v>
      </c>
      <c r="AP66" t="s">
        <v>363</v>
      </c>
      <c r="AQ66" t="s">
        <v>20</v>
      </c>
      <c r="AR66" t="s">
        <v>24</v>
      </c>
      <c r="AS66" t="s">
        <v>36</v>
      </c>
      <c r="AT66">
        <v>0</v>
      </c>
      <c r="AU66" t="s">
        <v>203</v>
      </c>
      <c r="AV66" t="s">
        <v>204</v>
      </c>
    </row>
    <row r="67" spans="1:48" x14ac:dyDescent="0.3">
      <c r="A67" t="s">
        <v>460</v>
      </c>
      <c r="B67" s="12">
        <v>45404</v>
      </c>
      <c r="C67" s="12">
        <v>45409</v>
      </c>
      <c r="D67" t="s">
        <v>461</v>
      </c>
      <c r="E67" t="s">
        <v>139</v>
      </c>
      <c r="F67" t="s">
        <v>41</v>
      </c>
      <c r="G67" t="s">
        <v>7</v>
      </c>
      <c r="H67" t="s">
        <v>163</v>
      </c>
      <c r="I67" t="s">
        <v>164</v>
      </c>
      <c r="J67" t="s">
        <v>20</v>
      </c>
      <c r="K67" t="s">
        <v>24</v>
      </c>
      <c r="M67" t="s">
        <v>37</v>
      </c>
      <c r="N67">
        <v>1</v>
      </c>
      <c r="O67">
        <v>4280.1899999999996</v>
      </c>
      <c r="P67">
        <v>0.05</v>
      </c>
      <c r="Q67">
        <v>0.05</v>
      </c>
      <c r="R67">
        <v>4066.18</v>
      </c>
      <c r="S67">
        <v>2628.92</v>
      </c>
      <c r="T67">
        <v>4066.1804999999999</v>
      </c>
      <c r="U67">
        <v>1437.2605000000001</v>
      </c>
      <c r="V67">
        <v>0.35346696980126702</v>
      </c>
      <c r="W67">
        <v>5</v>
      </c>
      <c r="X67" t="s">
        <v>179</v>
      </c>
      <c r="Y67">
        <v>2024</v>
      </c>
      <c r="Z67" t="s">
        <v>129</v>
      </c>
      <c r="AA67" t="s">
        <v>130</v>
      </c>
      <c r="AB67" t="s">
        <v>131</v>
      </c>
      <c r="AC67" t="s">
        <v>131</v>
      </c>
      <c r="AD67" t="s">
        <v>131</v>
      </c>
      <c r="AE67" t="s">
        <v>131</v>
      </c>
      <c r="AF67" t="s">
        <v>131</v>
      </c>
      <c r="AG67" t="s">
        <v>131</v>
      </c>
      <c r="AH67" t="s">
        <v>132</v>
      </c>
      <c r="AI67" t="s">
        <v>133</v>
      </c>
      <c r="AJ67" t="s">
        <v>462</v>
      </c>
      <c r="AK67" t="s">
        <v>463</v>
      </c>
      <c r="AL67" t="s">
        <v>139</v>
      </c>
      <c r="AM67" t="s">
        <v>41</v>
      </c>
      <c r="AN67" t="s">
        <v>7</v>
      </c>
      <c r="AO67" t="s">
        <v>163</v>
      </c>
      <c r="AP67" t="s">
        <v>164</v>
      </c>
      <c r="AQ67" t="s">
        <v>20</v>
      </c>
      <c r="AR67" t="s">
        <v>24</v>
      </c>
      <c r="AS67" t="s">
        <v>37</v>
      </c>
      <c r="AT67">
        <v>0.05</v>
      </c>
      <c r="AU67" t="s">
        <v>129</v>
      </c>
      <c r="AV67" t="s">
        <v>130</v>
      </c>
    </row>
    <row r="68" spans="1:48" x14ac:dyDescent="0.3">
      <c r="A68" t="s">
        <v>464</v>
      </c>
      <c r="B68" s="12">
        <v>45897</v>
      </c>
      <c r="C68" s="12">
        <v>45901</v>
      </c>
      <c r="D68" t="s">
        <v>465</v>
      </c>
      <c r="E68" t="s">
        <v>125</v>
      </c>
      <c r="F68" t="s">
        <v>44</v>
      </c>
      <c r="G68" t="s">
        <v>6</v>
      </c>
      <c r="H68" t="s">
        <v>385</v>
      </c>
      <c r="I68" t="s">
        <v>386</v>
      </c>
      <c r="J68" t="s">
        <v>15</v>
      </c>
      <c r="K68" t="s">
        <v>22</v>
      </c>
      <c r="M68" t="s">
        <v>38</v>
      </c>
      <c r="N68">
        <v>7</v>
      </c>
      <c r="O68">
        <v>1057.46</v>
      </c>
      <c r="P68">
        <v>0.05</v>
      </c>
      <c r="Q68">
        <v>0.05</v>
      </c>
      <c r="R68">
        <v>7032.11</v>
      </c>
      <c r="S68">
        <v>4610.34</v>
      </c>
      <c r="T68">
        <v>7032.1090000000004</v>
      </c>
      <c r="U68">
        <v>2421.7689999999998</v>
      </c>
      <c r="V68">
        <v>0.344387295475653</v>
      </c>
      <c r="W68">
        <v>4</v>
      </c>
      <c r="X68" t="s">
        <v>142</v>
      </c>
      <c r="Y68">
        <v>2025</v>
      </c>
      <c r="Z68" t="s">
        <v>129</v>
      </c>
      <c r="AA68" t="s">
        <v>130</v>
      </c>
      <c r="AB68" t="s">
        <v>131</v>
      </c>
      <c r="AC68" t="s">
        <v>131</v>
      </c>
      <c r="AD68" t="s">
        <v>131</v>
      </c>
      <c r="AE68" t="s">
        <v>131</v>
      </c>
      <c r="AF68" t="s">
        <v>131</v>
      </c>
      <c r="AG68" t="s">
        <v>131</v>
      </c>
      <c r="AH68" t="s">
        <v>132</v>
      </c>
      <c r="AI68" t="s">
        <v>133</v>
      </c>
      <c r="AJ68" t="s">
        <v>466</v>
      </c>
      <c r="AK68" t="s">
        <v>467</v>
      </c>
      <c r="AL68" t="s">
        <v>125</v>
      </c>
      <c r="AM68" t="s">
        <v>44</v>
      </c>
      <c r="AN68" t="s">
        <v>6</v>
      </c>
      <c r="AO68" t="s">
        <v>385</v>
      </c>
      <c r="AP68" t="s">
        <v>386</v>
      </c>
      <c r="AQ68" t="s">
        <v>15</v>
      </c>
      <c r="AR68" t="s">
        <v>22</v>
      </c>
      <c r="AS68" t="s">
        <v>38</v>
      </c>
      <c r="AT68">
        <v>0.05</v>
      </c>
      <c r="AU68" t="s">
        <v>129</v>
      </c>
      <c r="AV68" t="s">
        <v>130</v>
      </c>
    </row>
    <row r="69" spans="1:48" x14ac:dyDescent="0.3">
      <c r="A69" t="s">
        <v>468</v>
      </c>
      <c r="B69" s="12">
        <v>45691</v>
      </c>
      <c r="C69" s="12">
        <v>45695</v>
      </c>
      <c r="D69" t="s">
        <v>469</v>
      </c>
      <c r="E69" t="s">
        <v>409</v>
      </c>
      <c r="F69" t="s">
        <v>42</v>
      </c>
      <c r="G69" t="s">
        <v>9</v>
      </c>
      <c r="H69" t="s">
        <v>372</v>
      </c>
      <c r="I69" t="s">
        <v>373</v>
      </c>
      <c r="J69" t="s">
        <v>20</v>
      </c>
      <c r="K69" t="s">
        <v>24</v>
      </c>
      <c r="M69" t="s">
        <v>36</v>
      </c>
      <c r="N69">
        <v>7</v>
      </c>
      <c r="O69">
        <v>3609.34</v>
      </c>
      <c r="P69">
        <v>0.05</v>
      </c>
      <c r="Q69">
        <v>0.05</v>
      </c>
      <c r="R69">
        <v>24002.11</v>
      </c>
      <c r="S69">
        <v>18707.57</v>
      </c>
      <c r="T69">
        <v>24002.111000000001</v>
      </c>
      <c r="U69">
        <v>5294.5410000000002</v>
      </c>
      <c r="V69">
        <v>0.22058647258151601</v>
      </c>
      <c r="W69">
        <v>4</v>
      </c>
      <c r="X69" t="s">
        <v>186</v>
      </c>
      <c r="Y69">
        <v>2025</v>
      </c>
      <c r="Z69" t="s">
        <v>129</v>
      </c>
      <c r="AA69" t="s">
        <v>130</v>
      </c>
      <c r="AB69" t="s">
        <v>131</v>
      </c>
      <c r="AC69" t="s">
        <v>131</v>
      </c>
      <c r="AD69" t="s">
        <v>131</v>
      </c>
      <c r="AE69" t="s">
        <v>131</v>
      </c>
      <c r="AF69" t="s">
        <v>131</v>
      </c>
      <c r="AG69" t="s">
        <v>131</v>
      </c>
      <c r="AH69" t="s">
        <v>132</v>
      </c>
      <c r="AI69" t="s">
        <v>133</v>
      </c>
      <c r="AJ69" t="s">
        <v>470</v>
      </c>
      <c r="AK69" t="s">
        <v>471</v>
      </c>
      <c r="AL69" t="s">
        <v>409</v>
      </c>
      <c r="AM69" t="s">
        <v>42</v>
      </c>
      <c r="AN69" t="s">
        <v>9</v>
      </c>
      <c r="AO69" t="s">
        <v>372</v>
      </c>
      <c r="AP69" t="s">
        <v>373</v>
      </c>
      <c r="AQ69" t="s">
        <v>20</v>
      </c>
      <c r="AR69" t="s">
        <v>24</v>
      </c>
      <c r="AS69" t="s">
        <v>36</v>
      </c>
      <c r="AT69">
        <v>0.05</v>
      </c>
      <c r="AU69" t="s">
        <v>129</v>
      </c>
      <c r="AV69" t="s">
        <v>130</v>
      </c>
    </row>
    <row r="70" spans="1:48" x14ac:dyDescent="0.3">
      <c r="A70" t="s">
        <v>472</v>
      </c>
      <c r="B70" s="12">
        <v>45606</v>
      </c>
      <c r="C70" s="12">
        <v>45609</v>
      </c>
      <c r="D70" t="s">
        <v>473</v>
      </c>
      <c r="E70" t="s">
        <v>147</v>
      </c>
      <c r="F70" t="s">
        <v>43</v>
      </c>
      <c r="G70" t="s">
        <v>8</v>
      </c>
      <c r="H70" t="s">
        <v>362</v>
      </c>
      <c r="I70" t="s">
        <v>363</v>
      </c>
      <c r="J70" t="s">
        <v>20</v>
      </c>
      <c r="K70" t="s">
        <v>21</v>
      </c>
      <c r="M70" t="s">
        <v>37</v>
      </c>
      <c r="N70">
        <v>9</v>
      </c>
      <c r="O70">
        <v>2211.12</v>
      </c>
      <c r="P70">
        <v>0</v>
      </c>
      <c r="Q70">
        <v>0</v>
      </c>
      <c r="R70">
        <v>19900.080000000002</v>
      </c>
      <c r="S70">
        <v>10962.66</v>
      </c>
      <c r="T70">
        <v>19900.080000000002</v>
      </c>
      <c r="U70">
        <v>8937.42</v>
      </c>
      <c r="V70">
        <v>0.44911477742803002</v>
      </c>
      <c r="W70">
        <v>3</v>
      </c>
      <c r="X70" t="s">
        <v>157</v>
      </c>
      <c r="Y70">
        <v>2024</v>
      </c>
      <c r="Z70" t="s">
        <v>269</v>
      </c>
      <c r="AA70" t="s">
        <v>204</v>
      </c>
      <c r="AB70" t="s">
        <v>131</v>
      </c>
      <c r="AC70" t="s">
        <v>131</v>
      </c>
      <c r="AD70" t="s">
        <v>131</v>
      </c>
      <c r="AE70" t="s">
        <v>131</v>
      </c>
      <c r="AF70" t="s">
        <v>131</v>
      </c>
      <c r="AG70" t="s">
        <v>131</v>
      </c>
      <c r="AH70" t="s">
        <v>131</v>
      </c>
      <c r="AI70" t="s">
        <v>133</v>
      </c>
      <c r="AJ70" t="s">
        <v>193</v>
      </c>
      <c r="AK70" t="s">
        <v>474</v>
      </c>
      <c r="AL70" t="s">
        <v>147</v>
      </c>
      <c r="AM70" t="s">
        <v>43</v>
      </c>
      <c r="AN70" t="s">
        <v>8</v>
      </c>
      <c r="AO70" t="s">
        <v>362</v>
      </c>
      <c r="AP70" t="s">
        <v>363</v>
      </c>
      <c r="AQ70" t="s">
        <v>20</v>
      </c>
      <c r="AR70" t="s">
        <v>21</v>
      </c>
      <c r="AS70" t="s">
        <v>37</v>
      </c>
      <c r="AT70">
        <v>0</v>
      </c>
      <c r="AU70" t="s">
        <v>269</v>
      </c>
      <c r="AV70" t="s">
        <v>204</v>
      </c>
    </row>
    <row r="71" spans="1:48" x14ac:dyDescent="0.3">
      <c r="A71" t="s">
        <v>475</v>
      </c>
      <c r="B71" s="12">
        <v>45391</v>
      </c>
      <c r="C71" s="12">
        <v>45396</v>
      </c>
      <c r="D71" t="s">
        <v>476</v>
      </c>
      <c r="E71" t="s">
        <v>178</v>
      </c>
      <c r="F71" t="s">
        <v>44</v>
      </c>
      <c r="G71" t="s">
        <v>7</v>
      </c>
      <c r="H71" t="s">
        <v>300</v>
      </c>
      <c r="I71" t="s">
        <v>301</v>
      </c>
      <c r="J71" t="s">
        <v>15</v>
      </c>
      <c r="K71" t="s">
        <v>25</v>
      </c>
      <c r="M71" t="s">
        <v>38</v>
      </c>
      <c r="N71">
        <v>7</v>
      </c>
      <c r="O71">
        <v>3417.09</v>
      </c>
      <c r="P71">
        <v>0.1</v>
      </c>
      <c r="Q71">
        <v>0.1</v>
      </c>
      <c r="R71">
        <v>21527.67</v>
      </c>
      <c r="S71">
        <v>18287.580000000002</v>
      </c>
      <c r="T71">
        <v>21527.667000000001</v>
      </c>
      <c r="U71">
        <v>3240.087</v>
      </c>
      <c r="V71">
        <v>0.15050804158202599</v>
      </c>
      <c r="W71">
        <v>5</v>
      </c>
      <c r="X71" t="s">
        <v>179</v>
      </c>
      <c r="Y71">
        <v>2024</v>
      </c>
      <c r="Z71" t="s">
        <v>203</v>
      </c>
      <c r="AA71" t="s">
        <v>204</v>
      </c>
      <c r="AB71" t="s">
        <v>131</v>
      </c>
      <c r="AC71" t="s">
        <v>131</v>
      </c>
      <c r="AD71" t="s">
        <v>131</v>
      </c>
      <c r="AE71" t="s">
        <v>131</v>
      </c>
      <c r="AF71" t="s">
        <v>131</v>
      </c>
      <c r="AG71" t="s">
        <v>131</v>
      </c>
      <c r="AH71" t="s">
        <v>131</v>
      </c>
      <c r="AI71" t="s">
        <v>133</v>
      </c>
      <c r="AJ71" t="s">
        <v>477</v>
      </c>
      <c r="AK71" t="s">
        <v>478</v>
      </c>
      <c r="AL71" t="s">
        <v>178</v>
      </c>
      <c r="AM71" t="s">
        <v>44</v>
      </c>
      <c r="AN71" t="s">
        <v>7</v>
      </c>
      <c r="AO71" t="s">
        <v>300</v>
      </c>
      <c r="AP71" t="s">
        <v>301</v>
      </c>
      <c r="AQ71" t="s">
        <v>15</v>
      </c>
      <c r="AR71" t="s">
        <v>25</v>
      </c>
      <c r="AS71" t="s">
        <v>38</v>
      </c>
      <c r="AT71">
        <v>0.1</v>
      </c>
      <c r="AU71" t="s">
        <v>203</v>
      </c>
      <c r="AV71" t="s">
        <v>204</v>
      </c>
    </row>
    <row r="72" spans="1:48" x14ac:dyDescent="0.3">
      <c r="A72" t="s">
        <v>479</v>
      </c>
      <c r="B72" s="12">
        <v>45891</v>
      </c>
      <c r="C72" s="12">
        <v>45896</v>
      </c>
      <c r="D72" t="s">
        <v>480</v>
      </c>
      <c r="E72" t="s">
        <v>125</v>
      </c>
      <c r="F72" t="s">
        <v>43</v>
      </c>
      <c r="G72" t="s">
        <v>6</v>
      </c>
      <c r="H72" t="s">
        <v>184</v>
      </c>
      <c r="I72" t="s">
        <v>185</v>
      </c>
      <c r="J72" t="s">
        <v>15</v>
      </c>
      <c r="K72" t="s">
        <v>17</v>
      </c>
      <c r="M72" t="s">
        <v>36</v>
      </c>
      <c r="N72">
        <v>2</v>
      </c>
      <c r="O72">
        <v>905.87</v>
      </c>
      <c r="P72">
        <v>0.15</v>
      </c>
      <c r="Q72">
        <v>0.15</v>
      </c>
      <c r="R72">
        <v>1539.98</v>
      </c>
      <c r="S72">
        <v>1070.2</v>
      </c>
      <c r="T72">
        <v>1539.979</v>
      </c>
      <c r="U72">
        <v>469.779</v>
      </c>
      <c r="V72">
        <v>0.305055458548461</v>
      </c>
      <c r="W72">
        <v>5</v>
      </c>
      <c r="X72" t="s">
        <v>142</v>
      </c>
      <c r="Y72">
        <v>2025</v>
      </c>
      <c r="Z72" t="s">
        <v>129</v>
      </c>
      <c r="AA72" t="s">
        <v>130</v>
      </c>
      <c r="AB72" t="s">
        <v>131</v>
      </c>
      <c r="AC72" t="s">
        <v>131</v>
      </c>
      <c r="AD72" t="s">
        <v>131</v>
      </c>
      <c r="AE72" t="s">
        <v>131</v>
      </c>
      <c r="AF72" t="s">
        <v>131</v>
      </c>
      <c r="AG72" t="s">
        <v>131</v>
      </c>
      <c r="AH72" t="s">
        <v>132</v>
      </c>
      <c r="AI72" t="s">
        <v>133</v>
      </c>
      <c r="AJ72" t="s">
        <v>481</v>
      </c>
      <c r="AK72" t="s">
        <v>482</v>
      </c>
      <c r="AL72" t="s">
        <v>125</v>
      </c>
      <c r="AM72" t="s">
        <v>43</v>
      </c>
      <c r="AN72" t="s">
        <v>6</v>
      </c>
      <c r="AO72" t="s">
        <v>184</v>
      </c>
      <c r="AP72" t="s">
        <v>185</v>
      </c>
      <c r="AQ72" t="s">
        <v>15</v>
      </c>
      <c r="AR72" t="s">
        <v>17</v>
      </c>
      <c r="AS72" t="s">
        <v>36</v>
      </c>
      <c r="AT72">
        <v>0.15</v>
      </c>
      <c r="AU72" t="s">
        <v>129</v>
      </c>
      <c r="AV72" t="s">
        <v>130</v>
      </c>
    </row>
    <row r="73" spans="1:48" x14ac:dyDescent="0.3">
      <c r="A73" t="s">
        <v>483</v>
      </c>
      <c r="B73" s="12">
        <v>45763</v>
      </c>
      <c r="C73" s="12">
        <v>45770</v>
      </c>
      <c r="D73" t="s">
        <v>484</v>
      </c>
      <c r="E73" t="s">
        <v>139</v>
      </c>
      <c r="F73" t="s">
        <v>44</v>
      </c>
      <c r="G73" t="s">
        <v>7</v>
      </c>
      <c r="H73" t="s">
        <v>311</v>
      </c>
      <c r="I73" t="s">
        <v>312</v>
      </c>
      <c r="J73" t="s">
        <v>15</v>
      </c>
      <c r="K73" t="s">
        <v>25</v>
      </c>
      <c r="M73" t="s">
        <v>35</v>
      </c>
      <c r="N73">
        <v>6</v>
      </c>
      <c r="O73">
        <v>2027.32</v>
      </c>
      <c r="P73">
        <v>0.1</v>
      </c>
      <c r="Q73">
        <v>0.1</v>
      </c>
      <c r="R73">
        <v>10947.53</v>
      </c>
      <c r="S73">
        <v>6447.36</v>
      </c>
      <c r="T73">
        <v>10947.528</v>
      </c>
      <c r="U73">
        <v>4500.1679999999997</v>
      </c>
      <c r="V73">
        <v>0.41106704636882402</v>
      </c>
      <c r="W73">
        <v>7</v>
      </c>
      <c r="X73" t="s">
        <v>179</v>
      </c>
      <c r="Y73">
        <v>2025</v>
      </c>
      <c r="Z73" t="s">
        <v>129</v>
      </c>
      <c r="AA73" t="s">
        <v>130</v>
      </c>
      <c r="AB73" t="s">
        <v>131</v>
      </c>
      <c r="AC73" t="s">
        <v>131</v>
      </c>
      <c r="AD73" t="s">
        <v>131</v>
      </c>
      <c r="AE73" t="s">
        <v>131</v>
      </c>
      <c r="AF73" t="s">
        <v>131</v>
      </c>
      <c r="AG73" t="s">
        <v>131</v>
      </c>
      <c r="AH73" t="s">
        <v>132</v>
      </c>
      <c r="AI73" t="s">
        <v>133</v>
      </c>
      <c r="AJ73" t="s">
        <v>181</v>
      </c>
      <c r="AK73" t="s">
        <v>485</v>
      </c>
      <c r="AL73" t="s">
        <v>139</v>
      </c>
      <c r="AM73" t="s">
        <v>486</v>
      </c>
      <c r="AN73" t="s">
        <v>7</v>
      </c>
      <c r="AO73" t="s">
        <v>311</v>
      </c>
      <c r="AP73" t="s">
        <v>312</v>
      </c>
      <c r="AQ73" t="s">
        <v>15</v>
      </c>
      <c r="AR73" t="s">
        <v>25</v>
      </c>
      <c r="AS73" t="s">
        <v>35</v>
      </c>
      <c r="AT73">
        <v>0.1</v>
      </c>
      <c r="AU73" t="s">
        <v>129</v>
      </c>
      <c r="AV73" t="s">
        <v>130</v>
      </c>
    </row>
    <row r="74" spans="1:48" x14ac:dyDescent="0.3">
      <c r="A74" t="s">
        <v>487</v>
      </c>
      <c r="B74" s="12">
        <v>45333</v>
      </c>
      <c r="C74" s="12">
        <v>45329</v>
      </c>
      <c r="D74" t="s">
        <v>488</v>
      </c>
      <c r="E74" t="s">
        <v>125</v>
      </c>
      <c r="F74" t="s">
        <v>41</v>
      </c>
      <c r="G74" t="s">
        <v>6</v>
      </c>
      <c r="H74" t="s">
        <v>385</v>
      </c>
      <c r="I74" t="s">
        <v>386</v>
      </c>
      <c r="J74" t="s">
        <v>18</v>
      </c>
      <c r="K74" t="s">
        <v>27</v>
      </c>
      <c r="M74" t="s">
        <v>36</v>
      </c>
      <c r="N74">
        <v>7</v>
      </c>
      <c r="O74">
        <v>2287.4699999999998</v>
      </c>
      <c r="P74">
        <v>0.15</v>
      </c>
      <c r="Q74">
        <v>0.15</v>
      </c>
      <c r="R74">
        <v>13610.45</v>
      </c>
      <c r="S74">
        <v>10039.049999999999</v>
      </c>
      <c r="T74">
        <v>13610.4465</v>
      </c>
      <c r="U74">
        <v>3571.3964999999998</v>
      </c>
      <c r="V74">
        <v>0.26240112695788498</v>
      </c>
      <c r="W74">
        <v>-4</v>
      </c>
      <c r="X74" t="s">
        <v>186</v>
      </c>
      <c r="Y74">
        <v>2024</v>
      </c>
      <c r="Z74" t="s">
        <v>129</v>
      </c>
      <c r="AA74" t="s">
        <v>130</v>
      </c>
      <c r="AB74" t="s">
        <v>131</v>
      </c>
      <c r="AC74" t="s">
        <v>131</v>
      </c>
      <c r="AD74" t="s">
        <v>131</v>
      </c>
      <c r="AE74" t="s">
        <v>132</v>
      </c>
      <c r="AF74" t="s">
        <v>131</v>
      </c>
      <c r="AG74" t="s">
        <v>131</v>
      </c>
      <c r="AH74" t="s">
        <v>132</v>
      </c>
      <c r="AI74" t="s">
        <v>149</v>
      </c>
      <c r="AJ74" t="s">
        <v>489</v>
      </c>
      <c r="AK74" t="s">
        <v>490</v>
      </c>
      <c r="AL74" t="s">
        <v>125</v>
      </c>
      <c r="AM74" t="s">
        <v>41</v>
      </c>
      <c r="AN74" t="s">
        <v>6</v>
      </c>
      <c r="AO74" t="s">
        <v>385</v>
      </c>
      <c r="AP74" t="s">
        <v>386</v>
      </c>
      <c r="AQ74" t="s">
        <v>18</v>
      </c>
      <c r="AR74" t="s">
        <v>27</v>
      </c>
      <c r="AS74" t="s">
        <v>36</v>
      </c>
      <c r="AT74">
        <v>0.15</v>
      </c>
      <c r="AU74" t="s">
        <v>129</v>
      </c>
      <c r="AV74" t="s">
        <v>130</v>
      </c>
    </row>
    <row r="75" spans="1:48" x14ac:dyDescent="0.3">
      <c r="A75" t="s">
        <v>491</v>
      </c>
      <c r="B75" s="12">
        <v>45745</v>
      </c>
      <c r="C75" s="12">
        <v>45750</v>
      </c>
      <c r="D75" t="s">
        <v>492</v>
      </c>
      <c r="E75" t="s">
        <v>243</v>
      </c>
      <c r="F75" t="s">
        <v>43</v>
      </c>
      <c r="G75" t="s">
        <v>8</v>
      </c>
      <c r="H75" t="s">
        <v>201</v>
      </c>
      <c r="I75" t="s">
        <v>202</v>
      </c>
      <c r="J75" t="s">
        <v>18</v>
      </c>
      <c r="K75" t="s">
        <v>26</v>
      </c>
      <c r="M75" t="s">
        <v>36</v>
      </c>
      <c r="N75">
        <v>5</v>
      </c>
      <c r="O75">
        <v>1425.74</v>
      </c>
      <c r="P75">
        <v>0</v>
      </c>
      <c r="Q75">
        <v>0</v>
      </c>
      <c r="R75">
        <v>7128.7</v>
      </c>
      <c r="S75">
        <v>4382.1499999999996</v>
      </c>
      <c r="T75">
        <v>7128.7</v>
      </c>
      <c r="U75">
        <v>2746.55</v>
      </c>
      <c r="V75">
        <v>0.38528062620113102</v>
      </c>
      <c r="W75">
        <v>5</v>
      </c>
      <c r="X75" t="s">
        <v>278</v>
      </c>
      <c r="Y75">
        <v>2025</v>
      </c>
      <c r="Z75" t="s">
        <v>129</v>
      </c>
      <c r="AA75" t="s">
        <v>130</v>
      </c>
      <c r="AB75" t="s">
        <v>131</v>
      </c>
      <c r="AC75" t="s">
        <v>131</v>
      </c>
      <c r="AD75" t="s">
        <v>131</v>
      </c>
      <c r="AE75" t="s">
        <v>131</v>
      </c>
      <c r="AF75" t="s">
        <v>131</v>
      </c>
      <c r="AG75" t="s">
        <v>131</v>
      </c>
      <c r="AH75" t="s">
        <v>132</v>
      </c>
      <c r="AI75" t="s">
        <v>133</v>
      </c>
      <c r="AJ75" t="s">
        <v>493</v>
      </c>
      <c r="AK75" t="s">
        <v>494</v>
      </c>
      <c r="AL75" t="s">
        <v>243</v>
      </c>
      <c r="AM75" t="s">
        <v>43</v>
      </c>
      <c r="AN75" t="s">
        <v>8</v>
      </c>
      <c r="AO75" t="s">
        <v>201</v>
      </c>
      <c r="AP75" t="s">
        <v>202</v>
      </c>
      <c r="AQ75" t="s">
        <v>18</v>
      </c>
      <c r="AR75" t="s">
        <v>26</v>
      </c>
      <c r="AS75" t="s">
        <v>36</v>
      </c>
      <c r="AT75">
        <v>0</v>
      </c>
      <c r="AU75" t="s">
        <v>129</v>
      </c>
      <c r="AV75" t="s">
        <v>130</v>
      </c>
    </row>
    <row r="76" spans="1:48" x14ac:dyDescent="0.3">
      <c r="A76" t="s">
        <v>495</v>
      </c>
      <c r="B76" s="12">
        <v>45715</v>
      </c>
      <c r="C76" s="12">
        <v>45717</v>
      </c>
      <c r="D76" t="s">
        <v>496</v>
      </c>
      <c r="E76" t="s">
        <v>170</v>
      </c>
      <c r="F76" t="s">
        <v>44</v>
      </c>
      <c r="G76" t="s">
        <v>8</v>
      </c>
      <c r="H76" t="s">
        <v>201</v>
      </c>
      <c r="I76" t="s">
        <v>202</v>
      </c>
      <c r="J76" t="s">
        <v>18</v>
      </c>
      <c r="K76" t="s">
        <v>19</v>
      </c>
      <c r="M76" t="s">
        <v>35</v>
      </c>
      <c r="N76">
        <v>6</v>
      </c>
      <c r="O76">
        <v>551.64</v>
      </c>
      <c r="P76">
        <v>0</v>
      </c>
      <c r="Q76">
        <v>0</v>
      </c>
      <c r="R76">
        <v>3309.84</v>
      </c>
      <c r="S76">
        <v>2671.08</v>
      </c>
      <c r="T76">
        <v>3309.84</v>
      </c>
      <c r="U76">
        <v>638.76</v>
      </c>
      <c r="V76">
        <v>0.19298818069755599</v>
      </c>
      <c r="W76">
        <v>2</v>
      </c>
      <c r="X76" t="s">
        <v>186</v>
      </c>
      <c r="Y76">
        <v>2025</v>
      </c>
      <c r="Z76" t="s">
        <v>129</v>
      </c>
      <c r="AA76" t="s">
        <v>130</v>
      </c>
      <c r="AB76" t="s">
        <v>131</v>
      </c>
      <c r="AC76" t="s">
        <v>131</v>
      </c>
      <c r="AD76" t="s">
        <v>131</v>
      </c>
      <c r="AE76" t="s">
        <v>131</v>
      </c>
      <c r="AF76" t="s">
        <v>131</v>
      </c>
      <c r="AG76" t="s">
        <v>131</v>
      </c>
      <c r="AH76" t="s">
        <v>132</v>
      </c>
      <c r="AI76" t="s">
        <v>133</v>
      </c>
      <c r="AJ76" t="s">
        <v>497</v>
      </c>
      <c r="AK76" t="s">
        <v>498</v>
      </c>
      <c r="AL76" t="s">
        <v>170</v>
      </c>
      <c r="AM76" t="s">
        <v>44</v>
      </c>
      <c r="AN76" t="s">
        <v>8</v>
      </c>
      <c r="AO76" t="s">
        <v>201</v>
      </c>
      <c r="AP76" t="s">
        <v>202</v>
      </c>
      <c r="AQ76" t="s">
        <v>18</v>
      </c>
      <c r="AR76" t="s">
        <v>19</v>
      </c>
      <c r="AS76" t="s">
        <v>35</v>
      </c>
      <c r="AT76">
        <v>0</v>
      </c>
      <c r="AU76" t="s">
        <v>129</v>
      </c>
      <c r="AV76" t="s">
        <v>130</v>
      </c>
    </row>
    <row r="77" spans="1:48" x14ac:dyDescent="0.3">
      <c r="A77" t="s">
        <v>499</v>
      </c>
      <c r="B77" s="12">
        <v>45891</v>
      </c>
      <c r="C77" s="12">
        <v>45896</v>
      </c>
      <c r="D77" t="s">
        <v>500</v>
      </c>
      <c r="E77" t="s">
        <v>221</v>
      </c>
      <c r="F77" t="s">
        <v>44</v>
      </c>
      <c r="G77" t="s">
        <v>8</v>
      </c>
      <c r="H77" t="s">
        <v>140</v>
      </c>
      <c r="I77" t="s">
        <v>141</v>
      </c>
      <c r="J77" t="s">
        <v>20</v>
      </c>
      <c r="K77" t="s">
        <v>30</v>
      </c>
      <c r="M77" t="s">
        <v>36</v>
      </c>
      <c r="N77">
        <v>3</v>
      </c>
      <c r="O77">
        <v>3294.82</v>
      </c>
      <c r="P77">
        <v>0.2</v>
      </c>
      <c r="Q77">
        <v>0.2</v>
      </c>
      <c r="R77">
        <v>7907.57</v>
      </c>
      <c r="S77">
        <v>5391.18</v>
      </c>
      <c r="T77">
        <v>7907.5680000000002</v>
      </c>
      <c r="U77">
        <v>2516.3879999999999</v>
      </c>
      <c r="V77">
        <v>0.31822527482533203</v>
      </c>
      <c r="W77">
        <v>5</v>
      </c>
      <c r="X77" t="s">
        <v>142</v>
      </c>
      <c r="Y77">
        <v>2025</v>
      </c>
      <c r="Z77" t="s">
        <v>129</v>
      </c>
      <c r="AA77" t="s">
        <v>130</v>
      </c>
      <c r="AB77" t="s">
        <v>131</v>
      </c>
      <c r="AC77" t="s">
        <v>131</v>
      </c>
      <c r="AD77" t="s">
        <v>131</v>
      </c>
      <c r="AE77" t="s">
        <v>131</v>
      </c>
      <c r="AF77" t="s">
        <v>131</v>
      </c>
      <c r="AG77" t="s">
        <v>131</v>
      </c>
      <c r="AH77" t="s">
        <v>132</v>
      </c>
      <c r="AI77" t="s">
        <v>133</v>
      </c>
      <c r="AJ77" t="s">
        <v>501</v>
      </c>
      <c r="AK77" t="s">
        <v>502</v>
      </c>
      <c r="AL77" t="s">
        <v>221</v>
      </c>
      <c r="AM77" t="s">
        <v>44</v>
      </c>
      <c r="AN77" t="s">
        <v>8</v>
      </c>
      <c r="AO77" t="s">
        <v>140</v>
      </c>
      <c r="AP77" t="s">
        <v>141</v>
      </c>
      <c r="AQ77" t="s">
        <v>20</v>
      </c>
      <c r="AR77" t="s">
        <v>30</v>
      </c>
      <c r="AS77" t="s">
        <v>36</v>
      </c>
      <c r="AT77">
        <v>0.2</v>
      </c>
      <c r="AU77" t="s">
        <v>129</v>
      </c>
      <c r="AV77" t="s">
        <v>130</v>
      </c>
    </row>
    <row r="78" spans="1:48" x14ac:dyDescent="0.3">
      <c r="A78" t="s">
        <v>503</v>
      </c>
      <c r="B78" s="12">
        <v>45599</v>
      </c>
      <c r="C78" s="12">
        <v>45607</v>
      </c>
      <c r="D78" t="s">
        <v>504</v>
      </c>
      <c r="E78" t="s">
        <v>162</v>
      </c>
      <c r="F78" t="s">
        <v>43</v>
      </c>
      <c r="G78" t="s">
        <v>8</v>
      </c>
      <c r="H78" t="s">
        <v>362</v>
      </c>
      <c r="I78" t="s">
        <v>363</v>
      </c>
      <c r="J78" t="s">
        <v>20</v>
      </c>
      <c r="K78" t="s">
        <v>30</v>
      </c>
      <c r="M78" t="s">
        <v>37</v>
      </c>
      <c r="N78">
        <v>3</v>
      </c>
      <c r="O78">
        <v>3406.27</v>
      </c>
      <c r="P78">
        <v>0</v>
      </c>
      <c r="Q78">
        <v>0</v>
      </c>
      <c r="R78">
        <v>10218.81</v>
      </c>
      <c r="S78">
        <v>7616.97</v>
      </c>
      <c r="T78">
        <v>10218.81</v>
      </c>
      <c r="U78">
        <v>2601.84</v>
      </c>
      <c r="V78">
        <v>0.25461281695226701</v>
      </c>
      <c r="W78">
        <v>8</v>
      </c>
      <c r="X78" t="s">
        <v>157</v>
      </c>
      <c r="Y78">
        <v>2024</v>
      </c>
      <c r="Z78" t="s">
        <v>129</v>
      </c>
      <c r="AA78" t="s">
        <v>130</v>
      </c>
      <c r="AB78" t="s">
        <v>131</v>
      </c>
      <c r="AC78" t="s">
        <v>131</v>
      </c>
      <c r="AD78" t="s">
        <v>131</v>
      </c>
      <c r="AE78" t="s">
        <v>131</v>
      </c>
      <c r="AF78" t="s">
        <v>131</v>
      </c>
      <c r="AG78" t="s">
        <v>131</v>
      </c>
      <c r="AH78" t="s">
        <v>132</v>
      </c>
      <c r="AI78" t="s">
        <v>133</v>
      </c>
      <c r="AJ78" t="s">
        <v>505</v>
      </c>
      <c r="AK78" t="s">
        <v>506</v>
      </c>
      <c r="AL78" t="s">
        <v>162</v>
      </c>
      <c r="AM78" t="s">
        <v>43</v>
      </c>
      <c r="AN78" t="s">
        <v>8</v>
      </c>
      <c r="AO78" t="s">
        <v>362</v>
      </c>
      <c r="AP78" t="s">
        <v>363</v>
      </c>
      <c r="AQ78" t="s">
        <v>20</v>
      </c>
      <c r="AR78" t="s">
        <v>30</v>
      </c>
      <c r="AS78" t="s">
        <v>37</v>
      </c>
      <c r="AT78">
        <v>0</v>
      </c>
      <c r="AU78" t="s">
        <v>129</v>
      </c>
      <c r="AV78" t="s">
        <v>130</v>
      </c>
    </row>
    <row r="79" spans="1:48" x14ac:dyDescent="0.3">
      <c r="A79" t="s">
        <v>507</v>
      </c>
      <c r="B79" s="12">
        <v>45846</v>
      </c>
      <c r="C79" s="12">
        <v>45850</v>
      </c>
      <c r="D79" t="s">
        <v>508</v>
      </c>
      <c r="E79" t="s">
        <v>255</v>
      </c>
      <c r="F79" t="s">
        <v>41</v>
      </c>
      <c r="G79" t="s">
        <v>9</v>
      </c>
      <c r="H79" t="s">
        <v>249</v>
      </c>
      <c r="I79" t="s">
        <v>250</v>
      </c>
      <c r="J79" t="s">
        <v>18</v>
      </c>
      <c r="K79" t="s">
        <v>23</v>
      </c>
      <c r="M79" t="s">
        <v>35</v>
      </c>
      <c r="N79">
        <v>1</v>
      </c>
      <c r="O79">
        <v>2582.1999999999998</v>
      </c>
      <c r="P79">
        <v>0.15</v>
      </c>
      <c r="Q79">
        <v>0.15</v>
      </c>
      <c r="R79">
        <v>2194.87</v>
      </c>
      <c r="S79">
        <v>1223.17</v>
      </c>
      <c r="T79">
        <v>2194.87</v>
      </c>
      <c r="U79">
        <v>971.7</v>
      </c>
      <c r="V79">
        <v>0.44271414707932599</v>
      </c>
      <c r="W79">
        <v>4</v>
      </c>
      <c r="X79" t="s">
        <v>128</v>
      </c>
      <c r="Y79">
        <v>2025</v>
      </c>
      <c r="Z79" t="s">
        <v>203</v>
      </c>
      <c r="AA79" t="s">
        <v>165</v>
      </c>
      <c r="AB79" t="s">
        <v>131</v>
      </c>
      <c r="AC79" t="s">
        <v>131</v>
      </c>
      <c r="AD79" t="s">
        <v>131</v>
      </c>
      <c r="AE79" t="s">
        <v>131</v>
      </c>
      <c r="AF79" t="s">
        <v>131</v>
      </c>
      <c r="AG79" t="s">
        <v>131</v>
      </c>
      <c r="AH79" t="s">
        <v>131</v>
      </c>
      <c r="AI79" t="s">
        <v>133</v>
      </c>
      <c r="AJ79" t="s">
        <v>509</v>
      </c>
      <c r="AK79" t="s">
        <v>510</v>
      </c>
      <c r="AL79" t="s">
        <v>255</v>
      </c>
      <c r="AM79" t="s">
        <v>41</v>
      </c>
      <c r="AN79" t="s">
        <v>9</v>
      </c>
      <c r="AO79" t="s">
        <v>249</v>
      </c>
      <c r="AP79" t="s">
        <v>250</v>
      </c>
      <c r="AQ79" t="s">
        <v>18</v>
      </c>
      <c r="AR79" t="s">
        <v>23</v>
      </c>
      <c r="AS79" t="s">
        <v>35</v>
      </c>
      <c r="AT79">
        <v>0.15</v>
      </c>
      <c r="AU79" t="s">
        <v>203</v>
      </c>
      <c r="AV79" t="s">
        <v>165</v>
      </c>
    </row>
    <row r="80" spans="1:48" x14ac:dyDescent="0.3">
      <c r="A80" t="s">
        <v>511</v>
      </c>
      <c r="B80" s="12">
        <v>45854</v>
      </c>
      <c r="C80" s="12">
        <v>45859</v>
      </c>
      <c r="D80" t="s">
        <v>512</v>
      </c>
      <c r="E80" t="s">
        <v>243</v>
      </c>
      <c r="F80" t="s">
        <v>43</v>
      </c>
      <c r="G80" t="s">
        <v>8</v>
      </c>
      <c r="H80" t="s">
        <v>201</v>
      </c>
      <c r="I80" t="s">
        <v>202</v>
      </c>
      <c r="J80" t="s">
        <v>18</v>
      </c>
      <c r="K80" t="s">
        <v>27</v>
      </c>
      <c r="M80" t="s">
        <v>36</v>
      </c>
      <c r="N80">
        <v>5</v>
      </c>
      <c r="O80">
        <v>2129.5100000000002</v>
      </c>
      <c r="P80">
        <v>0.15</v>
      </c>
      <c r="Q80">
        <v>0.15</v>
      </c>
      <c r="R80">
        <v>9050.42</v>
      </c>
      <c r="S80">
        <v>6778.85</v>
      </c>
      <c r="T80">
        <v>9050.4174999999996</v>
      </c>
      <c r="U80">
        <v>2271.5675000000001</v>
      </c>
      <c r="V80">
        <v>0.250990354864845</v>
      </c>
      <c r="W80">
        <v>5</v>
      </c>
      <c r="X80" t="s">
        <v>128</v>
      </c>
      <c r="Y80">
        <v>2025</v>
      </c>
      <c r="Z80" t="s">
        <v>129</v>
      </c>
      <c r="AA80" t="s">
        <v>130</v>
      </c>
      <c r="AB80" t="s">
        <v>131</v>
      </c>
      <c r="AC80" t="s">
        <v>131</v>
      </c>
      <c r="AD80" t="s">
        <v>131</v>
      </c>
      <c r="AE80" t="s">
        <v>131</v>
      </c>
      <c r="AF80" t="s">
        <v>131</v>
      </c>
      <c r="AG80" t="s">
        <v>131</v>
      </c>
      <c r="AH80" t="s">
        <v>132</v>
      </c>
      <c r="AI80" t="s">
        <v>133</v>
      </c>
      <c r="AJ80" t="s">
        <v>513</v>
      </c>
      <c r="AK80" t="s">
        <v>514</v>
      </c>
      <c r="AL80" t="s">
        <v>243</v>
      </c>
      <c r="AM80" t="s">
        <v>43</v>
      </c>
      <c r="AN80" t="s">
        <v>8</v>
      </c>
      <c r="AO80" t="s">
        <v>201</v>
      </c>
      <c r="AP80" t="s">
        <v>202</v>
      </c>
      <c r="AQ80" t="s">
        <v>18</v>
      </c>
      <c r="AR80" t="s">
        <v>27</v>
      </c>
      <c r="AS80" t="s">
        <v>36</v>
      </c>
      <c r="AT80">
        <v>0.15</v>
      </c>
      <c r="AU80" t="s">
        <v>129</v>
      </c>
      <c r="AV80" t="s">
        <v>130</v>
      </c>
    </row>
    <row r="81" spans="1:48" x14ac:dyDescent="0.3">
      <c r="A81" t="s">
        <v>515</v>
      </c>
      <c r="B81" s="12">
        <v>45927</v>
      </c>
      <c r="C81" s="12">
        <v>45933</v>
      </c>
      <c r="D81" t="s">
        <v>516</v>
      </c>
      <c r="E81" t="s">
        <v>277</v>
      </c>
      <c r="F81" t="s">
        <v>41</v>
      </c>
      <c r="G81" t="s">
        <v>6</v>
      </c>
      <c r="H81" t="s">
        <v>385</v>
      </c>
      <c r="I81" t="s">
        <v>386</v>
      </c>
      <c r="J81" t="s">
        <v>18</v>
      </c>
      <c r="K81" t="s">
        <v>19</v>
      </c>
      <c r="M81" t="s">
        <v>38</v>
      </c>
      <c r="N81">
        <v>9</v>
      </c>
      <c r="O81">
        <v>4131.5200000000004</v>
      </c>
      <c r="P81">
        <v>0.1</v>
      </c>
      <c r="Q81">
        <v>0.1</v>
      </c>
      <c r="R81">
        <v>33465.31</v>
      </c>
      <c r="S81">
        <v>24781.26</v>
      </c>
      <c r="T81">
        <v>33465.311999999998</v>
      </c>
      <c r="U81">
        <v>8684.0520000000106</v>
      </c>
      <c r="V81">
        <v>0.25949412932411903</v>
      </c>
      <c r="W81">
        <v>6</v>
      </c>
      <c r="X81" t="s">
        <v>196</v>
      </c>
      <c r="Y81">
        <v>2025</v>
      </c>
      <c r="Z81" t="s">
        <v>129</v>
      </c>
      <c r="AA81" t="s">
        <v>130</v>
      </c>
      <c r="AB81" t="s">
        <v>131</v>
      </c>
      <c r="AC81" t="s">
        <v>131</v>
      </c>
      <c r="AD81" t="s">
        <v>131</v>
      </c>
      <c r="AE81" t="s">
        <v>131</v>
      </c>
      <c r="AF81" t="s">
        <v>131</v>
      </c>
      <c r="AG81" t="s">
        <v>131</v>
      </c>
      <c r="AH81" t="s">
        <v>132</v>
      </c>
      <c r="AI81" t="s">
        <v>133</v>
      </c>
      <c r="AJ81" t="s">
        <v>517</v>
      </c>
      <c r="AK81" t="s">
        <v>518</v>
      </c>
      <c r="AL81" t="s">
        <v>277</v>
      </c>
      <c r="AM81" t="s">
        <v>41</v>
      </c>
      <c r="AN81" t="s">
        <v>6</v>
      </c>
      <c r="AO81" t="s">
        <v>385</v>
      </c>
      <c r="AP81" t="s">
        <v>386</v>
      </c>
      <c r="AQ81" t="s">
        <v>519</v>
      </c>
      <c r="AR81" t="s">
        <v>19</v>
      </c>
      <c r="AS81" t="s">
        <v>38</v>
      </c>
      <c r="AT81">
        <v>0.1</v>
      </c>
      <c r="AU81" t="s">
        <v>129</v>
      </c>
      <c r="AV81" t="s">
        <v>130</v>
      </c>
    </row>
    <row r="82" spans="1:48" x14ac:dyDescent="0.3">
      <c r="A82" t="s">
        <v>520</v>
      </c>
      <c r="B82" s="12">
        <v>45514</v>
      </c>
      <c r="C82" s="12">
        <v>45518</v>
      </c>
      <c r="D82" t="s">
        <v>521</v>
      </c>
      <c r="E82" t="s">
        <v>238</v>
      </c>
      <c r="F82" t="s">
        <v>44</v>
      </c>
      <c r="G82" t="s">
        <v>9</v>
      </c>
      <c r="H82" t="s">
        <v>522</v>
      </c>
      <c r="I82" t="s">
        <v>523</v>
      </c>
      <c r="J82" t="s">
        <v>20</v>
      </c>
      <c r="K82" t="s">
        <v>21</v>
      </c>
      <c r="M82" t="s">
        <v>37</v>
      </c>
      <c r="N82">
        <v>4</v>
      </c>
      <c r="O82">
        <v>1182.32</v>
      </c>
      <c r="P82">
        <v>0.1</v>
      </c>
      <c r="Q82">
        <v>0.1</v>
      </c>
      <c r="R82">
        <v>4256.3500000000004</v>
      </c>
      <c r="S82">
        <v>2495.33</v>
      </c>
      <c r="T82">
        <v>4256.3519999999999</v>
      </c>
      <c r="U82">
        <v>1761.0219999999999</v>
      </c>
      <c r="V82">
        <v>0.41373974708858702</v>
      </c>
      <c r="W82">
        <v>4</v>
      </c>
      <c r="X82" t="s">
        <v>142</v>
      </c>
      <c r="Y82">
        <v>2024</v>
      </c>
      <c r="Z82" t="s">
        <v>215</v>
      </c>
      <c r="AA82" t="s">
        <v>204</v>
      </c>
      <c r="AB82" t="s">
        <v>131</v>
      </c>
      <c r="AC82" t="s">
        <v>131</v>
      </c>
      <c r="AD82" t="s">
        <v>131</v>
      </c>
      <c r="AE82" t="s">
        <v>131</v>
      </c>
      <c r="AF82" t="s">
        <v>131</v>
      </c>
      <c r="AG82" t="s">
        <v>131</v>
      </c>
      <c r="AH82" t="s">
        <v>131</v>
      </c>
      <c r="AI82" t="s">
        <v>133</v>
      </c>
      <c r="AJ82" t="s">
        <v>524</v>
      </c>
      <c r="AK82" t="s">
        <v>525</v>
      </c>
      <c r="AL82" t="s">
        <v>238</v>
      </c>
      <c r="AM82" t="s">
        <v>44</v>
      </c>
      <c r="AN82" t="s">
        <v>9</v>
      </c>
      <c r="AO82" t="s">
        <v>522</v>
      </c>
      <c r="AP82" t="s">
        <v>523</v>
      </c>
      <c r="AQ82" t="s">
        <v>20</v>
      </c>
      <c r="AR82" t="s">
        <v>21</v>
      </c>
      <c r="AS82" t="s">
        <v>37</v>
      </c>
      <c r="AT82">
        <v>0.1</v>
      </c>
      <c r="AU82" t="s">
        <v>215</v>
      </c>
      <c r="AV82" t="s">
        <v>204</v>
      </c>
    </row>
    <row r="83" spans="1:48" x14ac:dyDescent="0.3">
      <c r="A83" t="s">
        <v>526</v>
      </c>
      <c r="B83" s="12">
        <v>45732</v>
      </c>
      <c r="C83" s="12">
        <v>45733</v>
      </c>
      <c r="D83" t="s">
        <v>527</v>
      </c>
      <c r="E83" t="s">
        <v>125</v>
      </c>
      <c r="F83" t="s">
        <v>41</v>
      </c>
      <c r="G83" t="s">
        <v>7</v>
      </c>
      <c r="H83" t="s">
        <v>311</v>
      </c>
      <c r="I83" t="s">
        <v>312</v>
      </c>
      <c r="J83" t="s">
        <v>20</v>
      </c>
      <c r="K83" t="s">
        <v>30</v>
      </c>
      <c r="M83" t="s">
        <v>38</v>
      </c>
      <c r="N83">
        <v>3</v>
      </c>
      <c r="O83">
        <v>1841.91</v>
      </c>
      <c r="P83">
        <v>0</v>
      </c>
      <c r="Q83">
        <v>0</v>
      </c>
      <c r="R83">
        <v>5525.73</v>
      </c>
      <c r="S83">
        <v>3093.42</v>
      </c>
      <c r="T83">
        <v>5525.73</v>
      </c>
      <c r="U83">
        <v>2432.31</v>
      </c>
      <c r="V83">
        <v>0.44017894468242202</v>
      </c>
      <c r="W83">
        <v>1</v>
      </c>
      <c r="X83" t="s">
        <v>278</v>
      </c>
      <c r="Y83">
        <v>2025</v>
      </c>
      <c r="Z83" t="s">
        <v>129</v>
      </c>
      <c r="AA83" t="s">
        <v>130</v>
      </c>
      <c r="AB83" t="s">
        <v>131</v>
      </c>
      <c r="AC83" t="s">
        <v>131</v>
      </c>
      <c r="AD83" t="s">
        <v>131</v>
      </c>
      <c r="AE83" t="s">
        <v>131</v>
      </c>
      <c r="AF83" t="s">
        <v>131</v>
      </c>
      <c r="AG83" t="s">
        <v>131</v>
      </c>
      <c r="AH83" t="s">
        <v>132</v>
      </c>
      <c r="AI83" t="s">
        <v>133</v>
      </c>
      <c r="AJ83" t="s">
        <v>528</v>
      </c>
      <c r="AK83" t="s">
        <v>529</v>
      </c>
      <c r="AL83" t="s">
        <v>125</v>
      </c>
      <c r="AM83" t="s">
        <v>41</v>
      </c>
      <c r="AN83" t="s">
        <v>7</v>
      </c>
      <c r="AO83" t="s">
        <v>311</v>
      </c>
      <c r="AP83" t="s">
        <v>312</v>
      </c>
      <c r="AQ83" t="s">
        <v>20</v>
      </c>
      <c r="AR83" t="s">
        <v>30</v>
      </c>
      <c r="AS83" t="s">
        <v>38</v>
      </c>
      <c r="AT83">
        <v>0</v>
      </c>
      <c r="AU83" t="s">
        <v>129</v>
      </c>
      <c r="AV83" t="s">
        <v>130</v>
      </c>
    </row>
    <row r="84" spans="1:48" x14ac:dyDescent="0.3">
      <c r="A84" t="s">
        <v>530</v>
      </c>
      <c r="B84" s="12">
        <v>45507</v>
      </c>
      <c r="C84" s="12">
        <v>45508</v>
      </c>
      <c r="D84" t="s">
        <v>531</v>
      </c>
      <c r="E84" t="s">
        <v>154</v>
      </c>
      <c r="F84" t="s">
        <v>42</v>
      </c>
      <c r="G84" t="s">
        <v>9</v>
      </c>
      <c r="H84" t="s">
        <v>249</v>
      </c>
      <c r="I84" t="s">
        <v>250</v>
      </c>
      <c r="J84" t="s">
        <v>15</v>
      </c>
      <c r="K84" t="s">
        <v>16</v>
      </c>
      <c r="M84" t="s">
        <v>37</v>
      </c>
      <c r="N84">
        <v>6</v>
      </c>
      <c r="O84">
        <v>1001.73</v>
      </c>
      <c r="P84">
        <v>0</v>
      </c>
      <c r="Q84">
        <v>0</v>
      </c>
      <c r="R84">
        <v>6010.38</v>
      </c>
      <c r="S84">
        <v>3762.85</v>
      </c>
      <c r="T84">
        <v>6010.38</v>
      </c>
      <c r="U84">
        <v>2247.5300000000002</v>
      </c>
      <c r="V84">
        <v>0.37394141468592701</v>
      </c>
      <c r="W84">
        <v>1</v>
      </c>
      <c r="X84" t="s">
        <v>142</v>
      </c>
      <c r="Y84">
        <v>2024</v>
      </c>
      <c r="Z84" t="s">
        <v>269</v>
      </c>
      <c r="AA84" t="s">
        <v>204</v>
      </c>
      <c r="AB84" t="s">
        <v>131</v>
      </c>
      <c r="AC84" t="s">
        <v>131</v>
      </c>
      <c r="AD84" t="s">
        <v>131</v>
      </c>
      <c r="AE84" t="s">
        <v>131</v>
      </c>
      <c r="AF84" t="s">
        <v>131</v>
      </c>
      <c r="AG84" t="s">
        <v>131</v>
      </c>
      <c r="AH84" t="s">
        <v>131</v>
      </c>
      <c r="AI84" t="s">
        <v>133</v>
      </c>
      <c r="AJ84" t="s">
        <v>532</v>
      </c>
      <c r="AK84" t="s">
        <v>533</v>
      </c>
      <c r="AL84" t="s">
        <v>154</v>
      </c>
      <c r="AM84" t="s">
        <v>42</v>
      </c>
      <c r="AN84" t="s">
        <v>9</v>
      </c>
      <c r="AO84" t="s">
        <v>249</v>
      </c>
      <c r="AP84" t="s">
        <v>250</v>
      </c>
      <c r="AQ84" t="s">
        <v>15</v>
      </c>
      <c r="AR84" t="s">
        <v>16</v>
      </c>
      <c r="AS84" t="s">
        <v>37</v>
      </c>
      <c r="AT84">
        <v>0</v>
      </c>
      <c r="AU84" t="s">
        <v>269</v>
      </c>
      <c r="AV84" t="s">
        <v>204</v>
      </c>
    </row>
    <row r="85" spans="1:48" x14ac:dyDescent="0.3">
      <c r="A85" t="s">
        <v>534</v>
      </c>
      <c r="B85" s="12">
        <v>45591</v>
      </c>
      <c r="C85" s="12">
        <v>45594</v>
      </c>
      <c r="D85" t="s">
        <v>535</v>
      </c>
      <c r="E85" t="s">
        <v>191</v>
      </c>
      <c r="F85" t="s">
        <v>41</v>
      </c>
      <c r="G85" t="s">
        <v>7</v>
      </c>
      <c r="H85" t="s">
        <v>163</v>
      </c>
      <c r="I85" t="s">
        <v>164</v>
      </c>
      <c r="J85" t="s">
        <v>18</v>
      </c>
      <c r="K85" t="s">
        <v>27</v>
      </c>
      <c r="M85" t="s">
        <v>37</v>
      </c>
      <c r="N85">
        <v>9</v>
      </c>
      <c r="O85">
        <v>131.74</v>
      </c>
      <c r="P85">
        <v>0.2</v>
      </c>
      <c r="Q85">
        <v>0.2</v>
      </c>
      <c r="R85">
        <v>948.53</v>
      </c>
      <c r="S85">
        <v>674.62</v>
      </c>
      <c r="T85">
        <v>948.52800000000002</v>
      </c>
      <c r="U85">
        <v>273.90800000000002</v>
      </c>
      <c r="V85">
        <v>0.28877165460587401</v>
      </c>
      <c r="W85">
        <v>3</v>
      </c>
      <c r="X85" t="s">
        <v>222</v>
      </c>
      <c r="Y85">
        <v>2024</v>
      </c>
      <c r="Z85" t="s">
        <v>129</v>
      </c>
      <c r="AA85" t="s">
        <v>130</v>
      </c>
      <c r="AB85" t="s">
        <v>131</v>
      </c>
      <c r="AC85" t="s">
        <v>131</v>
      </c>
      <c r="AD85" t="s">
        <v>131</v>
      </c>
      <c r="AE85" t="s">
        <v>131</v>
      </c>
      <c r="AF85" t="s">
        <v>131</v>
      </c>
      <c r="AG85" t="s">
        <v>131</v>
      </c>
      <c r="AH85" t="s">
        <v>132</v>
      </c>
      <c r="AI85" t="s">
        <v>133</v>
      </c>
      <c r="AJ85" t="s">
        <v>410</v>
      </c>
      <c r="AK85" t="s">
        <v>536</v>
      </c>
      <c r="AL85" t="s">
        <v>191</v>
      </c>
      <c r="AM85" t="s">
        <v>41</v>
      </c>
      <c r="AN85" t="s">
        <v>7</v>
      </c>
      <c r="AO85" t="s">
        <v>163</v>
      </c>
      <c r="AP85" t="s">
        <v>164</v>
      </c>
      <c r="AQ85" t="s">
        <v>18</v>
      </c>
      <c r="AR85" t="s">
        <v>27</v>
      </c>
      <c r="AS85" t="s">
        <v>37</v>
      </c>
      <c r="AT85">
        <v>0.2</v>
      </c>
      <c r="AU85" t="s">
        <v>129</v>
      </c>
      <c r="AV85" t="s">
        <v>130</v>
      </c>
    </row>
    <row r="86" spans="1:48" x14ac:dyDescent="0.3">
      <c r="A86" t="s">
        <v>537</v>
      </c>
      <c r="B86" s="12">
        <v>45566</v>
      </c>
      <c r="C86" s="12">
        <v>45568</v>
      </c>
      <c r="D86" t="s">
        <v>538</v>
      </c>
      <c r="E86" t="s">
        <v>255</v>
      </c>
      <c r="F86" t="s">
        <v>43</v>
      </c>
      <c r="G86" t="s">
        <v>6</v>
      </c>
      <c r="H86" t="s">
        <v>385</v>
      </c>
      <c r="I86" t="s">
        <v>386</v>
      </c>
      <c r="J86" t="s">
        <v>15</v>
      </c>
      <c r="K86" t="s">
        <v>17</v>
      </c>
      <c r="M86" t="s">
        <v>37</v>
      </c>
      <c r="N86">
        <v>6</v>
      </c>
      <c r="O86">
        <v>570.28</v>
      </c>
      <c r="P86">
        <v>0.2</v>
      </c>
      <c r="Q86">
        <v>0.2</v>
      </c>
      <c r="R86">
        <v>2737.34</v>
      </c>
      <c r="S86">
        <v>2085.44</v>
      </c>
      <c r="T86">
        <v>2737.3440000000001</v>
      </c>
      <c r="U86">
        <v>651.904</v>
      </c>
      <c r="V86">
        <v>0.238152018891305</v>
      </c>
      <c r="W86">
        <v>2</v>
      </c>
      <c r="X86" t="s">
        <v>222</v>
      </c>
      <c r="Y86">
        <v>2024</v>
      </c>
      <c r="Z86" t="s">
        <v>129</v>
      </c>
      <c r="AA86" t="s">
        <v>130</v>
      </c>
      <c r="AB86" t="s">
        <v>131</v>
      </c>
      <c r="AC86" t="s">
        <v>131</v>
      </c>
      <c r="AD86" t="s">
        <v>131</v>
      </c>
      <c r="AE86" t="s">
        <v>131</v>
      </c>
      <c r="AF86" t="s">
        <v>131</v>
      </c>
      <c r="AG86" t="s">
        <v>131</v>
      </c>
      <c r="AH86" t="s">
        <v>132</v>
      </c>
      <c r="AI86" t="s">
        <v>133</v>
      </c>
      <c r="AJ86" t="s">
        <v>539</v>
      </c>
      <c r="AK86" t="s">
        <v>540</v>
      </c>
      <c r="AL86" t="s">
        <v>255</v>
      </c>
      <c r="AM86" t="s">
        <v>43</v>
      </c>
      <c r="AN86" t="s">
        <v>6</v>
      </c>
      <c r="AO86" t="s">
        <v>385</v>
      </c>
      <c r="AP86" t="s">
        <v>386</v>
      </c>
      <c r="AQ86" t="s">
        <v>541</v>
      </c>
      <c r="AR86" t="s">
        <v>17</v>
      </c>
      <c r="AS86" t="s">
        <v>37</v>
      </c>
      <c r="AT86">
        <v>0.2</v>
      </c>
      <c r="AU86" t="s">
        <v>129</v>
      </c>
      <c r="AV86" t="s">
        <v>130</v>
      </c>
    </row>
    <row r="87" spans="1:48" x14ac:dyDescent="0.3">
      <c r="A87" t="s">
        <v>542</v>
      </c>
      <c r="B87" s="12">
        <v>45503</v>
      </c>
      <c r="C87" s="12">
        <v>45509</v>
      </c>
      <c r="D87" t="s">
        <v>543</v>
      </c>
      <c r="E87" t="s">
        <v>409</v>
      </c>
      <c r="F87" t="s">
        <v>43</v>
      </c>
      <c r="G87" t="s">
        <v>9</v>
      </c>
      <c r="H87" t="s">
        <v>522</v>
      </c>
      <c r="I87" t="s">
        <v>523</v>
      </c>
      <c r="J87" t="s">
        <v>20</v>
      </c>
      <c r="K87" t="s">
        <v>28</v>
      </c>
      <c r="M87" t="s">
        <v>35</v>
      </c>
      <c r="N87">
        <v>1</v>
      </c>
      <c r="O87">
        <v>608.64</v>
      </c>
      <c r="P87">
        <v>0</v>
      </c>
      <c r="Q87">
        <v>0</v>
      </c>
      <c r="R87">
        <v>608.64</v>
      </c>
      <c r="S87">
        <v>343.99</v>
      </c>
      <c r="T87">
        <v>608.64</v>
      </c>
      <c r="U87">
        <v>264.64999999999998</v>
      </c>
      <c r="V87">
        <v>0.43482189800210302</v>
      </c>
      <c r="W87">
        <v>6</v>
      </c>
      <c r="X87" t="s">
        <v>128</v>
      </c>
      <c r="Y87">
        <v>2024</v>
      </c>
      <c r="Z87" t="s">
        <v>129</v>
      </c>
      <c r="AA87" t="s">
        <v>165</v>
      </c>
      <c r="AB87" t="s">
        <v>131</v>
      </c>
      <c r="AC87" t="s">
        <v>131</v>
      </c>
      <c r="AD87" t="s">
        <v>131</v>
      </c>
      <c r="AE87" t="s">
        <v>131</v>
      </c>
      <c r="AF87" t="s">
        <v>131</v>
      </c>
      <c r="AG87" t="s">
        <v>131</v>
      </c>
      <c r="AH87" t="s">
        <v>131</v>
      </c>
      <c r="AI87" t="s">
        <v>133</v>
      </c>
      <c r="AJ87" t="s">
        <v>544</v>
      </c>
      <c r="AK87" t="s">
        <v>545</v>
      </c>
      <c r="AL87" t="s">
        <v>409</v>
      </c>
      <c r="AM87" t="s">
        <v>43</v>
      </c>
      <c r="AN87" t="s">
        <v>9</v>
      </c>
      <c r="AO87" t="s">
        <v>522</v>
      </c>
      <c r="AP87" t="s">
        <v>523</v>
      </c>
      <c r="AQ87" t="s">
        <v>20</v>
      </c>
      <c r="AR87" t="s">
        <v>28</v>
      </c>
      <c r="AS87" t="s">
        <v>35</v>
      </c>
      <c r="AT87">
        <v>0</v>
      </c>
      <c r="AU87" t="s">
        <v>129</v>
      </c>
      <c r="AV87" t="s">
        <v>165</v>
      </c>
    </row>
    <row r="88" spans="1:48" x14ac:dyDescent="0.3">
      <c r="A88" t="s">
        <v>546</v>
      </c>
      <c r="B88" s="12">
        <v>45474</v>
      </c>
      <c r="C88" s="12">
        <v>45474</v>
      </c>
      <c r="D88" t="s">
        <v>547</v>
      </c>
      <c r="E88" t="s">
        <v>162</v>
      </c>
      <c r="F88" t="s">
        <v>44</v>
      </c>
      <c r="G88" t="s">
        <v>9</v>
      </c>
      <c r="H88" t="s">
        <v>522</v>
      </c>
      <c r="I88" t="s">
        <v>523</v>
      </c>
      <c r="J88" t="s">
        <v>15</v>
      </c>
      <c r="K88" t="s">
        <v>16</v>
      </c>
      <c r="M88" t="s">
        <v>37</v>
      </c>
      <c r="N88">
        <v>3</v>
      </c>
      <c r="O88">
        <v>885.28</v>
      </c>
      <c r="P88">
        <v>0.1</v>
      </c>
      <c r="Q88">
        <v>0.1</v>
      </c>
      <c r="R88">
        <v>2390.2600000000002</v>
      </c>
      <c r="S88">
        <v>1495.94</v>
      </c>
      <c r="T88">
        <v>2390.2559999999999</v>
      </c>
      <c r="U88">
        <v>894.31600000000003</v>
      </c>
      <c r="V88">
        <v>0.37415071858411802</v>
      </c>
      <c r="W88">
        <v>0</v>
      </c>
      <c r="X88" t="s">
        <v>128</v>
      </c>
      <c r="Y88">
        <v>2024</v>
      </c>
      <c r="Z88" t="s">
        <v>203</v>
      </c>
      <c r="AA88" t="s">
        <v>165</v>
      </c>
      <c r="AB88" t="s">
        <v>131</v>
      </c>
      <c r="AC88" t="s">
        <v>131</v>
      </c>
      <c r="AD88" t="s">
        <v>131</v>
      </c>
      <c r="AE88" t="s">
        <v>131</v>
      </c>
      <c r="AF88" t="s">
        <v>131</v>
      </c>
      <c r="AG88" t="s">
        <v>131</v>
      </c>
      <c r="AH88" t="s">
        <v>131</v>
      </c>
      <c r="AI88" t="s">
        <v>133</v>
      </c>
      <c r="AJ88" t="s">
        <v>548</v>
      </c>
      <c r="AK88" t="s">
        <v>548</v>
      </c>
      <c r="AL88" t="s">
        <v>162</v>
      </c>
      <c r="AM88" t="s">
        <v>44</v>
      </c>
      <c r="AN88" t="s">
        <v>9</v>
      </c>
      <c r="AO88" t="s">
        <v>522</v>
      </c>
      <c r="AP88" t="s">
        <v>523</v>
      </c>
      <c r="AQ88" t="s">
        <v>15</v>
      </c>
      <c r="AR88" t="s">
        <v>16</v>
      </c>
      <c r="AS88" t="s">
        <v>37</v>
      </c>
      <c r="AT88">
        <v>0.1</v>
      </c>
      <c r="AU88" t="s">
        <v>203</v>
      </c>
      <c r="AV88" t="s">
        <v>165</v>
      </c>
    </row>
    <row r="89" spans="1:48" x14ac:dyDescent="0.3">
      <c r="A89" t="s">
        <v>549</v>
      </c>
      <c r="B89" s="12">
        <v>45506</v>
      </c>
      <c r="C89" s="12">
        <v>45507</v>
      </c>
      <c r="D89" t="s">
        <v>550</v>
      </c>
      <c r="E89" t="s">
        <v>170</v>
      </c>
      <c r="F89" t="s">
        <v>42</v>
      </c>
      <c r="G89" t="s">
        <v>8</v>
      </c>
      <c r="H89" t="s">
        <v>283</v>
      </c>
      <c r="I89" t="s">
        <v>284</v>
      </c>
      <c r="J89" t="s">
        <v>20</v>
      </c>
      <c r="K89" t="s">
        <v>28</v>
      </c>
      <c r="M89" t="s">
        <v>35</v>
      </c>
      <c r="N89">
        <v>7</v>
      </c>
      <c r="O89">
        <v>3345.22</v>
      </c>
      <c r="P89">
        <v>0</v>
      </c>
      <c r="Q89">
        <v>0</v>
      </c>
      <c r="R89">
        <v>23416.54</v>
      </c>
      <c r="S89">
        <v>15490.89</v>
      </c>
      <c r="T89">
        <v>23416.54</v>
      </c>
      <c r="U89">
        <v>7925.65</v>
      </c>
      <c r="V89">
        <v>0.33846375254414202</v>
      </c>
      <c r="W89">
        <v>1</v>
      </c>
      <c r="X89" t="s">
        <v>142</v>
      </c>
      <c r="Y89">
        <v>2024</v>
      </c>
      <c r="Z89" t="s">
        <v>129</v>
      </c>
      <c r="AA89" t="s">
        <v>130</v>
      </c>
      <c r="AB89" t="s">
        <v>131</v>
      </c>
      <c r="AC89" t="s">
        <v>131</v>
      </c>
      <c r="AD89" t="s">
        <v>131</v>
      </c>
      <c r="AE89" t="s">
        <v>131</v>
      </c>
      <c r="AF89" t="s">
        <v>131</v>
      </c>
      <c r="AG89" t="s">
        <v>131</v>
      </c>
      <c r="AH89" t="s">
        <v>132</v>
      </c>
      <c r="AI89" t="s">
        <v>133</v>
      </c>
      <c r="AJ89" t="s">
        <v>551</v>
      </c>
      <c r="AK89" t="s">
        <v>532</v>
      </c>
      <c r="AL89" t="s">
        <v>170</v>
      </c>
      <c r="AM89" t="s">
        <v>42</v>
      </c>
      <c r="AN89" t="s">
        <v>8</v>
      </c>
      <c r="AO89" t="s">
        <v>283</v>
      </c>
      <c r="AP89" t="s">
        <v>284</v>
      </c>
      <c r="AQ89" t="s">
        <v>20</v>
      </c>
      <c r="AR89" t="s">
        <v>28</v>
      </c>
      <c r="AS89" t="s">
        <v>35</v>
      </c>
      <c r="AT89">
        <v>0</v>
      </c>
      <c r="AU89" t="s">
        <v>129</v>
      </c>
      <c r="AV89" t="s">
        <v>130</v>
      </c>
    </row>
    <row r="90" spans="1:48" x14ac:dyDescent="0.3">
      <c r="A90" t="s">
        <v>552</v>
      </c>
      <c r="B90" s="12">
        <v>45375</v>
      </c>
      <c r="C90" s="12">
        <v>45378</v>
      </c>
      <c r="D90" t="s">
        <v>553</v>
      </c>
      <c r="E90" t="s">
        <v>255</v>
      </c>
      <c r="F90" t="s">
        <v>44</v>
      </c>
      <c r="G90" t="s">
        <v>7</v>
      </c>
      <c r="H90" t="s">
        <v>163</v>
      </c>
      <c r="I90" t="s">
        <v>164</v>
      </c>
      <c r="J90" t="s">
        <v>18</v>
      </c>
      <c r="K90" t="s">
        <v>26</v>
      </c>
      <c r="M90" t="s">
        <v>35</v>
      </c>
      <c r="N90">
        <v>2</v>
      </c>
      <c r="O90">
        <v>3284.75</v>
      </c>
      <c r="P90">
        <v>0.05</v>
      </c>
      <c r="Q90">
        <v>0.05</v>
      </c>
      <c r="R90">
        <v>6241.02</v>
      </c>
      <c r="S90">
        <v>5345.88</v>
      </c>
      <c r="T90">
        <v>6241.0249999999996</v>
      </c>
      <c r="U90">
        <v>895.14499999999998</v>
      </c>
      <c r="V90">
        <v>0.14342916427990601</v>
      </c>
      <c r="W90">
        <v>3</v>
      </c>
      <c r="X90" t="s">
        <v>278</v>
      </c>
      <c r="Y90">
        <v>2024</v>
      </c>
      <c r="Z90" t="s">
        <v>129</v>
      </c>
      <c r="AA90" t="s">
        <v>130</v>
      </c>
      <c r="AB90" t="s">
        <v>131</v>
      </c>
      <c r="AC90" t="s">
        <v>131</v>
      </c>
      <c r="AD90" t="s">
        <v>131</v>
      </c>
      <c r="AE90" t="s">
        <v>131</v>
      </c>
      <c r="AF90" t="s">
        <v>131</v>
      </c>
      <c r="AG90" t="s">
        <v>131</v>
      </c>
      <c r="AH90" t="s">
        <v>132</v>
      </c>
      <c r="AI90" t="s">
        <v>133</v>
      </c>
      <c r="AJ90" t="s">
        <v>554</v>
      </c>
      <c r="AK90" t="s">
        <v>555</v>
      </c>
      <c r="AL90" t="s">
        <v>255</v>
      </c>
      <c r="AM90" t="s">
        <v>44</v>
      </c>
      <c r="AN90" t="s">
        <v>7</v>
      </c>
      <c r="AO90" t="s">
        <v>163</v>
      </c>
      <c r="AP90" t="s">
        <v>164</v>
      </c>
      <c r="AQ90" t="s">
        <v>18</v>
      </c>
      <c r="AR90" t="s">
        <v>26</v>
      </c>
      <c r="AS90" t="s">
        <v>35</v>
      </c>
      <c r="AT90">
        <v>0.05</v>
      </c>
      <c r="AU90" t="s">
        <v>129</v>
      </c>
      <c r="AV90" t="s">
        <v>130</v>
      </c>
    </row>
    <row r="91" spans="1:48" x14ac:dyDescent="0.3">
      <c r="A91" t="s">
        <v>556</v>
      </c>
      <c r="B91" s="12">
        <v>45540</v>
      </c>
      <c r="C91" s="12">
        <v>45540</v>
      </c>
      <c r="D91" t="s">
        <v>557</v>
      </c>
      <c r="E91" t="s">
        <v>409</v>
      </c>
      <c r="F91" t="s">
        <v>42</v>
      </c>
      <c r="G91" t="s">
        <v>6</v>
      </c>
      <c r="H91" t="s">
        <v>184</v>
      </c>
      <c r="I91" t="s">
        <v>185</v>
      </c>
      <c r="J91" t="s">
        <v>18</v>
      </c>
      <c r="K91" t="s">
        <v>26</v>
      </c>
      <c r="M91" t="s">
        <v>35</v>
      </c>
      <c r="N91">
        <v>7</v>
      </c>
      <c r="O91">
        <v>3761.09</v>
      </c>
      <c r="P91">
        <v>0.2</v>
      </c>
      <c r="Q91">
        <v>0.2</v>
      </c>
      <c r="R91">
        <v>21062.1</v>
      </c>
      <c r="S91">
        <v>12057.13</v>
      </c>
      <c r="T91">
        <v>21062.103999999999</v>
      </c>
      <c r="U91">
        <v>9004.9740000000002</v>
      </c>
      <c r="V91">
        <v>0.427543895899479</v>
      </c>
      <c r="W91">
        <v>0</v>
      </c>
      <c r="X91" t="s">
        <v>196</v>
      </c>
      <c r="Y91">
        <v>2024</v>
      </c>
      <c r="Z91" t="s">
        <v>215</v>
      </c>
      <c r="AA91" t="s">
        <v>165</v>
      </c>
      <c r="AB91" t="s">
        <v>131</v>
      </c>
      <c r="AC91" t="s">
        <v>131</v>
      </c>
      <c r="AD91" t="s">
        <v>131</v>
      </c>
      <c r="AE91" t="s">
        <v>131</v>
      </c>
      <c r="AF91" t="s">
        <v>131</v>
      </c>
      <c r="AG91" t="s">
        <v>131</v>
      </c>
      <c r="AH91" t="s">
        <v>131</v>
      </c>
      <c r="AI91" t="s">
        <v>133</v>
      </c>
      <c r="AJ91" t="s">
        <v>144</v>
      </c>
      <c r="AK91" t="s">
        <v>144</v>
      </c>
      <c r="AL91" t="s">
        <v>409</v>
      </c>
      <c r="AM91" t="s">
        <v>42</v>
      </c>
      <c r="AN91" t="s">
        <v>6</v>
      </c>
      <c r="AO91" t="s">
        <v>184</v>
      </c>
      <c r="AP91" t="s">
        <v>185</v>
      </c>
      <c r="AQ91" t="s">
        <v>18</v>
      </c>
      <c r="AR91" t="s">
        <v>26</v>
      </c>
      <c r="AS91" t="s">
        <v>35</v>
      </c>
      <c r="AT91">
        <v>0.2</v>
      </c>
      <c r="AU91" t="s">
        <v>215</v>
      </c>
      <c r="AV91" t="s">
        <v>165</v>
      </c>
    </row>
    <row r="92" spans="1:48" x14ac:dyDescent="0.3">
      <c r="A92" t="s">
        <v>558</v>
      </c>
      <c r="B92" s="12">
        <v>45893</v>
      </c>
      <c r="C92" s="12">
        <v>45898</v>
      </c>
      <c r="D92" t="s">
        <v>559</v>
      </c>
      <c r="E92" t="s">
        <v>238</v>
      </c>
      <c r="F92" t="s">
        <v>44</v>
      </c>
      <c r="G92" t="s">
        <v>8</v>
      </c>
      <c r="H92" t="s">
        <v>259</v>
      </c>
      <c r="I92" t="s">
        <v>260</v>
      </c>
      <c r="J92" t="s">
        <v>15</v>
      </c>
      <c r="K92" t="s">
        <v>16</v>
      </c>
      <c r="M92" t="s">
        <v>36</v>
      </c>
      <c r="N92">
        <v>3</v>
      </c>
      <c r="O92">
        <v>3703.96</v>
      </c>
      <c r="P92">
        <v>0.15</v>
      </c>
      <c r="Q92">
        <v>0.15</v>
      </c>
      <c r="R92">
        <v>9445.1</v>
      </c>
      <c r="S92">
        <v>5586.28</v>
      </c>
      <c r="T92">
        <v>9445.098</v>
      </c>
      <c r="U92">
        <v>3858.8180000000002</v>
      </c>
      <c r="V92">
        <v>0.4085524575817</v>
      </c>
      <c r="W92">
        <v>5</v>
      </c>
      <c r="X92" t="s">
        <v>142</v>
      </c>
      <c r="Y92">
        <v>2025</v>
      </c>
      <c r="Z92" t="s">
        <v>129</v>
      </c>
      <c r="AA92" t="s">
        <v>130</v>
      </c>
      <c r="AB92" t="s">
        <v>131</v>
      </c>
      <c r="AC92" t="s">
        <v>131</v>
      </c>
      <c r="AD92" t="s">
        <v>131</v>
      </c>
      <c r="AE92" t="s">
        <v>131</v>
      </c>
      <c r="AF92" t="s">
        <v>131</v>
      </c>
      <c r="AG92" t="s">
        <v>132</v>
      </c>
      <c r="AH92" t="s">
        <v>132</v>
      </c>
      <c r="AI92" t="s">
        <v>149</v>
      </c>
      <c r="AJ92" t="s">
        <v>560</v>
      </c>
      <c r="AK92" t="s">
        <v>166</v>
      </c>
      <c r="AL92" t="s">
        <v>238</v>
      </c>
      <c r="AM92" t="s">
        <v>44</v>
      </c>
      <c r="AN92" t="s">
        <v>8</v>
      </c>
      <c r="AO92" t="s">
        <v>259</v>
      </c>
      <c r="AP92" t="s">
        <v>260</v>
      </c>
      <c r="AQ92" t="s">
        <v>15</v>
      </c>
      <c r="AR92" t="s">
        <v>16</v>
      </c>
      <c r="AS92" t="s">
        <v>36</v>
      </c>
      <c r="AT92">
        <v>0.15</v>
      </c>
      <c r="AU92" t="s">
        <v>129</v>
      </c>
      <c r="AV92" t="s">
        <v>130</v>
      </c>
    </row>
    <row r="93" spans="1:48" x14ac:dyDescent="0.3">
      <c r="A93" t="s">
        <v>561</v>
      </c>
      <c r="B93" s="12">
        <v>45718</v>
      </c>
      <c r="C93" s="12">
        <v>45724</v>
      </c>
      <c r="D93" t="s">
        <v>562</v>
      </c>
      <c r="E93" t="s">
        <v>243</v>
      </c>
      <c r="F93" t="s">
        <v>43</v>
      </c>
      <c r="G93" t="s">
        <v>7</v>
      </c>
      <c r="H93" t="s">
        <v>171</v>
      </c>
      <c r="I93" t="s">
        <v>172</v>
      </c>
      <c r="J93" t="s">
        <v>15</v>
      </c>
      <c r="K93" t="s">
        <v>16</v>
      </c>
      <c r="M93" t="s">
        <v>37</v>
      </c>
      <c r="N93">
        <v>9</v>
      </c>
      <c r="O93">
        <v>269.68</v>
      </c>
      <c r="P93">
        <v>0</v>
      </c>
      <c r="Q93">
        <v>0</v>
      </c>
      <c r="R93">
        <v>2427.12</v>
      </c>
      <c r="S93">
        <v>1538.35</v>
      </c>
      <c r="T93">
        <v>2427.12</v>
      </c>
      <c r="U93">
        <v>888.77</v>
      </c>
      <c r="V93">
        <v>0.36618296581957199</v>
      </c>
      <c r="W93">
        <v>6</v>
      </c>
      <c r="X93" t="s">
        <v>278</v>
      </c>
      <c r="Y93">
        <v>2025</v>
      </c>
      <c r="Z93" t="s">
        <v>129</v>
      </c>
      <c r="AA93" t="s">
        <v>130</v>
      </c>
      <c r="AB93" t="s">
        <v>131</v>
      </c>
      <c r="AC93" t="s">
        <v>131</v>
      </c>
      <c r="AD93" t="s">
        <v>131</v>
      </c>
      <c r="AE93" t="s">
        <v>131</v>
      </c>
      <c r="AF93" t="s">
        <v>131</v>
      </c>
      <c r="AG93" t="s">
        <v>131</v>
      </c>
      <c r="AH93" t="s">
        <v>132</v>
      </c>
      <c r="AI93" t="s">
        <v>133</v>
      </c>
      <c r="AJ93" t="s">
        <v>563</v>
      </c>
      <c r="AK93" t="s">
        <v>564</v>
      </c>
      <c r="AL93" t="s">
        <v>243</v>
      </c>
      <c r="AM93" t="s">
        <v>43</v>
      </c>
      <c r="AN93" t="s">
        <v>7</v>
      </c>
      <c r="AO93" t="s">
        <v>171</v>
      </c>
      <c r="AP93" t="s">
        <v>172</v>
      </c>
      <c r="AQ93" t="s">
        <v>15</v>
      </c>
      <c r="AR93" t="s">
        <v>16</v>
      </c>
      <c r="AS93" t="s">
        <v>37</v>
      </c>
      <c r="AT93">
        <v>0</v>
      </c>
      <c r="AU93" t="s">
        <v>129</v>
      </c>
      <c r="AV93" t="s">
        <v>130</v>
      </c>
    </row>
    <row r="94" spans="1:48" x14ac:dyDescent="0.3">
      <c r="A94" t="s">
        <v>565</v>
      </c>
      <c r="B94" s="12">
        <v>45680</v>
      </c>
      <c r="C94" s="12">
        <v>45683</v>
      </c>
      <c r="D94" t="s">
        <v>566</v>
      </c>
      <c r="E94" t="s">
        <v>238</v>
      </c>
      <c r="F94" t="s">
        <v>42</v>
      </c>
      <c r="G94" t="s">
        <v>7</v>
      </c>
      <c r="H94" t="s">
        <v>171</v>
      </c>
      <c r="I94" t="s">
        <v>172</v>
      </c>
      <c r="J94" t="s">
        <v>20</v>
      </c>
      <c r="K94" t="s">
        <v>24</v>
      </c>
      <c r="M94" t="s">
        <v>35</v>
      </c>
      <c r="N94">
        <v>9</v>
      </c>
      <c r="O94">
        <v>4458.26</v>
      </c>
      <c r="P94">
        <v>0.1</v>
      </c>
      <c r="Q94">
        <v>0.1</v>
      </c>
      <c r="R94">
        <v>36111.910000000003</v>
      </c>
      <c r="S94">
        <v>29194.5</v>
      </c>
      <c r="T94">
        <v>36111.906000000003</v>
      </c>
      <c r="U94">
        <v>6917.4059999999999</v>
      </c>
      <c r="V94">
        <v>0.19155471882320499</v>
      </c>
      <c r="W94">
        <v>3</v>
      </c>
      <c r="X94" t="s">
        <v>244</v>
      </c>
      <c r="Y94">
        <v>2025</v>
      </c>
      <c r="Z94" t="s">
        <v>129</v>
      </c>
      <c r="AA94" t="s">
        <v>130</v>
      </c>
      <c r="AB94" t="s">
        <v>131</v>
      </c>
      <c r="AC94" t="s">
        <v>131</v>
      </c>
      <c r="AD94" t="s">
        <v>131</v>
      </c>
      <c r="AE94" t="s">
        <v>131</v>
      </c>
      <c r="AF94" t="s">
        <v>131</v>
      </c>
      <c r="AG94" t="s">
        <v>131</v>
      </c>
      <c r="AH94" t="s">
        <v>132</v>
      </c>
      <c r="AI94" t="s">
        <v>133</v>
      </c>
      <c r="AJ94" t="s">
        <v>262</v>
      </c>
      <c r="AK94" t="s">
        <v>567</v>
      </c>
      <c r="AL94" t="s">
        <v>238</v>
      </c>
      <c r="AM94" t="s">
        <v>42</v>
      </c>
      <c r="AN94" t="s">
        <v>7</v>
      </c>
      <c r="AO94" t="s">
        <v>171</v>
      </c>
      <c r="AP94" t="s">
        <v>172</v>
      </c>
      <c r="AQ94" t="s">
        <v>20</v>
      </c>
      <c r="AR94" t="s">
        <v>24</v>
      </c>
      <c r="AS94" t="s">
        <v>35</v>
      </c>
      <c r="AT94">
        <v>0.1</v>
      </c>
      <c r="AU94" t="s">
        <v>129</v>
      </c>
      <c r="AV94" t="s">
        <v>130</v>
      </c>
    </row>
    <row r="95" spans="1:48" x14ac:dyDescent="0.3">
      <c r="A95" t="s">
        <v>568</v>
      </c>
      <c r="B95" s="12">
        <v>45298</v>
      </c>
      <c r="C95" s="12">
        <v>45304</v>
      </c>
      <c r="D95" t="s">
        <v>569</v>
      </c>
      <c r="E95" t="s">
        <v>255</v>
      </c>
      <c r="F95" t="s">
        <v>43</v>
      </c>
      <c r="G95" t="s">
        <v>9</v>
      </c>
      <c r="H95" t="s">
        <v>249</v>
      </c>
      <c r="I95" t="s">
        <v>250</v>
      </c>
      <c r="J95" t="s">
        <v>20</v>
      </c>
      <c r="K95" t="s">
        <v>28</v>
      </c>
      <c r="M95" t="s">
        <v>35</v>
      </c>
      <c r="N95">
        <v>7</v>
      </c>
      <c r="O95">
        <v>2788.97</v>
      </c>
      <c r="P95">
        <v>-0.09</v>
      </c>
      <c r="Q95">
        <v>0</v>
      </c>
      <c r="R95">
        <v>19522.79</v>
      </c>
      <c r="S95">
        <v>12455.78</v>
      </c>
      <c r="T95">
        <v>19522.79</v>
      </c>
      <c r="U95">
        <v>7067.01</v>
      </c>
      <c r="V95">
        <v>0.36198770769956501</v>
      </c>
      <c r="W95">
        <v>6</v>
      </c>
      <c r="X95" t="s">
        <v>244</v>
      </c>
      <c r="Y95">
        <v>2024</v>
      </c>
      <c r="Z95" t="s">
        <v>129</v>
      </c>
      <c r="AA95" t="s">
        <v>130</v>
      </c>
      <c r="AB95" t="s">
        <v>131</v>
      </c>
      <c r="AC95" t="s">
        <v>131</v>
      </c>
      <c r="AD95" t="s">
        <v>131</v>
      </c>
      <c r="AE95" t="s">
        <v>131</v>
      </c>
      <c r="AF95" t="s">
        <v>132</v>
      </c>
      <c r="AG95" t="s">
        <v>131</v>
      </c>
      <c r="AH95" t="s">
        <v>132</v>
      </c>
      <c r="AI95" t="s">
        <v>149</v>
      </c>
      <c r="AJ95" t="s">
        <v>245</v>
      </c>
      <c r="AK95" t="s">
        <v>570</v>
      </c>
      <c r="AL95" t="s">
        <v>255</v>
      </c>
      <c r="AM95" t="s">
        <v>43</v>
      </c>
      <c r="AN95" t="s">
        <v>9</v>
      </c>
      <c r="AO95" t="s">
        <v>249</v>
      </c>
      <c r="AP95" t="s">
        <v>250</v>
      </c>
      <c r="AQ95" t="s">
        <v>20</v>
      </c>
      <c r="AR95" t="s">
        <v>28</v>
      </c>
      <c r="AS95" t="s">
        <v>35</v>
      </c>
      <c r="AT95">
        <v>-0.09</v>
      </c>
      <c r="AU95" t="s">
        <v>129</v>
      </c>
      <c r="AV95" t="s">
        <v>130</v>
      </c>
    </row>
    <row r="96" spans="1:48" x14ac:dyDescent="0.3">
      <c r="A96" t="s">
        <v>571</v>
      </c>
      <c r="B96" s="12">
        <v>45541</v>
      </c>
      <c r="C96" s="12">
        <v>45544</v>
      </c>
      <c r="D96" t="s">
        <v>572</v>
      </c>
      <c r="E96" t="s">
        <v>277</v>
      </c>
      <c r="F96" t="s">
        <v>42</v>
      </c>
      <c r="G96" t="s">
        <v>9</v>
      </c>
      <c r="H96" t="s">
        <v>372</v>
      </c>
      <c r="I96" t="s">
        <v>373</v>
      </c>
      <c r="J96" t="s">
        <v>15</v>
      </c>
      <c r="K96" t="s">
        <v>17</v>
      </c>
      <c r="M96" t="s">
        <v>37</v>
      </c>
      <c r="N96">
        <v>7</v>
      </c>
      <c r="O96">
        <v>3781.53</v>
      </c>
      <c r="P96">
        <v>0</v>
      </c>
      <c r="Q96">
        <v>0</v>
      </c>
      <c r="R96">
        <v>26470.71</v>
      </c>
      <c r="S96">
        <v>21367.599999999999</v>
      </c>
      <c r="T96">
        <v>26470.71</v>
      </c>
      <c r="U96">
        <v>5103.1099999999997</v>
      </c>
      <c r="V96">
        <v>0.192783268752519</v>
      </c>
      <c r="W96">
        <v>3</v>
      </c>
      <c r="X96" t="s">
        <v>196</v>
      </c>
      <c r="Y96">
        <v>2024</v>
      </c>
      <c r="Z96" t="s">
        <v>215</v>
      </c>
      <c r="AA96" t="s">
        <v>165</v>
      </c>
      <c r="AB96" t="s">
        <v>131</v>
      </c>
      <c r="AC96" t="s">
        <v>131</v>
      </c>
      <c r="AD96" t="s">
        <v>131</v>
      </c>
      <c r="AE96" t="s">
        <v>131</v>
      </c>
      <c r="AF96" t="s">
        <v>131</v>
      </c>
      <c r="AG96" t="s">
        <v>131</v>
      </c>
      <c r="AH96" t="s">
        <v>131</v>
      </c>
      <c r="AI96" t="s">
        <v>133</v>
      </c>
      <c r="AJ96" t="s">
        <v>573</v>
      </c>
      <c r="AK96" t="s">
        <v>574</v>
      </c>
      <c r="AL96" t="s">
        <v>277</v>
      </c>
      <c r="AM96" t="s">
        <v>42</v>
      </c>
      <c r="AN96" t="s">
        <v>9</v>
      </c>
      <c r="AO96" t="s">
        <v>372</v>
      </c>
      <c r="AP96" t="s">
        <v>373</v>
      </c>
      <c r="AQ96" t="s">
        <v>15</v>
      </c>
      <c r="AR96" t="s">
        <v>17</v>
      </c>
      <c r="AS96" t="s">
        <v>37</v>
      </c>
      <c r="AT96">
        <v>0</v>
      </c>
      <c r="AU96" t="s">
        <v>215</v>
      </c>
      <c r="AV96" t="s">
        <v>165</v>
      </c>
    </row>
    <row r="97" spans="1:48" x14ac:dyDescent="0.3">
      <c r="A97" t="s">
        <v>575</v>
      </c>
      <c r="B97" s="12">
        <v>45905</v>
      </c>
      <c r="C97" s="12">
        <v>45910</v>
      </c>
      <c r="D97" t="s">
        <v>576</v>
      </c>
      <c r="E97" t="s">
        <v>243</v>
      </c>
      <c r="F97" t="s">
        <v>43</v>
      </c>
      <c r="G97" t="s">
        <v>7</v>
      </c>
      <c r="H97" t="s">
        <v>311</v>
      </c>
      <c r="I97" t="s">
        <v>312</v>
      </c>
      <c r="J97" t="s">
        <v>18</v>
      </c>
      <c r="K97" t="s">
        <v>26</v>
      </c>
      <c r="M97" t="s">
        <v>38</v>
      </c>
      <c r="N97">
        <v>6</v>
      </c>
      <c r="O97">
        <v>1754.13</v>
      </c>
      <c r="P97">
        <v>0</v>
      </c>
      <c r="Q97">
        <v>0</v>
      </c>
      <c r="R97">
        <v>10524.78</v>
      </c>
      <c r="S97">
        <v>8841.0499999999993</v>
      </c>
      <c r="T97">
        <v>10524.78</v>
      </c>
      <c r="U97">
        <v>1683.73</v>
      </c>
      <c r="V97">
        <v>0.15997769074508</v>
      </c>
      <c r="W97">
        <v>5</v>
      </c>
      <c r="X97" t="s">
        <v>196</v>
      </c>
      <c r="Y97">
        <v>2025</v>
      </c>
      <c r="Z97" t="s">
        <v>129</v>
      </c>
      <c r="AA97" t="s">
        <v>130</v>
      </c>
      <c r="AB97" t="s">
        <v>131</v>
      </c>
      <c r="AC97" t="s">
        <v>131</v>
      </c>
      <c r="AD97" t="s">
        <v>131</v>
      </c>
      <c r="AE97" t="s">
        <v>131</v>
      </c>
      <c r="AF97" t="s">
        <v>131</v>
      </c>
      <c r="AG97" t="s">
        <v>131</v>
      </c>
      <c r="AH97" t="s">
        <v>132</v>
      </c>
      <c r="AI97" t="s">
        <v>133</v>
      </c>
      <c r="AJ97" t="s">
        <v>577</v>
      </c>
      <c r="AK97" t="s">
        <v>578</v>
      </c>
      <c r="AL97" t="s">
        <v>243</v>
      </c>
      <c r="AM97" t="s">
        <v>43</v>
      </c>
      <c r="AN97" t="s">
        <v>7</v>
      </c>
      <c r="AO97" t="s">
        <v>311</v>
      </c>
      <c r="AP97" t="s">
        <v>312</v>
      </c>
      <c r="AQ97" t="s">
        <v>18</v>
      </c>
      <c r="AR97" t="s">
        <v>26</v>
      </c>
      <c r="AS97" t="s">
        <v>38</v>
      </c>
      <c r="AT97">
        <v>0</v>
      </c>
      <c r="AU97" t="s">
        <v>129</v>
      </c>
      <c r="AV97" t="s">
        <v>130</v>
      </c>
    </row>
    <row r="98" spans="1:48" x14ac:dyDescent="0.3">
      <c r="A98" t="s">
        <v>579</v>
      </c>
      <c r="B98" s="12">
        <v>45448</v>
      </c>
      <c r="C98" s="12">
        <v>45450</v>
      </c>
      <c r="D98" t="s">
        <v>580</v>
      </c>
      <c r="E98" t="s">
        <v>227</v>
      </c>
      <c r="F98" t="s">
        <v>41</v>
      </c>
      <c r="G98" t="s">
        <v>8</v>
      </c>
      <c r="H98" t="s">
        <v>140</v>
      </c>
      <c r="I98" t="s">
        <v>141</v>
      </c>
      <c r="J98" t="s">
        <v>15</v>
      </c>
      <c r="K98" t="s">
        <v>16</v>
      </c>
      <c r="M98" t="s">
        <v>37</v>
      </c>
      <c r="N98">
        <v>2</v>
      </c>
      <c r="O98">
        <v>2259.2399999999998</v>
      </c>
      <c r="P98">
        <v>0.15</v>
      </c>
      <c r="Q98">
        <v>0.15</v>
      </c>
      <c r="R98">
        <v>3840.71</v>
      </c>
      <c r="S98">
        <v>2516.29</v>
      </c>
      <c r="T98">
        <v>3840.7080000000001</v>
      </c>
      <c r="U98">
        <v>1324.4179999999999</v>
      </c>
      <c r="V98">
        <v>0.34483694152223998</v>
      </c>
      <c r="W98">
        <v>2</v>
      </c>
      <c r="X98" t="s">
        <v>148</v>
      </c>
      <c r="Y98">
        <v>2024</v>
      </c>
      <c r="Z98" t="s">
        <v>129</v>
      </c>
      <c r="AA98" t="s">
        <v>130</v>
      </c>
      <c r="AB98" t="s">
        <v>131</v>
      </c>
      <c r="AC98" t="s">
        <v>131</v>
      </c>
      <c r="AD98" t="s">
        <v>131</v>
      </c>
      <c r="AE98" t="s">
        <v>131</v>
      </c>
      <c r="AF98" t="s">
        <v>131</v>
      </c>
      <c r="AG98" t="s">
        <v>131</v>
      </c>
      <c r="AH98" t="s">
        <v>132</v>
      </c>
      <c r="AI98" t="s">
        <v>133</v>
      </c>
      <c r="AJ98" t="s">
        <v>581</v>
      </c>
      <c r="AK98" t="s">
        <v>582</v>
      </c>
      <c r="AL98" t="s">
        <v>227</v>
      </c>
      <c r="AM98" t="s">
        <v>41</v>
      </c>
      <c r="AN98" t="s">
        <v>8</v>
      </c>
      <c r="AO98" t="s">
        <v>140</v>
      </c>
      <c r="AP98" t="s">
        <v>141</v>
      </c>
      <c r="AQ98" t="s">
        <v>15</v>
      </c>
      <c r="AR98" t="s">
        <v>16</v>
      </c>
      <c r="AS98" t="s">
        <v>37</v>
      </c>
      <c r="AT98">
        <v>0.15</v>
      </c>
      <c r="AU98" t="s">
        <v>129</v>
      </c>
      <c r="AV98" t="s">
        <v>130</v>
      </c>
    </row>
    <row r="99" spans="1:48" x14ac:dyDescent="0.3">
      <c r="A99" t="s">
        <v>583</v>
      </c>
      <c r="B99" s="12">
        <v>45877</v>
      </c>
      <c r="C99" s="12">
        <v>45880</v>
      </c>
      <c r="D99" t="s">
        <v>584</v>
      </c>
      <c r="E99" t="s">
        <v>277</v>
      </c>
      <c r="F99" t="s">
        <v>44</v>
      </c>
      <c r="G99" t="s">
        <v>7</v>
      </c>
      <c r="H99" t="s">
        <v>300</v>
      </c>
      <c r="I99" t="s">
        <v>301</v>
      </c>
      <c r="J99" t="s">
        <v>20</v>
      </c>
      <c r="K99" t="s">
        <v>21</v>
      </c>
      <c r="M99" t="s">
        <v>38</v>
      </c>
      <c r="N99">
        <v>5</v>
      </c>
      <c r="O99">
        <v>3602.36</v>
      </c>
      <c r="P99">
        <v>0.2</v>
      </c>
      <c r="Q99">
        <v>0.2</v>
      </c>
      <c r="R99">
        <v>14409.44</v>
      </c>
      <c r="S99">
        <v>8809.9699999999993</v>
      </c>
      <c r="T99">
        <v>14409.44</v>
      </c>
      <c r="U99">
        <v>5599.47</v>
      </c>
      <c r="V99">
        <v>0.38859733619072001</v>
      </c>
      <c r="W99">
        <v>3</v>
      </c>
      <c r="X99" t="s">
        <v>142</v>
      </c>
      <c r="Y99">
        <v>2025</v>
      </c>
      <c r="Z99" t="s">
        <v>215</v>
      </c>
      <c r="AA99" t="s">
        <v>204</v>
      </c>
      <c r="AB99" t="s">
        <v>131</v>
      </c>
      <c r="AC99" t="s">
        <v>131</v>
      </c>
      <c r="AD99" t="s">
        <v>131</v>
      </c>
      <c r="AE99" t="s">
        <v>131</v>
      </c>
      <c r="AF99" t="s">
        <v>131</v>
      </c>
      <c r="AG99" t="s">
        <v>131</v>
      </c>
      <c r="AH99" t="s">
        <v>131</v>
      </c>
      <c r="AI99" t="s">
        <v>133</v>
      </c>
      <c r="AJ99" t="s">
        <v>585</v>
      </c>
      <c r="AK99" t="s">
        <v>586</v>
      </c>
      <c r="AL99" t="s">
        <v>277</v>
      </c>
      <c r="AM99" t="s">
        <v>44</v>
      </c>
      <c r="AN99" t="s">
        <v>7</v>
      </c>
      <c r="AO99" t="s">
        <v>300</v>
      </c>
      <c r="AP99" t="s">
        <v>301</v>
      </c>
      <c r="AQ99" t="s">
        <v>20</v>
      </c>
      <c r="AR99" t="s">
        <v>21</v>
      </c>
      <c r="AS99" t="s">
        <v>38</v>
      </c>
      <c r="AT99">
        <v>0.2</v>
      </c>
      <c r="AU99" t="s">
        <v>215</v>
      </c>
      <c r="AV99" t="s">
        <v>204</v>
      </c>
    </row>
    <row r="100" spans="1:48" x14ac:dyDescent="0.3">
      <c r="A100" t="s">
        <v>587</v>
      </c>
      <c r="B100" s="12">
        <v>45317</v>
      </c>
      <c r="C100" s="12">
        <v>45323</v>
      </c>
      <c r="D100" t="s">
        <v>588</v>
      </c>
      <c r="E100" t="s">
        <v>255</v>
      </c>
      <c r="F100" t="s">
        <v>41</v>
      </c>
      <c r="G100" t="s">
        <v>6</v>
      </c>
      <c r="H100" t="s">
        <v>305</v>
      </c>
      <c r="I100" t="s">
        <v>306</v>
      </c>
      <c r="J100" t="s">
        <v>15</v>
      </c>
      <c r="K100" t="s">
        <v>16</v>
      </c>
      <c r="M100" t="s">
        <v>10</v>
      </c>
      <c r="N100">
        <v>8</v>
      </c>
      <c r="O100">
        <v>2108.9299999999998</v>
      </c>
      <c r="P100">
        <v>0.1</v>
      </c>
      <c r="Q100">
        <v>0.1</v>
      </c>
      <c r="R100">
        <v>15184.3</v>
      </c>
      <c r="S100">
        <v>11270.74</v>
      </c>
      <c r="T100">
        <v>15184.296</v>
      </c>
      <c r="U100">
        <v>3913.556</v>
      </c>
      <c r="V100">
        <v>0.25773707256497103</v>
      </c>
      <c r="W100">
        <v>6</v>
      </c>
      <c r="X100" t="s">
        <v>244</v>
      </c>
      <c r="Y100">
        <v>2024</v>
      </c>
      <c r="Z100" t="s">
        <v>129</v>
      </c>
      <c r="AA100" t="s">
        <v>130</v>
      </c>
      <c r="AB100" t="s">
        <v>131</v>
      </c>
      <c r="AC100" t="s">
        <v>132</v>
      </c>
      <c r="AD100" t="s">
        <v>131</v>
      </c>
      <c r="AE100" t="s">
        <v>131</v>
      </c>
      <c r="AF100" t="s">
        <v>131</v>
      </c>
      <c r="AG100" t="s">
        <v>131</v>
      </c>
      <c r="AH100" t="s">
        <v>132</v>
      </c>
      <c r="AI100" t="s">
        <v>321</v>
      </c>
      <c r="AJ100" t="s">
        <v>589</v>
      </c>
      <c r="AK100" t="s">
        <v>590</v>
      </c>
      <c r="AL100" t="s">
        <v>255</v>
      </c>
      <c r="AM100" t="s">
        <v>41</v>
      </c>
      <c r="AN100" t="s">
        <v>6</v>
      </c>
      <c r="AO100" t="s">
        <v>305</v>
      </c>
      <c r="AP100" t="s">
        <v>306</v>
      </c>
      <c r="AQ100" t="s">
        <v>15</v>
      </c>
      <c r="AR100" t="s">
        <v>16</v>
      </c>
      <c r="AT100">
        <v>0.1</v>
      </c>
      <c r="AU100" t="s">
        <v>129</v>
      </c>
      <c r="AV100" t="s">
        <v>130</v>
      </c>
    </row>
    <row r="101" spans="1:48" x14ac:dyDescent="0.3">
      <c r="A101" t="s">
        <v>591</v>
      </c>
      <c r="B101" s="12">
        <v>45668</v>
      </c>
      <c r="C101" s="12">
        <v>45668</v>
      </c>
      <c r="D101" t="s">
        <v>592</v>
      </c>
      <c r="E101" t="s">
        <v>191</v>
      </c>
      <c r="F101" t="s">
        <v>44</v>
      </c>
      <c r="G101" t="s">
        <v>7</v>
      </c>
      <c r="H101" t="s">
        <v>126</v>
      </c>
      <c r="I101" t="s">
        <v>213</v>
      </c>
      <c r="J101" t="s">
        <v>15</v>
      </c>
      <c r="K101" t="s">
        <v>22</v>
      </c>
      <c r="M101" t="s">
        <v>38</v>
      </c>
      <c r="N101">
        <v>3</v>
      </c>
      <c r="O101">
        <v>2165.29</v>
      </c>
      <c r="P101">
        <v>0</v>
      </c>
      <c r="Q101">
        <v>0</v>
      </c>
      <c r="R101">
        <v>6495.87</v>
      </c>
      <c r="S101">
        <v>4700.8900000000003</v>
      </c>
      <c r="T101">
        <v>6495.87</v>
      </c>
      <c r="U101">
        <v>1794.98</v>
      </c>
      <c r="V101">
        <v>0.27632634273777001</v>
      </c>
      <c r="W101">
        <v>0</v>
      </c>
      <c r="X101" t="s">
        <v>244</v>
      </c>
      <c r="Y101">
        <v>2025</v>
      </c>
      <c r="Z101" t="s">
        <v>129</v>
      </c>
      <c r="AA101" t="s">
        <v>130</v>
      </c>
      <c r="AB101" t="s">
        <v>131</v>
      </c>
      <c r="AC101" t="s">
        <v>131</v>
      </c>
      <c r="AD101" t="s">
        <v>131</v>
      </c>
      <c r="AE101" t="s">
        <v>131</v>
      </c>
      <c r="AF101" t="s">
        <v>131</v>
      </c>
      <c r="AG101" t="s">
        <v>131</v>
      </c>
      <c r="AH101" t="s">
        <v>132</v>
      </c>
      <c r="AI101" t="s">
        <v>133</v>
      </c>
      <c r="AJ101" t="s">
        <v>593</v>
      </c>
      <c r="AK101" t="s">
        <v>593</v>
      </c>
      <c r="AL101" t="s">
        <v>191</v>
      </c>
      <c r="AM101" t="s">
        <v>44</v>
      </c>
      <c r="AN101" t="s">
        <v>7</v>
      </c>
      <c r="AO101" t="s">
        <v>126</v>
      </c>
      <c r="AP101" t="s">
        <v>213</v>
      </c>
      <c r="AQ101" t="s">
        <v>15</v>
      </c>
      <c r="AR101" t="s">
        <v>22</v>
      </c>
      <c r="AS101" t="s">
        <v>38</v>
      </c>
      <c r="AT101">
        <v>0</v>
      </c>
      <c r="AU101" t="s">
        <v>129</v>
      </c>
      <c r="AV101" t="s">
        <v>130</v>
      </c>
    </row>
    <row r="102" spans="1:48" x14ac:dyDescent="0.3">
      <c r="A102" t="s">
        <v>594</v>
      </c>
      <c r="B102" s="12">
        <v>45912</v>
      </c>
      <c r="C102" s="12">
        <v>45918</v>
      </c>
      <c r="D102" t="s">
        <v>595</v>
      </c>
      <c r="E102" t="s">
        <v>238</v>
      </c>
      <c r="F102" t="s">
        <v>41</v>
      </c>
      <c r="G102" t="s">
        <v>6</v>
      </c>
      <c r="H102" t="s">
        <v>305</v>
      </c>
      <c r="I102" t="s">
        <v>306</v>
      </c>
      <c r="J102" t="s">
        <v>20</v>
      </c>
      <c r="K102" t="s">
        <v>21</v>
      </c>
      <c r="M102" t="s">
        <v>35</v>
      </c>
      <c r="N102">
        <v>6</v>
      </c>
      <c r="O102">
        <v>1673.8</v>
      </c>
      <c r="P102">
        <v>0.05</v>
      </c>
      <c r="Q102">
        <v>0.05</v>
      </c>
      <c r="R102">
        <v>9540.66</v>
      </c>
      <c r="S102">
        <v>5561.49</v>
      </c>
      <c r="T102">
        <v>9540.66</v>
      </c>
      <c r="U102">
        <v>3979.17</v>
      </c>
      <c r="V102">
        <v>0.41707491934520202</v>
      </c>
      <c r="W102">
        <v>6</v>
      </c>
      <c r="X102" t="s">
        <v>196</v>
      </c>
      <c r="Y102">
        <v>2025</v>
      </c>
      <c r="Z102" t="s">
        <v>129</v>
      </c>
      <c r="AA102" t="s">
        <v>130</v>
      </c>
      <c r="AB102" t="s">
        <v>131</v>
      </c>
      <c r="AC102" t="s">
        <v>131</v>
      </c>
      <c r="AD102" t="s">
        <v>131</v>
      </c>
      <c r="AE102" t="s">
        <v>131</v>
      </c>
      <c r="AF102" t="s">
        <v>131</v>
      </c>
      <c r="AG102" t="s">
        <v>131</v>
      </c>
      <c r="AH102" t="s">
        <v>132</v>
      </c>
      <c r="AI102" t="s">
        <v>133</v>
      </c>
      <c r="AJ102" t="s">
        <v>596</v>
      </c>
      <c r="AK102" t="s">
        <v>597</v>
      </c>
      <c r="AL102" t="s">
        <v>238</v>
      </c>
      <c r="AM102" t="s">
        <v>41</v>
      </c>
      <c r="AN102" t="s">
        <v>6</v>
      </c>
      <c r="AO102" t="s">
        <v>305</v>
      </c>
      <c r="AP102" t="s">
        <v>306</v>
      </c>
      <c r="AQ102" t="s">
        <v>20</v>
      </c>
      <c r="AR102" t="s">
        <v>21</v>
      </c>
      <c r="AS102" t="s">
        <v>35</v>
      </c>
      <c r="AT102">
        <v>0.05</v>
      </c>
      <c r="AU102" t="s">
        <v>129</v>
      </c>
      <c r="AV102" t="s">
        <v>130</v>
      </c>
    </row>
    <row r="103" spans="1:48" x14ac:dyDescent="0.3">
      <c r="A103" t="s">
        <v>598</v>
      </c>
      <c r="B103" s="12">
        <v>45465</v>
      </c>
      <c r="C103" s="12">
        <v>45469</v>
      </c>
      <c r="D103" t="s">
        <v>599</v>
      </c>
      <c r="E103" t="s">
        <v>255</v>
      </c>
      <c r="F103" t="s">
        <v>41</v>
      </c>
      <c r="G103" t="s">
        <v>8</v>
      </c>
      <c r="H103" t="s">
        <v>259</v>
      </c>
      <c r="I103" t="s">
        <v>260</v>
      </c>
      <c r="J103" t="s">
        <v>18</v>
      </c>
      <c r="K103" t="s">
        <v>23</v>
      </c>
      <c r="M103" t="s">
        <v>36</v>
      </c>
      <c r="N103">
        <v>5</v>
      </c>
      <c r="O103">
        <v>4396.5200000000004</v>
      </c>
      <c r="P103">
        <v>0.25</v>
      </c>
      <c r="Q103">
        <v>0.25</v>
      </c>
      <c r="R103">
        <v>16486.95</v>
      </c>
      <c r="S103">
        <v>12054.14</v>
      </c>
      <c r="T103">
        <v>16486.95</v>
      </c>
      <c r="U103">
        <v>4432.8100000000004</v>
      </c>
      <c r="V103">
        <v>0.268867801503614</v>
      </c>
      <c r="W103">
        <v>4</v>
      </c>
      <c r="X103" t="s">
        <v>148</v>
      </c>
      <c r="Y103">
        <v>2024</v>
      </c>
      <c r="Z103" t="s">
        <v>129</v>
      </c>
      <c r="AA103" t="s">
        <v>130</v>
      </c>
      <c r="AB103" t="s">
        <v>131</v>
      </c>
      <c r="AC103" t="s">
        <v>131</v>
      </c>
      <c r="AD103" t="s">
        <v>131</v>
      </c>
      <c r="AE103" t="s">
        <v>131</v>
      </c>
      <c r="AF103" t="s">
        <v>131</v>
      </c>
      <c r="AG103" t="s">
        <v>131</v>
      </c>
      <c r="AH103" t="s">
        <v>132</v>
      </c>
      <c r="AI103" t="s">
        <v>133</v>
      </c>
      <c r="AJ103" t="s">
        <v>374</v>
      </c>
      <c r="AK103" t="s">
        <v>600</v>
      </c>
      <c r="AL103" t="s">
        <v>255</v>
      </c>
      <c r="AM103" t="s">
        <v>601</v>
      </c>
      <c r="AN103" t="s">
        <v>8</v>
      </c>
      <c r="AO103" t="s">
        <v>259</v>
      </c>
      <c r="AP103" t="s">
        <v>260</v>
      </c>
      <c r="AQ103" t="s">
        <v>18</v>
      </c>
      <c r="AR103" t="s">
        <v>23</v>
      </c>
      <c r="AS103" t="s">
        <v>36</v>
      </c>
      <c r="AT103">
        <v>0.25</v>
      </c>
      <c r="AU103" t="s">
        <v>129</v>
      </c>
      <c r="AV103" t="s">
        <v>130</v>
      </c>
    </row>
    <row r="104" spans="1:48" x14ac:dyDescent="0.3">
      <c r="A104" t="s">
        <v>602</v>
      </c>
      <c r="B104" s="12">
        <v>45850</v>
      </c>
      <c r="C104" s="12">
        <v>45854</v>
      </c>
      <c r="D104" t="s">
        <v>603</v>
      </c>
      <c r="E104" t="s">
        <v>170</v>
      </c>
      <c r="F104" t="s">
        <v>42</v>
      </c>
      <c r="G104" t="s">
        <v>6</v>
      </c>
      <c r="H104" t="s">
        <v>294</v>
      </c>
      <c r="I104" t="s">
        <v>295</v>
      </c>
      <c r="J104" t="s">
        <v>18</v>
      </c>
      <c r="K104" t="s">
        <v>19</v>
      </c>
      <c r="M104" t="s">
        <v>36</v>
      </c>
      <c r="N104">
        <v>4</v>
      </c>
      <c r="O104">
        <v>2865.71</v>
      </c>
      <c r="P104">
        <v>0</v>
      </c>
      <c r="Q104">
        <v>0</v>
      </c>
      <c r="R104">
        <v>11462.84</v>
      </c>
      <c r="S104">
        <v>8979.7800000000007</v>
      </c>
      <c r="T104">
        <v>11462.84</v>
      </c>
      <c r="U104">
        <v>2483.06</v>
      </c>
      <c r="V104">
        <v>0.21661822026653099</v>
      </c>
      <c r="W104">
        <v>4</v>
      </c>
      <c r="X104" t="s">
        <v>128</v>
      </c>
      <c r="Y104">
        <v>2025</v>
      </c>
      <c r="Z104" t="s">
        <v>203</v>
      </c>
      <c r="AA104" t="s">
        <v>165</v>
      </c>
      <c r="AB104" t="s">
        <v>131</v>
      </c>
      <c r="AC104" t="s">
        <v>131</v>
      </c>
      <c r="AD104" t="s">
        <v>131</v>
      </c>
      <c r="AE104" t="s">
        <v>131</v>
      </c>
      <c r="AF104" t="s">
        <v>131</v>
      </c>
      <c r="AG104" t="s">
        <v>131</v>
      </c>
      <c r="AH104" t="s">
        <v>131</v>
      </c>
      <c r="AI104" t="s">
        <v>133</v>
      </c>
      <c r="AJ104" t="s">
        <v>604</v>
      </c>
      <c r="AK104" t="s">
        <v>605</v>
      </c>
      <c r="AL104" t="s">
        <v>170</v>
      </c>
      <c r="AM104" t="s">
        <v>42</v>
      </c>
      <c r="AN104" t="s">
        <v>6</v>
      </c>
      <c r="AO104" t="s">
        <v>294</v>
      </c>
      <c r="AP104" t="s">
        <v>295</v>
      </c>
      <c r="AQ104" t="s">
        <v>18</v>
      </c>
      <c r="AR104" t="s">
        <v>19</v>
      </c>
      <c r="AS104" t="s">
        <v>36</v>
      </c>
      <c r="AT104">
        <v>0</v>
      </c>
      <c r="AU104" t="s">
        <v>203</v>
      </c>
      <c r="AV104" t="s">
        <v>165</v>
      </c>
    </row>
    <row r="105" spans="1:48" x14ac:dyDescent="0.3">
      <c r="A105" t="s">
        <v>606</v>
      </c>
      <c r="B105" s="12">
        <v>45779</v>
      </c>
      <c r="C105" s="12">
        <v>45787</v>
      </c>
      <c r="D105" t="s">
        <v>607</v>
      </c>
      <c r="E105" t="s">
        <v>409</v>
      </c>
      <c r="F105" t="s">
        <v>43</v>
      </c>
      <c r="G105" t="s">
        <v>7</v>
      </c>
      <c r="H105" t="s">
        <v>163</v>
      </c>
      <c r="I105" t="s">
        <v>164</v>
      </c>
      <c r="J105" t="s">
        <v>18</v>
      </c>
      <c r="K105" t="s">
        <v>27</v>
      </c>
      <c r="M105" t="s">
        <v>36</v>
      </c>
      <c r="N105">
        <v>4</v>
      </c>
      <c r="O105">
        <v>2440.34</v>
      </c>
      <c r="P105">
        <v>0.2</v>
      </c>
      <c r="Q105">
        <v>0.2</v>
      </c>
      <c r="R105">
        <v>7809.09</v>
      </c>
      <c r="S105">
        <v>6657.75</v>
      </c>
      <c r="T105">
        <v>7809.0879999999997</v>
      </c>
      <c r="U105">
        <v>1151.338</v>
      </c>
      <c r="V105">
        <v>0.14743565445798501</v>
      </c>
      <c r="W105">
        <v>8</v>
      </c>
      <c r="X105" t="s">
        <v>173</v>
      </c>
      <c r="Y105">
        <v>2025</v>
      </c>
      <c r="Z105" t="s">
        <v>129</v>
      </c>
      <c r="AA105" t="s">
        <v>130</v>
      </c>
      <c r="AB105" t="s">
        <v>131</v>
      </c>
      <c r="AC105" t="s">
        <v>131</v>
      </c>
      <c r="AD105" t="s">
        <v>131</v>
      </c>
      <c r="AE105" t="s">
        <v>131</v>
      </c>
      <c r="AF105" t="s">
        <v>131</v>
      </c>
      <c r="AG105" t="s">
        <v>131</v>
      </c>
      <c r="AH105" t="s">
        <v>132</v>
      </c>
      <c r="AI105" t="s">
        <v>133</v>
      </c>
      <c r="AJ105" t="s">
        <v>608</v>
      </c>
      <c r="AK105" t="s">
        <v>609</v>
      </c>
      <c r="AL105" t="s">
        <v>409</v>
      </c>
      <c r="AM105" t="s">
        <v>43</v>
      </c>
      <c r="AN105" t="s">
        <v>7</v>
      </c>
      <c r="AO105" t="s">
        <v>163</v>
      </c>
      <c r="AP105" t="s">
        <v>164</v>
      </c>
      <c r="AQ105" t="s">
        <v>18</v>
      </c>
      <c r="AR105" t="s">
        <v>27</v>
      </c>
      <c r="AS105" t="s">
        <v>36</v>
      </c>
      <c r="AT105">
        <v>0.2</v>
      </c>
      <c r="AU105" t="s">
        <v>129</v>
      </c>
      <c r="AV105" t="s">
        <v>130</v>
      </c>
    </row>
    <row r="106" spans="1:48" x14ac:dyDescent="0.3">
      <c r="A106" t="s">
        <v>610</v>
      </c>
      <c r="B106" s="12">
        <v>45689</v>
      </c>
      <c r="C106" s="12">
        <v>45696</v>
      </c>
      <c r="D106" t="s">
        <v>611</v>
      </c>
      <c r="E106" t="s">
        <v>162</v>
      </c>
      <c r="F106" t="s">
        <v>42</v>
      </c>
      <c r="G106" t="s">
        <v>6</v>
      </c>
      <c r="H106" t="s">
        <v>294</v>
      </c>
      <c r="I106" t="s">
        <v>295</v>
      </c>
      <c r="J106" t="s">
        <v>20</v>
      </c>
      <c r="K106" t="s">
        <v>30</v>
      </c>
      <c r="M106" t="s">
        <v>38</v>
      </c>
      <c r="N106">
        <v>5</v>
      </c>
      <c r="O106">
        <v>2112.54</v>
      </c>
      <c r="P106">
        <v>0.25</v>
      </c>
      <c r="Q106">
        <v>0.25</v>
      </c>
      <c r="R106">
        <v>8260.4599999999991</v>
      </c>
      <c r="S106">
        <v>5619.95</v>
      </c>
      <c r="T106">
        <v>7922.0249999999996</v>
      </c>
      <c r="U106">
        <v>2302.0749999999998</v>
      </c>
      <c r="V106">
        <v>0.29059173633004198</v>
      </c>
      <c r="W106">
        <v>7</v>
      </c>
      <c r="X106" t="s">
        <v>186</v>
      </c>
      <c r="Y106">
        <v>2025</v>
      </c>
      <c r="Z106" t="s">
        <v>129</v>
      </c>
      <c r="AA106" t="s">
        <v>165</v>
      </c>
      <c r="AB106" t="s">
        <v>131</v>
      </c>
      <c r="AC106" t="s">
        <v>131</v>
      </c>
      <c r="AD106" t="s">
        <v>131</v>
      </c>
      <c r="AE106" t="s">
        <v>131</v>
      </c>
      <c r="AF106" t="s">
        <v>131</v>
      </c>
      <c r="AG106" t="s">
        <v>131</v>
      </c>
      <c r="AH106" t="s">
        <v>131</v>
      </c>
      <c r="AI106" t="s">
        <v>133</v>
      </c>
      <c r="AJ106" t="s">
        <v>612</v>
      </c>
      <c r="AK106" t="s">
        <v>613</v>
      </c>
      <c r="AL106" t="s">
        <v>162</v>
      </c>
      <c r="AM106" t="s">
        <v>42</v>
      </c>
      <c r="AN106" t="s">
        <v>6</v>
      </c>
      <c r="AO106" t="s">
        <v>294</v>
      </c>
      <c r="AP106" t="s">
        <v>295</v>
      </c>
      <c r="AQ106" t="s">
        <v>20</v>
      </c>
      <c r="AR106" t="s">
        <v>30</v>
      </c>
      <c r="AS106" t="s">
        <v>38</v>
      </c>
      <c r="AT106">
        <v>0.25</v>
      </c>
      <c r="AU106" t="s">
        <v>129</v>
      </c>
      <c r="AV106" t="s">
        <v>165</v>
      </c>
    </row>
    <row r="107" spans="1:48" x14ac:dyDescent="0.3">
      <c r="A107" t="s">
        <v>614</v>
      </c>
      <c r="B107" s="12">
        <v>45467</v>
      </c>
      <c r="C107" s="12">
        <v>45472</v>
      </c>
      <c r="D107" t="s">
        <v>615</v>
      </c>
      <c r="E107" t="s">
        <v>139</v>
      </c>
      <c r="F107" t="s">
        <v>41</v>
      </c>
      <c r="G107" t="s">
        <v>8</v>
      </c>
      <c r="H107" t="s">
        <v>201</v>
      </c>
      <c r="I107" t="s">
        <v>202</v>
      </c>
      <c r="J107" t="s">
        <v>18</v>
      </c>
      <c r="K107" t="s">
        <v>27</v>
      </c>
      <c r="M107" t="s">
        <v>37</v>
      </c>
      <c r="N107">
        <v>2</v>
      </c>
      <c r="O107">
        <v>685</v>
      </c>
      <c r="P107">
        <v>0.1</v>
      </c>
      <c r="Q107">
        <v>0.1</v>
      </c>
      <c r="R107">
        <v>1233</v>
      </c>
      <c r="S107">
        <v>1006.9</v>
      </c>
      <c r="T107">
        <v>1233</v>
      </c>
      <c r="U107">
        <v>226.1</v>
      </c>
      <c r="V107">
        <v>0.18337388483373901</v>
      </c>
      <c r="W107">
        <v>5</v>
      </c>
      <c r="X107" t="s">
        <v>148</v>
      </c>
      <c r="Y107">
        <v>2024</v>
      </c>
      <c r="Z107" t="s">
        <v>129</v>
      </c>
      <c r="AA107" t="s">
        <v>130</v>
      </c>
      <c r="AB107" t="s">
        <v>131</v>
      </c>
      <c r="AC107" t="s">
        <v>131</v>
      </c>
      <c r="AD107" t="s">
        <v>131</v>
      </c>
      <c r="AE107" t="s">
        <v>131</v>
      </c>
      <c r="AF107" t="s">
        <v>131</v>
      </c>
      <c r="AG107" t="s">
        <v>131</v>
      </c>
      <c r="AH107" t="s">
        <v>132</v>
      </c>
      <c r="AI107" t="s">
        <v>133</v>
      </c>
      <c r="AJ107" t="s">
        <v>616</v>
      </c>
      <c r="AK107" t="s">
        <v>617</v>
      </c>
      <c r="AL107" t="s">
        <v>139</v>
      </c>
      <c r="AM107" t="s">
        <v>41</v>
      </c>
      <c r="AN107" t="s">
        <v>8</v>
      </c>
      <c r="AO107" t="s">
        <v>201</v>
      </c>
      <c r="AP107" t="s">
        <v>202</v>
      </c>
      <c r="AQ107" t="s">
        <v>18</v>
      </c>
      <c r="AR107" t="s">
        <v>27</v>
      </c>
      <c r="AS107" t="s">
        <v>37</v>
      </c>
      <c r="AT107">
        <v>0.1</v>
      </c>
      <c r="AU107" t="s">
        <v>129</v>
      </c>
      <c r="AV107" t="s">
        <v>130</v>
      </c>
    </row>
    <row r="108" spans="1:48" x14ac:dyDescent="0.3">
      <c r="A108" t="s">
        <v>618</v>
      </c>
      <c r="B108" s="12">
        <v>45342</v>
      </c>
      <c r="C108" s="12">
        <v>45350</v>
      </c>
      <c r="D108" t="s">
        <v>619</v>
      </c>
      <c r="E108" t="s">
        <v>154</v>
      </c>
      <c r="F108" t="s">
        <v>41</v>
      </c>
      <c r="G108" t="s">
        <v>8</v>
      </c>
      <c r="H108" t="s">
        <v>201</v>
      </c>
      <c r="I108" t="s">
        <v>202</v>
      </c>
      <c r="J108" t="s">
        <v>20</v>
      </c>
      <c r="K108" t="s">
        <v>24</v>
      </c>
      <c r="M108" t="s">
        <v>35</v>
      </c>
      <c r="N108">
        <v>2</v>
      </c>
      <c r="O108">
        <v>4004.04</v>
      </c>
      <c r="Q108">
        <v>0</v>
      </c>
      <c r="R108">
        <v>7207.27</v>
      </c>
      <c r="S108">
        <v>5709.39</v>
      </c>
      <c r="T108">
        <v>8008.08</v>
      </c>
      <c r="U108">
        <v>2298.69</v>
      </c>
      <c r="V108">
        <v>0.28704633320346401</v>
      </c>
      <c r="W108">
        <v>8</v>
      </c>
      <c r="X108" t="s">
        <v>186</v>
      </c>
      <c r="Y108">
        <v>2024</v>
      </c>
      <c r="Z108" t="s">
        <v>129</v>
      </c>
      <c r="AA108" t="s">
        <v>165</v>
      </c>
      <c r="AB108" t="s">
        <v>131</v>
      </c>
      <c r="AC108" t="s">
        <v>131</v>
      </c>
      <c r="AD108" t="s">
        <v>132</v>
      </c>
      <c r="AE108" t="s">
        <v>131</v>
      </c>
      <c r="AF108" t="s">
        <v>131</v>
      </c>
      <c r="AG108" t="s">
        <v>131</v>
      </c>
      <c r="AH108" t="s">
        <v>131</v>
      </c>
      <c r="AI108" t="s">
        <v>321</v>
      </c>
      <c r="AJ108" t="s">
        <v>620</v>
      </c>
      <c r="AK108" t="s">
        <v>621</v>
      </c>
      <c r="AL108" t="s">
        <v>154</v>
      </c>
      <c r="AM108" t="s">
        <v>41</v>
      </c>
      <c r="AN108" t="s">
        <v>8</v>
      </c>
      <c r="AO108" t="s">
        <v>201</v>
      </c>
      <c r="AP108" t="s">
        <v>202</v>
      </c>
      <c r="AQ108" t="s">
        <v>20</v>
      </c>
      <c r="AR108" t="s">
        <v>24</v>
      </c>
      <c r="AS108" t="s">
        <v>35</v>
      </c>
      <c r="AU108" t="s">
        <v>129</v>
      </c>
      <c r="AV108" t="s">
        <v>165</v>
      </c>
    </row>
    <row r="109" spans="1:48" x14ac:dyDescent="0.3">
      <c r="A109" t="s">
        <v>622</v>
      </c>
      <c r="B109" s="12">
        <v>45594</v>
      </c>
      <c r="C109" s="12">
        <v>45600</v>
      </c>
      <c r="D109" t="s">
        <v>623</v>
      </c>
      <c r="E109" t="s">
        <v>255</v>
      </c>
      <c r="F109" t="s">
        <v>41</v>
      </c>
      <c r="G109" t="s">
        <v>8</v>
      </c>
      <c r="H109" t="s">
        <v>201</v>
      </c>
      <c r="I109" t="s">
        <v>202</v>
      </c>
      <c r="J109" t="s">
        <v>18</v>
      </c>
      <c r="K109" t="s">
        <v>23</v>
      </c>
      <c r="M109" t="s">
        <v>36</v>
      </c>
      <c r="N109">
        <v>3</v>
      </c>
      <c r="O109">
        <v>4302.8900000000003</v>
      </c>
      <c r="P109">
        <v>0.05</v>
      </c>
      <c r="Q109">
        <v>0.05</v>
      </c>
      <c r="R109">
        <v>12263.24</v>
      </c>
      <c r="S109">
        <v>8925.57</v>
      </c>
      <c r="T109">
        <v>12263.236500000001</v>
      </c>
      <c r="U109">
        <v>3337.6664999999998</v>
      </c>
      <c r="V109">
        <v>0.27216848504878799</v>
      </c>
      <c r="W109">
        <v>6</v>
      </c>
      <c r="X109" t="s">
        <v>222</v>
      </c>
      <c r="Y109">
        <v>2024</v>
      </c>
      <c r="Z109" t="s">
        <v>129</v>
      </c>
      <c r="AA109" t="s">
        <v>130</v>
      </c>
      <c r="AB109" t="s">
        <v>131</v>
      </c>
      <c r="AC109" t="s">
        <v>131</v>
      </c>
      <c r="AD109" t="s">
        <v>131</v>
      </c>
      <c r="AE109" t="s">
        <v>131</v>
      </c>
      <c r="AF109" t="s">
        <v>131</v>
      </c>
      <c r="AG109" t="s">
        <v>131</v>
      </c>
      <c r="AH109" t="s">
        <v>132</v>
      </c>
      <c r="AI109" t="s">
        <v>133</v>
      </c>
      <c r="AJ109" t="s">
        <v>624</v>
      </c>
      <c r="AK109" t="s">
        <v>625</v>
      </c>
      <c r="AL109" t="s">
        <v>255</v>
      </c>
      <c r="AM109" t="s">
        <v>41</v>
      </c>
      <c r="AN109" t="s">
        <v>8</v>
      </c>
      <c r="AO109" t="s">
        <v>201</v>
      </c>
      <c r="AP109" t="s">
        <v>202</v>
      </c>
      <c r="AQ109" t="s">
        <v>18</v>
      </c>
      <c r="AR109" t="s">
        <v>23</v>
      </c>
      <c r="AS109" t="s">
        <v>36</v>
      </c>
      <c r="AT109">
        <v>0.05</v>
      </c>
      <c r="AU109" t="s">
        <v>129</v>
      </c>
      <c r="AV109" t="s">
        <v>130</v>
      </c>
    </row>
    <row r="110" spans="1:48" x14ac:dyDescent="0.3">
      <c r="A110" t="s">
        <v>626</v>
      </c>
      <c r="B110" s="12">
        <v>45519</v>
      </c>
      <c r="C110" s="12">
        <v>45527</v>
      </c>
      <c r="D110" t="s">
        <v>627</v>
      </c>
      <c r="E110" t="s">
        <v>191</v>
      </c>
      <c r="F110" t="s">
        <v>44</v>
      </c>
      <c r="G110" t="s">
        <v>8</v>
      </c>
      <c r="H110" t="s">
        <v>140</v>
      </c>
      <c r="I110" t="s">
        <v>141</v>
      </c>
      <c r="J110" t="s">
        <v>18</v>
      </c>
      <c r="K110" t="s">
        <v>26</v>
      </c>
      <c r="M110" t="s">
        <v>38</v>
      </c>
      <c r="N110">
        <v>2</v>
      </c>
      <c r="O110">
        <v>537.54</v>
      </c>
      <c r="P110">
        <v>0.25</v>
      </c>
      <c r="Q110">
        <v>0.25</v>
      </c>
      <c r="R110">
        <v>806.31</v>
      </c>
      <c r="S110">
        <v>498.5</v>
      </c>
      <c r="T110">
        <v>806.31</v>
      </c>
      <c r="U110">
        <v>307.81</v>
      </c>
      <c r="V110">
        <v>0.38175143555208302</v>
      </c>
      <c r="W110">
        <v>8</v>
      </c>
      <c r="X110" t="s">
        <v>142</v>
      </c>
      <c r="Y110">
        <v>2024</v>
      </c>
      <c r="Z110" t="s">
        <v>129</v>
      </c>
      <c r="AA110" t="s">
        <v>130</v>
      </c>
      <c r="AB110" t="s">
        <v>131</v>
      </c>
      <c r="AC110" t="s">
        <v>131</v>
      </c>
      <c r="AD110" t="s">
        <v>131</v>
      </c>
      <c r="AE110" t="s">
        <v>131</v>
      </c>
      <c r="AF110" t="s">
        <v>131</v>
      </c>
      <c r="AG110" t="s">
        <v>131</v>
      </c>
      <c r="AH110" t="s">
        <v>132</v>
      </c>
      <c r="AI110" t="s">
        <v>133</v>
      </c>
      <c r="AJ110" t="s">
        <v>628</v>
      </c>
      <c r="AK110" t="s">
        <v>629</v>
      </c>
      <c r="AL110" t="s">
        <v>191</v>
      </c>
      <c r="AM110" t="s">
        <v>44</v>
      </c>
      <c r="AN110" t="s">
        <v>8</v>
      </c>
      <c r="AO110" t="s">
        <v>140</v>
      </c>
      <c r="AP110" t="s">
        <v>141</v>
      </c>
      <c r="AQ110" t="s">
        <v>18</v>
      </c>
      <c r="AR110" t="s">
        <v>26</v>
      </c>
      <c r="AS110" t="s">
        <v>38</v>
      </c>
      <c r="AT110">
        <v>0.25</v>
      </c>
      <c r="AU110" t="s">
        <v>129</v>
      </c>
      <c r="AV110" t="s">
        <v>130</v>
      </c>
    </row>
    <row r="111" spans="1:48" x14ac:dyDescent="0.3">
      <c r="A111" t="s">
        <v>630</v>
      </c>
      <c r="B111" s="12">
        <v>45892</v>
      </c>
      <c r="C111" s="12">
        <v>45896</v>
      </c>
      <c r="D111" t="s">
        <v>631</v>
      </c>
      <c r="E111" t="s">
        <v>243</v>
      </c>
      <c r="F111" t="s">
        <v>42</v>
      </c>
      <c r="G111" t="s">
        <v>9</v>
      </c>
      <c r="H111" t="s">
        <v>522</v>
      </c>
      <c r="I111" t="s">
        <v>523</v>
      </c>
      <c r="J111" t="s">
        <v>20</v>
      </c>
      <c r="K111" t="s">
        <v>28</v>
      </c>
      <c r="M111" t="s">
        <v>37</v>
      </c>
      <c r="N111">
        <v>1</v>
      </c>
      <c r="O111">
        <v>2788.62</v>
      </c>
      <c r="P111">
        <v>0.25</v>
      </c>
      <c r="Q111">
        <v>0.25</v>
      </c>
      <c r="R111">
        <v>2091.4699999999998</v>
      </c>
      <c r="S111">
        <v>1317.22</v>
      </c>
      <c r="T111">
        <v>2091.4650000000001</v>
      </c>
      <c r="U111">
        <v>774.245</v>
      </c>
      <c r="V111">
        <v>0.370192663993899</v>
      </c>
      <c r="W111">
        <v>4</v>
      </c>
      <c r="X111" t="s">
        <v>142</v>
      </c>
      <c r="Y111">
        <v>2025</v>
      </c>
      <c r="Z111" t="s">
        <v>129</v>
      </c>
      <c r="AA111" t="s">
        <v>130</v>
      </c>
      <c r="AB111" t="s">
        <v>131</v>
      </c>
      <c r="AC111" t="s">
        <v>131</v>
      </c>
      <c r="AD111" t="s">
        <v>131</v>
      </c>
      <c r="AE111" t="s">
        <v>131</v>
      </c>
      <c r="AF111" t="s">
        <v>131</v>
      </c>
      <c r="AG111" t="s">
        <v>131</v>
      </c>
      <c r="AH111" t="s">
        <v>132</v>
      </c>
      <c r="AI111" t="s">
        <v>133</v>
      </c>
      <c r="AJ111" t="s">
        <v>632</v>
      </c>
      <c r="AK111" t="s">
        <v>502</v>
      </c>
      <c r="AL111" t="s">
        <v>243</v>
      </c>
      <c r="AM111" t="s">
        <v>42</v>
      </c>
      <c r="AN111" t="s">
        <v>9</v>
      </c>
      <c r="AO111" t="s">
        <v>522</v>
      </c>
      <c r="AP111" t="s">
        <v>523</v>
      </c>
      <c r="AQ111" t="s">
        <v>20</v>
      </c>
      <c r="AR111" t="s">
        <v>28</v>
      </c>
      <c r="AS111" t="s">
        <v>37</v>
      </c>
      <c r="AT111">
        <v>0.25</v>
      </c>
      <c r="AU111" t="s">
        <v>129</v>
      </c>
      <c r="AV111" t="s">
        <v>130</v>
      </c>
    </row>
    <row r="112" spans="1:48" x14ac:dyDescent="0.3">
      <c r="A112" t="s">
        <v>633</v>
      </c>
      <c r="B112" s="12">
        <v>45583</v>
      </c>
      <c r="C112" s="12">
        <v>45589</v>
      </c>
      <c r="D112" t="s">
        <v>634</v>
      </c>
      <c r="E112" t="s">
        <v>170</v>
      </c>
      <c r="F112" t="s">
        <v>43</v>
      </c>
      <c r="G112" t="s">
        <v>6</v>
      </c>
      <c r="H112" t="s">
        <v>305</v>
      </c>
      <c r="I112" t="s">
        <v>306</v>
      </c>
      <c r="J112" t="s">
        <v>20</v>
      </c>
      <c r="K112" t="s">
        <v>30</v>
      </c>
      <c r="M112" t="s">
        <v>36</v>
      </c>
      <c r="N112">
        <v>2</v>
      </c>
      <c r="O112">
        <v>2250.4699999999998</v>
      </c>
      <c r="P112">
        <v>0</v>
      </c>
      <c r="Q112">
        <v>0</v>
      </c>
      <c r="R112">
        <v>4500.9399999999996</v>
      </c>
      <c r="S112">
        <v>2607.73</v>
      </c>
      <c r="T112">
        <v>4500.9399999999996</v>
      </c>
      <c r="U112">
        <v>1893.21</v>
      </c>
      <c r="V112">
        <v>0.42062546934640299</v>
      </c>
      <c r="W112">
        <v>6</v>
      </c>
      <c r="X112" t="s">
        <v>222</v>
      </c>
      <c r="Y112">
        <v>2024</v>
      </c>
      <c r="Z112" t="s">
        <v>203</v>
      </c>
      <c r="AA112" t="s">
        <v>165</v>
      </c>
      <c r="AB112" t="s">
        <v>131</v>
      </c>
      <c r="AC112" t="s">
        <v>131</v>
      </c>
      <c r="AD112" t="s">
        <v>131</v>
      </c>
      <c r="AE112" t="s">
        <v>131</v>
      </c>
      <c r="AF112" t="s">
        <v>131</v>
      </c>
      <c r="AG112" t="s">
        <v>131</v>
      </c>
      <c r="AH112" t="s">
        <v>131</v>
      </c>
      <c r="AI112" t="s">
        <v>133</v>
      </c>
      <c r="AJ112" t="s">
        <v>635</v>
      </c>
      <c r="AK112" t="s">
        <v>636</v>
      </c>
      <c r="AL112" t="s">
        <v>170</v>
      </c>
      <c r="AM112" t="s">
        <v>43</v>
      </c>
      <c r="AN112" t="s">
        <v>6</v>
      </c>
      <c r="AO112" t="s">
        <v>305</v>
      </c>
      <c r="AP112" t="s">
        <v>306</v>
      </c>
      <c r="AQ112" t="s">
        <v>20</v>
      </c>
      <c r="AR112" t="s">
        <v>30</v>
      </c>
      <c r="AS112" t="s">
        <v>36</v>
      </c>
      <c r="AT112">
        <v>0</v>
      </c>
      <c r="AU112" t="s">
        <v>203</v>
      </c>
      <c r="AV112" t="s">
        <v>165</v>
      </c>
    </row>
    <row r="113" spans="1:48" x14ac:dyDescent="0.3">
      <c r="A113" t="s">
        <v>637</v>
      </c>
      <c r="B113" s="12">
        <v>45835</v>
      </c>
      <c r="C113" s="12">
        <v>45838</v>
      </c>
      <c r="D113" t="s">
        <v>638</v>
      </c>
      <c r="E113" t="s">
        <v>178</v>
      </c>
      <c r="F113" t="s">
        <v>43</v>
      </c>
      <c r="G113" t="s">
        <v>8</v>
      </c>
      <c r="H113" t="s">
        <v>259</v>
      </c>
      <c r="I113" t="s">
        <v>260</v>
      </c>
      <c r="J113" t="s">
        <v>15</v>
      </c>
      <c r="K113" t="s">
        <v>22</v>
      </c>
      <c r="M113" t="s">
        <v>36</v>
      </c>
      <c r="N113">
        <v>1</v>
      </c>
      <c r="O113">
        <v>1708.44</v>
      </c>
      <c r="P113">
        <v>0.05</v>
      </c>
      <c r="Q113">
        <v>0.05</v>
      </c>
      <c r="R113">
        <v>1623.02</v>
      </c>
      <c r="S113">
        <v>1077.46</v>
      </c>
      <c r="T113">
        <v>1623.018</v>
      </c>
      <c r="U113">
        <v>545.55799999999999</v>
      </c>
      <c r="V113">
        <v>0.33613798491452301</v>
      </c>
      <c r="W113">
        <v>3</v>
      </c>
      <c r="X113" t="s">
        <v>148</v>
      </c>
      <c r="Y113">
        <v>2025</v>
      </c>
      <c r="Z113" t="s">
        <v>215</v>
      </c>
      <c r="AA113" t="s">
        <v>165</v>
      </c>
      <c r="AB113" t="s">
        <v>131</v>
      </c>
      <c r="AC113" t="s">
        <v>131</v>
      </c>
      <c r="AD113" t="s">
        <v>131</v>
      </c>
      <c r="AE113" t="s">
        <v>131</v>
      </c>
      <c r="AF113" t="s">
        <v>131</v>
      </c>
      <c r="AG113" t="s">
        <v>131</v>
      </c>
      <c r="AH113" t="s">
        <v>131</v>
      </c>
      <c r="AI113" t="s">
        <v>133</v>
      </c>
      <c r="AJ113" t="s">
        <v>639</v>
      </c>
      <c r="AK113" t="s">
        <v>640</v>
      </c>
      <c r="AL113" t="s">
        <v>178</v>
      </c>
      <c r="AM113" t="s">
        <v>43</v>
      </c>
      <c r="AN113" t="s">
        <v>8</v>
      </c>
      <c r="AO113" t="s">
        <v>259</v>
      </c>
      <c r="AP113" t="s">
        <v>260</v>
      </c>
      <c r="AQ113" t="s">
        <v>15</v>
      </c>
      <c r="AR113" t="s">
        <v>22</v>
      </c>
      <c r="AS113" t="s">
        <v>36</v>
      </c>
      <c r="AT113">
        <v>0.05</v>
      </c>
      <c r="AU113" t="s">
        <v>215</v>
      </c>
      <c r="AV113" t="s">
        <v>165</v>
      </c>
    </row>
    <row r="114" spans="1:48" x14ac:dyDescent="0.3">
      <c r="A114" t="s">
        <v>641</v>
      </c>
      <c r="B114" s="12">
        <v>45301</v>
      </c>
      <c r="C114" s="12">
        <v>45305</v>
      </c>
      <c r="D114" t="s">
        <v>642</v>
      </c>
      <c r="E114" t="s">
        <v>243</v>
      </c>
      <c r="F114" t="s">
        <v>42</v>
      </c>
      <c r="G114" t="s">
        <v>10</v>
      </c>
      <c r="H114" t="s">
        <v>300</v>
      </c>
      <c r="I114" t="s">
        <v>301</v>
      </c>
      <c r="J114" t="s">
        <v>15</v>
      </c>
      <c r="K114" t="s">
        <v>22</v>
      </c>
      <c r="M114" t="s">
        <v>35</v>
      </c>
      <c r="N114">
        <v>3</v>
      </c>
      <c r="O114">
        <v>3829.48</v>
      </c>
      <c r="P114">
        <v>0.05</v>
      </c>
      <c r="Q114">
        <v>0.05</v>
      </c>
      <c r="R114">
        <v>10914.02</v>
      </c>
      <c r="S114">
        <v>6548.74</v>
      </c>
      <c r="T114">
        <v>10914.018</v>
      </c>
      <c r="U114">
        <v>4365.2780000000002</v>
      </c>
      <c r="V114">
        <v>0.39996983695647198</v>
      </c>
      <c r="W114">
        <v>4</v>
      </c>
      <c r="X114" t="s">
        <v>244</v>
      </c>
      <c r="Y114">
        <v>2024</v>
      </c>
      <c r="Z114" t="s">
        <v>129</v>
      </c>
      <c r="AA114" t="s">
        <v>130</v>
      </c>
      <c r="AB114" t="s">
        <v>132</v>
      </c>
      <c r="AC114" t="s">
        <v>131</v>
      </c>
      <c r="AD114" t="s">
        <v>131</v>
      </c>
      <c r="AE114" t="s">
        <v>131</v>
      </c>
      <c r="AF114" t="s">
        <v>131</v>
      </c>
      <c r="AG114" t="s">
        <v>131</v>
      </c>
      <c r="AH114" t="s">
        <v>132</v>
      </c>
      <c r="AI114" t="s">
        <v>321</v>
      </c>
      <c r="AJ114" t="s">
        <v>643</v>
      </c>
      <c r="AK114" t="s">
        <v>644</v>
      </c>
      <c r="AL114" t="s">
        <v>243</v>
      </c>
      <c r="AM114" t="s">
        <v>645</v>
      </c>
      <c r="AO114" t="s">
        <v>300</v>
      </c>
      <c r="AP114" t="s">
        <v>301</v>
      </c>
      <c r="AQ114" t="s">
        <v>15</v>
      </c>
      <c r="AR114" t="s">
        <v>22</v>
      </c>
      <c r="AS114" t="s">
        <v>35</v>
      </c>
      <c r="AT114">
        <v>0.05</v>
      </c>
      <c r="AU114" t="s">
        <v>129</v>
      </c>
      <c r="AV114" t="s">
        <v>130</v>
      </c>
    </row>
    <row r="115" spans="1:48" x14ac:dyDescent="0.3">
      <c r="A115" t="s">
        <v>646</v>
      </c>
      <c r="B115" s="12">
        <v>45334</v>
      </c>
      <c r="C115" s="12">
        <v>45334</v>
      </c>
      <c r="D115" t="s">
        <v>535</v>
      </c>
      <c r="E115" t="s">
        <v>147</v>
      </c>
      <c r="F115" t="s">
        <v>41</v>
      </c>
      <c r="G115" t="s">
        <v>6</v>
      </c>
      <c r="H115" t="s">
        <v>385</v>
      </c>
      <c r="I115" t="s">
        <v>386</v>
      </c>
      <c r="J115" t="s">
        <v>18</v>
      </c>
      <c r="K115" t="s">
        <v>27</v>
      </c>
      <c r="M115" t="s">
        <v>35</v>
      </c>
      <c r="N115">
        <v>3</v>
      </c>
      <c r="O115">
        <v>1089.1500000000001</v>
      </c>
      <c r="P115">
        <v>0.25</v>
      </c>
      <c r="Q115">
        <v>0.25</v>
      </c>
      <c r="R115">
        <v>2450.59</v>
      </c>
      <c r="S115">
        <v>1639.89</v>
      </c>
      <c r="T115">
        <v>2450.5875000000001</v>
      </c>
      <c r="U115">
        <v>810.69749999999999</v>
      </c>
      <c r="V115">
        <v>0.33081761006289301</v>
      </c>
      <c r="W115">
        <v>0</v>
      </c>
      <c r="X115" t="s">
        <v>186</v>
      </c>
      <c r="Y115">
        <v>2024</v>
      </c>
      <c r="Z115" t="s">
        <v>129</v>
      </c>
      <c r="AA115" t="s">
        <v>130</v>
      </c>
      <c r="AB115" t="s">
        <v>131</v>
      </c>
      <c r="AC115" t="s">
        <v>131</v>
      </c>
      <c r="AD115" t="s">
        <v>131</v>
      </c>
      <c r="AE115" t="s">
        <v>131</v>
      </c>
      <c r="AF115" t="s">
        <v>131</v>
      </c>
      <c r="AG115" t="s">
        <v>131</v>
      </c>
      <c r="AH115" t="s">
        <v>132</v>
      </c>
      <c r="AI115" t="s">
        <v>133</v>
      </c>
      <c r="AJ115" t="s">
        <v>647</v>
      </c>
      <c r="AK115" t="s">
        <v>647</v>
      </c>
      <c r="AL115" t="s">
        <v>147</v>
      </c>
      <c r="AM115" t="s">
        <v>41</v>
      </c>
      <c r="AN115" t="s">
        <v>6</v>
      </c>
      <c r="AO115" t="s">
        <v>385</v>
      </c>
      <c r="AP115" t="s">
        <v>386</v>
      </c>
      <c r="AQ115" t="s">
        <v>18</v>
      </c>
      <c r="AR115" t="s">
        <v>27</v>
      </c>
      <c r="AS115" t="s">
        <v>35</v>
      </c>
      <c r="AT115">
        <v>0.25</v>
      </c>
      <c r="AU115" t="s">
        <v>129</v>
      </c>
      <c r="AV115" t="s">
        <v>130</v>
      </c>
    </row>
    <row r="116" spans="1:48" x14ac:dyDescent="0.3">
      <c r="A116" t="s">
        <v>648</v>
      </c>
      <c r="B116" s="12">
        <v>45560</v>
      </c>
      <c r="C116" s="12">
        <v>45565</v>
      </c>
      <c r="D116" t="s">
        <v>649</v>
      </c>
      <c r="E116" t="s">
        <v>178</v>
      </c>
      <c r="F116" t="s">
        <v>44</v>
      </c>
      <c r="G116" t="s">
        <v>9</v>
      </c>
      <c r="H116" t="s">
        <v>126</v>
      </c>
      <c r="I116" t="s">
        <v>127</v>
      </c>
      <c r="J116" t="s">
        <v>15</v>
      </c>
      <c r="K116" t="s">
        <v>22</v>
      </c>
      <c r="M116" t="s">
        <v>37</v>
      </c>
      <c r="N116">
        <v>1</v>
      </c>
      <c r="O116">
        <v>4388.3999999999996</v>
      </c>
      <c r="P116">
        <v>0.1</v>
      </c>
      <c r="Q116">
        <v>0.1</v>
      </c>
      <c r="R116">
        <v>3949.56</v>
      </c>
      <c r="S116">
        <v>3186.73</v>
      </c>
      <c r="T116">
        <v>3949.56</v>
      </c>
      <c r="U116">
        <v>762.83</v>
      </c>
      <c r="V116">
        <v>0.19314303365438201</v>
      </c>
      <c r="W116">
        <v>5</v>
      </c>
      <c r="X116" t="s">
        <v>196</v>
      </c>
      <c r="Y116">
        <v>2024</v>
      </c>
      <c r="Z116" t="s">
        <v>215</v>
      </c>
      <c r="AA116" t="s">
        <v>165</v>
      </c>
      <c r="AB116" t="s">
        <v>131</v>
      </c>
      <c r="AC116" t="s">
        <v>131</v>
      </c>
      <c r="AD116" t="s">
        <v>131</v>
      </c>
      <c r="AE116" t="s">
        <v>131</v>
      </c>
      <c r="AF116" t="s">
        <v>131</v>
      </c>
      <c r="AG116" t="s">
        <v>131</v>
      </c>
      <c r="AH116" t="s">
        <v>131</v>
      </c>
      <c r="AI116" t="s">
        <v>133</v>
      </c>
      <c r="AJ116" t="s">
        <v>650</v>
      </c>
      <c r="AK116" t="s">
        <v>651</v>
      </c>
      <c r="AL116" t="s">
        <v>178</v>
      </c>
      <c r="AM116" t="s">
        <v>44</v>
      </c>
      <c r="AN116" t="s">
        <v>9</v>
      </c>
      <c r="AO116" t="s">
        <v>126</v>
      </c>
      <c r="AP116" t="s">
        <v>127</v>
      </c>
      <c r="AQ116" t="s">
        <v>15</v>
      </c>
      <c r="AR116" t="s">
        <v>22</v>
      </c>
      <c r="AS116" t="s">
        <v>37</v>
      </c>
      <c r="AT116">
        <v>0.1</v>
      </c>
      <c r="AU116" t="s">
        <v>215</v>
      </c>
      <c r="AV116" t="s">
        <v>165</v>
      </c>
    </row>
    <row r="117" spans="1:48" x14ac:dyDescent="0.3">
      <c r="A117" t="s">
        <v>652</v>
      </c>
      <c r="B117" s="12">
        <v>45653</v>
      </c>
      <c r="C117" s="12">
        <v>45658</v>
      </c>
      <c r="D117" t="s">
        <v>653</v>
      </c>
      <c r="E117" t="s">
        <v>409</v>
      </c>
      <c r="F117" t="s">
        <v>43</v>
      </c>
      <c r="G117" t="s">
        <v>6</v>
      </c>
      <c r="H117" t="s">
        <v>385</v>
      </c>
      <c r="I117" t="s">
        <v>386</v>
      </c>
      <c r="J117" t="s">
        <v>20</v>
      </c>
      <c r="K117" t="s">
        <v>28</v>
      </c>
      <c r="M117" t="s">
        <v>38</v>
      </c>
      <c r="N117">
        <v>2</v>
      </c>
      <c r="O117">
        <v>446.34</v>
      </c>
      <c r="P117">
        <v>0.15</v>
      </c>
      <c r="Q117">
        <v>0.15</v>
      </c>
      <c r="R117">
        <v>758.78</v>
      </c>
      <c r="S117">
        <v>490.74</v>
      </c>
      <c r="T117">
        <v>758.77800000000002</v>
      </c>
      <c r="U117">
        <v>268.03800000000001</v>
      </c>
      <c r="V117">
        <v>0.35324956706704702</v>
      </c>
      <c r="W117">
        <v>5</v>
      </c>
      <c r="X117" t="s">
        <v>214</v>
      </c>
      <c r="Y117">
        <v>2024</v>
      </c>
      <c r="Z117" t="s">
        <v>129</v>
      </c>
      <c r="AA117" t="s">
        <v>165</v>
      </c>
      <c r="AB117" t="s">
        <v>131</v>
      </c>
      <c r="AC117" t="s">
        <v>131</v>
      </c>
      <c r="AD117" t="s">
        <v>131</v>
      </c>
      <c r="AE117" t="s">
        <v>131</v>
      </c>
      <c r="AF117" t="s">
        <v>131</v>
      </c>
      <c r="AG117" t="s">
        <v>131</v>
      </c>
      <c r="AH117" t="s">
        <v>131</v>
      </c>
      <c r="AI117" t="s">
        <v>133</v>
      </c>
      <c r="AJ117" t="s">
        <v>654</v>
      </c>
      <c r="AK117" t="s">
        <v>655</v>
      </c>
      <c r="AL117" t="s">
        <v>409</v>
      </c>
      <c r="AM117" t="s">
        <v>43</v>
      </c>
      <c r="AN117" t="s">
        <v>6</v>
      </c>
      <c r="AO117" t="s">
        <v>385</v>
      </c>
      <c r="AP117" t="s">
        <v>386</v>
      </c>
      <c r="AQ117" t="s">
        <v>20</v>
      </c>
      <c r="AR117" t="s">
        <v>28</v>
      </c>
      <c r="AS117" t="s">
        <v>38</v>
      </c>
      <c r="AT117">
        <v>0.15</v>
      </c>
      <c r="AU117" t="s">
        <v>129</v>
      </c>
      <c r="AV117" t="s">
        <v>165</v>
      </c>
    </row>
    <row r="118" spans="1:48" x14ac:dyDescent="0.3">
      <c r="A118" t="s">
        <v>656</v>
      </c>
      <c r="B118" s="12">
        <v>45703</v>
      </c>
      <c r="C118" s="12">
        <v>45707</v>
      </c>
      <c r="D118" t="s">
        <v>657</v>
      </c>
      <c r="E118" t="s">
        <v>162</v>
      </c>
      <c r="F118" t="s">
        <v>44</v>
      </c>
      <c r="G118" t="s">
        <v>10</v>
      </c>
      <c r="H118" t="s">
        <v>171</v>
      </c>
      <c r="I118" t="s">
        <v>172</v>
      </c>
      <c r="J118" t="s">
        <v>20</v>
      </c>
      <c r="K118" t="s">
        <v>28</v>
      </c>
      <c r="M118" t="s">
        <v>36</v>
      </c>
      <c r="N118">
        <v>9</v>
      </c>
      <c r="O118">
        <v>531.99</v>
      </c>
      <c r="P118">
        <v>0.25</v>
      </c>
      <c r="Q118">
        <v>0.25</v>
      </c>
      <c r="R118">
        <v>3590.93</v>
      </c>
      <c r="S118">
        <v>3061.39</v>
      </c>
      <c r="T118">
        <v>3590.9324999999999</v>
      </c>
      <c r="U118">
        <v>529.54250000000002</v>
      </c>
      <c r="V118">
        <v>0.147466570312864</v>
      </c>
      <c r="W118">
        <v>4</v>
      </c>
      <c r="X118" t="s">
        <v>186</v>
      </c>
      <c r="Y118">
        <v>2025</v>
      </c>
      <c r="Z118" t="s">
        <v>269</v>
      </c>
      <c r="AA118" t="s">
        <v>165</v>
      </c>
      <c r="AB118" t="s">
        <v>132</v>
      </c>
      <c r="AC118" t="s">
        <v>131</v>
      </c>
      <c r="AD118" t="s">
        <v>131</v>
      </c>
      <c r="AE118" t="s">
        <v>131</v>
      </c>
      <c r="AF118" t="s">
        <v>131</v>
      </c>
      <c r="AG118" t="s">
        <v>131</v>
      </c>
      <c r="AH118" t="s">
        <v>131</v>
      </c>
      <c r="AI118" t="s">
        <v>321</v>
      </c>
      <c r="AJ118" t="s">
        <v>658</v>
      </c>
      <c r="AK118" t="s">
        <v>659</v>
      </c>
      <c r="AL118" t="s">
        <v>162</v>
      </c>
      <c r="AM118" t="s">
        <v>44</v>
      </c>
      <c r="AO118" t="s">
        <v>171</v>
      </c>
      <c r="AP118" t="s">
        <v>172</v>
      </c>
      <c r="AQ118" t="s">
        <v>20</v>
      </c>
      <c r="AR118" t="s">
        <v>28</v>
      </c>
      <c r="AS118" t="s">
        <v>36</v>
      </c>
      <c r="AT118">
        <v>0.25</v>
      </c>
      <c r="AU118" t="s">
        <v>269</v>
      </c>
      <c r="AV118" t="s">
        <v>165</v>
      </c>
    </row>
    <row r="119" spans="1:48" x14ac:dyDescent="0.3">
      <c r="A119" t="s">
        <v>660</v>
      </c>
      <c r="B119" s="12">
        <v>45337</v>
      </c>
      <c r="C119" s="12">
        <v>45339</v>
      </c>
      <c r="D119" t="s">
        <v>661</v>
      </c>
      <c r="E119" t="s">
        <v>139</v>
      </c>
      <c r="F119" t="s">
        <v>41</v>
      </c>
      <c r="G119" t="s">
        <v>6</v>
      </c>
      <c r="H119" t="s">
        <v>385</v>
      </c>
      <c r="I119" t="s">
        <v>386</v>
      </c>
      <c r="J119" t="s">
        <v>15</v>
      </c>
      <c r="K119" t="s">
        <v>25</v>
      </c>
      <c r="M119" t="s">
        <v>35</v>
      </c>
      <c r="N119">
        <v>9</v>
      </c>
      <c r="O119">
        <v>3324.55</v>
      </c>
      <c r="P119">
        <v>0.7</v>
      </c>
      <c r="Q119">
        <v>0</v>
      </c>
      <c r="R119">
        <v>25432.81</v>
      </c>
      <c r="S119">
        <v>20370.16</v>
      </c>
      <c r="T119">
        <v>29920.95</v>
      </c>
      <c r="U119">
        <v>9550.7900000000009</v>
      </c>
      <c r="V119">
        <v>0.31920076067103498</v>
      </c>
      <c r="W119">
        <v>2</v>
      </c>
      <c r="X119" t="s">
        <v>186</v>
      </c>
      <c r="Y119">
        <v>2024</v>
      </c>
      <c r="Z119" t="s">
        <v>129</v>
      </c>
      <c r="AA119" t="s">
        <v>130</v>
      </c>
      <c r="AB119" t="s">
        <v>131</v>
      </c>
      <c r="AC119" t="s">
        <v>131</v>
      </c>
      <c r="AD119" t="s">
        <v>131</v>
      </c>
      <c r="AE119" t="s">
        <v>131</v>
      </c>
      <c r="AF119" t="s">
        <v>132</v>
      </c>
      <c r="AG119" t="s">
        <v>131</v>
      </c>
      <c r="AH119" t="s">
        <v>132</v>
      </c>
      <c r="AI119" t="s">
        <v>149</v>
      </c>
      <c r="AJ119" t="s">
        <v>662</v>
      </c>
      <c r="AK119" t="s">
        <v>663</v>
      </c>
      <c r="AL119" t="s">
        <v>139</v>
      </c>
      <c r="AM119" t="s">
        <v>41</v>
      </c>
      <c r="AN119" t="s">
        <v>6</v>
      </c>
      <c r="AO119" t="s">
        <v>385</v>
      </c>
      <c r="AP119" t="s">
        <v>386</v>
      </c>
      <c r="AQ119" t="s">
        <v>15</v>
      </c>
      <c r="AR119" t="s">
        <v>25</v>
      </c>
      <c r="AS119" t="s">
        <v>35</v>
      </c>
      <c r="AT119" t="s">
        <v>664</v>
      </c>
      <c r="AU119" t="s">
        <v>129</v>
      </c>
      <c r="AV119" t="s">
        <v>130</v>
      </c>
    </row>
    <row r="120" spans="1:48" x14ac:dyDescent="0.3">
      <c r="A120" t="s">
        <v>665</v>
      </c>
      <c r="B120" s="12">
        <v>45453</v>
      </c>
      <c r="C120" s="12">
        <v>45461</v>
      </c>
      <c r="D120" t="s">
        <v>666</v>
      </c>
      <c r="E120" t="s">
        <v>170</v>
      </c>
      <c r="F120" t="s">
        <v>41</v>
      </c>
      <c r="G120" t="s">
        <v>6</v>
      </c>
      <c r="H120" t="s">
        <v>184</v>
      </c>
      <c r="I120" t="s">
        <v>185</v>
      </c>
      <c r="J120" t="s">
        <v>15</v>
      </c>
      <c r="K120" t="s">
        <v>16</v>
      </c>
      <c r="M120" t="s">
        <v>38</v>
      </c>
      <c r="N120">
        <v>5</v>
      </c>
      <c r="O120">
        <v>1580.27</v>
      </c>
      <c r="P120">
        <v>0.2</v>
      </c>
      <c r="Q120">
        <v>0.2</v>
      </c>
      <c r="R120">
        <v>6321.08</v>
      </c>
      <c r="S120">
        <v>4407.22</v>
      </c>
      <c r="T120">
        <v>6321.08</v>
      </c>
      <c r="U120">
        <v>1913.86</v>
      </c>
      <c r="V120">
        <v>0.30277420947053402</v>
      </c>
      <c r="W120">
        <v>8</v>
      </c>
      <c r="X120" t="s">
        <v>148</v>
      </c>
      <c r="Y120">
        <v>2024</v>
      </c>
      <c r="Z120" t="s">
        <v>129</v>
      </c>
      <c r="AA120" t="s">
        <v>130</v>
      </c>
      <c r="AB120" t="s">
        <v>131</v>
      </c>
      <c r="AC120" t="s">
        <v>131</v>
      </c>
      <c r="AD120" t="s">
        <v>131</v>
      </c>
      <c r="AE120" t="s">
        <v>131</v>
      </c>
      <c r="AF120" t="s">
        <v>131</v>
      </c>
      <c r="AG120" t="s">
        <v>131</v>
      </c>
      <c r="AH120" t="s">
        <v>132</v>
      </c>
      <c r="AI120" t="s">
        <v>133</v>
      </c>
      <c r="AJ120" t="s">
        <v>667</v>
      </c>
      <c r="AK120" t="s">
        <v>668</v>
      </c>
      <c r="AL120" t="s">
        <v>669</v>
      </c>
      <c r="AM120" t="s">
        <v>41</v>
      </c>
      <c r="AN120" t="s">
        <v>6</v>
      </c>
      <c r="AO120" t="s">
        <v>184</v>
      </c>
      <c r="AP120" t="s">
        <v>185</v>
      </c>
      <c r="AQ120" t="s">
        <v>15</v>
      </c>
      <c r="AR120" t="s">
        <v>16</v>
      </c>
      <c r="AS120" t="s">
        <v>38</v>
      </c>
      <c r="AT120">
        <v>0.2</v>
      </c>
      <c r="AU120" t="s">
        <v>129</v>
      </c>
      <c r="AV120" t="s">
        <v>130</v>
      </c>
    </row>
    <row r="121" spans="1:48" x14ac:dyDescent="0.3">
      <c r="A121" t="s">
        <v>670</v>
      </c>
      <c r="B121" s="12">
        <v>45455</v>
      </c>
      <c r="C121" s="12">
        <v>45462</v>
      </c>
      <c r="D121" t="s">
        <v>671</v>
      </c>
      <c r="E121" t="s">
        <v>191</v>
      </c>
      <c r="F121" t="s">
        <v>44</v>
      </c>
      <c r="G121" t="s">
        <v>6</v>
      </c>
      <c r="H121" t="s">
        <v>305</v>
      </c>
      <c r="I121" t="s">
        <v>306</v>
      </c>
      <c r="J121" t="s">
        <v>18</v>
      </c>
      <c r="K121" t="s">
        <v>19</v>
      </c>
      <c r="M121" t="s">
        <v>35</v>
      </c>
      <c r="N121">
        <v>8</v>
      </c>
      <c r="O121">
        <v>314.05</v>
      </c>
      <c r="P121">
        <v>0.25</v>
      </c>
      <c r="Q121">
        <v>0.25</v>
      </c>
      <c r="R121">
        <v>1884.3</v>
      </c>
      <c r="S121">
        <v>1517.69</v>
      </c>
      <c r="T121">
        <v>1884.3</v>
      </c>
      <c r="U121">
        <v>366.61</v>
      </c>
      <c r="V121">
        <v>0.19456031417502501</v>
      </c>
      <c r="W121">
        <v>7</v>
      </c>
      <c r="X121" t="s">
        <v>148</v>
      </c>
      <c r="Y121">
        <v>2024</v>
      </c>
      <c r="Z121" t="s">
        <v>203</v>
      </c>
      <c r="AA121" t="s">
        <v>204</v>
      </c>
      <c r="AB121" t="s">
        <v>131</v>
      </c>
      <c r="AC121" t="s">
        <v>131</v>
      </c>
      <c r="AD121" t="s">
        <v>131</v>
      </c>
      <c r="AE121" t="s">
        <v>131</v>
      </c>
      <c r="AF121" t="s">
        <v>131</v>
      </c>
      <c r="AG121" t="s">
        <v>131</v>
      </c>
      <c r="AH121" t="s">
        <v>131</v>
      </c>
      <c r="AI121" t="s">
        <v>133</v>
      </c>
      <c r="AJ121" t="s">
        <v>672</v>
      </c>
      <c r="AK121" t="s">
        <v>673</v>
      </c>
      <c r="AL121" t="s">
        <v>191</v>
      </c>
      <c r="AM121" t="s">
        <v>674</v>
      </c>
      <c r="AN121" t="s">
        <v>6</v>
      </c>
      <c r="AO121" t="s">
        <v>305</v>
      </c>
      <c r="AP121" t="s">
        <v>306</v>
      </c>
      <c r="AQ121" t="s">
        <v>18</v>
      </c>
      <c r="AR121" t="s">
        <v>19</v>
      </c>
      <c r="AS121" t="s">
        <v>35</v>
      </c>
      <c r="AT121">
        <v>0.25</v>
      </c>
      <c r="AU121" t="s">
        <v>203</v>
      </c>
      <c r="AV121" t="s">
        <v>204</v>
      </c>
    </row>
    <row r="122" spans="1:48" x14ac:dyDescent="0.3">
      <c r="A122" t="s">
        <v>675</v>
      </c>
      <c r="B122" s="12">
        <v>45514</v>
      </c>
      <c r="C122" s="12">
        <v>45522</v>
      </c>
      <c r="D122" t="s">
        <v>676</v>
      </c>
      <c r="E122" t="s">
        <v>243</v>
      </c>
      <c r="F122" t="s">
        <v>44</v>
      </c>
      <c r="G122" t="s">
        <v>8</v>
      </c>
      <c r="H122" t="s">
        <v>259</v>
      </c>
      <c r="I122" t="s">
        <v>260</v>
      </c>
      <c r="J122" t="s">
        <v>15</v>
      </c>
      <c r="K122" t="s">
        <v>17</v>
      </c>
      <c r="M122" t="s">
        <v>35</v>
      </c>
      <c r="N122">
        <v>1</v>
      </c>
      <c r="O122">
        <v>1823.67</v>
      </c>
      <c r="P122">
        <v>0.2</v>
      </c>
      <c r="Q122">
        <v>0.2</v>
      </c>
      <c r="R122">
        <v>1458.94</v>
      </c>
      <c r="S122">
        <v>893.2</v>
      </c>
      <c r="T122">
        <v>1458.9359999999999</v>
      </c>
      <c r="U122">
        <v>565.73599999999999</v>
      </c>
      <c r="V122">
        <v>0.38777300717783397</v>
      </c>
      <c r="W122">
        <v>8</v>
      </c>
      <c r="X122" t="s">
        <v>142</v>
      </c>
      <c r="Y122">
        <v>2024</v>
      </c>
      <c r="Z122" t="s">
        <v>129</v>
      </c>
      <c r="AA122" t="s">
        <v>204</v>
      </c>
      <c r="AB122" t="s">
        <v>131</v>
      </c>
      <c r="AC122" t="s">
        <v>131</v>
      </c>
      <c r="AD122" t="s">
        <v>131</v>
      </c>
      <c r="AE122" t="s">
        <v>131</v>
      </c>
      <c r="AF122" t="s">
        <v>131</v>
      </c>
      <c r="AG122" t="s">
        <v>131</v>
      </c>
      <c r="AH122" t="s">
        <v>131</v>
      </c>
      <c r="AI122" t="s">
        <v>133</v>
      </c>
      <c r="AJ122" t="s">
        <v>524</v>
      </c>
      <c r="AK122" t="s">
        <v>677</v>
      </c>
      <c r="AL122" t="s">
        <v>243</v>
      </c>
      <c r="AM122" t="s">
        <v>44</v>
      </c>
      <c r="AN122" t="s">
        <v>8</v>
      </c>
      <c r="AO122" t="s">
        <v>259</v>
      </c>
      <c r="AP122" t="s">
        <v>260</v>
      </c>
      <c r="AQ122" t="s">
        <v>15</v>
      </c>
      <c r="AR122" t="s">
        <v>17</v>
      </c>
      <c r="AS122" t="s">
        <v>35</v>
      </c>
      <c r="AT122">
        <v>0.2</v>
      </c>
      <c r="AU122" t="s">
        <v>129</v>
      </c>
      <c r="AV122" t="s">
        <v>204</v>
      </c>
    </row>
    <row r="123" spans="1:48" x14ac:dyDescent="0.3">
      <c r="A123" t="s">
        <v>678</v>
      </c>
      <c r="B123" s="12">
        <v>45891</v>
      </c>
      <c r="C123" s="12">
        <v>45895</v>
      </c>
      <c r="D123" t="s">
        <v>679</v>
      </c>
      <c r="E123" t="s">
        <v>409</v>
      </c>
      <c r="F123" t="s">
        <v>44</v>
      </c>
      <c r="G123" t="s">
        <v>6</v>
      </c>
      <c r="H123" t="s">
        <v>184</v>
      </c>
      <c r="I123" t="s">
        <v>185</v>
      </c>
      <c r="J123" t="s">
        <v>15</v>
      </c>
      <c r="K123" t="s">
        <v>25</v>
      </c>
      <c r="M123" t="s">
        <v>37</v>
      </c>
      <c r="N123">
        <v>5</v>
      </c>
      <c r="O123">
        <v>3482.92</v>
      </c>
      <c r="P123">
        <v>0</v>
      </c>
      <c r="Q123">
        <v>0</v>
      </c>
      <c r="R123">
        <v>17414.599999999999</v>
      </c>
      <c r="S123">
        <v>11760.91</v>
      </c>
      <c r="T123">
        <v>17414.599999999999</v>
      </c>
      <c r="U123">
        <v>5653.69</v>
      </c>
      <c r="V123">
        <v>0.32465230323980998</v>
      </c>
      <c r="W123">
        <v>4</v>
      </c>
      <c r="X123" t="s">
        <v>142</v>
      </c>
      <c r="Y123">
        <v>2025</v>
      </c>
      <c r="Z123" t="s">
        <v>203</v>
      </c>
      <c r="AA123" t="s">
        <v>165</v>
      </c>
      <c r="AB123" t="s">
        <v>131</v>
      </c>
      <c r="AC123" t="s">
        <v>131</v>
      </c>
      <c r="AD123" t="s">
        <v>131</v>
      </c>
      <c r="AE123" t="s">
        <v>131</v>
      </c>
      <c r="AF123" t="s">
        <v>131</v>
      </c>
      <c r="AG123" t="s">
        <v>131</v>
      </c>
      <c r="AH123" t="s">
        <v>131</v>
      </c>
      <c r="AI123" t="s">
        <v>133</v>
      </c>
      <c r="AJ123" t="s">
        <v>680</v>
      </c>
      <c r="AK123" t="s">
        <v>681</v>
      </c>
      <c r="AL123" t="s">
        <v>409</v>
      </c>
      <c r="AM123" t="s">
        <v>682</v>
      </c>
      <c r="AN123" t="s">
        <v>6</v>
      </c>
      <c r="AO123" t="s">
        <v>184</v>
      </c>
      <c r="AP123" t="s">
        <v>185</v>
      </c>
      <c r="AQ123" t="s">
        <v>15</v>
      </c>
      <c r="AR123" t="s">
        <v>25</v>
      </c>
      <c r="AS123" t="s">
        <v>37</v>
      </c>
      <c r="AT123">
        <v>0</v>
      </c>
      <c r="AU123" t="s">
        <v>203</v>
      </c>
      <c r="AV123" t="s">
        <v>165</v>
      </c>
    </row>
    <row r="124" spans="1:48" x14ac:dyDescent="0.3">
      <c r="A124" t="s">
        <v>683</v>
      </c>
      <c r="B124" s="12">
        <v>45626</v>
      </c>
      <c r="C124" s="12">
        <v>45630</v>
      </c>
      <c r="D124" t="s">
        <v>684</v>
      </c>
      <c r="E124" t="s">
        <v>162</v>
      </c>
      <c r="F124" t="s">
        <v>44</v>
      </c>
      <c r="G124" t="s">
        <v>8</v>
      </c>
      <c r="H124" t="s">
        <v>283</v>
      </c>
      <c r="I124" t="s">
        <v>284</v>
      </c>
      <c r="J124" t="s">
        <v>18</v>
      </c>
      <c r="K124" t="s">
        <v>19</v>
      </c>
      <c r="M124" t="s">
        <v>37</v>
      </c>
      <c r="N124">
        <v>3</v>
      </c>
      <c r="O124">
        <v>170.35</v>
      </c>
      <c r="P124">
        <v>0</v>
      </c>
      <c r="Q124">
        <v>0</v>
      </c>
      <c r="R124">
        <v>511.05</v>
      </c>
      <c r="S124">
        <v>367.18</v>
      </c>
      <c r="T124">
        <v>511.05</v>
      </c>
      <c r="U124">
        <v>143.87</v>
      </c>
      <c r="V124">
        <v>0.28151844242246399</v>
      </c>
      <c r="W124">
        <v>4</v>
      </c>
      <c r="X124" t="s">
        <v>157</v>
      </c>
      <c r="Y124">
        <v>2024</v>
      </c>
      <c r="Z124" t="s">
        <v>129</v>
      </c>
      <c r="AA124" t="s">
        <v>130</v>
      </c>
      <c r="AB124" t="s">
        <v>131</v>
      </c>
      <c r="AC124" t="s">
        <v>131</v>
      </c>
      <c r="AD124" t="s">
        <v>131</v>
      </c>
      <c r="AE124" t="s">
        <v>131</v>
      </c>
      <c r="AF124" t="s">
        <v>131</v>
      </c>
      <c r="AG124" t="s">
        <v>131</v>
      </c>
      <c r="AH124" t="s">
        <v>132</v>
      </c>
      <c r="AI124" t="s">
        <v>133</v>
      </c>
      <c r="AJ124" t="s">
        <v>685</v>
      </c>
      <c r="AK124" t="s">
        <v>686</v>
      </c>
      <c r="AL124" t="s">
        <v>162</v>
      </c>
      <c r="AM124" t="s">
        <v>44</v>
      </c>
      <c r="AN124" t="s">
        <v>8</v>
      </c>
      <c r="AO124" t="s">
        <v>283</v>
      </c>
      <c r="AP124" t="s">
        <v>284</v>
      </c>
      <c r="AQ124" t="s">
        <v>18</v>
      </c>
      <c r="AR124" t="s">
        <v>19</v>
      </c>
      <c r="AS124" t="s">
        <v>37</v>
      </c>
      <c r="AT124">
        <v>0</v>
      </c>
      <c r="AU124" t="s">
        <v>129</v>
      </c>
      <c r="AV124" t="s">
        <v>130</v>
      </c>
    </row>
    <row r="125" spans="1:48" x14ac:dyDescent="0.3">
      <c r="A125" t="s">
        <v>687</v>
      </c>
      <c r="B125" s="12">
        <v>45436</v>
      </c>
      <c r="C125" s="12">
        <v>45437</v>
      </c>
      <c r="D125" t="s">
        <v>688</v>
      </c>
      <c r="E125" t="s">
        <v>243</v>
      </c>
      <c r="F125" t="s">
        <v>44</v>
      </c>
      <c r="G125" t="s">
        <v>9</v>
      </c>
      <c r="H125" t="s">
        <v>232</v>
      </c>
      <c r="I125" t="s">
        <v>233</v>
      </c>
      <c r="J125" t="s">
        <v>15</v>
      </c>
      <c r="K125" t="s">
        <v>16</v>
      </c>
      <c r="M125" t="s">
        <v>38</v>
      </c>
      <c r="N125">
        <v>1</v>
      </c>
      <c r="O125">
        <v>634.13</v>
      </c>
      <c r="P125">
        <v>0</v>
      </c>
      <c r="Q125">
        <v>0</v>
      </c>
      <c r="R125">
        <v>634.13</v>
      </c>
      <c r="S125">
        <v>453.35</v>
      </c>
      <c r="T125">
        <v>634.13</v>
      </c>
      <c r="U125">
        <v>180.78</v>
      </c>
      <c r="V125">
        <v>0.28508350022866003</v>
      </c>
      <c r="W125">
        <v>1</v>
      </c>
      <c r="X125" t="s">
        <v>173</v>
      </c>
      <c r="Y125">
        <v>2024</v>
      </c>
      <c r="Z125" t="s">
        <v>203</v>
      </c>
      <c r="AA125" t="s">
        <v>165</v>
      </c>
      <c r="AB125" t="s">
        <v>131</v>
      </c>
      <c r="AC125" t="s">
        <v>131</v>
      </c>
      <c r="AD125" t="s">
        <v>131</v>
      </c>
      <c r="AE125" t="s">
        <v>131</v>
      </c>
      <c r="AF125" t="s">
        <v>131</v>
      </c>
      <c r="AG125" t="s">
        <v>132</v>
      </c>
      <c r="AH125" t="s">
        <v>131</v>
      </c>
      <c r="AI125" t="s">
        <v>149</v>
      </c>
      <c r="AJ125" t="s">
        <v>689</v>
      </c>
      <c r="AK125" t="s">
        <v>690</v>
      </c>
      <c r="AL125" t="s">
        <v>243</v>
      </c>
      <c r="AM125" t="s">
        <v>44</v>
      </c>
      <c r="AN125" t="s">
        <v>691</v>
      </c>
      <c r="AO125" t="s">
        <v>232</v>
      </c>
      <c r="AP125" t="s">
        <v>233</v>
      </c>
      <c r="AQ125" t="s">
        <v>15</v>
      </c>
      <c r="AR125" t="s">
        <v>16</v>
      </c>
      <c r="AS125" t="s">
        <v>38</v>
      </c>
      <c r="AT125">
        <v>0</v>
      </c>
      <c r="AU125" t="s">
        <v>203</v>
      </c>
      <c r="AV125" t="s">
        <v>165</v>
      </c>
    </row>
    <row r="126" spans="1:48" x14ac:dyDescent="0.3">
      <c r="A126" t="s">
        <v>692</v>
      </c>
      <c r="B126" s="12">
        <v>45494</v>
      </c>
      <c r="C126" s="12">
        <v>45497</v>
      </c>
      <c r="D126" t="s">
        <v>693</v>
      </c>
      <c r="E126" t="s">
        <v>147</v>
      </c>
      <c r="F126" t="s">
        <v>43</v>
      </c>
      <c r="G126" t="s">
        <v>6</v>
      </c>
      <c r="H126" t="s">
        <v>294</v>
      </c>
      <c r="I126" t="s">
        <v>295</v>
      </c>
      <c r="J126" t="s">
        <v>15</v>
      </c>
      <c r="K126" t="s">
        <v>16</v>
      </c>
      <c r="M126" t="s">
        <v>35</v>
      </c>
      <c r="N126">
        <v>9</v>
      </c>
      <c r="O126">
        <v>465.06</v>
      </c>
      <c r="P126">
        <v>-0.15</v>
      </c>
      <c r="Q126">
        <v>0</v>
      </c>
      <c r="R126">
        <v>4185.54</v>
      </c>
      <c r="S126">
        <v>3443.74</v>
      </c>
      <c r="T126">
        <v>4185.54</v>
      </c>
      <c r="U126">
        <v>741.8</v>
      </c>
      <c r="V126">
        <v>0.17722922251370199</v>
      </c>
      <c r="W126">
        <v>3</v>
      </c>
      <c r="X126" t="s">
        <v>128</v>
      </c>
      <c r="Y126">
        <v>2024</v>
      </c>
      <c r="Z126" t="s">
        <v>129</v>
      </c>
      <c r="AA126" t="s">
        <v>130</v>
      </c>
      <c r="AB126" t="s">
        <v>131</v>
      </c>
      <c r="AC126" t="s">
        <v>131</v>
      </c>
      <c r="AD126" t="s">
        <v>131</v>
      </c>
      <c r="AE126" t="s">
        <v>131</v>
      </c>
      <c r="AF126" t="s">
        <v>132</v>
      </c>
      <c r="AG126" t="s">
        <v>131</v>
      </c>
      <c r="AH126" t="s">
        <v>132</v>
      </c>
      <c r="AI126" t="s">
        <v>149</v>
      </c>
      <c r="AJ126" t="s">
        <v>134</v>
      </c>
      <c r="AK126" t="s">
        <v>694</v>
      </c>
      <c r="AL126" t="s">
        <v>147</v>
      </c>
      <c r="AM126" t="s">
        <v>43</v>
      </c>
      <c r="AN126" t="s">
        <v>6</v>
      </c>
      <c r="AO126" t="s">
        <v>294</v>
      </c>
      <c r="AP126" t="s">
        <v>295</v>
      </c>
      <c r="AQ126" t="s">
        <v>15</v>
      </c>
      <c r="AR126" t="s">
        <v>16</v>
      </c>
      <c r="AS126" t="s">
        <v>35</v>
      </c>
      <c r="AT126">
        <v>-0.15</v>
      </c>
      <c r="AU126" t="s">
        <v>129</v>
      </c>
      <c r="AV126" t="s">
        <v>695</v>
      </c>
    </row>
    <row r="127" spans="1:48" x14ac:dyDescent="0.3">
      <c r="A127" t="s">
        <v>696</v>
      </c>
      <c r="B127" s="12">
        <v>45855</v>
      </c>
      <c r="C127" s="12">
        <v>45856</v>
      </c>
      <c r="D127" t="s">
        <v>697</v>
      </c>
      <c r="E127" t="s">
        <v>178</v>
      </c>
      <c r="F127" t="s">
        <v>44</v>
      </c>
      <c r="G127" t="s">
        <v>7</v>
      </c>
      <c r="H127" t="s">
        <v>126</v>
      </c>
      <c r="I127" t="s">
        <v>213</v>
      </c>
      <c r="J127" t="s">
        <v>18</v>
      </c>
      <c r="K127" t="s">
        <v>27</v>
      </c>
      <c r="M127" t="s">
        <v>38</v>
      </c>
      <c r="N127">
        <v>6</v>
      </c>
      <c r="O127">
        <v>3235.27</v>
      </c>
      <c r="P127">
        <v>0.25</v>
      </c>
      <c r="Q127">
        <v>0.25</v>
      </c>
      <c r="R127">
        <v>14558.72</v>
      </c>
      <c r="S127">
        <v>9591.48</v>
      </c>
      <c r="T127">
        <v>14558.715</v>
      </c>
      <c r="U127">
        <v>4967.2349999999997</v>
      </c>
      <c r="V127">
        <v>0.34118636157105903</v>
      </c>
      <c r="W127">
        <v>1</v>
      </c>
      <c r="X127" t="s">
        <v>128</v>
      </c>
      <c r="Y127">
        <v>2025</v>
      </c>
      <c r="Z127" t="s">
        <v>203</v>
      </c>
      <c r="AA127" t="s">
        <v>204</v>
      </c>
      <c r="AB127" t="s">
        <v>131</v>
      </c>
      <c r="AC127" t="s">
        <v>131</v>
      </c>
      <c r="AD127" t="s">
        <v>131</v>
      </c>
      <c r="AE127" t="s">
        <v>131</v>
      </c>
      <c r="AF127" t="s">
        <v>131</v>
      </c>
      <c r="AG127" t="s">
        <v>131</v>
      </c>
      <c r="AH127" t="s">
        <v>131</v>
      </c>
      <c r="AI127" t="s">
        <v>133</v>
      </c>
      <c r="AJ127" t="s">
        <v>698</v>
      </c>
      <c r="AK127" t="s">
        <v>699</v>
      </c>
      <c r="AL127" t="s">
        <v>178</v>
      </c>
      <c r="AM127" t="s">
        <v>44</v>
      </c>
      <c r="AN127" t="s">
        <v>7</v>
      </c>
      <c r="AO127" t="s">
        <v>126</v>
      </c>
      <c r="AP127" t="s">
        <v>213</v>
      </c>
      <c r="AQ127" t="s">
        <v>18</v>
      </c>
      <c r="AR127" t="s">
        <v>27</v>
      </c>
      <c r="AS127" t="s">
        <v>38</v>
      </c>
      <c r="AT127">
        <v>0.25</v>
      </c>
      <c r="AU127" t="s">
        <v>203</v>
      </c>
      <c r="AV127" t="s">
        <v>204</v>
      </c>
    </row>
    <row r="128" spans="1:48" x14ac:dyDescent="0.3">
      <c r="A128" t="s">
        <v>700</v>
      </c>
      <c r="B128" s="12">
        <v>45924</v>
      </c>
      <c r="C128" s="12">
        <v>45926</v>
      </c>
      <c r="D128" t="s">
        <v>701</v>
      </c>
      <c r="E128" t="s">
        <v>221</v>
      </c>
      <c r="F128" t="s">
        <v>43</v>
      </c>
      <c r="G128" t="s">
        <v>9</v>
      </c>
      <c r="H128" t="s">
        <v>522</v>
      </c>
      <c r="I128" t="s">
        <v>523</v>
      </c>
      <c r="J128" t="s">
        <v>15</v>
      </c>
      <c r="K128" t="s">
        <v>16</v>
      </c>
      <c r="M128" t="s">
        <v>35</v>
      </c>
      <c r="N128">
        <v>3</v>
      </c>
      <c r="O128">
        <v>1593.86</v>
      </c>
      <c r="P128">
        <v>0.1</v>
      </c>
      <c r="Q128">
        <v>0.1</v>
      </c>
      <c r="R128">
        <v>4303.42</v>
      </c>
      <c r="S128">
        <v>2568.5700000000002</v>
      </c>
      <c r="T128">
        <v>4303.4219999999996</v>
      </c>
      <c r="U128">
        <v>1734.8520000000001</v>
      </c>
      <c r="V128">
        <v>0.40313313451481197</v>
      </c>
      <c r="W128">
        <v>2</v>
      </c>
      <c r="X128" t="s">
        <v>196</v>
      </c>
      <c r="Y128">
        <v>2025</v>
      </c>
      <c r="Z128" t="s">
        <v>129</v>
      </c>
      <c r="AA128" t="s">
        <v>130</v>
      </c>
      <c r="AB128" t="s">
        <v>131</v>
      </c>
      <c r="AC128" t="s">
        <v>131</v>
      </c>
      <c r="AD128" t="s">
        <v>131</v>
      </c>
      <c r="AE128" t="s">
        <v>131</v>
      </c>
      <c r="AF128" t="s">
        <v>131</v>
      </c>
      <c r="AG128" t="s">
        <v>131</v>
      </c>
      <c r="AH128" t="s">
        <v>132</v>
      </c>
      <c r="AI128" t="s">
        <v>133</v>
      </c>
      <c r="AJ128" t="s">
        <v>702</v>
      </c>
      <c r="AK128" t="s">
        <v>703</v>
      </c>
      <c r="AL128" t="s">
        <v>221</v>
      </c>
      <c r="AM128" t="s">
        <v>43</v>
      </c>
      <c r="AN128" t="s">
        <v>9</v>
      </c>
      <c r="AO128" t="s">
        <v>522</v>
      </c>
      <c r="AP128" t="s">
        <v>523</v>
      </c>
      <c r="AQ128" t="s">
        <v>15</v>
      </c>
      <c r="AR128" t="s">
        <v>16</v>
      </c>
      <c r="AS128" t="s">
        <v>35</v>
      </c>
      <c r="AT128">
        <v>0.1</v>
      </c>
      <c r="AU128" t="s">
        <v>129</v>
      </c>
      <c r="AV128" t="s">
        <v>130</v>
      </c>
    </row>
    <row r="129" spans="1:48" x14ac:dyDescent="0.3">
      <c r="A129" t="s">
        <v>704</v>
      </c>
      <c r="B129" s="12">
        <v>45687</v>
      </c>
      <c r="C129" s="12">
        <v>45683</v>
      </c>
      <c r="D129" t="s">
        <v>705</v>
      </c>
      <c r="E129" t="s">
        <v>221</v>
      </c>
      <c r="F129" t="s">
        <v>43</v>
      </c>
      <c r="G129" t="s">
        <v>7</v>
      </c>
      <c r="H129" t="s">
        <v>171</v>
      </c>
      <c r="I129" t="s">
        <v>172</v>
      </c>
      <c r="J129" t="s">
        <v>20</v>
      </c>
      <c r="K129" t="s">
        <v>21</v>
      </c>
      <c r="M129" t="s">
        <v>37</v>
      </c>
      <c r="N129">
        <v>2</v>
      </c>
      <c r="O129">
        <v>3039.3</v>
      </c>
      <c r="P129">
        <v>0.05</v>
      </c>
      <c r="Q129">
        <v>0.05</v>
      </c>
      <c r="R129">
        <v>5774.67</v>
      </c>
      <c r="S129">
        <v>3518.36</v>
      </c>
      <c r="T129">
        <v>5774.67</v>
      </c>
      <c r="U129">
        <v>2256.31</v>
      </c>
      <c r="V129">
        <v>0.39072535746631398</v>
      </c>
      <c r="W129">
        <v>-4</v>
      </c>
      <c r="X129" t="s">
        <v>244</v>
      </c>
      <c r="Y129">
        <v>2025</v>
      </c>
      <c r="Z129" t="s">
        <v>129</v>
      </c>
      <c r="AA129" t="s">
        <v>130</v>
      </c>
      <c r="AB129" t="s">
        <v>131</v>
      </c>
      <c r="AC129" t="s">
        <v>131</v>
      </c>
      <c r="AD129" t="s">
        <v>131</v>
      </c>
      <c r="AE129" t="s">
        <v>132</v>
      </c>
      <c r="AF129" t="s">
        <v>131</v>
      </c>
      <c r="AG129" t="s">
        <v>131</v>
      </c>
      <c r="AH129" t="s">
        <v>132</v>
      </c>
      <c r="AI129" t="s">
        <v>149</v>
      </c>
      <c r="AJ129" t="s">
        <v>266</v>
      </c>
      <c r="AK129" t="s">
        <v>706</v>
      </c>
      <c r="AL129" t="s">
        <v>221</v>
      </c>
      <c r="AM129" t="s">
        <v>43</v>
      </c>
      <c r="AN129" t="s">
        <v>7</v>
      </c>
      <c r="AO129" t="s">
        <v>171</v>
      </c>
      <c r="AP129" t="s">
        <v>172</v>
      </c>
      <c r="AQ129" t="s">
        <v>20</v>
      </c>
      <c r="AR129" t="s">
        <v>21</v>
      </c>
      <c r="AS129" t="s">
        <v>37</v>
      </c>
      <c r="AT129">
        <v>0.05</v>
      </c>
      <c r="AU129" t="s">
        <v>129</v>
      </c>
      <c r="AV129" t="s">
        <v>130</v>
      </c>
    </row>
    <row r="130" spans="1:48" x14ac:dyDescent="0.3">
      <c r="A130" t="s">
        <v>707</v>
      </c>
      <c r="B130" s="12">
        <v>45639</v>
      </c>
      <c r="C130" s="12">
        <v>45642</v>
      </c>
      <c r="D130" t="s">
        <v>708</v>
      </c>
      <c r="E130" t="s">
        <v>178</v>
      </c>
      <c r="F130" t="s">
        <v>44</v>
      </c>
      <c r="G130" t="s">
        <v>8</v>
      </c>
      <c r="H130" t="s">
        <v>140</v>
      </c>
      <c r="I130" t="s">
        <v>141</v>
      </c>
      <c r="J130" t="s">
        <v>18</v>
      </c>
      <c r="K130" t="s">
        <v>23</v>
      </c>
      <c r="M130" t="s">
        <v>35</v>
      </c>
      <c r="N130">
        <v>5</v>
      </c>
      <c r="O130">
        <v>923.45</v>
      </c>
      <c r="P130">
        <v>0.05</v>
      </c>
      <c r="Q130">
        <v>0.05</v>
      </c>
      <c r="R130">
        <v>4386.3900000000003</v>
      </c>
      <c r="S130">
        <v>3366.88</v>
      </c>
      <c r="T130">
        <v>4386.3874999999998</v>
      </c>
      <c r="U130">
        <v>1019.5075000000001</v>
      </c>
      <c r="V130">
        <v>0.23242531582082099</v>
      </c>
      <c r="W130">
        <v>3</v>
      </c>
      <c r="X130" t="s">
        <v>214</v>
      </c>
      <c r="Y130">
        <v>2024</v>
      </c>
      <c r="Z130" t="s">
        <v>129</v>
      </c>
      <c r="AA130" t="s">
        <v>204</v>
      </c>
      <c r="AB130" t="s">
        <v>131</v>
      </c>
      <c r="AC130" t="s">
        <v>131</v>
      </c>
      <c r="AD130" t="s">
        <v>131</v>
      </c>
      <c r="AE130" t="s">
        <v>131</v>
      </c>
      <c r="AF130" t="s">
        <v>131</v>
      </c>
      <c r="AG130" t="s">
        <v>131</v>
      </c>
      <c r="AH130" t="s">
        <v>131</v>
      </c>
      <c r="AI130" t="s">
        <v>133</v>
      </c>
      <c r="AJ130" t="s">
        <v>709</v>
      </c>
      <c r="AK130" t="s">
        <v>710</v>
      </c>
      <c r="AL130" t="s">
        <v>178</v>
      </c>
      <c r="AM130" t="s">
        <v>44</v>
      </c>
      <c r="AN130" t="s">
        <v>8</v>
      </c>
      <c r="AO130" t="s">
        <v>140</v>
      </c>
      <c r="AP130" t="s">
        <v>141</v>
      </c>
      <c r="AQ130" t="s">
        <v>18</v>
      </c>
      <c r="AR130" t="s">
        <v>23</v>
      </c>
      <c r="AS130" t="s">
        <v>35</v>
      </c>
      <c r="AT130">
        <v>0.05</v>
      </c>
      <c r="AU130" t="s">
        <v>129</v>
      </c>
      <c r="AV130" t="s">
        <v>204</v>
      </c>
    </row>
    <row r="131" spans="1:48" x14ac:dyDescent="0.3">
      <c r="A131" t="s">
        <v>711</v>
      </c>
      <c r="B131" s="12">
        <v>45492</v>
      </c>
      <c r="C131" s="12">
        <v>45498</v>
      </c>
      <c r="D131" t="s">
        <v>712</v>
      </c>
      <c r="E131" t="s">
        <v>147</v>
      </c>
      <c r="F131" t="s">
        <v>44</v>
      </c>
      <c r="G131" t="s">
        <v>7</v>
      </c>
      <c r="H131" t="s">
        <v>311</v>
      </c>
      <c r="I131" t="s">
        <v>312</v>
      </c>
      <c r="J131" t="s">
        <v>20</v>
      </c>
      <c r="K131" t="s">
        <v>28</v>
      </c>
      <c r="M131" t="s">
        <v>35</v>
      </c>
      <c r="N131">
        <v>7</v>
      </c>
      <c r="O131">
        <v>2741.29</v>
      </c>
      <c r="P131">
        <v>0.05</v>
      </c>
      <c r="Q131">
        <v>0.05</v>
      </c>
      <c r="R131">
        <v>18229.580000000002</v>
      </c>
      <c r="S131">
        <v>15139.15</v>
      </c>
      <c r="T131">
        <v>18229.5785</v>
      </c>
      <c r="U131">
        <v>3090.4285</v>
      </c>
      <c r="V131">
        <v>0.169528247732113</v>
      </c>
      <c r="W131">
        <v>6</v>
      </c>
      <c r="X131" t="s">
        <v>128</v>
      </c>
      <c r="Y131">
        <v>2024</v>
      </c>
      <c r="Z131" t="s">
        <v>129</v>
      </c>
      <c r="AA131" t="s">
        <v>130</v>
      </c>
      <c r="AB131" t="s">
        <v>131</v>
      </c>
      <c r="AC131" t="s">
        <v>131</v>
      </c>
      <c r="AD131" t="s">
        <v>131</v>
      </c>
      <c r="AE131" t="s">
        <v>131</v>
      </c>
      <c r="AF131" t="s">
        <v>131</v>
      </c>
      <c r="AG131" t="s">
        <v>131</v>
      </c>
      <c r="AH131" t="s">
        <v>132</v>
      </c>
      <c r="AI131" t="s">
        <v>133</v>
      </c>
      <c r="AJ131" t="s">
        <v>443</v>
      </c>
      <c r="AK131" t="s">
        <v>713</v>
      </c>
      <c r="AL131" t="s">
        <v>147</v>
      </c>
      <c r="AM131" t="s">
        <v>44</v>
      </c>
      <c r="AN131" t="s">
        <v>7</v>
      </c>
      <c r="AO131" t="s">
        <v>311</v>
      </c>
      <c r="AP131" t="s">
        <v>312</v>
      </c>
      <c r="AQ131" t="s">
        <v>20</v>
      </c>
      <c r="AR131" t="s">
        <v>28</v>
      </c>
      <c r="AS131" t="s">
        <v>35</v>
      </c>
      <c r="AT131">
        <v>0.05</v>
      </c>
      <c r="AU131" t="s">
        <v>129</v>
      </c>
      <c r="AV131" t="s">
        <v>130</v>
      </c>
    </row>
    <row r="132" spans="1:48" x14ac:dyDescent="0.3">
      <c r="A132" t="s">
        <v>714</v>
      </c>
      <c r="B132" s="12">
        <v>45318</v>
      </c>
      <c r="C132" s="12">
        <v>45324</v>
      </c>
      <c r="D132" t="s">
        <v>715</v>
      </c>
      <c r="E132" t="s">
        <v>154</v>
      </c>
      <c r="F132" t="s">
        <v>42</v>
      </c>
      <c r="G132" t="s">
        <v>7</v>
      </c>
      <c r="H132" t="s">
        <v>300</v>
      </c>
      <c r="I132" t="s">
        <v>301</v>
      </c>
      <c r="J132" t="s">
        <v>20</v>
      </c>
      <c r="K132" t="s">
        <v>30</v>
      </c>
      <c r="M132" t="s">
        <v>38</v>
      </c>
      <c r="N132">
        <v>5</v>
      </c>
      <c r="O132">
        <v>218.42</v>
      </c>
      <c r="P132">
        <v>0.2</v>
      </c>
      <c r="Q132">
        <v>0.2</v>
      </c>
      <c r="R132">
        <v>873.68</v>
      </c>
      <c r="S132">
        <v>661.72</v>
      </c>
      <c r="T132">
        <v>873.68</v>
      </c>
      <c r="U132">
        <v>211.96</v>
      </c>
      <c r="V132">
        <v>0.24260598846259501</v>
      </c>
      <c r="W132">
        <v>6</v>
      </c>
      <c r="X132" t="s">
        <v>244</v>
      </c>
      <c r="Y132">
        <v>2024</v>
      </c>
      <c r="Z132" t="s">
        <v>215</v>
      </c>
      <c r="AA132" t="s">
        <v>165</v>
      </c>
      <c r="AB132" t="s">
        <v>131</v>
      </c>
      <c r="AC132" t="s">
        <v>131</v>
      </c>
      <c r="AD132" t="s">
        <v>131</v>
      </c>
      <c r="AE132" t="s">
        <v>131</v>
      </c>
      <c r="AF132" t="s">
        <v>131</v>
      </c>
      <c r="AG132" t="s">
        <v>131</v>
      </c>
      <c r="AH132" t="s">
        <v>131</v>
      </c>
      <c r="AI132" t="s">
        <v>133</v>
      </c>
      <c r="AJ132" t="s">
        <v>716</v>
      </c>
      <c r="AK132" t="s">
        <v>717</v>
      </c>
      <c r="AL132" t="s">
        <v>154</v>
      </c>
      <c r="AM132" t="s">
        <v>42</v>
      </c>
      <c r="AN132" t="s">
        <v>7</v>
      </c>
      <c r="AO132" t="s">
        <v>300</v>
      </c>
      <c r="AP132" t="s">
        <v>301</v>
      </c>
      <c r="AQ132" t="s">
        <v>20</v>
      </c>
      <c r="AR132" t="s">
        <v>30</v>
      </c>
      <c r="AS132" t="s">
        <v>38</v>
      </c>
      <c r="AT132">
        <v>0.2</v>
      </c>
      <c r="AU132" t="s">
        <v>215</v>
      </c>
      <c r="AV132" t="s">
        <v>165</v>
      </c>
    </row>
    <row r="133" spans="1:48" x14ac:dyDescent="0.3">
      <c r="A133" t="s">
        <v>718</v>
      </c>
      <c r="B133" s="12">
        <v>45929</v>
      </c>
      <c r="C133" s="12">
        <v>45934</v>
      </c>
      <c r="D133" t="s">
        <v>719</v>
      </c>
      <c r="E133" t="s">
        <v>162</v>
      </c>
      <c r="F133" t="s">
        <v>41</v>
      </c>
      <c r="G133" t="s">
        <v>8</v>
      </c>
      <c r="H133" t="s">
        <v>362</v>
      </c>
      <c r="I133" t="s">
        <v>363</v>
      </c>
      <c r="J133" t="s">
        <v>20</v>
      </c>
      <c r="K133" t="s">
        <v>24</v>
      </c>
      <c r="M133" t="s">
        <v>38</v>
      </c>
      <c r="N133">
        <v>9</v>
      </c>
      <c r="O133">
        <v>373.91</v>
      </c>
      <c r="P133">
        <v>0.2</v>
      </c>
      <c r="Q133">
        <v>0.2</v>
      </c>
      <c r="R133">
        <v>2692.15</v>
      </c>
      <c r="S133">
        <v>2044.49</v>
      </c>
      <c r="T133">
        <v>2692.152</v>
      </c>
      <c r="U133">
        <v>647.66200000000003</v>
      </c>
      <c r="V133">
        <v>0.240574083484142</v>
      </c>
      <c r="W133">
        <v>5</v>
      </c>
      <c r="X133" t="s">
        <v>196</v>
      </c>
      <c r="Y133">
        <v>2025</v>
      </c>
      <c r="Z133" t="s">
        <v>129</v>
      </c>
      <c r="AA133" t="s">
        <v>130</v>
      </c>
      <c r="AB133" t="s">
        <v>131</v>
      </c>
      <c r="AC133" t="s">
        <v>131</v>
      </c>
      <c r="AD133" t="s">
        <v>131</v>
      </c>
      <c r="AE133" t="s">
        <v>131</v>
      </c>
      <c r="AF133" t="s">
        <v>131</v>
      </c>
      <c r="AG133" t="s">
        <v>131</v>
      </c>
      <c r="AH133" t="s">
        <v>132</v>
      </c>
      <c r="AI133" t="s">
        <v>133</v>
      </c>
      <c r="AJ133" t="s">
        <v>720</v>
      </c>
      <c r="AK133" t="s">
        <v>721</v>
      </c>
      <c r="AL133" t="s">
        <v>162</v>
      </c>
      <c r="AM133" t="s">
        <v>41</v>
      </c>
      <c r="AN133" t="s">
        <v>8</v>
      </c>
      <c r="AO133" t="s">
        <v>362</v>
      </c>
      <c r="AP133" t="s">
        <v>363</v>
      </c>
      <c r="AQ133" t="s">
        <v>20</v>
      </c>
      <c r="AR133" t="s">
        <v>24</v>
      </c>
      <c r="AS133" t="s">
        <v>38</v>
      </c>
      <c r="AT133">
        <v>0.2</v>
      </c>
      <c r="AU133" t="s">
        <v>129</v>
      </c>
      <c r="AV133" t="s">
        <v>130</v>
      </c>
    </row>
    <row r="134" spans="1:48" x14ac:dyDescent="0.3">
      <c r="A134" t="s">
        <v>722</v>
      </c>
      <c r="B134" s="12">
        <v>45600</v>
      </c>
      <c r="C134" s="12">
        <v>45600</v>
      </c>
      <c r="D134" t="s">
        <v>723</v>
      </c>
      <c r="E134" t="s">
        <v>409</v>
      </c>
      <c r="F134" t="s">
        <v>43</v>
      </c>
      <c r="G134" t="s">
        <v>8</v>
      </c>
      <c r="H134" t="s">
        <v>283</v>
      </c>
      <c r="I134" t="s">
        <v>284</v>
      </c>
      <c r="J134" t="s">
        <v>15</v>
      </c>
      <c r="K134" t="s">
        <v>25</v>
      </c>
      <c r="M134" t="s">
        <v>36</v>
      </c>
      <c r="N134">
        <v>2</v>
      </c>
      <c r="O134">
        <v>533.08000000000004</v>
      </c>
      <c r="P134">
        <v>0</v>
      </c>
      <c r="Q134">
        <v>0</v>
      </c>
      <c r="R134">
        <v>1066.1600000000001</v>
      </c>
      <c r="S134">
        <v>656.3</v>
      </c>
      <c r="T134">
        <v>1066.1600000000001</v>
      </c>
      <c r="U134">
        <v>409.86</v>
      </c>
      <c r="V134">
        <v>0.384426352517446</v>
      </c>
      <c r="W134">
        <v>0</v>
      </c>
      <c r="X134" t="s">
        <v>157</v>
      </c>
      <c r="Y134">
        <v>2024</v>
      </c>
      <c r="Z134" t="s">
        <v>269</v>
      </c>
      <c r="AA134" t="s">
        <v>165</v>
      </c>
      <c r="AB134" t="s">
        <v>131</v>
      </c>
      <c r="AC134" t="s">
        <v>131</v>
      </c>
      <c r="AD134" t="s">
        <v>131</v>
      </c>
      <c r="AE134" t="s">
        <v>131</v>
      </c>
      <c r="AF134" t="s">
        <v>131</v>
      </c>
      <c r="AG134" t="s">
        <v>131</v>
      </c>
      <c r="AH134" t="s">
        <v>131</v>
      </c>
      <c r="AI134" t="s">
        <v>133</v>
      </c>
      <c r="AJ134" t="s">
        <v>724</v>
      </c>
      <c r="AK134" t="s">
        <v>724</v>
      </c>
      <c r="AL134" t="s">
        <v>409</v>
      </c>
      <c r="AM134" t="s">
        <v>43</v>
      </c>
      <c r="AN134" t="s">
        <v>8</v>
      </c>
      <c r="AO134" t="s">
        <v>283</v>
      </c>
      <c r="AP134" t="s">
        <v>284</v>
      </c>
      <c r="AQ134" t="s">
        <v>15</v>
      </c>
      <c r="AR134" t="s">
        <v>25</v>
      </c>
      <c r="AS134" t="s">
        <v>36</v>
      </c>
      <c r="AT134">
        <v>0</v>
      </c>
      <c r="AU134" t="s">
        <v>269</v>
      </c>
      <c r="AV134" t="s">
        <v>165</v>
      </c>
    </row>
    <row r="135" spans="1:48" x14ac:dyDescent="0.3">
      <c r="A135" t="s">
        <v>725</v>
      </c>
      <c r="B135" s="12">
        <v>45639</v>
      </c>
      <c r="C135" s="12">
        <v>45644</v>
      </c>
      <c r="D135" t="s">
        <v>726</v>
      </c>
      <c r="E135" t="s">
        <v>125</v>
      </c>
      <c r="F135" t="s">
        <v>42</v>
      </c>
      <c r="G135" t="s">
        <v>7</v>
      </c>
      <c r="H135" t="s">
        <v>311</v>
      </c>
      <c r="I135" t="s">
        <v>312</v>
      </c>
      <c r="J135" t="s">
        <v>15</v>
      </c>
      <c r="K135" t="s">
        <v>17</v>
      </c>
      <c r="M135" t="s">
        <v>37</v>
      </c>
      <c r="N135">
        <v>8</v>
      </c>
      <c r="O135">
        <v>3372.15</v>
      </c>
      <c r="P135">
        <v>0.15</v>
      </c>
      <c r="Q135">
        <v>0.15</v>
      </c>
      <c r="R135">
        <v>22930.62</v>
      </c>
      <c r="S135">
        <v>16875.55</v>
      </c>
      <c r="T135">
        <v>22930.62</v>
      </c>
      <c r="U135">
        <v>6055.07</v>
      </c>
      <c r="V135">
        <v>0.26406045715292498</v>
      </c>
      <c r="W135">
        <v>5</v>
      </c>
      <c r="X135" t="s">
        <v>214</v>
      </c>
      <c r="Y135">
        <v>2024</v>
      </c>
      <c r="Z135" t="s">
        <v>129</v>
      </c>
      <c r="AA135" t="s">
        <v>130</v>
      </c>
      <c r="AB135" t="s">
        <v>131</v>
      </c>
      <c r="AC135" t="s">
        <v>131</v>
      </c>
      <c r="AD135" t="s">
        <v>131</v>
      </c>
      <c r="AE135" t="s">
        <v>131</v>
      </c>
      <c r="AF135" t="s">
        <v>131</v>
      </c>
      <c r="AG135" t="s">
        <v>131</v>
      </c>
      <c r="AH135" t="s">
        <v>132</v>
      </c>
      <c r="AI135" t="s">
        <v>133</v>
      </c>
      <c r="AJ135" t="s">
        <v>727</v>
      </c>
      <c r="AK135" t="s">
        <v>728</v>
      </c>
      <c r="AL135" t="s">
        <v>125</v>
      </c>
      <c r="AM135" t="s">
        <v>42</v>
      </c>
      <c r="AN135" t="s">
        <v>7</v>
      </c>
      <c r="AO135" t="s">
        <v>311</v>
      </c>
      <c r="AP135" t="s">
        <v>312</v>
      </c>
      <c r="AQ135" t="s">
        <v>15</v>
      </c>
      <c r="AR135" t="s">
        <v>17</v>
      </c>
      <c r="AS135" t="s">
        <v>37</v>
      </c>
      <c r="AT135">
        <v>0.15</v>
      </c>
      <c r="AU135" t="s">
        <v>129</v>
      </c>
      <c r="AV135" t="s">
        <v>130</v>
      </c>
    </row>
    <row r="136" spans="1:48" x14ac:dyDescent="0.3">
      <c r="A136" t="s">
        <v>729</v>
      </c>
      <c r="B136" s="12">
        <v>45852</v>
      </c>
      <c r="C136" s="12">
        <v>45852</v>
      </c>
      <c r="D136" t="s">
        <v>730</v>
      </c>
      <c r="E136" t="s">
        <v>170</v>
      </c>
      <c r="F136" t="s">
        <v>41</v>
      </c>
      <c r="G136" t="s">
        <v>8</v>
      </c>
      <c r="H136" t="s">
        <v>201</v>
      </c>
      <c r="I136" t="s">
        <v>202</v>
      </c>
      <c r="J136" t="s">
        <v>18</v>
      </c>
      <c r="K136" t="s">
        <v>26</v>
      </c>
      <c r="M136" t="s">
        <v>10</v>
      </c>
      <c r="N136">
        <v>5</v>
      </c>
      <c r="O136">
        <v>383.1</v>
      </c>
      <c r="P136">
        <v>0.25</v>
      </c>
      <c r="Q136">
        <v>0.25</v>
      </c>
      <c r="R136">
        <v>1436.62</v>
      </c>
      <c r="S136">
        <v>912.52</v>
      </c>
      <c r="T136">
        <v>1436.625</v>
      </c>
      <c r="U136">
        <v>524.10500000000002</v>
      </c>
      <c r="V136">
        <v>0.36481684503610901</v>
      </c>
      <c r="W136">
        <v>0</v>
      </c>
      <c r="X136" t="s">
        <v>128</v>
      </c>
      <c r="Y136">
        <v>2025</v>
      </c>
      <c r="Z136" t="s">
        <v>215</v>
      </c>
      <c r="AA136" t="s">
        <v>165</v>
      </c>
      <c r="AB136" t="s">
        <v>131</v>
      </c>
      <c r="AC136" t="s">
        <v>132</v>
      </c>
      <c r="AD136" t="s">
        <v>131</v>
      </c>
      <c r="AE136" t="s">
        <v>131</v>
      </c>
      <c r="AF136" t="s">
        <v>131</v>
      </c>
      <c r="AG136" t="s">
        <v>131</v>
      </c>
      <c r="AH136" t="s">
        <v>131</v>
      </c>
      <c r="AI136" t="s">
        <v>321</v>
      </c>
      <c r="AJ136" t="s">
        <v>731</v>
      </c>
      <c r="AK136" t="s">
        <v>732</v>
      </c>
      <c r="AL136" t="s">
        <v>170</v>
      </c>
      <c r="AM136" t="s">
        <v>41</v>
      </c>
      <c r="AN136" t="s">
        <v>8</v>
      </c>
      <c r="AO136" t="s">
        <v>201</v>
      </c>
      <c r="AP136" t="s">
        <v>202</v>
      </c>
      <c r="AQ136" t="s">
        <v>18</v>
      </c>
      <c r="AR136" t="s">
        <v>26</v>
      </c>
      <c r="AT136">
        <v>0.25</v>
      </c>
      <c r="AU136" t="s">
        <v>215</v>
      </c>
      <c r="AV136" t="s">
        <v>165</v>
      </c>
    </row>
    <row r="137" spans="1:48" x14ac:dyDescent="0.3">
      <c r="A137" t="s">
        <v>733</v>
      </c>
      <c r="B137" s="12">
        <v>45893</v>
      </c>
      <c r="C137" s="12">
        <v>45893</v>
      </c>
      <c r="D137" t="s">
        <v>734</v>
      </c>
      <c r="E137" t="s">
        <v>277</v>
      </c>
      <c r="F137" t="s">
        <v>44</v>
      </c>
      <c r="G137" t="s">
        <v>6</v>
      </c>
      <c r="H137" t="s">
        <v>305</v>
      </c>
      <c r="I137" t="s">
        <v>306</v>
      </c>
      <c r="J137" t="s">
        <v>18</v>
      </c>
      <c r="K137" t="s">
        <v>26</v>
      </c>
      <c r="M137" t="s">
        <v>35</v>
      </c>
      <c r="N137">
        <v>1</v>
      </c>
      <c r="O137">
        <v>3424.78</v>
      </c>
      <c r="P137">
        <v>0</v>
      </c>
      <c r="Q137">
        <v>0</v>
      </c>
      <c r="R137">
        <v>3424.78</v>
      </c>
      <c r="S137">
        <v>1951.45</v>
      </c>
      <c r="T137">
        <v>3424.78</v>
      </c>
      <c r="U137">
        <v>1473.33</v>
      </c>
      <c r="V137">
        <v>0.430196976156133</v>
      </c>
      <c r="W137">
        <v>0</v>
      </c>
      <c r="X137" t="s">
        <v>142</v>
      </c>
      <c r="Y137">
        <v>2025</v>
      </c>
      <c r="Z137" t="s">
        <v>129</v>
      </c>
      <c r="AA137" t="s">
        <v>130</v>
      </c>
      <c r="AB137" t="s">
        <v>131</v>
      </c>
      <c r="AC137" t="s">
        <v>131</v>
      </c>
      <c r="AD137" t="s">
        <v>131</v>
      </c>
      <c r="AE137" t="s">
        <v>131</v>
      </c>
      <c r="AF137" t="s">
        <v>131</v>
      </c>
      <c r="AG137" t="s">
        <v>131</v>
      </c>
      <c r="AH137" t="s">
        <v>132</v>
      </c>
      <c r="AI137" t="s">
        <v>133</v>
      </c>
      <c r="AJ137" t="s">
        <v>735</v>
      </c>
      <c r="AK137" t="s">
        <v>735</v>
      </c>
      <c r="AL137" t="s">
        <v>277</v>
      </c>
      <c r="AM137" t="s">
        <v>44</v>
      </c>
      <c r="AN137" t="s">
        <v>6</v>
      </c>
      <c r="AO137" t="s">
        <v>305</v>
      </c>
      <c r="AP137" t="s">
        <v>306</v>
      </c>
      <c r="AQ137" t="s">
        <v>736</v>
      </c>
      <c r="AR137" t="s">
        <v>26</v>
      </c>
      <c r="AS137" t="s">
        <v>35</v>
      </c>
      <c r="AT137">
        <v>0</v>
      </c>
      <c r="AU137" t="s">
        <v>129</v>
      </c>
      <c r="AV137" t="s">
        <v>130</v>
      </c>
    </row>
    <row r="138" spans="1:48" x14ac:dyDescent="0.3">
      <c r="A138" t="s">
        <v>737</v>
      </c>
      <c r="B138" s="12">
        <v>45697</v>
      </c>
      <c r="C138" s="12">
        <v>45703</v>
      </c>
      <c r="D138" t="s">
        <v>738</v>
      </c>
      <c r="E138" t="s">
        <v>139</v>
      </c>
      <c r="F138" t="s">
        <v>41</v>
      </c>
      <c r="G138" t="s">
        <v>8</v>
      </c>
      <c r="H138" t="s">
        <v>362</v>
      </c>
      <c r="I138" t="s">
        <v>363</v>
      </c>
      <c r="J138" t="s">
        <v>20</v>
      </c>
      <c r="K138" t="s">
        <v>28</v>
      </c>
      <c r="M138" t="s">
        <v>35</v>
      </c>
      <c r="N138">
        <v>9</v>
      </c>
      <c r="O138">
        <v>4330.33</v>
      </c>
      <c r="P138">
        <v>0.2</v>
      </c>
      <c r="Q138">
        <v>0.2</v>
      </c>
      <c r="R138">
        <v>31178.38</v>
      </c>
      <c r="S138">
        <v>21421.09</v>
      </c>
      <c r="T138">
        <v>31178.376</v>
      </c>
      <c r="U138">
        <v>9757.2860000000001</v>
      </c>
      <c r="V138">
        <v>0.31295042435821602</v>
      </c>
      <c r="W138">
        <v>6</v>
      </c>
      <c r="X138" t="s">
        <v>186</v>
      </c>
      <c r="Y138">
        <v>2025</v>
      </c>
      <c r="Z138" t="s">
        <v>129</v>
      </c>
      <c r="AA138" t="s">
        <v>130</v>
      </c>
      <c r="AB138" t="s">
        <v>131</v>
      </c>
      <c r="AC138" t="s">
        <v>131</v>
      </c>
      <c r="AD138" t="s">
        <v>131</v>
      </c>
      <c r="AE138" t="s">
        <v>131</v>
      </c>
      <c r="AF138" t="s">
        <v>131</v>
      </c>
      <c r="AG138" t="s">
        <v>131</v>
      </c>
      <c r="AH138" t="s">
        <v>132</v>
      </c>
      <c r="AI138" t="s">
        <v>133</v>
      </c>
      <c r="AJ138" t="s">
        <v>739</v>
      </c>
      <c r="AK138" t="s">
        <v>740</v>
      </c>
      <c r="AL138" t="s">
        <v>139</v>
      </c>
      <c r="AM138" t="s">
        <v>41</v>
      </c>
      <c r="AN138" t="s">
        <v>8</v>
      </c>
      <c r="AO138" t="s">
        <v>362</v>
      </c>
      <c r="AP138" t="s">
        <v>363</v>
      </c>
      <c r="AQ138" t="s">
        <v>20</v>
      </c>
      <c r="AR138" t="s">
        <v>28</v>
      </c>
      <c r="AS138" t="s">
        <v>741</v>
      </c>
      <c r="AT138">
        <v>0.2</v>
      </c>
      <c r="AU138" t="s">
        <v>129</v>
      </c>
      <c r="AV138" t="s">
        <v>130</v>
      </c>
    </row>
    <row r="139" spans="1:48" x14ac:dyDescent="0.3">
      <c r="A139" t="s">
        <v>742</v>
      </c>
      <c r="B139" s="12">
        <v>45666</v>
      </c>
      <c r="C139" s="12">
        <v>45666</v>
      </c>
      <c r="D139" t="s">
        <v>743</v>
      </c>
      <c r="E139" t="s">
        <v>243</v>
      </c>
      <c r="F139" t="s">
        <v>44</v>
      </c>
      <c r="G139" t="s">
        <v>9</v>
      </c>
      <c r="H139" t="s">
        <v>126</v>
      </c>
      <c r="I139" t="s">
        <v>127</v>
      </c>
      <c r="J139" t="s">
        <v>18</v>
      </c>
      <c r="K139" t="s">
        <v>19</v>
      </c>
      <c r="M139" t="s">
        <v>38</v>
      </c>
      <c r="N139">
        <v>8</v>
      </c>
      <c r="O139">
        <v>2667.07</v>
      </c>
      <c r="P139">
        <v>0.1</v>
      </c>
      <c r="Q139">
        <v>0.1</v>
      </c>
      <c r="R139">
        <v>19202.900000000001</v>
      </c>
      <c r="S139">
        <v>15526.62</v>
      </c>
      <c r="T139">
        <v>19202.903999999999</v>
      </c>
      <c r="U139">
        <v>3676.2840000000001</v>
      </c>
      <c r="V139">
        <v>0.19144416906942799</v>
      </c>
      <c r="W139">
        <v>0</v>
      </c>
      <c r="X139" t="s">
        <v>244</v>
      </c>
      <c r="Y139">
        <v>2025</v>
      </c>
      <c r="Z139" t="s">
        <v>129</v>
      </c>
      <c r="AA139" t="s">
        <v>130</v>
      </c>
      <c r="AB139" t="s">
        <v>131</v>
      </c>
      <c r="AC139" t="s">
        <v>131</v>
      </c>
      <c r="AD139" t="s">
        <v>131</v>
      </c>
      <c r="AE139" t="s">
        <v>131</v>
      </c>
      <c r="AF139" t="s">
        <v>131</v>
      </c>
      <c r="AG139" t="s">
        <v>131</v>
      </c>
      <c r="AH139" t="s">
        <v>132</v>
      </c>
      <c r="AI139" t="s">
        <v>133</v>
      </c>
      <c r="AJ139" t="s">
        <v>744</v>
      </c>
      <c r="AK139" t="s">
        <v>745</v>
      </c>
      <c r="AL139" t="s">
        <v>243</v>
      </c>
      <c r="AM139" t="s">
        <v>44</v>
      </c>
      <c r="AN139" t="s">
        <v>9</v>
      </c>
      <c r="AO139" t="s">
        <v>126</v>
      </c>
      <c r="AP139" t="s">
        <v>127</v>
      </c>
      <c r="AQ139" t="s">
        <v>18</v>
      </c>
      <c r="AR139" t="s">
        <v>19</v>
      </c>
      <c r="AS139" t="s">
        <v>38</v>
      </c>
      <c r="AT139">
        <v>0.1</v>
      </c>
      <c r="AU139" t="s">
        <v>129</v>
      </c>
      <c r="AV139" t="s">
        <v>130</v>
      </c>
    </row>
    <row r="140" spans="1:48" x14ac:dyDescent="0.3">
      <c r="A140" t="s">
        <v>746</v>
      </c>
      <c r="B140" s="12">
        <v>45311</v>
      </c>
      <c r="C140" s="12">
        <v>45317</v>
      </c>
      <c r="D140" t="s">
        <v>747</v>
      </c>
      <c r="E140" t="s">
        <v>277</v>
      </c>
      <c r="F140" t="s">
        <v>41</v>
      </c>
      <c r="G140" t="s">
        <v>8</v>
      </c>
      <c r="H140" t="s">
        <v>362</v>
      </c>
      <c r="I140" t="s">
        <v>363</v>
      </c>
      <c r="J140" t="s">
        <v>15</v>
      </c>
      <c r="K140" t="s">
        <v>25</v>
      </c>
      <c r="M140" t="s">
        <v>35</v>
      </c>
      <c r="N140">
        <v>8</v>
      </c>
      <c r="O140">
        <v>4003.05</v>
      </c>
      <c r="P140">
        <v>0.25</v>
      </c>
      <c r="Q140">
        <v>0.25</v>
      </c>
      <c r="R140">
        <v>24018.3</v>
      </c>
      <c r="S140">
        <v>14070.78</v>
      </c>
      <c r="T140">
        <v>24018.3</v>
      </c>
      <c r="U140">
        <v>9947.52</v>
      </c>
      <c r="V140">
        <v>0.41416419979765401</v>
      </c>
      <c r="W140">
        <v>6</v>
      </c>
      <c r="X140" t="s">
        <v>244</v>
      </c>
      <c r="Y140">
        <v>2024</v>
      </c>
      <c r="Z140" t="s">
        <v>129</v>
      </c>
      <c r="AA140" t="s">
        <v>130</v>
      </c>
      <c r="AB140" t="s">
        <v>131</v>
      </c>
      <c r="AC140" t="s">
        <v>131</v>
      </c>
      <c r="AD140" t="s">
        <v>131</v>
      </c>
      <c r="AE140" t="s">
        <v>131</v>
      </c>
      <c r="AF140" t="s">
        <v>131</v>
      </c>
      <c r="AG140" t="s">
        <v>131</v>
      </c>
      <c r="AH140" t="s">
        <v>132</v>
      </c>
      <c r="AI140" t="s">
        <v>133</v>
      </c>
      <c r="AJ140" t="s">
        <v>748</v>
      </c>
      <c r="AK140" t="s">
        <v>749</v>
      </c>
      <c r="AL140" t="s">
        <v>277</v>
      </c>
      <c r="AM140" t="s">
        <v>41</v>
      </c>
      <c r="AN140" t="s">
        <v>8</v>
      </c>
      <c r="AO140" t="s">
        <v>362</v>
      </c>
      <c r="AP140" t="s">
        <v>363</v>
      </c>
      <c r="AQ140" t="s">
        <v>15</v>
      </c>
      <c r="AR140" t="s">
        <v>25</v>
      </c>
      <c r="AS140" t="s">
        <v>35</v>
      </c>
      <c r="AT140">
        <v>0.25</v>
      </c>
      <c r="AU140" t="s">
        <v>129</v>
      </c>
      <c r="AV140" t="s">
        <v>130</v>
      </c>
    </row>
    <row r="141" spans="1:48" x14ac:dyDescent="0.3">
      <c r="A141" t="s">
        <v>750</v>
      </c>
      <c r="B141" s="12">
        <v>45718</v>
      </c>
      <c r="C141" s="12">
        <v>45723</v>
      </c>
      <c r="D141" t="s">
        <v>751</v>
      </c>
      <c r="E141" t="s">
        <v>178</v>
      </c>
      <c r="F141" t="s">
        <v>41</v>
      </c>
      <c r="G141" t="s">
        <v>6</v>
      </c>
      <c r="H141" t="s">
        <v>294</v>
      </c>
      <c r="I141" t="s">
        <v>295</v>
      </c>
      <c r="J141" t="s">
        <v>20</v>
      </c>
      <c r="K141" t="s">
        <v>30</v>
      </c>
      <c r="M141" t="s">
        <v>35</v>
      </c>
      <c r="N141">
        <v>8</v>
      </c>
      <c r="O141">
        <v>1287.6300000000001</v>
      </c>
      <c r="P141">
        <v>0</v>
      </c>
      <c r="Q141">
        <v>0</v>
      </c>
      <c r="R141">
        <v>10301.040000000001</v>
      </c>
      <c r="S141">
        <v>6564.06</v>
      </c>
      <c r="T141">
        <v>10301.040000000001</v>
      </c>
      <c r="U141">
        <v>3736.98</v>
      </c>
      <c r="V141">
        <v>0.36277696232613399</v>
      </c>
      <c r="W141">
        <v>5</v>
      </c>
      <c r="X141" t="s">
        <v>278</v>
      </c>
      <c r="Y141">
        <v>2025</v>
      </c>
      <c r="Z141" t="s">
        <v>129</v>
      </c>
      <c r="AA141" t="s">
        <v>130</v>
      </c>
      <c r="AB141" t="s">
        <v>131</v>
      </c>
      <c r="AC141" t="s">
        <v>131</v>
      </c>
      <c r="AD141" t="s">
        <v>131</v>
      </c>
      <c r="AE141" t="s">
        <v>131</v>
      </c>
      <c r="AF141" t="s">
        <v>131</v>
      </c>
      <c r="AG141" t="s">
        <v>131</v>
      </c>
      <c r="AH141" t="s">
        <v>132</v>
      </c>
      <c r="AI141" t="s">
        <v>133</v>
      </c>
      <c r="AJ141" t="s">
        <v>752</v>
      </c>
      <c r="AK141" t="s">
        <v>753</v>
      </c>
      <c r="AL141" t="s">
        <v>178</v>
      </c>
      <c r="AM141" t="s">
        <v>41</v>
      </c>
      <c r="AN141" t="s">
        <v>6</v>
      </c>
      <c r="AO141" t="s">
        <v>294</v>
      </c>
      <c r="AP141" t="s">
        <v>295</v>
      </c>
      <c r="AQ141" t="s">
        <v>20</v>
      </c>
      <c r="AR141" t="s">
        <v>30</v>
      </c>
      <c r="AS141" t="s">
        <v>35</v>
      </c>
      <c r="AT141">
        <v>0</v>
      </c>
      <c r="AU141" t="s">
        <v>129</v>
      </c>
      <c r="AV141" t="s">
        <v>130</v>
      </c>
    </row>
    <row r="142" spans="1:48" x14ac:dyDescent="0.3">
      <c r="A142" t="s">
        <v>754</v>
      </c>
      <c r="B142" s="12">
        <v>45443</v>
      </c>
      <c r="C142" s="12">
        <v>45444</v>
      </c>
      <c r="D142" t="s">
        <v>755</v>
      </c>
      <c r="E142" t="s">
        <v>139</v>
      </c>
      <c r="F142" t="s">
        <v>43</v>
      </c>
      <c r="G142" t="s">
        <v>6</v>
      </c>
      <c r="H142" t="s">
        <v>294</v>
      </c>
      <c r="I142" t="s">
        <v>295</v>
      </c>
      <c r="J142" t="s">
        <v>18</v>
      </c>
      <c r="K142" t="s">
        <v>26</v>
      </c>
      <c r="M142" t="s">
        <v>38</v>
      </c>
      <c r="N142">
        <v>3</v>
      </c>
      <c r="O142">
        <v>2914.55</v>
      </c>
      <c r="P142">
        <v>0</v>
      </c>
      <c r="Q142">
        <v>0</v>
      </c>
      <c r="R142">
        <v>8743.65</v>
      </c>
      <c r="S142">
        <v>6603.76</v>
      </c>
      <c r="T142">
        <v>8743.65</v>
      </c>
      <c r="U142">
        <v>2139.89</v>
      </c>
      <c r="V142">
        <v>0.24473646589239101</v>
      </c>
      <c r="W142">
        <v>1</v>
      </c>
      <c r="X142" t="s">
        <v>173</v>
      </c>
      <c r="Y142">
        <v>2024</v>
      </c>
      <c r="Z142" t="s">
        <v>129</v>
      </c>
      <c r="AA142" t="s">
        <v>130</v>
      </c>
      <c r="AB142" t="s">
        <v>131</v>
      </c>
      <c r="AC142" t="s">
        <v>131</v>
      </c>
      <c r="AD142" t="s">
        <v>131</v>
      </c>
      <c r="AE142" t="s">
        <v>131</v>
      </c>
      <c r="AF142" t="s">
        <v>131</v>
      </c>
      <c r="AG142" t="s">
        <v>131</v>
      </c>
      <c r="AH142" t="s">
        <v>132</v>
      </c>
      <c r="AI142" t="s">
        <v>133</v>
      </c>
      <c r="AJ142" t="s">
        <v>756</v>
      </c>
      <c r="AK142" t="s">
        <v>757</v>
      </c>
      <c r="AL142" t="s">
        <v>139</v>
      </c>
      <c r="AM142" t="s">
        <v>43</v>
      </c>
      <c r="AN142" t="s">
        <v>6</v>
      </c>
      <c r="AO142" t="s">
        <v>294</v>
      </c>
      <c r="AP142" t="s">
        <v>295</v>
      </c>
      <c r="AQ142" t="s">
        <v>18</v>
      </c>
      <c r="AR142" t="s">
        <v>26</v>
      </c>
      <c r="AS142" t="s">
        <v>38</v>
      </c>
      <c r="AT142">
        <v>0</v>
      </c>
      <c r="AU142" t="s">
        <v>129</v>
      </c>
      <c r="AV142" t="s">
        <v>130</v>
      </c>
    </row>
    <row r="143" spans="1:48" x14ac:dyDescent="0.3">
      <c r="A143" t="s">
        <v>758</v>
      </c>
      <c r="B143" s="12">
        <v>45374</v>
      </c>
      <c r="C143" s="12">
        <v>45380</v>
      </c>
      <c r="D143" t="s">
        <v>759</v>
      </c>
      <c r="E143" t="s">
        <v>221</v>
      </c>
      <c r="F143" t="s">
        <v>43</v>
      </c>
      <c r="G143" t="s">
        <v>9</v>
      </c>
      <c r="H143" t="s">
        <v>522</v>
      </c>
      <c r="I143" t="s">
        <v>523</v>
      </c>
      <c r="J143" t="s">
        <v>18</v>
      </c>
      <c r="K143" t="s">
        <v>26</v>
      </c>
      <c r="M143" t="s">
        <v>38</v>
      </c>
      <c r="N143">
        <v>7</v>
      </c>
      <c r="O143">
        <v>634.29</v>
      </c>
      <c r="P143">
        <v>0.1</v>
      </c>
      <c r="Q143">
        <v>0.1</v>
      </c>
      <c r="R143">
        <v>3996.03</v>
      </c>
      <c r="S143">
        <v>2859.51</v>
      </c>
      <c r="T143">
        <v>3996.027</v>
      </c>
      <c r="U143">
        <v>1136.5170000000001</v>
      </c>
      <c r="V143">
        <v>0.28441174196270402</v>
      </c>
      <c r="W143">
        <v>6</v>
      </c>
      <c r="X143" t="s">
        <v>278</v>
      </c>
      <c r="Y143">
        <v>2024</v>
      </c>
      <c r="Z143" t="s">
        <v>129</v>
      </c>
      <c r="AA143" t="s">
        <v>204</v>
      </c>
      <c r="AB143" t="s">
        <v>131</v>
      </c>
      <c r="AC143" t="s">
        <v>131</v>
      </c>
      <c r="AD143" t="s">
        <v>131</v>
      </c>
      <c r="AE143" t="s">
        <v>131</v>
      </c>
      <c r="AF143" t="s">
        <v>131</v>
      </c>
      <c r="AG143" t="s">
        <v>131</v>
      </c>
      <c r="AH143" t="s">
        <v>131</v>
      </c>
      <c r="AI143" t="s">
        <v>133</v>
      </c>
      <c r="AJ143" t="s">
        <v>760</v>
      </c>
      <c r="AK143" t="s">
        <v>761</v>
      </c>
      <c r="AL143" t="s">
        <v>221</v>
      </c>
      <c r="AM143" t="s">
        <v>43</v>
      </c>
      <c r="AN143" t="s">
        <v>9</v>
      </c>
      <c r="AO143" t="s">
        <v>522</v>
      </c>
      <c r="AP143" t="s">
        <v>523</v>
      </c>
      <c r="AQ143" t="s">
        <v>18</v>
      </c>
      <c r="AR143" t="s">
        <v>26</v>
      </c>
      <c r="AS143" t="s">
        <v>38</v>
      </c>
      <c r="AT143">
        <v>0.1</v>
      </c>
      <c r="AU143" t="s">
        <v>129</v>
      </c>
      <c r="AV143" t="s">
        <v>204</v>
      </c>
    </row>
    <row r="144" spans="1:48" x14ac:dyDescent="0.3">
      <c r="A144" t="s">
        <v>762</v>
      </c>
      <c r="B144" s="12">
        <v>45381</v>
      </c>
      <c r="C144" s="12">
        <v>45377</v>
      </c>
      <c r="D144" t="s">
        <v>763</v>
      </c>
      <c r="E144" t="s">
        <v>191</v>
      </c>
      <c r="F144" t="s">
        <v>41</v>
      </c>
      <c r="G144" t="s">
        <v>9</v>
      </c>
      <c r="H144" t="s">
        <v>126</v>
      </c>
      <c r="I144" t="s">
        <v>127</v>
      </c>
      <c r="J144" t="s">
        <v>15</v>
      </c>
      <c r="K144" t="s">
        <v>17</v>
      </c>
      <c r="M144" t="s">
        <v>37</v>
      </c>
      <c r="N144">
        <v>5</v>
      </c>
      <c r="O144">
        <v>907.54</v>
      </c>
      <c r="P144">
        <v>0.15</v>
      </c>
      <c r="Q144">
        <v>0.15</v>
      </c>
      <c r="R144">
        <v>3857.04</v>
      </c>
      <c r="S144">
        <v>2769.26</v>
      </c>
      <c r="T144">
        <v>3857.0450000000001</v>
      </c>
      <c r="U144">
        <v>1087.7850000000001</v>
      </c>
      <c r="V144">
        <v>0.28202548842442798</v>
      </c>
      <c r="W144">
        <v>-4</v>
      </c>
      <c r="X144" t="s">
        <v>278</v>
      </c>
      <c r="Y144">
        <v>2024</v>
      </c>
      <c r="Z144" t="s">
        <v>129</v>
      </c>
      <c r="AA144" t="s">
        <v>130</v>
      </c>
      <c r="AB144" t="s">
        <v>131</v>
      </c>
      <c r="AC144" t="s">
        <v>131</v>
      </c>
      <c r="AD144" t="s">
        <v>131</v>
      </c>
      <c r="AE144" t="s">
        <v>132</v>
      </c>
      <c r="AF144" t="s">
        <v>131</v>
      </c>
      <c r="AG144" t="s">
        <v>132</v>
      </c>
      <c r="AH144" t="s">
        <v>132</v>
      </c>
      <c r="AI144" t="s">
        <v>149</v>
      </c>
      <c r="AJ144" t="s">
        <v>764</v>
      </c>
      <c r="AK144" t="s">
        <v>765</v>
      </c>
      <c r="AL144" t="s">
        <v>191</v>
      </c>
      <c r="AM144" t="s">
        <v>41</v>
      </c>
      <c r="AN144" t="s">
        <v>9</v>
      </c>
      <c r="AO144" t="s">
        <v>126</v>
      </c>
      <c r="AP144" t="s">
        <v>127</v>
      </c>
      <c r="AQ144" t="s">
        <v>15</v>
      </c>
      <c r="AR144" t="s">
        <v>17</v>
      </c>
      <c r="AS144" t="s">
        <v>37</v>
      </c>
      <c r="AT144">
        <v>0.15</v>
      </c>
      <c r="AU144" t="s">
        <v>129</v>
      </c>
      <c r="AV144" t="s">
        <v>130</v>
      </c>
    </row>
    <row r="145" spans="1:48" x14ac:dyDescent="0.3">
      <c r="A145" t="s">
        <v>766</v>
      </c>
      <c r="B145" s="12">
        <v>45375</v>
      </c>
      <c r="C145" s="12">
        <v>45377</v>
      </c>
      <c r="D145" t="s">
        <v>767</v>
      </c>
      <c r="E145" t="s">
        <v>221</v>
      </c>
      <c r="F145" t="s">
        <v>42</v>
      </c>
      <c r="G145" t="s">
        <v>7</v>
      </c>
      <c r="H145" t="s">
        <v>300</v>
      </c>
      <c r="I145" t="s">
        <v>301</v>
      </c>
      <c r="J145" t="s">
        <v>20</v>
      </c>
      <c r="K145" t="s">
        <v>24</v>
      </c>
      <c r="M145" t="s">
        <v>37</v>
      </c>
      <c r="N145">
        <v>1</v>
      </c>
      <c r="O145">
        <v>3409.5</v>
      </c>
      <c r="P145">
        <v>0.1</v>
      </c>
      <c r="Q145">
        <v>0.1</v>
      </c>
      <c r="R145">
        <v>3068.55</v>
      </c>
      <c r="S145">
        <v>1916.16</v>
      </c>
      <c r="T145">
        <v>3068.55</v>
      </c>
      <c r="U145">
        <v>1152.3900000000001</v>
      </c>
      <c r="V145">
        <v>0.37554871193234601</v>
      </c>
      <c r="W145">
        <v>2</v>
      </c>
      <c r="X145" t="s">
        <v>278</v>
      </c>
      <c r="Y145">
        <v>2024</v>
      </c>
      <c r="Z145" t="s">
        <v>129</v>
      </c>
      <c r="AA145" t="s">
        <v>204</v>
      </c>
      <c r="AB145" t="s">
        <v>131</v>
      </c>
      <c r="AC145" t="s">
        <v>131</v>
      </c>
      <c r="AD145" t="s">
        <v>131</v>
      </c>
      <c r="AE145" t="s">
        <v>131</v>
      </c>
      <c r="AF145" t="s">
        <v>131</v>
      </c>
      <c r="AG145" t="s">
        <v>131</v>
      </c>
      <c r="AH145" t="s">
        <v>131</v>
      </c>
      <c r="AI145" t="s">
        <v>133</v>
      </c>
      <c r="AJ145" t="s">
        <v>554</v>
      </c>
      <c r="AK145" t="s">
        <v>768</v>
      </c>
      <c r="AL145" t="s">
        <v>221</v>
      </c>
      <c r="AM145" t="s">
        <v>42</v>
      </c>
      <c r="AN145" t="s">
        <v>7</v>
      </c>
      <c r="AO145" t="s">
        <v>300</v>
      </c>
      <c r="AP145" t="s">
        <v>301</v>
      </c>
      <c r="AQ145" t="s">
        <v>20</v>
      </c>
      <c r="AR145" t="s">
        <v>24</v>
      </c>
      <c r="AS145" t="s">
        <v>37</v>
      </c>
      <c r="AT145">
        <v>0.1</v>
      </c>
      <c r="AU145" t="s">
        <v>129</v>
      </c>
      <c r="AV145" t="s">
        <v>204</v>
      </c>
    </row>
    <row r="146" spans="1:48" x14ac:dyDescent="0.3">
      <c r="A146" t="s">
        <v>769</v>
      </c>
      <c r="B146" s="12">
        <v>45450</v>
      </c>
      <c r="C146" s="12">
        <v>45458</v>
      </c>
      <c r="D146" t="s">
        <v>770</v>
      </c>
      <c r="E146" t="s">
        <v>409</v>
      </c>
      <c r="F146" t="s">
        <v>44</v>
      </c>
      <c r="G146" t="s">
        <v>6</v>
      </c>
      <c r="H146" t="s">
        <v>155</v>
      </c>
      <c r="I146" t="s">
        <v>156</v>
      </c>
      <c r="J146" t="s">
        <v>15</v>
      </c>
      <c r="K146" t="s">
        <v>22</v>
      </c>
      <c r="M146" t="s">
        <v>36</v>
      </c>
      <c r="N146">
        <v>7</v>
      </c>
      <c r="O146">
        <v>2147.9899999999998</v>
      </c>
      <c r="P146">
        <v>0.25</v>
      </c>
      <c r="Q146">
        <v>0.25</v>
      </c>
      <c r="R146">
        <v>11276.95</v>
      </c>
      <c r="S146">
        <v>6908.76</v>
      </c>
      <c r="T146">
        <v>11276.9475</v>
      </c>
      <c r="U146">
        <v>4368.1875</v>
      </c>
      <c r="V146">
        <v>0.38735548782150497</v>
      </c>
      <c r="W146">
        <v>8</v>
      </c>
      <c r="X146" t="s">
        <v>148</v>
      </c>
      <c r="Y146">
        <v>2024</v>
      </c>
      <c r="Z146" t="s">
        <v>203</v>
      </c>
      <c r="AA146" t="s">
        <v>204</v>
      </c>
      <c r="AB146" t="s">
        <v>131</v>
      </c>
      <c r="AC146" t="s">
        <v>131</v>
      </c>
      <c r="AD146" t="s">
        <v>131</v>
      </c>
      <c r="AE146" t="s">
        <v>131</v>
      </c>
      <c r="AF146" t="s">
        <v>131</v>
      </c>
      <c r="AG146" t="s">
        <v>131</v>
      </c>
      <c r="AH146" t="s">
        <v>131</v>
      </c>
      <c r="AI146" t="s">
        <v>133</v>
      </c>
      <c r="AJ146" t="s">
        <v>582</v>
      </c>
      <c r="AK146" t="s">
        <v>771</v>
      </c>
      <c r="AL146" t="s">
        <v>409</v>
      </c>
      <c r="AM146" t="s">
        <v>44</v>
      </c>
      <c r="AN146" t="s">
        <v>6</v>
      </c>
      <c r="AO146" t="s">
        <v>155</v>
      </c>
      <c r="AP146" t="s">
        <v>156</v>
      </c>
      <c r="AQ146" t="s">
        <v>15</v>
      </c>
      <c r="AR146" t="s">
        <v>22</v>
      </c>
      <c r="AS146" t="s">
        <v>36</v>
      </c>
      <c r="AT146">
        <v>0.25</v>
      </c>
      <c r="AU146" t="s">
        <v>203</v>
      </c>
      <c r="AV146" t="s">
        <v>204</v>
      </c>
    </row>
    <row r="147" spans="1:48" x14ac:dyDescent="0.3">
      <c r="A147" t="s">
        <v>772</v>
      </c>
      <c r="B147" s="12">
        <v>45758</v>
      </c>
      <c r="C147" s="12">
        <v>45760</v>
      </c>
      <c r="D147" t="s">
        <v>773</v>
      </c>
      <c r="E147" t="s">
        <v>139</v>
      </c>
      <c r="F147" t="s">
        <v>44</v>
      </c>
      <c r="G147" t="s">
        <v>7</v>
      </c>
      <c r="H147" t="s">
        <v>311</v>
      </c>
      <c r="I147" t="s">
        <v>312</v>
      </c>
      <c r="J147" t="s">
        <v>20</v>
      </c>
      <c r="K147" t="s">
        <v>24</v>
      </c>
      <c r="M147" t="s">
        <v>35</v>
      </c>
      <c r="N147">
        <v>4</v>
      </c>
      <c r="O147">
        <v>4182.1499999999996</v>
      </c>
      <c r="P147">
        <v>0.1</v>
      </c>
      <c r="Q147">
        <v>0.1</v>
      </c>
      <c r="R147">
        <v>15055.74</v>
      </c>
      <c r="S147">
        <v>9808.83</v>
      </c>
      <c r="T147">
        <v>15055.74</v>
      </c>
      <c r="U147">
        <v>5246.91</v>
      </c>
      <c r="V147">
        <v>0.34849897779850098</v>
      </c>
      <c r="W147">
        <v>2</v>
      </c>
      <c r="X147" t="s">
        <v>179</v>
      </c>
      <c r="Y147">
        <v>2025</v>
      </c>
      <c r="Z147" t="s">
        <v>129</v>
      </c>
      <c r="AA147" t="s">
        <v>130</v>
      </c>
      <c r="AB147" t="s">
        <v>131</v>
      </c>
      <c r="AC147" t="s">
        <v>131</v>
      </c>
      <c r="AD147" t="s">
        <v>131</v>
      </c>
      <c r="AE147" t="s">
        <v>131</v>
      </c>
      <c r="AF147" t="s">
        <v>131</v>
      </c>
      <c r="AG147" t="s">
        <v>131</v>
      </c>
      <c r="AH147" t="s">
        <v>132</v>
      </c>
      <c r="AI147" t="s">
        <v>133</v>
      </c>
      <c r="AJ147" t="s">
        <v>774</v>
      </c>
      <c r="AK147" t="s">
        <v>775</v>
      </c>
      <c r="AL147" t="s">
        <v>139</v>
      </c>
      <c r="AM147" t="s">
        <v>44</v>
      </c>
      <c r="AN147" t="s">
        <v>7</v>
      </c>
      <c r="AO147" t="s">
        <v>311</v>
      </c>
      <c r="AP147" t="s">
        <v>312</v>
      </c>
      <c r="AQ147" t="s">
        <v>20</v>
      </c>
      <c r="AR147" t="s">
        <v>24</v>
      </c>
      <c r="AS147" t="s">
        <v>35</v>
      </c>
      <c r="AT147">
        <v>0.1</v>
      </c>
      <c r="AU147" t="s">
        <v>129</v>
      </c>
      <c r="AV147" t="s">
        <v>130</v>
      </c>
    </row>
    <row r="148" spans="1:48" x14ac:dyDescent="0.3">
      <c r="A148" t="s">
        <v>776</v>
      </c>
      <c r="B148" s="12">
        <v>45868</v>
      </c>
      <c r="C148" s="12">
        <v>45870</v>
      </c>
      <c r="D148" t="s">
        <v>777</v>
      </c>
      <c r="E148" t="s">
        <v>243</v>
      </c>
      <c r="F148" t="s">
        <v>44</v>
      </c>
      <c r="G148" t="s">
        <v>6</v>
      </c>
      <c r="H148" t="s">
        <v>385</v>
      </c>
      <c r="I148" t="s">
        <v>386</v>
      </c>
      <c r="J148" t="s">
        <v>20</v>
      </c>
      <c r="K148" t="s">
        <v>21</v>
      </c>
      <c r="M148" t="s">
        <v>38</v>
      </c>
      <c r="N148">
        <v>9</v>
      </c>
      <c r="O148">
        <v>3165.43</v>
      </c>
      <c r="P148">
        <v>0.1</v>
      </c>
      <c r="Q148">
        <v>0.1</v>
      </c>
      <c r="R148">
        <v>25639.98</v>
      </c>
      <c r="S148">
        <v>21635.08</v>
      </c>
      <c r="T148">
        <v>25639.983</v>
      </c>
      <c r="U148">
        <v>4004.9029999999998</v>
      </c>
      <c r="V148">
        <v>0.156197568461726</v>
      </c>
      <c r="W148">
        <v>2</v>
      </c>
      <c r="X148" t="s">
        <v>128</v>
      </c>
      <c r="Y148">
        <v>2025</v>
      </c>
      <c r="Z148" t="s">
        <v>129</v>
      </c>
      <c r="AA148" t="s">
        <v>130</v>
      </c>
      <c r="AB148" t="s">
        <v>131</v>
      </c>
      <c r="AC148" t="s">
        <v>131</v>
      </c>
      <c r="AD148" t="s">
        <v>131</v>
      </c>
      <c r="AE148" t="s">
        <v>131</v>
      </c>
      <c r="AF148" t="s">
        <v>131</v>
      </c>
      <c r="AG148" t="s">
        <v>131</v>
      </c>
      <c r="AH148" t="s">
        <v>132</v>
      </c>
      <c r="AI148" t="s">
        <v>133</v>
      </c>
      <c r="AJ148" t="s">
        <v>778</v>
      </c>
      <c r="AK148" t="s">
        <v>779</v>
      </c>
      <c r="AL148" t="s">
        <v>243</v>
      </c>
      <c r="AM148" t="s">
        <v>44</v>
      </c>
      <c r="AN148" t="s">
        <v>6</v>
      </c>
      <c r="AO148" t="s">
        <v>385</v>
      </c>
      <c r="AP148" t="s">
        <v>386</v>
      </c>
      <c r="AQ148" t="s">
        <v>20</v>
      </c>
      <c r="AR148" t="s">
        <v>21</v>
      </c>
      <c r="AS148" t="s">
        <v>38</v>
      </c>
      <c r="AT148">
        <v>0.1</v>
      </c>
      <c r="AU148" t="s">
        <v>129</v>
      </c>
      <c r="AV148" t="s">
        <v>130</v>
      </c>
    </row>
    <row r="149" spans="1:48" x14ac:dyDescent="0.3">
      <c r="A149" t="s">
        <v>780</v>
      </c>
      <c r="B149" s="12">
        <v>45649</v>
      </c>
      <c r="C149" s="12">
        <v>45656</v>
      </c>
      <c r="D149" t="s">
        <v>781</v>
      </c>
      <c r="E149" t="s">
        <v>221</v>
      </c>
      <c r="F149" t="s">
        <v>41</v>
      </c>
      <c r="G149" t="s">
        <v>7</v>
      </c>
      <c r="H149" t="s">
        <v>311</v>
      </c>
      <c r="I149" t="s">
        <v>312</v>
      </c>
      <c r="J149" t="s">
        <v>18</v>
      </c>
      <c r="K149" t="s">
        <v>23</v>
      </c>
      <c r="M149" t="s">
        <v>36</v>
      </c>
      <c r="N149">
        <v>8</v>
      </c>
      <c r="O149">
        <v>386.1</v>
      </c>
      <c r="P149">
        <v>0.1</v>
      </c>
      <c r="Q149">
        <v>0.1</v>
      </c>
      <c r="R149">
        <v>2779.92</v>
      </c>
      <c r="S149">
        <v>1744.05</v>
      </c>
      <c r="T149">
        <v>2779.92</v>
      </c>
      <c r="U149">
        <v>1035.8699999999999</v>
      </c>
      <c r="V149">
        <v>0.37262583095916402</v>
      </c>
      <c r="W149">
        <v>7</v>
      </c>
      <c r="X149" t="s">
        <v>214</v>
      </c>
      <c r="Y149">
        <v>2024</v>
      </c>
      <c r="Z149" t="s">
        <v>129</v>
      </c>
      <c r="AA149" t="s">
        <v>130</v>
      </c>
      <c r="AB149" t="s">
        <v>131</v>
      </c>
      <c r="AC149" t="s">
        <v>131</v>
      </c>
      <c r="AD149" t="s">
        <v>131</v>
      </c>
      <c r="AE149" t="s">
        <v>131</v>
      </c>
      <c r="AF149" t="s">
        <v>131</v>
      </c>
      <c r="AG149" t="s">
        <v>131</v>
      </c>
      <c r="AH149" t="s">
        <v>132</v>
      </c>
      <c r="AI149" t="s">
        <v>133</v>
      </c>
      <c r="AJ149" t="s">
        <v>782</v>
      </c>
      <c r="AK149" t="s">
        <v>783</v>
      </c>
      <c r="AL149" t="s">
        <v>221</v>
      </c>
      <c r="AM149" t="s">
        <v>41</v>
      </c>
      <c r="AN149" t="s">
        <v>7</v>
      </c>
      <c r="AO149" t="s">
        <v>311</v>
      </c>
      <c r="AP149" t="s">
        <v>312</v>
      </c>
      <c r="AQ149" t="s">
        <v>18</v>
      </c>
      <c r="AR149" t="s">
        <v>23</v>
      </c>
      <c r="AS149" t="s">
        <v>36</v>
      </c>
      <c r="AT149">
        <v>0.1</v>
      </c>
      <c r="AU149" t="s">
        <v>129</v>
      </c>
      <c r="AV149" t="s">
        <v>130</v>
      </c>
    </row>
    <row r="150" spans="1:48" x14ac:dyDescent="0.3">
      <c r="A150" t="s">
        <v>784</v>
      </c>
      <c r="B150" s="12">
        <v>45697</v>
      </c>
      <c r="C150" s="12">
        <v>45701</v>
      </c>
      <c r="D150" t="s">
        <v>785</v>
      </c>
      <c r="E150" t="s">
        <v>139</v>
      </c>
      <c r="F150" t="s">
        <v>41</v>
      </c>
      <c r="G150" t="s">
        <v>7</v>
      </c>
      <c r="H150" t="s">
        <v>171</v>
      </c>
      <c r="I150" t="s">
        <v>172</v>
      </c>
      <c r="J150" t="s">
        <v>15</v>
      </c>
      <c r="K150" t="s">
        <v>17</v>
      </c>
      <c r="M150" t="s">
        <v>10</v>
      </c>
      <c r="N150">
        <v>8</v>
      </c>
      <c r="O150">
        <v>1696.07</v>
      </c>
      <c r="P150">
        <v>0.25</v>
      </c>
      <c r="Q150">
        <v>0.25</v>
      </c>
      <c r="R150">
        <v>10176.42</v>
      </c>
      <c r="S150">
        <v>7604.47</v>
      </c>
      <c r="T150">
        <v>10176.42</v>
      </c>
      <c r="U150">
        <v>2571.9499999999998</v>
      </c>
      <c r="V150">
        <v>0.252736227474888</v>
      </c>
      <c r="W150">
        <v>4</v>
      </c>
      <c r="X150" t="s">
        <v>186</v>
      </c>
      <c r="Y150">
        <v>2025</v>
      </c>
      <c r="Z150" t="s">
        <v>129</v>
      </c>
      <c r="AA150" t="s">
        <v>130</v>
      </c>
      <c r="AB150" t="s">
        <v>131</v>
      </c>
      <c r="AC150" t="s">
        <v>132</v>
      </c>
      <c r="AD150" t="s">
        <v>131</v>
      </c>
      <c r="AE150" t="s">
        <v>131</v>
      </c>
      <c r="AF150" t="s">
        <v>131</v>
      </c>
      <c r="AG150" t="s">
        <v>131</v>
      </c>
      <c r="AH150" t="s">
        <v>132</v>
      </c>
      <c r="AI150" t="s">
        <v>321</v>
      </c>
      <c r="AJ150" t="s">
        <v>786</v>
      </c>
      <c r="AK150" t="s">
        <v>787</v>
      </c>
      <c r="AL150" t="s">
        <v>139</v>
      </c>
      <c r="AM150" t="s">
        <v>41</v>
      </c>
      <c r="AN150" t="s">
        <v>7</v>
      </c>
      <c r="AO150" t="s">
        <v>171</v>
      </c>
      <c r="AP150" t="s">
        <v>172</v>
      </c>
      <c r="AQ150" t="s">
        <v>15</v>
      </c>
      <c r="AR150" t="s">
        <v>17</v>
      </c>
      <c r="AT150">
        <v>0.25</v>
      </c>
      <c r="AU150" t="s">
        <v>129</v>
      </c>
      <c r="AV150" t="s">
        <v>130</v>
      </c>
    </row>
    <row r="151" spans="1:48" x14ac:dyDescent="0.3">
      <c r="A151" t="s">
        <v>788</v>
      </c>
      <c r="B151" s="12">
        <v>45321</v>
      </c>
      <c r="C151" s="12">
        <v>45321</v>
      </c>
      <c r="D151" t="s">
        <v>789</v>
      </c>
      <c r="E151" t="s">
        <v>238</v>
      </c>
      <c r="F151" t="s">
        <v>44</v>
      </c>
      <c r="G151" t="s">
        <v>7</v>
      </c>
      <c r="H151" t="s">
        <v>126</v>
      </c>
      <c r="I151" t="s">
        <v>213</v>
      </c>
      <c r="J151" t="s">
        <v>15</v>
      </c>
      <c r="K151" t="s">
        <v>16</v>
      </c>
      <c r="M151" t="s">
        <v>38</v>
      </c>
      <c r="N151">
        <v>7</v>
      </c>
      <c r="O151">
        <v>2527.61</v>
      </c>
      <c r="P151">
        <v>0.25</v>
      </c>
      <c r="Q151">
        <v>0.25</v>
      </c>
      <c r="R151">
        <v>13269.95</v>
      </c>
      <c r="S151">
        <v>8977.1</v>
      </c>
      <c r="T151">
        <v>13269.952499999999</v>
      </c>
      <c r="U151">
        <v>4292.8525</v>
      </c>
      <c r="V151">
        <v>0.323501723159898</v>
      </c>
      <c r="W151">
        <v>0</v>
      </c>
      <c r="X151" t="s">
        <v>244</v>
      </c>
      <c r="Y151">
        <v>2024</v>
      </c>
      <c r="Z151" t="s">
        <v>129</v>
      </c>
      <c r="AA151" t="s">
        <v>130</v>
      </c>
      <c r="AB151" t="s">
        <v>131</v>
      </c>
      <c r="AC151" t="s">
        <v>131</v>
      </c>
      <c r="AD151" t="s">
        <v>131</v>
      </c>
      <c r="AE151" t="s">
        <v>131</v>
      </c>
      <c r="AF151" t="s">
        <v>131</v>
      </c>
      <c r="AG151" t="s">
        <v>131</v>
      </c>
      <c r="AH151" t="s">
        <v>132</v>
      </c>
      <c r="AI151" t="s">
        <v>133</v>
      </c>
      <c r="AJ151" t="s">
        <v>790</v>
      </c>
      <c r="AK151" t="s">
        <v>790</v>
      </c>
      <c r="AL151" t="s">
        <v>238</v>
      </c>
      <c r="AM151" t="s">
        <v>44</v>
      </c>
      <c r="AN151" t="s">
        <v>791</v>
      </c>
      <c r="AO151" t="s">
        <v>126</v>
      </c>
      <c r="AP151" t="s">
        <v>213</v>
      </c>
      <c r="AQ151" t="s">
        <v>15</v>
      </c>
      <c r="AR151" t="s">
        <v>16</v>
      </c>
      <c r="AS151" t="s">
        <v>38</v>
      </c>
      <c r="AT151">
        <v>0.25</v>
      </c>
      <c r="AU151" t="s">
        <v>129</v>
      </c>
      <c r="AV151" t="s">
        <v>130</v>
      </c>
    </row>
    <row r="152" spans="1:48" x14ac:dyDescent="0.3">
      <c r="A152" t="s">
        <v>792</v>
      </c>
      <c r="B152" s="12">
        <v>45355</v>
      </c>
      <c r="C152" s="12">
        <v>45363</v>
      </c>
      <c r="D152" t="s">
        <v>793</v>
      </c>
      <c r="E152" t="s">
        <v>154</v>
      </c>
      <c r="F152" t="s">
        <v>42</v>
      </c>
      <c r="G152" t="s">
        <v>10</v>
      </c>
      <c r="H152" t="s">
        <v>300</v>
      </c>
      <c r="I152" t="s">
        <v>301</v>
      </c>
      <c r="J152" t="s">
        <v>18</v>
      </c>
      <c r="K152" t="s">
        <v>26</v>
      </c>
      <c r="M152" t="s">
        <v>36</v>
      </c>
      <c r="N152">
        <v>1</v>
      </c>
      <c r="O152">
        <v>1554.12</v>
      </c>
      <c r="P152">
        <v>0.1</v>
      </c>
      <c r="Q152">
        <v>0.1</v>
      </c>
      <c r="R152">
        <v>1398.71</v>
      </c>
      <c r="S152">
        <v>1056.92</v>
      </c>
      <c r="T152">
        <v>1398.7080000000001</v>
      </c>
      <c r="U152">
        <v>341.78800000000001</v>
      </c>
      <c r="V152">
        <v>0.244359794896433</v>
      </c>
      <c r="W152">
        <v>8</v>
      </c>
      <c r="X152" t="s">
        <v>278</v>
      </c>
      <c r="Y152">
        <v>2024</v>
      </c>
      <c r="Z152" t="s">
        <v>129</v>
      </c>
      <c r="AA152" t="s">
        <v>130</v>
      </c>
      <c r="AB152" t="s">
        <v>132</v>
      </c>
      <c r="AC152" t="s">
        <v>131</v>
      </c>
      <c r="AD152" t="s">
        <v>131</v>
      </c>
      <c r="AE152" t="s">
        <v>131</v>
      </c>
      <c r="AF152" t="s">
        <v>131</v>
      </c>
      <c r="AG152" t="s">
        <v>131</v>
      </c>
      <c r="AH152" t="s">
        <v>132</v>
      </c>
      <c r="AI152" t="s">
        <v>321</v>
      </c>
      <c r="AJ152" t="s">
        <v>794</v>
      </c>
      <c r="AK152" t="s">
        <v>795</v>
      </c>
      <c r="AL152" t="s">
        <v>154</v>
      </c>
      <c r="AM152" t="s">
        <v>42</v>
      </c>
      <c r="AO152" t="s">
        <v>300</v>
      </c>
      <c r="AP152" t="s">
        <v>301</v>
      </c>
      <c r="AQ152" t="s">
        <v>18</v>
      </c>
      <c r="AR152" t="s">
        <v>26</v>
      </c>
      <c r="AS152" t="s">
        <v>36</v>
      </c>
      <c r="AT152">
        <v>0.1</v>
      </c>
      <c r="AU152" t="s">
        <v>129</v>
      </c>
      <c r="AV152" t="s">
        <v>130</v>
      </c>
    </row>
    <row r="153" spans="1:48" x14ac:dyDescent="0.3">
      <c r="A153" t="s">
        <v>796</v>
      </c>
      <c r="B153" s="12">
        <v>45470</v>
      </c>
      <c r="C153" s="12">
        <v>45470</v>
      </c>
      <c r="D153" t="s">
        <v>797</v>
      </c>
      <c r="E153" t="s">
        <v>178</v>
      </c>
      <c r="F153" t="s">
        <v>41</v>
      </c>
      <c r="G153" t="s">
        <v>10</v>
      </c>
      <c r="H153" t="s">
        <v>171</v>
      </c>
      <c r="I153" t="s">
        <v>172</v>
      </c>
      <c r="J153" t="s">
        <v>15</v>
      </c>
      <c r="K153" t="s">
        <v>16</v>
      </c>
      <c r="M153" t="s">
        <v>35</v>
      </c>
      <c r="N153">
        <v>2</v>
      </c>
      <c r="O153">
        <v>3859.11</v>
      </c>
      <c r="P153">
        <v>0</v>
      </c>
      <c r="Q153">
        <v>0</v>
      </c>
      <c r="R153">
        <v>7718.22</v>
      </c>
      <c r="S153">
        <v>5355.93</v>
      </c>
      <c r="T153">
        <v>7718.22</v>
      </c>
      <c r="U153">
        <v>2362.29</v>
      </c>
      <c r="V153">
        <v>0.30606668376905599</v>
      </c>
      <c r="W153">
        <v>0</v>
      </c>
      <c r="X153" t="s">
        <v>148</v>
      </c>
      <c r="Y153">
        <v>2024</v>
      </c>
      <c r="Z153" t="s">
        <v>215</v>
      </c>
      <c r="AA153" t="s">
        <v>204</v>
      </c>
      <c r="AB153" t="s">
        <v>132</v>
      </c>
      <c r="AC153" t="s">
        <v>131</v>
      </c>
      <c r="AD153" t="s">
        <v>131</v>
      </c>
      <c r="AE153" t="s">
        <v>131</v>
      </c>
      <c r="AF153" t="s">
        <v>131</v>
      </c>
      <c r="AG153" t="s">
        <v>131</v>
      </c>
      <c r="AH153" t="s">
        <v>131</v>
      </c>
      <c r="AI153" t="s">
        <v>321</v>
      </c>
      <c r="AJ153" t="s">
        <v>798</v>
      </c>
      <c r="AK153" t="s">
        <v>799</v>
      </c>
      <c r="AL153" t="s">
        <v>178</v>
      </c>
      <c r="AM153" t="s">
        <v>41</v>
      </c>
      <c r="AO153" t="s">
        <v>171</v>
      </c>
      <c r="AP153" t="s">
        <v>172</v>
      </c>
      <c r="AQ153" t="s">
        <v>15</v>
      </c>
      <c r="AR153" t="s">
        <v>16</v>
      </c>
      <c r="AS153" t="s">
        <v>35</v>
      </c>
      <c r="AT153">
        <v>0</v>
      </c>
      <c r="AU153" t="s">
        <v>215</v>
      </c>
      <c r="AV153" t="s">
        <v>204</v>
      </c>
    </row>
    <row r="154" spans="1:48" x14ac:dyDescent="0.3">
      <c r="A154" t="s">
        <v>800</v>
      </c>
      <c r="B154" s="12">
        <v>45457</v>
      </c>
      <c r="C154" s="12">
        <v>45460</v>
      </c>
      <c r="D154" t="s">
        <v>801</v>
      </c>
      <c r="E154" t="s">
        <v>409</v>
      </c>
      <c r="F154" t="s">
        <v>44</v>
      </c>
      <c r="G154" t="s">
        <v>6</v>
      </c>
      <c r="H154" t="s">
        <v>305</v>
      </c>
      <c r="I154" t="s">
        <v>306</v>
      </c>
      <c r="J154" t="s">
        <v>18</v>
      </c>
      <c r="K154" t="s">
        <v>27</v>
      </c>
      <c r="M154" t="s">
        <v>37</v>
      </c>
      <c r="N154">
        <v>6</v>
      </c>
      <c r="O154">
        <v>1088.04</v>
      </c>
      <c r="P154">
        <v>0.1</v>
      </c>
      <c r="Q154">
        <v>0.1</v>
      </c>
      <c r="R154">
        <v>5875.42</v>
      </c>
      <c r="S154">
        <v>4380.55</v>
      </c>
      <c r="T154">
        <v>5875.4160000000002</v>
      </c>
      <c r="U154">
        <v>1494.866</v>
      </c>
      <c r="V154">
        <v>0.25442726098032897</v>
      </c>
      <c r="W154">
        <v>3</v>
      </c>
      <c r="X154" t="s">
        <v>148</v>
      </c>
      <c r="Y154">
        <v>2024</v>
      </c>
      <c r="Z154" t="s">
        <v>215</v>
      </c>
      <c r="AA154" t="s">
        <v>204</v>
      </c>
      <c r="AB154" t="s">
        <v>131</v>
      </c>
      <c r="AC154" t="s">
        <v>131</v>
      </c>
      <c r="AD154" t="s">
        <v>131</v>
      </c>
      <c r="AE154" t="s">
        <v>131</v>
      </c>
      <c r="AF154" t="s">
        <v>131</v>
      </c>
      <c r="AG154" t="s">
        <v>131</v>
      </c>
      <c r="AH154" t="s">
        <v>131</v>
      </c>
      <c r="AI154" t="s">
        <v>133</v>
      </c>
      <c r="AJ154" t="s">
        <v>802</v>
      </c>
      <c r="AK154" t="s">
        <v>803</v>
      </c>
      <c r="AL154" t="s">
        <v>409</v>
      </c>
      <c r="AM154" t="s">
        <v>44</v>
      </c>
      <c r="AN154" t="s">
        <v>6</v>
      </c>
      <c r="AO154" t="s">
        <v>305</v>
      </c>
      <c r="AP154" t="s">
        <v>306</v>
      </c>
      <c r="AQ154" t="s">
        <v>18</v>
      </c>
      <c r="AR154" t="s">
        <v>27</v>
      </c>
      <c r="AS154" t="s">
        <v>37</v>
      </c>
      <c r="AT154">
        <v>0.1</v>
      </c>
      <c r="AU154" t="s">
        <v>215</v>
      </c>
      <c r="AV154" t="s">
        <v>204</v>
      </c>
    </row>
    <row r="155" spans="1:48" x14ac:dyDescent="0.3">
      <c r="A155" t="s">
        <v>804</v>
      </c>
      <c r="B155" s="12">
        <v>45923</v>
      </c>
      <c r="C155" s="12">
        <v>45925</v>
      </c>
      <c r="D155" t="s">
        <v>805</v>
      </c>
      <c r="E155" t="s">
        <v>191</v>
      </c>
      <c r="F155" t="s">
        <v>42</v>
      </c>
      <c r="G155" t="s">
        <v>8</v>
      </c>
      <c r="H155" t="s">
        <v>140</v>
      </c>
      <c r="I155" t="s">
        <v>141</v>
      </c>
      <c r="J155" t="s">
        <v>20</v>
      </c>
      <c r="K155" t="s">
        <v>30</v>
      </c>
      <c r="M155" t="s">
        <v>35</v>
      </c>
      <c r="N155">
        <v>7</v>
      </c>
      <c r="O155">
        <v>3280.31</v>
      </c>
      <c r="P155">
        <v>0</v>
      </c>
      <c r="Q155">
        <v>0</v>
      </c>
      <c r="R155">
        <v>22962.17</v>
      </c>
      <c r="S155">
        <v>15716.5</v>
      </c>
      <c r="T155">
        <v>22962.17</v>
      </c>
      <c r="U155">
        <v>7245.67</v>
      </c>
      <c r="V155">
        <v>0.315548138525235</v>
      </c>
      <c r="W155">
        <v>2</v>
      </c>
      <c r="X155" t="s">
        <v>196</v>
      </c>
      <c r="Y155">
        <v>2025</v>
      </c>
      <c r="Z155" t="s">
        <v>203</v>
      </c>
      <c r="AA155" t="s">
        <v>204</v>
      </c>
      <c r="AB155" t="s">
        <v>131</v>
      </c>
      <c r="AC155" t="s">
        <v>131</v>
      </c>
      <c r="AD155" t="s">
        <v>131</v>
      </c>
      <c r="AE155" t="s">
        <v>131</v>
      </c>
      <c r="AF155" t="s">
        <v>131</v>
      </c>
      <c r="AG155" t="s">
        <v>131</v>
      </c>
      <c r="AH155" t="s">
        <v>131</v>
      </c>
      <c r="AI155" t="s">
        <v>133</v>
      </c>
      <c r="AJ155" t="s">
        <v>806</v>
      </c>
      <c r="AK155" t="s">
        <v>807</v>
      </c>
      <c r="AL155" t="s">
        <v>191</v>
      </c>
      <c r="AM155" t="s">
        <v>42</v>
      </c>
      <c r="AN155" t="s">
        <v>8</v>
      </c>
      <c r="AO155" t="s">
        <v>140</v>
      </c>
      <c r="AP155" t="s">
        <v>141</v>
      </c>
      <c r="AQ155" t="s">
        <v>20</v>
      </c>
      <c r="AR155" t="s">
        <v>30</v>
      </c>
      <c r="AS155" t="s">
        <v>35</v>
      </c>
      <c r="AT155">
        <v>0</v>
      </c>
      <c r="AU155" t="s">
        <v>203</v>
      </c>
      <c r="AV155" t="s">
        <v>204</v>
      </c>
    </row>
    <row r="156" spans="1:48" x14ac:dyDescent="0.3">
      <c r="A156" t="s">
        <v>808</v>
      </c>
      <c r="B156" s="12">
        <v>45334</v>
      </c>
      <c r="C156" s="12">
        <v>45333</v>
      </c>
      <c r="D156" t="s">
        <v>653</v>
      </c>
      <c r="E156" t="s">
        <v>221</v>
      </c>
      <c r="F156" t="s">
        <v>42</v>
      </c>
      <c r="G156" t="s">
        <v>6</v>
      </c>
      <c r="H156" t="s">
        <v>385</v>
      </c>
      <c r="I156" t="s">
        <v>386</v>
      </c>
      <c r="J156" t="s">
        <v>18</v>
      </c>
      <c r="K156" t="s">
        <v>26</v>
      </c>
      <c r="M156" t="s">
        <v>38</v>
      </c>
      <c r="N156">
        <v>1</v>
      </c>
      <c r="O156">
        <v>2599.12</v>
      </c>
      <c r="P156">
        <v>0.15</v>
      </c>
      <c r="Q156">
        <v>0.15</v>
      </c>
      <c r="R156">
        <v>2209.25</v>
      </c>
      <c r="S156">
        <v>1523.78</v>
      </c>
      <c r="T156">
        <v>2209.252</v>
      </c>
      <c r="U156">
        <v>685.47199999999998</v>
      </c>
      <c r="V156">
        <v>0.310273341384324</v>
      </c>
      <c r="W156">
        <v>-1</v>
      </c>
      <c r="X156" t="s">
        <v>186</v>
      </c>
      <c r="Y156">
        <v>2024</v>
      </c>
      <c r="Z156" t="s">
        <v>129</v>
      </c>
      <c r="AA156" t="s">
        <v>130</v>
      </c>
      <c r="AB156" t="s">
        <v>131</v>
      </c>
      <c r="AC156" t="s">
        <v>131</v>
      </c>
      <c r="AD156" t="s">
        <v>131</v>
      </c>
      <c r="AE156" t="s">
        <v>132</v>
      </c>
      <c r="AF156" t="s">
        <v>131</v>
      </c>
      <c r="AG156" t="s">
        <v>131</v>
      </c>
      <c r="AH156" t="s">
        <v>132</v>
      </c>
      <c r="AI156" t="s">
        <v>149</v>
      </c>
      <c r="AJ156" t="s">
        <v>809</v>
      </c>
      <c r="AK156" t="s">
        <v>810</v>
      </c>
      <c r="AL156" t="s">
        <v>221</v>
      </c>
      <c r="AM156" t="s">
        <v>42</v>
      </c>
      <c r="AN156" t="s">
        <v>6</v>
      </c>
      <c r="AO156" t="s">
        <v>385</v>
      </c>
      <c r="AP156" t="s">
        <v>386</v>
      </c>
      <c r="AQ156" t="s">
        <v>18</v>
      </c>
      <c r="AR156" t="s">
        <v>26</v>
      </c>
      <c r="AS156" t="s">
        <v>38</v>
      </c>
      <c r="AT156">
        <v>0.15</v>
      </c>
      <c r="AU156" t="s">
        <v>129</v>
      </c>
      <c r="AV156" t="s">
        <v>130</v>
      </c>
    </row>
    <row r="157" spans="1:48" x14ac:dyDescent="0.3">
      <c r="A157" t="s">
        <v>811</v>
      </c>
      <c r="B157" s="12">
        <v>45683</v>
      </c>
      <c r="C157" s="12">
        <v>45691</v>
      </c>
      <c r="D157" t="s">
        <v>812</v>
      </c>
      <c r="E157" t="s">
        <v>125</v>
      </c>
      <c r="F157" t="s">
        <v>43</v>
      </c>
      <c r="G157" t="s">
        <v>7</v>
      </c>
      <c r="H157" t="s">
        <v>126</v>
      </c>
      <c r="I157" t="s">
        <v>213</v>
      </c>
      <c r="J157" t="s">
        <v>18</v>
      </c>
      <c r="K157" t="s">
        <v>23</v>
      </c>
      <c r="M157" t="s">
        <v>38</v>
      </c>
      <c r="N157">
        <v>3</v>
      </c>
      <c r="O157">
        <v>2859.32</v>
      </c>
      <c r="P157">
        <v>0.1</v>
      </c>
      <c r="Q157">
        <v>0.1</v>
      </c>
      <c r="R157">
        <v>7720.16</v>
      </c>
      <c r="S157">
        <v>5881</v>
      </c>
      <c r="T157">
        <v>7720.1639999999998</v>
      </c>
      <c r="U157">
        <v>1839.164</v>
      </c>
      <c r="V157">
        <v>0.238228617941277</v>
      </c>
      <c r="W157">
        <v>8</v>
      </c>
      <c r="X157" t="s">
        <v>244</v>
      </c>
      <c r="Y157">
        <v>2025</v>
      </c>
      <c r="Z157" t="s">
        <v>203</v>
      </c>
      <c r="AA157" t="s">
        <v>204</v>
      </c>
      <c r="AB157" t="s">
        <v>131</v>
      </c>
      <c r="AC157" t="s">
        <v>131</v>
      </c>
      <c r="AD157" t="s">
        <v>131</v>
      </c>
      <c r="AE157" t="s">
        <v>131</v>
      </c>
      <c r="AF157" t="s">
        <v>131</v>
      </c>
      <c r="AG157" t="s">
        <v>131</v>
      </c>
      <c r="AH157" t="s">
        <v>131</v>
      </c>
      <c r="AI157" t="s">
        <v>133</v>
      </c>
      <c r="AJ157" t="s">
        <v>567</v>
      </c>
      <c r="AK157" t="s">
        <v>470</v>
      </c>
      <c r="AL157" t="s">
        <v>125</v>
      </c>
      <c r="AM157" t="s">
        <v>43</v>
      </c>
      <c r="AN157" t="s">
        <v>7</v>
      </c>
      <c r="AO157" t="s">
        <v>126</v>
      </c>
      <c r="AP157" t="s">
        <v>213</v>
      </c>
      <c r="AQ157" t="s">
        <v>18</v>
      </c>
      <c r="AR157" t="s">
        <v>23</v>
      </c>
      <c r="AS157" t="s">
        <v>38</v>
      </c>
      <c r="AT157">
        <v>0.1</v>
      </c>
      <c r="AU157" t="s">
        <v>203</v>
      </c>
      <c r="AV157" t="s">
        <v>204</v>
      </c>
    </row>
    <row r="158" spans="1:48" x14ac:dyDescent="0.3">
      <c r="A158" t="s">
        <v>813</v>
      </c>
      <c r="B158" s="12">
        <v>45743</v>
      </c>
      <c r="C158" s="12">
        <v>45743</v>
      </c>
      <c r="D158" t="s">
        <v>814</v>
      </c>
      <c r="E158" t="s">
        <v>170</v>
      </c>
      <c r="F158" t="s">
        <v>44</v>
      </c>
      <c r="G158" t="s">
        <v>8</v>
      </c>
      <c r="H158" t="s">
        <v>259</v>
      </c>
      <c r="I158" t="s">
        <v>260</v>
      </c>
      <c r="J158" t="s">
        <v>15</v>
      </c>
      <c r="K158" t="s">
        <v>25</v>
      </c>
      <c r="M158" t="s">
        <v>37</v>
      </c>
      <c r="N158">
        <v>7</v>
      </c>
      <c r="O158">
        <v>2305.37</v>
      </c>
      <c r="P158">
        <v>0.25</v>
      </c>
      <c r="Q158">
        <v>0.25</v>
      </c>
      <c r="R158">
        <v>12103.19</v>
      </c>
      <c r="S158">
        <v>6717.87</v>
      </c>
      <c r="T158">
        <v>12103.192499999999</v>
      </c>
      <c r="U158">
        <v>5385.3225000000002</v>
      </c>
      <c r="V158">
        <v>0.44495057812226002</v>
      </c>
      <c r="W158">
        <v>0</v>
      </c>
      <c r="X158" t="s">
        <v>278</v>
      </c>
      <c r="Y158">
        <v>2025</v>
      </c>
      <c r="Z158" t="s">
        <v>129</v>
      </c>
      <c r="AA158" t="s">
        <v>130</v>
      </c>
      <c r="AB158" t="s">
        <v>131</v>
      </c>
      <c r="AC158" t="s">
        <v>131</v>
      </c>
      <c r="AD158" t="s">
        <v>131</v>
      </c>
      <c r="AE158" t="s">
        <v>131</v>
      </c>
      <c r="AF158" t="s">
        <v>131</v>
      </c>
      <c r="AG158" t="s">
        <v>131</v>
      </c>
      <c r="AH158" t="s">
        <v>132</v>
      </c>
      <c r="AI158" t="s">
        <v>133</v>
      </c>
      <c r="AJ158" t="s">
        <v>815</v>
      </c>
      <c r="AK158" t="s">
        <v>816</v>
      </c>
      <c r="AL158" t="s">
        <v>170</v>
      </c>
      <c r="AM158" t="s">
        <v>44</v>
      </c>
      <c r="AN158" t="s">
        <v>8</v>
      </c>
      <c r="AO158" t="s">
        <v>259</v>
      </c>
      <c r="AP158" t="s">
        <v>260</v>
      </c>
      <c r="AQ158" t="s">
        <v>15</v>
      </c>
      <c r="AR158" t="s">
        <v>25</v>
      </c>
      <c r="AS158" t="s">
        <v>37</v>
      </c>
      <c r="AT158">
        <v>0.25</v>
      </c>
      <c r="AU158" t="s">
        <v>129</v>
      </c>
      <c r="AV158" t="s">
        <v>695</v>
      </c>
    </row>
    <row r="159" spans="1:48" x14ac:dyDescent="0.3">
      <c r="A159" t="s">
        <v>817</v>
      </c>
      <c r="B159" s="12">
        <v>45587</v>
      </c>
      <c r="C159" s="12">
        <v>45589</v>
      </c>
      <c r="D159" t="s">
        <v>818</v>
      </c>
      <c r="E159" t="s">
        <v>255</v>
      </c>
      <c r="F159" t="s">
        <v>44</v>
      </c>
      <c r="G159" t="s">
        <v>6</v>
      </c>
      <c r="H159" t="s">
        <v>184</v>
      </c>
      <c r="I159" t="s">
        <v>185</v>
      </c>
      <c r="J159" t="s">
        <v>18</v>
      </c>
      <c r="K159" t="s">
        <v>26</v>
      </c>
      <c r="M159" t="s">
        <v>35</v>
      </c>
      <c r="N159">
        <v>3</v>
      </c>
      <c r="O159">
        <v>915.84</v>
      </c>
      <c r="P159">
        <v>0.15</v>
      </c>
      <c r="Q159">
        <v>0.15</v>
      </c>
      <c r="R159">
        <v>2335.39</v>
      </c>
      <c r="S159">
        <v>1466.15</v>
      </c>
      <c r="T159">
        <v>2335.3919999999998</v>
      </c>
      <c r="U159">
        <v>869.24199999999996</v>
      </c>
      <c r="V159">
        <v>0.37220389553445399</v>
      </c>
      <c r="W159">
        <v>2</v>
      </c>
      <c r="X159" t="s">
        <v>222</v>
      </c>
      <c r="Y159">
        <v>2024</v>
      </c>
      <c r="Z159" t="s">
        <v>129</v>
      </c>
      <c r="AA159" t="s">
        <v>130</v>
      </c>
      <c r="AB159" t="s">
        <v>131</v>
      </c>
      <c r="AC159" t="s">
        <v>131</v>
      </c>
      <c r="AD159" t="s">
        <v>131</v>
      </c>
      <c r="AE159" t="s">
        <v>131</v>
      </c>
      <c r="AF159" t="s">
        <v>131</v>
      </c>
      <c r="AG159" t="s">
        <v>131</v>
      </c>
      <c r="AH159" t="s">
        <v>132</v>
      </c>
      <c r="AI159" t="s">
        <v>133</v>
      </c>
      <c r="AJ159" t="s">
        <v>819</v>
      </c>
      <c r="AK159" t="s">
        <v>820</v>
      </c>
      <c r="AL159" t="s">
        <v>255</v>
      </c>
      <c r="AM159" t="s">
        <v>44</v>
      </c>
      <c r="AN159" t="s">
        <v>6</v>
      </c>
      <c r="AO159" t="s">
        <v>184</v>
      </c>
      <c r="AP159" t="s">
        <v>185</v>
      </c>
      <c r="AQ159" t="s">
        <v>18</v>
      </c>
      <c r="AR159" t="s">
        <v>26</v>
      </c>
      <c r="AS159" t="s">
        <v>35</v>
      </c>
      <c r="AT159">
        <v>0.15</v>
      </c>
      <c r="AU159" t="s">
        <v>129</v>
      </c>
      <c r="AV159" t="s">
        <v>130</v>
      </c>
    </row>
    <row r="160" spans="1:48" x14ac:dyDescent="0.3">
      <c r="A160" t="s">
        <v>821</v>
      </c>
      <c r="B160" s="12">
        <v>45544</v>
      </c>
      <c r="C160" s="12">
        <v>45546</v>
      </c>
      <c r="D160" t="s">
        <v>822</v>
      </c>
      <c r="E160" t="s">
        <v>178</v>
      </c>
      <c r="F160" t="s">
        <v>41</v>
      </c>
      <c r="G160" t="s">
        <v>6</v>
      </c>
      <c r="H160" t="s">
        <v>155</v>
      </c>
      <c r="I160" t="s">
        <v>156</v>
      </c>
      <c r="J160" t="s">
        <v>18</v>
      </c>
      <c r="K160" t="s">
        <v>26</v>
      </c>
      <c r="M160" t="s">
        <v>36</v>
      </c>
      <c r="N160">
        <v>1</v>
      </c>
      <c r="O160">
        <v>4199.54</v>
      </c>
      <c r="P160">
        <v>0.05</v>
      </c>
      <c r="Q160">
        <v>0.05</v>
      </c>
      <c r="R160">
        <v>3989.56</v>
      </c>
      <c r="S160">
        <v>2381.38</v>
      </c>
      <c r="T160">
        <v>3989.5630000000001</v>
      </c>
      <c r="U160">
        <v>1608.183</v>
      </c>
      <c r="V160">
        <v>0.40309753223598699</v>
      </c>
      <c r="W160">
        <v>2</v>
      </c>
      <c r="X160" t="s">
        <v>196</v>
      </c>
      <c r="Y160">
        <v>2024</v>
      </c>
      <c r="Z160" t="s">
        <v>129</v>
      </c>
      <c r="AA160" t="s">
        <v>130</v>
      </c>
      <c r="AB160" t="s">
        <v>131</v>
      </c>
      <c r="AC160" t="s">
        <v>131</v>
      </c>
      <c r="AD160" t="s">
        <v>131</v>
      </c>
      <c r="AE160" t="s">
        <v>131</v>
      </c>
      <c r="AF160" t="s">
        <v>131</v>
      </c>
      <c r="AG160" t="s">
        <v>131</v>
      </c>
      <c r="AH160" t="s">
        <v>132</v>
      </c>
      <c r="AI160" t="s">
        <v>133</v>
      </c>
      <c r="AJ160" t="s">
        <v>823</v>
      </c>
      <c r="AK160" t="s">
        <v>824</v>
      </c>
      <c r="AL160" t="s">
        <v>178</v>
      </c>
      <c r="AM160" t="s">
        <v>41</v>
      </c>
      <c r="AN160" t="s">
        <v>6</v>
      </c>
      <c r="AO160" t="s">
        <v>155</v>
      </c>
      <c r="AP160" t="s">
        <v>156</v>
      </c>
      <c r="AQ160" t="s">
        <v>18</v>
      </c>
      <c r="AR160" t="s">
        <v>26</v>
      </c>
      <c r="AS160" t="s">
        <v>36</v>
      </c>
      <c r="AT160">
        <v>0.05</v>
      </c>
      <c r="AU160" t="s">
        <v>129</v>
      </c>
      <c r="AV160" t="s">
        <v>130</v>
      </c>
    </row>
    <row r="161" spans="1:48" x14ac:dyDescent="0.3">
      <c r="A161" t="s">
        <v>825</v>
      </c>
      <c r="B161" s="12">
        <v>45687</v>
      </c>
      <c r="C161" s="12">
        <v>45692</v>
      </c>
      <c r="D161" t="s">
        <v>826</v>
      </c>
      <c r="E161" t="s">
        <v>221</v>
      </c>
      <c r="F161" t="s">
        <v>43</v>
      </c>
      <c r="G161" t="s">
        <v>9</v>
      </c>
      <c r="H161" t="s">
        <v>372</v>
      </c>
      <c r="I161" t="s">
        <v>373</v>
      </c>
      <c r="J161" t="s">
        <v>18</v>
      </c>
      <c r="K161" t="s">
        <v>19</v>
      </c>
      <c r="M161" t="s">
        <v>38</v>
      </c>
      <c r="N161">
        <v>9</v>
      </c>
      <c r="O161">
        <v>4430.5</v>
      </c>
      <c r="P161">
        <v>0.15</v>
      </c>
      <c r="Q161">
        <v>0.15</v>
      </c>
      <c r="R161">
        <v>33893.32</v>
      </c>
      <c r="S161">
        <v>25750.35</v>
      </c>
      <c r="T161">
        <v>33893.324999999997</v>
      </c>
      <c r="U161">
        <v>8142.9750000000004</v>
      </c>
      <c r="V161">
        <v>0.24025305867748301</v>
      </c>
      <c r="W161">
        <v>5</v>
      </c>
      <c r="X161" t="s">
        <v>244</v>
      </c>
      <c r="Y161">
        <v>2025</v>
      </c>
      <c r="Z161" t="s">
        <v>215</v>
      </c>
      <c r="AA161" t="s">
        <v>165</v>
      </c>
      <c r="AB161" t="s">
        <v>131</v>
      </c>
      <c r="AC161" t="s">
        <v>131</v>
      </c>
      <c r="AD161" t="s">
        <v>131</v>
      </c>
      <c r="AE161" t="s">
        <v>131</v>
      </c>
      <c r="AF161" t="s">
        <v>131</v>
      </c>
      <c r="AG161" t="s">
        <v>131</v>
      </c>
      <c r="AH161" t="s">
        <v>131</v>
      </c>
      <c r="AI161" t="s">
        <v>133</v>
      </c>
      <c r="AJ161" t="s">
        <v>827</v>
      </c>
      <c r="AK161" t="s">
        <v>828</v>
      </c>
      <c r="AL161" t="s">
        <v>221</v>
      </c>
      <c r="AM161" t="s">
        <v>43</v>
      </c>
      <c r="AN161" t="s">
        <v>9</v>
      </c>
      <c r="AO161" t="s">
        <v>372</v>
      </c>
      <c r="AP161" t="s">
        <v>373</v>
      </c>
      <c r="AQ161" t="s">
        <v>18</v>
      </c>
      <c r="AR161" t="s">
        <v>19</v>
      </c>
      <c r="AS161" t="s">
        <v>38</v>
      </c>
      <c r="AT161">
        <v>0.15</v>
      </c>
      <c r="AU161" t="s">
        <v>215</v>
      </c>
      <c r="AV161" t="s">
        <v>165</v>
      </c>
    </row>
    <row r="162" spans="1:48" x14ac:dyDescent="0.3">
      <c r="A162" t="s">
        <v>829</v>
      </c>
      <c r="B162" s="12">
        <v>45938</v>
      </c>
      <c r="C162" s="12">
        <v>45936</v>
      </c>
      <c r="D162" t="s">
        <v>830</v>
      </c>
      <c r="E162" t="s">
        <v>170</v>
      </c>
      <c r="F162" t="s">
        <v>44</v>
      </c>
      <c r="G162" t="s">
        <v>7</v>
      </c>
      <c r="H162" t="s">
        <v>163</v>
      </c>
      <c r="I162" t="s">
        <v>164</v>
      </c>
      <c r="J162" t="s">
        <v>20</v>
      </c>
      <c r="K162" t="s">
        <v>24</v>
      </c>
      <c r="M162" t="s">
        <v>37</v>
      </c>
      <c r="N162">
        <v>4</v>
      </c>
      <c r="O162">
        <v>1260.42</v>
      </c>
      <c r="P162">
        <v>0.05</v>
      </c>
      <c r="Q162">
        <v>0.05</v>
      </c>
      <c r="R162">
        <v>4789.6000000000004</v>
      </c>
      <c r="S162">
        <v>4037.64</v>
      </c>
      <c r="T162">
        <v>4789.5959999999995</v>
      </c>
      <c r="U162">
        <v>751.95600000000104</v>
      </c>
      <c r="V162">
        <v>0.15699779271571099</v>
      </c>
      <c r="W162">
        <v>-2</v>
      </c>
      <c r="X162" t="s">
        <v>222</v>
      </c>
      <c r="Y162">
        <v>2025</v>
      </c>
      <c r="Z162" t="s">
        <v>215</v>
      </c>
      <c r="AA162" t="s">
        <v>165</v>
      </c>
      <c r="AB162" t="s">
        <v>131</v>
      </c>
      <c r="AC162" t="s">
        <v>131</v>
      </c>
      <c r="AD162" t="s">
        <v>131</v>
      </c>
      <c r="AE162" t="s">
        <v>132</v>
      </c>
      <c r="AF162" t="s">
        <v>131</v>
      </c>
      <c r="AG162" t="s">
        <v>131</v>
      </c>
      <c r="AH162" t="s">
        <v>131</v>
      </c>
      <c r="AI162" t="s">
        <v>149</v>
      </c>
      <c r="AJ162" t="s">
        <v>831</v>
      </c>
      <c r="AK162" t="s">
        <v>832</v>
      </c>
      <c r="AL162" t="s">
        <v>170</v>
      </c>
      <c r="AM162" t="s">
        <v>44</v>
      </c>
      <c r="AN162" t="s">
        <v>7</v>
      </c>
      <c r="AO162" t="s">
        <v>163</v>
      </c>
      <c r="AP162" t="s">
        <v>164</v>
      </c>
      <c r="AQ162" t="s">
        <v>20</v>
      </c>
      <c r="AR162" t="s">
        <v>24</v>
      </c>
      <c r="AS162" t="s">
        <v>37</v>
      </c>
      <c r="AT162">
        <v>0.05</v>
      </c>
      <c r="AU162" t="s">
        <v>215</v>
      </c>
      <c r="AV162" t="s">
        <v>165</v>
      </c>
    </row>
    <row r="163" spans="1:48" x14ac:dyDescent="0.3">
      <c r="A163" t="s">
        <v>833</v>
      </c>
      <c r="B163" s="12">
        <v>45862</v>
      </c>
      <c r="C163" s="12">
        <v>45868</v>
      </c>
      <c r="D163" t="s">
        <v>834</v>
      </c>
      <c r="E163" t="s">
        <v>154</v>
      </c>
      <c r="F163" t="s">
        <v>42</v>
      </c>
      <c r="G163" t="s">
        <v>7</v>
      </c>
      <c r="H163" t="s">
        <v>126</v>
      </c>
      <c r="I163" t="s">
        <v>213</v>
      </c>
      <c r="J163" t="s">
        <v>20</v>
      </c>
      <c r="K163" t="s">
        <v>28</v>
      </c>
      <c r="M163" t="s">
        <v>35</v>
      </c>
      <c r="N163">
        <v>1</v>
      </c>
      <c r="O163">
        <v>1643.41</v>
      </c>
      <c r="P163">
        <v>0</v>
      </c>
      <c r="Q163">
        <v>0</v>
      </c>
      <c r="R163">
        <v>1643.41</v>
      </c>
      <c r="S163">
        <v>907.4</v>
      </c>
      <c r="T163">
        <v>1643.41</v>
      </c>
      <c r="U163">
        <v>736.01</v>
      </c>
      <c r="V163">
        <v>0.44785537388722202</v>
      </c>
      <c r="W163">
        <v>6</v>
      </c>
      <c r="X163" t="s">
        <v>128</v>
      </c>
      <c r="Y163">
        <v>2025</v>
      </c>
      <c r="Z163" t="s">
        <v>215</v>
      </c>
      <c r="AA163" t="s">
        <v>165</v>
      </c>
      <c r="AB163" t="s">
        <v>131</v>
      </c>
      <c r="AC163" t="s">
        <v>131</v>
      </c>
      <c r="AD163" t="s">
        <v>131</v>
      </c>
      <c r="AE163" t="s">
        <v>131</v>
      </c>
      <c r="AF163" t="s">
        <v>131</v>
      </c>
      <c r="AG163" t="s">
        <v>131</v>
      </c>
      <c r="AH163" t="s">
        <v>131</v>
      </c>
      <c r="AI163" t="s">
        <v>133</v>
      </c>
      <c r="AJ163" t="s">
        <v>835</v>
      </c>
      <c r="AK163" t="s">
        <v>836</v>
      </c>
      <c r="AL163" t="s">
        <v>154</v>
      </c>
      <c r="AM163" t="s">
        <v>837</v>
      </c>
      <c r="AN163" t="s">
        <v>7</v>
      </c>
      <c r="AO163" t="s">
        <v>126</v>
      </c>
      <c r="AP163" t="s">
        <v>213</v>
      </c>
      <c r="AQ163" t="s">
        <v>20</v>
      </c>
      <c r="AR163" t="s">
        <v>28</v>
      </c>
      <c r="AS163" t="s">
        <v>35</v>
      </c>
      <c r="AT163">
        <v>0</v>
      </c>
      <c r="AU163" t="s">
        <v>215</v>
      </c>
      <c r="AV163" t="s">
        <v>165</v>
      </c>
    </row>
    <row r="164" spans="1:48" x14ac:dyDescent="0.3">
      <c r="A164" t="s">
        <v>838</v>
      </c>
      <c r="B164" s="12">
        <v>45360</v>
      </c>
      <c r="C164" s="12">
        <v>45365</v>
      </c>
      <c r="D164" t="s">
        <v>839</v>
      </c>
      <c r="E164" t="s">
        <v>178</v>
      </c>
      <c r="F164" t="s">
        <v>44</v>
      </c>
      <c r="G164" t="s">
        <v>7</v>
      </c>
      <c r="H164" t="s">
        <v>311</v>
      </c>
      <c r="I164" t="s">
        <v>312</v>
      </c>
      <c r="J164" t="s">
        <v>18</v>
      </c>
      <c r="K164" t="s">
        <v>23</v>
      </c>
      <c r="M164" t="s">
        <v>37</v>
      </c>
      <c r="N164">
        <v>8</v>
      </c>
      <c r="O164">
        <v>4472.84</v>
      </c>
      <c r="P164">
        <v>0</v>
      </c>
      <c r="Q164">
        <v>0</v>
      </c>
      <c r="R164">
        <v>35997.620000000003</v>
      </c>
      <c r="S164">
        <v>26424.41</v>
      </c>
      <c r="T164">
        <v>35782.720000000001</v>
      </c>
      <c r="U164">
        <v>9358.31</v>
      </c>
      <c r="V164">
        <v>0.26153154371719101</v>
      </c>
      <c r="W164">
        <v>5</v>
      </c>
      <c r="X164" t="s">
        <v>278</v>
      </c>
      <c r="Y164">
        <v>2024</v>
      </c>
      <c r="Z164" t="s">
        <v>215</v>
      </c>
      <c r="AA164" t="s">
        <v>204</v>
      </c>
      <c r="AB164" t="s">
        <v>131</v>
      </c>
      <c r="AC164" t="s">
        <v>131</v>
      </c>
      <c r="AD164" t="s">
        <v>131</v>
      </c>
      <c r="AE164" t="s">
        <v>131</v>
      </c>
      <c r="AF164" t="s">
        <v>131</v>
      </c>
      <c r="AG164" t="s">
        <v>131</v>
      </c>
      <c r="AH164" t="s">
        <v>131</v>
      </c>
      <c r="AI164" t="s">
        <v>133</v>
      </c>
      <c r="AJ164" t="s">
        <v>840</v>
      </c>
      <c r="AK164" t="s">
        <v>841</v>
      </c>
      <c r="AL164" t="s">
        <v>178</v>
      </c>
      <c r="AM164" t="s">
        <v>44</v>
      </c>
      <c r="AN164" t="s">
        <v>7</v>
      </c>
      <c r="AO164" t="s">
        <v>311</v>
      </c>
      <c r="AP164" t="s">
        <v>312</v>
      </c>
      <c r="AQ164" t="s">
        <v>18</v>
      </c>
      <c r="AR164" t="s">
        <v>23</v>
      </c>
      <c r="AS164" t="s">
        <v>37</v>
      </c>
      <c r="AT164">
        <v>0</v>
      </c>
      <c r="AU164" t="s">
        <v>215</v>
      </c>
      <c r="AV164" t="s">
        <v>204</v>
      </c>
    </row>
    <row r="165" spans="1:48" x14ac:dyDescent="0.3">
      <c r="A165" t="s">
        <v>842</v>
      </c>
      <c r="B165" s="12">
        <v>45921</v>
      </c>
      <c r="C165" s="12">
        <v>45926</v>
      </c>
      <c r="D165" t="s">
        <v>843</v>
      </c>
      <c r="E165" t="s">
        <v>255</v>
      </c>
      <c r="F165" t="s">
        <v>41</v>
      </c>
      <c r="G165" t="s">
        <v>7</v>
      </c>
      <c r="H165" t="s">
        <v>300</v>
      </c>
      <c r="I165" t="s">
        <v>301</v>
      </c>
      <c r="J165" t="s">
        <v>18</v>
      </c>
      <c r="K165" t="s">
        <v>27</v>
      </c>
      <c r="M165" t="s">
        <v>10</v>
      </c>
      <c r="N165">
        <v>6</v>
      </c>
      <c r="O165">
        <v>2903.58</v>
      </c>
      <c r="P165">
        <v>0.1</v>
      </c>
      <c r="Q165">
        <v>0.1</v>
      </c>
      <c r="R165">
        <v>15679.33</v>
      </c>
      <c r="S165">
        <v>12477.82</v>
      </c>
      <c r="T165">
        <v>15679.332</v>
      </c>
      <c r="U165">
        <v>3201.5120000000002</v>
      </c>
      <c r="V165">
        <v>0.20418675999717301</v>
      </c>
      <c r="W165">
        <v>5</v>
      </c>
      <c r="X165" t="s">
        <v>196</v>
      </c>
      <c r="Y165">
        <v>2025</v>
      </c>
      <c r="Z165" t="s">
        <v>215</v>
      </c>
      <c r="AA165" t="s">
        <v>204</v>
      </c>
      <c r="AB165" t="s">
        <v>131</v>
      </c>
      <c r="AC165" t="s">
        <v>132</v>
      </c>
      <c r="AD165" t="s">
        <v>131</v>
      </c>
      <c r="AE165" t="s">
        <v>131</v>
      </c>
      <c r="AF165" t="s">
        <v>131</v>
      </c>
      <c r="AG165" t="s">
        <v>131</v>
      </c>
      <c r="AH165" t="s">
        <v>131</v>
      </c>
      <c r="AI165" t="s">
        <v>321</v>
      </c>
      <c r="AJ165" t="s">
        <v>844</v>
      </c>
      <c r="AK165" t="s">
        <v>703</v>
      </c>
      <c r="AL165" t="s">
        <v>255</v>
      </c>
      <c r="AM165" t="s">
        <v>41</v>
      </c>
      <c r="AN165" t="s">
        <v>7</v>
      </c>
      <c r="AO165" t="s">
        <v>300</v>
      </c>
      <c r="AP165" t="s">
        <v>301</v>
      </c>
      <c r="AQ165" t="s">
        <v>18</v>
      </c>
      <c r="AR165" t="s">
        <v>27</v>
      </c>
      <c r="AT165">
        <v>0.1</v>
      </c>
      <c r="AU165" t="s">
        <v>215</v>
      </c>
      <c r="AV165" t="s">
        <v>204</v>
      </c>
    </row>
    <row r="166" spans="1:48" x14ac:dyDescent="0.3">
      <c r="A166" t="s">
        <v>845</v>
      </c>
      <c r="B166" s="12">
        <v>45909</v>
      </c>
      <c r="C166" s="12">
        <v>45914</v>
      </c>
      <c r="D166" t="s">
        <v>846</v>
      </c>
      <c r="E166" t="s">
        <v>227</v>
      </c>
      <c r="F166" t="s">
        <v>44</v>
      </c>
      <c r="G166" t="s">
        <v>8</v>
      </c>
      <c r="H166" t="s">
        <v>201</v>
      </c>
      <c r="I166" t="s">
        <v>202</v>
      </c>
      <c r="J166" t="s">
        <v>18</v>
      </c>
      <c r="K166" t="s">
        <v>26</v>
      </c>
      <c r="M166" t="s">
        <v>37</v>
      </c>
      <c r="N166">
        <v>1</v>
      </c>
      <c r="O166">
        <v>3154.42</v>
      </c>
      <c r="P166">
        <v>0.25</v>
      </c>
      <c r="Q166">
        <v>0.25</v>
      </c>
      <c r="R166">
        <v>2365.8200000000002</v>
      </c>
      <c r="S166">
        <v>1547.99</v>
      </c>
      <c r="T166">
        <v>2365.8150000000001</v>
      </c>
      <c r="U166">
        <v>817.82500000000005</v>
      </c>
      <c r="V166">
        <v>0.34568425679945403</v>
      </c>
      <c r="W166">
        <v>5</v>
      </c>
      <c r="X166" t="s">
        <v>196</v>
      </c>
      <c r="Y166">
        <v>2025</v>
      </c>
      <c r="Z166" t="s">
        <v>129</v>
      </c>
      <c r="AA166" t="s">
        <v>130</v>
      </c>
      <c r="AB166" t="s">
        <v>131</v>
      </c>
      <c r="AC166" t="s">
        <v>131</v>
      </c>
      <c r="AD166" t="s">
        <v>131</v>
      </c>
      <c r="AE166" t="s">
        <v>131</v>
      </c>
      <c r="AF166" t="s">
        <v>131</v>
      </c>
      <c r="AG166" t="s">
        <v>131</v>
      </c>
      <c r="AH166" t="s">
        <v>132</v>
      </c>
      <c r="AI166" t="s">
        <v>133</v>
      </c>
      <c r="AJ166" t="s">
        <v>847</v>
      </c>
      <c r="AK166" t="s">
        <v>848</v>
      </c>
      <c r="AL166" t="s">
        <v>227</v>
      </c>
      <c r="AM166" t="s">
        <v>44</v>
      </c>
      <c r="AN166" t="s">
        <v>8</v>
      </c>
      <c r="AO166" t="s">
        <v>201</v>
      </c>
      <c r="AP166" t="s">
        <v>202</v>
      </c>
      <c r="AQ166" t="s">
        <v>18</v>
      </c>
      <c r="AR166" t="s">
        <v>26</v>
      </c>
      <c r="AS166" t="s">
        <v>37</v>
      </c>
      <c r="AT166">
        <v>0.25</v>
      </c>
      <c r="AU166" t="s">
        <v>129</v>
      </c>
      <c r="AV166" t="s">
        <v>130</v>
      </c>
    </row>
    <row r="167" spans="1:48" x14ac:dyDescent="0.3">
      <c r="A167" t="s">
        <v>849</v>
      </c>
      <c r="B167" s="12">
        <v>45618</v>
      </c>
      <c r="C167" s="12">
        <v>45625</v>
      </c>
      <c r="D167" t="s">
        <v>850</v>
      </c>
      <c r="E167" t="s">
        <v>139</v>
      </c>
      <c r="F167" t="s">
        <v>41</v>
      </c>
      <c r="G167" t="s">
        <v>8</v>
      </c>
      <c r="H167" t="s">
        <v>259</v>
      </c>
      <c r="I167" t="s">
        <v>260</v>
      </c>
      <c r="J167" t="s">
        <v>18</v>
      </c>
      <c r="K167" t="s">
        <v>19</v>
      </c>
      <c r="M167" t="s">
        <v>35</v>
      </c>
      <c r="N167">
        <v>4</v>
      </c>
      <c r="O167">
        <v>3422.99</v>
      </c>
      <c r="P167">
        <v>0.25</v>
      </c>
      <c r="Q167">
        <v>0.25</v>
      </c>
      <c r="R167">
        <v>10268.969999999999</v>
      </c>
      <c r="S167">
        <v>6470.92</v>
      </c>
      <c r="T167">
        <v>10268.969999999999</v>
      </c>
      <c r="U167">
        <v>3798.05</v>
      </c>
      <c r="V167">
        <v>0.36985695741637198</v>
      </c>
      <c r="W167">
        <v>7</v>
      </c>
      <c r="X167" t="s">
        <v>157</v>
      </c>
      <c r="Y167">
        <v>2024</v>
      </c>
      <c r="Z167" t="s">
        <v>129</v>
      </c>
      <c r="AA167" t="s">
        <v>130</v>
      </c>
      <c r="AB167" t="s">
        <v>131</v>
      </c>
      <c r="AC167" t="s">
        <v>131</v>
      </c>
      <c r="AD167" t="s">
        <v>131</v>
      </c>
      <c r="AE167" t="s">
        <v>131</v>
      </c>
      <c r="AF167" t="s">
        <v>131</v>
      </c>
      <c r="AG167" t="s">
        <v>131</v>
      </c>
      <c r="AH167" t="s">
        <v>132</v>
      </c>
      <c r="AI167" t="s">
        <v>133</v>
      </c>
      <c r="AJ167" t="s">
        <v>851</v>
      </c>
      <c r="AK167" t="s">
        <v>852</v>
      </c>
      <c r="AL167" t="s">
        <v>139</v>
      </c>
      <c r="AM167" t="s">
        <v>41</v>
      </c>
      <c r="AN167" t="s">
        <v>8</v>
      </c>
      <c r="AO167" t="s">
        <v>259</v>
      </c>
      <c r="AP167" t="s">
        <v>260</v>
      </c>
      <c r="AQ167" t="s">
        <v>18</v>
      </c>
      <c r="AR167" t="s">
        <v>19</v>
      </c>
      <c r="AS167" t="s">
        <v>35</v>
      </c>
      <c r="AT167">
        <v>0.25</v>
      </c>
      <c r="AU167" t="s">
        <v>129</v>
      </c>
      <c r="AV167" t="s">
        <v>130</v>
      </c>
    </row>
    <row r="168" spans="1:48" x14ac:dyDescent="0.3">
      <c r="A168" t="s">
        <v>853</v>
      </c>
      <c r="B168" s="12">
        <v>45708</v>
      </c>
      <c r="C168" s="12">
        <v>45714</v>
      </c>
      <c r="D168" t="s">
        <v>854</v>
      </c>
      <c r="E168" t="s">
        <v>125</v>
      </c>
      <c r="F168" t="s">
        <v>44</v>
      </c>
      <c r="G168" t="s">
        <v>7</v>
      </c>
      <c r="H168" t="s">
        <v>300</v>
      </c>
      <c r="I168" t="s">
        <v>301</v>
      </c>
      <c r="J168" t="s">
        <v>20</v>
      </c>
      <c r="K168" t="s">
        <v>30</v>
      </c>
      <c r="M168" t="s">
        <v>36</v>
      </c>
      <c r="N168">
        <v>1</v>
      </c>
      <c r="O168">
        <v>2557.85</v>
      </c>
      <c r="P168">
        <v>0.2</v>
      </c>
      <c r="Q168">
        <v>0.2</v>
      </c>
      <c r="R168">
        <v>2046.28</v>
      </c>
      <c r="S168">
        <v>1449.54</v>
      </c>
      <c r="T168">
        <v>2046.28</v>
      </c>
      <c r="U168">
        <v>596.74</v>
      </c>
      <c r="V168">
        <v>0.29162186992982397</v>
      </c>
      <c r="W168">
        <v>6</v>
      </c>
      <c r="X168" t="s">
        <v>186</v>
      </c>
      <c r="Y168">
        <v>2025</v>
      </c>
      <c r="Z168" t="s">
        <v>129</v>
      </c>
      <c r="AA168" t="s">
        <v>130</v>
      </c>
      <c r="AB168" t="s">
        <v>131</v>
      </c>
      <c r="AC168" t="s">
        <v>131</v>
      </c>
      <c r="AD168" t="s">
        <v>131</v>
      </c>
      <c r="AE168" t="s">
        <v>131</v>
      </c>
      <c r="AF168" t="s">
        <v>131</v>
      </c>
      <c r="AG168" t="s">
        <v>131</v>
      </c>
      <c r="AH168" t="s">
        <v>132</v>
      </c>
      <c r="AI168" t="s">
        <v>133</v>
      </c>
      <c r="AJ168" t="s">
        <v>855</v>
      </c>
      <c r="AK168" t="s">
        <v>188</v>
      </c>
      <c r="AL168" t="s">
        <v>125</v>
      </c>
      <c r="AM168" t="s">
        <v>44</v>
      </c>
      <c r="AN168" t="s">
        <v>7</v>
      </c>
      <c r="AO168" t="s">
        <v>300</v>
      </c>
      <c r="AP168" t="s">
        <v>301</v>
      </c>
      <c r="AQ168" t="s">
        <v>856</v>
      </c>
      <c r="AR168" t="s">
        <v>30</v>
      </c>
      <c r="AS168" t="s">
        <v>36</v>
      </c>
      <c r="AT168">
        <v>0.2</v>
      </c>
      <c r="AU168" t="s">
        <v>129</v>
      </c>
      <c r="AV168" t="s">
        <v>130</v>
      </c>
    </row>
    <row r="169" spans="1:48" x14ac:dyDescent="0.3">
      <c r="A169" t="s">
        <v>857</v>
      </c>
      <c r="B169" s="12">
        <v>45887</v>
      </c>
      <c r="C169" s="12">
        <v>45887</v>
      </c>
      <c r="D169" t="s">
        <v>858</v>
      </c>
      <c r="E169" t="s">
        <v>154</v>
      </c>
      <c r="F169" t="s">
        <v>41</v>
      </c>
      <c r="G169" t="s">
        <v>6</v>
      </c>
      <c r="H169" t="s">
        <v>294</v>
      </c>
      <c r="I169" t="s">
        <v>295</v>
      </c>
      <c r="J169" t="s">
        <v>20</v>
      </c>
      <c r="K169" t="s">
        <v>21</v>
      </c>
      <c r="M169" t="s">
        <v>36</v>
      </c>
      <c r="N169">
        <v>9</v>
      </c>
      <c r="O169">
        <v>3030.93</v>
      </c>
      <c r="P169">
        <v>0.15</v>
      </c>
      <c r="Q169">
        <v>0.15</v>
      </c>
      <c r="R169">
        <v>23186.61</v>
      </c>
      <c r="S169">
        <v>17906.54</v>
      </c>
      <c r="T169">
        <v>23186.6145</v>
      </c>
      <c r="U169">
        <v>5280.0744999999997</v>
      </c>
      <c r="V169">
        <v>0.22772080417346</v>
      </c>
      <c r="W169">
        <v>0</v>
      </c>
      <c r="X169" t="s">
        <v>142</v>
      </c>
      <c r="Y169">
        <v>2025</v>
      </c>
      <c r="Z169" t="s">
        <v>129</v>
      </c>
      <c r="AA169" t="s">
        <v>204</v>
      </c>
      <c r="AB169" t="s">
        <v>131</v>
      </c>
      <c r="AC169" t="s">
        <v>131</v>
      </c>
      <c r="AD169" t="s">
        <v>131</v>
      </c>
      <c r="AE169" t="s">
        <v>131</v>
      </c>
      <c r="AF169" t="s">
        <v>131</v>
      </c>
      <c r="AG169" t="s">
        <v>131</v>
      </c>
      <c r="AH169" t="s">
        <v>131</v>
      </c>
      <c r="AI169" t="s">
        <v>133</v>
      </c>
      <c r="AJ169" t="s">
        <v>859</v>
      </c>
      <c r="AK169" t="s">
        <v>860</v>
      </c>
      <c r="AL169" t="s">
        <v>154</v>
      </c>
      <c r="AM169" t="s">
        <v>41</v>
      </c>
      <c r="AN169" t="s">
        <v>6</v>
      </c>
      <c r="AO169" t="s">
        <v>294</v>
      </c>
      <c r="AP169" t="s">
        <v>295</v>
      </c>
      <c r="AQ169" t="s">
        <v>20</v>
      </c>
      <c r="AR169" t="s">
        <v>21</v>
      </c>
      <c r="AS169" t="s">
        <v>36</v>
      </c>
      <c r="AT169">
        <v>0.15</v>
      </c>
      <c r="AU169" t="s">
        <v>129</v>
      </c>
      <c r="AV169" t="s">
        <v>204</v>
      </c>
    </row>
    <row r="170" spans="1:48" x14ac:dyDescent="0.3">
      <c r="A170" t="s">
        <v>861</v>
      </c>
      <c r="B170" s="12">
        <v>45677</v>
      </c>
      <c r="C170" s="12">
        <v>45680</v>
      </c>
      <c r="D170" t="s">
        <v>862</v>
      </c>
      <c r="E170" t="s">
        <v>409</v>
      </c>
      <c r="F170" t="s">
        <v>42</v>
      </c>
      <c r="G170" t="s">
        <v>7</v>
      </c>
      <c r="H170" t="s">
        <v>163</v>
      </c>
      <c r="I170" t="s">
        <v>164</v>
      </c>
      <c r="J170" t="s">
        <v>15</v>
      </c>
      <c r="K170" t="s">
        <v>22</v>
      </c>
      <c r="M170" t="s">
        <v>38</v>
      </c>
      <c r="N170">
        <v>5</v>
      </c>
      <c r="O170">
        <v>639.27</v>
      </c>
      <c r="P170">
        <v>0.2</v>
      </c>
      <c r="Q170">
        <v>0.2</v>
      </c>
      <c r="R170">
        <v>2557.08</v>
      </c>
      <c r="S170">
        <v>2025.69</v>
      </c>
      <c r="T170">
        <v>2557.08</v>
      </c>
      <c r="U170">
        <v>531.39</v>
      </c>
      <c r="V170">
        <v>0.20781125346097901</v>
      </c>
      <c r="W170">
        <v>3</v>
      </c>
      <c r="X170" t="s">
        <v>244</v>
      </c>
      <c r="Y170">
        <v>2025</v>
      </c>
      <c r="Z170" t="s">
        <v>129</v>
      </c>
      <c r="AA170" t="s">
        <v>165</v>
      </c>
      <c r="AB170" t="s">
        <v>131</v>
      </c>
      <c r="AC170" t="s">
        <v>131</v>
      </c>
      <c r="AD170" t="s">
        <v>131</v>
      </c>
      <c r="AE170" t="s">
        <v>131</v>
      </c>
      <c r="AF170" t="s">
        <v>131</v>
      </c>
      <c r="AG170" t="s">
        <v>131</v>
      </c>
      <c r="AH170" t="s">
        <v>131</v>
      </c>
      <c r="AI170" t="s">
        <v>133</v>
      </c>
      <c r="AJ170" t="s">
        <v>863</v>
      </c>
      <c r="AK170" t="s">
        <v>262</v>
      </c>
      <c r="AL170" t="s">
        <v>409</v>
      </c>
      <c r="AM170" t="s">
        <v>42</v>
      </c>
      <c r="AN170" t="s">
        <v>7</v>
      </c>
      <c r="AO170" t="s">
        <v>163</v>
      </c>
      <c r="AP170" t="s">
        <v>164</v>
      </c>
      <c r="AQ170" t="s">
        <v>15</v>
      </c>
      <c r="AR170" t="s">
        <v>22</v>
      </c>
      <c r="AS170" t="s">
        <v>38</v>
      </c>
      <c r="AT170">
        <v>0.2</v>
      </c>
      <c r="AU170" t="s">
        <v>129</v>
      </c>
      <c r="AV170" t="s">
        <v>165</v>
      </c>
    </row>
    <row r="171" spans="1:48" x14ac:dyDescent="0.3">
      <c r="A171" t="s">
        <v>864</v>
      </c>
      <c r="B171" s="12">
        <v>45913</v>
      </c>
      <c r="C171" s="12">
        <v>45913</v>
      </c>
      <c r="D171" t="s">
        <v>865</v>
      </c>
      <c r="E171" t="s">
        <v>277</v>
      </c>
      <c r="F171" t="s">
        <v>42</v>
      </c>
      <c r="G171" t="s">
        <v>8</v>
      </c>
      <c r="H171" t="s">
        <v>283</v>
      </c>
      <c r="I171" t="s">
        <v>284</v>
      </c>
      <c r="J171" t="s">
        <v>20</v>
      </c>
      <c r="K171" t="s">
        <v>29</v>
      </c>
      <c r="M171" t="s">
        <v>35</v>
      </c>
      <c r="N171">
        <v>8</v>
      </c>
      <c r="O171">
        <v>733.9</v>
      </c>
      <c r="P171">
        <v>0.05</v>
      </c>
      <c r="Q171">
        <v>0.05</v>
      </c>
      <c r="R171">
        <v>5577.64</v>
      </c>
      <c r="S171">
        <v>3541.29</v>
      </c>
      <c r="T171">
        <v>5577.64</v>
      </c>
      <c r="U171">
        <v>2036.35</v>
      </c>
      <c r="V171">
        <v>0.36509168752375598</v>
      </c>
      <c r="W171">
        <v>0</v>
      </c>
      <c r="X171" t="s">
        <v>196</v>
      </c>
      <c r="Y171">
        <v>2025</v>
      </c>
      <c r="Z171" t="s">
        <v>215</v>
      </c>
      <c r="AA171" t="s">
        <v>204</v>
      </c>
      <c r="AB171" t="s">
        <v>131</v>
      </c>
      <c r="AC171" t="s">
        <v>131</v>
      </c>
      <c r="AD171" t="s">
        <v>131</v>
      </c>
      <c r="AE171" t="s">
        <v>131</v>
      </c>
      <c r="AF171" t="s">
        <v>131</v>
      </c>
      <c r="AG171" t="s">
        <v>131</v>
      </c>
      <c r="AH171" t="s">
        <v>131</v>
      </c>
      <c r="AI171" t="s">
        <v>133</v>
      </c>
      <c r="AJ171" t="s">
        <v>866</v>
      </c>
      <c r="AK171" t="s">
        <v>867</v>
      </c>
      <c r="AL171" t="s">
        <v>277</v>
      </c>
      <c r="AM171" t="s">
        <v>42</v>
      </c>
      <c r="AN171" t="s">
        <v>8</v>
      </c>
      <c r="AO171" t="s">
        <v>283</v>
      </c>
      <c r="AP171" t="s">
        <v>284</v>
      </c>
      <c r="AQ171" t="s">
        <v>20</v>
      </c>
      <c r="AR171" t="s">
        <v>29</v>
      </c>
      <c r="AS171" t="s">
        <v>35</v>
      </c>
      <c r="AT171">
        <v>0.05</v>
      </c>
      <c r="AU171" t="s">
        <v>215</v>
      </c>
      <c r="AV171" t="s">
        <v>204</v>
      </c>
    </row>
    <row r="172" spans="1:48" x14ac:dyDescent="0.3">
      <c r="A172" t="s">
        <v>868</v>
      </c>
      <c r="B172" s="12">
        <v>45907</v>
      </c>
      <c r="C172" s="12">
        <v>45915</v>
      </c>
      <c r="D172" t="s">
        <v>869</v>
      </c>
      <c r="E172" t="s">
        <v>255</v>
      </c>
      <c r="F172" t="s">
        <v>43</v>
      </c>
      <c r="G172" t="s">
        <v>8</v>
      </c>
      <c r="H172" t="s">
        <v>259</v>
      </c>
      <c r="I172" t="s">
        <v>260</v>
      </c>
      <c r="J172" t="s">
        <v>15</v>
      </c>
      <c r="K172" t="s">
        <v>16</v>
      </c>
      <c r="M172" t="s">
        <v>35</v>
      </c>
      <c r="N172">
        <v>3</v>
      </c>
      <c r="O172">
        <v>1711.32</v>
      </c>
      <c r="P172">
        <v>0</v>
      </c>
      <c r="Q172">
        <v>0</v>
      </c>
      <c r="R172">
        <v>5133.96</v>
      </c>
      <c r="S172">
        <v>3930</v>
      </c>
      <c r="T172">
        <v>5133.96</v>
      </c>
      <c r="U172">
        <v>1203.96</v>
      </c>
      <c r="V172">
        <v>0.234509033962088</v>
      </c>
      <c r="W172">
        <v>8</v>
      </c>
      <c r="X172" t="s">
        <v>196</v>
      </c>
      <c r="Y172">
        <v>2025</v>
      </c>
      <c r="Z172" t="s">
        <v>129</v>
      </c>
      <c r="AA172" t="s">
        <v>130</v>
      </c>
      <c r="AB172" t="s">
        <v>131</v>
      </c>
      <c r="AC172" t="s">
        <v>131</v>
      </c>
      <c r="AD172" t="s">
        <v>131</v>
      </c>
      <c r="AE172" t="s">
        <v>131</v>
      </c>
      <c r="AF172" t="s">
        <v>131</v>
      </c>
      <c r="AG172" t="s">
        <v>132</v>
      </c>
      <c r="AH172" t="s">
        <v>132</v>
      </c>
      <c r="AI172" t="s">
        <v>149</v>
      </c>
      <c r="AJ172" t="s">
        <v>197</v>
      </c>
      <c r="AK172" t="s">
        <v>870</v>
      </c>
      <c r="AL172" t="s">
        <v>255</v>
      </c>
      <c r="AM172" t="s">
        <v>43</v>
      </c>
      <c r="AN172" t="s">
        <v>8</v>
      </c>
      <c r="AO172" t="s">
        <v>259</v>
      </c>
      <c r="AP172" t="s">
        <v>260</v>
      </c>
      <c r="AQ172" t="s">
        <v>15</v>
      </c>
      <c r="AR172" t="s">
        <v>16</v>
      </c>
      <c r="AS172" t="s">
        <v>35</v>
      </c>
      <c r="AT172">
        <v>0</v>
      </c>
      <c r="AU172" t="s">
        <v>129</v>
      </c>
      <c r="AV172" t="s">
        <v>130</v>
      </c>
    </row>
    <row r="173" spans="1:48" x14ac:dyDescent="0.3">
      <c r="A173" t="s">
        <v>871</v>
      </c>
      <c r="B173" s="12">
        <v>45711</v>
      </c>
      <c r="C173" s="12">
        <v>45713</v>
      </c>
      <c r="D173" t="s">
        <v>872</v>
      </c>
      <c r="E173" t="s">
        <v>125</v>
      </c>
      <c r="F173" t="s">
        <v>43</v>
      </c>
      <c r="G173" t="s">
        <v>8</v>
      </c>
      <c r="H173" t="s">
        <v>259</v>
      </c>
      <c r="I173" t="s">
        <v>260</v>
      </c>
      <c r="J173" t="s">
        <v>20</v>
      </c>
      <c r="K173" t="s">
        <v>30</v>
      </c>
      <c r="M173" t="s">
        <v>38</v>
      </c>
      <c r="N173">
        <v>5</v>
      </c>
      <c r="O173">
        <v>4246.2700000000004</v>
      </c>
      <c r="P173">
        <v>0.25</v>
      </c>
      <c r="Q173">
        <v>0.25</v>
      </c>
      <c r="R173">
        <v>15923.51</v>
      </c>
      <c r="S173">
        <v>11291.8</v>
      </c>
      <c r="T173">
        <v>15923.512500000001</v>
      </c>
      <c r="U173">
        <v>4631.7124999999996</v>
      </c>
      <c r="V173">
        <v>0.29087253832971899</v>
      </c>
      <c r="W173">
        <v>2</v>
      </c>
      <c r="X173" t="s">
        <v>186</v>
      </c>
      <c r="Y173">
        <v>2025</v>
      </c>
      <c r="Z173" t="s">
        <v>129</v>
      </c>
      <c r="AA173" t="s">
        <v>130</v>
      </c>
      <c r="AB173" t="s">
        <v>131</v>
      </c>
      <c r="AC173" t="s">
        <v>131</v>
      </c>
      <c r="AD173" t="s">
        <v>131</v>
      </c>
      <c r="AE173" t="s">
        <v>131</v>
      </c>
      <c r="AF173" t="s">
        <v>131</v>
      </c>
      <c r="AG173" t="s">
        <v>131</v>
      </c>
      <c r="AH173" t="s">
        <v>132</v>
      </c>
      <c r="AI173" t="s">
        <v>133</v>
      </c>
      <c r="AJ173" t="s">
        <v>187</v>
      </c>
      <c r="AK173" t="s">
        <v>873</v>
      </c>
      <c r="AL173" t="s">
        <v>125</v>
      </c>
      <c r="AM173" t="s">
        <v>43</v>
      </c>
      <c r="AN173" t="s">
        <v>8</v>
      </c>
      <c r="AO173" t="s">
        <v>259</v>
      </c>
      <c r="AP173" t="s">
        <v>260</v>
      </c>
      <c r="AQ173" t="s">
        <v>20</v>
      </c>
      <c r="AR173" t="s">
        <v>30</v>
      </c>
      <c r="AS173" t="s">
        <v>38</v>
      </c>
      <c r="AT173">
        <v>0.25</v>
      </c>
      <c r="AU173" t="s">
        <v>129</v>
      </c>
      <c r="AV173" t="s">
        <v>130</v>
      </c>
    </row>
    <row r="174" spans="1:48" x14ac:dyDescent="0.3">
      <c r="A174" t="s">
        <v>874</v>
      </c>
      <c r="B174" s="12">
        <v>45871</v>
      </c>
      <c r="C174" s="12">
        <v>45879</v>
      </c>
      <c r="D174" t="s">
        <v>875</v>
      </c>
      <c r="E174" t="s">
        <v>125</v>
      </c>
      <c r="F174" t="s">
        <v>43</v>
      </c>
      <c r="G174" t="s">
        <v>9</v>
      </c>
      <c r="H174" t="s">
        <v>522</v>
      </c>
      <c r="I174" t="s">
        <v>523</v>
      </c>
      <c r="J174" t="s">
        <v>18</v>
      </c>
      <c r="K174" t="s">
        <v>23</v>
      </c>
      <c r="M174" t="s">
        <v>38</v>
      </c>
      <c r="N174">
        <v>9</v>
      </c>
      <c r="O174">
        <v>2962.62</v>
      </c>
      <c r="P174">
        <v>0.1</v>
      </c>
      <c r="Q174">
        <v>0.1</v>
      </c>
      <c r="R174">
        <v>23997.22</v>
      </c>
      <c r="S174">
        <v>16134.63</v>
      </c>
      <c r="T174">
        <v>23997.222000000002</v>
      </c>
      <c r="U174">
        <v>7862.5919999999996</v>
      </c>
      <c r="V174">
        <v>0.32764592501582102</v>
      </c>
      <c r="W174">
        <v>8</v>
      </c>
      <c r="X174" t="s">
        <v>142</v>
      </c>
      <c r="Y174">
        <v>2025</v>
      </c>
      <c r="Z174" t="s">
        <v>203</v>
      </c>
      <c r="AA174" t="s">
        <v>204</v>
      </c>
      <c r="AB174" t="s">
        <v>131</v>
      </c>
      <c r="AC174" t="s">
        <v>131</v>
      </c>
      <c r="AD174" t="s">
        <v>131</v>
      </c>
      <c r="AE174" t="s">
        <v>131</v>
      </c>
      <c r="AF174" t="s">
        <v>131</v>
      </c>
      <c r="AG174" t="s">
        <v>131</v>
      </c>
      <c r="AH174" t="s">
        <v>131</v>
      </c>
      <c r="AI174" t="s">
        <v>133</v>
      </c>
      <c r="AJ174" t="s">
        <v>876</v>
      </c>
      <c r="AK174" t="s">
        <v>877</v>
      </c>
      <c r="AL174" t="s">
        <v>125</v>
      </c>
      <c r="AM174" t="s">
        <v>43</v>
      </c>
      <c r="AN174" t="s">
        <v>9</v>
      </c>
      <c r="AO174" t="s">
        <v>522</v>
      </c>
      <c r="AP174" t="s">
        <v>523</v>
      </c>
      <c r="AQ174" t="s">
        <v>18</v>
      </c>
      <c r="AR174" t="s">
        <v>23</v>
      </c>
      <c r="AS174" t="s">
        <v>38</v>
      </c>
      <c r="AT174">
        <v>0.1</v>
      </c>
      <c r="AU174" t="s">
        <v>203</v>
      </c>
      <c r="AV174" t="s">
        <v>204</v>
      </c>
    </row>
    <row r="175" spans="1:48" x14ac:dyDescent="0.3">
      <c r="A175" t="s">
        <v>878</v>
      </c>
      <c r="B175" s="12">
        <v>45414</v>
      </c>
      <c r="C175" s="12">
        <v>45420</v>
      </c>
      <c r="D175" t="s">
        <v>879</v>
      </c>
      <c r="E175" t="s">
        <v>221</v>
      </c>
      <c r="F175" t="s">
        <v>41</v>
      </c>
      <c r="G175" t="s">
        <v>9</v>
      </c>
      <c r="H175" t="s">
        <v>232</v>
      </c>
      <c r="I175" t="s">
        <v>233</v>
      </c>
      <c r="J175" t="s">
        <v>15</v>
      </c>
      <c r="K175" t="s">
        <v>16</v>
      </c>
      <c r="M175" t="s">
        <v>37</v>
      </c>
      <c r="N175">
        <v>1</v>
      </c>
      <c r="O175">
        <v>2312.25</v>
      </c>
      <c r="P175">
        <v>0.25</v>
      </c>
      <c r="Q175">
        <v>0.25</v>
      </c>
      <c r="R175">
        <v>1734.19</v>
      </c>
      <c r="S175">
        <v>1386.07</v>
      </c>
      <c r="T175">
        <v>1734.1875</v>
      </c>
      <c r="U175">
        <v>348.11750000000001</v>
      </c>
      <c r="V175">
        <v>0.200738097812376</v>
      </c>
      <c r="W175">
        <v>6</v>
      </c>
      <c r="X175" t="s">
        <v>173</v>
      </c>
      <c r="Y175">
        <v>2024</v>
      </c>
      <c r="Z175" t="s">
        <v>129</v>
      </c>
      <c r="AA175" t="s">
        <v>130</v>
      </c>
      <c r="AB175" t="s">
        <v>131</v>
      </c>
      <c r="AC175" t="s">
        <v>131</v>
      </c>
      <c r="AD175" t="s">
        <v>131</v>
      </c>
      <c r="AE175" t="s">
        <v>131</v>
      </c>
      <c r="AF175" t="s">
        <v>131</v>
      </c>
      <c r="AG175" t="s">
        <v>131</v>
      </c>
      <c r="AH175" t="s">
        <v>132</v>
      </c>
      <c r="AI175" t="s">
        <v>133</v>
      </c>
      <c r="AJ175" t="s">
        <v>880</v>
      </c>
      <c r="AK175" t="s">
        <v>881</v>
      </c>
      <c r="AL175" t="s">
        <v>882</v>
      </c>
      <c r="AM175" t="s">
        <v>41</v>
      </c>
      <c r="AN175" t="s">
        <v>9</v>
      </c>
      <c r="AO175" t="s">
        <v>232</v>
      </c>
      <c r="AP175" t="s">
        <v>233</v>
      </c>
      <c r="AQ175" t="s">
        <v>15</v>
      </c>
      <c r="AR175" t="s">
        <v>16</v>
      </c>
      <c r="AS175" t="s">
        <v>37</v>
      </c>
      <c r="AT175">
        <v>0.25</v>
      </c>
      <c r="AU175" t="s">
        <v>129</v>
      </c>
      <c r="AV175" t="s">
        <v>130</v>
      </c>
    </row>
    <row r="176" spans="1:48" x14ac:dyDescent="0.3">
      <c r="A176" t="s">
        <v>883</v>
      </c>
      <c r="B176" s="12">
        <v>45928</v>
      </c>
      <c r="C176" s="12">
        <v>45934</v>
      </c>
      <c r="D176" t="s">
        <v>884</v>
      </c>
      <c r="E176" t="s">
        <v>125</v>
      </c>
      <c r="F176" t="s">
        <v>44</v>
      </c>
      <c r="G176" t="s">
        <v>6</v>
      </c>
      <c r="H176" t="s">
        <v>294</v>
      </c>
      <c r="I176" t="s">
        <v>295</v>
      </c>
      <c r="J176" t="s">
        <v>18</v>
      </c>
      <c r="K176" t="s">
        <v>26</v>
      </c>
      <c r="M176" t="s">
        <v>36</v>
      </c>
      <c r="N176">
        <v>6</v>
      </c>
      <c r="O176">
        <v>1620.53</v>
      </c>
      <c r="P176">
        <v>0.15</v>
      </c>
      <c r="Q176">
        <v>0.15</v>
      </c>
      <c r="R176">
        <v>8264.7000000000007</v>
      </c>
      <c r="S176">
        <v>4768.75</v>
      </c>
      <c r="T176">
        <v>8264.7029999999995</v>
      </c>
      <c r="U176">
        <v>3495.953</v>
      </c>
      <c r="V176">
        <v>0.42299801940856202</v>
      </c>
      <c r="W176">
        <v>6</v>
      </c>
      <c r="X176" t="s">
        <v>196</v>
      </c>
      <c r="Y176">
        <v>2025</v>
      </c>
      <c r="Z176" t="s">
        <v>215</v>
      </c>
      <c r="AA176" t="s">
        <v>204</v>
      </c>
      <c r="AB176" t="s">
        <v>131</v>
      </c>
      <c r="AC176" t="s">
        <v>131</v>
      </c>
      <c r="AD176" t="s">
        <v>131</v>
      </c>
      <c r="AE176" t="s">
        <v>131</v>
      </c>
      <c r="AF176" t="s">
        <v>131</v>
      </c>
      <c r="AG176" t="s">
        <v>131</v>
      </c>
      <c r="AH176" t="s">
        <v>131</v>
      </c>
      <c r="AI176" t="s">
        <v>133</v>
      </c>
      <c r="AJ176" t="s">
        <v>885</v>
      </c>
      <c r="AK176" t="s">
        <v>886</v>
      </c>
      <c r="AL176" t="s">
        <v>125</v>
      </c>
      <c r="AM176" t="s">
        <v>44</v>
      </c>
      <c r="AN176" t="s">
        <v>6</v>
      </c>
      <c r="AO176" t="s">
        <v>294</v>
      </c>
      <c r="AP176" t="s">
        <v>295</v>
      </c>
      <c r="AQ176" t="s">
        <v>18</v>
      </c>
      <c r="AR176" t="s">
        <v>26</v>
      </c>
      <c r="AS176" t="s">
        <v>36</v>
      </c>
      <c r="AT176">
        <v>0.15</v>
      </c>
      <c r="AU176" t="s">
        <v>215</v>
      </c>
      <c r="AV176" t="s">
        <v>204</v>
      </c>
    </row>
    <row r="177" spans="1:48" x14ac:dyDescent="0.3">
      <c r="A177" t="s">
        <v>887</v>
      </c>
      <c r="B177" s="12">
        <v>45318</v>
      </c>
      <c r="C177" s="12">
        <v>45325</v>
      </c>
      <c r="D177" t="s">
        <v>888</v>
      </c>
      <c r="E177" t="s">
        <v>154</v>
      </c>
      <c r="F177" t="s">
        <v>44</v>
      </c>
      <c r="G177" t="s">
        <v>8</v>
      </c>
      <c r="H177" t="s">
        <v>259</v>
      </c>
      <c r="I177" t="s">
        <v>260</v>
      </c>
      <c r="J177" t="s">
        <v>15</v>
      </c>
      <c r="K177" t="s">
        <v>25</v>
      </c>
      <c r="M177" t="s">
        <v>38</v>
      </c>
      <c r="N177">
        <v>7</v>
      </c>
      <c r="O177">
        <v>2673.42</v>
      </c>
      <c r="P177">
        <v>0.15</v>
      </c>
      <c r="Q177">
        <v>0.15</v>
      </c>
      <c r="R177">
        <v>15906.85</v>
      </c>
      <c r="S177">
        <v>11014.46</v>
      </c>
      <c r="T177">
        <v>15906.849</v>
      </c>
      <c r="U177">
        <v>4892.3890000000001</v>
      </c>
      <c r="V177">
        <v>0.30756493633654303</v>
      </c>
      <c r="W177">
        <v>7</v>
      </c>
      <c r="X177" t="s">
        <v>244</v>
      </c>
      <c r="Y177">
        <v>2024</v>
      </c>
      <c r="Z177" t="s">
        <v>129</v>
      </c>
      <c r="AA177" t="s">
        <v>204</v>
      </c>
      <c r="AB177" t="s">
        <v>131</v>
      </c>
      <c r="AC177" t="s">
        <v>131</v>
      </c>
      <c r="AD177" t="s">
        <v>131</v>
      </c>
      <c r="AE177" t="s">
        <v>131</v>
      </c>
      <c r="AF177" t="s">
        <v>131</v>
      </c>
      <c r="AG177" t="s">
        <v>131</v>
      </c>
      <c r="AH177" t="s">
        <v>131</v>
      </c>
      <c r="AI177" t="s">
        <v>133</v>
      </c>
      <c r="AJ177" t="s">
        <v>716</v>
      </c>
      <c r="AK177" t="s">
        <v>889</v>
      </c>
      <c r="AL177" t="s">
        <v>154</v>
      </c>
      <c r="AM177" t="s">
        <v>44</v>
      </c>
      <c r="AN177" t="s">
        <v>8</v>
      </c>
      <c r="AO177" t="s">
        <v>259</v>
      </c>
      <c r="AP177" t="s">
        <v>260</v>
      </c>
      <c r="AQ177" t="s">
        <v>15</v>
      </c>
      <c r="AR177" t="s">
        <v>25</v>
      </c>
      <c r="AS177" t="s">
        <v>38</v>
      </c>
      <c r="AT177">
        <v>0.15</v>
      </c>
      <c r="AU177" t="s">
        <v>129</v>
      </c>
      <c r="AV177" t="s">
        <v>204</v>
      </c>
    </row>
    <row r="178" spans="1:48" x14ac:dyDescent="0.3">
      <c r="A178" t="s">
        <v>890</v>
      </c>
      <c r="B178" s="12">
        <v>45734</v>
      </c>
      <c r="C178" s="12">
        <v>45742</v>
      </c>
      <c r="D178" t="s">
        <v>891</v>
      </c>
      <c r="E178" t="s">
        <v>170</v>
      </c>
      <c r="F178" t="s">
        <v>43</v>
      </c>
      <c r="G178" t="s">
        <v>8</v>
      </c>
      <c r="H178" t="s">
        <v>362</v>
      </c>
      <c r="I178" t="s">
        <v>363</v>
      </c>
      <c r="J178" t="s">
        <v>18</v>
      </c>
      <c r="K178" t="s">
        <v>26</v>
      </c>
      <c r="M178" t="s">
        <v>35</v>
      </c>
      <c r="N178">
        <v>8</v>
      </c>
      <c r="O178">
        <v>3563.09</v>
      </c>
      <c r="P178">
        <v>0.15</v>
      </c>
      <c r="Q178">
        <v>0.15</v>
      </c>
      <c r="R178">
        <v>24229.01</v>
      </c>
      <c r="S178">
        <v>13910.64</v>
      </c>
      <c r="T178">
        <v>24229.011999999999</v>
      </c>
      <c r="U178">
        <v>10318.371999999999</v>
      </c>
      <c r="V178">
        <v>0.42586845885420299</v>
      </c>
      <c r="W178">
        <v>8</v>
      </c>
      <c r="X178" t="s">
        <v>278</v>
      </c>
      <c r="Y178">
        <v>2025</v>
      </c>
      <c r="Z178" t="s">
        <v>129</v>
      </c>
      <c r="AA178" t="s">
        <v>130</v>
      </c>
      <c r="AB178" t="s">
        <v>131</v>
      </c>
      <c r="AC178" t="s">
        <v>131</v>
      </c>
      <c r="AD178" t="s">
        <v>131</v>
      </c>
      <c r="AE178" t="s">
        <v>131</v>
      </c>
      <c r="AF178" t="s">
        <v>131</v>
      </c>
      <c r="AG178" t="s">
        <v>131</v>
      </c>
      <c r="AH178" t="s">
        <v>132</v>
      </c>
      <c r="AI178" t="s">
        <v>133</v>
      </c>
      <c r="AJ178" t="s">
        <v>892</v>
      </c>
      <c r="AK178" t="s">
        <v>893</v>
      </c>
      <c r="AL178" t="s">
        <v>170</v>
      </c>
      <c r="AM178" t="s">
        <v>43</v>
      </c>
      <c r="AN178" t="s">
        <v>8</v>
      </c>
      <c r="AO178" t="s">
        <v>362</v>
      </c>
      <c r="AP178" t="s">
        <v>363</v>
      </c>
      <c r="AQ178" t="s">
        <v>18</v>
      </c>
      <c r="AR178" t="s">
        <v>26</v>
      </c>
      <c r="AS178" t="s">
        <v>35</v>
      </c>
      <c r="AT178">
        <v>0.15</v>
      </c>
      <c r="AU178" t="s">
        <v>129</v>
      </c>
      <c r="AV178" t="s">
        <v>130</v>
      </c>
    </row>
    <row r="179" spans="1:48" x14ac:dyDescent="0.3">
      <c r="A179" t="s">
        <v>894</v>
      </c>
      <c r="B179" s="12">
        <v>45444</v>
      </c>
      <c r="C179" s="12">
        <v>45446</v>
      </c>
      <c r="D179" t="s">
        <v>895</v>
      </c>
      <c r="E179" t="s">
        <v>243</v>
      </c>
      <c r="F179" t="s">
        <v>41</v>
      </c>
      <c r="G179" t="s">
        <v>10</v>
      </c>
      <c r="H179" t="s">
        <v>259</v>
      </c>
      <c r="I179" t="s">
        <v>260</v>
      </c>
      <c r="J179" t="s">
        <v>20</v>
      </c>
      <c r="K179" t="s">
        <v>29</v>
      </c>
      <c r="M179" t="s">
        <v>38</v>
      </c>
      <c r="N179">
        <v>8</v>
      </c>
      <c r="O179">
        <v>3879.95</v>
      </c>
      <c r="P179">
        <v>0</v>
      </c>
      <c r="Q179">
        <v>0</v>
      </c>
      <c r="R179">
        <v>31039.599999999999</v>
      </c>
      <c r="S179">
        <v>20866.72</v>
      </c>
      <c r="T179">
        <v>31039.599999999999</v>
      </c>
      <c r="U179">
        <v>10172.879999999999</v>
      </c>
      <c r="V179">
        <v>0.32773875952009701</v>
      </c>
      <c r="W179">
        <v>2</v>
      </c>
      <c r="X179" t="s">
        <v>148</v>
      </c>
      <c r="Y179">
        <v>2024</v>
      </c>
      <c r="Z179" t="s">
        <v>129</v>
      </c>
      <c r="AA179" t="s">
        <v>130</v>
      </c>
      <c r="AB179" t="s">
        <v>132</v>
      </c>
      <c r="AC179" t="s">
        <v>131</v>
      </c>
      <c r="AD179" t="s">
        <v>131</v>
      </c>
      <c r="AE179" t="s">
        <v>131</v>
      </c>
      <c r="AF179" t="s">
        <v>131</v>
      </c>
      <c r="AG179" t="s">
        <v>131</v>
      </c>
      <c r="AH179" t="s">
        <v>132</v>
      </c>
      <c r="AI179" t="s">
        <v>321</v>
      </c>
      <c r="AJ179" t="s">
        <v>896</v>
      </c>
      <c r="AK179" t="s">
        <v>897</v>
      </c>
      <c r="AL179" t="s">
        <v>243</v>
      </c>
      <c r="AM179" t="s">
        <v>41</v>
      </c>
      <c r="AO179" t="s">
        <v>259</v>
      </c>
      <c r="AP179" t="s">
        <v>260</v>
      </c>
      <c r="AQ179" t="s">
        <v>20</v>
      </c>
      <c r="AR179" t="s">
        <v>29</v>
      </c>
      <c r="AS179" t="s">
        <v>38</v>
      </c>
      <c r="AT179">
        <v>0</v>
      </c>
      <c r="AU179" t="s">
        <v>129</v>
      </c>
      <c r="AV179" t="s">
        <v>130</v>
      </c>
    </row>
    <row r="180" spans="1:48" x14ac:dyDescent="0.3">
      <c r="A180" t="s">
        <v>898</v>
      </c>
      <c r="B180" s="12">
        <v>45565</v>
      </c>
      <c r="C180" s="12">
        <v>45565</v>
      </c>
      <c r="D180" t="s">
        <v>899</v>
      </c>
      <c r="E180" t="s">
        <v>147</v>
      </c>
      <c r="F180" t="s">
        <v>43</v>
      </c>
      <c r="G180" t="s">
        <v>6</v>
      </c>
      <c r="H180" t="s">
        <v>155</v>
      </c>
      <c r="I180" t="s">
        <v>156</v>
      </c>
      <c r="J180" t="s">
        <v>20</v>
      </c>
      <c r="K180" t="s">
        <v>29</v>
      </c>
      <c r="M180" t="s">
        <v>35</v>
      </c>
      <c r="N180">
        <v>4</v>
      </c>
      <c r="O180">
        <v>3281.74</v>
      </c>
      <c r="P180">
        <v>0</v>
      </c>
      <c r="Q180">
        <v>0</v>
      </c>
      <c r="R180">
        <v>13126.96</v>
      </c>
      <c r="S180">
        <v>10732.44</v>
      </c>
      <c r="T180">
        <v>13126.96</v>
      </c>
      <c r="U180">
        <v>2394.52</v>
      </c>
      <c r="V180">
        <v>0.18241237879905201</v>
      </c>
      <c r="W180">
        <v>0</v>
      </c>
      <c r="X180" t="s">
        <v>196</v>
      </c>
      <c r="Y180">
        <v>2024</v>
      </c>
      <c r="Z180" t="s">
        <v>129</v>
      </c>
      <c r="AA180" t="s">
        <v>130</v>
      </c>
      <c r="AB180" t="s">
        <v>131</v>
      </c>
      <c r="AC180" t="s">
        <v>131</v>
      </c>
      <c r="AD180" t="s">
        <v>131</v>
      </c>
      <c r="AE180" t="s">
        <v>131</v>
      </c>
      <c r="AF180" t="s">
        <v>131</v>
      </c>
      <c r="AG180" t="s">
        <v>131</v>
      </c>
      <c r="AH180" t="s">
        <v>132</v>
      </c>
      <c r="AI180" t="s">
        <v>133</v>
      </c>
      <c r="AJ180" t="s">
        <v>900</v>
      </c>
      <c r="AK180" t="s">
        <v>901</v>
      </c>
      <c r="AL180" t="s">
        <v>147</v>
      </c>
      <c r="AM180" t="s">
        <v>43</v>
      </c>
      <c r="AN180" t="s">
        <v>6</v>
      </c>
      <c r="AO180" t="s">
        <v>155</v>
      </c>
      <c r="AP180" t="s">
        <v>156</v>
      </c>
      <c r="AQ180" t="s">
        <v>20</v>
      </c>
      <c r="AR180" t="s">
        <v>29</v>
      </c>
      <c r="AS180" t="s">
        <v>35</v>
      </c>
      <c r="AT180">
        <v>0</v>
      </c>
      <c r="AU180" t="s">
        <v>129</v>
      </c>
      <c r="AV180" t="s">
        <v>130</v>
      </c>
    </row>
    <row r="181" spans="1:48" x14ac:dyDescent="0.3">
      <c r="A181" t="s">
        <v>902</v>
      </c>
      <c r="B181" s="12">
        <v>45366</v>
      </c>
      <c r="C181" s="12">
        <v>45370</v>
      </c>
      <c r="D181" t="s">
        <v>903</v>
      </c>
      <c r="E181" t="s">
        <v>162</v>
      </c>
      <c r="F181" t="s">
        <v>44</v>
      </c>
      <c r="G181" t="s">
        <v>6</v>
      </c>
      <c r="H181" t="s">
        <v>385</v>
      </c>
      <c r="I181" t="s">
        <v>386</v>
      </c>
      <c r="J181" t="s">
        <v>18</v>
      </c>
      <c r="K181" t="s">
        <v>23</v>
      </c>
      <c r="M181" t="s">
        <v>35</v>
      </c>
      <c r="N181">
        <v>4</v>
      </c>
      <c r="O181">
        <v>3186.3</v>
      </c>
      <c r="P181">
        <v>0.25</v>
      </c>
      <c r="Q181">
        <v>0.25</v>
      </c>
      <c r="R181">
        <v>9558.9</v>
      </c>
      <c r="S181">
        <v>5516.76</v>
      </c>
      <c r="T181">
        <v>9558.9</v>
      </c>
      <c r="U181">
        <v>4042.14</v>
      </c>
      <c r="V181">
        <v>0.42286664783604799</v>
      </c>
      <c r="W181">
        <v>4</v>
      </c>
      <c r="X181" t="s">
        <v>278</v>
      </c>
      <c r="Y181">
        <v>2024</v>
      </c>
      <c r="Z181" t="s">
        <v>203</v>
      </c>
      <c r="AA181" t="s">
        <v>204</v>
      </c>
      <c r="AB181" t="s">
        <v>131</v>
      </c>
      <c r="AC181" t="s">
        <v>131</v>
      </c>
      <c r="AD181" t="s">
        <v>131</v>
      </c>
      <c r="AE181" t="s">
        <v>131</v>
      </c>
      <c r="AF181" t="s">
        <v>131</v>
      </c>
      <c r="AG181" t="s">
        <v>131</v>
      </c>
      <c r="AH181" t="s">
        <v>131</v>
      </c>
      <c r="AI181" t="s">
        <v>133</v>
      </c>
      <c r="AJ181" t="s">
        <v>904</v>
      </c>
      <c r="AK181" t="s">
        <v>905</v>
      </c>
      <c r="AL181" t="s">
        <v>162</v>
      </c>
      <c r="AM181" t="s">
        <v>44</v>
      </c>
      <c r="AN181" t="s">
        <v>6</v>
      </c>
      <c r="AO181" t="s">
        <v>385</v>
      </c>
      <c r="AP181" t="s">
        <v>386</v>
      </c>
      <c r="AQ181" t="s">
        <v>18</v>
      </c>
      <c r="AR181" t="s">
        <v>23</v>
      </c>
      <c r="AS181" t="s">
        <v>35</v>
      </c>
      <c r="AT181">
        <v>0.25</v>
      </c>
      <c r="AU181" t="s">
        <v>203</v>
      </c>
      <c r="AV181" t="s">
        <v>204</v>
      </c>
    </row>
    <row r="182" spans="1:48" x14ac:dyDescent="0.3">
      <c r="A182" t="s">
        <v>906</v>
      </c>
      <c r="B182" s="12">
        <v>45530</v>
      </c>
      <c r="C182" s="12">
        <v>45530</v>
      </c>
      <c r="D182" t="s">
        <v>907</v>
      </c>
      <c r="E182" t="s">
        <v>139</v>
      </c>
      <c r="F182" t="s">
        <v>41</v>
      </c>
      <c r="G182" t="s">
        <v>9</v>
      </c>
      <c r="H182" t="s">
        <v>249</v>
      </c>
      <c r="I182" t="s">
        <v>250</v>
      </c>
      <c r="J182" t="s">
        <v>20</v>
      </c>
      <c r="K182" t="s">
        <v>28</v>
      </c>
      <c r="M182" t="s">
        <v>36</v>
      </c>
      <c r="N182">
        <v>7</v>
      </c>
      <c r="O182">
        <v>844.59</v>
      </c>
      <c r="P182">
        <v>0.1</v>
      </c>
      <c r="Q182">
        <v>0.1</v>
      </c>
      <c r="R182">
        <v>5320.92</v>
      </c>
      <c r="S182">
        <v>3041.5</v>
      </c>
      <c r="T182">
        <v>5320.9170000000004</v>
      </c>
      <c r="U182">
        <v>2279.4169999999999</v>
      </c>
      <c r="V182">
        <v>0.42838800154183998</v>
      </c>
      <c r="W182">
        <v>0</v>
      </c>
      <c r="X182" t="s">
        <v>142</v>
      </c>
      <c r="Y182">
        <v>2024</v>
      </c>
      <c r="Z182" t="s">
        <v>129</v>
      </c>
      <c r="AA182" t="s">
        <v>130</v>
      </c>
      <c r="AB182" t="s">
        <v>131</v>
      </c>
      <c r="AC182" t="s">
        <v>131</v>
      </c>
      <c r="AD182" t="s">
        <v>131</v>
      </c>
      <c r="AE182" t="s">
        <v>131</v>
      </c>
      <c r="AF182" t="s">
        <v>131</v>
      </c>
      <c r="AG182" t="s">
        <v>131</v>
      </c>
      <c r="AH182" t="s">
        <v>132</v>
      </c>
      <c r="AI182" t="s">
        <v>133</v>
      </c>
      <c r="AJ182" t="s">
        <v>908</v>
      </c>
      <c r="AK182" t="s">
        <v>909</v>
      </c>
      <c r="AL182" t="s">
        <v>139</v>
      </c>
      <c r="AM182" t="s">
        <v>41</v>
      </c>
      <c r="AN182" t="s">
        <v>9</v>
      </c>
      <c r="AO182" t="s">
        <v>249</v>
      </c>
      <c r="AP182" t="s">
        <v>250</v>
      </c>
      <c r="AQ182" t="s">
        <v>856</v>
      </c>
      <c r="AR182" t="s">
        <v>28</v>
      </c>
      <c r="AS182" t="s">
        <v>36</v>
      </c>
      <c r="AT182">
        <v>0.1</v>
      </c>
      <c r="AU182" t="s">
        <v>129</v>
      </c>
      <c r="AV182" t="s">
        <v>130</v>
      </c>
    </row>
    <row r="183" spans="1:48" x14ac:dyDescent="0.3">
      <c r="A183" t="s">
        <v>910</v>
      </c>
      <c r="B183" s="12">
        <v>45909</v>
      </c>
      <c r="C183" s="12">
        <v>45910</v>
      </c>
      <c r="D183" t="s">
        <v>911</v>
      </c>
      <c r="E183" t="s">
        <v>221</v>
      </c>
      <c r="F183" t="s">
        <v>41</v>
      </c>
      <c r="G183" t="s">
        <v>6</v>
      </c>
      <c r="H183" t="s">
        <v>385</v>
      </c>
      <c r="I183" t="s">
        <v>386</v>
      </c>
      <c r="J183" t="s">
        <v>20</v>
      </c>
      <c r="K183" t="s">
        <v>29</v>
      </c>
      <c r="M183" t="s">
        <v>37</v>
      </c>
      <c r="N183">
        <v>4</v>
      </c>
      <c r="O183">
        <v>2551.4499999999998</v>
      </c>
      <c r="P183">
        <v>0</v>
      </c>
      <c r="Q183">
        <v>0</v>
      </c>
      <c r="R183">
        <v>10205.799999999999</v>
      </c>
      <c r="S183">
        <v>5986.31</v>
      </c>
      <c r="T183">
        <v>10205.799999999999</v>
      </c>
      <c r="U183">
        <v>4219.49</v>
      </c>
      <c r="V183">
        <v>0.413440396637206</v>
      </c>
      <c r="W183">
        <v>1</v>
      </c>
      <c r="X183" t="s">
        <v>196</v>
      </c>
      <c r="Y183">
        <v>2025</v>
      </c>
      <c r="Z183" t="s">
        <v>129</v>
      </c>
      <c r="AA183" t="s">
        <v>130</v>
      </c>
      <c r="AB183" t="s">
        <v>131</v>
      </c>
      <c r="AC183" t="s">
        <v>131</v>
      </c>
      <c r="AD183" t="s">
        <v>131</v>
      </c>
      <c r="AE183" t="s">
        <v>131</v>
      </c>
      <c r="AF183" t="s">
        <v>131</v>
      </c>
      <c r="AG183" t="s">
        <v>131</v>
      </c>
      <c r="AH183" t="s">
        <v>132</v>
      </c>
      <c r="AI183" t="s">
        <v>133</v>
      </c>
      <c r="AJ183" t="s">
        <v>912</v>
      </c>
      <c r="AK183" t="s">
        <v>913</v>
      </c>
      <c r="AL183" t="s">
        <v>221</v>
      </c>
      <c r="AM183" t="s">
        <v>41</v>
      </c>
      <c r="AN183" t="s">
        <v>6</v>
      </c>
      <c r="AO183" t="s">
        <v>385</v>
      </c>
      <c r="AP183" t="s">
        <v>386</v>
      </c>
      <c r="AQ183" t="s">
        <v>20</v>
      </c>
      <c r="AR183" t="s">
        <v>29</v>
      </c>
      <c r="AS183" t="s">
        <v>37</v>
      </c>
      <c r="AT183">
        <v>0</v>
      </c>
      <c r="AU183" t="s">
        <v>129</v>
      </c>
      <c r="AV183" t="s">
        <v>130</v>
      </c>
    </row>
    <row r="184" spans="1:48" x14ac:dyDescent="0.3">
      <c r="A184" t="s">
        <v>914</v>
      </c>
      <c r="B184" s="12">
        <v>45581</v>
      </c>
      <c r="C184" s="12">
        <v>45581</v>
      </c>
      <c r="D184" t="s">
        <v>915</v>
      </c>
      <c r="E184" t="s">
        <v>162</v>
      </c>
      <c r="F184" t="s">
        <v>41</v>
      </c>
      <c r="G184" t="s">
        <v>8</v>
      </c>
      <c r="H184" t="s">
        <v>259</v>
      </c>
      <c r="I184" t="s">
        <v>260</v>
      </c>
      <c r="J184" t="s">
        <v>15</v>
      </c>
      <c r="K184" t="s">
        <v>25</v>
      </c>
      <c r="M184" t="s">
        <v>35</v>
      </c>
      <c r="N184">
        <v>7</v>
      </c>
      <c r="O184">
        <v>775.77</v>
      </c>
      <c r="P184">
        <v>0</v>
      </c>
      <c r="Q184">
        <v>0</v>
      </c>
      <c r="R184">
        <v>5430.39</v>
      </c>
      <c r="S184">
        <v>3707.66</v>
      </c>
      <c r="T184">
        <v>5430.39</v>
      </c>
      <c r="U184">
        <v>1722.73</v>
      </c>
      <c r="V184">
        <v>0.31723872502711598</v>
      </c>
      <c r="W184">
        <v>0</v>
      </c>
      <c r="X184" t="s">
        <v>222</v>
      </c>
      <c r="Y184">
        <v>2024</v>
      </c>
      <c r="Z184" t="s">
        <v>129</v>
      </c>
      <c r="AA184" t="s">
        <v>130</v>
      </c>
      <c r="AB184" t="s">
        <v>131</v>
      </c>
      <c r="AC184" t="s">
        <v>131</v>
      </c>
      <c r="AD184" t="s">
        <v>131</v>
      </c>
      <c r="AE184" t="s">
        <v>131</v>
      </c>
      <c r="AF184" t="s">
        <v>131</v>
      </c>
      <c r="AG184" t="s">
        <v>131</v>
      </c>
      <c r="AH184" t="s">
        <v>132</v>
      </c>
      <c r="AI184" t="s">
        <v>133</v>
      </c>
      <c r="AJ184" t="s">
        <v>355</v>
      </c>
      <c r="AK184" t="s">
        <v>355</v>
      </c>
      <c r="AL184" t="s">
        <v>162</v>
      </c>
      <c r="AM184" t="s">
        <v>41</v>
      </c>
      <c r="AN184" t="s">
        <v>8</v>
      </c>
      <c r="AO184" t="s">
        <v>259</v>
      </c>
      <c r="AP184" t="s">
        <v>260</v>
      </c>
      <c r="AQ184" t="s">
        <v>15</v>
      </c>
      <c r="AR184" t="s">
        <v>25</v>
      </c>
      <c r="AS184" t="s">
        <v>35</v>
      </c>
      <c r="AT184">
        <v>0</v>
      </c>
      <c r="AU184" t="s">
        <v>129</v>
      </c>
      <c r="AV184" t="s">
        <v>130</v>
      </c>
    </row>
    <row r="185" spans="1:48" x14ac:dyDescent="0.3">
      <c r="A185" t="s">
        <v>916</v>
      </c>
      <c r="B185" s="12">
        <v>45832</v>
      </c>
      <c r="C185" s="12">
        <v>45835</v>
      </c>
      <c r="D185" t="s">
        <v>917</v>
      </c>
      <c r="E185" t="s">
        <v>170</v>
      </c>
      <c r="F185" t="s">
        <v>41</v>
      </c>
      <c r="G185" t="s">
        <v>6</v>
      </c>
      <c r="H185" t="s">
        <v>155</v>
      </c>
      <c r="I185" t="s">
        <v>156</v>
      </c>
      <c r="J185" t="s">
        <v>15</v>
      </c>
      <c r="K185" t="s">
        <v>16</v>
      </c>
      <c r="M185" t="s">
        <v>35</v>
      </c>
      <c r="N185">
        <v>7</v>
      </c>
      <c r="O185">
        <v>2304.86</v>
      </c>
      <c r="P185">
        <v>0.2</v>
      </c>
      <c r="Q185">
        <v>0.2</v>
      </c>
      <c r="R185">
        <v>12907.22</v>
      </c>
      <c r="S185">
        <v>8327.89</v>
      </c>
      <c r="T185">
        <v>12907.216</v>
      </c>
      <c r="U185">
        <v>4579.326</v>
      </c>
      <c r="V185">
        <v>0.35478805034331201</v>
      </c>
      <c r="W185">
        <v>3</v>
      </c>
      <c r="X185" t="s">
        <v>148</v>
      </c>
      <c r="Y185">
        <v>2025</v>
      </c>
      <c r="Z185" t="s">
        <v>129</v>
      </c>
      <c r="AA185" t="s">
        <v>204</v>
      </c>
      <c r="AB185" t="s">
        <v>131</v>
      </c>
      <c r="AC185" t="s">
        <v>131</v>
      </c>
      <c r="AD185" t="s">
        <v>131</v>
      </c>
      <c r="AE185" t="s">
        <v>131</v>
      </c>
      <c r="AF185" t="s">
        <v>131</v>
      </c>
      <c r="AG185" t="s">
        <v>131</v>
      </c>
      <c r="AH185" t="s">
        <v>131</v>
      </c>
      <c r="AI185" t="s">
        <v>133</v>
      </c>
      <c r="AJ185" t="s">
        <v>918</v>
      </c>
      <c r="AK185" t="s">
        <v>919</v>
      </c>
      <c r="AL185" t="s">
        <v>170</v>
      </c>
      <c r="AM185" t="s">
        <v>41</v>
      </c>
      <c r="AN185" t="s">
        <v>6</v>
      </c>
      <c r="AO185" t="s">
        <v>155</v>
      </c>
      <c r="AP185" t="s">
        <v>156</v>
      </c>
      <c r="AQ185" t="s">
        <v>15</v>
      </c>
      <c r="AR185" t="s">
        <v>16</v>
      </c>
      <c r="AS185" t="s">
        <v>35</v>
      </c>
      <c r="AT185">
        <v>0.2</v>
      </c>
      <c r="AU185" t="s">
        <v>129</v>
      </c>
      <c r="AV185" t="s">
        <v>204</v>
      </c>
    </row>
    <row r="186" spans="1:48" x14ac:dyDescent="0.3">
      <c r="A186" t="s">
        <v>920</v>
      </c>
      <c r="B186" s="12">
        <v>45384</v>
      </c>
      <c r="C186" s="12">
        <v>45388</v>
      </c>
      <c r="D186" t="s">
        <v>921</v>
      </c>
      <c r="E186" t="s">
        <v>170</v>
      </c>
      <c r="F186" t="s">
        <v>43</v>
      </c>
      <c r="G186" t="s">
        <v>7</v>
      </c>
      <c r="H186" t="s">
        <v>171</v>
      </c>
      <c r="I186" t="s">
        <v>172</v>
      </c>
      <c r="J186" t="s">
        <v>18</v>
      </c>
      <c r="K186" t="s">
        <v>26</v>
      </c>
      <c r="M186" t="s">
        <v>35</v>
      </c>
      <c r="N186">
        <v>2</v>
      </c>
      <c r="O186">
        <v>888.98</v>
      </c>
      <c r="P186">
        <v>0</v>
      </c>
      <c r="Q186">
        <v>0</v>
      </c>
      <c r="R186">
        <v>1777.96</v>
      </c>
      <c r="S186">
        <v>1021.16</v>
      </c>
      <c r="T186">
        <v>1777.96</v>
      </c>
      <c r="U186">
        <v>756.8</v>
      </c>
      <c r="V186">
        <v>0.42565637022205199</v>
      </c>
      <c r="W186">
        <v>4</v>
      </c>
      <c r="X186" t="s">
        <v>179</v>
      </c>
      <c r="Y186">
        <v>2024</v>
      </c>
      <c r="Z186" t="s">
        <v>203</v>
      </c>
      <c r="AA186" t="s">
        <v>204</v>
      </c>
      <c r="AB186" t="s">
        <v>131</v>
      </c>
      <c r="AC186" t="s">
        <v>131</v>
      </c>
      <c r="AD186" t="s">
        <v>131</v>
      </c>
      <c r="AE186" t="s">
        <v>131</v>
      </c>
      <c r="AF186" t="s">
        <v>131</v>
      </c>
      <c r="AG186" t="s">
        <v>131</v>
      </c>
      <c r="AH186" t="s">
        <v>131</v>
      </c>
      <c r="AI186" t="s">
        <v>133</v>
      </c>
      <c r="AJ186" t="s">
        <v>922</v>
      </c>
      <c r="AK186" t="s">
        <v>396</v>
      </c>
      <c r="AL186" t="s">
        <v>170</v>
      </c>
      <c r="AM186" t="s">
        <v>43</v>
      </c>
      <c r="AN186" t="s">
        <v>7</v>
      </c>
      <c r="AO186" t="s">
        <v>171</v>
      </c>
      <c r="AP186" t="s">
        <v>172</v>
      </c>
      <c r="AQ186" t="s">
        <v>18</v>
      </c>
      <c r="AR186" t="s">
        <v>26</v>
      </c>
      <c r="AS186" t="s">
        <v>35</v>
      </c>
      <c r="AT186">
        <v>0</v>
      </c>
      <c r="AU186" t="s">
        <v>203</v>
      </c>
      <c r="AV186" t="s">
        <v>204</v>
      </c>
    </row>
    <row r="187" spans="1:48" x14ac:dyDescent="0.3">
      <c r="A187" t="s">
        <v>923</v>
      </c>
      <c r="B187" s="12">
        <v>45601</v>
      </c>
      <c r="C187" s="12">
        <v>45609</v>
      </c>
      <c r="D187" t="s">
        <v>924</v>
      </c>
      <c r="E187" t="s">
        <v>154</v>
      </c>
      <c r="F187" t="s">
        <v>42</v>
      </c>
      <c r="G187" t="s">
        <v>10</v>
      </c>
      <c r="H187" t="s">
        <v>232</v>
      </c>
      <c r="I187" t="s">
        <v>233</v>
      </c>
      <c r="J187" t="s">
        <v>20</v>
      </c>
      <c r="K187" t="s">
        <v>30</v>
      </c>
      <c r="M187" t="s">
        <v>37</v>
      </c>
      <c r="N187">
        <v>2</v>
      </c>
      <c r="O187">
        <v>1003.17</v>
      </c>
      <c r="P187">
        <v>0.2</v>
      </c>
      <c r="Q187">
        <v>0.2</v>
      </c>
      <c r="R187">
        <v>1605.07</v>
      </c>
      <c r="S187">
        <v>1337.28</v>
      </c>
      <c r="T187">
        <v>1605.0719999999999</v>
      </c>
      <c r="U187">
        <v>267.79199999999997</v>
      </c>
      <c r="V187">
        <v>0.166841113669667</v>
      </c>
      <c r="W187">
        <v>8</v>
      </c>
      <c r="X187" t="s">
        <v>157</v>
      </c>
      <c r="Y187">
        <v>2024</v>
      </c>
      <c r="Z187" t="s">
        <v>129</v>
      </c>
      <c r="AA187" t="s">
        <v>130</v>
      </c>
      <c r="AB187" t="s">
        <v>132</v>
      </c>
      <c r="AC187" t="s">
        <v>131</v>
      </c>
      <c r="AD187" t="s">
        <v>131</v>
      </c>
      <c r="AE187" t="s">
        <v>131</v>
      </c>
      <c r="AF187" t="s">
        <v>131</v>
      </c>
      <c r="AG187" t="s">
        <v>131</v>
      </c>
      <c r="AH187" t="s">
        <v>132</v>
      </c>
      <c r="AI187" t="s">
        <v>321</v>
      </c>
      <c r="AJ187" t="s">
        <v>192</v>
      </c>
      <c r="AK187" t="s">
        <v>925</v>
      </c>
      <c r="AL187" t="s">
        <v>154</v>
      </c>
      <c r="AM187" t="s">
        <v>42</v>
      </c>
      <c r="AO187" t="s">
        <v>232</v>
      </c>
      <c r="AP187" t="s">
        <v>233</v>
      </c>
      <c r="AQ187" t="s">
        <v>20</v>
      </c>
      <c r="AR187" t="s">
        <v>30</v>
      </c>
      <c r="AS187" t="s">
        <v>37</v>
      </c>
      <c r="AT187">
        <v>0.2</v>
      </c>
      <c r="AU187" t="s">
        <v>129</v>
      </c>
      <c r="AV187" t="s">
        <v>130</v>
      </c>
    </row>
    <row r="188" spans="1:48" x14ac:dyDescent="0.3">
      <c r="A188" t="s">
        <v>926</v>
      </c>
      <c r="B188" s="12">
        <v>45492</v>
      </c>
      <c r="C188" s="12">
        <v>45493</v>
      </c>
      <c r="D188" t="s">
        <v>408</v>
      </c>
      <c r="E188" t="s">
        <v>170</v>
      </c>
      <c r="F188" t="s">
        <v>42</v>
      </c>
      <c r="G188" t="s">
        <v>6</v>
      </c>
      <c r="H188" t="s">
        <v>385</v>
      </c>
      <c r="I188" t="s">
        <v>386</v>
      </c>
      <c r="J188" t="s">
        <v>18</v>
      </c>
      <c r="K188" t="s">
        <v>27</v>
      </c>
      <c r="M188" t="s">
        <v>36</v>
      </c>
      <c r="N188">
        <v>7</v>
      </c>
      <c r="O188">
        <v>3608.43</v>
      </c>
      <c r="P188">
        <v>0.05</v>
      </c>
      <c r="Q188">
        <v>0.05</v>
      </c>
      <c r="R188">
        <v>23996.06</v>
      </c>
      <c r="S188">
        <v>20167.28</v>
      </c>
      <c r="T188">
        <v>23996.059499999999</v>
      </c>
      <c r="U188">
        <v>3828.7795000000001</v>
      </c>
      <c r="V188">
        <v>0.15955867670689799</v>
      </c>
      <c r="W188">
        <v>1</v>
      </c>
      <c r="X188" t="s">
        <v>128</v>
      </c>
      <c r="Y188">
        <v>2024</v>
      </c>
      <c r="Z188" t="s">
        <v>129</v>
      </c>
      <c r="AA188" t="s">
        <v>130</v>
      </c>
      <c r="AB188" t="s">
        <v>131</v>
      </c>
      <c r="AC188" t="s">
        <v>131</v>
      </c>
      <c r="AD188" t="s">
        <v>131</v>
      </c>
      <c r="AE188" t="s">
        <v>131</v>
      </c>
      <c r="AF188" t="s">
        <v>131</v>
      </c>
      <c r="AG188" t="s">
        <v>131</v>
      </c>
      <c r="AH188" t="s">
        <v>132</v>
      </c>
      <c r="AI188" t="s">
        <v>133</v>
      </c>
      <c r="AJ188" t="s">
        <v>382</v>
      </c>
      <c r="AK188" t="s">
        <v>927</v>
      </c>
      <c r="AL188" t="s">
        <v>170</v>
      </c>
      <c r="AM188" t="s">
        <v>42</v>
      </c>
      <c r="AN188" t="s">
        <v>6</v>
      </c>
      <c r="AO188" t="s">
        <v>385</v>
      </c>
      <c r="AP188" t="s">
        <v>386</v>
      </c>
      <c r="AQ188" t="s">
        <v>18</v>
      </c>
      <c r="AR188" t="s">
        <v>27</v>
      </c>
      <c r="AS188" t="s">
        <v>36</v>
      </c>
      <c r="AT188">
        <v>0.05</v>
      </c>
      <c r="AU188" t="s">
        <v>129</v>
      </c>
      <c r="AV188" t="s">
        <v>130</v>
      </c>
    </row>
    <row r="189" spans="1:48" x14ac:dyDescent="0.3">
      <c r="A189" t="s">
        <v>928</v>
      </c>
      <c r="B189" s="12">
        <v>45778</v>
      </c>
      <c r="C189" s="12">
        <v>45779</v>
      </c>
      <c r="D189" t="s">
        <v>929</v>
      </c>
      <c r="E189" t="s">
        <v>139</v>
      </c>
      <c r="F189" t="s">
        <v>42</v>
      </c>
      <c r="G189" t="s">
        <v>7</v>
      </c>
      <c r="H189" t="s">
        <v>171</v>
      </c>
      <c r="I189" t="s">
        <v>172</v>
      </c>
      <c r="J189" t="s">
        <v>18</v>
      </c>
      <c r="K189" t="s">
        <v>19</v>
      </c>
      <c r="M189" t="s">
        <v>38</v>
      </c>
      <c r="N189">
        <v>3</v>
      </c>
      <c r="O189">
        <v>2905.74</v>
      </c>
      <c r="P189">
        <v>0</v>
      </c>
      <c r="Q189">
        <v>0</v>
      </c>
      <c r="R189">
        <v>8717.2199999999993</v>
      </c>
      <c r="S189">
        <v>6215.96</v>
      </c>
      <c r="T189">
        <v>8717.2199999999993</v>
      </c>
      <c r="U189">
        <v>2501.2600000000002</v>
      </c>
      <c r="V189">
        <v>0.28693321953558598</v>
      </c>
      <c r="W189">
        <v>1</v>
      </c>
      <c r="X189" t="s">
        <v>173</v>
      </c>
      <c r="Y189">
        <v>2025</v>
      </c>
      <c r="Z189" t="s">
        <v>129</v>
      </c>
      <c r="AA189" t="s">
        <v>204</v>
      </c>
      <c r="AB189" t="s">
        <v>131</v>
      </c>
      <c r="AC189" t="s">
        <v>131</v>
      </c>
      <c r="AD189" t="s">
        <v>131</v>
      </c>
      <c r="AE189" t="s">
        <v>131</v>
      </c>
      <c r="AF189" t="s">
        <v>131</v>
      </c>
      <c r="AG189" t="s">
        <v>131</v>
      </c>
      <c r="AH189" t="s">
        <v>131</v>
      </c>
      <c r="AI189" t="s">
        <v>133</v>
      </c>
      <c r="AJ189" t="s">
        <v>930</v>
      </c>
      <c r="AK189" t="s">
        <v>931</v>
      </c>
      <c r="AL189" t="s">
        <v>139</v>
      </c>
      <c r="AM189" t="s">
        <v>42</v>
      </c>
      <c r="AN189" t="s">
        <v>7</v>
      </c>
      <c r="AO189" t="s">
        <v>171</v>
      </c>
      <c r="AP189" t="s">
        <v>172</v>
      </c>
      <c r="AQ189" t="s">
        <v>18</v>
      </c>
      <c r="AR189" t="s">
        <v>19</v>
      </c>
      <c r="AS189" t="s">
        <v>38</v>
      </c>
      <c r="AT189">
        <v>0</v>
      </c>
      <c r="AU189" t="s">
        <v>129</v>
      </c>
      <c r="AV189" t="s">
        <v>204</v>
      </c>
    </row>
    <row r="190" spans="1:48" x14ac:dyDescent="0.3">
      <c r="A190" t="s">
        <v>932</v>
      </c>
      <c r="B190" s="12">
        <v>45798</v>
      </c>
      <c r="C190" s="12">
        <v>45805</v>
      </c>
      <c r="D190" t="s">
        <v>933</v>
      </c>
      <c r="E190" t="s">
        <v>221</v>
      </c>
      <c r="F190" t="s">
        <v>43</v>
      </c>
      <c r="G190" t="s">
        <v>8</v>
      </c>
      <c r="H190" t="s">
        <v>201</v>
      </c>
      <c r="I190" t="s">
        <v>202</v>
      </c>
      <c r="J190" t="s">
        <v>18</v>
      </c>
      <c r="K190" t="s">
        <v>26</v>
      </c>
      <c r="M190" t="s">
        <v>38</v>
      </c>
      <c r="N190">
        <v>2</v>
      </c>
      <c r="O190">
        <v>3559.57</v>
      </c>
      <c r="P190">
        <v>0.1</v>
      </c>
      <c r="Q190">
        <v>0.1</v>
      </c>
      <c r="R190">
        <v>6553.95</v>
      </c>
      <c r="S190">
        <v>4923.09</v>
      </c>
      <c r="T190">
        <v>6407.2259999999997</v>
      </c>
      <c r="U190">
        <v>1484.136</v>
      </c>
      <c r="V190">
        <v>0.231634719924036</v>
      </c>
      <c r="W190">
        <v>7</v>
      </c>
      <c r="X190" t="s">
        <v>173</v>
      </c>
      <c r="Y190">
        <v>2025</v>
      </c>
      <c r="Z190" t="s">
        <v>129</v>
      </c>
      <c r="AA190" t="s">
        <v>130</v>
      </c>
      <c r="AB190" t="s">
        <v>131</v>
      </c>
      <c r="AC190" t="s">
        <v>131</v>
      </c>
      <c r="AD190" t="s">
        <v>131</v>
      </c>
      <c r="AE190" t="s">
        <v>131</v>
      </c>
      <c r="AF190" t="s">
        <v>131</v>
      </c>
      <c r="AG190" t="s">
        <v>131</v>
      </c>
      <c r="AH190" t="s">
        <v>132</v>
      </c>
      <c r="AI190" t="s">
        <v>133</v>
      </c>
      <c r="AJ190" t="s">
        <v>934</v>
      </c>
      <c r="AK190" t="s">
        <v>935</v>
      </c>
      <c r="AL190" t="s">
        <v>221</v>
      </c>
      <c r="AM190" t="s">
        <v>43</v>
      </c>
      <c r="AN190" t="s">
        <v>8</v>
      </c>
      <c r="AO190" t="s">
        <v>201</v>
      </c>
      <c r="AP190" t="s">
        <v>202</v>
      </c>
      <c r="AQ190" t="s">
        <v>18</v>
      </c>
      <c r="AR190" t="s">
        <v>26</v>
      </c>
      <c r="AS190" t="s">
        <v>38</v>
      </c>
      <c r="AT190">
        <v>0.1</v>
      </c>
      <c r="AU190" t="s">
        <v>129</v>
      </c>
      <c r="AV190" t="s">
        <v>130</v>
      </c>
    </row>
    <row r="191" spans="1:48" x14ac:dyDescent="0.3">
      <c r="A191" t="s">
        <v>936</v>
      </c>
      <c r="B191" s="12">
        <v>45783</v>
      </c>
      <c r="C191" s="12">
        <v>45784</v>
      </c>
      <c r="D191" t="s">
        <v>937</v>
      </c>
      <c r="E191" t="s">
        <v>154</v>
      </c>
      <c r="F191" t="s">
        <v>42</v>
      </c>
      <c r="G191" t="s">
        <v>7</v>
      </c>
      <c r="H191" t="s">
        <v>126</v>
      </c>
      <c r="I191" t="s">
        <v>213</v>
      </c>
      <c r="J191" t="s">
        <v>18</v>
      </c>
      <c r="K191" t="s">
        <v>26</v>
      </c>
      <c r="M191" t="s">
        <v>36</v>
      </c>
      <c r="N191">
        <v>9</v>
      </c>
      <c r="O191">
        <v>3318.24</v>
      </c>
      <c r="Q191">
        <v>0</v>
      </c>
      <c r="R191">
        <v>25384.54</v>
      </c>
      <c r="S191">
        <v>16872.39</v>
      </c>
      <c r="T191">
        <v>29864.16</v>
      </c>
      <c r="U191">
        <v>12991.77</v>
      </c>
      <c r="V191">
        <v>0.43502881045373498</v>
      </c>
      <c r="W191">
        <v>1</v>
      </c>
      <c r="X191" t="s">
        <v>173</v>
      </c>
      <c r="Y191">
        <v>2025</v>
      </c>
      <c r="Z191" t="s">
        <v>129</v>
      </c>
      <c r="AA191" t="s">
        <v>130</v>
      </c>
      <c r="AB191" t="s">
        <v>131</v>
      </c>
      <c r="AC191" t="s">
        <v>131</v>
      </c>
      <c r="AD191" t="s">
        <v>132</v>
      </c>
      <c r="AE191" t="s">
        <v>131</v>
      </c>
      <c r="AF191" t="s">
        <v>131</v>
      </c>
      <c r="AG191" t="s">
        <v>131</v>
      </c>
      <c r="AH191" t="s">
        <v>132</v>
      </c>
      <c r="AI191" t="s">
        <v>321</v>
      </c>
      <c r="AJ191" t="s">
        <v>938</v>
      </c>
      <c r="AK191" t="s">
        <v>939</v>
      </c>
      <c r="AL191" t="s">
        <v>154</v>
      </c>
      <c r="AM191" t="s">
        <v>42</v>
      </c>
      <c r="AN191" t="s">
        <v>7</v>
      </c>
      <c r="AO191" t="s">
        <v>126</v>
      </c>
      <c r="AP191" t="s">
        <v>213</v>
      </c>
      <c r="AQ191" t="s">
        <v>18</v>
      </c>
      <c r="AR191" t="s">
        <v>26</v>
      </c>
      <c r="AS191" t="s">
        <v>36</v>
      </c>
      <c r="AU191" t="s">
        <v>129</v>
      </c>
      <c r="AV191" t="s">
        <v>940</v>
      </c>
    </row>
    <row r="192" spans="1:48" x14ac:dyDescent="0.3">
      <c r="A192" t="s">
        <v>941</v>
      </c>
      <c r="B192" s="12">
        <v>45767</v>
      </c>
      <c r="C192" s="12">
        <v>45768</v>
      </c>
      <c r="D192" t="s">
        <v>942</v>
      </c>
      <c r="E192" t="s">
        <v>191</v>
      </c>
      <c r="F192" t="s">
        <v>42</v>
      </c>
      <c r="G192" t="s">
        <v>6</v>
      </c>
      <c r="H192" t="s">
        <v>385</v>
      </c>
      <c r="I192" t="s">
        <v>386</v>
      </c>
      <c r="J192" t="s">
        <v>20</v>
      </c>
      <c r="K192" t="s">
        <v>21</v>
      </c>
      <c r="M192" t="s">
        <v>36</v>
      </c>
      <c r="N192">
        <v>3</v>
      </c>
      <c r="O192">
        <v>540.09</v>
      </c>
      <c r="P192">
        <v>0.1</v>
      </c>
      <c r="Q192">
        <v>0.1</v>
      </c>
      <c r="R192">
        <v>1458.24</v>
      </c>
      <c r="S192">
        <v>943.32</v>
      </c>
      <c r="T192">
        <v>1458.2429999999999</v>
      </c>
      <c r="U192">
        <v>514.923</v>
      </c>
      <c r="V192">
        <v>0.35311192990468698</v>
      </c>
      <c r="W192">
        <v>1</v>
      </c>
      <c r="X192" t="s">
        <v>179</v>
      </c>
      <c r="Y192">
        <v>2025</v>
      </c>
      <c r="Z192" t="s">
        <v>129</v>
      </c>
      <c r="AA192" t="s">
        <v>130</v>
      </c>
      <c r="AB192" t="s">
        <v>131</v>
      </c>
      <c r="AC192" t="s">
        <v>131</v>
      </c>
      <c r="AD192" t="s">
        <v>131</v>
      </c>
      <c r="AE192" t="s">
        <v>131</v>
      </c>
      <c r="AF192" t="s">
        <v>131</v>
      </c>
      <c r="AG192" t="s">
        <v>131</v>
      </c>
      <c r="AH192" t="s">
        <v>132</v>
      </c>
      <c r="AI192" t="s">
        <v>133</v>
      </c>
      <c r="AJ192" t="s">
        <v>943</v>
      </c>
      <c r="AK192" t="s">
        <v>944</v>
      </c>
      <c r="AL192" t="s">
        <v>191</v>
      </c>
      <c r="AM192" t="s">
        <v>42</v>
      </c>
      <c r="AN192" t="s">
        <v>6</v>
      </c>
      <c r="AO192" t="s">
        <v>385</v>
      </c>
      <c r="AP192" t="s">
        <v>386</v>
      </c>
      <c r="AQ192" t="s">
        <v>20</v>
      </c>
      <c r="AR192" t="s">
        <v>21</v>
      </c>
      <c r="AS192" t="s">
        <v>36</v>
      </c>
      <c r="AT192">
        <v>0.1</v>
      </c>
      <c r="AU192" t="s">
        <v>129</v>
      </c>
      <c r="AV192" t="s">
        <v>945</v>
      </c>
    </row>
    <row r="193" spans="1:48" x14ac:dyDescent="0.3">
      <c r="A193" t="s">
        <v>946</v>
      </c>
      <c r="B193" s="12">
        <v>45584</v>
      </c>
      <c r="C193" s="12">
        <v>45589</v>
      </c>
      <c r="D193" t="s">
        <v>947</v>
      </c>
      <c r="E193" t="s">
        <v>243</v>
      </c>
      <c r="F193" t="s">
        <v>44</v>
      </c>
      <c r="G193" t="s">
        <v>6</v>
      </c>
      <c r="H193" t="s">
        <v>385</v>
      </c>
      <c r="I193" t="s">
        <v>386</v>
      </c>
      <c r="J193" t="s">
        <v>18</v>
      </c>
      <c r="K193" t="s">
        <v>26</v>
      </c>
      <c r="M193" t="s">
        <v>37</v>
      </c>
      <c r="N193">
        <v>6</v>
      </c>
      <c r="O193">
        <v>4308.3999999999996</v>
      </c>
      <c r="P193">
        <v>0.65</v>
      </c>
      <c r="Q193">
        <v>0</v>
      </c>
      <c r="R193">
        <v>25850.400000000001</v>
      </c>
      <c r="S193">
        <v>19397.68</v>
      </c>
      <c r="T193">
        <v>25850.400000000001</v>
      </c>
      <c r="U193">
        <v>6452.72</v>
      </c>
      <c r="V193">
        <v>0.249617800885093</v>
      </c>
      <c r="W193">
        <v>5</v>
      </c>
      <c r="X193" t="s">
        <v>222</v>
      </c>
      <c r="Y193">
        <v>2024</v>
      </c>
      <c r="Z193" t="s">
        <v>129</v>
      </c>
      <c r="AA193" t="s">
        <v>130</v>
      </c>
      <c r="AB193" t="s">
        <v>131</v>
      </c>
      <c r="AC193" t="s">
        <v>131</v>
      </c>
      <c r="AD193" t="s">
        <v>131</v>
      </c>
      <c r="AE193" t="s">
        <v>131</v>
      </c>
      <c r="AF193" t="s">
        <v>132</v>
      </c>
      <c r="AG193" t="s">
        <v>131</v>
      </c>
      <c r="AH193" t="s">
        <v>132</v>
      </c>
      <c r="AI193" t="s">
        <v>149</v>
      </c>
      <c r="AJ193" t="s">
        <v>948</v>
      </c>
      <c r="AK193" t="s">
        <v>636</v>
      </c>
      <c r="AL193" t="s">
        <v>243</v>
      </c>
      <c r="AM193" t="s">
        <v>44</v>
      </c>
      <c r="AN193" t="s">
        <v>6</v>
      </c>
      <c r="AO193" t="s">
        <v>385</v>
      </c>
      <c r="AP193" t="s">
        <v>386</v>
      </c>
      <c r="AQ193" t="s">
        <v>18</v>
      </c>
      <c r="AR193" t="s">
        <v>26</v>
      </c>
      <c r="AS193" t="s">
        <v>37</v>
      </c>
      <c r="AT193">
        <v>0.65</v>
      </c>
      <c r="AU193" t="s">
        <v>129</v>
      </c>
      <c r="AV193" t="s">
        <v>130</v>
      </c>
    </row>
    <row r="194" spans="1:48" x14ac:dyDescent="0.3">
      <c r="A194" t="s">
        <v>949</v>
      </c>
      <c r="B194" s="12">
        <v>45635</v>
      </c>
      <c r="C194" s="12">
        <v>45642</v>
      </c>
      <c r="D194" t="s">
        <v>950</v>
      </c>
      <c r="E194" t="s">
        <v>147</v>
      </c>
      <c r="F194" t="s">
        <v>41</v>
      </c>
      <c r="G194" t="s">
        <v>7</v>
      </c>
      <c r="H194" t="s">
        <v>300</v>
      </c>
      <c r="I194" t="s">
        <v>301</v>
      </c>
      <c r="J194" t="s">
        <v>18</v>
      </c>
      <c r="K194" t="s">
        <v>19</v>
      </c>
      <c r="M194" t="s">
        <v>36</v>
      </c>
      <c r="N194">
        <v>4</v>
      </c>
      <c r="O194">
        <v>2191.0300000000002</v>
      </c>
      <c r="P194">
        <v>0</v>
      </c>
      <c r="Q194">
        <v>0</v>
      </c>
      <c r="R194">
        <v>8764.1200000000008</v>
      </c>
      <c r="S194">
        <v>7220.05</v>
      </c>
      <c r="T194">
        <v>8764.1200000000008</v>
      </c>
      <c r="U194">
        <v>1544.07</v>
      </c>
      <c r="V194">
        <v>0.17618083732308601</v>
      </c>
      <c r="W194">
        <v>7</v>
      </c>
      <c r="X194" t="s">
        <v>214</v>
      </c>
      <c r="Y194">
        <v>2024</v>
      </c>
      <c r="Z194" t="s">
        <v>129</v>
      </c>
      <c r="AA194" t="s">
        <v>130</v>
      </c>
      <c r="AB194" t="s">
        <v>131</v>
      </c>
      <c r="AC194" t="s">
        <v>131</v>
      </c>
      <c r="AD194" t="s">
        <v>131</v>
      </c>
      <c r="AE194" t="s">
        <v>131</v>
      </c>
      <c r="AF194" t="s">
        <v>131</v>
      </c>
      <c r="AG194" t="s">
        <v>131</v>
      </c>
      <c r="AH194" t="s">
        <v>132</v>
      </c>
      <c r="AI194" t="s">
        <v>133</v>
      </c>
      <c r="AJ194" t="s">
        <v>951</v>
      </c>
      <c r="AK194" t="s">
        <v>952</v>
      </c>
      <c r="AL194" t="s">
        <v>147</v>
      </c>
      <c r="AM194" t="s">
        <v>41</v>
      </c>
      <c r="AN194" t="s">
        <v>7</v>
      </c>
      <c r="AO194" t="s">
        <v>300</v>
      </c>
      <c r="AP194" t="s">
        <v>301</v>
      </c>
      <c r="AQ194" t="s">
        <v>18</v>
      </c>
      <c r="AR194" t="s">
        <v>19</v>
      </c>
      <c r="AS194" t="s">
        <v>36</v>
      </c>
      <c r="AT194">
        <v>0</v>
      </c>
      <c r="AU194" t="s">
        <v>129</v>
      </c>
      <c r="AV194" t="s">
        <v>130</v>
      </c>
    </row>
    <row r="195" spans="1:48" x14ac:dyDescent="0.3">
      <c r="A195" t="s">
        <v>953</v>
      </c>
      <c r="B195" s="12">
        <v>45466</v>
      </c>
      <c r="C195" s="12">
        <v>45471</v>
      </c>
      <c r="D195" t="s">
        <v>954</v>
      </c>
      <c r="E195" t="s">
        <v>221</v>
      </c>
      <c r="F195" t="s">
        <v>44</v>
      </c>
      <c r="G195" t="s">
        <v>9</v>
      </c>
      <c r="H195" t="s">
        <v>232</v>
      </c>
      <c r="I195" t="s">
        <v>233</v>
      </c>
      <c r="J195" t="s">
        <v>15</v>
      </c>
      <c r="K195" t="s">
        <v>16</v>
      </c>
      <c r="M195" t="s">
        <v>38</v>
      </c>
      <c r="N195">
        <v>6</v>
      </c>
      <c r="O195">
        <v>1956.63</v>
      </c>
      <c r="P195">
        <v>0.2</v>
      </c>
      <c r="Q195">
        <v>0.2</v>
      </c>
      <c r="R195">
        <v>9391.82</v>
      </c>
      <c r="S195">
        <v>6013.22</v>
      </c>
      <c r="T195">
        <v>9391.8240000000005</v>
      </c>
      <c r="U195">
        <v>3378.6039999999998</v>
      </c>
      <c r="V195">
        <v>0.35973885370935399</v>
      </c>
      <c r="W195">
        <v>5</v>
      </c>
      <c r="X195" t="s">
        <v>148</v>
      </c>
      <c r="Y195">
        <v>2024</v>
      </c>
      <c r="Z195" t="s">
        <v>203</v>
      </c>
      <c r="AA195" t="s">
        <v>204</v>
      </c>
      <c r="AB195" t="s">
        <v>131</v>
      </c>
      <c r="AC195" t="s">
        <v>131</v>
      </c>
      <c r="AD195" t="s">
        <v>131</v>
      </c>
      <c r="AE195" t="s">
        <v>131</v>
      </c>
      <c r="AF195" t="s">
        <v>131</v>
      </c>
      <c r="AG195" t="s">
        <v>131</v>
      </c>
      <c r="AH195" t="s">
        <v>131</v>
      </c>
      <c r="AI195" t="s">
        <v>133</v>
      </c>
      <c r="AJ195" t="s">
        <v>955</v>
      </c>
      <c r="AK195" t="s">
        <v>956</v>
      </c>
      <c r="AL195" t="s">
        <v>221</v>
      </c>
      <c r="AM195" t="s">
        <v>44</v>
      </c>
      <c r="AN195" t="s">
        <v>9</v>
      </c>
      <c r="AO195" t="s">
        <v>232</v>
      </c>
      <c r="AP195" t="s">
        <v>233</v>
      </c>
      <c r="AQ195" t="s">
        <v>15</v>
      </c>
      <c r="AR195" t="s">
        <v>16</v>
      </c>
      <c r="AS195" t="s">
        <v>38</v>
      </c>
      <c r="AT195">
        <v>0.2</v>
      </c>
      <c r="AU195" t="s">
        <v>203</v>
      </c>
      <c r="AV195" t="s">
        <v>204</v>
      </c>
    </row>
    <row r="196" spans="1:48" x14ac:dyDescent="0.3">
      <c r="A196" t="s">
        <v>957</v>
      </c>
      <c r="B196" s="12">
        <v>45685</v>
      </c>
      <c r="C196" s="12">
        <v>45688</v>
      </c>
      <c r="D196" t="s">
        <v>958</v>
      </c>
      <c r="E196" t="s">
        <v>221</v>
      </c>
      <c r="F196" t="s">
        <v>42</v>
      </c>
      <c r="G196" t="s">
        <v>7</v>
      </c>
      <c r="H196" t="s">
        <v>163</v>
      </c>
      <c r="I196" t="s">
        <v>164</v>
      </c>
      <c r="J196" t="s">
        <v>18</v>
      </c>
      <c r="K196" t="s">
        <v>23</v>
      </c>
      <c r="M196" t="s">
        <v>36</v>
      </c>
      <c r="N196">
        <v>9</v>
      </c>
      <c r="O196">
        <v>858.39</v>
      </c>
      <c r="P196">
        <v>0.05</v>
      </c>
      <c r="Q196">
        <v>0.05</v>
      </c>
      <c r="R196">
        <v>7339.23</v>
      </c>
      <c r="S196">
        <v>5434.12</v>
      </c>
      <c r="T196">
        <v>7339.2344999999996</v>
      </c>
      <c r="U196">
        <v>1905.1144999999999</v>
      </c>
      <c r="V196">
        <v>0.259579456140828</v>
      </c>
      <c r="W196">
        <v>3</v>
      </c>
      <c r="X196" t="s">
        <v>244</v>
      </c>
      <c r="Y196">
        <v>2025</v>
      </c>
      <c r="Z196" t="s">
        <v>215</v>
      </c>
      <c r="AA196" t="s">
        <v>204</v>
      </c>
      <c r="AB196" t="s">
        <v>131</v>
      </c>
      <c r="AC196" t="s">
        <v>131</v>
      </c>
      <c r="AD196" t="s">
        <v>131</v>
      </c>
      <c r="AE196" t="s">
        <v>131</v>
      </c>
      <c r="AF196" t="s">
        <v>131</v>
      </c>
      <c r="AG196" t="s">
        <v>131</v>
      </c>
      <c r="AH196" t="s">
        <v>131</v>
      </c>
      <c r="AI196" t="s">
        <v>133</v>
      </c>
      <c r="AJ196" t="s">
        <v>959</v>
      </c>
      <c r="AK196" t="s">
        <v>960</v>
      </c>
      <c r="AL196" t="s">
        <v>221</v>
      </c>
      <c r="AM196" t="s">
        <v>42</v>
      </c>
      <c r="AN196" t="s">
        <v>961</v>
      </c>
      <c r="AO196" t="s">
        <v>163</v>
      </c>
      <c r="AP196" t="s">
        <v>164</v>
      </c>
      <c r="AQ196" t="s">
        <v>18</v>
      </c>
      <c r="AR196" t="s">
        <v>23</v>
      </c>
      <c r="AS196" t="s">
        <v>36</v>
      </c>
      <c r="AT196">
        <v>0.05</v>
      </c>
      <c r="AU196" t="s">
        <v>215</v>
      </c>
      <c r="AV196" t="s">
        <v>204</v>
      </c>
    </row>
    <row r="197" spans="1:48" x14ac:dyDescent="0.3">
      <c r="A197" t="s">
        <v>962</v>
      </c>
      <c r="B197" s="12">
        <v>45860</v>
      </c>
      <c r="C197" s="12">
        <v>45862</v>
      </c>
      <c r="D197" t="s">
        <v>963</v>
      </c>
      <c r="E197" t="s">
        <v>178</v>
      </c>
      <c r="F197" t="s">
        <v>41</v>
      </c>
      <c r="G197" t="s">
        <v>6</v>
      </c>
      <c r="H197" t="s">
        <v>184</v>
      </c>
      <c r="I197" t="s">
        <v>185</v>
      </c>
      <c r="J197" t="s">
        <v>18</v>
      </c>
      <c r="K197" t="s">
        <v>23</v>
      </c>
      <c r="M197" t="s">
        <v>38</v>
      </c>
      <c r="N197">
        <v>5</v>
      </c>
      <c r="O197">
        <v>1922.83</v>
      </c>
      <c r="P197">
        <v>0</v>
      </c>
      <c r="Q197">
        <v>0</v>
      </c>
      <c r="R197">
        <v>9614.15</v>
      </c>
      <c r="S197">
        <v>7576.84</v>
      </c>
      <c r="T197">
        <v>9614.15</v>
      </c>
      <c r="U197">
        <v>2037.31</v>
      </c>
      <c r="V197">
        <v>0.211907448916441</v>
      </c>
      <c r="W197">
        <v>2</v>
      </c>
      <c r="X197" t="s">
        <v>128</v>
      </c>
      <c r="Y197">
        <v>2025</v>
      </c>
      <c r="Z197" t="s">
        <v>129</v>
      </c>
      <c r="AA197" t="s">
        <v>130</v>
      </c>
      <c r="AB197" t="s">
        <v>131</v>
      </c>
      <c r="AC197" t="s">
        <v>131</v>
      </c>
      <c r="AD197" t="s">
        <v>131</v>
      </c>
      <c r="AE197" t="s">
        <v>131</v>
      </c>
      <c r="AF197" t="s">
        <v>131</v>
      </c>
      <c r="AG197" t="s">
        <v>131</v>
      </c>
      <c r="AH197" t="s">
        <v>132</v>
      </c>
      <c r="AI197" t="s">
        <v>133</v>
      </c>
      <c r="AJ197" t="s">
        <v>964</v>
      </c>
      <c r="AK197" t="s">
        <v>965</v>
      </c>
      <c r="AL197" t="s">
        <v>178</v>
      </c>
      <c r="AM197" t="s">
        <v>41</v>
      </c>
      <c r="AN197" t="s">
        <v>6</v>
      </c>
      <c r="AO197" t="s">
        <v>184</v>
      </c>
      <c r="AP197" t="s">
        <v>185</v>
      </c>
      <c r="AQ197" t="s">
        <v>18</v>
      </c>
      <c r="AR197" t="s">
        <v>23</v>
      </c>
      <c r="AS197" t="s">
        <v>38</v>
      </c>
      <c r="AT197">
        <v>0</v>
      </c>
      <c r="AU197" t="s">
        <v>129</v>
      </c>
      <c r="AV197" t="s">
        <v>130</v>
      </c>
    </row>
    <row r="198" spans="1:48" x14ac:dyDescent="0.3">
      <c r="A198" t="s">
        <v>966</v>
      </c>
      <c r="B198" s="12">
        <v>45313</v>
      </c>
      <c r="C198" s="12">
        <v>45316</v>
      </c>
      <c r="D198" t="s">
        <v>967</v>
      </c>
      <c r="E198" t="s">
        <v>409</v>
      </c>
      <c r="F198" t="s">
        <v>41</v>
      </c>
      <c r="G198" t="s">
        <v>9</v>
      </c>
      <c r="H198" t="s">
        <v>249</v>
      </c>
      <c r="I198" t="s">
        <v>250</v>
      </c>
      <c r="J198" t="s">
        <v>20</v>
      </c>
      <c r="K198" t="s">
        <v>21</v>
      </c>
      <c r="M198" t="s">
        <v>36</v>
      </c>
      <c r="N198">
        <v>3</v>
      </c>
      <c r="O198">
        <v>1212.03</v>
      </c>
      <c r="P198">
        <v>0.1</v>
      </c>
      <c r="Q198">
        <v>0.1</v>
      </c>
      <c r="R198">
        <v>3272.48</v>
      </c>
      <c r="S198">
        <v>2517.44</v>
      </c>
      <c r="T198">
        <v>3272.4810000000002</v>
      </c>
      <c r="U198">
        <v>755.04100000000005</v>
      </c>
      <c r="V198">
        <v>0.23072433422837299</v>
      </c>
      <c r="W198">
        <v>3</v>
      </c>
      <c r="X198" t="s">
        <v>244</v>
      </c>
      <c r="Y198">
        <v>2024</v>
      </c>
      <c r="Z198" t="s">
        <v>129</v>
      </c>
      <c r="AA198" t="s">
        <v>130</v>
      </c>
      <c r="AB198" t="s">
        <v>131</v>
      </c>
      <c r="AC198" t="s">
        <v>131</v>
      </c>
      <c r="AD198" t="s">
        <v>131</v>
      </c>
      <c r="AE198" t="s">
        <v>131</v>
      </c>
      <c r="AF198" t="s">
        <v>131</v>
      </c>
      <c r="AG198" t="s">
        <v>131</v>
      </c>
      <c r="AH198" t="s">
        <v>132</v>
      </c>
      <c r="AI198" t="s">
        <v>133</v>
      </c>
      <c r="AJ198" t="s">
        <v>968</v>
      </c>
      <c r="AK198" t="s">
        <v>969</v>
      </c>
      <c r="AL198" t="s">
        <v>409</v>
      </c>
      <c r="AM198" t="s">
        <v>41</v>
      </c>
      <c r="AN198" t="s">
        <v>9</v>
      </c>
      <c r="AO198" t="s">
        <v>249</v>
      </c>
      <c r="AP198" t="s">
        <v>250</v>
      </c>
      <c r="AQ198" t="s">
        <v>20</v>
      </c>
      <c r="AR198" t="s">
        <v>21</v>
      </c>
      <c r="AS198" t="s">
        <v>36</v>
      </c>
      <c r="AT198">
        <v>0.1</v>
      </c>
      <c r="AU198" t="s">
        <v>129</v>
      </c>
      <c r="AV198" t="s">
        <v>130</v>
      </c>
    </row>
    <row r="199" spans="1:48" x14ac:dyDescent="0.3">
      <c r="A199" t="s">
        <v>970</v>
      </c>
      <c r="B199" s="12">
        <v>45747</v>
      </c>
      <c r="C199" s="12">
        <v>45754</v>
      </c>
      <c r="D199" t="s">
        <v>569</v>
      </c>
      <c r="E199" t="s">
        <v>227</v>
      </c>
      <c r="F199" t="s">
        <v>44</v>
      </c>
      <c r="G199" t="s">
        <v>8</v>
      </c>
      <c r="H199" t="s">
        <v>259</v>
      </c>
      <c r="I199" t="s">
        <v>260</v>
      </c>
      <c r="J199" t="s">
        <v>20</v>
      </c>
      <c r="K199" t="s">
        <v>21</v>
      </c>
      <c r="M199" t="s">
        <v>37</v>
      </c>
      <c r="N199">
        <v>5</v>
      </c>
      <c r="O199">
        <v>4096.4399999999996</v>
      </c>
      <c r="P199">
        <v>0.15</v>
      </c>
      <c r="Q199">
        <v>0.15</v>
      </c>
      <c r="R199">
        <v>17409.87</v>
      </c>
      <c r="S199">
        <v>14076.25</v>
      </c>
      <c r="T199">
        <v>17409.87</v>
      </c>
      <c r="U199">
        <v>3333.62</v>
      </c>
      <c r="V199">
        <v>0.19147874165631301</v>
      </c>
      <c r="W199">
        <v>7</v>
      </c>
      <c r="X199" t="s">
        <v>278</v>
      </c>
      <c r="Y199">
        <v>2025</v>
      </c>
      <c r="Z199" t="s">
        <v>129</v>
      </c>
      <c r="AA199" t="s">
        <v>130</v>
      </c>
      <c r="AB199" t="s">
        <v>131</v>
      </c>
      <c r="AC199" t="s">
        <v>131</v>
      </c>
      <c r="AD199" t="s">
        <v>131</v>
      </c>
      <c r="AE199" t="s">
        <v>131</v>
      </c>
      <c r="AF199" t="s">
        <v>131</v>
      </c>
      <c r="AG199" t="s">
        <v>131</v>
      </c>
      <c r="AH199" t="s">
        <v>132</v>
      </c>
      <c r="AI199" t="s">
        <v>133</v>
      </c>
      <c r="AJ199" t="s">
        <v>414</v>
      </c>
      <c r="AK199" t="s">
        <v>971</v>
      </c>
      <c r="AL199" t="s">
        <v>227</v>
      </c>
      <c r="AM199" t="s">
        <v>682</v>
      </c>
      <c r="AN199" t="s">
        <v>8</v>
      </c>
      <c r="AO199" t="s">
        <v>259</v>
      </c>
      <c r="AP199" t="s">
        <v>260</v>
      </c>
      <c r="AQ199" t="s">
        <v>20</v>
      </c>
      <c r="AR199" t="s">
        <v>21</v>
      </c>
      <c r="AS199" t="s">
        <v>37</v>
      </c>
      <c r="AT199">
        <v>0.15</v>
      </c>
      <c r="AU199" t="s">
        <v>129</v>
      </c>
      <c r="AV199" t="s">
        <v>130</v>
      </c>
    </row>
    <row r="200" spans="1:48" x14ac:dyDescent="0.3">
      <c r="A200" t="s">
        <v>972</v>
      </c>
      <c r="B200" s="12">
        <v>45448</v>
      </c>
      <c r="C200" s="12">
        <v>45449</v>
      </c>
      <c r="D200" t="s">
        <v>973</v>
      </c>
      <c r="E200" t="s">
        <v>243</v>
      </c>
      <c r="F200" t="s">
        <v>42</v>
      </c>
      <c r="G200" t="s">
        <v>7</v>
      </c>
      <c r="H200" t="s">
        <v>300</v>
      </c>
      <c r="I200" t="s">
        <v>301</v>
      </c>
      <c r="J200" t="s">
        <v>20</v>
      </c>
      <c r="K200" t="s">
        <v>29</v>
      </c>
      <c r="M200" t="s">
        <v>37</v>
      </c>
      <c r="N200">
        <v>1</v>
      </c>
      <c r="O200">
        <v>1184.58</v>
      </c>
      <c r="P200">
        <v>0.05</v>
      </c>
      <c r="Q200">
        <v>0.05</v>
      </c>
      <c r="R200">
        <v>1125.3499999999999</v>
      </c>
      <c r="S200">
        <v>676.97</v>
      </c>
      <c r="T200">
        <v>1125.3510000000001</v>
      </c>
      <c r="U200">
        <v>448.38099999999997</v>
      </c>
      <c r="V200">
        <v>0.39843657667696603</v>
      </c>
      <c r="W200">
        <v>1</v>
      </c>
      <c r="X200" t="s">
        <v>148</v>
      </c>
      <c r="Y200">
        <v>2024</v>
      </c>
      <c r="Z200" t="s">
        <v>269</v>
      </c>
      <c r="AA200" t="s">
        <v>165</v>
      </c>
      <c r="AB200" t="s">
        <v>131</v>
      </c>
      <c r="AC200" t="s">
        <v>131</v>
      </c>
      <c r="AD200" t="s">
        <v>131</v>
      </c>
      <c r="AE200" t="s">
        <v>131</v>
      </c>
      <c r="AF200" t="s">
        <v>131</v>
      </c>
      <c r="AG200" t="s">
        <v>131</v>
      </c>
      <c r="AH200" t="s">
        <v>131</v>
      </c>
      <c r="AI200" t="s">
        <v>133</v>
      </c>
      <c r="AJ200" t="s">
        <v>974</v>
      </c>
      <c r="AK200" t="s">
        <v>975</v>
      </c>
      <c r="AL200" t="s">
        <v>243</v>
      </c>
      <c r="AM200" t="s">
        <v>42</v>
      </c>
      <c r="AN200" t="s">
        <v>7</v>
      </c>
      <c r="AO200" t="s">
        <v>300</v>
      </c>
      <c r="AP200" t="s">
        <v>301</v>
      </c>
      <c r="AQ200" t="s">
        <v>20</v>
      </c>
      <c r="AR200" t="s">
        <v>29</v>
      </c>
      <c r="AS200" t="s">
        <v>37</v>
      </c>
      <c r="AT200">
        <v>0.05</v>
      </c>
      <c r="AU200" t="s">
        <v>269</v>
      </c>
      <c r="AV200" t="s">
        <v>165</v>
      </c>
    </row>
    <row r="201" spans="1:48" x14ac:dyDescent="0.3">
      <c r="A201" t="s">
        <v>976</v>
      </c>
      <c r="B201" s="12">
        <v>45363</v>
      </c>
      <c r="C201" s="12">
        <v>45363</v>
      </c>
      <c r="D201" t="s">
        <v>977</v>
      </c>
      <c r="E201" t="s">
        <v>227</v>
      </c>
      <c r="F201" t="s">
        <v>41</v>
      </c>
      <c r="G201" t="s">
        <v>8</v>
      </c>
      <c r="H201" t="s">
        <v>259</v>
      </c>
      <c r="I201" t="s">
        <v>260</v>
      </c>
      <c r="J201" t="s">
        <v>15</v>
      </c>
      <c r="K201" t="s">
        <v>25</v>
      </c>
      <c r="M201" t="s">
        <v>10</v>
      </c>
      <c r="N201">
        <v>6</v>
      </c>
      <c r="O201">
        <v>2185.58</v>
      </c>
      <c r="P201">
        <v>0.25</v>
      </c>
      <c r="Q201">
        <v>0.25</v>
      </c>
      <c r="R201">
        <v>9835.11</v>
      </c>
      <c r="S201">
        <v>5437.64</v>
      </c>
      <c r="T201">
        <v>9835.11</v>
      </c>
      <c r="U201">
        <v>4397.47</v>
      </c>
      <c r="V201">
        <v>0.44711955433137002</v>
      </c>
      <c r="W201">
        <v>0</v>
      </c>
      <c r="X201" t="s">
        <v>278</v>
      </c>
      <c r="Y201">
        <v>2024</v>
      </c>
      <c r="Z201" t="s">
        <v>129</v>
      </c>
      <c r="AA201" t="s">
        <v>130</v>
      </c>
      <c r="AB201" t="s">
        <v>131</v>
      </c>
      <c r="AC201" t="s">
        <v>132</v>
      </c>
      <c r="AD201" t="s">
        <v>131</v>
      </c>
      <c r="AE201" t="s">
        <v>131</v>
      </c>
      <c r="AF201" t="s">
        <v>131</v>
      </c>
      <c r="AG201" t="s">
        <v>131</v>
      </c>
      <c r="AH201" t="s">
        <v>132</v>
      </c>
      <c r="AI201" t="s">
        <v>321</v>
      </c>
      <c r="AJ201" t="s">
        <v>358</v>
      </c>
      <c r="AK201" t="s">
        <v>978</v>
      </c>
      <c r="AL201" t="s">
        <v>227</v>
      </c>
      <c r="AM201" t="s">
        <v>41</v>
      </c>
      <c r="AN201" t="s">
        <v>8</v>
      </c>
      <c r="AO201" t="s">
        <v>259</v>
      </c>
      <c r="AP201" t="s">
        <v>260</v>
      </c>
      <c r="AQ201" t="s">
        <v>15</v>
      </c>
      <c r="AR201" t="s">
        <v>25</v>
      </c>
      <c r="AT201">
        <v>0.25</v>
      </c>
      <c r="AU201" t="s">
        <v>129</v>
      </c>
      <c r="AV201" t="s">
        <v>130</v>
      </c>
    </row>
    <row r="202" spans="1:48" x14ac:dyDescent="0.3">
      <c r="A202" t="s">
        <v>979</v>
      </c>
      <c r="B202" s="12">
        <v>45835</v>
      </c>
      <c r="C202" s="12">
        <v>45843</v>
      </c>
      <c r="D202" t="s">
        <v>980</v>
      </c>
      <c r="E202" t="s">
        <v>221</v>
      </c>
      <c r="F202" t="s">
        <v>44</v>
      </c>
      <c r="G202" t="s">
        <v>9</v>
      </c>
      <c r="H202" t="s">
        <v>126</v>
      </c>
      <c r="I202" t="s">
        <v>127</v>
      </c>
      <c r="J202" t="s">
        <v>15</v>
      </c>
      <c r="K202" t="s">
        <v>16</v>
      </c>
      <c r="M202" t="s">
        <v>36</v>
      </c>
      <c r="N202">
        <v>5</v>
      </c>
      <c r="O202">
        <v>2868.44</v>
      </c>
      <c r="P202">
        <v>0.1</v>
      </c>
      <c r="Q202">
        <v>0.1</v>
      </c>
      <c r="R202">
        <v>12907.98</v>
      </c>
      <c r="S202">
        <v>9197.08</v>
      </c>
      <c r="T202">
        <v>12907.98</v>
      </c>
      <c r="U202">
        <v>3710.9</v>
      </c>
      <c r="V202">
        <v>0.28748882474252402</v>
      </c>
      <c r="W202">
        <v>8</v>
      </c>
      <c r="X202" t="s">
        <v>148</v>
      </c>
      <c r="Y202">
        <v>2025</v>
      </c>
      <c r="Z202" t="s">
        <v>215</v>
      </c>
      <c r="AA202" t="s">
        <v>165</v>
      </c>
      <c r="AB202" t="s">
        <v>131</v>
      </c>
      <c r="AC202" t="s">
        <v>131</v>
      </c>
      <c r="AD202" t="s">
        <v>131</v>
      </c>
      <c r="AE202" t="s">
        <v>131</v>
      </c>
      <c r="AF202" t="s">
        <v>131</v>
      </c>
      <c r="AG202" t="s">
        <v>131</v>
      </c>
      <c r="AH202" t="s">
        <v>131</v>
      </c>
      <c r="AI202" t="s">
        <v>133</v>
      </c>
      <c r="AJ202" t="s">
        <v>919</v>
      </c>
      <c r="AK202" t="s">
        <v>981</v>
      </c>
      <c r="AL202" t="s">
        <v>221</v>
      </c>
      <c r="AM202" t="s">
        <v>44</v>
      </c>
      <c r="AN202" t="s">
        <v>9</v>
      </c>
      <c r="AO202" t="s">
        <v>126</v>
      </c>
      <c r="AP202" t="s">
        <v>127</v>
      </c>
      <c r="AQ202" t="s">
        <v>15</v>
      </c>
      <c r="AR202" t="s">
        <v>16</v>
      </c>
      <c r="AS202" t="s">
        <v>36</v>
      </c>
      <c r="AT202">
        <v>0.1</v>
      </c>
      <c r="AU202" t="s">
        <v>215</v>
      </c>
      <c r="AV202" t="s">
        <v>165</v>
      </c>
    </row>
    <row r="203" spans="1:48" x14ac:dyDescent="0.3">
      <c r="A203" t="s">
        <v>982</v>
      </c>
      <c r="B203" s="12">
        <v>45864</v>
      </c>
      <c r="C203" s="12">
        <v>45872</v>
      </c>
      <c r="D203" t="s">
        <v>983</v>
      </c>
      <c r="E203" t="s">
        <v>170</v>
      </c>
      <c r="F203" t="s">
        <v>42</v>
      </c>
      <c r="G203" t="s">
        <v>7</v>
      </c>
      <c r="H203" t="s">
        <v>171</v>
      </c>
      <c r="I203" t="s">
        <v>172</v>
      </c>
      <c r="J203" t="s">
        <v>20</v>
      </c>
      <c r="K203" t="s">
        <v>30</v>
      </c>
      <c r="M203" t="s">
        <v>37</v>
      </c>
      <c r="N203">
        <v>2</v>
      </c>
      <c r="O203">
        <v>2503.5300000000002</v>
      </c>
      <c r="P203">
        <v>-0.16</v>
      </c>
      <c r="Q203">
        <v>0</v>
      </c>
      <c r="R203">
        <v>4756.71</v>
      </c>
      <c r="S203">
        <v>2954.86</v>
      </c>
      <c r="T203">
        <v>5007.0600000000004</v>
      </c>
      <c r="U203">
        <v>2052.1999999999998</v>
      </c>
      <c r="V203">
        <v>0.40986127587846</v>
      </c>
      <c r="W203">
        <v>8</v>
      </c>
      <c r="X203" t="s">
        <v>128</v>
      </c>
      <c r="Y203">
        <v>2025</v>
      </c>
      <c r="Z203" t="s">
        <v>203</v>
      </c>
      <c r="AA203" t="s">
        <v>165</v>
      </c>
      <c r="AB203" t="s">
        <v>131</v>
      </c>
      <c r="AC203" t="s">
        <v>131</v>
      </c>
      <c r="AD203" t="s">
        <v>131</v>
      </c>
      <c r="AE203" t="s">
        <v>131</v>
      </c>
      <c r="AF203" t="s">
        <v>132</v>
      </c>
      <c r="AG203" t="s">
        <v>131</v>
      </c>
      <c r="AH203" t="s">
        <v>131</v>
      </c>
      <c r="AI203" t="s">
        <v>149</v>
      </c>
      <c r="AJ203" t="s">
        <v>984</v>
      </c>
      <c r="AK203" t="s">
        <v>985</v>
      </c>
      <c r="AL203" t="s">
        <v>170</v>
      </c>
      <c r="AM203" t="s">
        <v>42</v>
      </c>
      <c r="AN203" t="s">
        <v>7</v>
      </c>
      <c r="AO203" t="s">
        <v>171</v>
      </c>
      <c r="AP203" t="s">
        <v>172</v>
      </c>
      <c r="AQ203" t="s">
        <v>20</v>
      </c>
      <c r="AR203" t="s">
        <v>30</v>
      </c>
      <c r="AS203" t="s">
        <v>37</v>
      </c>
      <c r="AT203">
        <v>-0.16</v>
      </c>
      <c r="AU203" t="s">
        <v>203</v>
      </c>
      <c r="AV203" t="s">
        <v>165</v>
      </c>
    </row>
    <row r="204" spans="1:48" x14ac:dyDescent="0.3">
      <c r="A204" t="s">
        <v>986</v>
      </c>
      <c r="B204" s="12">
        <v>45744</v>
      </c>
      <c r="C204" s="12">
        <v>45744</v>
      </c>
      <c r="D204" t="s">
        <v>987</v>
      </c>
      <c r="E204" t="s">
        <v>243</v>
      </c>
      <c r="F204" t="s">
        <v>43</v>
      </c>
      <c r="G204" t="s">
        <v>7</v>
      </c>
      <c r="H204" t="s">
        <v>311</v>
      </c>
      <c r="I204" t="s">
        <v>312</v>
      </c>
      <c r="J204" t="s">
        <v>15</v>
      </c>
      <c r="K204" t="s">
        <v>22</v>
      </c>
      <c r="M204" t="s">
        <v>35</v>
      </c>
      <c r="N204">
        <v>8</v>
      </c>
      <c r="O204">
        <v>1740.94</v>
      </c>
      <c r="P204">
        <v>0.05</v>
      </c>
      <c r="Q204">
        <v>0.05</v>
      </c>
      <c r="R204">
        <v>13231.14</v>
      </c>
      <c r="S204">
        <v>11290.06</v>
      </c>
      <c r="T204">
        <v>13231.144</v>
      </c>
      <c r="U204">
        <v>1941.0840000000001</v>
      </c>
      <c r="V204">
        <v>0.14670568168557499</v>
      </c>
      <c r="W204">
        <v>0</v>
      </c>
      <c r="X204" t="s">
        <v>278</v>
      </c>
      <c r="Y204">
        <v>2025</v>
      </c>
      <c r="Z204" t="s">
        <v>129</v>
      </c>
      <c r="AA204" t="s">
        <v>130</v>
      </c>
      <c r="AB204" t="s">
        <v>131</v>
      </c>
      <c r="AC204" t="s">
        <v>131</v>
      </c>
      <c r="AD204" t="s">
        <v>131</v>
      </c>
      <c r="AE204" t="s">
        <v>131</v>
      </c>
      <c r="AF204" t="s">
        <v>131</v>
      </c>
      <c r="AG204" t="s">
        <v>131</v>
      </c>
      <c r="AH204" t="s">
        <v>132</v>
      </c>
      <c r="AI204" t="s">
        <v>133</v>
      </c>
      <c r="AJ204" t="s">
        <v>988</v>
      </c>
      <c r="AK204" t="s">
        <v>989</v>
      </c>
      <c r="AL204" t="s">
        <v>243</v>
      </c>
      <c r="AM204" t="s">
        <v>43</v>
      </c>
      <c r="AN204" t="s">
        <v>7</v>
      </c>
      <c r="AO204" t="s">
        <v>311</v>
      </c>
      <c r="AP204" t="s">
        <v>312</v>
      </c>
      <c r="AQ204" t="s">
        <v>15</v>
      </c>
      <c r="AR204" t="s">
        <v>22</v>
      </c>
      <c r="AS204" t="s">
        <v>35</v>
      </c>
      <c r="AT204">
        <v>0.05</v>
      </c>
      <c r="AU204" t="s">
        <v>129</v>
      </c>
      <c r="AV204" t="s">
        <v>130</v>
      </c>
    </row>
    <row r="205" spans="1:48" x14ac:dyDescent="0.3">
      <c r="A205" t="s">
        <v>990</v>
      </c>
      <c r="B205" s="12">
        <v>45379</v>
      </c>
      <c r="C205" s="12">
        <v>45381</v>
      </c>
      <c r="D205" t="s">
        <v>991</v>
      </c>
      <c r="E205" t="s">
        <v>243</v>
      </c>
      <c r="F205" t="s">
        <v>43</v>
      </c>
      <c r="G205" t="s">
        <v>7</v>
      </c>
      <c r="H205" t="s">
        <v>126</v>
      </c>
      <c r="I205" t="s">
        <v>213</v>
      </c>
      <c r="J205" t="s">
        <v>15</v>
      </c>
      <c r="K205" t="s">
        <v>22</v>
      </c>
      <c r="M205" t="s">
        <v>37</v>
      </c>
      <c r="N205">
        <v>1</v>
      </c>
      <c r="O205">
        <v>570.34</v>
      </c>
      <c r="P205">
        <v>0.15</v>
      </c>
      <c r="Q205">
        <v>0.15</v>
      </c>
      <c r="R205">
        <v>484.79</v>
      </c>
      <c r="S205">
        <v>333.54</v>
      </c>
      <c r="T205">
        <v>484.78899999999999</v>
      </c>
      <c r="U205">
        <v>151.249</v>
      </c>
      <c r="V205">
        <v>0.31198933969211301</v>
      </c>
      <c r="W205">
        <v>2</v>
      </c>
      <c r="X205" t="s">
        <v>278</v>
      </c>
      <c r="Y205">
        <v>2024</v>
      </c>
      <c r="Z205" t="s">
        <v>129</v>
      </c>
      <c r="AA205" t="s">
        <v>130</v>
      </c>
      <c r="AB205" t="s">
        <v>131</v>
      </c>
      <c r="AC205" t="s">
        <v>131</v>
      </c>
      <c r="AD205" t="s">
        <v>131</v>
      </c>
      <c r="AE205" t="s">
        <v>131</v>
      </c>
      <c r="AF205" t="s">
        <v>131</v>
      </c>
      <c r="AG205" t="s">
        <v>131</v>
      </c>
      <c r="AH205" t="s">
        <v>132</v>
      </c>
      <c r="AI205" t="s">
        <v>133</v>
      </c>
      <c r="AJ205" t="s">
        <v>992</v>
      </c>
      <c r="AK205" t="s">
        <v>993</v>
      </c>
      <c r="AL205" t="s">
        <v>243</v>
      </c>
      <c r="AM205" t="s">
        <v>43</v>
      </c>
      <c r="AN205" t="s">
        <v>7</v>
      </c>
      <c r="AO205" t="s">
        <v>126</v>
      </c>
      <c r="AP205" t="s">
        <v>213</v>
      </c>
      <c r="AQ205" t="s">
        <v>15</v>
      </c>
      <c r="AR205" t="s">
        <v>22</v>
      </c>
      <c r="AS205" t="s">
        <v>37</v>
      </c>
      <c r="AT205">
        <v>0.15</v>
      </c>
      <c r="AU205" t="s">
        <v>129</v>
      </c>
      <c r="AV205" t="s">
        <v>130</v>
      </c>
    </row>
    <row r="206" spans="1:48" x14ac:dyDescent="0.3">
      <c r="A206" t="s">
        <v>994</v>
      </c>
      <c r="B206" s="12">
        <v>45858</v>
      </c>
      <c r="C206" s="12">
        <v>45861</v>
      </c>
      <c r="D206" t="s">
        <v>995</v>
      </c>
      <c r="E206" t="s">
        <v>139</v>
      </c>
      <c r="F206" t="s">
        <v>41</v>
      </c>
      <c r="G206" t="s">
        <v>8</v>
      </c>
      <c r="H206" t="s">
        <v>201</v>
      </c>
      <c r="I206" t="s">
        <v>202</v>
      </c>
      <c r="J206" t="s">
        <v>18</v>
      </c>
      <c r="K206" t="s">
        <v>27</v>
      </c>
      <c r="M206" t="s">
        <v>37</v>
      </c>
      <c r="N206">
        <v>4</v>
      </c>
      <c r="O206">
        <v>477.69</v>
      </c>
      <c r="P206">
        <v>0.15</v>
      </c>
      <c r="Q206">
        <v>0.15</v>
      </c>
      <c r="R206">
        <v>1624.15</v>
      </c>
      <c r="S206">
        <v>1217.99</v>
      </c>
      <c r="T206">
        <v>1624.146</v>
      </c>
      <c r="U206">
        <v>406.15600000000001</v>
      </c>
      <c r="V206">
        <v>0.25007357712915002</v>
      </c>
      <c r="W206">
        <v>3</v>
      </c>
      <c r="X206" t="s">
        <v>128</v>
      </c>
      <c r="Y206">
        <v>2025</v>
      </c>
      <c r="Z206" t="s">
        <v>129</v>
      </c>
      <c r="AA206" t="s">
        <v>130</v>
      </c>
      <c r="AB206" t="s">
        <v>131</v>
      </c>
      <c r="AC206" t="s">
        <v>131</v>
      </c>
      <c r="AD206" t="s">
        <v>131</v>
      </c>
      <c r="AE206" t="s">
        <v>131</v>
      </c>
      <c r="AF206" t="s">
        <v>131</v>
      </c>
      <c r="AG206" t="s">
        <v>131</v>
      </c>
      <c r="AH206" t="s">
        <v>132</v>
      </c>
      <c r="AI206" t="s">
        <v>133</v>
      </c>
      <c r="AJ206" t="s">
        <v>996</v>
      </c>
      <c r="AK206" t="s">
        <v>997</v>
      </c>
      <c r="AL206" t="s">
        <v>139</v>
      </c>
      <c r="AM206" t="s">
        <v>41</v>
      </c>
      <c r="AN206" t="s">
        <v>8</v>
      </c>
      <c r="AO206" t="s">
        <v>201</v>
      </c>
      <c r="AP206" t="s">
        <v>202</v>
      </c>
      <c r="AQ206" t="s">
        <v>18</v>
      </c>
      <c r="AR206" t="s">
        <v>27</v>
      </c>
      <c r="AS206" t="s">
        <v>37</v>
      </c>
      <c r="AT206">
        <v>0.15</v>
      </c>
      <c r="AU206" t="s">
        <v>129</v>
      </c>
      <c r="AV206" t="s">
        <v>130</v>
      </c>
    </row>
    <row r="207" spans="1:48" x14ac:dyDescent="0.3">
      <c r="A207" t="s">
        <v>998</v>
      </c>
      <c r="B207" s="12">
        <v>45768</v>
      </c>
      <c r="C207" s="12">
        <v>45773</v>
      </c>
      <c r="D207" t="s">
        <v>999</v>
      </c>
      <c r="E207" t="s">
        <v>162</v>
      </c>
      <c r="F207" t="s">
        <v>42</v>
      </c>
      <c r="G207" t="s">
        <v>7</v>
      </c>
      <c r="H207" t="s">
        <v>163</v>
      </c>
      <c r="I207" t="s">
        <v>164</v>
      </c>
      <c r="J207" t="s">
        <v>20</v>
      </c>
      <c r="K207" t="s">
        <v>30</v>
      </c>
      <c r="M207" t="s">
        <v>38</v>
      </c>
      <c r="N207">
        <v>6</v>
      </c>
      <c r="O207">
        <v>873.59</v>
      </c>
      <c r="P207">
        <v>0.2</v>
      </c>
      <c r="Q207">
        <v>0.2</v>
      </c>
      <c r="R207">
        <v>4193.2299999999996</v>
      </c>
      <c r="S207">
        <v>3329.99</v>
      </c>
      <c r="T207">
        <v>4193.232</v>
      </c>
      <c r="U207">
        <v>863.24199999999996</v>
      </c>
      <c r="V207">
        <v>0.205865547148357</v>
      </c>
      <c r="W207">
        <v>5</v>
      </c>
      <c r="X207" t="s">
        <v>179</v>
      </c>
      <c r="Y207">
        <v>2025</v>
      </c>
      <c r="Z207" t="s">
        <v>129</v>
      </c>
      <c r="AA207" t="s">
        <v>130</v>
      </c>
      <c r="AB207" t="s">
        <v>131</v>
      </c>
      <c r="AC207" t="s">
        <v>131</v>
      </c>
      <c r="AD207" t="s">
        <v>131</v>
      </c>
      <c r="AE207" t="s">
        <v>131</v>
      </c>
      <c r="AF207" t="s">
        <v>131</v>
      </c>
      <c r="AG207" t="s">
        <v>131</v>
      </c>
      <c r="AH207" t="s">
        <v>132</v>
      </c>
      <c r="AI207" t="s">
        <v>133</v>
      </c>
      <c r="AJ207" t="s">
        <v>1000</v>
      </c>
      <c r="AK207" t="s">
        <v>1001</v>
      </c>
      <c r="AL207" t="s">
        <v>162</v>
      </c>
      <c r="AM207" t="s">
        <v>42</v>
      </c>
      <c r="AN207" t="s">
        <v>7</v>
      </c>
      <c r="AO207" t="s">
        <v>163</v>
      </c>
      <c r="AP207" t="s">
        <v>164</v>
      </c>
      <c r="AQ207" t="s">
        <v>856</v>
      </c>
      <c r="AR207" t="s">
        <v>30</v>
      </c>
      <c r="AS207" t="s">
        <v>38</v>
      </c>
      <c r="AT207">
        <v>0.2</v>
      </c>
      <c r="AU207" t="s">
        <v>129</v>
      </c>
      <c r="AV207" t="s">
        <v>130</v>
      </c>
    </row>
    <row r="208" spans="1:48" x14ac:dyDescent="0.3">
      <c r="A208" t="s">
        <v>1002</v>
      </c>
      <c r="B208" s="12">
        <v>45795</v>
      </c>
      <c r="C208" s="12">
        <v>45797</v>
      </c>
      <c r="D208" t="s">
        <v>1003</v>
      </c>
      <c r="E208" t="s">
        <v>277</v>
      </c>
      <c r="F208" t="s">
        <v>44</v>
      </c>
      <c r="G208" t="s">
        <v>9</v>
      </c>
      <c r="H208" t="s">
        <v>249</v>
      </c>
      <c r="I208" t="s">
        <v>250</v>
      </c>
      <c r="J208" t="s">
        <v>18</v>
      </c>
      <c r="K208" t="s">
        <v>23</v>
      </c>
      <c r="M208" t="s">
        <v>36</v>
      </c>
      <c r="N208">
        <v>2</v>
      </c>
      <c r="O208">
        <v>215.13</v>
      </c>
      <c r="P208">
        <v>0</v>
      </c>
      <c r="Q208">
        <v>0</v>
      </c>
      <c r="R208">
        <v>430.26</v>
      </c>
      <c r="S208">
        <v>286.38</v>
      </c>
      <c r="T208">
        <v>430.26</v>
      </c>
      <c r="U208">
        <v>143.88</v>
      </c>
      <c r="V208">
        <v>0.33440245432993998</v>
      </c>
      <c r="W208">
        <v>2</v>
      </c>
      <c r="X208" t="s">
        <v>173</v>
      </c>
      <c r="Y208">
        <v>2025</v>
      </c>
      <c r="Z208" t="s">
        <v>129</v>
      </c>
      <c r="AA208" t="s">
        <v>130</v>
      </c>
      <c r="AB208" t="s">
        <v>131</v>
      </c>
      <c r="AC208" t="s">
        <v>131</v>
      </c>
      <c r="AD208" t="s">
        <v>131</v>
      </c>
      <c r="AE208" t="s">
        <v>131</v>
      </c>
      <c r="AF208" t="s">
        <v>131</v>
      </c>
      <c r="AG208" t="s">
        <v>131</v>
      </c>
      <c r="AH208" t="s">
        <v>132</v>
      </c>
      <c r="AI208" t="s">
        <v>133</v>
      </c>
      <c r="AJ208" t="s">
        <v>1004</v>
      </c>
      <c r="AK208" t="s">
        <v>205</v>
      </c>
      <c r="AL208" t="s">
        <v>277</v>
      </c>
      <c r="AM208" t="s">
        <v>44</v>
      </c>
      <c r="AN208" t="s">
        <v>136</v>
      </c>
      <c r="AO208" t="s">
        <v>249</v>
      </c>
      <c r="AP208" t="s">
        <v>250</v>
      </c>
      <c r="AQ208" t="s">
        <v>18</v>
      </c>
      <c r="AR208" t="s">
        <v>23</v>
      </c>
      <c r="AS208" t="s">
        <v>36</v>
      </c>
      <c r="AT208">
        <v>0</v>
      </c>
      <c r="AU208" t="s">
        <v>129</v>
      </c>
      <c r="AV208" t="s">
        <v>130</v>
      </c>
    </row>
    <row r="209" spans="1:48" x14ac:dyDescent="0.3">
      <c r="A209" t="s">
        <v>1005</v>
      </c>
      <c r="B209" s="12">
        <v>45483</v>
      </c>
      <c r="C209" s="12">
        <v>45489</v>
      </c>
      <c r="D209" t="s">
        <v>1006</v>
      </c>
      <c r="E209" t="s">
        <v>238</v>
      </c>
      <c r="F209" t="s">
        <v>41</v>
      </c>
      <c r="G209" t="s">
        <v>7</v>
      </c>
      <c r="H209" t="s">
        <v>311</v>
      </c>
      <c r="I209" t="s">
        <v>312</v>
      </c>
      <c r="J209" t="s">
        <v>18</v>
      </c>
      <c r="K209" t="s">
        <v>26</v>
      </c>
      <c r="M209" t="s">
        <v>37</v>
      </c>
      <c r="N209">
        <v>2</v>
      </c>
      <c r="O209">
        <v>1095.45</v>
      </c>
      <c r="P209">
        <v>0.2</v>
      </c>
      <c r="Q209">
        <v>0.2</v>
      </c>
      <c r="R209">
        <v>1752.72</v>
      </c>
      <c r="S209">
        <v>996.41</v>
      </c>
      <c r="T209">
        <v>1752.72</v>
      </c>
      <c r="U209">
        <v>756.31</v>
      </c>
      <c r="V209">
        <v>0.431506458533023</v>
      </c>
      <c r="W209">
        <v>6</v>
      </c>
      <c r="X209" t="s">
        <v>128</v>
      </c>
      <c r="Y209">
        <v>2024</v>
      </c>
      <c r="Z209" t="s">
        <v>129</v>
      </c>
      <c r="AA209" t="s">
        <v>130</v>
      </c>
      <c r="AB209" t="s">
        <v>131</v>
      </c>
      <c r="AC209" t="s">
        <v>131</v>
      </c>
      <c r="AD209" t="s">
        <v>131</v>
      </c>
      <c r="AE209" t="s">
        <v>131</v>
      </c>
      <c r="AF209" t="s">
        <v>131</v>
      </c>
      <c r="AG209" t="s">
        <v>131</v>
      </c>
      <c r="AH209" t="s">
        <v>132</v>
      </c>
      <c r="AI209" t="s">
        <v>133</v>
      </c>
      <c r="AJ209" t="s">
        <v>1007</v>
      </c>
      <c r="AK209" t="s">
        <v>1008</v>
      </c>
      <c r="AL209" t="s">
        <v>238</v>
      </c>
      <c r="AM209" t="s">
        <v>41</v>
      </c>
      <c r="AN209" t="s">
        <v>7</v>
      </c>
      <c r="AO209" t="s">
        <v>311</v>
      </c>
      <c r="AP209" t="s">
        <v>312</v>
      </c>
      <c r="AQ209" t="s">
        <v>18</v>
      </c>
      <c r="AR209" t="s">
        <v>26</v>
      </c>
      <c r="AS209" t="s">
        <v>37</v>
      </c>
      <c r="AT209">
        <v>0.2</v>
      </c>
      <c r="AU209" t="s">
        <v>129</v>
      </c>
      <c r="AV209" t="s">
        <v>130</v>
      </c>
    </row>
    <row r="210" spans="1:48" x14ac:dyDescent="0.3">
      <c r="A210" t="s">
        <v>1009</v>
      </c>
      <c r="B210" s="12">
        <v>45837</v>
      </c>
      <c r="C210" s="12">
        <v>45843</v>
      </c>
      <c r="D210" t="s">
        <v>1010</v>
      </c>
      <c r="E210" t="s">
        <v>277</v>
      </c>
      <c r="F210" t="s">
        <v>42</v>
      </c>
      <c r="G210" t="s">
        <v>9</v>
      </c>
      <c r="H210" t="s">
        <v>232</v>
      </c>
      <c r="I210" t="s">
        <v>233</v>
      </c>
      <c r="J210" t="s">
        <v>18</v>
      </c>
      <c r="K210" t="s">
        <v>19</v>
      </c>
      <c r="M210" t="s">
        <v>38</v>
      </c>
      <c r="N210">
        <v>1</v>
      </c>
      <c r="O210">
        <v>999.83</v>
      </c>
      <c r="P210">
        <v>0</v>
      </c>
      <c r="Q210">
        <v>0</v>
      </c>
      <c r="R210">
        <v>999.83</v>
      </c>
      <c r="S210">
        <v>634.91</v>
      </c>
      <c r="T210">
        <v>999.83</v>
      </c>
      <c r="U210">
        <v>364.92</v>
      </c>
      <c r="V210">
        <v>0.36498204694798098</v>
      </c>
      <c r="W210">
        <v>6</v>
      </c>
      <c r="X210" t="s">
        <v>148</v>
      </c>
      <c r="Y210">
        <v>2025</v>
      </c>
      <c r="Z210" t="s">
        <v>129</v>
      </c>
      <c r="AA210" t="s">
        <v>130</v>
      </c>
      <c r="AB210" t="s">
        <v>131</v>
      </c>
      <c r="AC210" t="s">
        <v>131</v>
      </c>
      <c r="AD210" t="s">
        <v>131</v>
      </c>
      <c r="AE210" t="s">
        <v>131</v>
      </c>
      <c r="AF210" t="s">
        <v>131</v>
      </c>
      <c r="AG210" t="s">
        <v>131</v>
      </c>
      <c r="AH210" t="s">
        <v>132</v>
      </c>
      <c r="AI210" t="s">
        <v>133</v>
      </c>
      <c r="AJ210" t="s">
        <v>1011</v>
      </c>
      <c r="AK210" t="s">
        <v>1012</v>
      </c>
      <c r="AL210" t="s">
        <v>277</v>
      </c>
      <c r="AM210" t="s">
        <v>42</v>
      </c>
      <c r="AN210" t="s">
        <v>9</v>
      </c>
      <c r="AO210" t="s">
        <v>232</v>
      </c>
      <c r="AP210" t="s">
        <v>233</v>
      </c>
      <c r="AQ210" t="s">
        <v>18</v>
      </c>
      <c r="AR210" t="s">
        <v>19</v>
      </c>
      <c r="AS210" t="s">
        <v>38</v>
      </c>
      <c r="AT210">
        <v>0</v>
      </c>
      <c r="AU210" t="s">
        <v>129</v>
      </c>
      <c r="AV210" t="s">
        <v>130</v>
      </c>
    </row>
    <row r="211" spans="1:48" x14ac:dyDescent="0.3">
      <c r="A211" t="s">
        <v>1013</v>
      </c>
      <c r="B211" s="12">
        <v>45882</v>
      </c>
      <c r="C211" s="12">
        <v>45883</v>
      </c>
      <c r="D211" t="s">
        <v>1014</v>
      </c>
      <c r="E211" t="s">
        <v>255</v>
      </c>
      <c r="F211" t="s">
        <v>44</v>
      </c>
      <c r="G211" t="s">
        <v>6</v>
      </c>
      <c r="H211" t="s">
        <v>184</v>
      </c>
      <c r="I211" t="s">
        <v>185</v>
      </c>
      <c r="J211" t="s">
        <v>20</v>
      </c>
      <c r="K211" t="s">
        <v>24</v>
      </c>
      <c r="M211" t="s">
        <v>36</v>
      </c>
      <c r="N211">
        <v>9</v>
      </c>
      <c r="O211">
        <v>864.98</v>
      </c>
      <c r="P211">
        <v>0.1</v>
      </c>
      <c r="Q211">
        <v>0.1</v>
      </c>
      <c r="R211">
        <v>7006.34</v>
      </c>
      <c r="S211">
        <v>4640.88</v>
      </c>
      <c r="T211">
        <v>7006.3379999999997</v>
      </c>
      <c r="U211">
        <v>2365.4580000000001</v>
      </c>
      <c r="V211">
        <v>0.33761688345609397</v>
      </c>
      <c r="W211">
        <v>1</v>
      </c>
      <c r="X211" t="s">
        <v>142</v>
      </c>
      <c r="Y211">
        <v>2025</v>
      </c>
      <c r="Z211" t="s">
        <v>129</v>
      </c>
      <c r="AA211" t="s">
        <v>130</v>
      </c>
      <c r="AB211" t="s">
        <v>131</v>
      </c>
      <c r="AC211" t="s">
        <v>131</v>
      </c>
      <c r="AD211" t="s">
        <v>131</v>
      </c>
      <c r="AE211" t="s">
        <v>131</v>
      </c>
      <c r="AF211" t="s">
        <v>131</v>
      </c>
      <c r="AG211" t="s">
        <v>131</v>
      </c>
      <c r="AH211" t="s">
        <v>132</v>
      </c>
      <c r="AI211" t="s">
        <v>133</v>
      </c>
      <c r="AJ211" t="s">
        <v>1015</v>
      </c>
      <c r="AK211" t="s">
        <v>1016</v>
      </c>
      <c r="AL211" t="s">
        <v>255</v>
      </c>
      <c r="AM211" t="s">
        <v>44</v>
      </c>
      <c r="AN211" t="s">
        <v>6</v>
      </c>
      <c r="AO211" t="s">
        <v>184</v>
      </c>
      <c r="AP211" t="s">
        <v>185</v>
      </c>
      <c r="AQ211" t="s">
        <v>20</v>
      </c>
      <c r="AR211" t="s">
        <v>24</v>
      </c>
      <c r="AS211" t="s">
        <v>36</v>
      </c>
      <c r="AT211">
        <v>0.1</v>
      </c>
      <c r="AU211" t="s">
        <v>129</v>
      </c>
      <c r="AV211" t="s">
        <v>130</v>
      </c>
    </row>
    <row r="212" spans="1:48" x14ac:dyDescent="0.3">
      <c r="A212" t="s">
        <v>1017</v>
      </c>
      <c r="B212" s="12">
        <v>45366</v>
      </c>
      <c r="C212" s="12">
        <v>45369</v>
      </c>
      <c r="D212" t="s">
        <v>1018</v>
      </c>
      <c r="E212" t="s">
        <v>409</v>
      </c>
      <c r="F212" t="s">
        <v>41</v>
      </c>
      <c r="G212" t="s">
        <v>6</v>
      </c>
      <c r="H212" t="s">
        <v>294</v>
      </c>
      <c r="I212" t="s">
        <v>295</v>
      </c>
      <c r="J212" t="s">
        <v>15</v>
      </c>
      <c r="K212" t="s">
        <v>25</v>
      </c>
      <c r="M212" t="s">
        <v>37</v>
      </c>
      <c r="N212">
        <v>1</v>
      </c>
      <c r="O212">
        <v>4131.3599999999997</v>
      </c>
      <c r="P212">
        <v>0</v>
      </c>
      <c r="Q212">
        <v>0</v>
      </c>
      <c r="R212">
        <v>4131.3599999999997</v>
      </c>
      <c r="S212">
        <v>2937.07</v>
      </c>
      <c r="T212">
        <v>4131.3599999999997</v>
      </c>
      <c r="U212">
        <v>1194.29</v>
      </c>
      <c r="V212">
        <v>0.28907914100925602</v>
      </c>
      <c r="W212">
        <v>3</v>
      </c>
      <c r="X212" t="s">
        <v>278</v>
      </c>
      <c r="Y212">
        <v>2024</v>
      </c>
      <c r="Z212" t="s">
        <v>269</v>
      </c>
      <c r="AA212" t="s">
        <v>204</v>
      </c>
      <c r="AB212" t="s">
        <v>131</v>
      </c>
      <c r="AC212" t="s">
        <v>131</v>
      </c>
      <c r="AD212" t="s">
        <v>131</v>
      </c>
      <c r="AE212" t="s">
        <v>131</v>
      </c>
      <c r="AF212" t="s">
        <v>131</v>
      </c>
      <c r="AG212" t="s">
        <v>131</v>
      </c>
      <c r="AH212" t="s">
        <v>131</v>
      </c>
      <c r="AI212" t="s">
        <v>133</v>
      </c>
      <c r="AJ212" t="s">
        <v>1019</v>
      </c>
      <c r="AK212" t="s">
        <v>1020</v>
      </c>
      <c r="AL212" t="s">
        <v>409</v>
      </c>
      <c r="AM212" t="s">
        <v>41</v>
      </c>
      <c r="AN212" t="s">
        <v>6</v>
      </c>
      <c r="AO212" t="s">
        <v>294</v>
      </c>
      <c r="AP212" t="s">
        <v>295</v>
      </c>
      <c r="AQ212" t="s">
        <v>15</v>
      </c>
      <c r="AR212" t="s">
        <v>25</v>
      </c>
      <c r="AS212" t="s">
        <v>37</v>
      </c>
      <c r="AT212">
        <v>0</v>
      </c>
      <c r="AU212" t="s">
        <v>269</v>
      </c>
      <c r="AV212" t="s">
        <v>204</v>
      </c>
    </row>
    <row r="213" spans="1:48" x14ac:dyDescent="0.3">
      <c r="A213" t="s">
        <v>1021</v>
      </c>
      <c r="B213" s="12">
        <v>45428</v>
      </c>
      <c r="C213" s="12">
        <v>45429</v>
      </c>
      <c r="D213" t="s">
        <v>1022</v>
      </c>
      <c r="E213" t="s">
        <v>255</v>
      </c>
      <c r="F213" t="s">
        <v>43</v>
      </c>
      <c r="G213" t="s">
        <v>8</v>
      </c>
      <c r="H213" t="s">
        <v>201</v>
      </c>
      <c r="I213" t="s">
        <v>202</v>
      </c>
      <c r="J213" t="s">
        <v>15</v>
      </c>
      <c r="K213" t="s">
        <v>16</v>
      </c>
      <c r="M213" t="s">
        <v>37</v>
      </c>
      <c r="N213">
        <v>8</v>
      </c>
      <c r="O213">
        <v>4221.95</v>
      </c>
      <c r="P213">
        <v>0.2</v>
      </c>
      <c r="Q213">
        <v>0.2</v>
      </c>
      <c r="R213">
        <v>27020.48</v>
      </c>
      <c r="S213">
        <v>22885.24</v>
      </c>
      <c r="T213">
        <v>27020.48</v>
      </c>
      <c r="U213">
        <v>4135.24</v>
      </c>
      <c r="V213">
        <v>0.15304095264036799</v>
      </c>
      <c r="W213">
        <v>1</v>
      </c>
      <c r="X213" t="s">
        <v>173</v>
      </c>
      <c r="Y213">
        <v>2024</v>
      </c>
      <c r="Z213" t="s">
        <v>129</v>
      </c>
      <c r="AA213" t="s">
        <v>130</v>
      </c>
      <c r="AB213" t="s">
        <v>131</v>
      </c>
      <c r="AC213" t="s">
        <v>131</v>
      </c>
      <c r="AD213" t="s">
        <v>131</v>
      </c>
      <c r="AE213" t="s">
        <v>131</v>
      </c>
      <c r="AF213" t="s">
        <v>131</v>
      </c>
      <c r="AG213" t="s">
        <v>131</v>
      </c>
      <c r="AH213" t="s">
        <v>132</v>
      </c>
      <c r="AI213" t="s">
        <v>133</v>
      </c>
      <c r="AJ213" t="s">
        <v>1023</v>
      </c>
      <c r="AK213" t="s">
        <v>1024</v>
      </c>
      <c r="AL213" t="s">
        <v>255</v>
      </c>
      <c r="AM213" t="s">
        <v>43</v>
      </c>
      <c r="AN213" t="s">
        <v>1025</v>
      </c>
      <c r="AO213" t="s">
        <v>201</v>
      </c>
      <c r="AP213" t="s">
        <v>202</v>
      </c>
      <c r="AQ213" t="s">
        <v>15</v>
      </c>
      <c r="AR213" t="s">
        <v>16</v>
      </c>
      <c r="AS213" t="s">
        <v>37</v>
      </c>
      <c r="AT213">
        <v>0.2</v>
      </c>
      <c r="AU213" t="s">
        <v>129</v>
      </c>
      <c r="AV213" t="s">
        <v>130</v>
      </c>
    </row>
    <row r="214" spans="1:48" x14ac:dyDescent="0.3">
      <c r="A214" t="s">
        <v>1026</v>
      </c>
      <c r="B214" s="12">
        <v>45556</v>
      </c>
      <c r="C214" s="12">
        <v>45556</v>
      </c>
      <c r="D214" t="s">
        <v>1027</v>
      </c>
      <c r="E214" t="s">
        <v>162</v>
      </c>
      <c r="F214" t="s">
        <v>44</v>
      </c>
      <c r="G214" t="s">
        <v>8</v>
      </c>
      <c r="H214" t="s">
        <v>140</v>
      </c>
      <c r="I214" t="s">
        <v>141</v>
      </c>
      <c r="J214" t="s">
        <v>15</v>
      </c>
      <c r="K214" t="s">
        <v>17</v>
      </c>
      <c r="M214" t="s">
        <v>38</v>
      </c>
      <c r="N214">
        <v>2</v>
      </c>
      <c r="O214">
        <v>214.5</v>
      </c>
      <c r="P214">
        <v>0.15</v>
      </c>
      <c r="Q214">
        <v>0.15</v>
      </c>
      <c r="R214">
        <v>364.65</v>
      </c>
      <c r="S214">
        <v>280.74</v>
      </c>
      <c r="T214">
        <v>364.65</v>
      </c>
      <c r="U214">
        <v>83.91</v>
      </c>
      <c r="V214">
        <v>0.230111065405183</v>
      </c>
      <c r="W214">
        <v>0</v>
      </c>
      <c r="X214" t="s">
        <v>196</v>
      </c>
      <c r="Y214">
        <v>2024</v>
      </c>
      <c r="Z214" t="s">
        <v>129</v>
      </c>
      <c r="AA214" t="s">
        <v>130</v>
      </c>
      <c r="AB214" t="s">
        <v>131</v>
      </c>
      <c r="AC214" t="s">
        <v>131</v>
      </c>
      <c r="AD214" t="s">
        <v>131</v>
      </c>
      <c r="AE214" t="s">
        <v>131</v>
      </c>
      <c r="AF214" t="s">
        <v>131</v>
      </c>
      <c r="AG214" t="s">
        <v>131</v>
      </c>
      <c r="AH214" t="s">
        <v>132</v>
      </c>
      <c r="AI214" t="s">
        <v>133</v>
      </c>
      <c r="AJ214" t="s">
        <v>1028</v>
      </c>
      <c r="AK214" t="s">
        <v>1029</v>
      </c>
      <c r="AL214" t="s">
        <v>162</v>
      </c>
      <c r="AM214" t="s">
        <v>44</v>
      </c>
      <c r="AN214" t="s">
        <v>8</v>
      </c>
      <c r="AO214" t="s">
        <v>140</v>
      </c>
      <c r="AP214" t="s">
        <v>141</v>
      </c>
      <c r="AQ214" t="s">
        <v>15</v>
      </c>
      <c r="AR214" t="s">
        <v>17</v>
      </c>
      <c r="AS214" t="s">
        <v>38</v>
      </c>
      <c r="AT214">
        <v>0.15</v>
      </c>
      <c r="AU214" t="s">
        <v>129</v>
      </c>
      <c r="AV214" t="s">
        <v>130</v>
      </c>
    </row>
    <row r="215" spans="1:48" x14ac:dyDescent="0.3">
      <c r="A215" t="s">
        <v>1030</v>
      </c>
      <c r="B215" s="12">
        <v>45427</v>
      </c>
      <c r="C215" s="12">
        <v>45433</v>
      </c>
      <c r="D215" t="s">
        <v>1031</v>
      </c>
      <c r="E215" t="s">
        <v>147</v>
      </c>
      <c r="F215" t="s">
        <v>44</v>
      </c>
      <c r="G215" t="s">
        <v>8</v>
      </c>
      <c r="H215" t="s">
        <v>259</v>
      </c>
      <c r="I215" t="s">
        <v>260</v>
      </c>
      <c r="J215" t="s">
        <v>15</v>
      </c>
      <c r="K215" t="s">
        <v>22</v>
      </c>
      <c r="M215" t="s">
        <v>37</v>
      </c>
      <c r="N215">
        <v>4</v>
      </c>
      <c r="O215">
        <v>4332.7299999999996</v>
      </c>
      <c r="P215">
        <v>0.2</v>
      </c>
      <c r="Q215">
        <v>0.2</v>
      </c>
      <c r="R215">
        <v>13864.74</v>
      </c>
      <c r="S215">
        <v>11294.06</v>
      </c>
      <c r="T215">
        <v>13864.736000000001</v>
      </c>
      <c r="U215">
        <v>2570.6759999999999</v>
      </c>
      <c r="V215">
        <v>0.18541110339208799</v>
      </c>
      <c r="W215">
        <v>6</v>
      </c>
      <c r="X215" t="s">
        <v>173</v>
      </c>
      <c r="Y215">
        <v>2024</v>
      </c>
      <c r="Z215" t="s">
        <v>129</v>
      </c>
      <c r="AA215" t="s">
        <v>130</v>
      </c>
      <c r="AB215" t="s">
        <v>131</v>
      </c>
      <c r="AC215" t="s">
        <v>131</v>
      </c>
      <c r="AD215" t="s">
        <v>131</v>
      </c>
      <c r="AE215" t="s">
        <v>131</v>
      </c>
      <c r="AF215" t="s">
        <v>131</v>
      </c>
      <c r="AG215" t="s">
        <v>131</v>
      </c>
      <c r="AH215" t="s">
        <v>132</v>
      </c>
      <c r="AI215" t="s">
        <v>133</v>
      </c>
      <c r="AJ215" t="s">
        <v>1032</v>
      </c>
      <c r="AK215" t="s">
        <v>1033</v>
      </c>
      <c r="AL215" t="s">
        <v>147</v>
      </c>
      <c r="AM215" t="s">
        <v>44</v>
      </c>
      <c r="AN215" t="s">
        <v>8</v>
      </c>
      <c r="AO215" t="s">
        <v>259</v>
      </c>
      <c r="AP215" t="s">
        <v>260</v>
      </c>
      <c r="AQ215" t="s">
        <v>15</v>
      </c>
      <c r="AR215" t="s">
        <v>22</v>
      </c>
      <c r="AS215" t="s">
        <v>1034</v>
      </c>
      <c r="AT215">
        <v>0.2</v>
      </c>
      <c r="AU215" t="s">
        <v>129</v>
      </c>
      <c r="AV215" t="s">
        <v>130</v>
      </c>
    </row>
    <row r="216" spans="1:48" x14ac:dyDescent="0.3">
      <c r="A216" t="s">
        <v>1035</v>
      </c>
      <c r="B216" s="12">
        <v>45368</v>
      </c>
      <c r="C216" s="12">
        <v>45374</v>
      </c>
      <c r="D216" t="s">
        <v>1036</v>
      </c>
      <c r="E216" t="s">
        <v>227</v>
      </c>
      <c r="F216" t="s">
        <v>42</v>
      </c>
      <c r="G216" t="s">
        <v>9</v>
      </c>
      <c r="H216" t="s">
        <v>372</v>
      </c>
      <c r="I216" t="s">
        <v>373</v>
      </c>
      <c r="J216" t="s">
        <v>15</v>
      </c>
      <c r="K216" t="s">
        <v>22</v>
      </c>
      <c r="M216" t="s">
        <v>36</v>
      </c>
      <c r="N216">
        <v>3</v>
      </c>
      <c r="O216">
        <v>248.18</v>
      </c>
      <c r="P216">
        <v>0.05</v>
      </c>
      <c r="Q216">
        <v>0.05</v>
      </c>
      <c r="R216">
        <v>707.31</v>
      </c>
      <c r="S216">
        <v>569</v>
      </c>
      <c r="T216">
        <v>707.31299999999999</v>
      </c>
      <c r="U216">
        <v>138.31299999999999</v>
      </c>
      <c r="V216">
        <v>0.19554709159876901</v>
      </c>
      <c r="W216">
        <v>6</v>
      </c>
      <c r="X216" t="s">
        <v>278</v>
      </c>
      <c r="Y216">
        <v>2024</v>
      </c>
      <c r="Z216" t="s">
        <v>129</v>
      </c>
      <c r="AA216" t="s">
        <v>130</v>
      </c>
      <c r="AB216" t="s">
        <v>131</v>
      </c>
      <c r="AC216" t="s">
        <v>131</v>
      </c>
      <c r="AD216" t="s">
        <v>131</v>
      </c>
      <c r="AE216" t="s">
        <v>131</v>
      </c>
      <c r="AF216" t="s">
        <v>131</v>
      </c>
      <c r="AG216" t="s">
        <v>131</v>
      </c>
      <c r="AH216" t="s">
        <v>132</v>
      </c>
      <c r="AI216" t="s">
        <v>133</v>
      </c>
      <c r="AJ216" t="s">
        <v>1037</v>
      </c>
      <c r="AK216" t="s">
        <v>1038</v>
      </c>
      <c r="AL216" t="s">
        <v>227</v>
      </c>
      <c r="AM216" t="s">
        <v>42</v>
      </c>
      <c r="AN216" t="s">
        <v>9</v>
      </c>
      <c r="AO216" t="s">
        <v>372</v>
      </c>
      <c r="AP216" t="s">
        <v>373</v>
      </c>
      <c r="AQ216" t="s">
        <v>15</v>
      </c>
      <c r="AR216" t="s">
        <v>22</v>
      </c>
      <c r="AS216" t="s">
        <v>1039</v>
      </c>
      <c r="AT216">
        <v>0.05</v>
      </c>
      <c r="AU216" t="s">
        <v>129</v>
      </c>
      <c r="AV216" t="s">
        <v>130</v>
      </c>
    </row>
    <row r="217" spans="1:48" x14ac:dyDescent="0.3">
      <c r="A217" t="s">
        <v>1040</v>
      </c>
      <c r="B217" s="12">
        <v>45352</v>
      </c>
      <c r="C217" s="12">
        <v>45355</v>
      </c>
      <c r="D217" t="s">
        <v>1041</v>
      </c>
      <c r="E217" t="s">
        <v>139</v>
      </c>
      <c r="F217" t="s">
        <v>42</v>
      </c>
      <c r="G217" t="s">
        <v>7</v>
      </c>
      <c r="H217" t="s">
        <v>171</v>
      </c>
      <c r="I217" t="s">
        <v>172</v>
      </c>
      <c r="J217" t="s">
        <v>20</v>
      </c>
      <c r="K217" t="s">
        <v>24</v>
      </c>
      <c r="M217" t="s">
        <v>36</v>
      </c>
      <c r="N217">
        <v>8</v>
      </c>
      <c r="O217">
        <v>3202.4</v>
      </c>
      <c r="P217">
        <v>0.25</v>
      </c>
      <c r="Q217">
        <v>0.25</v>
      </c>
      <c r="R217">
        <v>19214.400000000001</v>
      </c>
      <c r="S217">
        <v>10916.01</v>
      </c>
      <c r="T217">
        <v>19214.400000000001</v>
      </c>
      <c r="U217">
        <v>8298.39</v>
      </c>
      <c r="V217">
        <v>0.43188389957531897</v>
      </c>
      <c r="W217">
        <v>3</v>
      </c>
      <c r="X217" t="s">
        <v>278</v>
      </c>
      <c r="Y217">
        <v>2024</v>
      </c>
      <c r="Z217" t="s">
        <v>129</v>
      </c>
      <c r="AA217" t="s">
        <v>130</v>
      </c>
      <c r="AB217" t="s">
        <v>131</v>
      </c>
      <c r="AC217" t="s">
        <v>131</v>
      </c>
      <c r="AD217" t="s">
        <v>131</v>
      </c>
      <c r="AE217" t="s">
        <v>131</v>
      </c>
      <c r="AF217" t="s">
        <v>131</v>
      </c>
      <c r="AG217" t="s">
        <v>131</v>
      </c>
      <c r="AH217" t="s">
        <v>132</v>
      </c>
      <c r="AI217" t="s">
        <v>133</v>
      </c>
      <c r="AJ217" t="s">
        <v>1042</v>
      </c>
      <c r="AK217" t="s">
        <v>279</v>
      </c>
      <c r="AL217" t="s">
        <v>139</v>
      </c>
      <c r="AM217" t="s">
        <v>42</v>
      </c>
      <c r="AN217" t="s">
        <v>7</v>
      </c>
      <c r="AO217" t="s">
        <v>171</v>
      </c>
      <c r="AP217" t="s">
        <v>172</v>
      </c>
      <c r="AQ217" t="s">
        <v>20</v>
      </c>
      <c r="AR217" t="s">
        <v>24</v>
      </c>
      <c r="AS217" t="s">
        <v>36</v>
      </c>
      <c r="AT217">
        <v>0.25</v>
      </c>
      <c r="AU217" t="s">
        <v>129</v>
      </c>
      <c r="AV217" t="s">
        <v>130</v>
      </c>
    </row>
    <row r="218" spans="1:48" x14ac:dyDescent="0.3">
      <c r="A218" t="s">
        <v>1043</v>
      </c>
      <c r="B218" s="12">
        <v>45757</v>
      </c>
      <c r="C218" s="12">
        <v>45762</v>
      </c>
      <c r="D218" t="s">
        <v>1044</v>
      </c>
      <c r="E218" t="s">
        <v>147</v>
      </c>
      <c r="F218" t="s">
        <v>42</v>
      </c>
      <c r="G218" t="s">
        <v>7</v>
      </c>
      <c r="H218" t="s">
        <v>300</v>
      </c>
      <c r="I218" t="s">
        <v>301</v>
      </c>
      <c r="J218" t="s">
        <v>18</v>
      </c>
      <c r="K218" t="s">
        <v>27</v>
      </c>
      <c r="M218" t="s">
        <v>35</v>
      </c>
      <c r="N218">
        <v>8</v>
      </c>
      <c r="O218">
        <v>1839.87</v>
      </c>
      <c r="P218">
        <v>0.25</v>
      </c>
      <c r="Q218">
        <v>0.25</v>
      </c>
      <c r="R218">
        <v>11039.22</v>
      </c>
      <c r="S218">
        <v>7642.91</v>
      </c>
      <c r="T218">
        <v>11039.22</v>
      </c>
      <c r="U218">
        <v>3396.31</v>
      </c>
      <c r="V218">
        <v>0.30765851210502199</v>
      </c>
      <c r="W218">
        <v>5</v>
      </c>
      <c r="X218" t="s">
        <v>179</v>
      </c>
      <c r="Y218">
        <v>2025</v>
      </c>
      <c r="Z218" t="s">
        <v>269</v>
      </c>
      <c r="AA218" t="s">
        <v>204</v>
      </c>
      <c r="AB218" t="s">
        <v>131</v>
      </c>
      <c r="AC218" t="s">
        <v>131</v>
      </c>
      <c r="AD218" t="s">
        <v>131</v>
      </c>
      <c r="AE218" t="s">
        <v>131</v>
      </c>
      <c r="AF218" t="s">
        <v>131</v>
      </c>
      <c r="AG218" t="s">
        <v>131</v>
      </c>
      <c r="AH218" t="s">
        <v>131</v>
      </c>
      <c r="AI218" t="s">
        <v>133</v>
      </c>
      <c r="AJ218" t="s">
        <v>180</v>
      </c>
      <c r="AK218" t="s">
        <v>1045</v>
      </c>
      <c r="AL218" t="s">
        <v>147</v>
      </c>
      <c r="AM218" t="s">
        <v>42</v>
      </c>
      <c r="AN218" t="s">
        <v>7</v>
      </c>
      <c r="AO218" t="s">
        <v>300</v>
      </c>
      <c r="AP218" t="s">
        <v>301</v>
      </c>
      <c r="AQ218" t="s">
        <v>18</v>
      </c>
      <c r="AR218" t="s">
        <v>27</v>
      </c>
      <c r="AS218" t="s">
        <v>35</v>
      </c>
      <c r="AT218">
        <v>0.25</v>
      </c>
      <c r="AU218" t="s">
        <v>269</v>
      </c>
      <c r="AV218" t="s">
        <v>204</v>
      </c>
    </row>
    <row r="219" spans="1:48" x14ac:dyDescent="0.3">
      <c r="A219" t="s">
        <v>1046</v>
      </c>
      <c r="B219" s="12">
        <v>45748</v>
      </c>
      <c r="C219" s="12">
        <v>45755</v>
      </c>
      <c r="D219" t="s">
        <v>1047</v>
      </c>
      <c r="E219" t="s">
        <v>191</v>
      </c>
      <c r="F219" t="s">
        <v>42</v>
      </c>
      <c r="G219" t="s">
        <v>8</v>
      </c>
      <c r="H219" t="s">
        <v>140</v>
      </c>
      <c r="I219" t="s">
        <v>141</v>
      </c>
      <c r="J219" t="s">
        <v>18</v>
      </c>
      <c r="K219" t="s">
        <v>26</v>
      </c>
      <c r="M219" t="s">
        <v>37</v>
      </c>
      <c r="N219">
        <v>5</v>
      </c>
      <c r="O219">
        <v>1021.28</v>
      </c>
      <c r="P219">
        <v>0.1</v>
      </c>
      <c r="Q219">
        <v>0.1</v>
      </c>
      <c r="R219">
        <v>4595.76</v>
      </c>
      <c r="S219">
        <v>3396.8</v>
      </c>
      <c r="T219">
        <v>4595.76</v>
      </c>
      <c r="U219">
        <v>1198.96</v>
      </c>
      <c r="V219">
        <v>0.26088394520166402</v>
      </c>
      <c r="W219">
        <v>7</v>
      </c>
      <c r="X219" t="s">
        <v>179</v>
      </c>
      <c r="Y219">
        <v>2025</v>
      </c>
      <c r="Z219" t="s">
        <v>203</v>
      </c>
      <c r="AA219" t="s">
        <v>165</v>
      </c>
      <c r="AB219" t="s">
        <v>131</v>
      </c>
      <c r="AC219" t="s">
        <v>131</v>
      </c>
      <c r="AD219" t="s">
        <v>131</v>
      </c>
      <c r="AE219" t="s">
        <v>131</v>
      </c>
      <c r="AF219" t="s">
        <v>131</v>
      </c>
      <c r="AG219" t="s">
        <v>131</v>
      </c>
      <c r="AH219" t="s">
        <v>131</v>
      </c>
      <c r="AI219" t="s">
        <v>133</v>
      </c>
      <c r="AJ219" t="s">
        <v>1048</v>
      </c>
      <c r="AK219" t="s">
        <v>1049</v>
      </c>
      <c r="AL219" t="s">
        <v>191</v>
      </c>
      <c r="AM219" t="s">
        <v>42</v>
      </c>
      <c r="AN219" t="s">
        <v>8</v>
      </c>
      <c r="AO219" t="s">
        <v>140</v>
      </c>
      <c r="AP219" t="s">
        <v>141</v>
      </c>
      <c r="AQ219" t="s">
        <v>18</v>
      </c>
      <c r="AR219" t="s">
        <v>26</v>
      </c>
      <c r="AS219" t="s">
        <v>37</v>
      </c>
      <c r="AT219">
        <v>0.1</v>
      </c>
      <c r="AU219" t="s">
        <v>203</v>
      </c>
      <c r="AV219" t="s">
        <v>165</v>
      </c>
    </row>
    <row r="220" spans="1:48" x14ac:dyDescent="0.3">
      <c r="A220" t="s">
        <v>1050</v>
      </c>
      <c r="B220" s="12">
        <v>45714</v>
      </c>
      <c r="C220" s="12">
        <v>45715</v>
      </c>
      <c r="D220" t="s">
        <v>1051</v>
      </c>
      <c r="E220" t="s">
        <v>221</v>
      </c>
      <c r="F220" t="s">
        <v>43</v>
      </c>
      <c r="G220" t="s">
        <v>7</v>
      </c>
      <c r="H220" t="s">
        <v>300</v>
      </c>
      <c r="I220" t="s">
        <v>301</v>
      </c>
      <c r="J220" t="s">
        <v>18</v>
      </c>
      <c r="K220" t="s">
        <v>26</v>
      </c>
      <c r="M220" t="s">
        <v>35</v>
      </c>
      <c r="N220">
        <v>5</v>
      </c>
      <c r="O220">
        <v>258.27999999999997</v>
      </c>
      <c r="P220">
        <v>0</v>
      </c>
      <c r="Q220">
        <v>0</v>
      </c>
      <c r="R220">
        <v>1291.4000000000001</v>
      </c>
      <c r="S220">
        <v>756.93</v>
      </c>
      <c r="T220">
        <v>1291.4000000000001</v>
      </c>
      <c r="U220">
        <v>534.47</v>
      </c>
      <c r="V220">
        <v>0.41386866966083302</v>
      </c>
      <c r="W220">
        <v>1</v>
      </c>
      <c r="X220" t="s">
        <v>186</v>
      </c>
      <c r="Y220">
        <v>2025</v>
      </c>
      <c r="Z220" t="s">
        <v>129</v>
      </c>
      <c r="AA220" t="s">
        <v>130</v>
      </c>
      <c r="AB220" t="s">
        <v>131</v>
      </c>
      <c r="AC220" t="s">
        <v>131</v>
      </c>
      <c r="AD220" t="s">
        <v>131</v>
      </c>
      <c r="AE220" t="s">
        <v>131</v>
      </c>
      <c r="AF220" t="s">
        <v>131</v>
      </c>
      <c r="AG220" t="s">
        <v>131</v>
      </c>
      <c r="AH220" t="s">
        <v>132</v>
      </c>
      <c r="AI220" t="s">
        <v>133</v>
      </c>
      <c r="AJ220" t="s">
        <v>1052</v>
      </c>
      <c r="AK220" t="s">
        <v>1053</v>
      </c>
      <c r="AL220" t="s">
        <v>221</v>
      </c>
      <c r="AM220" t="s">
        <v>43</v>
      </c>
      <c r="AN220" t="s">
        <v>7</v>
      </c>
      <c r="AO220" t="s">
        <v>300</v>
      </c>
      <c r="AP220" t="s">
        <v>301</v>
      </c>
      <c r="AQ220" t="s">
        <v>18</v>
      </c>
      <c r="AR220" t="s">
        <v>26</v>
      </c>
      <c r="AS220" t="s">
        <v>35</v>
      </c>
      <c r="AT220">
        <v>0</v>
      </c>
      <c r="AU220" t="s">
        <v>129</v>
      </c>
      <c r="AV220" t="s">
        <v>130</v>
      </c>
    </row>
    <row r="221" spans="1:48" x14ac:dyDescent="0.3">
      <c r="A221" t="s">
        <v>1054</v>
      </c>
      <c r="B221" s="12">
        <v>45461</v>
      </c>
      <c r="C221" s="12">
        <v>45462</v>
      </c>
      <c r="D221" t="s">
        <v>1055</v>
      </c>
      <c r="E221" t="s">
        <v>227</v>
      </c>
      <c r="F221" t="s">
        <v>42</v>
      </c>
      <c r="G221" t="s">
        <v>8</v>
      </c>
      <c r="H221" t="s">
        <v>259</v>
      </c>
      <c r="I221" t="s">
        <v>260</v>
      </c>
      <c r="J221" t="s">
        <v>15</v>
      </c>
      <c r="K221" t="s">
        <v>25</v>
      </c>
      <c r="M221" t="s">
        <v>36</v>
      </c>
      <c r="N221">
        <v>2</v>
      </c>
      <c r="O221">
        <v>121.49</v>
      </c>
      <c r="P221">
        <v>0.85</v>
      </c>
      <c r="Q221">
        <v>0</v>
      </c>
      <c r="R221">
        <v>242.98</v>
      </c>
      <c r="S221">
        <v>161.41999999999999</v>
      </c>
      <c r="T221">
        <v>242.98</v>
      </c>
      <c r="U221">
        <v>81.56</v>
      </c>
      <c r="V221">
        <v>0.33566548687134701</v>
      </c>
      <c r="W221">
        <v>1</v>
      </c>
      <c r="X221" t="s">
        <v>148</v>
      </c>
      <c r="Y221">
        <v>2024</v>
      </c>
      <c r="Z221" t="s">
        <v>129</v>
      </c>
      <c r="AA221" t="s">
        <v>130</v>
      </c>
      <c r="AB221" t="s">
        <v>131</v>
      </c>
      <c r="AC221" t="s">
        <v>131</v>
      </c>
      <c r="AD221" t="s">
        <v>131</v>
      </c>
      <c r="AE221" t="s">
        <v>131</v>
      </c>
      <c r="AF221" t="s">
        <v>132</v>
      </c>
      <c r="AG221" t="s">
        <v>131</v>
      </c>
      <c r="AH221" t="s">
        <v>132</v>
      </c>
      <c r="AI221" t="s">
        <v>149</v>
      </c>
      <c r="AJ221" t="s">
        <v>668</v>
      </c>
      <c r="AK221" t="s">
        <v>1056</v>
      </c>
      <c r="AL221" t="s">
        <v>227</v>
      </c>
      <c r="AM221" t="s">
        <v>42</v>
      </c>
      <c r="AN221" t="s">
        <v>8</v>
      </c>
      <c r="AO221" t="s">
        <v>259</v>
      </c>
      <c r="AP221" t="s">
        <v>260</v>
      </c>
      <c r="AQ221" t="s">
        <v>15</v>
      </c>
      <c r="AR221" t="s">
        <v>25</v>
      </c>
      <c r="AS221" t="s">
        <v>36</v>
      </c>
      <c r="AT221" t="s">
        <v>1057</v>
      </c>
      <c r="AU221" t="s">
        <v>129</v>
      </c>
      <c r="AV221" t="s">
        <v>130</v>
      </c>
    </row>
    <row r="222" spans="1:48" x14ac:dyDescent="0.3">
      <c r="A222" t="s">
        <v>1058</v>
      </c>
      <c r="B222" s="12">
        <v>45538</v>
      </c>
      <c r="C222" s="12">
        <v>45538</v>
      </c>
      <c r="D222" t="s">
        <v>1059</v>
      </c>
      <c r="E222" t="s">
        <v>243</v>
      </c>
      <c r="F222" t="s">
        <v>42</v>
      </c>
      <c r="G222" t="s">
        <v>6</v>
      </c>
      <c r="H222" t="s">
        <v>305</v>
      </c>
      <c r="I222" t="s">
        <v>306</v>
      </c>
      <c r="J222" t="s">
        <v>20</v>
      </c>
      <c r="K222" t="s">
        <v>21</v>
      </c>
      <c r="M222" t="s">
        <v>36</v>
      </c>
      <c r="N222">
        <v>4</v>
      </c>
      <c r="O222">
        <v>2810.17</v>
      </c>
      <c r="P222">
        <v>0.15</v>
      </c>
      <c r="Q222">
        <v>0.15</v>
      </c>
      <c r="R222">
        <v>9554.58</v>
      </c>
      <c r="S222">
        <v>6068.47</v>
      </c>
      <c r="T222">
        <v>9554.5779999999995</v>
      </c>
      <c r="U222">
        <v>3486.1080000000002</v>
      </c>
      <c r="V222">
        <v>0.36486258210462003</v>
      </c>
      <c r="W222">
        <v>0</v>
      </c>
      <c r="X222" t="s">
        <v>196</v>
      </c>
      <c r="Y222">
        <v>2024</v>
      </c>
      <c r="Z222" t="s">
        <v>203</v>
      </c>
      <c r="AA222" t="s">
        <v>165</v>
      </c>
      <c r="AB222" t="s">
        <v>131</v>
      </c>
      <c r="AC222" t="s">
        <v>131</v>
      </c>
      <c r="AD222" t="s">
        <v>131</v>
      </c>
      <c r="AE222" t="s">
        <v>131</v>
      </c>
      <c r="AF222" t="s">
        <v>131</v>
      </c>
      <c r="AG222" t="s">
        <v>131</v>
      </c>
      <c r="AH222" t="s">
        <v>131</v>
      </c>
      <c r="AI222" t="s">
        <v>133</v>
      </c>
      <c r="AJ222" t="s">
        <v>1060</v>
      </c>
      <c r="AK222" t="s">
        <v>1060</v>
      </c>
      <c r="AL222" t="s">
        <v>243</v>
      </c>
      <c r="AM222" t="s">
        <v>42</v>
      </c>
      <c r="AN222" t="s">
        <v>6</v>
      </c>
      <c r="AO222" t="s">
        <v>305</v>
      </c>
      <c r="AP222" t="s">
        <v>306</v>
      </c>
      <c r="AQ222" t="s">
        <v>20</v>
      </c>
      <c r="AR222" t="s">
        <v>21</v>
      </c>
      <c r="AS222" t="s">
        <v>36</v>
      </c>
      <c r="AT222">
        <v>0.15</v>
      </c>
      <c r="AU222" t="s">
        <v>203</v>
      </c>
      <c r="AV222" t="s">
        <v>165</v>
      </c>
    </row>
    <row r="223" spans="1:48" x14ac:dyDescent="0.3">
      <c r="A223" t="s">
        <v>1061</v>
      </c>
      <c r="B223" s="12">
        <v>45669</v>
      </c>
      <c r="C223" s="12">
        <v>45672</v>
      </c>
      <c r="D223" t="s">
        <v>1062</v>
      </c>
      <c r="E223" t="s">
        <v>139</v>
      </c>
      <c r="F223" t="s">
        <v>43</v>
      </c>
      <c r="G223" t="s">
        <v>6</v>
      </c>
      <c r="H223" t="s">
        <v>294</v>
      </c>
      <c r="I223" t="s">
        <v>295</v>
      </c>
      <c r="J223" t="s">
        <v>18</v>
      </c>
      <c r="K223" t="s">
        <v>19</v>
      </c>
      <c r="M223" t="s">
        <v>38</v>
      </c>
      <c r="N223">
        <v>4</v>
      </c>
      <c r="O223">
        <v>1531.53</v>
      </c>
      <c r="P223">
        <v>0.2</v>
      </c>
      <c r="Q223">
        <v>0.2</v>
      </c>
      <c r="R223">
        <v>4900.8999999999996</v>
      </c>
      <c r="S223">
        <v>3552.69</v>
      </c>
      <c r="T223">
        <v>4900.8959999999997</v>
      </c>
      <c r="U223">
        <v>1348.2059999999999</v>
      </c>
      <c r="V223">
        <v>0.27509377877024899</v>
      </c>
      <c r="W223">
        <v>3</v>
      </c>
      <c r="X223" t="s">
        <v>244</v>
      </c>
      <c r="Y223">
        <v>2025</v>
      </c>
      <c r="Z223" t="s">
        <v>129</v>
      </c>
      <c r="AA223" t="s">
        <v>130</v>
      </c>
      <c r="AB223" t="s">
        <v>131</v>
      </c>
      <c r="AC223" t="s">
        <v>131</v>
      </c>
      <c r="AD223" t="s">
        <v>131</v>
      </c>
      <c r="AE223" t="s">
        <v>131</v>
      </c>
      <c r="AF223" t="s">
        <v>131</v>
      </c>
      <c r="AG223" t="s">
        <v>131</v>
      </c>
      <c r="AH223" t="s">
        <v>132</v>
      </c>
      <c r="AI223" t="s">
        <v>133</v>
      </c>
      <c r="AJ223" t="s">
        <v>1063</v>
      </c>
      <c r="AK223" t="s">
        <v>1064</v>
      </c>
      <c r="AL223" t="s">
        <v>139</v>
      </c>
      <c r="AM223" t="s">
        <v>43</v>
      </c>
      <c r="AN223" t="s">
        <v>6</v>
      </c>
      <c r="AO223" t="s">
        <v>294</v>
      </c>
      <c r="AP223" t="s">
        <v>295</v>
      </c>
      <c r="AQ223" t="s">
        <v>18</v>
      </c>
      <c r="AR223" t="s">
        <v>19</v>
      </c>
      <c r="AS223" t="s">
        <v>38</v>
      </c>
      <c r="AT223">
        <v>0.2</v>
      </c>
      <c r="AU223" t="s">
        <v>129</v>
      </c>
      <c r="AV223" t="s">
        <v>130</v>
      </c>
    </row>
    <row r="224" spans="1:48" x14ac:dyDescent="0.3">
      <c r="A224" t="s">
        <v>1065</v>
      </c>
      <c r="B224" s="12">
        <v>45776</v>
      </c>
      <c r="C224" s="12">
        <v>45779</v>
      </c>
      <c r="D224" t="s">
        <v>1066</v>
      </c>
      <c r="E224" t="s">
        <v>170</v>
      </c>
      <c r="F224" t="s">
        <v>44</v>
      </c>
      <c r="G224" t="s">
        <v>7</v>
      </c>
      <c r="H224" t="s">
        <v>311</v>
      </c>
      <c r="I224" t="s">
        <v>312</v>
      </c>
      <c r="J224" t="s">
        <v>20</v>
      </c>
      <c r="K224" t="s">
        <v>21</v>
      </c>
      <c r="M224" t="s">
        <v>36</v>
      </c>
      <c r="N224">
        <v>6</v>
      </c>
      <c r="O224">
        <v>4308.09</v>
      </c>
      <c r="P224">
        <v>0</v>
      </c>
      <c r="Q224">
        <v>0</v>
      </c>
      <c r="R224">
        <v>25848.54</v>
      </c>
      <c r="S224">
        <v>17729.09</v>
      </c>
      <c r="T224">
        <v>25848.54</v>
      </c>
      <c r="U224">
        <v>8119.45</v>
      </c>
      <c r="V224">
        <v>0.31411638723115498</v>
      </c>
      <c r="W224">
        <v>3</v>
      </c>
      <c r="X224" t="s">
        <v>179</v>
      </c>
      <c r="Y224">
        <v>2025</v>
      </c>
      <c r="Z224" t="s">
        <v>129</v>
      </c>
      <c r="AA224" t="s">
        <v>130</v>
      </c>
      <c r="AB224" t="s">
        <v>131</v>
      </c>
      <c r="AC224" t="s">
        <v>131</v>
      </c>
      <c r="AD224" t="s">
        <v>131</v>
      </c>
      <c r="AE224" t="s">
        <v>131</v>
      </c>
      <c r="AF224" t="s">
        <v>131</v>
      </c>
      <c r="AG224" t="s">
        <v>131</v>
      </c>
      <c r="AH224" t="s">
        <v>132</v>
      </c>
      <c r="AI224" t="s">
        <v>133</v>
      </c>
      <c r="AJ224" t="s">
        <v>1067</v>
      </c>
      <c r="AK224" t="s">
        <v>931</v>
      </c>
      <c r="AL224" t="s">
        <v>170</v>
      </c>
      <c r="AM224" t="s">
        <v>44</v>
      </c>
      <c r="AN224" t="s">
        <v>7</v>
      </c>
      <c r="AO224" t="s">
        <v>311</v>
      </c>
      <c r="AP224" t="s">
        <v>312</v>
      </c>
      <c r="AQ224" t="s">
        <v>20</v>
      </c>
      <c r="AR224" t="s">
        <v>21</v>
      </c>
      <c r="AS224" t="s">
        <v>36</v>
      </c>
      <c r="AT224">
        <v>0</v>
      </c>
      <c r="AU224" t="s">
        <v>129</v>
      </c>
      <c r="AV224" t="s">
        <v>130</v>
      </c>
    </row>
    <row r="225" spans="1:48" x14ac:dyDescent="0.3">
      <c r="A225" t="s">
        <v>1068</v>
      </c>
      <c r="B225" s="12">
        <v>45707</v>
      </c>
      <c r="C225" s="12">
        <v>45714</v>
      </c>
      <c r="D225" t="s">
        <v>1069</v>
      </c>
      <c r="E225" t="s">
        <v>139</v>
      </c>
      <c r="F225" t="s">
        <v>43</v>
      </c>
      <c r="G225" t="s">
        <v>7</v>
      </c>
      <c r="H225" t="s">
        <v>163</v>
      </c>
      <c r="I225" t="s">
        <v>164</v>
      </c>
      <c r="J225" t="s">
        <v>18</v>
      </c>
      <c r="K225" t="s">
        <v>23</v>
      </c>
      <c r="M225" t="s">
        <v>36</v>
      </c>
      <c r="N225">
        <v>3</v>
      </c>
      <c r="O225">
        <v>490.3</v>
      </c>
      <c r="P225">
        <v>0.2</v>
      </c>
      <c r="Q225">
        <v>0.2</v>
      </c>
      <c r="R225">
        <v>1176.72</v>
      </c>
      <c r="S225">
        <v>654.33000000000004</v>
      </c>
      <c r="T225">
        <v>1176.72</v>
      </c>
      <c r="U225">
        <v>522.39</v>
      </c>
      <c r="V225">
        <v>0.44393738527432203</v>
      </c>
      <c r="W225">
        <v>7</v>
      </c>
      <c r="X225" t="s">
        <v>186</v>
      </c>
      <c r="Y225">
        <v>2025</v>
      </c>
      <c r="Z225" t="s">
        <v>215</v>
      </c>
      <c r="AA225" t="s">
        <v>204</v>
      </c>
      <c r="AB225" t="s">
        <v>131</v>
      </c>
      <c r="AC225" t="s">
        <v>131</v>
      </c>
      <c r="AD225" t="s">
        <v>131</v>
      </c>
      <c r="AE225" t="s">
        <v>131</v>
      </c>
      <c r="AF225" t="s">
        <v>131</v>
      </c>
      <c r="AG225" t="s">
        <v>131</v>
      </c>
      <c r="AH225" t="s">
        <v>131</v>
      </c>
      <c r="AI225" t="s">
        <v>133</v>
      </c>
      <c r="AJ225" t="s">
        <v>1070</v>
      </c>
      <c r="AK225" t="s">
        <v>1071</v>
      </c>
      <c r="AL225" t="s">
        <v>139</v>
      </c>
      <c r="AM225" t="s">
        <v>43</v>
      </c>
      <c r="AN225" t="s">
        <v>7</v>
      </c>
      <c r="AO225" t="s">
        <v>163</v>
      </c>
      <c r="AP225" t="s">
        <v>164</v>
      </c>
      <c r="AQ225" t="s">
        <v>18</v>
      </c>
      <c r="AR225" t="s">
        <v>23</v>
      </c>
      <c r="AS225" t="s">
        <v>36</v>
      </c>
      <c r="AT225">
        <v>0.2</v>
      </c>
      <c r="AU225" t="s">
        <v>215</v>
      </c>
      <c r="AV225" t="s">
        <v>204</v>
      </c>
    </row>
    <row r="226" spans="1:48" x14ac:dyDescent="0.3">
      <c r="A226" t="s">
        <v>1072</v>
      </c>
      <c r="B226" s="12">
        <v>45932</v>
      </c>
      <c r="C226" s="12">
        <v>45938</v>
      </c>
      <c r="D226" t="s">
        <v>1073</v>
      </c>
      <c r="E226" t="s">
        <v>147</v>
      </c>
      <c r="F226" t="s">
        <v>44</v>
      </c>
      <c r="G226" t="s">
        <v>9</v>
      </c>
      <c r="H226" t="s">
        <v>232</v>
      </c>
      <c r="I226" t="s">
        <v>233</v>
      </c>
      <c r="J226" t="s">
        <v>18</v>
      </c>
      <c r="K226" t="s">
        <v>23</v>
      </c>
      <c r="M226" t="s">
        <v>35</v>
      </c>
      <c r="N226">
        <v>4</v>
      </c>
      <c r="O226">
        <v>3944.64</v>
      </c>
      <c r="P226">
        <v>0.25</v>
      </c>
      <c r="Q226">
        <v>0.25</v>
      </c>
      <c r="R226">
        <v>11833.92</v>
      </c>
      <c r="S226">
        <v>6682.92</v>
      </c>
      <c r="T226">
        <v>11833.92</v>
      </c>
      <c r="U226">
        <v>5151</v>
      </c>
      <c r="V226">
        <v>0.43527419485681801</v>
      </c>
      <c r="W226">
        <v>6</v>
      </c>
      <c r="X226" t="s">
        <v>222</v>
      </c>
      <c r="Y226">
        <v>2025</v>
      </c>
      <c r="Z226" t="s">
        <v>129</v>
      </c>
      <c r="AA226" t="s">
        <v>165</v>
      </c>
      <c r="AB226" t="s">
        <v>131</v>
      </c>
      <c r="AC226" t="s">
        <v>131</v>
      </c>
      <c r="AD226" t="s">
        <v>131</v>
      </c>
      <c r="AE226" t="s">
        <v>131</v>
      </c>
      <c r="AF226" t="s">
        <v>131</v>
      </c>
      <c r="AG226" t="s">
        <v>132</v>
      </c>
      <c r="AH226" t="s">
        <v>131</v>
      </c>
      <c r="AI226" t="s">
        <v>149</v>
      </c>
      <c r="AJ226" t="s">
        <v>1074</v>
      </c>
      <c r="AK226" t="s">
        <v>1075</v>
      </c>
      <c r="AL226" t="s">
        <v>147</v>
      </c>
      <c r="AM226" t="s">
        <v>44</v>
      </c>
      <c r="AN226" t="s">
        <v>9</v>
      </c>
      <c r="AO226" t="s">
        <v>232</v>
      </c>
      <c r="AP226" t="s">
        <v>233</v>
      </c>
      <c r="AQ226" t="s">
        <v>18</v>
      </c>
      <c r="AR226" t="s">
        <v>23</v>
      </c>
      <c r="AS226" t="s">
        <v>35</v>
      </c>
      <c r="AT226">
        <v>0.25</v>
      </c>
      <c r="AU226" t="s">
        <v>129</v>
      </c>
      <c r="AV226" t="s">
        <v>165</v>
      </c>
    </row>
    <row r="227" spans="1:48" x14ac:dyDescent="0.3">
      <c r="A227" t="s">
        <v>1076</v>
      </c>
      <c r="B227" s="12">
        <v>45537</v>
      </c>
      <c r="C227" s="12">
        <v>45545</v>
      </c>
      <c r="D227" t="s">
        <v>1077</v>
      </c>
      <c r="E227" t="s">
        <v>139</v>
      </c>
      <c r="F227" t="s">
        <v>43</v>
      </c>
      <c r="G227" t="s">
        <v>7</v>
      </c>
      <c r="H227" t="s">
        <v>311</v>
      </c>
      <c r="I227" t="s">
        <v>312</v>
      </c>
      <c r="J227" t="s">
        <v>15</v>
      </c>
      <c r="K227" t="s">
        <v>17</v>
      </c>
      <c r="M227" t="s">
        <v>35</v>
      </c>
      <c r="N227">
        <v>6</v>
      </c>
      <c r="O227">
        <v>1032.47</v>
      </c>
      <c r="P227">
        <v>0.15</v>
      </c>
      <c r="Q227">
        <v>0.15</v>
      </c>
      <c r="R227">
        <v>5265.6</v>
      </c>
      <c r="S227">
        <v>4293.1099999999997</v>
      </c>
      <c r="T227">
        <v>5265.5969999999998</v>
      </c>
      <c r="U227">
        <v>972.48699999999997</v>
      </c>
      <c r="V227">
        <v>0.18468694053115001</v>
      </c>
      <c r="W227">
        <v>8</v>
      </c>
      <c r="X227" t="s">
        <v>196</v>
      </c>
      <c r="Y227">
        <v>2024</v>
      </c>
      <c r="Z227" t="s">
        <v>129</v>
      </c>
      <c r="AA227" t="s">
        <v>130</v>
      </c>
      <c r="AB227" t="s">
        <v>131</v>
      </c>
      <c r="AC227" t="s">
        <v>131</v>
      </c>
      <c r="AD227" t="s">
        <v>131</v>
      </c>
      <c r="AE227" t="s">
        <v>131</v>
      </c>
      <c r="AF227" t="s">
        <v>131</v>
      </c>
      <c r="AG227" t="s">
        <v>131</v>
      </c>
      <c r="AH227" t="s">
        <v>132</v>
      </c>
      <c r="AI227" t="s">
        <v>133</v>
      </c>
      <c r="AJ227" t="s">
        <v>1078</v>
      </c>
      <c r="AK227" t="s">
        <v>1079</v>
      </c>
      <c r="AL227" t="s">
        <v>139</v>
      </c>
      <c r="AM227" t="s">
        <v>43</v>
      </c>
      <c r="AN227" t="s">
        <v>7</v>
      </c>
      <c r="AO227" t="s">
        <v>311</v>
      </c>
      <c r="AP227" t="s">
        <v>312</v>
      </c>
      <c r="AQ227" t="s">
        <v>15</v>
      </c>
      <c r="AR227" t="s">
        <v>17</v>
      </c>
      <c r="AS227" t="s">
        <v>35</v>
      </c>
      <c r="AT227">
        <v>0.15</v>
      </c>
      <c r="AU227" t="s">
        <v>129</v>
      </c>
      <c r="AV227" t="s">
        <v>130</v>
      </c>
    </row>
    <row r="228" spans="1:48" x14ac:dyDescent="0.3">
      <c r="A228" t="s">
        <v>1080</v>
      </c>
      <c r="B228" s="12">
        <v>45757</v>
      </c>
      <c r="C228" s="12">
        <v>45762</v>
      </c>
      <c r="D228" t="s">
        <v>1081</v>
      </c>
      <c r="E228" t="s">
        <v>277</v>
      </c>
      <c r="F228" t="s">
        <v>41</v>
      </c>
      <c r="G228" t="s">
        <v>10</v>
      </c>
      <c r="H228" t="s">
        <v>305</v>
      </c>
      <c r="I228" t="s">
        <v>306</v>
      </c>
      <c r="J228" t="s">
        <v>15</v>
      </c>
      <c r="K228" t="s">
        <v>16</v>
      </c>
      <c r="M228" t="s">
        <v>38</v>
      </c>
      <c r="N228">
        <v>1</v>
      </c>
      <c r="O228">
        <v>2208.27</v>
      </c>
      <c r="P228">
        <v>0.1</v>
      </c>
      <c r="Q228">
        <v>0.1</v>
      </c>
      <c r="R228">
        <v>1987.44</v>
      </c>
      <c r="S228">
        <v>1110.23</v>
      </c>
      <c r="T228">
        <v>1987.443</v>
      </c>
      <c r="U228">
        <v>877.21299999999997</v>
      </c>
      <c r="V228">
        <v>0.44137768982557002</v>
      </c>
      <c r="W228">
        <v>5</v>
      </c>
      <c r="X228" t="s">
        <v>179</v>
      </c>
      <c r="Y228">
        <v>2025</v>
      </c>
      <c r="Z228" t="s">
        <v>129</v>
      </c>
      <c r="AA228" t="s">
        <v>130</v>
      </c>
      <c r="AB228" t="s">
        <v>132</v>
      </c>
      <c r="AC228" t="s">
        <v>131</v>
      </c>
      <c r="AD228" t="s">
        <v>131</v>
      </c>
      <c r="AE228" t="s">
        <v>131</v>
      </c>
      <c r="AF228" t="s">
        <v>131</v>
      </c>
      <c r="AG228" t="s">
        <v>131</v>
      </c>
      <c r="AH228" t="s">
        <v>132</v>
      </c>
      <c r="AI228" t="s">
        <v>321</v>
      </c>
      <c r="AJ228" t="s">
        <v>1082</v>
      </c>
      <c r="AK228" t="s">
        <v>1045</v>
      </c>
      <c r="AL228" t="s">
        <v>277</v>
      </c>
      <c r="AM228" t="s">
        <v>41</v>
      </c>
      <c r="AO228" t="s">
        <v>305</v>
      </c>
      <c r="AP228" t="s">
        <v>306</v>
      </c>
      <c r="AQ228" t="s">
        <v>15</v>
      </c>
      <c r="AR228" t="s">
        <v>16</v>
      </c>
      <c r="AS228" t="s">
        <v>38</v>
      </c>
      <c r="AT228">
        <v>0.1</v>
      </c>
      <c r="AU228" t="s">
        <v>129</v>
      </c>
      <c r="AV228" t="s">
        <v>130</v>
      </c>
    </row>
    <row r="229" spans="1:48" x14ac:dyDescent="0.3">
      <c r="A229" t="s">
        <v>1083</v>
      </c>
      <c r="B229" s="12">
        <v>45478</v>
      </c>
      <c r="C229" s="12">
        <v>45485</v>
      </c>
      <c r="D229" t="s">
        <v>1084</v>
      </c>
      <c r="E229" t="s">
        <v>162</v>
      </c>
      <c r="F229" t="s">
        <v>44</v>
      </c>
      <c r="G229" t="s">
        <v>7</v>
      </c>
      <c r="H229" t="s">
        <v>311</v>
      </c>
      <c r="I229" t="s">
        <v>312</v>
      </c>
      <c r="J229" t="s">
        <v>20</v>
      </c>
      <c r="K229" t="s">
        <v>28</v>
      </c>
      <c r="M229" t="s">
        <v>36</v>
      </c>
      <c r="N229">
        <v>3</v>
      </c>
      <c r="O229">
        <v>577.75</v>
      </c>
      <c r="P229">
        <v>0.15</v>
      </c>
      <c r="Q229">
        <v>0.15</v>
      </c>
      <c r="R229">
        <v>1473.26</v>
      </c>
      <c r="S229">
        <v>899.86</v>
      </c>
      <c r="T229">
        <v>1473.2625</v>
      </c>
      <c r="U229">
        <v>573.40250000000003</v>
      </c>
      <c r="V229">
        <v>0.38920592901808099</v>
      </c>
      <c r="W229">
        <v>7</v>
      </c>
      <c r="X229" t="s">
        <v>128</v>
      </c>
      <c r="Y229">
        <v>2024</v>
      </c>
      <c r="Z229" t="s">
        <v>129</v>
      </c>
      <c r="AA229" t="s">
        <v>130</v>
      </c>
      <c r="AB229" t="s">
        <v>131</v>
      </c>
      <c r="AC229" t="s">
        <v>131</v>
      </c>
      <c r="AD229" t="s">
        <v>131</v>
      </c>
      <c r="AE229" t="s">
        <v>131</v>
      </c>
      <c r="AF229" t="s">
        <v>131</v>
      </c>
      <c r="AG229" t="s">
        <v>131</v>
      </c>
      <c r="AH229" t="s">
        <v>132</v>
      </c>
      <c r="AI229" t="s">
        <v>133</v>
      </c>
      <c r="AJ229" t="s">
        <v>1085</v>
      </c>
      <c r="AK229" t="s">
        <v>1086</v>
      </c>
      <c r="AL229" t="s">
        <v>162</v>
      </c>
      <c r="AM229" t="s">
        <v>1087</v>
      </c>
      <c r="AN229" t="s">
        <v>7</v>
      </c>
      <c r="AO229" t="s">
        <v>311</v>
      </c>
      <c r="AP229" t="s">
        <v>312</v>
      </c>
      <c r="AQ229" t="s">
        <v>20</v>
      </c>
      <c r="AR229" t="s">
        <v>28</v>
      </c>
      <c r="AS229" t="s">
        <v>36</v>
      </c>
      <c r="AT229">
        <v>0.15</v>
      </c>
      <c r="AU229" t="s">
        <v>129</v>
      </c>
      <c r="AV229" t="s">
        <v>130</v>
      </c>
    </row>
    <row r="230" spans="1:48" x14ac:dyDescent="0.3">
      <c r="A230" t="s">
        <v>1088</v>
      </c>
      <c r="B230" s="12">
        <v>45406</v>
      </c>
      <c r="C230" s="12">
        <v>45410</v>
      </c>
      <c r="D230" t="s">
        <v>1089</v>
      </c>
      <c r="E230" t="s">
        <v>125</v>
      </c>
      <c r="F230" t="s">
        <v>44</v>
      </c>
      <c r="G230" t="s">
        <v>6</v>
      </c>
      <c r="H230" t="s">
        <v>155</v>
      </c>
      <c r="I230" t="s">
        <v>156</v>
      </c>
      <c r="J230" t="s">
        <v>20</v>
      </c>
      <c r="K230" t="s">
        <v>30</v>
      </c>
      <c r="M230" t="s">
        <v>37</v>
      </c>
      <c r="N230">
        <v>1</v>
      </c>
      <c r="O230">
        <v>3194.37</v>
      </c>
      <c r="P230">
        <v>0.15</v>
      </c>
      <c r="Q230">
        <v>0.15</v>
      </c>
      <c r="R230">
        <v>2715.21</v>
      </c>
      <c r="S230">
        <v>1551.55</v>
      </c>
      <c r="T230">
        <v>2715.2145</v>
      </c>
      <c r="U230">
        <v>1163.6645000000001</v>
      </c>
      <c r="V230">
        <v>0.42857184948003202</v>
      </c>
      <c r="W230">
        <v>4</v>
      </c>
      <c r="X230" t="s">
        <v>179</v>
      </c>
      <c r="Y230">
        <v>2024</v>
      </c>
      <c r="Z230" t="s">
        <v>129</v>
      </c>
      <c r="AA230" t="s">
        <v>130</v>
      </c>
      <c r="AB230" t="s">
        <v>131</v>
      </c>
      <c r="AC230" t="s">
        <v>131</v>
      </c>
      <c r="AD230" t="s">
        <v>131</v>
      </c>
      <c r="AE230" t="s">
        <v>131</v>
      </c>
      <c r="AF230" t="s">
        <v>131</v>
      </c>
      <c r="AG230" t="s">
        <v>131</v>
      </c>
      <c r="AH230" t="s">
        <v>132</v>
      </c>
      <c r="AI230" t="s">
        <v>133</v>
      </c>
      <c r="AJ230" t="s">
        <v>1090</v>
      </c>
      <c r="AK230" t="s">
        <v>1091</v>
      </c>
      <c r="AL230" t="s">
        <v>125</v>
      </c>
      <c r="AM230" t="s">
        <v>44</v>
      </c>
      <c r="AN230" t="s">
        <v>6</v>
      </c>
      <c r="AO230" t="s">
        <v>155</v>
      </c>
      <c r="AP230" t="s">
        <v>156</v>
      </c>
      <c r="AQ230" t="s">
        <v>20</v>
      </c>
      <c r="AR230" t="s">
        <v>30</v>
      </c>
      <c r="AS230" t="s">
        <v>37</v>
      </c>
      <c r="AT230">
        <v>0.15</v>
      </c>
      <c r="AU230" t="s">
        <v>129</v>
      </c>
      <c r="AV230" t="s">
        <v>130</v>
      </c>
    </row>
    <row r="231" spans="1:48" x14ac:dyDescent="0.3">
      <c r="A231" t="s">
        <v>1092</v>
      </c>
      <c r="B231" s="12">
        <v>45836</v>
      </c>
      <c r="C231" s="12">
        <v>45842</v>
      </c>
      <c r="D231" t="s">
        <v>1093</v>
      </c>
      <c r="E231" t="s">
        <v>255</v>
      </c>
      <c r="F231" t="s">
        <v>42</v>
      </c>
      <c r="G231" t="s">
        <v>6</v>
      </c>
      <c r="H231" t="s">
        <v>155</v>
      </c>
      <c r="I231" t="s">
        <v>156</v>
      </c>
      <c r="J231" t="s">
        <v>18</v>
      </c>
      <c r="K231" t="s">
        <v>26</v>
      </c>
      <c r="M231" t="s">
        <v>36</v>
      </c>
      <c r="N231">
        <v>3</v>
      </c>
      <c r="O231">
        <v>2886.23</v>
      </c>
      <c r="P231">
        <v>0</v>
      </c>
      <c r="Q231">
        <v>0</v>
      </c>
      <c r="R231">
        <v>8658.69</v>
      </c>
      <c r="S231">
        <v>5535.94</v>
      </c>
      <c r="T231">
        <v>8658.69</v>
      </c>
      <c r="U231">
        <v>3122.75</v>
      </c>
      <c r="V231">
        <v>0.36064924370776702</v>
      </c>
      <c r="W231">
        <v>6</v>
      </c>
      <c r="X231" t="s">
        <v>148</v>
      </c>
      <c r="Y231">
        <v>2025</v>
      </c>
      <c r="Z231" t="s">
        <v>203</v>
      </c>
      <c r="AA231" t="s">
        <v>204</v>
      </c>
      <c r="AB231" t="s">
        <v>131</v>
      </c>
      <c r="AC231" t="s">
        <v>131</v>
      </c>
      <c r="AD231" t="s">
        <v>131</v>
      </c>
      <c r="AE231" t="s">
        <v>131</v>
      </c>
      <c r="AF231" t="s">
        <v>131</v>
      </c>
      <c r="AG231" t="s">
        <v>131</v>
      </c>
      <c r="AH231" t="s">
        <v>131</v>
      </c>
      <c r="AI231" t="s">
        <v>133</v>
      </c>
      <c r="AJ231" t="s">
        <v>1094</v>
      </c>
      <c r="AK231" t="s">
        <v>1095</v>
      </c>
      <c r="AL231" t="s">
        <v>255</v>
      </c>
      <c r="AM231" t="s">
        <v>42</v>
      </c>
      <c r="AN231" t="s">
        <v>6</v>
      </c>
      <c r="AO231" t="s">
        <v>155</v>
      </c>
      <c r="AP231" t="s">
        <v>156</v>
      </c>
      <c r="AQ231" t="s">
        <v>18</v>
      </c>
      <c r="AR231" t="s">
        <v>26</v>
      </c>
      <c r="AS231" t="s">
        <v>36</v>
      </c>
      <c r="AT231">
        <v>0</v>
      </c>
      <c r="AU231" t="s">
        <v>203</v>
      </c>
      <c r="AV231" t="s">
        <v>204</v>
      </c>
    </row>
    <row r="232" spans="1:48" x14ac:dyDescent="0.3">
      <c r="A232" t="s">
        <v>1096</v>
      </c>
      <c r="B232" s="12">
        <v>45440</v>
      </c>
      <c r="C232" s="12">
        <v>45446</v>
      </c>
      <c r="D232" t="s">
        <v>1097</v>
      </c>
      <c r="E232" t="s">
        <v>178</v>
      </c>
      <c r="F232" t="s">
        <v>44</v>
      </c>
      <c r="G232" t="s">
        <v>9</v>
      </c>
      <c r="H232" t="s">
        <v>126</v>
      </c>
      <c r="I232" t="s">
        <v>127</v>
      </c>
      <c r="J232" t="s">
        <v>20</v>
      </c>
      <c r="K232" t="s">
        <v>24</v>
      </c>
      <c r="M232" t="s">
        <v>35</v>
      </c>
      <c r="N232">
        <v>8</v>
      </c>
      <c r="O232">
        <v>1540.33</v>
      </c>
      <c r="P232">
        <v>0.1</v>
      </c>
      <c r="Q232">
        <v>0.1</v>
      </c>
      <c r="R232">
        <v>11090.38</v>
      </c>
      <c r="S232">
        <v>8840.9500000000007</v>
      </c>
      <c r="T232">
        <v>11090.376</v>
      </c>
      <c r="U232">
        <v>2249.4259999999999</v>
      </c>
      <c r="V232">
        <v>0.20282684734945</v>
      </c>
      <c r="W232">
        <v>6</v>
      </c>
      <c r="X232" t="s">
        <v>173</v>
      </c>
      <c r="Y232">
        <v>2024</v>
      </c>
      <c r="Z232" t="s">
        <v>129</v>
      </c>
      <c r="AA232" t="s">
        <v>130</v>
      </c>
      <c r="AB232" t="s">
        <v>131</v>
      </c>
      <c r="AC232" t="s">
        <v>131</v>
      </c>
      <c r="AD232" t="s">
        <v>131</v>
      </c>
      <c r="AE232" t="s">
        <v>131</v>
      </c>
      <c r="AF232" t="s">
        <v>131</v>
      </c>
      <c r="AG232" t="s">
        <v>131</v>
      </c>
      <c r="AH232" t="s">
        <v>132</v>
      </c>
      <c r="AI232" t="s">
        <v>133</v>
      </c>
      <c r="AJ232" t="s">
        <v>175</v>
      </c>
      <c r="AK232" t="s">
        <v>1098</v>
      </c>
      <c r="AL232" t="s">
        <v>178</v>
      </c>
      <c r="AM232" t="s">
        <v>44</v>
      </c>
      <c r="AN232" t="s">
        <v>9</v>
      </c>
      <c r="AO232" t="s">
        <v>126</v>
      </c>
      <c r="AP232" t="s">
        <v>127</v>
      </c>
      <c r="AQ232" t="s">
        <v>20</v>
      </c>
      <c r="AR232" t="s">
        <v>24</v>
      </c>
      <c r="AS232" t="s">
        <v>35</v>
      </c>
      <c r="AT232">
        <v>0.1</v>
      </c>
      <c r="AU232" t="s">
        <v>129</v>
      </c>
      <c r="AV232" t="s">
        <v>130</v>
      </c>
    </row>
    <row r="233" spans="1:48" x14ac:dyDescent="0.3">
      <c r="A233" t="s">
        <v>1099</v>
      </c>
      <c r="B233" s="12">
        <v>45414</v>
      </c>
      <c r="C233" s="12">
        <v>45414</v>
      </c>
      <c r="D233" t="s">
        <v>1100</v>
      </c>
      <c r="E233" t="s">
        <v>162</v>
      </c>
      <c r="F233" t="s">
        <v>43</v>
      </c>
      <c r="G233" t="s">
        <v>9</v>
      </c>
      <c r="H233" t="s">
        <v>126</v>
      </c>
      <c r="I233" t="s">
        <v>127</v>
      </c>
      <c r="J233" t="s">
        <v>20</v>
      </c>
      <c r="K233" t="s">
        <v>30</v>
      </c>
      <c r="M233" t="s">
        <v>36</v>
      </c>
      <c r="N233">
        <v>7</v>
      </c>
      <c r="O233">
        <v>2183.38</v>
      </c>
      <c r="P233">
        <v>0.25</v>
      </c>
      <c r="Q233">
        <v>0.25</v>
      </c>
      <c r="R233">
        <v>11462.74</v>
      </c>
      <c r="S233">
        <v>7163.54</v>
      </c>
      <c r="T233">
        <v>11462.745000000001</v>
      </c>
      <c r="U233">
        <v>4299.2049999999999</v>
      </c>
      <c r="V233">
        <v>0.375058940943029</v>
      </c>
      <c r="W233">
        <v>0</v>
      </c>
      <c r="X233" t="s">
        <v>173</v>
      </c>
      <c r="Y233">
        <v>2024</v>
      </c>
      <c r="Z233" t="s">
        <v>203</v>
      </c>
      <c r="AA233" t="s">
        <v>165</v>
      </c>
      <c r="AB233" t="s">
        <v>131</v>
      </c>
      <c r="AC233" t="s">
        <v>131</v>
      </c>
      <c r="AD233" t="s">
        <v>131</v>
      </c>
      <c r="AE233" t="s">
        <v>131</v>
      </c>
      <c r="AF233" t="s">
        <v>131</v>
      </c>
      <c r="AG233" t="s">
        <v>131</v>
      </c>
      <c r="AH233" t="s">
        <v>131</v>
      </c>
      <c r="AI233" t="s">
        <v>133</v>
      </c>
      <c r="AJ233" t="s">
        <v>1101</v>
      </c>
      <c r="AK233" t="s">
        <v>1102</v>
      </c>
      <c r="AL233" t="s">
        <v>162</v>
      </c>
      <c r="AM233" t="s">
        <v>43</v>
      </c>
      <c r="AN233" t="s">
        <v>9</v>
      </c>
      <c r="AO233" t="s">
        <v>126</v>
      </c>
      <c r="AP233" t="s">
        <v>127</v>
      </c>
      <c r="AQ233" t="s">
        <v>1103</v>
      </c>
      <c r="AR233" t="s">
        <v>30</v>
      </c>
      <c r="AS233" t="s">
        <v>36</v>
      </c>
      <c r="AT233">
        <v>0.25</v>
      </c>
      <c r="AU233" t="s">
        <v>203</v>
      </c>
      <c r="AV233" t="s">
        <v>165</v>
      </c>
    </row>
    <row r="234" spans="1:48" x14ac:dyDescent="0.3">
      <c r="A234" t="s">
        <v>1104</v>
      </c>
      <c r="B234" s="12">
        <v>45812</v>
      </c>
      <c r="C234" s="12">
        <v>45818</v>
      </c>
      <c r="D234" t="s">
        <v>1105</v>
      </c>
      <c r="E234" t="s">
        <v>227</v>
      </c>
      <c r="F234" t="s">
        <v>42</v>
      </c>
      <c r="G234" t="s">
        <v>6</v>
      </c>
      <c r="H234" t="s">
        <v>184</v>
      </c>
      <c r="I234" t="s">
        <v>185</v>
      </c>
      <c r="J234" t="s">
        <v>15</v>
      </c>
      <c r="K234" t="s">
        <v>17</v>
      </c>
      <c r="M234" t="s">
        <v>35</v>
      </c>
      <c r="N234">
        <v>4</v>
      </c>
      <c r="O234">
        <v>223.37</v>
      </c>
      <c r="P234">
        <v>0.25</v>
      </c>
      <c r="Q234">
        <v>0.25</v>
      </c>
      <c r="R234">
        <v>670.11</v>
      </c>
      <c r="S234">
        <v>559.57000000000005</v>
      </c>
      <c r="T234">
        <v>670.11</v>
      </c>
      <c r="U234">
        <v>110.54</v>
      </c>
      <c r="V234">
        <v>0.16495799197146699</v>
      </c>
      <c r="W234">
        <v>6</v>
      </c>
      <c r="X234" t="s">
        <v>148</v>
      </c>
      <c r="Y234">
        <v>2025</v>
      </c>
      <c r="Z234" t="s">
        <v>129</v>
      </c>
      <c r="AA234" t="s">
        <v>130</v>
      </c>
      <c r="AB234" t="s">
        <v>131</v>
      </c>
      <c r="AC234" t="s">
        <v>131</v>
      </c>
      <c r="AD234" t="s">
        <v>131</v>
      </c>
      <c r="AE234" t="s">
        <v>131</v>
      </c>
      <c r="AF234" t="s">
        <v>131</v>
      </c>
      <c r="AG234" t="s">
        <v>131</v>
      </c>
      <c r="AH234" t="s">
        <v>132</v>
      </c>
      <c r="AI234" t="s">
        <v>133</v>
      </c>
      <c r="AJ234" t="s">
        <v>1106</v>
      </c>
      <c r="AK234" t="s">
        <v>1107</v>
      </c>
      <c r="AL234" t="s">
        <v>227</v>
      </c>
      <c r="AM234" t="s">
        <v>42</v>
      </c>
      <c r="AN234" t="s">
        <v>6</v>
      </c>
      <c r="AO234" t="s">
        <v>184</v>
      </c>
      <c r="AP234" t="s">
        <v>185</v>
      </c>
      <c r="AQ234" t="s">
        <v>15</v>
      </c>
      <c r="AR234" t="s">
        <v>17</v>
      </c>
      <c r="AS234" t="s">
        <v>35</v>
      </c>
      <c r="AT234">
        <v>0.25</v>
      </c>
      <c r="AU234" t="s">
        <v>129</v>
      </c>
      <c r="AV234" t="s">
        <v>130</v>
      </c>
    </row>
    <row r="235" spans="1:48" x14ac:dyDescent="0.3">
      <c r="A235" t="s">
        <v>1108</v>
      </c>
      <c r="B235" s="12">
        <v>45579</v>
      </c>
      <c r="C235" s="12">
        <v>45579</v>
      </c>
      <c r="D235" t="s">
        <v>1109</v>
      </c>
      <c r="E235" t="s">
        <v>170</v>
      </c>
      <c r="F235" t="s">
        <v>43</v>
      </c>
      <c r="G235" t="s">
        <v>6</v>
      </c>
      <c r="H235" t="s">
        <v>294</v>
      </c>
      <c r="I235" t="s">
        <v>295</v>
      </c>
      <c r="J235" t="s">
        <v>18</v>
      </c>
      <c r="K235" t="s">
        <v>26</v>
      </c>
      <c r="M235" t="s">
        <v>10</v>
      </c>
      <c r="N235">
        <v>8</v>
      </c>
      <c r="O235">
        <v>3904.59</v>
      </c>
      <c r="P235">
        <v>0</v>
      </c>
      <c r="Q235">
        <v>0</v>
      </c>
      <c r="R235">
        <v>31236.720000000001</v>
      </c>
      <c r="S235">
        <v>26377.7</v>
      </c>
      <c r="T235">
        <v>31236.720000000001</v>
      </c>
      <c r="U235">
        <v>4859.0200000000004</v>
      </c>
      <c r="V235">
        <v>0.15555474454424201</v>
      </c>
      <c r="W235">
        <v>0</v>
      </c>
      <c r="X235" t="s">
        <v>222</v>
      </c>
      <c r="Y235">
        <v>2024</v>
      </c>
      <c r="Z235" t="s">
        <v>129</v>
      </c>
      <c r="AA235" t="s">
        <v>130</v>
      </c>
      <c r="AB235" t="s">
        <v>131</v>
      </c>
      <c r="AC235" t="s">
        <v>132</v>
      </c>
      <c r="AD235" t="s">
        <v>131</v>
      </c>
      <c r="AE235" t="s">
        <v>131</v>
      </c>
      <c r="AF235" t="s">
        <v>131</v>
      </c>
      <c r="AG235" t="s">
        <v>131</v>
      </c>
      <c r="AH235" t="s">
        <v>132</v>
      </c>
      <c r="AI235" t="s">
        <v>321</v>
      </c>
      <c r="AJ235" t="s">
        <v>1110</v>
      </c>
      <c r="AK235" t="s">
        <v>1111</v>
      </c>
      <c r="AL235" t="s">
        <v>170</v>
      </c>
      <c r="AM235" t="s">
        <v>43</v>
      </c>
      <c r="AN235" t="s">
        <v>6</v>
      </c>
      <c r="AO235" t="s">
        <v>294</v>
      </c>
      <c r="AP235" t="s">
        <v>295</v>
      </c>
      <c r="AQ235" t="s">
        <v>18</v>
      </c>
      <c r="AR235" t="s">
        <v>26</v>
      </c>
      <c r="AT235">
        <v>0</v>
      </c>
      <c r="AU235" t="s">
        <v>129</v>
      </c>
      <c r="AV235" t="s">
        <v>130</v>
      </c>
    </row>
    <row r="236" spans="1:48" x14ac:dyDescent="0.3">
      <c r="A236" t="s">
        <v>1112</v>
      </c>
      <c r="B236" s="12">
        <v>45537</v>
      </c>
      <c r="C236" s="12">
        <v>45538</v>
      </c>
      <c r="D236" t="s">
        <v>1113</v>
      </c>
      <c r="E236" t="s">
        <v>409</v>
      </c>
      <c r="F236" t="s">
        <v>41</v>
      </c>
      <c r="G236" t="s">
        <v>9</v>
      </c>
      <c r="H236" t="s">
        <v>522</v>
      </c>
      <c r="I236" t="s">
        <v>523</v>
      </c>
      <c r="J236" t="s">
        <v>18</v>
      </c>
      <c r="K236" t="s">
        <v>23</v>
      </c>
      <c r="M236" t="s">
        <v>36</v>
      </c>
      <c r="N236">
        <v>9</v>
      </c>
      <c r="O236">
        <v>1353.61</v>
      </c>
      <c r="P236">
        <v>0.1</v>
      </c>
      <c r="Q236">
        <v>0.1</v>
      </c>
      <c r="R236">
        <v>10964.24</v>
      </c>
      <c r="S236">
        <v>9262.4699999999993</v>
      </c>
      <c r="T236">
        <v>10964.241</v>
      </c>
      <c r="U236">
        <v>1701.771</v>
      </c>
      <c r="V236">
        <v>0.155211017342651</v>
      </c>
      <c r="W236">
        <v>1</v>
      </c>
      <c r="X236" t="s">
        <v>196</v>
      </c>
      <c r="Y236">
        <v>2024</v>
      </c>
      <c r="Z236" t="s">
        <v>129</v>
      </c>
      <c r="AA236" t="s">
        <v>130</v>
      </c>
      <c r="AB236" t="s">
        <v>131</v>
      </c>
      <c r="AC236" t="s">
        <v>131</v>
      </c>
      <c r="AD236" t="s">
        <v>131</v>
      </c>
      <c r="AE236" t="s">
        <v>131</v>
      </c>
      <c r="AF236" t="s">
        <v>131</v>
      </c>
      <c r="AG236" t="s">
        <v>131</v>
      </c>
      <c r="AH236" t="s">
        <v>132</v>
      </c>
      <c r="AI236" t="s">
        <v>133</v>
      </c>
      <c r="AJ236" t="s">
        <v>1114</v>
      </c>
      <c r="AK236" t="s">
        <v>1115</v>
      </c>
      <c r="AL236" t="s">
        <v>409</v>
      </c>
      <c r="AM236" t="s">
        <v>41</v>
      </c>
      <c r="AN236" t="s">
        <v>9</v>
      </c>
      <c r="AO236" t="s">
        <v>522</v>
      </c>
      <c r="AP236" t="s">
        <v>523</v>
      </c>
      <c r="AQ236" t="s">
        <v>18</v>
      </c>
      <c r="AR236" t="s">
        <v>23</v>
      </c>
      <c r="AS236" t="s">
        <v>36</v>
      </c>
      <c r="AT236">
        <v>0.1</v>
      </c>
      <c r="AU236" t="s">
        <v>129</v>
      </c>
      <c r="AV236" t="s">
        <v>130</v>
      </c>
    </row>
    <row r="237" spans="1:48" x14ac:dyDescent="0.3">
      <c r="A237" t="s">
        <v>1116</v>
      </c>
      <c r="B237" s="12">
        <v>45598</v>
      </c>
      <c r="C237" s="12">
        <v>45599</v>
      </c>
      <c r="D237" t="s">
        <v>1117</v>
      </c>
      <c r="E237" t="s">
        <v>227</v>
      </c>
      <c r="F237" t="s">
        <v>44</v>
      </c>
      <c r="G237" t="s">
        <v>7</v>
      </c>
      <c r="H237" t="s">
        <v>126</v>
      </c>
      <c r="I237" t="s">
        <v>213</v>
      </c>
      <c r="J237" t="s">
        <v>20</v>
      </c>
      <c r="K237" t="s">
        <v>21</v>
      </c>
      <c r="M237" t="s">
        <v>35</v>
      </c>
      <c r="N237">
        <v>6</v>
      </c>
      <c r="O237">
        <v>2671.29</v>
      </c>
      <c r="P237">
        <v>0.05</v>
      </c>
      <c r="Q237">
        <v>0.05</v>
      </c>
      <c r="R237">
        <v>15226.35</v>
      </c>
      <c r="S237">
        <v>11145.28</v>
      </c>
      <c r="T237">
        <v>15226.352999999999</v>
      </c>
      <c r="U237">
        <v>4081.0729999999999</v>
      </c>
      <c r="V237">
        <v>0.26802695300706603</v>
      </c>
      <c r="W237">
        <v>1</v>
      </c>
      <c r="X237" t="s">
        <v>157</v>
      </c>
      <c r="Y237">
        <v>2024</v>
      </c>
      <c r="Z237" t="s">
        <v>129</v>
      </c>
      <c r="AA237" t="s">
        <v>130</v>
      </c>
      <c r="AB237" t="s">
        <v>131</v>
      </c>
      <c r="AC237" t="s">
        <v>131</v>
      </c>
      <c r="AD237" t="s">
        <v>131</v>
      </c>
      <c r="AE237" t="s">
        <v>131</v>
      </c>
      <c r="AF237" t="s">
        <v>131</v>
      </c>
      <c r="AG237" t="s">
        <v>131</v>
      </c>
      <c r="AH237" t="s">
        <v>132</v>
      </c>
      <c r="AI237" t="s">
        <v>133</v>
      </c>
      <c r="AJ237" t="s">
        <v>1118</v>
      </c>
      <c r="AK237" t="s">
        <v>1119</v>
      </c>
      <c r="AL237" t="s">
        <v>227</v>
      </c>
      <c r="AM237" t="s">
        <v>44</v>
      </c>
      <c r="AN237" t="s">
        <v>7</v>
      </c>
      <c r="AO237" t="s">
        <v>126</v>
      </c>
      <c r="AP237" t="s">
        <v>213</v>
      </c>
      <c r="AQ237" t="s">
        <v>20</v>
      </c>
      <c r="AR237" t="s">
        <v>21</v>
      </c>
      <c r="AS237" t="s">
        <v>35</v>
      </c>
      <c r="AT237">
        <v>0.05</v>
      </c>
      <c r="AU237" t="s">
        <v>129</v>
      </c>
      <c r="AV237" t="s">
        <v>130</v>
      </c>
    </row>
    <row r="238" spans="1:48" x14ac:dyDescent="0.3">
      <c r="A238" t="s">
        <v>1120</v>
      </c>
      <c r="B238" s="12">
        <v>45579</v>
      </c>
      <c r="C238" s="12">
        <v>45586</v>
      </c>
      <c r="D238" t="s">
        <v>1121</v>
      </c>
      <c r="E238" t="s">
        <v>221</v>
      </c>
      <c r="F238" t="s">
        <v>43</v>
      </c>
      <c r="G238" t="s">
        <v>9</v>
      </c>
      <c r="H238" t="s">
        <v>249</v>
      </c>
      <c r="I238" t="s">
        <v>250</v>
      </c>
      <c r="J238" t="s">
        <v>18</v>
      </c>
      <c r="K238" t="s">
        <v>26</v>
      </c>
      <c r="M238" t="s">
        <v>36</v>
      </c>
      <c r="N238">
        <v>6</v>
      </c>
      <c r="O238">
        <v>4062.78</v>
      </c>
      <c r="P238">
        <v>0</v>
      </c>
      <c r="Q238">
        <v>0</v>
      </c>
      <c r="R238">
        <v>24376.68</v>
      </c>
      <c r="S238">
        <v>18533.39</v>
      </c>
      <c r="T238">
        <v>24376.68</v>
      </c>
      <c r="U238">
        <v>5843.29</v>
      </c>
      <c r="V238">
        <v>0.23970819652225001</v>
      </c>
      <c r="W238">
        <v>7</v>
      </c>
      <c r="X238" t="s">
        <v>222</v>
      </c>
      <c r="Y238">
        <v>2024</v>
      </c>
      <c r="Z238" t="s">
        <v>129</v>
      </c>
      <c r="AA238" t="s">
        <v>130</v>
      </c>
      <c r="AB238" t="s">
        <v>131</v>
      </c>
      <c r="AC238" t="s">
        <v>131</v>
      </c>
      <c r="AD238" t="s">
        <v>131</v>
      </c>
      <c r="AE238" t="s">
        <v>131</v>
      </c>
      <c r="AF238" t="s">
        <v>131</v>
      </c>
      <c r="AG238" t="s">
        <v>131</v>
      </c>
      <c r="AH238" t="s">
        <v>132</v>
      </c>
      <c r="AI238" t="s">
        <v>133</v>
      </c>
      <c r="AJ238" t="s">
        <v>1111</v>
      </c>
      <c r="AK238" t="s">
        <v>1122</v>
      </c>
      <c r="AL238" t="s">
        <v>221</v>
      </c>
      <c r="AM238" t="s">
        <v>43</v>
      </c>
      <c r="AN238" t="s">
        <v>9</v>
      </c>
      <c r="AO238" t="s">
        <v>249</v>
      </c>
      <c r="AP238" t="s">
        <v>250</v>
      </c>
      <c r="AQ238" t="s">
        <v>18</v>
      </c>
      <c r="AR238" t="s">
        <v>26</v>
      </c>
      <c r="AS238" t="s">
        <v>36</v>
      </c>
      <c r="AT238">
        <v>0</v>
      </c>
      <c r="AU238" t="s">
        <v>129</v>
      </c>
      <c r="AV238" t="s">
        <v>130</v>
      </c>
    </row>
    <row r="239" spans="1:48" x14ac:dyDescent="0.3">
      <c r="A239" t="s">
        <v>1123</v>
      </c>
      <c r="B239" s="12">
        <v>45531</v>
      </c>
      <c r="C239" s="12">
        <v>45531</v>
      </c>
      <c r="D239" t="s">
        <v>1124</v>
      </c>
      <c r="E239" t="s">
        <v>139</v>
      </c>
      <c r="F239" t="s">
        <v>42</v>
      </c>
      <c r="G239" t="s">
        <v>9</v>
      </c>
      <c r="H239" t="s">
        <v>372</v>
      </c>
      <c r="I239" t="s">
        <v>373</v>
      </c>
      <c r="J239" t="s">
        <v>15</v>
      </c>
      <c r="K239" t="s">
        <v>16</v>
      </c>
      <c r="M239" t="s">
        <v>35</v>
      </c>
      <c r="N239">
        <v>9</v>
      </c>
      <c r="O239">
        <v>2330.3000000000002</v>
      </c>
      <c r="P239">
        <v>0</v>
      </c>
      <c r="Q239">
        <v>0</v>
      </c>
      <c r="R239">
        <v>20972.7</v>
      </c>
      <c r="S239">
        <v>13504.88</v>
      </c>
      <c r="T239">
        <v>20972.7</v>
      </c>
      <c r="U239">
        <v>7467.82</v>
      </c>
      <c r="V239">
        <v>0.35607337157352198</v>
      </c>
      <c r="W239">
        <v>0</v>
      </c>
      <c r="X239" t="s">
        <v>142</v>
      </c>
      <c r="Y239">
        <v>2024</v>
      </c>
      <c r="Z239" t="s">
        <v>129</v>
      </c>
      <c r="AA239" t="s">
        <v>130</v>
      </c>
      <c r="AB239" t="s">
        <v>131</v>
      </c>
      <c r="AC239" t="s">
        <v>131</v>
      </c>
      <c r="AD239" t="s">
        <v>131</v>
      </c>
      <c r="AE239" t="s">
        <v>131</v>
      </c>
      <c r="AF239" t="s">
        <v>131</v>
      </c>
      <c r="AG239" t="s">
        <v>131</v>
      </c>
      <c r="AH239" t="s">
        <v>132</v>
      </c>
      <c r="AI239" t="s">
        <v>133</v>
      </c>
      <c r="AJ239" t="s">
        <v>1125</v>
      </c>
      <c r="AK239" t="s">
        <v>1125</v>
      </c>
      <c r="AL239" t="s">
        <v>139</v>
      </c>
      <c r="AM239" t="s">
        <v>42</v>
      </c>
      <c r="AN239" t="s">
        <v>9</v>
      </c>
      <c r="AO239" t="s">
        <v>372</v>
      </c>
      <c r="AP239" t="s">
        <v>373</v>
      </c>
      <c r="AQ239" t="s">
        <v>15</v>
      </c>
      <c r="AR239" t="s">
        <v>16</v>
      </c>
      <c r="AS239" t="s">
        <v>35</v>
      </c>
      <c r="AT239">
        <v>0</v>
      </c>
      <c r="AU239" t="s">
        <v>129</v>
      </c>
      <c r="AV239" t="s">
        <v>130</v>
      </c>
    </row>
    <row r="240" spans="1:48" x14ac:dyDescent="0.3">
      <c r="A240" t="s">
        <v>1126</v>
      </c>
      <c r="B240" s="12">
        <v>45303</v>
      </c>
      <c r="C240" s="12">
        <v>45308</v>
      </c>
      <c r="D240" t="s">
        <v>1127</v>
      </c>
      <c r="E240" t="s">
        <v>154</v>
      </c>
      <c r="F240" t="s">
        <v>42</v>
      </c>
      <c r="G240" t="s">
        <v>6</v>
      </c>
      <c r="H240" t="s">
        <v>184</v>
      </c>
      <c r="I240" t="s">
        <v>185</v>
      </c>
      <c r="J240" t="s">
        <v>20</v>
      </c>
      <c r="K240" t="s">
        <v>21</v>
      </c>
      <c r="M240" t="s">
        <v>36</v>
      </c>
      <c r="N240">
        <v>7</v>
      </c>
      <c r="O240">
        <v>4005.05</v>
      </c>
      <c r="P240">
        <v>0.55000000000000004</v>
      </c>
      <c r="Q240">
        <v>0</v>
      </c>
      <c r="R240">
        <v>26633.58</v>
      </c>
      <c r="S240">
        <v>18838.75</v>
      </c>
      <c r="T240">
        <v>28035.35</v>
      </c>
      <c r="U240">
        <v>9196.6</v>
      </c>
      <c r="V240">
        <v>0.32803585473339902</v>
      </c>
      <c r="W240">
        <v>5</v>
      </c>
      <c r="X240" t="s">
        <v>244</v>
      </c>
      <c r="Y240">
        <v>2024</v>
      </c>
      <c r="Z240" t="s">
        <v>129</v>
      </c>
      <c r="AA240" t="s">
        <v>130</v>
      </c>
      <c r="AB240" t="s">
        <v>131</v>
      </c>
      <c r="AC240" t="s">
        <v>131</v>
      </c>
      <c r="AD240" t="s">
        <v>131</v>
      </c>
      <c r="AE240" t="s">
        <v>131</v>
      </c>
      <c r="AF240" t="s">
        <v>132</v>
      </c>
      <c r="AG240" t="s">
        <v>131</v>
      </c>
      <c r="AH240" t="s">
        <v>132</v>
      </c>
      <c r="AI240" t="s">
        <v>149</v>
      </c>
      <c r="AJ240" t="s">
        <v>1128</v>
      </c>
      <c r="AK240" t="s">
        <v>1129</v>
      </c>
      <c r="AL240" t="s">
        <v>154</v>
      </c>
      <c r="AM240" t="s">
        <v>42</v>
      </c>
      <c r="AN240" t="s">
        <v>6</v>
      </c>
      <c r="AO240" t="s">
        <v>184</v>
      </c>
      <c r="AP240" t="s">
        <v>185</v>
      </c>
      <c r="AQ240" t="s">
        <v>20</v>
      </c>
      <c r="AR240" t="s">
        <v>21</v>
      </c>
      <c r="AS240" t="s">
        <v>36</v>
      </c>
      <c r="AT240">
        <v>0.55000000000000004</v>
      </c>
      <c r="AU240" t="s">
        <v>129</v>
      </c>
      <c r="AV240" t="s">
        <v>130</v>
      </c>
    </row>
    <row r="241" spans="1:48" x14ac:dyDescent="0.3">
      <c r="A241" t="s">
        <v>1130</v>
      </c>
      <c r="B241" s="12">
        <v>45556</v>
      </c>
      <c r="C241" s="12">
        <v>45556</v>
      </c>
      <c r="D241" t="s">
        <v>1131</v>
      </c>
      <c r="E241" t="s">
        <v>409</v>
      </c>
      <c r="F241" t="s">
        <v>43</v>
      </c>
      <c r="G241" t="s">
        <v>6</v>
      </c>
      <c r="H241" t="s">
        <v>294</v>
      </c>
      <c r="I241" t="s">
        <v>295</v>
      </c>
      <c r="J241" t="s">
        <v>15</v>
      </c>
      <c r="K241" t="s">
        <v>25</v>
      </c>
      <c r="M241" t="s">
        <v>36</v>
      </c>
      <c r="N241">
        <v>2</v>
      </c>
      <c r="O241">
        <v>1960.06</v>
      </c>
      <c r="P241">
        <v>0.2</v>
      </c>
      <c r="Q241">
        <v>0.2</v>
      </c>
      <c r="R241">
        <v>3136.1</v>
      </c>
      <c r="S241">
        <v>2279.4899999999998</v>
      </c>
      <c r="T241">
        <v>3136.096</v>
      </c>
      <c r="U241">
        <v>856.60599999999999</v>
      </c>
      <c r="V241">
        <v>0.273144061916472</v>
      </c>
      <c r="W241">
        <v>0</v>
      </c>
      <c r="X241" t="s">
        <v>196</v>
      </c>
      <c r="Y241">
        <v>2024</v>
      </c>
      <c r="Z241" t="s">
        <v>129</v>
      </c>
      <c r="AA241" t="s">
        <v>130</v>
      </c>
      <c r="AB241" t="s">
        <v>131</v>
      </c>
      <c r="AC241" t="s">
        <v>131</v>
      </c>
      <c r="AD241" t="s">
        <v>131</v>
      </c>
      <c r="AE241" t="s">
        <v>131</v>
      </c>
      <c r="AF241" t="s">
        <v>131</v>
      </c>
      <c r="AG241" t="s">
        <v>131</v>
      </c>
      <c r="AH241" t="s">
        <v>132</v>
      </c>
      <c r="AI241" t="s">
        <v>133</v>
      </c>
      <c r="AJ241" t="s">
        <v>1132</v>
      </c>
      <c r="AK241" t="s">
        <v>1028</v>
      </c>
      <c r="AL241" t="s">
        <v>409</v>
      </c>
      <c r="AM241" t="s">
        <v>43</v>
      </c>
      <c r="AN241" t="s">
        <v>6</v>
      </c>
      <c r="AO241" t="s">
        <v>294</v>
      </c>
      <c r="AP241" t="s">
        <v>295</v>
      </c>
      <c r="AQ241" t="s">
        <v>15</v>
      </c>
      <c r="AR241" t="s">
        <v>25</v>
      </c>
      <c r="AS241" t="s">
        <v>36</v>
      </c>
      <c r="AT241">
        <v>0.2</v>
      </c>
      <c r="AU241" t="s">
        <v>129</v>
      </c>
      <c r="AV241" t="s">
        <v>130</v>
      </c>
    </row>
    <row r="242" spans="1:48" x14ac:dyDescent="0.3">
      <c r="A242" t="s">
        <v>1133</v>
      </c>
      <c r="B242" s="12">
        <v>45643</v>
      </c>
      <c r="C242" s="12">
        <v>45649</v>
      </c>
      <c r="D242" t="s">
        <v>1134</v>
      </c>
      <c r="E242" t="s">
        <v>238</v>
      </c>
      <c r="F242" t="s">
        <v>43</v>
      </c>
      <c r="G242" t="s">
        <v>6</v>
      </c>
      <c r="H242" t="s">
        <v>155</v>
      </c>
      <c r="I242" t="s">
        <v>156</v>
      </c>
      <c r="J242" t="s">
        <v>20</v>
      </c>
      <c r="K242" t="s">
        <v>28</v>
      </c>
      <c r="M242" t="s">
        <v>36</v>
      </c>
      <c r="N242">
        <v>9</v>
      </c>
      <c r="O242">
        <v>2315.1</v>
      </c>
      <c r="P242">
        <v>0</v>
      </c>
      <c r="Q242">
        <v>0</v>
      </c>
      <c r="R242">
        <v>20835.900000000001</v>
      </c>
      <c r="S242">
        <v>13928.19</v>
      </c>
      <c r="T242">
        <v>20835.900000000001</v>
      </c>
      <c r="U242">
        <v>6907.71</v>
      </c>
      <c r="V242">
        <v>0.33152923559817399</v>
      </c>
      <c r="W242">
        <v>6</v>
      </c>
      <c r="X242" t="s">
        <v>214</v>
      </c>
      <c r="Y242">
        <v>2024</v>
      </c>
      <c r="Z242" t="s">
        <v>129</v>
      </c>
      <c r="AA242" t="s">
        <v>130</v>
      </c>
      <c r="AB242" t="s">
        <v>131</v>
      </c>
      <c r="AC242" t="s">
        <v>131</v>
      </c>
      <c r="AD242" t="s">
        <v>131</v>
      </c>
      <c r="AE242" t="s">
        <v>131</v>
      </c>
      <c r="AF242" t="s">
        <v>131</v>
      </c>
      <c r="AG242" t="s">
        <v>131</v>
      </c>
      <c r="AH242" t="s">
        <v>132</v>
      </c>
      <c r="AI242" t="s">
        <v>133</v>
      </c>
      <c r="AJ242" t="s">
        <v>1135</v>
      </c>
      <c r="AK242" t="s">
        <v>782</v>
      </c>
      <c r="AL242" t="s">
        <v>238</v>
      </c>
      <c r="AM242" t="s">
        <v>43</v>
      </c>
      <c r="AN242" t="s">
        <v>6</v>
      </c>
      <c r="AO242" t="s">
        <v>155</v>
      </c>
      <c r="AP242" t="s">
        <v>156</v>
      </c>
      <c r="AQ242" t="s">
        <v>20</v>
      </c>
      <c r="AR242" t="s">
        <v>28</v>
      </c>
      <c r="AS242" t="s">
        <v>36</v>
      </c>
      <c r="AT242">
        <v>0</v>
      </c>
      <c r="AU242" t="s">
        <v>129</v>
      </c>
      <c r="AV242" t="s">
        <v>130</v>
      </c>
    </row>
    <row r="243" spans="1:48" x14ac:dyDescent="0.3">
      <c r="A243" t="s">
        <v>1136</v>
      </c>
      <c r="B243" s="12">
        <v>45844</v>
      </c>
      <c r="C243" s="12">
        <v>45844</v>
      </c>
      <c r="D243" t="s">
        <v>1137</v>
      </c>
      <c r="E243" t="s">
        <v>243</v>
      </c>
      <c r="F243" t="s">
        <v>43</v>
      </c>
      <c r="G243" t="s">
        <v>9</v>
      </c>
      <c r="H243" t="s">
        <v>372</v>
      </c>
      <c r="I243" t="s">
        <v>373</v>
      </c>
      <c r="J243" t="s">
        <v>20</v>
      </c>
      <c r="K243" t="s">
        <v>21</v>
      </c>
      <c r="M243" t="s">
        <v>35</v>
      </c>
      <c r="N243">
        <v>1</v>
      </c>
      <c r="O243">
        <v>1617.2</v>
      </c>
      <c r="P243">
        <v>0.25</v>
      </c>
      <c r="Q243">
        <v>0.25</v>
      </c>
      <c r="R243">
        <v>1212.9000000000001</v>
      </c>
      <c r="S243">
        <v>690.52</v>
      </c>
      <c r="T243">
        <v>1212.9000000000001</v>
      </c>
      <c r="U243">
        <v>522.38</v>
      </c>
      <c r="V243">
        <v>0.43068678374144598</v>
      </c>
      <c r="W243">
        <v>0</v>
      </c>
      <c r="X243" t="s">
        <v>128</v>
      </c>
      <c r="Y243">
        <v>2025</v>
      </c>
      <c r="Z243" t="s">
        <v>215</v>
      </c>
      <c r="AA243" t="s">
        <v>204</v>
      </c>
      <c r="AB243" t="s">
        <v>131</v>
      </c>
      <c r="AC243" t="s">
        <v>131</v>
      </c>
      <c r="AD243" t="s">
        <v>131</v>
      </c>
      <c r="AE243" t="s">
        <v>131</v>
      </c>
      <c r="AF243" t="s">
        <v>131</v>
      </c>
      <c r="AG243" t="s">
        <v>131</v>
      </c>
      <c r="AH243" t="s">
        <v>131</v>
      </c>
      <c r="AI243" t="s">
        <v>133</v>
      </c>
      <c r="AJ243" t="s">
        <v>1138</v>
      </c>
      <c r="AK243" t="s">
        <v>1139</v>
      </c>
      <c r="AL243" t="s">
        <v>243</v>
      </c>
      <c r="AM243" t="s">
        <v>43</v>
      </c>
      <c r="AN243" t="s">
        <v>9</v>
      </c>
      <c r="AO243" t="s">
        <v>372</v>
      </c>
      <c r="AP243" t="s">
        <v>373</v>
      </c>
      <c r="AQ243" t="s">
        <v>20</v>
      </c>
      <c r="AR243" t="s">
        <v>21</v>
      </c>
      <c r="AS243" t="s">
        <v>35</v>
      </c>
      <c r="AT243">
        <v>0.25</v>
      </c>
      <c r="AU243" t="s">
        <v>215</v>
      </c>
      <c r="AV243" t="s">
        <v>204</v>
      </c>
    </row>
    <row r="244" spans="1:48" x14ac:dyDescent="0.3">
      <c r="A244" t="s">
        <v>1140</v>
      </c>
      <c r="B244" s="12">
        <v>45695</v>
      </c>
      <c r="C244" s="12">
        <v>45695</v>
      </c>
      <c r="D244" t="s">
        <v>1141</v>
      </c>
      <c r="E244" t="s">
        <v>154</v>
      </c>
      <c r="F244" t="s">
        <v>42</v>
      </c>
      <c r="G244" t="s">
        <v>9</v>
      </c>
      <c r="H244" t="s">
        <v>249</v>
      </c>
      <c r="I244" t="s">
        <v>250</v>
      </c>
      <c r="J244" t="s">
        <v>20</v>
      </c>
      <c r="K244" t="s">
        <v>29</v>
      </c>
      <c r="M244" t="s">
        <v>37</v>
      </c>
      <c r="N244">
        <v>3</v>
      </c>
      <c r="O244">
        <v>1999.24</v>
      </c>
      <c r="P244">
        <v>0.05</v>
      </c>
      <c r="Q244">
        <v>0.05</v>
      </c>
      <c r="R244">
        <v>5697.83</v>
      </c>
      <c r="S244">
        <v>4251.5</v>
      </c>
      <c r="T244">
        <v>5697.8339999999998</v>
      </c>
      <c r="U244">
        <v>1446.3340000000001</v>
      </c>
      <c r="V244">
        <v>0.25383926593860101</v>
      </c>
      <c r="W244">
        <v>0</v>
      </c>
      <c r="X244" t="s">
        <v>186</v>
      </c>
      <c r="Y244">
        <v>2025</v>
      </c>
      <c r="Z244" t="s">
        <v>129</v>
      </c>
      <c r="AA244" t="s">
        <v>130</v>
      </c>
      <c r="AB244" t="s">
        <v>131</v>
      </c>
      <c r="AC244" t="s">
        <v>131</v>
      </c>
      <c r="AD244" t="s">
        <v>131</v>
      </c>
      <c r="AE244" t="s">
        <v>131</v>
      </c>
      <c r="AF244" t="s">
        <v>131</v>
      </c>
      <c r="AG244" t="s">
        <v>131</v>
      </c>
      <c r="AH244" t="s">
        <v>132</v>
      </c>
      <c r="AI244" t="s">
        <v>133</v>
      </c>
      <c r="AJ244" t="s">
        <v>1142</v>
      </c>
      <c r="AK244" t="s">
        <v>1143</v>
      </c>
      <c r="AL244" t="s">
        <v>154</v>
      </c>
      <c r="AM244" t="s">
        <v>42</v>
      </c>
      <c r="AN244" t="s">
        <v>9</v>
      </c>
      <c r="AO244" t="s">
        <v>249</v>
      </c>
      <c r="AP244" t="s">
        <v>250</v>
      </c>
      <c r="AQ244" t="s">
        <v>20</v>
      </c>
      <c r="AR244" t="s">
        <v>29</v>
      </c>
      <c r="AS244" t="s">
        <v>37</v>
      </c>
      <c r="AT244">
        <v>0.05</v>
      </c>
      <c r="AU244" t="s">
        <v>129</v>
      </c>
      <c r="AV244" t="s">
        <v>130</v>
      </c>
    </row>
    <row r="245" spans="1:48" x14ac:dyDescent="0.3">
      <c r="A245" t="s">
        <v>1144</v>
      </c>
      <c r="B245" s="12">
        <v>45867</v>
      </c>
      <c r="C245" s="12">
        <v>45871</v>
      </c>
      <c r="D245" t="s">
        <v>1145</v>
      </c>
      <c r="E245" t="s">
        <v>243</v>
      </c>
      <c r="F245" t="s">
        <v>44</v>
      </c>
      <c r="G245" t="s">
        <v>10</v>
      </c>
      <c r="H245" t="s">
        <v>171</v>
      </c>
      <c r="I245" t="s">
        <v>172</v>
      </c>
      <c r="J245" t="s">
        <v>15</v>
      </c>
      <c r="K245" t="s">
        <v>22</v>
      </c>
      <c r="M245" t="s">
        <v>36</v>
      </c>
      <c r="N245">
        <v>1</v>
      </c>
      <c r="O245">
        <v>4499.46</v>
      </c>
      <c r="P245">
        <v>0.1</v>
      </c>
      <c r="Q245">
        <v>0.1</v>
      </c>
      <c r="R245">
        <v>4049.51</v>
      </c>
      <c r="S245">
        <v>2509.1999999999998</v>
      </c>
      <c r="T245">
        <v>4049.5140000000001</v>
      </c>
      <c r="U245">
        <v>1540.3140000000001</v>
      </c>
      <c r="V245">
        <v>0.38037008885510698</v>
      </c>
      <c r="W245">
        <v>4</v>
      </c>
      <c r="X245" t="s">
        <v>128</v>
      </c>
      <c r="Y245">
        <v>2025</v>
      </c>
      <c r="Z245" t="s">
        <v>129</v>
      </c>
      <c r="AA245" t="s">
        <v>130</v>
      </c>
      <c r="AB245" t="s">
        <v>132</v>
      </c>
      <c r="AC245" t="s">
        <v>131</v>
      </c>
      <c r="AD245" t="s">
        <v>131</v>
      </c>
      <c r="AE245" t="s">
        <v>131</v>
      </c>
      <c r="AF245" t="s">
        <v>131</v>
      </c>
      <c r="AG245" t="s">
        <v>131</v>
      </c>
      <c r="AH245" t="s">
        <v>132</v>
      </c>
      <c r="AI245" t="s">
        <v>321</v>
      </c>
      <c r="AJ245" t="s">
        <v>342</v>
      </c>
      <c r="AK245" t="s">
        <v>1146</v>
      </c>
      <c r="AL245" t="s">
        <v>243</v>
      </c>
      <c r="AM245" t="s">
        <v>44</v>
      </c>
      <c r="AO245" t="s">
        <v>171</v>
      </c>
      <c r="AP245" t="s">
        <v>172</v>
      </c>
      <c r="AQ245" t="s">
        <v>15</v>
      </c>
      <c r="AR245" t="s">
        <v>22</v>
      </c>
      <c r="AS245" t="s">
        <v>36</v>
      </c>
      <c r="AT245">
        <v>0.1</v>
      </c>
      <c r="AU245" t="s">
        <v>129</v>
      </c>
      <c r="AV245" t="s">
        <v>940</v>
      </c>
    </row>
    <row r="246" spans="1:48" x14ac:dyDescent="0.3">
      <c r="A246" t="s">
        <v>1147</v>
      </c>
      <c r="B246" s="12">
        <v>45527</v>
      </c>
      <c r="C246" s="12">
        <v>45528</v>
      </c>
      <c r="D246" t="s">
        <v>1148</v>
      </c>
      <c r="E246" t="s">
        <v>178</v>
      </c>
      <c r="F246" t="s">
        <v>42</v>
      </c>
      <c r="G246" t="s">
        <v>6</v>
      </c>
      <c r="H246" t="s">
        <v>155</v>
      </c>
      <c r="I246" t="s">
        <v>156</v>
      </c>
      <c r="J246" t="s">
        <v>18</v>
      </c>
      <c r="K246" t="s">
        <v>26</v>
      </c>
      <c r="M246" t="s">
        <v>38</v>
      </c>
      <c r="N246">
        <v>6</v>
      </c>
      <c r="O246">
        <v>1021.89</v>
      </c>
      <c r="P246">
        <v>0</v>
      </c>
      <c r="Q246">
        <v>0</v>
      </c>
      <c r="R246">
        <v>6131.34</v>
      </c>
      <c r="S246">
        <v>4060.88</v>
      </c>
      <c r="T246">
        <v>6131.34</v>
      </c>
      <c r="U246">
        <v>2070.46</v>
      </c>
      <c r="V246">
        <v>0.33768474754295102</v>
      </c>
      <c r="W246">
        <v>1</v>
      </c>
      <c r="X246" t="s">
        <v>142</v>
      </c>
      <c r="Y246">
        <v>2024</v>
      </c>
      <c r="Z246" t="s">
        <v>129</v>
      </c>
      <c r="AA246" t="s">
        <v>130</v>
      </c>
      <c r="AB246" t="s">
        <v>131</v>
      </c>
      <c r="AC246" t="s">
        <v>131</v>
      </c>
      <c r="AD246" t="s">
        <v>131</v>
      </c>
      <c r="AE246" t="s">
        <v>131</v>
      </c>
      <c r="AF246" t="s">
        <v>131</v>
      </c>
      <c r="AG246" t="s">
        <v>131</v>
      </c>
      <c r="AH246" t="s">
        <v>132</v>
      </c>
      <c r="AI246" t="s">
        <v>133</v>
      </c>
      <c r="AJ246" t="s">
        <v>629</v>
      </c>
      <c r="AK246" t="s">
        <v>1149</v>
      </c>
      <c r="AL246" t="s">
        <v>178</v>
      </c>
      <c r="AM246" t="s">
        <v>42</v>
      </c>
      <c r="AN246" t="s">
        <v>6</v>
      </c>
      <c r="AO246" t="s">
        <v>155</v>
      </c>
      <c r="AP246" t="s">
        <v>156</v>
      </c>
      <c r="AQ246" t="s">
        <v>18</v>
      </c>
      <c r="AR246" t="s">
        <v>26</v>
      </c>
      <c r="AS246" t="s">
        <v>38</v>
      </c>
      <c r="AT246">
        <v>0</v>
      </c>
      <c r="AU246" t="s">
        <v>129</v>
      </c>
      <c r="AV246" t="s">
        <v>130</v>
      </c>
    </row>
    <row r="247" spans="1:48" x14ac:dyDescent="0.3">
      <c r="A247" t="s">
        <v>1150</v>
      </c>
      <c r="B247" s="12">
        <v>45583</v>
      </c>
      <c r="C247" s="12">
        <v>45589</v>
      </c>
      <c r="D247" t="s">
        <v>1151</v>
      </c>
      <c r="E247" t="s">
        <v>178</v>
      </c>
      <c r="F247" t="s">
        <v>41</v>
      </c>
      <c r="G247" t="s">
        <v>6</v>
      </c>
      <c r="H247" t="s">
        <v>305</v>
      </c>
      <c r="I247" t="s">
        <v>306</v>
      </c>
      <c r="J247" t="s">
        <v>18</v>
      </c>
      <c r="K247" t="s">
        <v>19</v>
      </c>
      <c r="M247" t="s">
        <v>37</v>
      </c>
      <c r="N247">
        <v>3</v>
      </c>
      <c r="O247">
        <v>3275.93</v>
      </c>
      <c r="P247">
        <v>0</v>
      </c>
      <c r="Q247">
        <v>0</v>
      </c>
      <c r="R247">
        <v>9827.7900000000009</v>
      </c>
      <c r="S247">
        <v>5478.28</v>
      </c>
      <c r="T247">
        <v>9827.7900000000009</v>
      </c>
      <c r="U247">
        <v>4349.51</v>
      </c>
      <c r="V247">
        <v>0.44257254174132699</v>
      </c>
      <c r="W247">
        <v>6</v>
      </c>
      <c r="X247" t="s">
        <v>222</v>
      </c>
      <c r="Y247">
        <v>2024</v>
      </c>
      <c r="Z247" t="s">
        <v>129</v>
      </c>
      <c r="AA247" t="s">
        <v>130</v>
      </c>
      <c r="AB247" t="s">
        <v>131</v>
      </c>
      <c r="AC247" t="s">
        <v>131</v>
      </c>
      <c r="AD247" t="s">
        <v>131</v>
      </c>
      <c r="AE247" t="s">
        <v>131</v>
      </c>
      <c r="AF247" t="s">
        <v>131</v>
      </c>
      <c r="AG247" t="s">
        <v>131</v>
      </c>
      <c r="AH247" t="s">
        <v>132</v>
      </c>
      <c r="AI247" t="s">
        <v>133</v>
      </c>
      <c r="AJ247" t="s">
        <v>635</v>
      </c>
      <c r="AK247" t="s">
        <v>820</v>
      </c>
      <c r="AL247" t="s">
        <v>178</v>
      </c>
      <c r="AM247" t="s">
        <v>41</v>
      </c>
      <c r="AN247" t="s">
        <v>6</v>
      </c>
      <c r="AO247" t="s">
        <v>305</v>
      </c>
      <c r="AP247" t="s">
        <v>306</v>
      </c>
      <c r="AQ247" t="s">
        <v>1152</v>
      </c>
      <c r="AR247" t="s">
        <v>19</v>
      </c>
      <c r="AS247" t="s">
        <v>37</v>
      </c>
      <c r="AT247">
        <v>0</v>
      </c>
      <c r="AU247" t="s">
        <v>129</v>
      </c>
      <c r="AV247" t="s">
        <v>130</v>
      </c>
    </row>
    <row r="248" spans="1:48" x14ac:dyDescent="0.3">
      <c r="A248" t="s">
        <v>1153</v>
      </c>
      <c r="B248" s="12">
        <v>45416</v>
      </c>
      <c r="C248" s="12">
        <v>45421</v>
      </c>
      <c r="D248" t="s">
        <v>1154</v>
      </c>
      <c r="E248" t="s">
        <v>162</v>
      </c>
      <c r="F248" t="s">
        <v>43</v>
      </c>
      <c r="G248" t="s">
        <v>9</v>
      </c>
      <c r="H248" t="s">
        <v>232</v>
      </c>
      <c r="I248" t="s">
        <v>233</v>
      </c>
      <c r="J248" t="s">
        <v>15</v>
      </c>
      <c r="K248" t="s">
        <v>25</v>
      </c>
      <c r="M248" t="s">
        <v>38</v>
      </c>
      <c r="N248">
        <v>3</v>
      </c>
      <c r="O248">
        <v>231.95</v>
      </c>
      <c r="P248">
        <v>0.25</v>
      </c>
      <c r="Q248">
        <v>0.25</v>
      </c>
      <c r="R248">
        <v>521.89</v>
      </c>
      <c r="S248">
        <v>444.52</v>
      </c>
      <c r="T248">
        <v>521.88750000000005</v>
      </c>
      <c r="U248">
        <v>77.367500000000007</v>
      </c>
      <c r="V248">
        <v>0.148245551004766</v>
      </c>
      <c r="W248">
        <v>5</v>
      </c>
      <c r="X248" t="s">
        <v>173</v>
      </c>
      <c r="Y248">
        <v>2024</v>
      </c>
      <c r="Z248" t="s">
        <v>203</v>
      </c>
      <c r="AA248" t="s">
        <v>165</v>
      </c>
      <c r="AB248" t="s">
        <v>131</v>
      </c>
      <c r="AC248" t="s">
        <v>131</v>
      </c>
      <c r="AD248" t="s">
        <v>131</v>
      </c>
      <c r="AE248" t="s">
        <v>131</v>
      </c>
      <c r="AF248" t="s">
        <v>131</v>
      </c>
      <c r="AG248" t="s">
        <v>131</v>
      </c>
      <c r="AH248" t="s">
        <v>131</v>
      </c>
      <c r="AI248" t="s">
        <v>133</v>
      </c>
      <c r="AJ248" t="s">
        <v>1155</v>
      </c>
      <c r="AK248" t="s">
        <v>1156</v>
      </c>
      <c r="AL248" t="s">
        <v>162</v>
      </c>
      <c r="AM248" t="s">
        <v>43</v>
      </c>
      <c r="AN248" t="s">
        <v>9</v>
      </c>
      <c r="AO248" t="s">
        <v>232</v>
      </c>
      <c r="AP248" t="s">
        <v>233</v>
      </c>
      <c r="AQ248" t="s">
        <v>15</v>
      </c>
      <c r="AR248" t="s">
        <v>25</v>
      </c>
      <c r="AS248" t="s">
        <v>38</v>
      </c>
      <c r="AT248">
        <v>0.25</v>
      </c>
      <c r="AU248" t="s">
        <v>203</v>
      </c>
      <c r="AV248" t="s">
        <v>165</v>
      </c>
    </row>
    <row r="249" spans="1:48" x14ac:dyDescent="0.3">
      <c r="A249" t="s">
        <v>1157</v>
      </c>
      <c r="B249" s="12">
        <v>45498</v>
      </c>
      <c r="C249" s="12">
        <v>45505</v>
      </c>
      <c r="D249" t="s">
        <v>1158</v>
      </c>
      <c r="E249" t="s">
        <v>227</v>
      </c>
      <c r="F249" t="s">
        <v>43</v>
      </c>
      <c r="G249" t="s">
        <v>9</v>
      </c>
      <c r="H249" t="s">
        <v>126</v>
      </c>
      <c r="I249" t="s">
        <v>127</v>
      </c>
      <c r="J249" t="s">
        <v>15</v>
      </c>
      <c r="K249" t="s">
        <v>22</v>
      </c>
      <c r="M249" t="s">
        <v>37</v>
      </c>
      <c r="N249">
        <v>8</v>
      </c>
      <c r="O249">
        <v>2493.4</v>
      </c>
      <c r="P249">
        <v>0.25</v>
      </c>
      <c r="Q249">
        <v>0.25</v>
      </c>
      <c r="R249">
        <v>14960.4</v>
      </c>
      <c r="S249">
        <v>12500.84</v>
      </c>
      <c r="T249">
        <v>14960.4</v>
      </c>
      <c r="U249">
        <v>2459.56</v>
      </c>
      <c r="V249">
        <v>0.164404695061629</v>
      </c>
      <c r="W249">
        <v>7</v>
      </c>
      <c r="X249" t="s">
        <v>128</v>
      </c>
      <c r="Y249">
        <v>2024</v>
      </c>
      <c r="Z249" t="s">
        <v>129</v>
      </c>
      <c r="AA249" t="s">
        <v>130</v>
      </c>
      <c r="AB249" t="s">
        <v>131</v>
      </c>
      <c r="AC249" t="s">
        <v>131</v>
      </c>
      <c r="AD249" t="s">
        <v>131</v>
      </c>
      <c r="AE249" t="s">
        <v>131</v>
      </c>
      <c r="AF249" t="s">
        <v>131</v>
      </c>
      <c r="AG249" t="s">
        <v>131</v>
      </c>
      <c r="AH249" t="s">
        <v>132</v>
      </c>
      <c r="AI249" t="s">
        <v>133</v>
      </c>
      <c r="AJ249" t="s">
        <v>1159</v>
      </c>
      <c r="AK249" t="s">
        <v>1160</v>
      </c>
      <c r="AL249" t="s">
        <v>227</v>
      </c>
      <c r="AM249" t="s">
        <v>43</v>
      </c>
      <c r="AN249" t="s">
        <v>9</v>
      </c>
      <c r="AO249" t="s">
        <v>126</v>
      </c>
      <c r="AP249" t="s">
        <v>127</v>
      </c>
      <c r="AQ249" t="s">
        <v>15</v>
      </c>
      <c r="AR249" t="s">
        <v>22</v>
      </c>
      <c r="AS249" t="s">
        <v>37</v>
      </c>
      <c r="AT249">
        <v>0.25</v>
      </c>
      <c r="AU249" t="s">
        <v>129</v>
      </c>
      <c r="AV249" t="s">
        <v>130</v>
      </c>
    </row>
    <row r="250" spans="1:48" x14ac:dyDescent="0.3">
      <c r="A250" t="s">
        <v>1161</v>
      </c>
      <c r="B250" s="12">
        <v>45445</v>
      </c>
      <c r="C250" s="12">
        <v>45450</v>
      </c>
      <c r="D250" t="s">
        <v>1162</v>
      </c>
      <c r="E250" t="s">
        <v>255</v>
      </c>
      <c r="F250" t="s">
        <v>41</v>
      </c>
      <c r="G250" t="s">
        <v>8</v>
      </c>
      <c r="H250" t="s">
        <v>140</v>
      </c>
      <c r="I250" t="s">
        <v>141</v>
      </c>
      <c r="J250" t="s">
        <v>20</v>
      </c>
      <c r="K250" t="s">
        <v>30</v>
      </c>
      <c r="M250" t="s">
        <v>37</v>
      </c>
      <c r="N250">
        <v>9</v>
      </c>
      <c r="O250">
        <v>787.91</v>
      </c>
      <c r="P250">
        <v>0.15</v>
      </c>
      <c r="Q250">
        <v>0.15</v>
      </c>
      <c r="R250">
        <v>6027.51</v>
      </c>
      <c r="S250">
        <v>4883.82</v>
      </c>
      <c r="T250">
        <v>6027.5114999999996</v>
      </c>
      <c r="U250">
        <v>1143.6914999999999</v>
      </c>
      <c r="V250">
        <v>0.189745220726663</v>
      </c>
      <c r="W250">
        <v>5</v>
      </c>
      <c r="X250" t="s">
        <v>148</v>
      </c>
      <c r="Y250">
        <v>2024</v>
      </c>
      <c r="Z250" t="s">
        <v>129</v>
      </c>
      <c r="AA250" t="s">
        <v>130</v>
      </c>
      <c r="AB250" t="s">
        <v>131</v>
      </c>
      <c r="AC250" t="s">
        <v>131</v>
      </c>
      <c r="AD250" t="s">
        <v>131</v>
      </c>
      <c r="AE250" t="s">
        <v>131</v>
      </c>
      <c r="AF250" t="s">
        <v>131</v>
      </c>
      <c r="AG250" t="s">
        <v>131</v>
      </c>
      <c r="AH250" t="s">
        <v>132</v>
      </c>
      <c r="AI250" t="s">
        <v>133</v>
      </c>
      <c r="AJ250" t="s">
        <v>1163</v>
      </c>
      <c r="AK250" t="s">
        <v>582</v>
      </c>
      <c r="AL250" t="s">
        <v>255</v>
      </c>
      <c r="AM250" t="s">
        <v>41</v>
      </c>
      <c r="AN250" t="s">
        <v>8</v>
      </c>
      <c r="AO250" t="s">
        <v>140</v>
      </c>
      <c r="AP250" t="s">
        <v>141</v>
      </c>
      <c r="AQ250" t="s">
        <v>20</v>
      </c>
      <c r="AR250" t="s">
        <v>30</v>
      </c>
      <c r="AS250" t="s">
        <v>37</v>
      </c>
      <c r="AT250">
        <v>0.15</v>
      </c>
      <c r="AU250" t="s">
        <v>129</v>
      </c>
      <c r="AV250" t="s">
        <v>130</v>
      </c>
    </row>
    <row r="251" spans="1:48" x14ac:dyDescent="0.3">
      <c r="A251" t="s">
        <v>1164</v>
      </c>
      <c r="B251" s="12">
        <v>45870</v>
      </c>
      <c r="C251" s="12">
        <v>45871</v>
      </c>
      <c r="D251" t="s">
        <v>1165</v>
      </c>
      <c r="E251" t="s">
        <v>139</v>
      </c>
      <c r="F251" t="s">
        <v>43</v>
      </c>
      <c r="G251" t="s">
        <v>9</v>
      </c>
      <c r="H251" t="s">
        <v>126</v>
      </c>
      <c r="I251" t="s">
        <v>127</v>
      </c>
      <c r="J251" t="s">
        <v>18</v>
      </c>
      <c r="K251" t="s">
        <v>23</v>
      </c>
      <c r="M251" t="s">
        <v>36</v>
      </c>
      <c r="N251">
        <v>4</v>
      </c>
      <c r="O251">
        <v>2790.29</v>
      </c>
      <c r="P251">
        <v>0.2</v>
      </c>
      <c r="Q251">
        <v>0.2</v>
      </c>
      <c r="R251">
        <v>8928.93</v>
      </c>
      <c r="S251">
        <v>5634.38</v>
      </c>
      <c r="T251">
        <v>8928.9279999999999</v>
      </c>
      <c r="U251">
        <v>3294.5479999999998</v>
      </c>
      <c r="V251">
        <v>0.36897464062875202</v>
      </c>
      <c r="W251">
        <v>1</v>
      </c>
      <c r="X251" t="s">
        <v>142</v>
      </c>
      <c r="Y251">
        <v>2025</v>
      </c>
      <c r="Z251" t="s">
        <v>129</v>
      </c>
      <c r="AA251" t="s">
        <v>130</v>
      </c>
      <c r="AB251" t="s">
        <v>131</v>
      </c>
      <c r="AC251" t="s">
        <v>131</v>
      </c>
      <c r="AD251" t="s">
        <v>131</v>
      </c>
      <c r="AE251" t="s">
        <v>131</v>
      </c>
      <c r="AF251" t="s">
        <v>131</v>
      </c>
      <c r="AG251" t="s">
        <v>131</v>
      </c>
      <c r="AH251" t="s">
        <v>132</v>
      </c>
      <c r="AI251" t="s">
        <v>133</v>
      </c>
      <c r="AJ251" t="s">
        <v>779</v>
      </c>
      <c r="AK251" t="s">
        <v>1166</v>
      </c>
      <c r="AL251" t="s">
        <v>139</v>
      </c>
      <c r="AM251" t="s">
        <v>43</v>
      </c>
      <c r="AN251" t="s">
        <v>9</v>
      </c>
      <c r="AO251" t="s">
        <v>126</v>
      </c>
      <c r="AP251" t="s">
        <v>127</v>
      </c>
      <c r="AQ251" t="s">
        <v>18</v>
      </c>
      <c r="AR251" t="s">
        <v>23</v>
      </c>
      <c r="AS251" t="s">
        <v>36</v>
      </c>
      <c r="AT251">
        <v>0.2</v>
      </c>
      <c r="AU251" t="s">
        <v>129</v>
      </c>
      <c r="AV251" t="s">
        <v>130</v>
      </c>
    </row>
    <row r="252" spans="1:48" x14ac:dyDescent="0.3">
      <c r="A252" t="s">
        <v>1167</v>
      </c>
      <c r="B252" s="12">
        <v>45343</v>
      </c>
      <c r="C252" s="12">
        <v>45349</v>
      </c>
      <c r="D252" t="s">
        <v>1168</v>
      </c>
      <c r="E252" t="s">
        <v>154</v>
      </c>
      <c r="F252" t="s">
        <v>44</v>
      </c>
      <c r="G252" t="s">
        <v>8</v>
      </c>
      <c r="H252" t="s">
        <v>201</v>
      </c>
      <c r="I252" t="s">
        <v>202</v>
      </c>
      <c r="J252" t="s">
        <v>18</v>
      </c>
      <c r="K252" t="s">
        <v>23</v>
      </c>
      <c r="M252" t="s">
        <v>35</v>
      </c>
      <c r="N252">
        <v>5</v>
      </c>
      <c r="O252">
        <v>3373.86</v>
      </c>
      <c r="P252">
        <v>0.15</v>
      </c>
      <c r="Q252">
        <v>0.15</v>
      </c>
      <c r="R252">
        <v>14338.9</v>
      </c>
      <c r="S252">
        <v>11897.65</v>
      </c>
      <c r="T252">
        <v>14338.905000000001</v>
      </c>
      <c r="U252">
        <v>2441.2550000000001</v>
      </c>
      <c r="V252">
        <v>0.170253935011076</v>
      </c>
      <c r="W252">
        <v>6</v>
      </c>
      <c r="X252" t="s">
        <v>186</v>
      </c>
      <c r="Y252">
        <v>2024</v>
      </c>
      <c r="Z252" t="s">
        <v>215</v>
      </c>
      <c r="AA252" t="s">
        <v>204</v>
      </c>
      <c r="AB252" t="s">
        <v>131</v>
      </c>
      <c r="AC252" t="s">
        <v>131</v>
      </c>
      <c r="AD252" t="s">
        <v>131</v>
      </c>
      <c r="AE252" t="s">
        <v>131</v>
      </c>
      <c r="AF252" t="s">
        <v>131</v>
      </c>
      <c r="AG252" t="s">
        <v>131</v>
      </c>
      <c r="AH252" t="s">
        <v>131</v>
      </c>
      <c r="AI252" t="s">
        <v>133</v>
      </c>
      <c r="AJ252" t="s">
        <v>1169</v>
      </c>
      <c r="AK252" t="s">
        <v>1170</v>
      </c>
      <c r="AL252" t="s">
        <v>154</v>
      </c>
      <c r="AM252" t="s">
        <v>44</v>
      </c>
      <c r="AN252" t="s">
        <v>8</v>
      </c>
      <c r="AO252" t="s">
        <v>201</v>
      </c>
      <c r="AP252" t="s">
        <v>202</v>
      </c>
      <c r="AQ252" t="s">
        <v>18</v>
      </c>
      <c r="AR252" t="s">
        <v>23</v>
      </c>
      <c r="AS252" t="s">
        <v>35</v>
      </c>
      <c r="AT252">
        <v>0.15</v>
      </c>
      <c r="AU252" t="s">
        <v>215</v>
      </c>
      <c r="AV252" t="s">
        <v>204</v>
      </c>
    </row>
    <row r="253" spans="1:48" x14ac:dyDescent="0.3">
      <c r="A253" t="s">
        <v>1171</v>
      </c>
      <c r="B253" s="12">
        <v>45753</v>
      </c>
      <c r="C253" s="12">
        <v>45757</v>
      </c>
      <c r="D253" t="s">
        <v>1172</v>
      </c>
      <c r="E253" t="s">
        <v>162</v>
      </c>
      <c r="F253" t="s">
        <v>43</v>
      </c>
      <c r="G253" t="s">
        <v>7</v>
      </c>
      <c r="H253" t="s">
        <v>300</v>
      </c>
      <c r="I253" t="s">
        <v>301</v>
      </c>
      <c r="J253" t="s">
        <v>18</v>
      </c>
      <c r="K253" t="s">
        <v>27</v>
      </c>
      <c r="M253" t="s">
        <v>37</v>
      </c>
      <c r="N253">
        <v>6</v>
      </c>
      <c r="O253">
        <v>1022.16</v>
      </c>
      <c r="P253">
        <v>0</v>
      </c>
      <c r="Q253">
        <v>0</v>
      </c>
      <c r="R253">
        <v>6132.96</v>
      </c>
      <c r="S253">
        <v>4881.1000000000004</v>
      </c>
      <c r="T253">
        <v>6132.96</v>
      </c>
      <c r="U253">
        <v>1251.8599999999999</v>
      </c>
      <c r="V253">
        <v>0.20412003339333701</v>
      </c>
      <c r="W253">
        <v>4</v>
      </c>
      <c r="X253" t="s">
        <v>179</v>
      </c>
      <c r="Y253">
        <v>2025</v>
      </c>
      <c r="Z253" t="s">
        <v>129</v>
      </c>
      <c r="AA253" t="s">
        <v>130</v>
      </c>
      <c r="AB253" t="s">
        <v>131</v>
      </c>
      <c r="AC253" t="s">
        <v>131</v>
      </c>
      <c r="AD253" t="s">
        <v>131</v>
      </c>
      <c r="AE253" t="s">
        <v>131</v>
      </c>
      <c r="AF253" t="s">
        <v>131</v>
      </c>
      <c r="AG253" t="s">
        <v>131</v>
      </c>
      <c r="AH253" t="s">
        <v>132</v>
      </c>
      <c r="AI253" t="s">
        <v>133</v>
      </c>
      <c r="AJ253" t="s">
        <v>1173</v>
      </c>
      <c r="AK253" t="s">
        <v>180</v>
      </c>
      <c r="AL253" t="s">
        <v>162</v>
      </c>
      <c r="AM253" t="s">
        <v>43</v>
      </c>
      <c r="AN253" t="s">
        <v>7</v>
      </c>
      <c r="AO253" t="s">
        <v>300</v>
      </c>
      <c r="AP253" t="s">
        <v>301</v>
      </c>
      <c r="AQ253" t="s">
        <v>18</v>
      </c>
      <c r="AR253" t="s">
        <v>27</v>
      </c>
      <c r="AS253" t="s">
        <v>37</v>
      </c>
      <c r="AT253">
        <v>0</v>
      </c>
      <c r="AU253" t="s">
        <v>129</v>
      </c>
      <c r="AV253" t="s">
        <v>130</v>
      </c>
    </row>
    <row r="254" spans="1:48" x14ac:dyDescent="0.3">
      <c r="A254" t="s">
        <v>1174</v>
      </c>
      <c r="B254" s="12">
        <v>45833</v>
      </c>
      <c r="C254" s="12">
        <v>45836</v>
      </c>
      <c r="D254" t="s">
        <v>1175</v>
      </c>
      <c r="E254" t="s">
        <v>154</v>
      </c>
      <c r="F254" t="s">
        <v>43</v>
      </c>
      <c r="G254" t="s">
        <v>9</v>
      </c>
      <c r="H254" t="s">
        <v>372</v>
      </c>
      <c r="I254" t="s">
        <v>373</v>
      </c>
      <c r="J254" t="s">
        <v>20</v>
      </c>
      <c r="K254" t="s">
        <v>21</v>
      </c>
      <c r="M254" t="s">
        <v>36</v>
      </c>
      <c r="N254">
        <v>2</v>
      </c>
      <c r="O254">
        <v>1455.92</v>
      </c>
      <c r="P254">
        <v>0.2</v>
      </c>
      <c r="Q254">
        <v>0.2</v>
      </c>
      <c r="R254">
        <v>2329.4699999999998</v>
      </c>
      <c r="S254">
        <v>1603.62</v>
      </c>
      <c r="T254">
        <v>2329.4720000000002</v>
      </c>
      <c r="U254">
        <v>725.85199999999998</v>
      </c>
      <c r="V254">
        <v>0.31159507390516</v>
      </c>
      <c r="W254">
        <v>3</v>
      </c>
      <c r="X254" t="s">
        <v>148</v>
      </c>
      <c r="Y254">
        <v>2025</v>
      </c>
      <c r="Z254" t="s">
        <v>215</v>
      </c>
      <c r="AA254" t="s">
        <v>204</v>
      </c>
      <c r="AB254" t="s">
        <v>131</v>
      </c>
      <c r="AC254" t="s">
        <v>131</v>
      </c>
      <c r="AD254" t="s">
        <v>131</v>
      </c>
      <c r="AE254" t="s">
        <v>131</v>
      </c>
      <c r="AF254" t="s">
        <v>131</v>
      </c>
      <c r="AG254" t="s">
        <v>131</v>
      </c>
      <c r="AH254" t="s">
        <v>131</v>
      </c>
      <c r="AI254" t="s">
        <v>133</v>
      </c>
      <c r="AJ254" t="s">
        <v>1176</v>
      </c>
      <c r="AK254" t="s">
        <v>1094</v>
      </c>
      <c r="AL254" t="s">
        <v>154</v>
      </c>
      <c r="AM254" t="s">
        <v>43</v>
      </c>
      <c r="AN254" t="s">
        <v>9</v>
      </c>
      <c r="AO254" t="s">
        <v>372</v>
      </c>
      <c r="AP254" t="s">
        <v>373</v>
      </c>
      <c r="AQ254" t="s">
        <v>20</v>
      </c>
      <c r="AR254" t="s">
        <v>21</v>
      </c>
      <c r="AS254" t="s">
        <v>36</v>
      </c>
      <c r="AT254">
        <v>0.2</v>
      </c>
      <c r="AU254" t="s">
        <v>215</v>
      </c>
      <c r="AV254" t="s">
        <v>204</v>
      </c>
    </row>
    <row r="255" spans="1:48" x14ac:dyDescent="0.3">
      <c r="A255" t="s">
        <v>1177</v>
      </c>
      <c r="B255" s="12">
        <v>45547</v>
      </c>
      <c r="C255" s="12">
        <v>45548</v>
      </c>
      <c r="D255" t="s">
        <v>1178</v>
      </c>
      <c r="E255" t="s">
        <v>221</v>
      </c>
      <c r="F255" t="s">
        <v>44</v>
      </c>
      <c r="G255" t="s">
        <v>9</v>
      </c>
      <c r="H255" t="s">
        <v>126</v>
      </c>
      <c r="I255" t="s">
        <v>127</v>
      </c>
      <c r="J255" t="s">
        <v>15</v>
      </c>
      <c r="K255" t="s">
        <v>17</v>
      </c>
      <c r="M255" t="s">
        <v>38</v>
      </c>
      <c r="N255">
        <v>6</v>
      </c>
      <c r="O255">
        <v>832.79</v>
      </c>
      <c r="P255">
        <v>0.05</v>
      </c>
      <c r="Q255">
        <v>0.05</v>
      </c>
      <c r="R255">
        <v>4746.8999999999996</v>
      </c>
      <c r="S255">
        <v>2825.38</v>
      </c>
      <c r="T255">
        <v>4746.9030000000002</v>
      </c>
      <c r="U255">
        <v>1921.5229999999999</v>
      </c>
      <c r="V255">
        <v>0.40479508428969402</v>
      </c>
      <c r="W255">
        <v>1</v>
      </c>
      <c r="X255" t="s">
        <v>196</v>
      </c>
      <c r="Y255">
        <v>2024</v>
      </c>
      <c r="Z255" t="s">
        <v>203</v>
      </c>
      <c r="AA255" t="s">
        <v>165</v>
      </c>
      <c r="AB255" t="s">
        <v>131</v>
      </c>
      <c r="AC255" t="s">
        <v>131</v>
      </c>
      <c r="AD255" t="s">
        <v>131</v>
      </c>
      <c r="AE255" t="s">
        <v>131</v>
      </c>
      <c r="AF255" t="s">
        <v>131</v>
      </c>
      <c r="AG255" t="s">
        <v>131</v>
      </c>
      <c r="AH255" t="s">
        <v>131</v>
      </c>
      <c r="AI255" t="s">
        <v>133</v>
      </c>
      <c r="AJ255" t="s">
        <v>1179</v>
      </c>
      <c r="AK255" t="s">
        <v>1180</v>
      </c>
      <c r="AL255" t="s">
        <v>221</v>
      </c>
      <c r="AM255" t="s">
        <v>44</v>
      </c>
      <c r="AN255" t="s">
        <v>9</v>
      </c>
      <c r="AO255" t="s">
        <v>126</v>
      </c>
      <c r="AP255" t="s">
        <v>127</v>
      </c>
      <c r="AQ255" t="s">
        <v>15</v>
      </c>
      <c r="AR255" t="s">
        <v>17</v>
      </c>
      <c r="AS255" t="s">
        <v>38</v>
      </c>
      <c r="AT255">
        <v>0.05</v>
      </c>
      <c r="AU255" t="s">
        <v>203</v>
      </c>
      <c r="AV255" t="s">
        <v>165</v>
      </c>
    </row>
    <row r="256" spans="1:48" x14ac:dyDescent="0.3">
      <c r="A256" t="s">
        <v>1181</v>
      </c>
      <c r="B256" s="12">
        <v>45658</v>
      </c>
      <c r="C256" s="12">
        <v>45660</v>
      </c>
      <c r="D256" t="s">
        <v>1182</v>
      </c>
      <c r="E256" t="s">
        <v>162</v>
      </c>
      <c r="F256" t="s">
        <v>42</v>
      </c>
      <c r="G256" t="s">
        <v>7</v>
      </c>
      <c r="H256" t="s">
        <v>171</v>
      </c>
      <c r="I256" t="s">
        <v>172</v>
      </c>
      <c r="J256" t="s">
        <v>15</v>
      </c>
      <c r="K256" t="s">
        <v>22</v>
      </c>
      <c r="M256" t="s">
        <v>38</v>
      </c>
      <c r="N256">
        <v>7</v>
      </c>
      <c r="O256">
        <v>1000.55</v>
      </c>
      <c r="P256">
        <v>0.2</v>
      </c>
      <c r="Q256">
        <v>0.2</v>
      </c>
      <c r="R256">
        <v>5603.08</v>
      </c>
      <c r="S256">
        <v>3132.52</v>
      </c>
      <c r="T256">
        <v>5603.08</v>
      </c>
      <c r="U256">
        <v>2470.56</v>
      </c>
      <c r="V256">
        <v>0.44092891766671199</v>
      </c>
      <c r="W256">
        <v>2</v>
      </c>
      <c r="X256" t="s">
        <v>244</v>
      </c>
      <c r="Y256">
        <v>2025</v>
      </c>
      <c r="Z256" t="s">
        <v>129</v>
      </c>
      <c r="AA256" t="s">
        <v>204</v>
      </c>
      <c r="AB256" t="s">
        <v>131</v>
      </c>
      <c r="AC256" t="s">
        <v>131</v>
      </c>
      <c r="AD256" t="s">
        <v>131</v>
      </c>
      <c r="AE256" t="s">
        <v>131</v>
      </c>
      <c r="AF256" t="s">
        <v>131</v>
      </c>
      <c r="AG256" t="s">
        <v>131</v>
      </c>
      <c r="AH256" t="s">
        <v>131</v>
      </c>
      <c r="AI256" t="s">
        <v>133</v>
      </c>
      <c r="AJ256" t="s">
        <v>1183</v>
      </c>
      <c r="AK256" t="s">
        <v>1184</v>
      </c>
      <c r="AL256" t="s">
        <v>162</v>
      </c>
      <c r="AM256" t="s">
        <v>42</v>
      </c>
      <c r="AN256" t="s">
        <v>7</v>
      </c>
      <c r="AO256" t="s">
        <v>171</v>
      </c>
      <c r="AP256" t="s">
        <v>172</v>
      </c>
      <c r="AQ256" t="s">
        <v>15</v>
      </c>
      <c r="AR256" t="s">
        <v>22</v>
      </c>
      <c r="AS256" t="s">
        <v>38</v>
      </c>
      <c r="AT256">
        <v>0.2</v>
      </c>
      <c r="AU256" t="s">
        <v>129</v>
      </c>
      <c r="AV256" t="s">
        <v>204</v>
      </c>
    </row>
    <row r="257" spans="1:48" x14ac:dyDescent="0.3">
      <c r="A257" t="s">
        <v>1185</v>
      </c>
      <c r="B257" s="12">
        <v>45692</v>
      </c>
      <c r="C257" s="12">
        <v>45698</v>
      </c>
      <c r="D257" t="s">
        <v>1186</v>
      </c>
      <c r="E257" t="s">
        <v>147</v>
      </c>
      <c r="F257" t="s">
        <v>43</v>
      </c>
      <c r="G257" t="s">
        <v>7</v>
      </c>
      <c r="H257" t="s">
        <v>163</v>
      </c>
      <c r="I257" t="s">
        <v>164</v>
      </c>
      <c r="J257" t="s">
        <v>15</v>
      </c>
      <c r="K257" t="s">
        <v>17</v>
      </c>
      <c r="M257" t="s">
        <v>36</v>
      </c>
      <c r="N257">
        <v>7</v>
      </c>
      <c r="O257">
        <v>1830</v>
      </c>
      <c r="P257">
        <v>0</v>
      </c>
      <c r="Q257">
        <v>0</v>
      </c>
      <c r="R257">
        <v>12810</v>
      </c>
      <c r="S257">
        <v>9334.1200000000008</v>
      </c>
      <c r="T257">
        <v>12810</v>
      </c>
      <c r="U257">
        <v>3475.88</v>
      </c>
      <c r="V257">
        <v>0.27134113973458202</v>
      </c>
      <c r="W257">
        <v>6</v>
      </c>
      <c r="X257" t="s">
        <v>186</v>
      </c>
      <c r="Y257">
        <v>2025</v>
      </c>
      <c r="Z257" t="s">
        <v>129</v>
      </c>
      <c r="AA257" t="s">
        <v>130</v>
      </c>
      <c r="AB257" t="s">
        <v>131</v>
      </c>
      <c r="AC257" t="s">
        <v>131</v>
      </c>
      <c r="AD257" t="s">
        <v>131</v>
      </c>
      <c r="AE257" t="s">
        <v>131</v>
      </c>
      <c r="AF257" t="s">
        <v>131</v>
      </c>
      <c r="AG257" t="s">
        <v>131</v>
      </c>
      <c r="AH257" t="s">
        <v>132</v>
      </c>
      <c r="AI257" t="s">
        <v>133</v>
      </c>
      <c r="AJ257" t="s">
        <v>1187</v>
      </c>
      <c r="AK257" t="s">
        <v>1188</v>
      </c>
      <c r="AL257" t="s">
        <v>147</v>
      </c>
      <c r="AM257" t="s">
        <v>43</v>
      </c>
      <c r="AN257" t="s">
        <v>7</v>
      </c>
      <c r="AO257" t="s">
        <v>163</v>
      </c>
      <c r="AP257" t="s">
        <v>164</v>
      </c>
      <c r="AQ257" t="s">
        <v>15</v>
      </c>
      <c r="AR257" t="s">
        <v>17</v>
      </c>
      <c r="AS257" t="s">
        <v>36</v>
      </c>
      <c r="AT257">
        <v>0</v>
      </c>
      <c r="AU257" t="s">
        <v>129</v>
      </c>
      <c r="AV257" t="s">
        <v>130</v>
      </c>
    </row>
    <row r="258" spans="1:48" x14ac:dyDescent="0.3">
      <c r="A258" t="s">
        <v>1189</v>
      </c>
      <c r="B258" s="12">
        <v>45601</v>
      </c>
      <c r="C258" s="12">
        <v>45599</v>
      </c>
      <c r="D258" t="s">
        <v>1190</v>
      </c>
      <c r="E258" t="s">
        <v>162</v>
      </c>
      <c r="F258" t="s">
        <v>42</v>
      </c>
      <c r="G258" t="s">
        <v>8</v>
      </c>
      <c r="H258" t="s">
        <v>201</v>
      </c>
      <c r="I258" t="s">
        <v>202</v>
      </c>
      <c r="J258" t="s">
        <v>18</v>
      </c>
      <c r="K258" t="s">
        <v>27</v>
      </c>
      <c r="M258" t="s">
        <v>36</v>
      </c>
      <c r="N258">
        <v>9</v>
      </c>
      <c r="O258">
        <v>2260.61</v>
      </c>
      <c r="P258">
        <v>0.05</v>
      </c>
      <c r="Q258">
        <v>0.05</v>
      </c>
      <c r="R258">
        <v>19328.22</v>
      </c>
      <c r="S258">
        <v>12039.5</v>
      </c>
      <c r="T258">
        <v>19328.215499999998</v>
      </c>
      <c r="U258">
        <v>7288.7155000000002</v>
      </c>
      <c r="V258">
        <v>0.37710235070588899</v>
      </c>
      <c r="W258">
        <v>-2</v>
      </c>
      <c r="X258" t="s">
        <v>157</v>
      </c>
      <c r="Y258">
        <v>2024</v>
      </c>
      <c r="Z258" t="s">
        <v>129</v>
      </c>
      <c r="AA258" t="s">
        <v>130</v>
      </c>
      <c r="AB258" t="s">
        <v>131</v>
      </c>
      <c r="AC258" t="s">
        <v>131</v>
      </c>
      <c r="AD258" t="s">
        <v>131</v>
      </c>
      <c r="AE258" t="s">
        <v>132</v>
      </c>
      <c r="AF258" t="s">
        <v>131</v>
      </c>
      <c r="AG258" t="s">
        <v>131</v>
      </c>
      <c r="AH258" t="s">
        <v>132</v>
      </c>
      <c r="AI258" t="s">
        <v>149</v>
      </c>
      <c r="AJ258" t="s">
        <v>1191</v>
      </c>
      <c r="AK258" t="s">
        <v>505</v>
      </c>
      <c r="AL258" t="s">
        <v>162</v>
      </c>
      <c r="AM258" t="s">
        <v>42</v>
      </c>
      <c r="AN258" t="s">
        <v>8</v>
      </c>
      <c r="AO258" t="s">
        <v>201</v>
      </c>
      <c r="AP258" t="s">
        <v>202</v>
      </c>
      <c r="AQ258" t="s">
        <v>18</v>
      </c>
      <c r="AR258" t="s">
        <v>27</v>
      </c>
      <c r="AS258" t="s">
        <v>36</v>
      </c>
      <c r="AT258">
        <v>0.05</v>
      </c>
      <c r="AU258" t="s">
        <v>129</v>
      </c>
      <c r="AV258" t="s">
        <v>130</v>
      </c>
    </row>
    <row r="259" spans="1:48" x14ac:dyDescent="0.3">
      <c r="A259" t="s">
        <v>1192</v>
      </c>
      <c r="B259" s="12">
        <v>45878</v>
      </c>
      <c r="C259" s="12">
        <v>45881</v>
      </c>
      <c r="D259" t="s">
        <v>1193</v>
      </c>
      <c r="E259" t="s">
        <v>277</v>
      </c>
      <c r="F259" t="s">
        <v>43</v>
      </c>
      <c r="G259" t="s">
        <v>6</v>
      </c>
      <c r="H259" t="s">
        <v>294</v>
      </c>
      <c r="I259" t="s">
        <v>295</v>
      </c>
      <c r="J259" t="s">
        <v>15</v>
      </c>
      <c r="K259" t="s">
        <v>22</v>
      </c>
      <c r="M259" t="s">
        <v>37</v>
      </c>
      <c r="N259">
        <v>2</v>
      </c>
      <c r="O259">
        <v>3237.27</v>
      </c>
      <c r="P259">
        <v>0</v>
      </c>
      <c r="Q259">
        <v>0</v>
      </c>
      <c r="R259">
        <v>6474.54</v>
      </c>
      <c r="S259">
        <v>5095.91</v>
      </c>
      <c r="T259">
        <v>6474.54</v>
      </c>
      <c r="U259">
        <v>1378.63</v>
      </c>
      <c r="V259">
        <v>0.21293095725719499</v>
      </c>
      <c r="W259">
        <v>3</v>
      </c>
      <c r="X259" t="s">
        <v>142</v>
      </c>
      <c r="Y259">
        <v>2025</v>
      </c>
      <c r="Z259" t="s">
        <v>129</v>
      </c>
      <c r="AA259" t="s">
        <v>165</v>
      </c>
      <c r="AB259" t="s">
        <v>131</v>
      </c>
      <c r="AC259" t="s">
        <v>131</v>
      </c>
      <c r="AD259" t="s">
        <v>131</v>
      </c>
      <c r="AE259" t="s">
        <v>131</v>
      </c>
      <c r="AF259" t="s">
        <v>131</v>
      </c>
      <c r="AG259" t="s">
        <v>131</v>
      </c>
      <c r="AH259" t="s">
        <v>131</v>
      </c>
      <c r="AI259" t="s">
        <v>133</v>
      </c>
      <c r="AJ259" t="s">
        <v>1194</v>
      </c>
      <c r="AK259" t="s">
        <v>1195</v>
      </c>
      <c r="AL259" t="s">
        <v>277</v>
      </c>
      <c r="AM259" t="s">
        <v>43</v>
      </c>
      <c r="AN259" t="s">
        <v>6</v>
      </c>
      <c r="AO259" t="s">
        <v>294</v>
      </c>
      <c r="AP259" t="s">
        <v>295</v>
      </c>
      <c r="AQ259" t="s">
        <v>15</v>
      </c>
      <c r="AR259" t="s">
        <v>22</v>
      </c>
      <c r="AS259" t="s">
        <v>37</v>
      </c>
      <c r="AT259">
        <v>0</v>
      </c>
      <c r="AU259" t="s">
        <v>129</v>
      </c>
      <c r="AV259" t="s">
        <v>165</v>
      </c>
    </row>
    <row r="260" spans="1:48" x14ac:dyDescent="0.3">
      <c r="A260" t="s">
        <v>1196</v>
      </c>
      <c r="B260" s="12">
        <v>45656</v>
      </c>
      <c r="C260" s="12">
        <v>45661</v>
      </c>
      <c r="D260" t="s">
        <v>1197</v>
      </c>
      <c r="E260" t="s">
        <v>243</v>
      </c>
      <c r="F260" t="s">
        <v>43</v>
      </c>
      <c r="G260" t="s">
        <v>6</v>
      </c>
      <c r="H260" t="s">
        <v>385</v>
      </c>
      <c r="I260" t="s">
        <v>386</v>
      </c>
      <c r="J260" t="s">
        <v>18</v>
      </c>
      <c r="K260" t="s">
        <v>27</v>
      </c>
      <c r="M260" t="s">
        <v>38</v>
      </c>
      <c r="N260">
        <v>2</v>
      </c>
      <c r="O260">
        <v>3720.07</v>
      </c>
      <c r="P260">
        <v>0.25</v>
      </c>
      <c r="Q260">
        <v>0.25</v>
      </c>
      <c r="R260">
        <v>5580.11</v>
      </c>
      <c r="S260">
        <v>4307.01</v>
      </c>
      <c r="T260">
        <v>5580.1049999999996</v>
      </c>
      <c r="U260">
        <v>1273.095</v>
      </c>
      <c r="V260">
        <v>0.22814893268137401</v>
      </c>
      <c r="W260">
        <v>5</v>
      </c>
      <c r="X260" t="s">
        <v>214</v>
      </c>
      <c r="Y260">
        <v>2024</v>
      </c>
      <c r="Z260" t="s">
        <v>129</v>
      </c>
      <c r="AA260" t="s">
        <v>130</v>
      </c>
      <c r="AB260" t="s">
        <v>131</v>
      </c>
      <c r="AC260" t="s">
        <v>131</v>
      </c>
      <c r="AD260" t="s">
        <v>131</v>
      </c>
      <c r="AE260" t="s">
        <v>131</v>
      </c>
      <c r="AF260" t="s">
        <v>131</v>
      </c>
      <c r="AG260" t="s">
        <v>131</v>
      </c>
      <c r="AH260" t="s">
        <v>132</v>
      </c>
      <c r="AI260" t="s">
        <v>133</v>
      </c>
      <c r="AJ260" t="s">
        <v>783</v>
      </c>
      <c r="AK260" t="s">
        <v>1198</v>
      </c>
      <c r="AL260" t="s">
        <v>243</v>
      </c>
      <c r="AM260" t="s">
        <v>43</v>
      </c>
      <c r="AN260" t="s">
        <v>6</v>
      </c>
      <c r="AO260" t="s">
        <v>385</v>
      </c>
      <c r="AP260" t="s">
        <v>386</v>
      </c>
      <c r="AQ260" t="s">
        <v>18</v>
      </c>
      <c r="AR260" t="s">
        <v>27</v>
      </c>
      <c r="AS260" t="s">
        <v>38</v>
      </c>
      <c r="AT260">
        <v>0.25</v>
      </c>
      <c r="AU260" t="s">
        <v>129</v>
      </c>
      <c r="AV260" t="s">
        <v>130</v>
      </c>
    </row>
    <row r="261" spans="1:48" x14ac:dyDescent="0.3">
      <c r="A261" t="s">
        <v>1199</v>
      </c>
      <c r="B261" s="12">
        <v>45464</v>
      </c>
      <c r="C261" s="12">
        <v>45472</v>
      </c>
      <c r="D261" t="s">
        <v>1200</v>
      </c>
      <c r="E261" t="s">
        <v>178</v>
      </c>
      <c r="F261" t="s">
        <v>42</v>
      </c>
      <c r="G261" t="s">
        <v>6</v>
      </c>
      <c r="H261" t="s">
        <v>385</v>
      </c>
      <c r="I261" t="s">
        <v>386</v>
      </c>
      <c r="J261" t="s">
        <v>15</v>
      </c>
      <c r="K261" t="s">
        <v>25</v>
      </c>
      <c r="M261" t="s">
        <v>35</v>
      </c>
      <c r="N261">
        <v>8</v>
      </c>
      <c r="O261">
        <v>2853.92</v>
      </c>
      <c r="P261">
        <v>0.2</v>
      </c>
      <c r="Q261">
        <v>0.2</v>
      </c>
      <c r="R261">
        <v>18265.09</v>
      </c>
      <c r="S261">
        <v>10437.14</v>
      </c>
      <c r="T261">
        <v>18265.088</v>
      </c>
      <c r="U261">
        <v>7827.9480000000003</v>
      </c>
      <c r="V261">
        <v>0.42857433810338103</v>
      </c>
      <c r="W261">
        <v>8</v>
      </c>
      <c r="X261" t="s">
        <v>148</v>
      </c>
      <c r="Y261">
        <v>2024</v>
      </c>
      <c r="Z261" t="s">
        <v>129</v>
      </c>
      <c r="AA261" t="s">
        <v>130</v>
      </c>
      <c r="AB261" t="s">
        <v>131</v>
      </c>
      <c r="AC261" t="s">
        <v>131</v>
      </c>
      <c r="AD261" t="s">
        <v>131</v>
      </c>
      <c r="AE261" t="s">
        <v>131</v>
      </c>
      <c r="AF261" t="s">
        <v>131</v>
      </c>
      <c r="AG261" t="s">
        <v>131</v>
      </c>
      <c r="AH261" t="s">
        <v>132</v>
      </c>
      <c r="AI261" t="s">
        <v>133</v>
      </c>
      <c r="AJ261" t="s">
        <v>1201</v>
      </c>
      <c r="AK261" t="s">
        <v>1202</v>
      </c>
      <c r="AL261" t="s">
        <v>178</v>
      </c>
      <c r="AM261" t="s">
        <v>42</v>
      </c>
      <c r="AN261" t="s">
        <v>6</v>
      </c>
      <c r="AO261" t="s">
        <v>385</v>
      </c>
      <c r="AP261" t="s">
        <v>386</v>
      </c>
      <c r="AQ261" t="s">
        <v>15</v>
      </c>
      <c r="AR261" t="s">
        <v>25</v>
      </c>
      <c r="AS261" t="s">
        <v>35</v>
      </c>
      <c r="AT261">
        <v>0.2</v>
      </c>
      <c r="AU261" t="s">
        <v>129</v>
      </c>
      <c r="AV261" t="s">
        <v>130</v>
      </c>
    </row>
    <row r="262" spans="1:48" x14ac:dyDescent="0.3">
      <c r="A262" t="s">
        <v>1203</v>
      </c>
      <c r="B262" s="12">
        <v>45923</v>
      </c>
      <c r="C262" s="12">
        <v>45927</v>
      </c>
      <c r="D262" t="s">
        <v>1204</v>
      </c>
      <c r="E262" t="s">
        <v>191</v>
      </c>
      <c r="F262" t="s">
        <v>43</v>
      </c>
      <c r="G262" t="s">
        <v>8</v>
      </c>
      <c r="H262" t="s">
        <v>201</v>
      </c>
      <c r="I262" t="s">
        <v>202</v>
      </c>
      <c r="J262" t="s">
        <v>20</v>
      </c>
      <c r="K262" t="s">
        <v>28</v>
      </c>
      <c r="M262" t="s">
        <v>38</v>
      </c>
      <c r="N262">
        <v>7</v>
      </c>
      <c r="O262">
        <v>2897.12</v>
      </c>
      <c r="P262">
        <v>0.25</v>
      </c>
      <c r="Q262">
        <v>0.25</v>
      </c>
      <c r="R262">
        <v>15209.88</v>
      </c>
      <c r="S262">
        <v>10891.15</v>
      </c>
      <c r="T262">
        <v>15209.88</v>
      </c>
      <c r="U262">
        <v>4318.7299999999996</v>
      </c>
      <c r="V262">
        <v>0.28394241111698498</v>
      </c>
      <c r="W262">
        <v>4</v>
      </c>
      <c r="X262" t="s">
        <v>196</v>
      </c>
      <c r="Y262">
        <v>2025</v>
      </c>
      <c r="Z262" t="s">
        <v>269</v>
      </c>
      <c r="AA262" t="s">
        <v>204</v>
      </c>
      <c r="AB262" t="s">
        <v>131</v>
      </c>
      <c r="AC262" t="s">
        <v>131</v>
      </c>
      <c r="AD262" t="s">
        <v>131</v>
      </c>
      <c r="AE262" t="s">
        <v>131</v>
      </c>
      <c r="AF262" t="s">
        <v>131</v>
      </c>
      <c r="AG262" t="s">
        <v>131</v>
      </c>
      <c r="AH262" t="s">
        <v>131</v>
      </c>
      <c r="AI262" t="s">
        <v>133</v>
      </c>
      <c r="AJ262" t="s">
        <v>1205</v>
      </c>
      <c r="AK262" t="s">
        <v>1206</v>
      </c>
      <c r="AL262" t="s">
        <v>191</v>
      </c>
      <c r="AM262" t="s">
        <v>43</v>
      </c>
      <c r="AN262" t="s">
        <v>8</v>
      </c>
      <c r="AO262" t="s">
        <v>201</v>
      </c>
      <c r="AP262" t="s">
        <v>202</v>
      </c>
      <c r="AQ262" t="s">
        <v>20</v>
      </c>
      <c r="AR262" t="s">
        <v>28</v>
      </c>
      <c r="AS262" t="s">
        <v>38</v>
      </c>
      <c r="AT262">
        <v>0.25</v>
      </c>
      <c r="AU262" t="s">
        <v>269</v>
      </c>
      <c r="AV262" t="s">
        <v>204</v>
      </c>
    </row>
    <row r="263" spans="1:48" x14ac:dyDescent="0.3">
      <c r="A263" t="s">
        <v>1207</v>
      </c>
      <c r="B263" s="12">
        <v>45826</v>
      </c>
      <c r="C263" s="12">
        <v>45832</v>
      </c>
      <c r="D263" t="s">
        <v>1208</v>
      </c>
      <c r="E263" t="s">
        <v>243</v>
      </c>
      <c r="F263" t="s">
        <v>43</v>
      </c>
      <c r="G263" t="s">
        <v>9</v>
      </c>
      <c r="H263" t="s">
        <v>126</v>
      </c>
      <c r="I263" t="s">
        <v>127</v>
      </c>
      <c r="J263" t="s">
        <v>20</v>
      </c>
      <c r="K263" t="s">
        <v>30</v>
      </c>
      <c r="M263" t="s">
        <v>35</v>
      </c>
      <c r="N263">
        <v>3</v>
      </c>
      <c r="O263">
        <v>686.74</v>
      </c>
      <c r="P263">
        <v>0.2</v>
      </c>
      <c r="Q263">
        <v>0.2</v>
      </c>
      <c r="R263">
        <v>1648.18</v>
      </c>
      <c r="S263">
        <v>987.91</v>
      </c>
      <c r="T263">
        <v>1648.1759999999999</v>
      </c>
      <c r="U263">
        <v>660.26599999999996</v>
      </c>
      <c r="V263">
        <v>0.40060406170214802</v>
      </c>
      <c r="W263">
        <v>6</v>
      </c>
      <c r="X263" t="s">
        <v>148</v>
      </c>
      <c r="Y263">
        <v>2025</v>
      </c>
      <c r="Z263" t="s">
        <v>269</v>
      </c>
      <c r="AA263" t="s">
        <v>165</v>
      </c>
      <c r="AB263" t="s">
        <v>131</v>
      </c>
      <c r="AC263" t="s">
        <v>131</v>
      </c>
      <c r="AD263" t="s">
        <v>131</v>
      </c>
      <c r="AE263" t="s">
        <v>131</v>
      </c>
      <c r="AF263" t="s">
        <v>131</v>
      </c>
      <c r="AG263" t="s">
        <v>131</v>
      </c>
      <c r="AH263" t="s">
        <v>131</v>
      </c>
      <c r="AI263" t="s">
        <v>133</v>
      </c>
      <c r="AJ263" t="s">
        <v>1209</v>
      </c>
      <c r="AK263" t="s">
        <v>1210</v>
      </c>
      <c r="AL263" t="s">
        <v>243</v>
      </c>
      <c r="AM263" t="s">
        <v>43</v>
      </c>
      <c r="AN263" t="s">
        <v>9</v>
      </c>
      <c r="AO263" t="s">
        <v>126</v>
      </c>
      <c r="AP263" t="s">
        <v>127</v>
      </c>
      <c r="AQ263" t="s">
        <v>20</v>
      </c>
      <c r="AR263" t="s">
        <v>30</v>
      </c>
      <c r="AS263" t="s">
        <v>35</v>
      </c>
      <c r="AT263">
        <v>0.2</v>
      </c>
      <c r="AU263" t="s">
        <v>269</v>
      </c>
      <c r="AV263" t="s">
        <v>165</v>
      </c>
    </row>
    <row r="264" spans="1:48" x14ac:dyDescent="0.3">
      <c r="A264" t="s">
        <v>1211</v>
      </c>
      <c r="B264" s="12">
        <v>45803</v>
      </c>
      <c r="C264" s="12">
        <v>45809</v>
      </c>
      <c r="D264" t="s">
        <v>879</v>
      </c>
      <c r="E264" t="s">
        <v>154</v>
      </c>
      <c r="F264" t="s">
        <v>44</v>
      </c>
      <c r="G264" t="s">
        <v>9</v>
      </c>
      <c r="H264" t="s">
        <v>522</v>
      </c>
      <c r="I264" t="s">
        <v>523</v>
      </c>
      <c r="J264" t="s">
        <v>15</v>
      </c>
      <c r="K264" t="s">
        <v>17</v>
      </c>
      <c r="M264" t="s">
        <v>38</v>
      </c>
      <c r="N264">
        <v>4</v>
      </c>
      <c r="O264">
        <v>3349.86</v>
      </c>
      <c r="P264">
        <v>0</v>
      </c>
      <c r="Q264">
        <v>0</v>
      </c>
      <c r="R264">
        <v>13399.44</v>
      </c>
      <c r="S264">
        <v>8581.35</v>
      </c>
      <c r="T264">
        <v>13399.44</v>
      </c>
      <c r="U264">
        <v>4818.09</v>
      </c>
      <c r="V264">
        <v>0.35957398219627101</v>
      </c>
      <c r="W264">
        <v>6</v>
      </c>
      <c r="X264" t="s">
        <v>173</v>
      </c>
      <c r="Y264">
        <v>2025</v>
      </c>
      <c r="Z264" t="s">
        <v>215</v>
      </c>
      <c r="AA264" t="s">
        <v>204</v>
      </c>
      <c r="AB264" t="s">
        <v>131</v>
      </c>
      <c r="AC264" t="s">
        <v>131</v>
      </c>
      <c r="AD264" t="s">
        <v>131</v>
      </c>
      <c r="AE264" t="s">
        <v>131</v>
      </c>
      <c r="AF264" t="s">
        <v>131</v>
      </c>
      <c r="AG264" t="s">
        <v>131</v>
      </c>
      <c r="AH264" t="s">
        <v>131</v>
      </c>
      <c r="AI264" t="s">
        <v>133</v>
      </c>
      <c r="AJ264" t="s">
        <v>1212</v>
      </c>
      <c r="AK264" t="s">
        <v>1213</v>
      </c>
      <c r="AL264" t="s">
        <v>154</v>
      </c>
      <c r="AM264" t="s">
        <v>44</v>
      </c>
      <c r="AN264" t="s">
        <v>9</v>
      </c>
      <c r="AO264" t="s">
        <v>522</v>
      </c>
      <c r="AP264" t="s">
        <v>523</v>
      </c>
      <c r="AQ264" t="s">
        <v>15</v>
      </c>
      <c r="AR264" t="s">
        <v>17</v>
      </c>
      <c r="AS264" t="s">
        <v>38</v>
      </c>
      <c r="AT264">
        <v>0</v>
      </c>
      <c r="AU264" t="s">
        <v>215</v>
      </c>
      <c r="AV264" t="s">
        <v>204</v>
      </c>
    </row>
    <row r="265" spans="1:48" x14ac:dyDescent="0.3">
      <c r="A265" t="s">
        <v>1214</v>
      </c>
      <c r="B265" s="12">
        <v>45875</v>
      </c>
      <c r="C265" s="12">
        <v>45879</v>
      </c>
      <c r="D265" t="s">
        <v>1215</v>
      </c>
      <c r="E265" t="s">
        <v>255</v>
      </c>
      <c r="F265" t="s">
        <v>44</v>
      </c>
      <c r="G265" t="s">
        <v>9</v>
      </c>
      <c r="H265" t="s">
        <v>522</v>
      </c>
      <c r="I265" t="s">
        <v>523</v>
      </c>
      <c r="J265" t="s">
        <v>20</v>
      </c>
      <c r="K265" t="s">
        <v>28</v>
      </c>
      <c r="M265" t="s">
        <v>37</v>
      </c>
      <c r="N265">
        <v>9</v>
      </c>
      <c r="O265">
        <v>4042.45</v>
      </c>
      <c r="P265">
        <v>0.1</v>
      </c>
      <c r="Q265">
        <v>0.1</v>
      </c>
      <c r="R265">
        <v>32743.84</v>
      </c>
      <c r="S265">
        <v>22452.05</v>
      </c>
      <c r="T265">
        <v>32743.845000000001</v>
      </c>
      <c r="U265">
        <v>10291.795</v>
      </c>
      <c r="V265">
        <v>0.314312353970647</v>
      </c>
      <c r="W265">
        <v>4</v>
      </c>
      <c r="X265" t="s">
        <v>142</v>
      </c>
      <c r="Y265">
        <v>2025</v>
      </c>
      <c r="Z265" t="s">
        <v>215</v>
      </c>
      <c r="AA265" t="s">
        <v>204</v>
      </c>
      <c r="AB265" t="s">
        <v>131</v>
      </c>
      <c r="AC265" t="s">
        <v>131</v>
      </c>
      <c r="AD265" t="s">
        <v>131</v>
      </c>
      <c r="AE265" t="s">
        <v>131</v>
      </c>
      <c r="AF265" t="s">
        <v>131</v>
      </c>
      <c r="AG265" t="s">
        <v>131</v>
      </c>
      <c r="AH265" t="s">
        <v>131</v>
      </c>
      <c r="AI265" t="s">
        <v>133</v>
      </c>
      <c r="AJ265" t="s">
        <v>1216</v>
      </c>
      <c r="AK265" t="s">
        <v>877</v>
      </c>
      <c r="AL265" t="s">
        <v>255</v>
      </c>
      <c r="AM265" t="s">
        <v>44</v>
      </c>
      <c r="AN265" t="s">
        <v>9</v>
      </c>
      <c r="AO265" t="s">
        <v>522</v>
      </c>
      <c r="AP265" t="s">
        <v>523</v>
      </c>
      <c r="AQ265" t="s">
        <v>20</v>
      </c>
      <c r="AR265" t="s">
        <v>28</v>
      </c>
      <c r="AS265" t="s">
        <v>37</v>
      </c>
      <c r="AT265">
        <v>0.1</v>
      </c>
      <c r="AU265" t="s">
        <v>215</v>
      </c>
      <c r="AV265" t="s">
        <v>204</v>
      </c>
    </row>
    <row r="266" spans="1:48" x14ac:dyDescent="0.3">
      <c r="A266" t="s">
        <v>1217</v>
      </c>
      <c r="B266" s="12">
        <v>45428</v>
      </c>
      <c r="C266" s="12">
        <v>45433</v>
      </c>
      <c r="D266" t="s">
        <v>1218</v>
      </c>
      <c r="E266" t="s">
        <v>277</v>
      </c>
      <c r="F266" t="s">
        <v>44</v>
      </c>
      <c r="G266" t="s">
        <v>8</v>
      </c>
      <c r="H266" t="s">
        <v>259</v>
      </c>
      <c r="I266" t="s">
        <v>260</v>
      </c>
      <c r="J266" t="s">
        <v>15</v>
      </c>
      <c r="K266" t="s">
        <v>16</v>
      </c>
      <c r="M266" t="s">
        <v>35</v>
      </c>
      <c r="N266">
        <v>4</v>
      </c>
      <c r="O266">
        <v>1503.07</v>
      </c>
      <c r="P266">
        <v>0</v>
      </c>
      <c r="Q266">
        <v>0</v>
      </c>
      <c r="R266">
        <v>6012.28</v>
      </c>
      <c r="S266">
        <v>3927.64</v>
      </c>
      <c r="T266">
        <v>6012.28</v>
      </c>
      <c r="U266">
        <v>2084.64</v>
      </c>
      <c r="V266">
        <v>0.34673035853286899</v>
      </c>
      <c r="W266">
        <v>5</v>
      </c>
      <c r="X266" t="s">
        <v>173</v>
      </c>
      <c r="Y266">
        <v>2024</v>
      </c>
      <c r="Z266" t="s">
        <v>129</v>
      </c>
      <c r="AA266" t="s">
        <v>130</v>
      </c>
      <c r="AB266" t="s">
        <v>131</v>
      </c>
      <c r="AC266" t="s">
        <v>131</v>
      </c>
      <c r="AD266" t="s">
        <v>131</v>
      </c>
      <c r="AE266" t="s">
        <v>131</v>
      </c>
      <c r="AF266" t="s">
        <v>131</v>
      </c>
      <c r="AG266" t="s">
        <v>131</v>
      </c>
      <c r="AH266" t="s">
        <v>132</v>
      </c>
      <c r="AI266" t="s">
        <v>133</v>
      </c>
      <c r="AJ266" t="s">
        <v>1219</v>
      </c>
      <c r="AK266" t="s">
        <v>1220</v>
      </c>
      <c r="AL266" t="s">
        <v>277</v>
      </c>
      <c r="AM266" t="s">
        <v>44</v>
      </c>
      <c r="AN266" t="s">
        <v>8</v>
      </c>
      <c r="AO266" t="s">
        <v>259</v>
      </c>
      <c r="AP266" t="s">
        <v>260</v>
      </c>
      <c r="AQ266" t="s">
        <v>15</v>
      </c>
      <c r="AR266" t="s">
        <v>16</v>
      </c>
      <c r="AS266" t="s">
        <v>35</v>
      </c>
      <c r="AT266">
        <v>0</v>
      </c>
      <c r="AU266" t="s">
        <v>129</v>
      </c>
      <c r="AV266" t="s">
        <v>130</v>
      </c>
    </row>
    <row r="267" spans="1:48" x14ac:dyDescent="0.3">
      <c r="A267" t="s">
        <v>1221</v>
      </c>
      <c r="B267" s="12">
        <v>45610</v>
      </c>
      <c r="C267" s="12">
        <v>45618</v>
      </c>
      <c r="D267" t="s">
        <v>1222</v>
      </c>
      <c r="E267" t="s">
        <v>221</v>
      </c>
      <c r="F267" t="s">
        <v>43</v>
      </c>
      <c r="G267" t="s">
        <v>8</v>
      </c>
      <c r="H267" t="s">
        <v>259</v>
      </c>
      <c r="I267" t="s">
        <v>260</v>
      </c>
      <c r="J267" t="s">
        <v>18</v>
      </c>
      <c r="K267" t="s">
        <v>26</v>
      </c>
      <c r="M267" t="s">
        <v>38</v>
      </c>
      <c r="N267">
        <v>1</v>
      </c>
      <c r="O267">
        <v>582.37</v>
      </c>
      <c r="P267">
        <v>0.15</v>
      </c>
      <c r="Q267">
        <v>0.15</v>
      </c>
      <c r="R267">
        <v>495.01</v>
      </c>
      <c r="S267">
        <v>285.13</v>
      </c>
      <c r="T267">
        <v>495.0145</v>
      </c>
      <c r="U267">
        <v>209.8845</v>
      </c>
      <c r="V267">
        <v>0.42399667080459302</v>
      </c>
      <c r="W267">
        <v>8</v>
      </c>
      <c r="X267" t="s">
        <v>157</v>
      </c>
      <c r="Y267">
        <v>2024</v>
      </c>
      <c r="Z267" t="s">
        <v>203</v>
      </c>
      <c r="AA267" t="s">
        <v>165</v>
      </c>
      <c r="AB267" t="s">
        <v>131</v>
      </c>
      <c r="AC267" t="s">
        <v>131</v>
      </c>
      <c r="AD267" t="s">
        <v>131</v>
      </c>
      <c r="AE267" t="s">
        <v>131</v>
      </c>
      <c r="AF267" t="s">
        <v>131</v>
      </c>
      <c r="AG267" t="s">
        <v>131</v>
      </c>
      <c r="AH267" t="s">
        <v>131</v>
      </c>
      <c r="AI267" t="s">
        <v>133</v>
      </c>
      <c r="AJ267" t="s">
        <v>1223</v>
      </c>
      <c r="AK267" t="s">
        <v>851</v>
      </c>
      <c r="AL267" t="s">
        <v>221</v>
      </c>
      <c r="AM267" t="s">
        <v>43</v>
      </c>
      <c r="AN267" t="s">
        <v>8</v>
      </c>
      <c r="AO267" t="s">
        <v>259</v>
      </c>
      <c r="AP267" t="s">
        <v>260</v>
      </c>
      <c r="AQ267" t="s">
        <v>18</v>
      </c>
      <c r="AR267" t="s">
        <v>26</v>
      </c>
      <c r="AS267" t="s">
        <v>38</v>
      </c>
      <c r="AT267">
        <v>0.15</v>
      </c>
      <c r="AU267" t="s">
        <v>203</v>
      </c>
      <c r="AV267" t="s">
        <v>1224</v>
      </c>
    </row>
    <row r="268" spans="1:48" x14ac:dyDescent="0.3">
      <c r="A268" t="s">
        <v>1225</v>
      </c>
      <c r="B268" s="12">
        <v>45780</v>
      </c>
      <c r="C268" s="12">
        <v>45787</v>
      </c>
      <c r="D268" t="s">
        <v>1226</v>
      </c>
      <c r="E268" t="s">
        <v>178</v>
      </c>
      <c r="F268" t="s">
        <v>41</v>
      </c>
      <c r="G268" t="s">
        <v>7</v>
      </c>
      <c r="H268" t="s">
        <v>163</v>
      </c>
      <c r="I268" t="s">
        <v>164</v>
      </c>
      <c r="J268" t="s">
        <v>20</v>
      </c>
      <c r="K268" t="s">
        <v>21</v>
      </c>
      <c r="M268" t="s">
        <v>37</v>
      </c>
      <c r="N268">
        <v>3</v>
      </c>
      <c r="O268">
        <v>4339.24</v>
      </c>
      <c r="P268">
        <v>0</v>
      </c>
      <c r="Q268">
        <v>0</v>
      </c>
      <c r="R268">
        <v>13017.72</v>
      </c>
      <c r="S268">
        <v>10170.57</v>
      </c>
      <c r="T268">
        <v>13017.72</v>
      </c>
      <c r="U268">
        <v>2847.15</v>
      </c>
      <c r="V268">
        <v>0.21871341525244101</v>
      </c>
      <c r="W268">
        <v>7</v>
      </c>
      <c r="X268" t="s">
        <v>173</v>
      </c>
      <c r="Y268">
        <v>2025</v>
      </c>
      <c r="Z268" t="s">
        <v>129</v>
      </c>
      <c r="AA268" t="s">
        <v>130</v>
      </c>
      <c r="AB268" t="s">
        <v>131</v>
      </c>
      <c r="AC268" t="s">
        <v>131</v>
      </c>
      <c r="AD268" t="s">
        <v>131</v>
      </c>
      <c r="AE268" t="s">
        <v>131</v>
      </c>
      <c r="AF268" t="s">
        <v>131</v>
      </c>
      <c r="AG268" t="s">
        <v>131</v>
      </c>
      <c r="AH268" t="s">
        <v>132</v>
      </c>
      <c r="AI268" t="s">
        <v>133</v>
      </c>
      <c r="AJ268" t="s">
        <v>1227</v>
      </c>
      <c r="AK268" t="s">
        <v>1228</v>
      </c>
      <c r="AL268" t="s">
        <v>178</v>
      </c>
      <c r="AM268" t="s">
        <v>41</v>
      </c>
      <c r="AN268" t="s">
        <v>7</v>
      </c>
      <c r="AO268" t="s">
        <v>163</v>
      </c>
      <c r="AP268" t="s">
        <v>164</v>
      </c>
      <c r="AQ268" t="s">
        <v>20</v>
      </c>
      <c r="AR268" t="s">
        <v>21</v>
      </c>
      <c r="AS268" t="s">
        <v>37</v>
      </c>
      <c r="AT268">
        <v>0</v>
      </c>
      <c r="AU268" t="s">
        <v>129</v>
      </c>
      <c r="AV268" t="s">
        <v>130</v>
      </c>
    </row>
    <row r="269" spans="1:48" x14ac:dyDescent="0.3">
      <c r="A269" t="s">
        <v>1229</v>
      </c>
      <c r="B269" s="12">
        <v>45805</v>
      </c>
      <c r="C269" s="12">
        <v>45812</v>
      </c>
      <c r="D269" t="s">
        <v>1230</v>
      </c>
      <c r="E269" t="s">
        <v>277</v>
      </c>
      <c r="F269" t="s">
        <v>43</v>
      </c>
      <c r="G269" t="s">
        <v>8</v>
      </c>
      <c r="H269" t="s">
        <v>362</v>
      </c>
      <c r="I269" t="s">
        <v>363</v>
      </c>
      <c r="J269" t="s">
        <v>18</v>
      </c>
      <c r="K269" t="s">
        <v>23</v>
      </c>
      <c r="M269" t="s">
        <v>36</v>
      </c>
      <c r="N269">
        <v>4</v>
      </c>
      <c r="O269">
        <v>261.8</v>
      </c>
      <c r="P269">
        <v>0.25</v>
      </c>
      <c r="Q269">
        <v>0.25</v>
      </c>
      <c r="R269">
        <v>785.4</v>
      </c>
      <c r="S269">
        <v>557.22</v>
      </c>
      <c r="T269">
        <v>785.4</v>
      </c>
      <c r="U269">
        <v>228.18</v>
      </c>
      <c r="V269">
        <v>0.29052711993888503</v>
      </c>
      <c r="W269">
        <v>7</v>
      </c>
      <c r="X269" t="s">
        <v>173</v>
      </c>
      <c r="Y269">
        <v>2025</v>
      </c>
      <c r="Z269" t="s">
        <v>129</v>
      </c>
      <c r="AA269" t="s">
        <v>130</v>
      </c>
      <c r="AB269" t="s">
        <v>131</v>
      </c>
      <c r="AC269" t="s">
        <v>131</v>
      </c>
      <c r="AD269" t="s">
        <v>131</v>
      </c>
      <c r="AE269" t="s">
        <v>131</v>
      </c>
      <c r="AF269" t="s">
        <v>131</v>
      </c>
      <c r="AG269" t="s">
        <v>131</v>
      </c>
      <c r="AH269" t="s">
        <v>132</v>
      </c>
      <c r="AI269" t="s">
        <v>133</v>
      </c>
      <c r="AJ269" t="s">
        <v>935</v>
      </c>
      <c r="AK269" t="s">
        <v>1231</v>
      </c>
      <c r="AL269" t="s">
        <v>277</v>
      </c>
      <c r="AM269" t="s">
        <v>43</v>
      </c>
      <c r="AN269" t="s">
        <v>8</v>
      </c>
      <c r="AO269" t="s">
        <v>362</v>
      </c>
      <c r="AP269" t="s">
        <v>363</v>
      </c>
      <c r="AQ269" t="s">
        <v>18</v>
      </c>
      <c r="AR269" t="s">
        <v>23</v>
      </c>
      <c r="AS269" t="s">
        <v>36</v>
      </c>
      <c r="AT269">
        <v>0.25</v>
      </c>
      <c r="AU269" t="s">
        <v>129</v>
      </c>
      <c r="AV269" t="s">
        <v>130</v>
      </c>
    </row>
    <row r="270" spans="1:48" x14ac:dyDescent="0.3">
      <c r="A270" t="s">
        <v>1232</v>
      </c>
      <c r="B270" s="12">
        <v>45886</v>
      </c>
      <c r="C270" s="12">
        <v>45886</v>
      </c>
      <c r="D270" t="s">
        <v>1233</v>
      </c>
      <c r="E270" t="s">
        <v>238</v>
      </c>
      <c r="F270" t="s">
        <v>41</v>
      </c>
      <c r="G270" t="s">
        <v>9</v>
      </c>
      <c r="H270" t="s">
        <v>232</v>
      </c>
      <c r="I270" t="s">
        <v>233</v>
      </c>
      <c r="J270" t="s">
        <v>15</v>
      </c>
      <c r="K270" t="s">
        <v>22</v>
      </c>
      <c r="M270" t="s">
        <v>36</v>
      </c>
      <c r="N270">
        <v>7</v>
      </c>
      <c r="O270">
        <v>632.20000000000005</v>
      </c>
      <c r="P270">
        <v>0.25</v>
      </c>
      <c r="Q270">
        <v>0.25</v>
      </c>
      <c r="R270">
        <v>3319.05</v>
      </c>
      <c r="S270">
        <v>2124.6</v>
      </c>
      <c r="T270">
        <v>3319.05</v>
      </c>
      <c r="U270">
        <v>1194.45</v>
      </c>
      <c r="V270">
        <v>0.35987707325891499</v>
      </c>
      <c r="W270">
        <v>0</v>
      </c>
      <c r="X270" t="s">
        <v>142</v>
      </c>
      <c r="Y270">
        <v>2025</v>
      </c>
      <c r="Z270" t="s">
        <v>129</v>
      </c>
      <c r="AA270" t="s">
        <v>130</v>
      </c>
      <c r="AB270" t="s">
        <v>131</v>
      </c>
      <c r="AC270" t="s">
        <v>131</v>
      </c>
      <c r="AD270" t="s">
        <v>131</v>
      </c>
      <c r="AE270" t="s">
        <v>131</v>
      </c>
      <c r="AF270" t="s">
        <v>131</v>
      </c>
      <c r="AG270" t="s">
        <v>131</v>
      </c>
      <c r="AH270" t="s">
        <v>132</v>
      </c>
      <c r="AI270" t="s">
        <v>133</v>
      </c>
      <c r="AJ270" t="s">
        <v>1234</v>
      </c>
      <c r="AK270" t="s">
        <v>1234</v>
      </c>
      <c r="AL270" t="s">
        <v>238</v>
      </c>
      <c r="AM270" t="s">
        <v>41</v>
      </c>
      <c r="AN270" t="s">
        <v>9</v>
      </c>
      <c r="AO270" t="s">
        <v>232</v>
      </c>
      <c r="AP270" t="s">
        <v>233</v>
      </c>
      <c r="AQ270" t="s">
        <v>15</v>
      </c>
      <c r="AR270" t="s">
        <v>22</v>
      </c>
      <c r="AS270" t="s">
        <v>36</v>
      </c>
      <c r="AT270">
        <v>0.25</v>
      </c>
      <c r="AU270" t="s">
        <v>129</v>
      </c>
      <c r="AV270" t="s">
        <v>130</v>
      </c>
    </row>
    <row r="271" spans="1:48" x14ac:dyDescent="0.3">
      <c r="A271" t="s">
        <v>1235</v>
      </c>
      <c r="B271" s="12">
        <v>45698</v>
      </c>
      <c r="C271" s="12">
        <v>45700</v>
      </c>
      <c r="D271" t="s">
        <v>1236</v>
      </c>
      <c r="E271" t="s">
        <v>227</v>
      </c>
      <c r="F271" t="s">
        <v>44</v>
      </c>
      <c r="G271" t="s">
        <v>7</v>
      </c>
      <c r="H271" t="s">
        <v>126</v>
      </c>
      <c r="I271" t="s">
        <v>213</v>
      </c>
      <c r="J271" t="s">
        <v>18</v>
      </c>
      <c r="K271" t="s">
        <v>27</v>
      </c>
      <c r="M271" t="s">
        <v>38</v>
      </c>
      <c r="N271">
        <v>1</v>
      </c>
      <c r="O271">
        <v>1925.86</v>
      </c>
      <c r="P271">
        <v>0</v>
      </c>
      <c r="Q271">
        <v>0</v>
      </c>
      <c r="R271">
        <v>1925.86</v>
      </c>
      <c r="S271">
        <v>1321.89</v>
      </c>
      <c r="T271">
        <v>1925.86</v>
      </c>
      <c r="U271">
        <v>603.97</v>
      </c>
      <c r="V271">
        <v>0.31361054282242701</v>
      </c>
      <c r="W271">
        <v>2</v>
      </c>
      <c r="X271" t="s">
        <v>186</v>
      </c>
      <c r="Y271">
        <v>2025</v>
      </c>
      <c r="Z271" t="s">
        <v>129</v>
      </c>
      <c r="AA271" t="s">
        <v>130</v>
      </c>
      <c r="AB271" t="s">
        <v>131</v>
      </c>
      <c r="AC271" t="s">
        <v>131</v>
      </c>
      <c r="AD271" t="s">
        <v>131</v>
      </c>
      <c r="AE271" t="s">
        <v>131</v>
      </c>
      <c r="AF271" t="s">
        <v>131</v>
      </c>
      <c r="AG271" t="s">
        <v>131</v>
      </c>
      <c r="AH271" t="s">
        <v>132</v>
      </c>
      <c r="AI271" t="s">
        <v>133</v>
      </c>
      <c r="AJ271" t="s">
        <v>1188</v>
      </c>
      <c r="AK271" t="s">
        <v>1237</v>
      </c>
      <c r="AL271" t="s">
        <v>227</v>
      </c>
      <c r="AM271" t="s">
        <v>44</v>
      </c>
      <c r="AN271" t="s">
        <v>7</v>
      </c>
      <c r="AO271" t="s">
        <v>126</v>
      </c>
      <c r="AP271" t="s">
        <v>213</v>
      </c>
      <c r="AQ271" t="s">
        <v>519</v>
      </c>
      <c r="AR271" t="s">
        <v>27</v>
      </c>
      <c r="AS271" t="s">
        <v>38</v>
      </c>
      <c r="AT271">
        <v>0</v>
      </c>
      <c r="AU271" t="s">
        <v>129</v>
      </c>
      <c r="AV271" t="s">
        <v>130</v>
      </c>
    </row>
    <row r="272" spans="1:48" x14ac:dyDescent="0.3">
      <c r="A272" t="s">
        <v>1238</v>
      </c>
      <c r="B272" s="12">
        <v>45303</v>
      </c>
      <c r="C272" s="12">
        <v>45304</v>
      </c>
      <c r="D272" t="s">
        <v>1239</v>
      </c>
      <c r="E272" t="s">
        <v>191</v>
      </c>
      <c r="F272" t="s">
        <v>43</v>
      </c>
      <c r="G272" t="s">
        <v>9</v>
      </c>
      <c r="H272" t="s">
        <v>249</v>
      </c>
      <c r="I272" t="s">
        <v>250</v>
      </c>
      <c r="J272" t="s">
        <v>15</v>
      </c>
      <c r="K272" t="s">
        <v>25</v>
      </c>
      <c r="M272" t="s">
        <v>38</v>
      </c>
      <c r="N272">
        <v>3</v>
      </c>
      <c r="O272">
        <v>827.44</v>
      </c>
      <c r="P272">
        <v>0</v>
      </c>
      <c r="Q272">
        <v>0</v>
      </c>
      <c r="R272">
        <v>2482.3200000000002</v>
      </c>
      <c r="S272">
        <v>1520.21</v>
      </c>
      <c r="T272">
        <v>2482.3200000000002</v>
      </c>
      <c r="U272">
        <v>962.11</v>
      </c>
      <c r="V272">
        <v>0.387585001127977</v>
      </c>
      <c r="W272">
        <v>1</v>
      </c>
      <c r="X272" t="s">
        <v>244</v>
      </c>
      <c r="Y272">
        <v>2024</v>
      </c>
      <c r="Z272" t="s">
        <v>129</v>
      </c>
      <c r="AA272" t="s">
        <v>130</v>
      </c>
      <c r="AB272" t="s">
        <v>131</v>
      </c>
      <c r="AC272" t="s">
        <v>131</v>
      </c>
      <c r="AD272" t="s">
        <v>131</v>
      </c>
      <c r="AE272" t="s">
        <v>131</v>
      </c>
      <c r="AF272" t="s">
        <v>131</v>
      </c>
      <c r="AG272" t="s">
        <v>131</v>
      </c>
      <c r="AH272" t="s">
        <v>132</v>
      </c>
      <c r="AI272" t="s">
        <v>133</v>
      </c>
      <c r="AJ272" t="s">
        <v>1128</v>
      </c>
      <c r="AK272" t="s">
        <v>570</v>
      </c>
      <c r="AL272" t="s">
        <v>191</v>
      </c>
      <c r="AM272" t="s">
        <v>43</v>
      </c>
      <c r="AN272" t="s">
        <v>9</v>
      </c>
      <c r="AO272" t="s">
        <v>249</v>
      </c>
      <c r="AP272" t="s">
        <v>250</v>
      </c>
      <c r="AQ272" t="s">
        <v>15</v>
      </c>
      <c r="AR272" t="s">
        <v>25</v>
      </c>
      <c r="AS272" t="s">
        <v>38</v>
      </c>
      <c r="AT272">
        <v>0</v>
      </c>
      <c r="AU272" t="s">
        <v>129</v>
      </c>
      <c r="AV272" t="s">
        <v>130</v>
      </c>
    </row>
    <row r="273" spans="1:48" x14ac:dyDescent="0.3">
      <c r="A273" t="s">
        <v>1240</v>
      </c>
      <c r="B273" s="12">
        <v>45647</v>
      </c>
      <c r="C273" s="12">
        <v>45651</v>
      </c>
      <c r="D273" t="s">
        <v>1241</v>
      </c>
      <c r="E273" t="s">
        <v>191</v>
      </c>
      <c r="F273" t="s">
        <v>42</v>
      </c>
      <c r="G273" t="s">
        <v>6</v>
      </c>
      <c r="H273" t="s">
        <v>155</v>
      </c>
      <c r="I273" t="s">
        <v>156</v>
      </c>
      <c r="J273" t="s">
        <v>20</v>
      </c>
      <c r="K273" t="s">
        <v>28</v>
      </c>
      <c r="M273" t="s">
        <v>35</v>
      </c>
      <c r="N273">
        <v>7</v>
      </c>
      <c r="O273">
        <v>1667.75</v>
      </c>
      <c r="P273">
        <v>0</v>
      </c>
      <c r="Q273">
        <v>0</v>
      </c>
      <c r="R273">
        <v>11674.25</v>
      </c>
      <c r="S273">
        <v>9621.19</v>
      </c>
      <c r="T273">
        <v>11674.25</v>
      </c>
      <c r="U273">
        <v>2053.06</v>
      </c>
      <c r="V273">
        <v>0.175862260958948</v>
      </c>
      <c r="W273">
        <v>4</v>
      </c>
      <c r="X273" t="s">
        <v>214</v>
      </c>
      <c r="Y273">
        <v>2024</v>
      </c>
      <c r="Z273" t="s">
        <v>269</v>
      </c>
      <c r="AA273" t="s">
        <v>165</v>
      </c>
      <c r="AB273" t="s">
        <v>131</v>
      </c>
      <c r="AC273" t="s">
        <v>131</v>
      </c>
      <c r="AD273" t="s">
        <v>131</v>
      </c>
      <c r="AE273" t="s">
        <v>131</v>
      </c>
      <c r="AF273" t="s">
        <v>131</v>
      </c>
      <c r="AG273" t="s">
        <v>131</v>
      </c>
      <c r="AH273" t="s">
        <v>131</v>
      </c>
      <c r="AI273" t="s">
        <v>133</v>
      </c>
      <c r="AJ273" t="s">
        <v>1242</v>
      </c>
      <c r="AK273" t="s">
        <v>1243</v>
      </c>
      <c r="AL273" t="s">
        <v>191</v>
      </c>
      <c r="AM273" t="s">
        <v>42</v>
      </c>
      <c r="AN273" t="s">
        <v>6</v>
      </c>
      <c r="AO273" t="s">
        <v>155</v>
      </c>
      <c r="AP273" t="s">
        <v>156</v>
      </c>
      <c r="AQ273" t="s">
        <v>20</v>
      </c>
      <c r="AR273" t="s">
        <v>28</v>
      </c>
      <c r="AS273" t="s">
        <v>35</v>
      </c>
      <c r="AT273">
        <v>0</v>
      </c>
      <c r="AU273" t="s">
        <v>269</v>
      </c>
      <c r="AV273" t="s">
        <v>165</v>
      </c>
    </row>
    <row r="274" spans="1:48" x14ac:dyDescent="0.3">
      <c r="A274" t="s">
        <v>1244</v>
      </c>
      <c r="B274" s="12">
        <v>45522</v>
      </c>
      <c r="C274" s="12">
        <v>45528</v>
      </c>
      <c r="D274" t="s">
        <v>1245</v>
      </c>
      <c r="E274" t="s">
        <v>154</v>
      </c>
      <c r="F274" t="s">
        <v>42</v>
      </c>
      <c r="G274" t="s">
        <v>6</v>
      </c>
      <c r="H274" t="s">
        <v>184</v>
      </c>
      <c r="I274" t="s">
        <v>185</v>
      </c>
      <c r="J274" t="s">
        <v>18</v>
      </c>
      <c r="K274" t="s">
        <v>19</v>
      </c>
      <c r="M274" t="s">
        <v>36</v>
      </c>
      <c r="N274">
        <v>7</v>
      </c>
      <c r="O274">
        <v>557.21</v>
      </c>
      <c r="P274">
        <v>0.1</v>
      </c>
      <c r="Q274">
        <v>0.1</v>
      </c>
      <c r="R274">
        <v>3510.42</v>
      </c>
      <c r="S274">
        <v>2191.5</v>
      </c>
      <c r="T274">
        <v>3510.4229999999998</v>
      </c>
      <c r="U274">
        <v>1318.923</v>
      </c>
      <c r="V274">
        <v>0.37571625983535301</v>
      </c>
      <c r="W274">
        <v>6</v>
      </c>
      <c r="X274" t="s">
        <v>142</v>
      </c>
      <c r="Y274">
        <v>2024</v>
      </c>
      <c r="Z274" t="s">
        <v>129</v>
      </c>
      <c r="AA274" t="s">
        <v>130</v>
      </c>
      <c r="AB274" t="s">
        <v>131</v>
      </c>
      <c r="AC274" t="s">
        <v>131</v>
      </c>
      <c r="AD274" t="s">
        <v>131</v>
      </c>
      <c r="AE274" t="s">
        <v>131</v>
      </c>
      <c r="AF274" t="s">
        <v>131</v>
      </c>
      <c r="AG274" t="s">
        <v>132</v>
      </c>
      <c r="AH274" t="s">
        <v>132</v>
      </c>
      <c r="AI274" t="s">
        <v>149</v>
      </c>
      <c r="AJ274" t="s">
        <v>1246</v>
      </c>
      <c r="AK274" t="s">
        <v>1247</v>
      </c>
      <c r="AL274" t="s">
        <v>154</v>
      </c>
      <c r="AM274" t="s">
        <v>42</v>
      </c>
      <c r="AN274" t="s">
        <v>6</v>
      </c>
      <c r="AO274" t="s">
        <v>184</v>
      </c>
      <c r="AP274" t="s">
        <v>185</v>
      </c>
      <c r="AQ274" t="s">
        <v>18</v>
      </c>
      <c r="AR274" t="s">
        <v>19</v>
      </c>
      <c r="AS274" t="s">
        <v>36</v>
      </c>
      <c r="AT274">
        <v>0.1</v>
      </c>
      <c r="AU274" t="s">
        <v>129</v>
      </c>
      <c r="AV274" t="s">
        <v>130</v>
      </c>
    </row>
    <row r="275" spans="1:48" x14ac:dyDescent="0.3">
      <c r="A275" t="s">
        <v>1248</v>
      </c>
      <c r="B275" s="12">
        <v>45701</v>
      </c>
      <c r="C275" s="12">
        <v>45701</v>
      </c>
      <c r="D275" t="s">
        <v>1249</v>
      </c>
      <c r="E275" t="s">
        <v>147</v>
      </c>
      <c r="F275" t="s">
        <v>42</v>
      </c>
      <c r="G275" t="s">
        <v>8</v>
      </c>
      <c r="H275" t="s">
        <v>259</v>
      </c>
      <c r="I275" t="s">
        <v>260</v>
      </c>
      <c r="J275" t="s">
        <v>20</v>
      </c>
      <c r="K275" t="s">
        <v>24</v>
      </c>
      <c r="M275" t="s">
        <v>37</v>
      </c>
      <c r="N275">
        <v>9</v>
      </c>
      <c r="O275">
        <v>2521.63</v>
      </c>
      <c r="P275">
        <v>0</v>
      </c>
      <c r="Q275">
        <v>0</v>
      </c>
      <c r="R275">
        <v>22694.67</v>
      </c>
      <c r="S275">
        <v>15405.36</v>
      </c>
      <c r="T275">
        <v>22694.67</v>
      </c>
      <c r="U275">
        <v>7289.31</v>
      </c>
      <c r="V275">
        <v>0.32119039404406402</v>
      </c>
      <c r="W275">
        <v>0</v>
      </c>
      <c r="X275" t="s">
        <v>186</v>
      </c>
      <c r="Y275">
        <v>2025</v>
      </c>
      <c r="Z275" t="s">
        <v>129</v>
      </c>
      <c r="AA275" t="s">
        <v>204</v>
      </c>
      <c r="AB275" t="s">
        <v>131</v>
      </c>
      <c r="AC275" t="s">
        <v>131</v>
      </c>
      <c r="AD275" t="s">
        <v>131</v>
      </c>
      <c r="AE275" t="s">
        <v>131</v>
      </c>
      <c r="AF275" t="s">
        <v>131</v>
      </c>
      <c r="AG275" t="s">
        <v>131</v>
      </c>
      <c r="AH275" t="s">
        <v>131</v>
      </c>
      <c r="AI275" t="s">
        <v>133</v>
      </c>
      <c r="AJ275" t="s">
        <v>1250</v>
      </c>
      <c r="AK275" t="s">
        <v>1251</v>
      </c>
      <c r="AL275" t="s">
        <v>147</v>
      </c>
      <c r="AM275" t="s">
        <v>42</v>
      </c>
      <c r="AN275" t="s">
        <v>8</v>
      </c>
      <c r="AO275" t="s">
        <v>259</v>
      </c>
      <c r="AP275" t="s">
        <v>260</v>
      </c>
      <c r="AQ275" t="s">
        <v>20</v>
      </c>
      <c r="AR275" t="s">
        <v>24</v>
      </c>
      <c r="AS275" t="s">
        <v>37</v>
      </c>
      <c r="AT275">
        <v>0</v>
      </c>
      <c r="AU275" t="s">
        <v>129</v>
      </c>
      <c r="AV275" t="s">
        <v>204</v>
      </c>
    </row>
    <row r="276" spans="1:48" x14ac:dyDescent="0.3">
      <c r="A276" t="s">
        <v>1252</v>
      </c>
      <c r="B276" s="12">
        <v>45389</v>
      </c>
      <c r="C276" s="12">
        <v>45396</v>
      </c>
      <c r="D276" t="s">
        <v>1253</v>
      </c>
      <c r="E276" t="s">
        <v>255</v>
      </c>
      <c r="F276" t="s">
        <v>42</v>
      </c>
      <c r="G276" t="s">
        <v>6</v>
      </c>
      <c r="H276" t="s">
        <v>305</v>
      </c>
      <c r="I276" t="s">
        <v>306</v>
      </c>
      <c r="J276" t="s">
        <v>15</v>
      </c>
      <c r="K276" t="s">
        <v>16</v>
      </c>
      <c r="M276" t="s">
        <v>35</v>
      </c>
      <c r="N276">
        <v>6</v>
      </c>
      <c r="O276">
        <v>4246.71</v>
      </c>
      <c r="P276">
        <v>0.15</v>
      </c>
      <c r="Q276">
        <v>0.15</v>
      </c>
      <c r="R276">
        <v>21658.22</v>
      </c>
      <c r="S276">
        <v>15490.69</v>
      </c>
      <c r="T276">
        <v>21658.221000000001</v>
      </c>
      <c r="U276">
        <v>6167.5309999999999</v>
      </c>
      <c r="V276">
        <v>0.28476627881855998</v>
      </c>
      <c r="W276">
        <v>7</v>
      </c>
      <c r="X276" t="s">
        <v>179</v>
      </c>
      <c r="Y276">
        <v>2024</v>
      </c>
      <c r="Z276" t="s">
        <v>269</v>
      </c>
      <c r="AA276" t="s">
        <v>204</v>
      </c>
      <c r="AB276" t="s">
        <v>131</v>
      </c>
      <c r="AC276" t="s">
        <v>131</v>
      </c>
      <c r="AD276" t="s">
        <v>131</v>
      </c>
      <c r="AE276" t="s">
        <v>131</v>
      </c>
      <c r="AF276" t="s">
        <v>131</v>
      </c>
      <c r="AG276" t="s">
        <v>131</v>
      </c>
      <c r="AH276" t="s">
        <v>131</v>
      </c>
      <c r="AI276" t="s">
        <v>133</v>
      </c>
      <c r="AJ276" t="s">
        <v>1254</v>
      </c>
      <c r="AK276" t="s">
        <v>1255</v>
      </c>
      <c r="AL276" t="s">
        <v>255</v>
      </c>
      <c r="AM276" t="s">
        <v>42</v>
      </c>
      <c r="AN276" t="s">
        <v>6</v>
      </c>
      <c r="AO276" t="s">
        <v>305</v>
      </c>
      <c r="AP276" t="s">
        <v>306</v>
      </c>
      <c r="AQ276" t="s">
        <v>15</v>
      </c>
      <c r="AR276" t="s">
        <v>16</v>
      </c>
      <c r="AS276" t="s">
        <v>35</v>
      </c>
      <c r="AT276">
        <v>0.15</v>
      </c>
      <c r="AU276" t="s">
        <v>269</v>
      </c>
      <c r="AV276" t="s">
        <v>204</v>
      </c>
    </row>
    <row r="277" spans="1:48" x14ac:dyDescent="0.3">
      <c r="A277" t="s">
        <v>1256</v>
      </c>
      <c r="B277" s="12">
        <v>45337</v>
      </c>
      <c r="C277" s="12">
        <v>45344</v>
      </c>
      <c r="D277" t="s">
        <v>1257</v>
      </c>
      <c r="E277" t="s">
        <v>221</v>
      </c>
      <c r="F277" t="s">
        <v>44</v>
      </c>
      <c r="G277" t="s">
        <v>8</v>
      </c>
      <c r="H277" t="s">
        <v>201</v>
      </c>
      <c r="I277" t="s">
        <v>202</v>
      </c>
      <c r="J277" t="s">
        <v>18</v>
      </c>
      <c r="K277" t="s">
        <v>23</v>
      </c>
      <c r="M277" t="s">
        <v>38</v>
      </c>
      <c r="N277">
        <v>1</v>
      </c>
      <c r="O277">
        <v>980.51</v>
      </c>
      <c r="P277">
        <v>0</v>
      </c>
      <c r="Q277">
        <v>0</v>
      </c>
      <c r="R277">
        <v>980.51</v>
      </c>
      <c r="S277">
        <v>660.92</v>
      </c>
      <c r="T277">
        <v>980.51</v>
      </c>
      <c r="U277">
        <v>319.58999999999997</v>
      </c>
      <c r="V277">
        <v>0.32594262169687199</v>
      </c>
      <c r="W277">
        <v>7</v>
      </c>
      <c r="X277" t="s">
        <v>186</v>
      </c>
      <c r="Y277">
        <v>2024</v>
      </c>
      <c r="Z277" t="s">
        <v>129</v>
      </c>
      <c r="AA277" t="s">
        <v>130</v>
      </c>
      <c r="AB277" t="s">
        <v>131</v>
      </c>
      <c r="AC277" t="s">
        <v>131</v>
      </c>
      <c r="AD277" t="s">
        <v>131</v>
      </c>
      <c r="AE277" t="s">
        <v>131</v>
      </c>
      <c r="AF277" t="s">
        <v>131</v>
      </c>
      <c r="AG277" t="s">
        <v>131</v>
      </c>
      <c r="AH277" t="s">
        <v>132</v>
      </c>
      <c r="AI277" t="s">
        <v>133</v>
      </c>
      <c r="AJ277" t="s">
        <v>662</v>
      </c>
      <c r="AK277" t="s">
        <v>1258</v>
      </c>
      <c r="AL277" t="s">
        <v>221</v>
      </c>
      <c r="AM277" t="s">
        <v>44</v>
      </c>
      <c r="AN277" t="s">
        <v>8</v>
      </c>
      <c r="AO277" t="s">
        <v>201</v>
      </c>
      <c r="AP277" t="s">
        <v>202</v>
      </c>
      <c r="AQ277" t="s">
        <v>18</v>
      </c>
      <c r="AR277" t="s">
        <v>23</v>
      </c>
      <c r="AS277" t="s">
        <v>38</v>
      </c>
      <c r="AT277">
        <v>0</v>
      </c>
      <c r="AU277" t="s">
        <v>129</v>
      </c>
      <c r="AV277" t="s">
        <v>130</v>
      </c>
    </row>
    <row r="278" spans="1:48" x14ac:dyDescent="0.3">
      <c r="A278" t="s">
        <v>1259</v>
      </c>
      <c r="B278" s="12">
        <v>45313</v>
      </c>
      <c r="C278" s="12">
        <v>45314</v>
      </c>
      <c r="D278" t="s">
        <v>1260</v>
      </c>
      <c r="E278" t="s">
        <v>238</v>
      </c>
      <c r="F278" t="s">
        <v>44</v>
      </c>
      <c r="G278" t="s">
        <v>10</v>
      </c>
      <c r="H278" t="s">
        <v>283</v>
      </c>
      <c r="I278" t="s">
        <v>284</v>
      </c>
      <c r="J278" t="s">
        <v>18</v>
      </c>
      <c r="K278" t="s">
        <v>19</v>
      </c>
      <c r="M278" t="s">
        <v>37</v>
      </c>
      <c r="N278">
        <v>6</v>
      </c>
      <c r="O278">
        <v>3391.53</v>
      </c>
      <c r="P278">
        <v>-0.14000000000000001</v>
      </c>
      <c r="Q278">
        <v>0</v>
      </c>
      <c r="R278">
        <v>15261.89</v>
      </c>
      <c r="S278">
        <v>8413.5300000000007</v>
      </c>
      <c r="T278">
        <v>20349.18</v>
      </c>
      <c r="U278">
        <v>11935.65</v>
      </c>
      <c r="V278">
        <v>0.58654206213714799</v>
      </c>
      <c r="W278">
        <v>1</v>
      </c>
      <c r="X278" t="s">
        <v>244</v>
      </c>
      <c r="Y278">
        <v>2024</v>
      </c>
      <c r="Z278" t="s">
        <v>129</v>
      </c>
      <c r="AA278" t="s">
        <v>130</v>
      </c>
      <c r="AB278" t="s">
        <v>132</v>
      </c>
      <c r="AC278" t="s">
        <v>131</v>
      </c>
      <c r="AD278" t="s">
        <v>131</v>
      </c>
      <c r="AE278" t="s">
        <v>131</v>
      </c>
      <c r="AF278" t="s">
        <v>132</v>
      </c>
      <c r="AG278" t="s">
        <v>131</v>
      </c>
      <c r="AH278" t="s">
        <v>132</v>
      </c>
      <c r="AI278" t="s">
        <v>149</v>
      </c>
      <c r="AJ278" t="s">
        <v>968</v>
      </c>
      <c r="AK278" t="s">
        <v>1261</v>
      </c>
      <c r="AL278" t="s">
        <v>238</v>
      </c>
      <c r="AM278" t="s">
        <v>44</v>
      </c>
      <c r="AO278" t="s">
        <v>283</v>
      </c>
      <c r="AP278" t="s">
        <v>284</v>
      </c>
      <c r="AQ278" t="s">
        <v>18</v>
      </c>
      <c r="AR278" t="s">
        <v>19</v>
      </c>
      <c r="AS278" t="s">
        <v>37</v>
      </c>
      <c r="AT278">
        <v>-0.14000000000000001</v>
      </c>
      <c r="AU278" t="s">
        <v>129</v>
      </c>
      <c r="AV278" t="s">
        <v>130</v>
      </c>
    </row>
    <row r="279" spans="1:48" x14ac:dyDescent="0.3">
      <c r="A279" t="s">
        <v>1262</v>
      </c>
      <c r="B279" s="12">
        <v>45812</v>
      </c>
      <c r="C279" s="12">
        <v>45812</v>
      </c>
      <c r="D279" t="s">
        <v>1084</v>
      </c>
      <c r="E279" t="s">
        <v>147</v>
      </c>
      <c r="F279" t="s">
        <v>43</v>
      </c>
      <c r="G279" t="s">
        <v>9</v>
      </c>
      <c r="H279" t="s">
        <v>372</v>
      </c>
      <c r="I279" t="s">
        <v>373</v>
      </c>
      <c r="J279" t="s">
        <v>15</v>
      </c>
      <c r="K279" t="s">
        <v>22</v>
      </c>
      <c r="M279" t="s">
        <v>37</v>
      </c>
      <c r="N279">
        <v>1</v>
      </c>
      <c r="O279">
        <v>2133.73</v>
      </c>
      <c r="P279">
        <v>0.15</v>
      </c>
      <c r="Q279">
        <v>0.15</v>
      </c>
      <c r="R279">
        <v>2008.39</v>
      </c>
      <c r="S279">
        <v>1002.57</v>
      </c>
      <c r="T279">
        <v>1813.6704999999999</v>
      </c>
      <c r="U279">
        <v>811.10050000000001</v>
      </c>
      <c r="V279">
        <v>0.44721491582952899</v>
      </c>
      <c r="W279">
        <v>0</v>
      </c>
      <c r="X279" t="s">
        <v>148</v>
      </c>
      <c r="Y279">
        <v>2025</v>
      </c>
      <c r="Z279" t="s">
        <v>215</v>
      </c>
      <c r="AA279" t="s">
        <v>165</v>
      </c>
      <c r="AB279" t="s">
        <v>131</v>
      </c>
      <c r="AC279" t="s">
        <v>131</v>
      </c>
      <c r="AD279" t="s">
        <v>131</v>
      </c>
      <c r="AE279" t="s">
        <v>131</v>
      </c>
      <c r="AF279" t="s">
        <v>131</v>
      </c>
      <c r="AG279" t="s">
        <v>131</v>
      </c>
      <c r="AH279" t="s">
        <v>131</v>
      </c>
      <c r="AI279" t="s">
        <v>133</v>
      </c>
      <c r="AJ279" t="s">
        <v>1263</v>
      </c>
      <c r="AK279" t="s">
        <v>1263</v>
      </c>
      <c r="AL279" t="s">
        <v>147</v>
      </c>
      <c r="AM279" t="s">
        <v>43</v>
      </c>
      <c r="AN279" t="s">
        <v>9</v>
      </c>
      <c r="AO279" t="s">
        <v>372</v>
      </c>
      <c r="AP279" t="s">
        <v>373</v>
      </c>
      <c r="AQ279" t="s">
        <v>15</v>
      </c>
      <c r="AR279" t="s">
        <v>22</v>
      </c>
      <c r="AS279" t="s">
        <v>37</v>
      </c>
      <c r="AT279">
        <v>0.15</v>
      </c>
      <c r="AU279" t="s">
        <v>215</v>
      </c>
      <c r="AV279" t="s">
        <v>165</v>
      </c>
    </row>
    <row r="280" spans="1:48" x14ac:dyDescent="0.3">
      <c r="A280" t="s">
        <v>1264</v>
      </c>
      <c r="B280" s="12">
        <v>45723</v>
      </c>
      <c r="C280" s="12">
        <v>45730</v>
      </c>
      <c r="D280" t="s">
        <v>1265</v>
      </c>
      <c r="E280" t="s">
        <v>221</v>
      </c>
      <c r="F280" t="s">
        <v>44</v>
      </c>
      <c r="G280" t="s">
        <v>9</v>
      </c>
      <c r="H280" t="s">
        <v>522</v>
      </c>
      <c r="I280" t="s">
        <v>523</v>
      </c>
      <c r="J280" t="s">
        <v>15</v>
      </c>
      <c r="K280" t="s">
        <v>22</v>
      </c>
      <c r="M280" t="s">
        <v>38</v>
      </c>
      <c r="N280">
        <v>1</v>
      </c>
      <c r="O280">
        <v>3979.64</v>
      </c>
      <c r="P280">
        <v>0.05</v>
      </c>
      <c r="Q280">
        <v>0.05</v>
      </c>
      <c r="R280">
        <v>3780.66</v>
      </c>
      <c r="S280">
        <v>2148.31</v>
      </c>
      <c r="T280">
        <v>3780.6579999999999</v>
      </c>
      <c r="U280">
        <v>1632.348</v>
      </c>
      <c r="V280">
        <v>0.43176293650470399</v>
      </c>
      <c r="W280">
        <v>7</v>
      </c>
      <c r="X280" t="s">
        <v>278</v>
      </c>
      <c r="Y280">
        <v>2025</v>
      </c>
      <c r="Z280" t="s">
        <v>129</v>
      </c>
      <c r="AA280" t="s">
        <v>204</v>
      </c>
      <c r="AB280" t="s">
        <v>131</v>
      </c>
      <c r="AC280" t="s">
        <v>131</v>
      </c>
      <c r="AD280" t="s">
        <v>131</v>
      </c>
      <c r="AE280" t="s">
        <v>131</v>
      </c>
      <c r="AF280" t="s">
        <v>131</v>
      </c>
      <c r="AG280" t="s">
        <v>131</v>
      </c>
      <c r="AH280" t="s">
        <v>131</v>
      </c>
      <c r="AI280" t="s">
        <v>133</v>
      </c>
      <c r="AJ280" t="s">
        <v>753</v>
      </c>
      <c r="AK280" t="s">
        <v>1266</v>
      </c>
      <c r="AL280" t="s">
        <v>1267</v>
      </c>
      <c r="AM280" t="s">
        <v>44</v>
      </c>
      <c r="AN280" t="s">
        <v>9</v>
      </c>
      <c r="AO280" t="s">
        <v>522</v>
      </c>
      <c r="AP280" t="s">
        <v>523</v>
      </c>
      <c r="AQ280" t="s">
        <v>15</v>
      </c>
      <c r="AR280" t="s">
        <v>22</v>
      </c>
      <c r="AS280" t="s">
        <v>38</v>
      </c>
      <c r="AT280">
        <v>0.05</v>
      </c>
      <c r="AU280" t="s">
        <v>129</v>
      </c>
      <c r="AV280" t="s">
        <v>204</v>
      </c>
    </row>
    <row r="281" spans="1:48" x14ac:dyDescent="0.3">
      <c r="A281" t="s">
        <v>1268</v>
      </c>
      <c r="B281" s="12">
        <v>45391</v>
      </c>
      <c r="C281" s="12">
        <v>45392</v>
      </c>
      <c r="D281" t="s">
        <v>1269</v>
      </c>
      <c r="E281" t="s">
        <v>255</v>
      </c>
      <c r="F281" t="s">
        <v>44</v>
      </c>
      <c r="G281" t="s">
        <v>7</v>
      </c>
      <c r="H281" t="s">
        <v>163</v>
      </c>
      <c r="I281" t="s">
        <v>164</v>
      </c>
      <c r="J281" t="s">
        <v>20</v>
      </c>
      <c r="K281" t="s">
        <v>21</v>
      </c>
      <c r="M281" t="s">
        <v>36</v>
      </c>
      <c r="N281">
        <v>1</v>
      </c>
      <c r="O281">
        <v>4359.12</v>
      </c>
      <c r="P281">
        <v>0.05</v>
      </c>
      <c r="Q281">
        <v>0.05</v>
      </c>
      <c r="R281">
        <v>4141.16</v>
      </c>
      <c r="S281">
        <v>2754.17</v>
      </c>
      <c r="T281">
        <v>4141.1639999999998</v>
      </c>
      <c r="U281">
        <v>1386.9939999999999</v>
      </c>
      <c r="V281">
        <v>0.33492853700070802</v>
      </c>
      <c r="W281">
        <v>1</v>
      </c>
      <c r="X281" t="s">
        <v>179</v>
      </c>
      <c r="Y281">
        <v>2024</v>
      </c>
      <c r="Z281" t="s">
        <v>129</v>
      </c>
      <c r="AA281" t="s">
        <v>130</v>
      </c>
      <c r="AB281" t="s">
        <v>131</v>
      </c>
      <c r="AC281" t="s">
        <v>131</v>
      </c>
      <c r="AD281" t="s">
        <v>131</v>
      </c>
      <c r="AE281" t="s">
        <v>131</v>
      </c>
      <c r="AF281" t="s">
        <v>131</v>
      </c>
      <c r="AG281" t="s">
        <v>131</v>
      </c>
      <c r="AH281" t="s">
        <v>132</v>
      </c>
      <c r="AI281" t="s">
        <v>133</v>
      </c>
      <c r="AJ281" t="s">
        <v>1270</v>
      </c>
      <c r="AK281" t="s">
        <v>1271</v>
      </c>
      <c r="AL281" t="s">
        <v>255</v>
      </c>
      <c r="AM281" t="s">
        <v>44</v>
      </c>
      <c r="AN281" t="s">
        <v>7</v>
      </c>
      <c r="AO281" t="s">
        <v>163</v>
      </c>
      <c r="AP281" t="s">
        <v>164</v>
      </c>
      <c r="AQ281" t="s">
        <v>20</v>
      </c>
      <c r="AR281" t="s">
        <v>21</v>
      </c>
      <c r="AS281" t="s">
        <v>36</v>
      </c>
      <c r="AT281">
        <v>0.05</v>
      </c>
      <c r="AU281" t="s">
        <v>129</v>
      </c>
      <c r="AV281" t="s">
        <v>130</v>
      </c>
    </row>
    <row r="282" spans="1:48" x14ac:dyDescent="0.3">
      <c r="A282" t="s">
        <v>1272</v>
      </c>
      <c r="B282" s="12">
        <v>45649</v>
      </c>
      <c r="C282" s="12">
        <v>45652</v>
      </c>
      <c r="D282" t="s">
        <v>1273</v>
      </c>
      <c r="E282" t="s">
        <v>191</v>
      </c>
      <c r="F282" t="s">
        <v>42</v>
      </c>
      <c r="G282" t="s">
        <v>6</v>
      </c>
      <c r="H282" t="s">
        <v>294</v>
      </c>
      <c r="I282" t="s">
        <v>295</v>
      </c>
      <c r="J282" t="s">
        <v>15</v>
      </c>
      <c r="K282" t="s">
        <v>16</v>
      </c>
      <c r="M282" t="s">
        <v>35</v>
      </c>
      <c r="N282">
        <v>9</v>
      </c>
      <c r="O282">
        <v>993.67</v>
      </c>
      <c r="P282">
        <v>0</v>
      </c>
      <c r="Q282">
        <v>0</v>
      </c>
      <c r="R282">
        <v>8943.0300000000007</v>
      </c>
      <c r="S282">
        <v>5165.38</v>
      </c>
      <c r="T282">
        <v>8943.0300000000007</v>
      </c>
      <c r="U282">
        <v>3777.65</v>
      </c>
      <c r="V282">
        <v>0.42241276167026198</v>
      </c>
      <c r="W282">
        <v>3</v>
      </c>
      <c r="X282" t="s">
        <v>214</v>
      </c>
      <c r="Y282">
        <v>2024</v>
      </c>
      <c r="Z282" t="s">
        <v>129</v>
      </c>
      <c r="AA282" t="s">
        <v>130</v>
      </c>
      <c r="AB282" t="s">
        <v>131</v>
      </c>
      <c r="AC282" t="s">
        <v>131</v>
      </c>
      <c r="AD282" t="s">
        <v>131</v>
      </c>
      <c r="AE282" t="s">
        <v>131</v>
      </c>
      <c r="AF282" t="s">
        <v>131</v>
      </c>
      <c r="AG282" t="s">
        <v>131</v>
      </c>
      <c r="AH282" t="s">
        <v>132</v>
      </c>
      <c r="AI282" t="s">
        <v>133</v>
      </c>
      <c r="AJ282" t="s">
        <v>1274</v>
      </c>
      <c r="AK282" t="s">
        <v>1275</v>
      </c>
      <c r="AL282" t="s">
        <v>191</v>
      </c>
      <c r="AM282" t="s">
        <v>42</v>
      </c>
      <c r="AN282" t="s">
        <v>6</v>
      </c>
      <c r="AO282" t="s">
        <v>294</v>
      </c>
      <c r="AP282" t="s">
        <v>295</v>
      </c>
      <c r="AQ282" t="s">
        <v>15</v>
      </c>
      <c r="AR282" t="s">
        <v>16</v>
      </c>
      <c r="AS282" t="s">
        <v>35</v>
      </c>
      <c r="AT282">
        <v>0</v>
      </c>
      <c r="AU282" t="s">
        <v>129</v>
      </c>
      <c r="AV282" t="s">
        <v>130</v>
      </c>
    </row>
    <row r="283" spans="1:48" x14ac:dyDescent="0.3">
      <c r="A283" t="s">
        <v>1276</v>
      </c>
      <c r="B283" s="12">
        <v>45863</v>
      </c>
      <c r="C283" s="12">
        <v>45865</v>
      </c>
      <c r="D283" t="s">
        <v>1277</v>
      </c>
      <c r="E283" t="s">
        <v>409</v>
      </c>
      <c r="F283" t="s">
        <v>42</v>
      </c>
      <c r="G283" t="s">
        <v>8</v>
      </c>
      <c r="H283" t="s">
        <v>362</v>
      </c>
      <c r="I283" t="s">
        <v>363</v>
      </c>
      <c r="J283" t="s">
        <v>20</v>
      </c>
      <c r="K283" t="s">
        <v>28</v>
      </c>
      <c r="M283" t="s">
        <v>37</v>
      </c>
      <c r="N283">
        <v>6</v>
      </c>
      <c r="O283">
        <v>3438.38</v>
      </c>
      <c r="P283">
        <v>0.2</v>
      </c>
      <c r="Q283">
        <v>0.2</v>
      </c>
      <c r="R283">
        <v>16504.22</v>
      </c>
      <c r="S283">
        <v>11262.71</v>
      </c>
      <c r="T283">
        <v>16504.223999999998</v>
      </c>
      <c r="U283">
        <v>5241.5140000000001</v>
      </c>
      <c r="V283">
        <v>0.31758621308096602</v>
      </c>
      <c r="W283">
        <v>2</v>
      </c>
      <c r="X283" t="s">
        <v>128</v>
      </c>
      <c r="Y283">
        <v>2025</v>
      </c>
      <c r="Z283" t="s">
        <v>129</v>
      </c>
      <c r="AA283" t="s">
        <v>130</v>
      </c>
      <c r="AB283" t="s">
        <v>131</v>
      </c>
      <c r="AC283" t="s">
        <v>131</v>
      </c>
      <c r="AD283" t="s">
        <v>131</v>
      </c>
      <c r="AE283" t="s">
        <v>131</v>
      </c>
      <c r="AF283" t="s">
        <v>131</v>
      </c>
      <c r="AG283" t="s">
        <v>131</v>
      </c>
      <c r="AH283" t="s">
        <v>132</v>
      </c>
      <c r="AI283" t="s">
        <v>133</v>
      </c>
      <c r="AJ283" t="s">
        <v>1278</v>
      </c>
      <c r="AK283" t="s">
        <v>1279</v>
      </c>
      <c r="AL283" t="s">
        <v>409</v>
      </c>
      <c r="AM283" t="s">
        <v>42</v>
      </c>
      <c r="AN283" t="s">
        <v>8</v>
      </c>
      <c r="AO283" t="s">
        <v>362</v>
      </c>
      <c r="AP283" t="s">
        <v>363</v>
      </c>
      <c r="AQ283" t="s">
        <v>20</v>
      </c>
      <c r="AR283" t="s">
        <v>28</v>
      </c>
      <c r="AS283" t="s">
        <v>37</v>
      </c>
      <c r="AT283">
        <v>0.2</v>
      </c>
      <c r="AU283" t="s">
        <v>129</v>
      </c>
      <c r="AV283" t="s">
        <v>130</v>
      </c>
    </row>
    <row r="284" spans="1:48" x14ac:dyDescent="0.3">
      <c r="A284" t="s">
        <v>1280</v>
      </c>
      <c r="B284" s="12">
        <v>45566</v>
      </c>
      <c r="C284" s="12">
        <v>45567</v>
      </c>
      <c r="D284" t="s">
        <v>1281</v>
      </c>
      <c r="E284" t="s">
        <v>125</v>
      </c>
      <c r="F284" t="s">
        <v>41</v>
      </c>
      <c r="G284" t="s">
        <v>8</v>
      </c>
      <c r="H284" t="s">
        <v>283</v>
      </c>
      <c r="I284" t="s">
        <v>284</v>
      </c>
      <c r="J284" t="s">
        <v>18</v>
      </c>
      <c r="K284" t="s">
        <v>27</v>
      </c>
      <c r="M284" t="s">
        <v>37</v>
      </c>
      <c r="N284">
        <v>2</v>
      </c>
      <c r="O284">
        <v>2298</v>
      </c>
      <c r="P284">
        <v>0</v>
      </c>
      <c r="Q284">
        <v>0</v>
      </c>
      <c r="R284">
        <v>4596</v>
      </c>
      <c r="S284">
        <v>3220.33</v>
      </c>
      <c r="T284">
        <v>4596</v>
      </c>
      <c r="U284">
        <v>1375.67</v>
      </c>
      <c r="V284">
        <v>0.29931897302001698</v>
      </c>
      <c r="W284">
        <v>1</v>
      </c>
      <c r="X284" t="s">
        <v>222</v>
      </c>
      <c r="Y284">
        <v>2024</v>
      </c>
      <c r="Z284" t="s">
        <v>129</v>
      </c>
      <c r="AA284" t="s">
        <v>130</v>
      </c>
      <c r="AB284" t="s">
        <v>131</v>
      </c>
      <c r="AC284" t="s">
        <v>131</v>
      </c>
      <c r="AD284" t="s">
        <v>131</v>
      </c>
      <c r="AE284" t="s">
        <v>131</v>
      </c>
      <c r="AF284" t="s">
        <v>131</v>
      </c>
      <c r="AG284" t="s">
        <v>131</v>
      </c>
      <c r="AH284" t="s">
        <v>132</v>
      </c>
      <c r="AI284" t="s">
        <v>133</v>
      </c>
      <c r="AJ284" t="s">
        <v>1282</v>
      </c>
      <c r="AK284" t="s">
        <v>1283</v>
      </c>
      <c r="AL284" t="s">
        <v>125</v>
      </c>
      <c r="AM284" t="s">
        <v>41</v>
      </c>
      <c r="AN284" t="s">
        <v>8</v>
      </c>
      <c r="AO284" t="s">
        <v>283</v>
      </c>
      <c r="AP284" t="s">
        <v>284</v>
      </c>
      <c r="AQ284" t="s">
        <v>18</v>
      </c>
      <c r="AR284" t="s">
        <v>27</v>
      </c>
      <c r="AS284" t="s">
        <v>37</v>
      </c>
      <c r="AT284">
        <v>0</v>
      </c>
      <c r="AU284" t="s">
        <v>129</v>
      </c>
      <c r="AV284" t="s">
        <v>130</v>
      </c>
    </row>
    <row r="285" spans="1:48" x14ac:dyDescent="0.3">
      <c r="A285" t="s">
        <v>1284</v>
      </c>
      <c r="B285" s="12">
        <v>45729</v>
      </c>
      <c r="C285" s="12">
        <v>45736</v>
      </c>
      <c r="D285" t="s">
        <v>1285</v>
      </c>
      <c r="E285" t="s">
        <v>170</v>
      </c>
      <c r="F285" t="s">
        <v>42</v>
      </c>
      <c r="G285" t="s">
        <v>7</v>
      </c>
      <c r="H285" t="s">
        <v>163</v>
      </c>
      <c r="I285" t="s">
        <v>164</v>
      </c>
      <c r="J285" t="s">
        <v>18</v>
      </c>
      <c r="K285" t="s">
        <v>23</v>
      </c>
      <c r="M285" t="s">
        <v>36</v>
      </c>
      <c r="N285">
        <v>1</v>
      </c>
      <c r="O285">
        <v>1814.01</v>
      </c>
      <c r="P285">
        <v>0</v>
      </c>
      <c r="Q285">
        <v>0</v>
      </c>
      <c r="R285">
        <v>1814.01</v>
      </c>
      <c r="S285">
        <v>1033.47</v>
      </c>
      <c r="T285">
        <v>1814.01</v>
      </c>
      <c r="U285">
        <v>780.54</v>
      </c>
      <c r="V285">
        <v>0.43028428729720303</v>
      </c>
      <c r="W285">
        <v>7</v>
      </c>
      <c r="X285" t="s">
        <v>278</v>
      </c>
      <c r="Y285">
        <v>2025</v>
      </c>
      <c r="Z285" t="s">
        <v>129</v>
      </c>
      <c r="AA285" t="s">
        <v>130</v>
      </c>
      <c r="AB285" t="s">
        <v>131</v>
      </c>
      <c r="AC285" t="s">
        <v>131</v>
      </c>
      <c r="AD285" t="s">
        <v>131</v>
      </c>
      <c r="AE285" t="s">
        <v>131</v>
      </c>
      <c r="AF285" t="s">
        <v>131</v>
      </c>
      <c r="AG285" t="s">
        <v>131</v>
      </c>
      <c r="AH285" t="s">
        <v>132</v>
      </c>
      <c r="AI285" t="s">
        <v>133</v>
      </c>
      <c r="AJ285" t="s">
        <v>1286</v>
      </c>
      <c r="AK285" t="s">
        <v>1287</v>
      </c>
      <c r="AL285" t="s">
        <v>170</v>
      </c>
      <c r="AM285" t="s">
        <v>42</v>
      </c>
      <c r="AN285" t="s">
        <v>7</v>
      </c>
      <c r="AO285" t="s">
        <v>163</v>
      </c>
      <c r="AP285" t="s">
        <v>164</v>
      </c>
      <c r="AQ285" t="s">
        <v>18</v>
      </c>
      <c r="AR285" t="s">
        <v>23</v>
      </c>
      <c r="AS285" t="s">
        <v>36</v>
      </c>
      <c r="AT285">
        <v>0</v>
      </c>
      <c r="AU285" t="s">
        <v>129</v>
      </c>
      <c r="AV285" t="s">
        <v>130</v>
      </c>
    </row>
    <row r="286" spans="1:48" x14ac:dyDescent="0.3">
      <c r="A286" t="s">
        <v>1288</v>
      </c>
      <c r="B286" s="12">
        <v>45634</v>
      </c>
      <c r="C286" s="12">
        <v>45640</v>
      </c>
      <c r="D286" t="s">
        <v>1289</v>
      </c>
      <c r="E286" t="s">
        <v>125</v>
      </c>
      <c r="F286" t="s">
        <v>42</v>
      </c>
      <c r="G286" t="s">
        <v>8</v>
      </c>
      <c r="H286" t="s">
        <v>140</v>
      </c>
      <c r="I286" t="s">
        <v>141</v>
      </c>
      <c r="J286" t="s">
        <v>18</v>
      </c>
      <c r="K286" t="s">
        <v>27</v>
      </c>
      <c r="M286" t="s">
        <v>38</v>
      </c>
      <c r="N286">
        <v>3</v>
      </c>
      <c r="O286">
        <v>1576.92</v>
      </c>
      <c r="P286">
        <v>0</v>
      </c>
      <c r="Q286">
        <v>0</v>
      </c>
      <c r="R286">
        <v>4730.76</v>
      </c>
      <c r="S286">
        <v>3139.73</v>
      </c>
      <c r="T286">
        <v>4730.76</v>
      </c>
      <c r="U286">
        <v>1591.03</v>
      </c>
      <c r="V286">
        <v>0.33631594077907101</v>
      </c>
      <c r="W286">
        <v>6</v>
      </c>
      <c r="X286" t="s">
        <v>214</v>
      </c>
      <c r="Y286">
        <v>2024</v>
      </c>
      <c r="Z286" t="s">
        <v>129</v>
      </c>
      <c r="AA286" t="s">
        <v>204</v>
      </c>
      <c r="AB286" t="s">
        <v>131</v>
      </c>
      <c r="AC286" t="s">
        <v>131</v>
      </c>
      <c r="AD286" t="s">
        <v>131</v>
      </c>
      <c r="AE286" t="s">
        <v>131</v>
      </c>
      <c r="AF286" t="s">
        <v>131</v>
      </c>
      <c r="AG286" t="s">
        <v>131</v>
      </c>
      <c r="AH286" t="s">
        <v>131</v>
      </c>
      <c r="AI286" t="s">
        <v>133</v>
      </c>
      <c r="AJ286" t="s">
        <v>1290</v>
      </c>
      <c r="AK286" t="s">
        <v>1291</v>
      </c>
      <c r="AL286" t="s">
        <v>125</v>
      </c>
      <c r="AM286" t="s">
        <v>42</v>
      </c>
      <c r="AN286" t="s">
        <v>8</v>
      </c>
      <c r="AO286" t="s">
        <v>140</v>
      </c>
      <c r="AP286" t="s">
        <v>141</v>
      </c>
      <c r="AQ286" t="s">
        <v>18</v>
      </c>
      <c r="AR286" t="s">
        <v>27</v>
      </c>
      <c r="AS286" t="s">
        <v>38</v>
      </c>
      <c r="AT286">
        <v>0</v>
      </c>
      <c r="AU286" t="s">
        <v>129</v>
      </c>
      <c r="AV286" t="s">
        <v>204</v>
      </c>
    </row>
    <row r="287" spans="1:48" x14ac:dyDescent="0.3">
      <c r="A287" t="s">
        <v>1292</v>
      </c>
      <c r="B287" s="12">
        <v>45884</v>
      </c>
      <c r="C287" s="12">
        <v>45889</v>
      </c>
      <c r="D287" t="s">
        <v>1293</v>
      </c>
      <c r="E287" t="s">
        <v>178</v>
      </c>
      <c r="F287" t="s">
        <v>41</v>
      </c>
      <c r="G287" t="s">
        <v>9</v>
      </c>
      <c r="H287" t="s">
        <v>126</v>
      </c>
      <c r="I287" t="s">
        <v>127</v>
      </c>
      <c r="J287" t="s">
        <v>20</v>
      </c>
      <c r="K287" t="s">
        <v>21</v>
      </c>
      <c r="M287" t="s">
        <v>35</v>
      </c>
      <c r="N287">
        <v>9</v>
      </c>
      <c r="O287">
        <v>4081.77</v>
      </c>
      <c r="P287">
        <v>0</v>
      </c>
      <c r="Q287">
        <v>0</v>
      </c>
      <c r="R287">
        <v>36735.93</v>
      </c>
      <c r="S287">
        <v>30820.84</v>
      </c>
      <c r="T287">
        <v>36735.93</v>
      </c>
      <c r="U287">
        <v>5915.09</v>
      </c>
      <c r="V287">
        <v>0.161016476240019</v>
      </c>
      <c r="W287">
        <v>5</v>
      </c>
      <c r="X287" t="s">
        <v>142</v>
      </c>
      <c r="Y287">
        <v>2025</v>
      </c>
      <c r="Z287" t="s">
        <v>129</v>
      </c>
      <c r="AA287" t="s">
        <v>130</v>
      </c>
      <c r="AB287" t="s">
        <v>131</v>
      </c>
      <c r="AC287" t="s">
        <v>131</v>
      </c>
      <c r="AD287" t="s">
        <v>131</v>
      </c>
      <c r="AE287" t="s">
        <v>131</v>
      </c>
      <c r="AF287" t="s">
        <v>131</v>
      </c>
      <c r="AG287" t="s">
        <v>131</v>
      </c>
      <c r="AH287" t="s">
        <v>132</v>
      </c>
      <c r="AI287" t="s">
        <v>133</v>
      </c>
      <c r="AJ287" t="s">
        <v>1294</v>
      </c>
      <c r="AK287" t="s">
        <v>1295</v>
      </c>
      <c r="AL287" t="s">
        <v>178</v>
      </c>
      <c r="AM287" t="s">
        <v>41</v>
      </c>
      <c r="AN287" t="s">
        <v>9</v>
      </c>
      <c r="AO287" t="s">
        <v>126</v>
      </c>
      <c r="AP287" t="s">
        <v>127</v>
      </c>
      <c r="AQ287" t="s">
        <v>20</v>
      </c>
      <c r="AR287" t="s">
        <v>21</v>
      </c>
      <c r="AS287" t="s">
        <v>35</v>
      </c>
      <c r="AT287">
        <v>0</v>
      </c>
      <c r="AU287" t="s">
        <v>129</v>
      </c>
      <c r="AV287" t="s">
        <v>130</v>
      </c>
    </row>
    <row r="288" spans="1:48" x14ac:dyDescent="0.3">
      <c r="A288" t="s">
        <v>1296</v>
      </c>
      <c r="B288" s="12">
        <v>45350</v>
      </c>
      <c r="C288" s="12">
        <v>45353</v>
      </c>
      <c r="D288" t="s">
        <v>1297</v>
      </c>
      <c r="E288" t="s">
        <v>221</v>
      </c>
      <c r="F288" t="s">
        <v>44</v>
      </c>
      <c r="G288" t="s">
        <v>9</v>
      </c>
      <c r="H288" t="s">
        <v>522</v>
      </c>
      <c r="I288" t="s">
        <v>523</v>
      </c>
      <c r="J288" t="s">
        <v>18</v>
      </c>
      <c r="K288" t="s">
        <v>23</v>
      </c>
      <c r="M288" t="s">
        <v>36</v>
      </c>
      <c r="N288">
        <v>7</v>
      </c>
      <c r="O288">
        <v>701.8</v>
      </c>
      <c r="P288">
        <v>0.1</v>
      </c>
      <c r="Q288">
        <v>0.1</v>
      </c>
      <c r="R288">
        <v>4421.34</v>
      </c>
      <c r="S288">
        <v>2489.98</v>
      </c>
      <c r="T288">
        <v>4421.34</v>
      </c>
      <c r="U288">
        <v>1931.36</v>
      </c>
      <c r="V288">
        <v>0.43682684435035501</v>
      </c>
      <c r="W288">
        <v>3</v>
      </c>
      <c r="X288" t="s">
        <v>186</v>
      </c>
      <c r="Y288">
        <v>2024</v>
      </c>
      <c r="Z288" t="s">
        <v>215</v>
      </c>
      <c r="AA288" t="s">
        <v>204</v>
      </c>
      <c r="AB288" t="s">
        <v>131</v>
      </c>
      <c r="AC288" t="s">
        <v>131</v>
      </c>
      <c r="AD288" t="s">
        <v>131</v>
      </c>
      <c r="AE288" t="s">
        <v>131</v>
      </c>
      <c r="AF288" t="s">
        <v>131</v>
      </c>
      <c r="AG288" t="s">
        <v>131</v>
      </c>
      <c r="AH288" t="s">
        <v>131</v>
      </c>
      <c r="AI288" t="s">
        <v>133</v>
      </c>
      <c r="AJ288" t="s">
        <v>1298</v>
      </c>
      <c r="AK288" t="s">
        <v>1299</v>
      </c>
      <c r="AL288" t="s">
        <v>221</v>
      </c>
      <c r="AM288" t="s">
        <v>44</v>
      </c>
      <c r="AN288" t="s">
        <v>9</v>
      </c>
      <c r="AO288" t="s">
        <v>522</v>
      </c>
      <c r="AP288" t="s">
        <v>523</v>
      </c>
      <c r="AQ288" t="s">
        <v>18</v>
      </c>
      <c r="AR288" t="s">
        <v>23</v>
      </c>
      <c r="AS288" t="s">
        <v>36</v>
      </c>
      <c r="AT288">
        <v>0.1</v>
      </c>
      <c r="AU288" t="s">
        <v>215</v>
      </c>
      <c r="AV288" t="s">
        <v>204</v>
      </c>
    </row>
    <row r="289" spans="1:48" x14ac:dyDescent="0.3">
      <c r="A289" t="s">
        <v>1300</v>
      </c>
      <c r="B289" s="12">
        <v>45540</v>
      </c>
      <c r="C289" s="12">
        <v>45542</v>
      </c>
      <c r="D289" t="s">
        <v>1301</v>
      </c>
      <c r="E289" t="s">
        <v>178</v>
      </c>
      <c r="F289" t="s">
        <v>44</v>
      </c>
      <c r="G289" t="s">
        <v>6</v>
      </c>
      <c r="H289" t="s">
        <v>385</v>
      </c>
      <c r="I289" t="s">
        <v>386</v>
      </c>
      <c r="J289" t="s">
        <v>15</v>
      </c>
      <c r="K289" t="s">
        <v>16</v>
      </c>
      <c r="M289" t="s">
        <v>35</v>
      </c>
      <c r="N289">
        <v>3</v>
      </c>
      <c r="O289">
        <v>2555.66</v>
      </c>
      <c r="P289">
        <v>0.15</v>
      </c>
      <c r="Q289">
        <v>0.15</v>
      </c>
      <c r="R289">
        <v>6516.93</v>
      </c>
      <c r="S289">
        <v>4511.54</v>
      </c>
      <c r="T289">
        <v>6516.933</v>
      </c>
      <c r="U289">
        <v>2005.393</v>
      </c>
      <c r="V289">
        <v>0.30772036477895298</v>
      </c>
      <c r="W289">
        <v>2</v>
      </c>
      <c r="X289" t="s">
        <v>196</v>
      </c>
      <c r="Y289">
        <v>2024</v>
      </c>
      <c r="Z289" t="s">
        <v>129</v>
      </c>
      <c r="AA289" t="s">
        <v>165</v>
      </c>
      <c r="AB289" t="s">
        <v>131</v>
      </c>
      <c r="AC289" t="s">
        <v>131</v>
      </c>
      <c r="AD289" t="s">
        <v>131</v>
      </c>
      <c r="AE289" t="s">
        <v>131</v>
      </c>
      <c r="AF289" t="s">
        <v>131</v>
      </c>
      <c r="AG289" t="s">
        <v>131</v>
      </c>
      <c r="AH289" t="s">
        <v>131</v>
      </c>
      <c r="AI289" t="s">
        <v>133</v>
      </c>
      <c r="AJ289" t="s">
        <v>1302</v>
      </c>
      <c r="AK289" t="s">
        <v>1303</v>
      </c>
      <c r="AL289" t="s">
        <v>178</v>
      </c>
      <c r="AM289" t="s">
        <v>44</v>
      </c>
      <c r="AN289" t="s">
        <v>6</v>
      </c>
      <c r="AO289" t="s">
        <v>385</v>
      </c>
      <c r="AP289" t="s">
        <v>386</v>
      </c>
      <c r="AQ289" t="s">
        <v>15</v>
      </c>
      <c r="AR289" t="s">
        <v>16</v>
      </c>
      <c r="AS289" t="s">
        <v>35</v>
      </c>
      <c r="AT289">
        <v>0.15</v>
      </c>
      <c r="AU289" t="s">
        <v>129</v>
      </c>
      <c r="AV289" t="s">
        <v>165</v>
      </c>
    </row>
    <row r="290" spans="1:48" x14ac:dyDescent="0.3">
      <c r="A290" t="s">
        <v>1304</v>
      </c>
      <c r="B290" s="12">
        <v>45467</v>
      </c>
      <c r="C290" s="12">
        <v>45467</v>
      </c>
      <c r="D290" t="s">
        <v>1305</v>
      </c>
      <c r="E290" t="s">
        <v>255</v>
      </c>
      <c r="F290" t="s">
        <v>44</v>
      </c>
      <c r="G290" t="s">
        <v>8</v>
      </c>
      <c r="H290" t="s">
        <v>259</v>
      </c>
      <c r="I290" t="s">
        <v>260</v>
      </c>
      <c r="J290" t="s">
        <v>20</v>
      </c>
      <c r="K290" t="s">
        <v>28</v>
      </c>
      <c r="M290" t="s">
        <v>38</v>
      </c>
      <c r="N290">
        <v>2</v>
      </c>
      <c r="O290">
        <v>4359.8999999999996</v>
      </c>
      <c r="P290">
        <v>0.15</v>
      </c>
      <c r="Q290">
        <v>0.15</v>
      </c>
      <c r="R290">
        <v>7411.83</v>
      </c>
      <c r="S290">
        <v>4904.63</v>
      </c>
      <c r="T290">
        <v>7411.83</v>
      </c>
      <c r="U290">
        <v>2507.1999999999998</v>
      </c>
      <c r="V290">
        <v>0.33827003587508098</v>
      </c>
      <c r="W290">
        <v>0</v>
      </c>
      <c r="X290" t="s">
        <v>148</v>
      </c>
      <c r="Y290">
        <v>2024</v>
      </c>
      <c r="Z290" t="s">
        <v>129</v>
      </c>
      <c r="AA290" t="s">
        <v>130</v>
      </c>
      <c r="AB290" t="s">
        <v>131</v>
      </c>
      <c r="AC290" t="s">
        <v>131</v>
      </c>
      <c r="AD290" t="s">
        <v>131</v>
      </c>
      <c r="AE290" t="s">
        <v>131</v>
      </c>
      <c r="AF290" t="s">
        <v>131</v>
      </c>
      <c r="AG290" t="s">
        <v>131</v>
      </c>
      <c r="AH290" t="s">
        <v>132</v>
      </c>
      <c r="AI290" t="s">
        <v>133</v>
      </c>
      <c r="AJ290" t="s">
        <v>1306</v>
      </c>
      <c r="AK290" t="s">
        <v>1306</v>
      </c>
      <c r="AL290" t="s">
        <v>255</v>
      </c>
      <c r="AM290" t="s">
        <v>44</v>
      </c>
      <c r="AN290" t="s">
        <v>8</v>
      </c>
      <c r="AO290" t="s">
        <v>259</v>
      </c>
      <c r="AP290" t="s">
        <v>260</v>
      </c>
      <c r="AQ290" t="s">
        <v>20</v>
      </c>
      <c r="AR290" t="s">
        <v>28</v>
      </c>
      <c r="AS290" t="s">
        <v>38</v>
      </c>
      <c r="AT290">
        <v>0.15</v>
      </c>
      <c r="AU290" t="s">
        <v>129</v>
      </c>
      <c r="AV290" t="s">
        <v>130</v>
      </c>
    </row>
    <row r="291" spans="1:48" x14ac:dyDescent="0.3">
      <c r="A291" t="s">
        <v>1307</v>
      </c>
      <c r="B291" s="12">
        <v>45827</v>
      </c>
      <c r="C291" s="12">
        <v>45835</v>
      </c>
      <c r="D291" t="s">
        <v>1308</v>
      </c>
      <c r="E291" t="s">
        <v>125</v>
      </c>
      <c r="F291" t="s">
        <v>41</v>
      </c>
      <c r="G291" t="s">
        <v>6</v>
      </c>
      <c r="H291" t="s">
        <v>385</v>
      </c>
      <c r="I291" t="s">
        <v>386</v>
      </c>
      <c r="J291" t="s">
        <v>18</v>
      </c>
      <c r="K291" t="s">
        <v>26</v>
      </c>
      <c r="M291" t="s">
        <v>36</v>
      </c>
      <c r="N291">
        <v>2</v>
      </c>
      <c r="O291">
        <v>4346.6899999999996</v>
      </c>
      <c r="P291">
        <v>0.05</v>
      </c>
      <c r="Q291">
        <v>0.05</v>
      </c>
      <c r="R291">
        <v>8258.7099999999991</v>
      </c>
      <c r="S291">
        <v>7018.97</v>
      </c>
      <c r="T291">
        <v>8258.7109999999993</v>
      </c>
      <c r="U291">
        <v>1239.741</v>
      </c>
      <c r="V291">
        <v>0.15011313508851401</v>
      </c>
      <c r="W291">
        <v>8</v>
      </c>
      <c r="X291" t="s">
        <v>148</v>
      </c>
      <c r="Y291">
        <v>2025</v>
      </c>
      <c r="Z291" t="s">
        <v>129</v>
      </c>
      <c r="AA291" t="s">
        <v>130</v>
      </c>
      <c r="AB291" t="s">
        <v>131</v>
      </c>
      <c r="AC291" t="s">
        <v>131</v>
      </c>
      <c r="AD291" t="s">
        <v>131</v>
      </c>
      <c r="AE291" t="s">
        <v>131</v>
      </c>
      <c r="AF291" t="s">
        <v>131</v>
      </c>
      <c r="AG291" t="s">
        <v>131</v>
      </c>
      <c r="AH291" t="s">
        <v>132</v>
      </c>
      <c r="AI291" t="s">
        <v>133</v>
      </c>
      <c r="AJ291" t="s">
        <v>318</v>
      </c>
      <c r="AK291" t="s">
        <v>639</v>
      </c>
      <c r="AL291" t="s">
        <v>125</v>
      </c>
      <c r="AM291" t="s">
        <v>41</v>
      </c>
      <c r="AN291" t="s">
        <v>6</v>
      </c>
      <c r="AO291" t="s">
        <v>385</v>
      </c>
      <c r="AP291" t="s">
        <v>386</v>
      </c>
      <c r="AQ291" t="s">
        <v>18</v>
      </c>
      <c r="AR291" t="s">
        <v>26</v>
      </c>
      <c r="AS291" t="s">
        <v>36</v>
      </c>
      <c r="AT291">
        <v>0.05</v>
      </c>
      <c r="AU291" t="s">
        <v>129</v>
      </c>
      <c r="AV291" t="s">
        <v>130</v>
      </c>
    </row>
    <row r="292" spans="1:48" x14ac:dyDescent="0.3">
      <c r="A292" t="s">
        <v>1309</v>
      </c>
      <c r="B292" s="12">
        <v>45891</v>
      </c>
      <c r="C292" s="12">
        <v>45895</v>
      </c>
      <c r="D292" t="s">
        <v>1310</v>
      </c>
      <c r="E292" t="s">
        <v>277</v>
      </c>
      <c r="F292" t="s">
        <v>41</v>
      </c>
      <c r="G292" t="s">
        <v>8</v>
      </c>
      <c r="H292" t="s">
        <v>362</v>
      </c>
      <c r="I292" t="s">
        <v>363</v>
      </c>
      <c r="J292" t="s">
        <v>18</v>
      </c>
      <c r="K292" t="s">
        <v>27</v>
      </c>
      <c r="M292" t="s">
        <v>35</v>
      </c>
      <c r="N292">
        <v>1</v>
      </c>
      <c r="O292">
        <v>1842.63</v>
      </c>
      <c r="P292">
        <v>0.1</v>
      </c>
      <c r="Q292">
        <v>0.1</v>
      </c>
      <c r="R292">
        <v>1658.37</v>
      </c>
      <c r="S292">
        <v>971.12</v>
      </c>
      <c r="T292">
        <v>1658.367</v>
      </c>
      <c r="U292">
        <v>687.24699999999996</v>
      </c>
      <c r="V292">
        <v>0.41441188832146297</v>
      </c>
      <c r="W292">
        <v>4</v>
      </c>
      <c r="X292" t="s">
        <v>142</v>
      </c>
      <c r="Y292">
        <v>2025</v>
      </c>
      <c r="Z292" t="s">
        <v>129</v>
      </c>
      <c r="AA292" t="s">
        <v>130</v>
      </c>
      <c r="AB292" t="s">
        <v>131</v>
      </c>
      <c r="AC292" t="s">
        <v>131</v>
      </c>
      <c r="AD292" t="s">
        <v>131</v>
      </c>
      <c r="AE292" t="s">
        <v>131</v>
      </c>
      <c r="AF292" t="s">
        <v>131</v>
      </c>
      <c r="AG292" t="s">
        <v>131</v>
      </c>
      <c r="AH292" t="s">
        <v>132</v>
      </c>
      <c r="AI292" t="s">
        <v>133</v>
      </c>
      <c r="AJ292" t="s">
        <v>1311</v>
      </c>
      <c r="AK292" t="s">
        <v>1312</v>
      </c>
      <c r="AL292" t="s">
        <v>277</v>
      </c>
      <c r="AM292" t="s">
        <v>41</v>
      </c>
      <c r="AN292" t="s">
        <v>8</v>
      </c>
      <c r="AO292" t="s">
        <v>362</v>
      </c>
      <c r="AP292" t="s">
        <v>363</v>
      </c>
      <c r="AQ292" t="s">
        <v>18</v>
      </c>
      <c r="AR292" t="s">
        <v>27</v>
      </c>
      <c r="AS292" t="s">
        <v>35</v>
      </c>
      <c r="AT292">
        <v>0.1</v>
      </c>
      <c r="AU292" t="s">
        <v>129</v>
      </c>
      <c r="AV292" t="s">
        <v>130</v>
      </c>
    </row>
    <row r="293" spans="1:48" x14ac:dyDescent="0.3">
      <c r="A293" t="s">
        <v>1313</v>
      </c>
      <c r="B293" s="12">
        <v>45387</v>
      </c>
      <c r="C293" s="12">
        <v>45392</v>
      </c>
      <c r="D293" t="s">
        <v>1314</v>
      </c>
      <c r="E293" t="s">
        <v>221</v>
      </c>
      <c r="F293" t="s">
        <v>41</v>
      </c>
      <c r="G293" t="s">
        <v>9</v>
      </c>
      <c r="H293" t="s">
        <v>126</v>
      </c>
      <c r="I293" t="s">
        <v>127</v>
      </c>
      <c r="J293" t="s">
        <v>20</v>
      </c>
      <c r="K293" t="s">
        <v>28</v>
      </c>
      <c r="M293" t="s">
        <v>35</v>
      </c>
      <c r="N293">
        <v>4</v>
      </c>
      <c r="O293">
        <v>3228.66</v>
      </c>
      <c r="P293">
        <v>0.25</v>
      </c>
      <c r="Q293">
        <v>0.25</v>
      </c>
      <c r="R293">
        <v>9685.98</v>
      </c>
      <c r="S293">
        <v>7730.04</v>
      </c>
      <c r="T293">
        <v>9685.98</v>
      </c>
      <c r="U293">
        <v>1955.94</v>
      </c>
      <c r="V293">
        <v>0.201935168150254</v>
      </c>
      <c r="W293">
        <v>5</v>
      </c>
      <c r="X293" t="s">
        <v>179</v>
      </c>
      <c r="Y293">
        <v>2024</v>
      </c>
      <c r="Z293" t="s">
        <v>129</v>
      </c>
      <c r="AA293" t="s">
        <v>130</v>
      </c>
      <c r="AB293" t="s">
        <v>131</v>
      </c>
      <c r="AC293" t="s">
        <v>131</v>
      </c>
      <c r="AD293" t="s">
        <v>131</v>
      </c>
      <c r="AE293" t="s">
        <v>131</v>
      </c>
      <c r="AF293" t="s">
        <v>131</v>
      </c>
      <c r="AG293" t="s">
        <v>131</v>
      </c>
      <c r="AH293" t="s">
        <v>132</v>
      </c>
      <c r="AI293" t="s">
        <v>133</v>
      </c>
      <c r="AJ293" t="s">
        <v>1315</v>
      </c>
      <c r="AK293" t="s">
        <v>1316</v>
      </c>
      <c r="AL293" t="s">
        <v>221</v>
      </c>
      <c r="AM293" t="s">
        <v>41</v>
      </c>
      <c r="AN293" t="s">
        <v>9</v>
      </c>
      <c r="AO293" t="s">
        <v>126</v>
      </c>
      <c r="AP293" t="s">
        <v>127</v>
      </c>
      <c r="AQ293" t="s">
        <v>20</v>
      </c>
      <c r="AR293" t="s">
        <v>28</v>
      </c>
      <c r="AS293" t="s">
        <v>35</v>
      </c>
      <c r="AT293">
        <v>0.25</v>
      </c>
      <c r="AU293" t="s">
        <v>129</v>
      </c>
      <c r="AV293" t="s">
        <v>130</v>
      </c>
    </row>
    <row r="294" spans="1:48" x14ac:dyDescent="0.3">
      <c r="A294" t="s">
        <v>1317</v>
      </c>
      <c r="B294" s="12">
        <v>45716</v>
      </c>
      <c r="C294" s="12">
        <v>45719</v>
      </c>
      <c r="D294" t="s">
        <v>1318</v>
      </c>
      <c r="E294" t="s">
        <v>409</v>
      </c>
      <c r="F294" t="s">
        <v>41</v>
      </c>
      <c r="G294" t="s">
        <v>9</v>
      </c>
      <c r="H294" t="s">
        <v>372</v>
      </c>
      <c r="I294" t="s">
        <v>373</v>
      </c>
      <c r="J294" t="s">
        <v>20</v>
      </c>
      <c r="K294" t="s">
        <v>29</v>
      </c>
      <c r="M294" t="s">
        <v>38</v>
      </c>
      <c r="N294">
        <v>9</v>
      </c>
      <c r="O294">
        <v>3748.95</v>
      </c>
      <c r="P294">
        <v>0</v>
      </c>
      <c r="Q294">
        <v>0</v>
      </c>
      <c r="R294">
        <v>33740.550000000003</v>
      </c>
      <c r="S294">
        <v>24621.89</v>
      </c>
      <c r="T294">
        <v>33740.550000000003</v>
      </c>
      <c r="U294">
        <v>9118.66</v>
      </c>
      <c r="V294">
        <v>0.27025819081194602</v>
      </c>
      <c r="W294">
        <v>3</v>
      </c>
      <c r="X294" t="s">
        <v>186</v>
      </c>
      <c r="Y294">
        <v>2025</v>
      </c>
      <c r="Z294" t="s">
        <v>215</v>
      </c>
      <c r="AA294" t="s">
        <v>165</v>
      </c>
      <c r="AB294" t="s">
        <v>131</v>
      </c>
      <c r="AC294" t="s">
        <v>131</v>
      </c>
      <c r="AD294" t="s">
        <v>131</v>
      </c>
      <c r="AE294" t="s">
        <v>131</v>
      </c>
      <c r="AF294" t="s">
        <v>131</v>
      </c>
      <c r="AG294" t="s">
        <v>131</v>
      </c>
      <c r="AH294" t="s">
        <v>131</v>
      </c>
      <c r="AI294" t="s">
        <v>133</v>
      </c>
      <c r="AJ294" t="s">
        <v>1319</v>
      </c>
      <c r="AK294" t="s">
        <v>1320</v>
      </c>
      <c r="AL294" t="s">
        <v>409</v>
      </c>
      <c r="AM294" t="s">
        <v>41</v>
      </c>
      <c r="AN294" t="s">
        <v>9</v>
      </c>
      <c r="AO294" t="s">
        <v>372</v>
      </c>
      <c r="AP294" t="s">
        <v>373</v>
      </c>
      <c r="AQ294" t="s">
        <v>20</v>
      </c>
      <c r="AR294" t="s">
        <v>29</v>
      </c>
      <c r="AS294" t="s">
        <v>38</v>
      </c>
      <c r="AT294">
        <v>0</v>
      </c>
      <c r="AU294" t="s">
        <v>215</v>
      </c>
      <c r="AV294" t="s">
        <v>165</v>
      </c>
    </row>
    <row r="295" spans="1:48" x14ac:dyDescent="0.3">
      <c r="A295" t="s">
        <v>1321</v>
      </c>
      <c r="B295" s="12">
        <v>45358</v>
      </c>
      <c r="C295" s="12">
        <v>45362</v>
      </c>
      <c r="D295" t="s">
        <v>1322</v>
      </c>
      <c r="E295" t="s">
        <v>154</v>
      </c>
      <c r="F295" t="s">
        <v>41</v>
      </c>
      <c r="G295" t="s">
        <v>6</v>
      </c>
      <c r="H295" t="s">
        <v>155</v>
      </c>
      <c r="I295" t="s">
        <v>156</v>
      </c>
      <c r="J295" t="s">
        <v>15</v>
      </c>
      <c r="K295" t="s">
        <v>17</v>
      </c>
      <c r="M295" t="s">
        <v>36</v>
      </c>
      <c r="N295">
        <v>2</v>
      </c>
      <c r="O295">
        <v>4401.51</v>
      </c>
      <c r="P295">
        <v>0.65</v>
      </c>
      <c r="Q295">
        <v>0</v>
      </c>
      <c r="R295">
        <v>8362.8700000000008</v>
      </c>
      <c r="S295">
        <v>6541.04</v>
      </c>
      <c r="T295">
        <v>8803.02</v>
      </c>
      <c r="U295">
        <v>2261.98</v>
      </c>
      <c r="V295">
        <v>0.25695499953425099</v>
      </c>
      <c r="W295">
        <v>4</v>
      </c>
      <c r="X295" t="s">
        <v>278</v>
      </c>
      <c r="Y295">
        <v>2024</v>
      </c>
      <c r="Z295" t="s">
        <v>129</v>
      </c>
      <c r="AA295" t="s">
        <v>130</v>
      </c>
      <c r="AB295" t="s">
        <v>131</v>
      </c>
      <c r="AC295" t="s">
        <v>131</v>
      </c>
      <c r="AD295" t="s">
        <v>131</v>
      </c>
      <c r="AE295" t="s">
        <v>131</v>
      </c>
      <c r="AF295" t="s">
        <v>132</v>
      </c>
      <c r="AG295" t="s">
        <v>131</v>
      </c>
      <c r="AH295" t="s">
        <v>132</v>
      </c>
      <c r="AI295" t="s">
        <v>149</v>
      </c>
      <c r="AJ295" t="s">
        <v>1323</v>
      </c>
      <c r="AK295" t="s">
        <v>1324</v>
      </c>
      <c r="AL295" t="s">
        <v>154</v>
      </c>
      <c r="AM295" t="s">
        <v>41</v>
      </c>
      <c r="AN295" t="s">
        <v>6</v>
      </c>
      <c r="AO295" t="s">
        <v>155</v>
      </c>
      <c r="AP295" t="s">
        <v>156</v>
      </c>
      <c r="AQ295" t="s">
        <v>15</v>
      </c>
      <c r="AR295" t="s">
        <v>17</v>
      </c>
      <c r="AS295" t="s">
        <v>36</v>
      </c>
      <c r="AT295">
        <v>0.65</v>
      </c>
      <c r="AU295" t="s">
        <v>129</v>
      </c>
      <c r="AV295" t="s">
        <v>130</v>
      </c>
    </row>
    <row r="296" spans="1:48" x14ac:dyDescent="0.3">
      <c r="A296" t="s">
        <v>1325</v>
      </c>
      <c r="B296" s="12">
        <v>45854</v>
      </c>
      <c r="C296" s="12">
        <v>45860</v>
      </c>
      <c r="D296" t="s">
        <v>1326</v>
      </c>
      <c r="E296" t="s">
        <v>221</v>
      </c>
      <c r="F296" t="s">
        <v>42</v>
      </c>
      <c r="G296" t="s">
        <v>8</v>
      </c>
      <c r="H296" t="s">
        <v>140</v>
      </c>
      <c r="I296" t="s">
        <v>141</v>
      </c>
      <c r="J296" t="s">
        <v>15</v>
      </c>
      <c r="K296" t="s">
        <v>17</v>
      </c>
      <c r="M296" t="s">
        <v>37</v>
      </c>
      <c r="N296">
        <v>6</v>
      </c>
      <c r="O296">
        <v>4159.33</v>
      </c>
      <c r="P296">
        <v>0.25</v>
      </c>
      <c r="Q296">
        <v>0.25</v>
      </c>
      <c r="R296">
        <v>18716.990000000002</v>
      </c>
      <c r="S296">
        <v>12282.43</v>
      </c>
      <c r="T296">
        <v>18716.985000000001</v>
      </c>
      <c r="U296">
        <v>6434.5550000000003</v>
      </c>
      <c r="V296">
        <v>0.34378159730319802</v>
      </c>
      <c r="W296">
        <v>6</v>
      </c>
      <c r="X296" t="s">
        <v>128</v>
      </c>
      <c r="Y296">
        <v>2025</v>
      </c>
      <c r="Z296" t="s">
        <v>129</v>
      </c>
      <c r="AA296" t="s">
        <v>204</v>
      </c>
      <c r="AB296" t="s">
        <v>131</v>
      </c>
      <c r="AC296" t="s">
        <v>131</v>
      </c>
      <c r="AD296" t="s">
        <v>131</v>
      </c>
      <c r="AE296" t="s">
        <v>131</v>
      </c>
      <c r="AF296" t="s">
        <v>131</v>
      </c>
      <c r="AG296" t="s">
        <v>131</v>
      </c>
      <c r="AH296" t="s">
        <v>131</v>
      </c>
      <c r="AI296" t="s">
        <v>133</v>
      </c>
      <c r="AJ296" t="s">
        <v>1327</v>
      </c>
      <c r="AK296" t="s">
        <v>1328</v>
      </c>
      <c r="AL296" t="s">
        <v>221</v>
      </c>
      <c r="AM296" t="s">
        <v>42</v>
      </c>
      <c r="AN296" t="s">
        <v>8</v>
      </c>
      <c r="AO296" t="s">
        <v>140</v>
      </c>
      <c r="AP296" t="s">
        <v>141</v>
      </c>
      <c r="AQ296" t="s">
        <v>15</v>
      </c>
      <c r="AR296" t="s">
        <v>17</v>
      </c>
      <c r="AS296" t="s">
        <v>37</v>
      </c>
      <c r="AT296">
        <v>0.25</v>
      </c>
      <c r="AU296" t="s">
        <v>129</v>
      </c>
      <c r="AV296" t="s">
        <v>204</v>
      </c>
    </row>
    <row r="297" spans="1:48" x14ac:dyDescent="0.3">
      <c r="A297" t="s">
        <v>1329</v>
      </c>
      <c r="B297" s="12">
        <v>45833</v>
      </c>
      <c r="C297" s="12">
        <v>45836</v>
      </c>
      <c r="D297" t="s">
        <v>1330</v>
      </c>
      <c r="E297" t="s">
        <v>191</v>
      </c>
      <c r="F297" t="s">
        <v>44</v>
      </c>
      <c r="G297" t="s">
        <v>8</v>
      </c>
      <c r="H297" t="s">
        <v>283</v>
      </c>
      <c r="I297" t="s">
        <v>284</v>
      </c>
      <c r="J297" t="s">
        <v>20</v>
      </c>
      <c r="K297" t="s">
        <v>28</v>
      </c>
      <c r="M297" t="s">
        <v>35</v>
      </c>
      <c r="N297">
        <v>3</v>
      </c>
      <c r="O297">
        <v>3476.05</v>
      </c>
      <c r="P297">
        <v>0.1</v>
      </c>
      <c r="Q297">
        <v>0.1</v>
      </c>
      <c r="R297">
        <v>9385.34</v>
      </c>
      <c r="S297">
        <v>5828.54</v>
      </c>
      <c r="T297">
        <v>9385.3349999999991</v>
      </c>
      <c r="U297">
        <v>3556.7950000000001</v>
      </c>
      <c r="V297">
        <v>0.37897368607513798</v>
      </c>
      <c r="W297">
        <v>3</v>
      </c>
      <c r="X297" t="s">
        <v>148</v>
      </c>
      <c r="Y297">
        <v>2025</v>
      </c>
      <c r="Z297" t="s">
        <v>129</v>
      </c>
      <c r="AA297" t="s">
        <v>130</v>
      </c>
      <c r="AB297" t="s">
        <v>131</v>
      </c>
      <c r="AC297" t="s">
        <v>131</v>
      </c>
      <c r="AD297" t="s">
        <v>131</v>
      </c>
      <c r="AE297" t="s">
        <v>131</v>
      </c>
      <c r="AF297" t="s">
        <v>131</v>
      </c>
      <c r="AG297" t="s">
        <v>131</v>
      </c>
      <c r="AH297" t="s">
        <v>132</v>
      </c>
      <c r="AI297" t="s">
        <v>133</v>
      </c>
      <c r="AJ297" t="s">
        <v>1331</v>
      </c>
      <c r="AK297" t="s">
        <v>1332</v>
      </c>
      <c r="AL297" t="s">
        <v>191</v>
      </c>
      <c r="AM297" t="s">
        <v>44</v>
      </c>
      <c r="AN297" t="s">
        <v>8</v>
      </c>
      <c r="AO297" t="s">
        <v>283</v>
      </c>
      <c r="AP297" t="s">
        <v>284</v>
      </c>
      <c r="AQ297" t="s">
        <v>20</v>
      </c>
      <c r="AR297" t="s">
        <v>28</v>
      </c>
      <c r="AS297" t="s">
        <v>35</v>
      </c>
      <c r="AT297">
        <v>0.1</v>
      </c>
      <c r="AU297" t="s">
        <v>129</v>
      </c>
      <c r="AV297" t="s">
        <v>130</v>
      </c>
    </row>
    <row r="298" spans="1:48" x14ac:dyDescent="0.3">
      <c r="A298" t="s">
        <v>1333</v>
      </c>
      <c r="B298" s="12">
        <v>45801</v>
      </c>
      <c r="C298" s="12">
        <v>45803</v>
      </c>
      <c r="D298" t="s">
        <v>1334</v>
      </c>
      <c r="E298" t="s">
        <v>191</v>
      </c>
      <c r="F298" t="s">
        <v>41</v>
      </c>
      <c r="G298" t="s">
        <v>9</v>
      </c>
      <c r="H298" t="s">
        <v>372</v>
      </c>
      <c r="I298" t="s">
        <v>373</v>
      </c>
      <c r="J298" t="s">
        <v>18</v>
      </c>
      <c r="K298" t="s">
        <v>23</v>
      </c>
      <c r="M298" t="s">
        <v>38</v>
      </c>
      <c r="N298">
        <v>6</v>
      </c>
      <c r="O298">
        <v>3495.41</v>
      </c>
      <c r="P298">
        <v>0.15</v>
      </c>
      <c r="Q298">
        <v>0.15</v>
      </c>
      <c r="R298">
        <v>17826.59</v>
      </c>
      <c r="S298">
        <v>10855.35</v>
      </c>
      <c r="T298">
        <v>17826.591</v>
      </c>
      <c r="U298">
        <v>6971.241</v>
      </c>
      <c r="V298">
        <v>0.39105855965394598</v>
      </c>
      <c r="W298">
        <v>2</v>
      </c>
      <c r="X298" t="s">
        <v>173</v>
      </c>
      <c r="Y298">
        <v>2025</v>
      </c>
      <c r="Z298" t="s">
        <v>129</v>
      </c>
      <c r="AA298" t="s">
        <v>130</v>
      </c>
      <c r="AB298" t="s">
        <v>131</v>
      </c>
      <c r="AC298" t="s">
        <v>131</v>
      </c>
      <c r="AD298" t="s">
        <v>131</v>
      </c>
      <c r="AE298" t="s">
        <v>131</v>
      </c>
      <c r="AF298" t="s">
        <v>131</v>
      </c>
      <c r="AG298" t="s">
        <v>131</v>
      </c>
      <c r="AH298" t="s">
        <v>132</v>
      </c>
      <c r="AI298" t="s">
        <v>133</v>
      </c>
      <c r="AJ298" t="s">
        <v>1335</v>
      </c>
      <c r="AK298" t="s">
        <v>1336</v>
      </c>
      <c r="AL298" t="s">
        <v>191</v>
      </c>
      <c r="AM298" t="s">
        <v>41</v>
      </c>
      <c r="AN298" t="s">
        <v>9</v>
      </c>
      <c r="AO298" t="s">
        <v>372</v>
      </c>
      <c r="AP298" t="s">
        <v>373</v>
      </c>
      <c r="AQ298" t="s">
        <v>18</v>
      </c>
      <c r="AR298" t="s">
        <v>23</v>
      </c>
      <c r="AS298" t="s">
        <v>38</v>
      </c>
      <c r="AT298">
        <v>0.15</v>
      </c>
      <c r="AU298" t="s">
        <v>129</v>
      </c>
      <c r="AV298" t="s">
        <v>130</v>
      </c>
    </row>
    <row r="299" spans="1:48" x14ac:dyDescent="0.3">
      <c r="A299" t="s">
        <v>1337</v>
      </c>
      <c r="B299" s="12">
        <v>45594</v>
      </c>
      <c r="C299" s="12">
        <v>45602</v>
      </c>
      <c r="D299" t="s">
        <v>1338</v>
      </c>
      <c r="E299" t="s">
        <v>243</v>
      </c>
      <c r="F299" t="s">
        <v>43</v>
      </c>
      <c r="G299" t="s">
        <v>6</v>
      </c>
      <c r="H299" t="s">
        <v>385</v>
      </c>
      <c r="I299" t="s">
        <v>386</v>
      </c>
      <c r="J299" t="s">
        <v>15</v>
      </c>
      <c r="K299" t="s">
        <v>16</v>
      </c>
      <c r="M299" t="s">
        <v>38</v>
      </c>
      <c r="N299">
        <v>6</v>
      </c>
      <c r="O299">
        <v>1169.92</v>
      </c>
      <c r="P299">
        <v>0.15</v>
      </c>
      <c r="Q299">
        <v>0.15</v>
      </c>
      <c r="R299">
        <v>5966.59</v>
      </c>
      <c r="S299">
        <v>3994.72</v>
      </c>
      <c r="T299">
        <v>5966.5919999999996</v>
      </c>
      <c r="U299">
        <v>1971.8720000000001</v>
      </c>
      <c r="V299">
        <v>0.330485476466298</v>
      </c>
      <c r="W299">
        <v>8</v>
      </c>
      <c r="X299" t="s">
        <v>222</v>
      </c>
      <c r="Y299">
        <v>2024</v>
      </c>
      <c r="Z299" t="s">
        <v>129</v>
      </c>
      <c r="AA299" t="s">
        <v>130</v>
      </c>
      <c r="AB299" t="s">
        <v>131</v>
      </c>
      <c r="AC299" t="s">
        <v>131</v>
      </c>
      <c r="AD299" t="s">
        <v>131</v>
      </c>
      <c r="AE299" t="s">
        <v>131</v>
      </c>
      <c r="AF299" t="s">
        <v>131</v>
      </c>
      <c r="AG299" t="s">
        <v>131</v>
      </c>
      <c r="AH299" t="s">
        <v>132</v>
      </c>
      <c r="AI299" t="s">
        <v>133</v>
      </c>
      <c r="AJ299" t="s">
        <v>1339</v>
      </c>
      <c r="AK299" t="s">
        <v>1340</v>
      </c>
      <c r="AL299" t="s">
        <v>243</v>
      </c>
      <c r="AM299" t="s">
        <v>43</v>
      </c>
      <c r="AN299" t="s">
        <v>6</v>
      </c>
      <c r="AO299" t="s">
        <v>385</v>
      </c>
      <c r="AP299" t="s">
        <v>386</v>
      </c>
      <c r="AQ299" t="s">
        <v>15</v>
      </c>
      <c r="AR299" t="s">
        <v>16</v>
      </c>
      <c r="AS299" t="s">
        <v>38</v>
      </c>
      <c r="AT299">
        <v>0.15</v>
      </c>
      <c r="AU299" t="s">
        <v>129</v>
      </c>
      <c r="AV299" t="s">
        <v>130</v>
      </c>
    </row>
    <row r="300" spans="1:48" x14ac:dyDescent="0.3">
      <c r="A300" t="s">
        <v>1341</v>
      </c>
      <c r="B300" s="12">
        <v>45680</v>
      </c>
      <c r="C300" s="12">
        <v>45683</v>
      </c>
      <c r="D300" t="s">
        <v>1342</v>
      </c>
      <c r="E300" t="s">
        <v>147</v>
      </c>
      <c r="F300" t="s">
        <v>42</v>
      </c>
      <c r="G300" t="s">
        <v>6</v>
      </c>
      <c r="H300" t="s">
        <v>305</v>
      </c>
      <c r="I300" t="s">
        <v>306</v>
      </c>
      <c r="J300" t="s">
        <v>15</v>
      </c>
      <c r="K300" t="s">
        <v>16</v>
      </c>
      <c r="M300" t="s">
        <v>36</v>
      </c>
      <c r="N300">
        <v>7</v>
      </c>
      <c r="O300">
        <v>348.49</v>
      </c>
      <c r="P300">
        <v>0.2</v>
      </c>
      <c r="Q300">
        <v>0.2</v>
      </c>
      <c r="R300">
        <v>1951.54</v>
      </c>
      <c r="S300">
        <v>1609.95</v>
      </c>
      <c r="T300">
        <v>1951.5440000000001</v>
      </c>
      <c r="U300">
        <v>341.59399999999999</v>
      </c>
      <c r="V300">
        <v>0.17503781621116399</v>
      </c>
      <c r="W300">
        <v>3</v>
      </c>
      <c r="X300" t="s">
        <v>244</v>
      </c>
      <c r="Y300">
        <v>2025</v>
      </c>
      <c r="Z300" t="s">
        <v>269</v>
      </c>
      <c r="AA300" t="s">
        <v>204</v>
      </c>
      <c r="AB300" t="s">
        <v>131</v>
      </c>
      <c r="AC300" t="s">
        <v>131</v>
      </c>
      <c r="AD300" t="s">
        <v>131</v>
      </c>
      <c r="AE300" t="s">
        <v>131</v>
      </c>
      <c r="AF300" t="s">
        <v>131</v>
      </c>
      <c r="AG300" t="s">
        <v>131</v>
      </c>
      <c r="AH300" t="s">
        <v>131</v>
      </c>
      <c r="AI300" t="s">
        <v>133</v>
      </c>
      <c r="AJ300" t="s">
        <v>1343</v>
      </c>
      <c r="AK300" t="s">
        <v>1344</v>
      </c>
      <c r="AL300" t="s">
        <v>147</v>
      </c>
      <c r="AM300" t="s">
        <v>42</v>
      </c>
      <c r="AN300" t="s">
        <v>6</v>
      </c>
      <c r="AO300" t="s">
        <v>305</v>
      </c>
      <c r="AP300" t="s">
        <v>306</v>
      </c>
      <c r="AQ300" t="s">
        <v>15</v>
      </c>
      <c r="AR300" t="s">
        <v>16</v>
      </c>
      <c r="AS300" t="s">
        <v>36</v>
      </c>
      <c r="AT300">
        <v>0.2</v>
      </c>
      <c r="AU300" t="s">
        <v>269</v>
      </c>
      <c r="AV300" t="s">
        <v>204</v>
      </c>
    </row>
    <row r="301" spans="1:48" x14ac:dyDescent="0.3">
      <c r="A301" t="s">
        <v>1345</v>
      </c>
      <c r="B301" s="12">
        <v>45602</v>
      </c>
      <c r="C301" s="12">
        <v>45608</v>
      </c>
      <c r="D301" t="s">
        <v>1346</v>
      </c>
      <c r="E301" t="s">
        <v>227</v>
      </c>
      <c r="F301" t="s">
        <v>44</v>
      </c>
      <c r="G301" t="s">
        <v>7</v>
      </c>
      <c r="H301" t="s">
        <v>300</v>
      </c>
      <c r="I301" t="s">
        <v>301</v>
      </c>
      <c r="J301" t="s">
        <v>15</v>
      </c>
      <c r="K301" t="s">
        <v>22</v>
      </c>
      <c r="M301" t="s">
        <v>35</v>
      </c>
      <c r="N301">
        <v>7</v>
      </c>
      <c r="O301">
        <v>1719.05</v>
      </c>
      <c r="P301">
        <v>0.1</v>
      </c>
      <c r="Q301">
        <v>0.1</v>
      </c>
      <c r="R301">
        <v>10830.02</v>
      </c>
      <c r="S301">
        <v>7055.31</v>
      </c>
      <c r="T301">
        <v>10830.014999999999</v>
      </c>
      <c r="U301">
        <v>3774.7049999999999</v>
      </c>
      <c r="V301">
        <v>0.34854106850267502</v>
      </c>
      <c r="W301">
        <v>6</v>
      </c>
      <c r="X301" t="s">
        <v>157</v>
      </c>
      <c r="Y301">
        <v>2024</v>
      </c>
      <c r="Z301" t="s">
        <v>129</v>
      </c>
      <c r="AA301" t="s">
        <v>130</v>
      </c>
      <c r="AB301" t="s">
        <v>131</v>
      </c>
      <c r="AC301" t="s">
        <v>131</v>
      </c>
      <c r="AD301" t="s">
        <v>131</v>
      </c>
      <c r="AE301" t="s">
        <v>131</v>
      </c>
      <c r="AF301" t="s">
        <v>131</v>
      </c>
      <c r="AG301" t="s">
        <v>131</v>
      </c>
      <c r="AH301" t="s">
        <v>132</v>
      </c>
      <c r="AI301" t="s">
        <v>133</v>
      </c>
      <c r="AJ301" t="s">
        <v>1340</v>
      </c>
      <c r="AK301" t="s">
        <v>1347</v>
      </c>
      <c r="AL301" t="s">
        <v>227</v>
      </c>
      <c r="AM301" t="s">
        <v>44</v>
      </c>
      <c r="AN301" t="s">
        <v>7</v>
      </c>
      <c r="AO301" t="s">
        <v>300</v>
      </c>
      <c r="AP301" t="s">
        <v>301</v>
      </c>
      <c r="AQ301" t="s">
        <v>15</v>
      </c>
      <c r="AR301" t="s">
        <v>22</v>
      </c>
      <c r="AS301" t="s">
        <v>35</v>
      </c>
      <c r="AT301">
        <v>0.1</v>
      </c>
      <c r="AU301" t="s">
        <v>129</v>
      </c>
      <c r="AV301" t="s">
        <v>130</v>
      </c>
    </row>
    <row r="302" spans="1:48" x14ac:dyDescent="0.3">
      <c r="A302" t="s">
        <v>1348</v>
      </c>
      <c r="B302" s="12">
        <v>45397</v>
      </c>
      <c r="C302" s="12">
        <v>45405</v>
      </c>
      <c r="D302" t="s">
        <v>1349</v>
      </c>
      <c r="E302" t="s">
        <v>277</v>
      </c>
      <c r="F302" t="s">
        <v>44</v>
      </c>
      <c r="G302" t="s">
        <v>9</v>
      </c>
      <c r="H302" t="s">
        <v>232</v>
      </c>
      <c r="I302" t="s">
        <v>233</v>
      </c>
      <c r="J302" t="s">
        <v>15</v>
      </c>
      <c r="K302" t="s">
        <v>22</v>
      </c>
      <c r="M302" t="s">
        <v>37</v>
      </c>
      <c r="N302">
        <v>9</v>
      </c>
      <c r="O302">
        <v>3893.74</v>
      </c>
      <c r="P302">
        <v>0.1</v>
      </c>
      <c r="Q302">
        <v>0.1</v>
      </c>
      <c r="R302">
        <v>31539.29</v>
      </c>
      <c r="S302">
        <v>22100.14</v>
      </c>
      <c r="T302">
        <v>31539.294000000002</v>
      </c>
      <c r="U302">
        <v>9439.1540000000005</v>
      </c>
      <c r="V302">
        <v>0.29928234918638302</v>
      </c>
      <c r="W302">
        <v>8</v>
      </c>
      <c r="X302" t="s">
        <v>179</v>
      </c>
      <c r="Y302">
        <v>2024</v>
      </c>
      <c r="Z302" t="s">
        <v>129</v>
      </c>
      <c r="AA302" t="s">
        <v>130</v>
      </c>
      <c r="AB302" t="s">
        <v>131</v>
      </c>
      <c r="AC302" t="s">
        <v>131</v>
      </c>
      <c r="AD302" t="s">
        <v>131</v>
      </c>
      <c r="AE302" t="s">
        <v>131</v>
      </c>
      <c r="AF302" t="s">
        <v>131</v>
      </c>
      <c r="AG302" t="s">
        <v>131</v>
      </c>
      <c r="AH302" t="s">
        <v>132</v>
      </c>
      <c r="AI302" t="s">
        <v>133</v>
      </c>
      <c r="AJ302" t="s">
        <v>1350</v>
      </c>
      <c r="AK302" t="s">
        <v>1351</v>
      </c>
      <c r="AL302" t="s">
        <v>277</v>
      </c>
      <c r="AM302" t="s">
        <v>44</v>
      </c>
      <c r="AN302" t="s">
        <v>9</v>
      </c>
      <c r="AO302" t="s">
        <v>232</v>
      </c>
      <c r="AP302" t="s">
        <v>233</v>
      </c>
      <c r="AQ302" t="s">
        <v>15</v>
      </c>
      <c r="AR302" t="s">
        <v>22</v>
      </c>
      <c r="AS302" t="s">
        <v>393</v>
      </c>
      <c r="AT302">
        <v>0.1</v>
      </c>
      <c r="AU302" t="s">
        <v>129</v>
      </c>
      <c r="AV302" t="s">
        <v>130</v>
      </c>
    </row>
    <row r="303" spans="1:48" x14ac:dyDescent="0.3">
      <c r="A303" t="s">
        <v>1352</v>
      </c>
      <c r="B303" s="12">
        <v>45805</v>
      </c>
      <c r="C303" s="12">
        <v>45809</v>
      </c>
      <c r="D303" t="s">
        <v>1353</v>
      </c>
      <c r="E303" t="s">
        <v>147</v>
      </c>
      <c r="F303" t="s">
        <v>41</v>
      </c>
      <c r="G303" t="s">
        <v>8</v>
      </c>
      <c r="H303" t="s">
        <v>259</v>
      </c>
      <c r="I303" t="s">
        <v>260</v>
      </c>
      <c r="J303" t="s">
        <v>15</v>
      </c>
      <c r="K303" t="s">
        <v>17</v>
      </c>
      <c r="M303" t="s">
        <v>38</v>
      </c>
      <c r="N303">
        <v>4</v>
      </c>
      <c r="O303">
        <v>1654.11</v>
      </c>
      <c r="P303">
        <v>0.05</v>
      </c>
      <c r="Q303">
        <v>0.05</v>
      </c>
      <c r="R303">
        <v>6285.62</v>
      </c>
      <c r="S303">
        <v>3705.38</v>
      </c>
      <c r="T303">
        <v>6285.6180000000004</v>
      </c>
      <c r="U303">
        <v>2580.2379999999998</v>
      </c>
      <c r="V303">
        <v>0.41049869718458898</v>
      </c>
      <c r="W303">
        <v>4</v>
      </c>
      <c r="X303" t="s">
        <v>173</v>
      </c>
      <c r="Y303">
        <v>2025</v>
      </c>
      <c r="Z303" t="s">
        <v>129</v>
      </c>
      <c r="AA303" t="s">
        <v>130</v>
      </c>
      <c r="AB303" t="s">
        <v>131</v>
      </c>
      <c r="AC303" t="s">
        <v>131</v>
      </c>
      <c r="AD303" t="s">
        <v>131</v>
      </c>
      <c r="AE303" t="s">
        <v>131</v>
      </c>
      <c r="AF303" t="s">
        <v>131</v>
      </c>
      <c r="AG303" t="s">
        <v>131</v>
      </c>
      <c r="AH303" t="s">
        <v>132</v>
      </c>
      <c r="AI303" t="s">
        <v>133</v>
      </c>
      <c r="AJ303" t="s">
        <v>935</v>
      </c>
      <c r="AK303" t="s">
        <v>1354</v>
      </c>
      <c r="AL303" t="s">
        <v>147</v>
      </c>
      <c r="AM303" t="s">
        <v>41</v>
      </c>
      <c r="AN303" t="s">
        <v>8</v>
      </c>
      <c r="AO303" t="s">
        <v>259</v>
      </c>
      <c r="AP303" t="s">
        <v>260</v>
      </c>
      <c r="AQ303" t="s">
        <v>15</v>
      </c>
      <c r="AR303" t="s">
        <v>17</v>
      </c>
      <c r="AS303" t="s">
        <v>38</v>
      </c>
      <c r="AT303">
        <v>0.05</v>
      </c>
      <c r="AU303" t="s">
        <v>129</v>
      </c>
      <c r="AV303" t="s">
        <v>130</v>
      </c>
    </row>
    <row r="304" spans="1:48" x14ac:dyDescent="0.3">
      <c r="A304" t="s">
        <v>1355</v>
      </c>
      <c r="B304" s="12">
        <v>45812</v>
      </c>
      <c r="C304" s="12">
        <v>45820</v>
      </c>
      <c r="D304" t="s">
        <v>1356</v>
      </c>
      <c r="E304" t="s">
        <v>178</v>
      </c>
      <c r="F304" t="s">
        <v>42</v>
      </c>
      <c r="G304" t="s">
        <v>7</v>
      </c>
      <c r="H304" t="s">
        <v>311</v>
      </c>
      <c r="I304" t="s">
        <v>312</v>
      </c>
      <c r="J304" t="s">
        <v>20</v>
      </c>
      <c r="K304" t="s">
        <v>21</v>
      </c>
      <c r="M304" t="s">
        <v>38</v>
      </c>
      <c r="N304">
        <v>2</v>
      </c>
      <c r="O304">
        <v>2703.28</v>
      </c>
      <c r="P304">
        <v>0.25</v>
      </c>
      <c r="Q304">
        <v>0.25</v>
      </c>
      <c r="R304">
        <v>4054.92</v>
      </c>
      <c r="S304">
        <v>2424.83</v>
      </c>
      <c r="T304">
        <v>4054.92</v>
      </c>
      <c r="U304">
        <v>1630.09</v>
      </c>
      <c r="V304">
        <v>0.40200299882611701</v>
      </c>
      <c r="W304">
        <v>8</v>
      </c>
      <c r="X304" t="s">
        <v>148</v>
      </c>
      <c r="Y304">
        <v>2025</v>
      </c>
      <c r="Z304" t="s">
        <v>129</v>
      </c>
      <c r="AA304" t="s">
        <v>130</v>
      </c>
      <c r="AB304" t="s">
        <v>131</v>
      </c>
      <c r="AC304" t="s">
        <v>131</v>
      </c>
      <c r="AD304" t="s">
        <v>131</v>
      </c>
      <c r="AE304" t="s">
        <v>131</v>
      </c>
      <c r="AF304" t="s">
        <v>131</v>
      </c>
      <c r="AG304" t="s">
        <v>131</v>
      </c>
      <c r="AH304" t="s">
        <v>132</v>
      </c>
      <c r="AI304" t="s">
        <v>133</v>
      </c>
      <c r="AJ304" t="s">
        <v>1231</v>
      </c>
      <c r="AK304" t="s">
        <v>1357</v>
      </c>
      <c r="AL304" t="s">
        <v>178</v>
      </c>
      <c r="AM304" t="s">
        <v>42</v>
      </c>
      <c r="AN304" t="s">
        <v>7</v>
      </c>
      <c r="AO304" t="s">
        <v>311</v>
      </c>
      <c r="AP304" t="s">
        <v>312</v>
      </c>
      <c r="AQ304" t="s">
        <v>856</v>
      </c>
      <c r="AR304" t="s">
        <v>21</v>
      </c>
      <c r="AS304" t="s">
        <v>38</v>
      </c>
      <c r="AT304">
        <v>0.25</v>
      </c>
      <c r="AU304" t="s">
        <v>129</v>
      </c>
      <c r="AV304" t="s">
        <v>130</v>
      </c>
    </row>
    <row r="305" spans="1:48" x14ac:dyDescent="0.3">
      <c r="A305" t="s">
        <v>1358</v>
      </c>
      <c r="B305" s="12">
        <v>45466</v>
      </c>
      <c r="C305" s="12">
        <v>45471</v>
      </c>
      <c r="D305" t="s">
        <v>1359</v>
      </c>
      <c r="E305" t="s">
        <v>277</v>
      </c>
      <c r="F305" t="s">
        <v>41</v>
      </c>
      <c r="G305" t="s">
        <v>7</v>
      </c>
      <c r="H305" t="s">
        <v>300</v>
      </c>
      <c r="I305" t="s">
        <v>301</v>
      </c>
      <c r="J305" t="s">
        <v>18</v>
      </c>
      <c r="K305" t="s">
        <v>19</v>
      </c>
      <c r="M305" t="s">
        <v>35</v>
      </c>
      <c r="N305">
        <v>2</v>
      </c>
      <c r="O305">
        <v>1313.14</v>
      </c>
      <c r="P305">
        <v>0.1</v>
      </c>
      <c r="Q305">
        <v>0.1</v>
      </c>
      <c r="R305">
        <v>2363.65</v>
      </c>
      <c r="S305">
        <v>1876.1</v>
      </c>
      <c r="T305">
        <v>2363.652</v>
      </c>
      <c r="U305">
        <v>487.55200000000002</v>
      </c>
      <c r="V305">
        <v>0.20627063544041199</v>
      </c>
      <c r="W305">
        <v>5</v>
      </c>
      <c r="X305" t="s">
        <v>148</v>
      </c>
      <c r="Y305">
        <v>2024</v>
      </c>
      <c r="Z305" t="s">
        <v>215</v>
      </c>
      <c r="AA305" t="s">
        <v>204</v>
      </c>
      <c r="AB305" t="s">
        <v>131</v>
      </c>
      <c r="AC305" t="s">
        <v>131</v>
      </c>
      <c r="AD305" t="s">
        <v>131</v>
      </c>
      <c r="AE305" t="s">
        <v>131</v>
      </c>
      <c r="AF305" t="s">
        <v>131</v>
      </c>
      <c r="AG305" t="s">
        <v>131</v>
      </c>
      <c r="AH305" t="s">
        <v>131</v>
      </c>
      <c r="AI305" t="s">
        <v>133</v>
      </c>
      <c r="AJ305" t="s">
        <v>1360</v>
      </c>
      <c r="AK305" t="s">
        <v>956</v>
      </c>
      <c r="AL305" t="s">
        <v>277</v>
      </c>
      <c r="AM305" t="s">
        <v>41</v>
      </c>
      <c r="AN305" t="s">
        <v>7</v>
      </c>
      <c r="AO305" t="s">
        <v>300</v>
      </c>
      <c r="AP305" t="s">
        <v>301</v>
      </c>
      <c r="AQ305" t="s">
        <v>18</v>
      </c>
      <c r="AR305" t="s">
        <v>19</v>
      </c>
      <c r="AS305" t="s">
        <v>35</v>
      </c>
      <c r="AT305">
        <v>0.1</v>
      </c>
      <c r="AU305" t="s">
        <v>215</v>
      </c>
      <c r="AV305" t="s">
        <v>204</v>
      </c>
    </row>
    <row r="306" spans="1:48" x14ac:dyDescent="0.3">
      <c r="A306" t="s">
        <v>1361</v>
      </c>
      <c r="B306" s="12">
        <v>45357</v>
      </c>
      <c r="C306" s="12">
        <v>45364</v>
      </c>
      <c r="D306" t="s">
        <v>1362</v>
      </c>
      <c r="E306" t="s">
        <v>125</v>
      </c>
      <c r="F306" t="s">
        <v>42</v>
      </c>
      <c r="G306" t="s">
        <v>9</v>
      </c>
      <c r="H306" t="s">
        <v>232</v>
      </c>
      <c r="I306" t="s">
        <v>233</v>
      </c>
      <c r="J306" t="s">
        <v>18</v>
      </c>
      <c r="K306" t="s">
        <v>23</v>
      </c>
      <c r="M306" t="s">
        <v>35</v>
      </c>
      <c r="N306">
        <v>6</v>
      </c>
      <c r="O306">
        <v>2403.0500000000002</v>
      </c>
      <c r="P306">
        <v>0.1</v>
      </c>
      <c r="Q306">
        <v>0.1</v>
      </c>
      <c r="R306">
        <v>12976.47</v>
      </c>
      <c r="S306">
        <v>10019.98</v>
      </c>
      <c r="T306">
        <v>12976.47</v>
      </c>
      <c r="U306">
        <v>2956.49</v>
      </c>
      <c r="V306">
        <v>0.22783468847845401</v>
      </c>
      <c r="W306">
        <v>7</v>
      </c>
      <c r="X306" t="s">
        <v>278</v>
      </c>
      <c r="Y306">
        <v>2024</v>
      </c>
      <c r="Z306" t="s">
        <v>129</v>
      </c>
      <c r="AA306" t="s">
        <v>130</v>
      </c>
      <c r="AB306" t="s">
        <v>131</v>
      </c>
      <c r="AC306" t="s">
        <v>131</v>
      </c>
      <c r="AD306" t="s">
        <v>131</v>
      </c>
      <c r="AE306" t="s">
        <v>131</v>
      </c>
      <c r="AF306" t="s">
        <v>131</v>
      </c>
      <c r="AG306" t="s">
        <v>131</v>
      </c>
      <c r="AH306" t="s">
        <v>132</v>
      </c>
      <c r="AI306" t="s">
        <v>133</v>
      </c>
      <c r="AJ306" t="s">
        <v>1363</v>
      </c>
      <c r="AK306" t="s">
        <v>1364</v>
      </c>
      <c r="AL306" t="s">
        <v>125</v>
      </c>
      <c r="AM306" t="s">
        <v>42</v>
      </c>
      <c r="AN306" t="s">
        <v>9</v>
      </c>
      <c r="AO306" t="s">
        <v>232</v>
      </c>
      <c r="AP306" t="s">
        <v>233</v>
      </c>
      <c r="AQ306" t="s">
        <v>18</v>
      </c>
      <c r="AR306" t="s">
        <v>23</v>
      </c>
      <c r="AS306" t="s">
        <v>35</v>
      </c>
      <c r="AT306">
        <v>0.1</v>
      </c>
      <c r="AU306" t="s">
        <v>129</v>
      </c>
      <c r="AV306" t="s">
        <v>130</v>
      </c>
    </row>
    <row r="307" spans="1:48" x14ac:dyDescent="0.3">
      <c r="A307" t="s">
        <v>1365</v>
      </c>
      <c r="B307" s="12">
        <v>45413</v>
      </c>
      <c r="C307" s="12">
        <v>45414</v>
      </c>
      <c r="D307" t="s">
        <v>1366</v>
      </c>
      <c r="E307" t="s">
        <v>162</v>
      </c>
      <c r="F307" t="s">
        <v>42</v>
      </c>
      <c r="G307" t="s">
        <v>8</v>
      </c>
      <c r="H307" t="s">
        <v>283</v>
      </c>
      <c r="I307" t="s">
        <v>284</v>
      </c>
      <c r="J307" t="s">
        <v>18</v>
      </c>
      <c r="K307" t="s">
        <v>19</v>
      </c>
      <c r="M307" t="s">
        <v>36</v>
      </c>
      <c r="N307">
        <v>4</v>
      </c>
      <c r="O307">
        <v>4156.0600000000004</v>
      </c>
      <c r="P307">
        <v>0.55000000000000004</v>
      </c>
      <c r="Q307">
        <v>0</v>
      </c>
      <c r="R307">
        <v>13299.39</v>
      </c>
      <c r="S307">
        <v>9851.91</v>
      </c>
      <c r="T307">
        <v>16624.240000000002</v>
      </c>
      <c r="U307">
        <v>6772.33</v>
      </c>
      <c r="V307">
        <v>0.40737681842899298</v>
      </c>
      <c r="W307">
        <v>1</v>
      </c>
      <c r="X307" t="s">
        <v>173</v>
      </c>
      <c r="Y307">
        <v>2024</v>
      </c>
      <c r="Z307" t="s">
        <v>129</v>
      </c>
      <c r="AA307" t="s">
        <v>165</v>
      </c>
      <c r="AB307" t="s">
        <v>131</v>
      </c>
      <c r="AC307" t="s">
        <v>131</v>
      </c>
      <c r="AD307" t="s">
        <v>131</v>
      </c>
      <c r="AE307" t="s">
        <v>131</v>
      </c>
      <c r="AF307" t="s">
        <v>132</v>
      </c>
      <c r="AG307" t="s">
        <v>131</v>
      </c>
      <c r="AH307" t="s">
        <v>131</v>
      </c>
      <c r="AI307" t="s">
        <v>149</v>
      </c>
      <c r="AJ307" t="s">
        <v>1367</v>
      </c>
      <c r="AK307" t="s">
        <v>1102</v>
      </c>
      <c r="AL307" t="s">
        <v>162</v>
      </c>
      <c r="AM307" t="s">
        <v>42</v>
      </c>
      <c r="AN307" t="s">
        <v>8</v>
      </c>
      <c r="AO307" t="s">
        <v>283</v>
      </c>
      <c r="AP307" t="s">
        <v>284</v>
      </c>
      <c r="AQ307" t="s">
        <v>18</v>
      </c>
      <c r="AR307" t="s">
        <v>19</v>
      </c>
      <c r="AS307" t="s">
        <v>36</v>
      </c>
      <c r="AT307">
        <v>0.55000000000000004</v>
      </c>
      <c r="AU307" t="s">
        <v>129</v>
      </c>
      <c r="AV307" t="s">
        <v>165</v>
      </c>
    </row>
    <row r="308" spans="1:48" x14ac:dyDescent="0.3">
      <c r="A308" t="s">
        <v>1368</v>
      </c>
      <c r="B308" s="12">
        <v>45708</v>
      </c>
      <c r="C308" s="12">
        <v>45711</v>
      </c>
      <c r="D308" t="s">
        <v>1369</v>
      </c>
      <c r="E308" t="s">
        <v>238</v>
      </c>
      <c r="F308" t="s">
        <v>42</v>
      </c>
      <c r="G308" t="s">
        <v>9</v>
      </c>
      <c r="H308" t="s">
        <v>126</v>
      </c>
      <c r="I308" t="s">
        <v>127</v>
      </c>
      <c r="J308" t="s">
        <v>15</v>
      </c>
      <c r="K308" t="s">
        <v>17</v>
      </c>
      <c r="M308" t="s">
        <v>37</v>
      </c>
      <c r="N308">
        <v>4</v>
      </c>
      <c r="O308">
        <v>3673.11</v>
      </c>
      <c r="P308">
        <v>0</v>
      </c>
      <c r="Q308">
        <v>0</v>
      </c>
      <c r="R308">
        <v>14692.44</v>
      </c>
      <c r="S308">
        <v>10082.19</v>
      </c>
      <c r="T308">
        <v>14692.44</v>
      </c>
      <c r="U308">
        <v>4610.25</v>
      </c>
      <c r="V308">
        <v>0.31378382351740097</v>
      </c>
      <c r="W308">
        <v>3</v>
      </c>
      <c r="X308" t="s">
        <v>186</v>
      </c>
      <c r="Y308">
        <v>2025</v>
      </c>
      <c r="Z308" t="s">
        <v>129</v>
      </c>
      <c r="AA308" t="s">
        <v>130</v>
      </c>
      <c r="AB308" t="s">
        <v>131</v>
      </c>
      <c r="AC308" t="s">
        <v>131</v>
      </c>
      <c r="AD308" t="s">
        <v>131</v>
      </c>
      <c r="AE308" t="s">
        <v>131</v>
      </c>
      <c r="AF308" t="s">
        <v>131</v>
      </c>
      <c r="AG308" t="s">
        <v>131</v>
      </c>
      <c r="AH308" t="s">
        <v>132</v>
      </c>
      <c r="AI308" t="s">
        <v>133</v>
      </c>
      <c r="AJ308" t="s">
        <v>1370</v>
      </c>
      <c r="AK308" t="s">
        <v>187</v>
      </c>
      <c r="AL308" t="s">
        <v>238</v>
      </c>
      <c r="AM308" t="s">
        <v>42</v>
      </c>
      <c r="AN308" t="s">
        <v>9</v>
      </c>
      <c r="AO308" t="s">
        <v>126</v>
      </c>
      <c r="AP308" t="s">
        <v>127</v>
      </c>
      <c r="AQ308" t="s">
        <v>15</v>
      </c>
      <c r="AR308" t="s">
        <v>17</v>
      </c>
      <c r="AS308" t="s">
        <v>37</v>
      </c>
      <c r="AT308">
        <v>0</v>
      </c>
      <c r="AU308" t="s">
        <v>129</v>
      </c>
      <c r="AV308" t="s">
        <v>130</v>
      </c>
    </row>
    <row r="309" spans="1:48" x14ac:dyDescent="0.3">
      <c r="A309" t="s">
        <v>1371</v>
      </c>
      <c r="B309" s="12">
        <v>45850</v>
      </c>
      <c r="C309" s="12">
        <v>45857</v>
      </c>
      <c r="D309" t="s">
        <v>1372</v>
      </c>
      <c r="E309" t="s">
        <v>162</v>
      </c>
      <c r="F309" t="s">
        <v>43</v>
      </c>
      <c r="G309" t="s">
        <v>9</v>
      </c>
      <c r="H309" t="s">
        <v>249</v>
      </c>
      <c r="I309" t="s">
        <v>250</v>
      </c>
      <c r="J309" t="s">
        <v>18</v>
      </c>
      <c r="K309" t="s">
        <v>27</v>
      </c>
      <c r="M309" t="s">
        <v>36</v>
      </c>
      <c r="N309">
        <v>9</v>
      </c>
      <c r="O309">
        <v>4093.04</v>
      </c>
      <c r="P309">
        <v>0.2</v>
      </c>
      <c r="Q309">
        <v>0.2</v>
      </c>
      <c r="R309">
        <v>29469.89</v>
      </c>
      <c r="S309">
        <v>18935.509999999998</v>
      </c>
      <c r="T309">
        <v>29469.887999999999</v>
      </c>
      <c r="U309">
        <v>10534.378000000001</v>
      </c>
      <c r="V309">
        <v>0.35746243759053298</v>
      </c>
      <c r="W309">
        <v>7</v>
      </c>
      <c r="X309" t="s">
        <v>128</v>
      </c>
      <c r="Y309">
        <v>2025</v>
      </c>
      <c r="Z309" t="s">
        <v>215</v>
      </c>
      <c r="AA309" t="s">
        <v>165</v>
      </c>
      <c r="AB309" t="s">
        <v>131</v>
      </c>
      <c r="AC309" t="s">
        <v>131</v>
      </c>
      <c r="AD309" t="s">
        <v>131</v>
      </c>
      <c r="AE309" t="s">
        <v>131</v>
      </c>
      <c r="AF309" t="s">
        <v>131</v>
      </c>
      <c r="AG309" t="s">
        <v>131</v>
      </c>
      <c r="AH309" t="s">
        <v>131</v>
      </c>
      <c r="AI309" t="s">
        <v>133</v>
      </c>
      <c r="AJ309" t="s">
        <v>1373</v>
      </c>
      <c r="AK309" t="s">
        <v>1374</v>
      </c>
      <c r="AL309" t="s">
        <v>162</v>
      </c>
      <c r="AM309" t="s">
        <v>43</v>
      </c>
      <c r="AN309" t="s">
        <v>9</v>
      </c>
      <c r="AO309" t="s">
        <v>249</v>
      </c>
      <c r="AP309" t="s">
        <v>250</v>
      </c>
      <c r="AQ309" t="s">
        <v>18</v>
      </c>
      <c r="AR309" t="s">
        <v>27</v>
      </c>
      <c r="AS309" t="s">
        <v>36</v>
      </c>
      <c r="AT309">
        <v>0.2</v>
      </c>
      <c r="AU309" t="s">
        <v>1375</v>
      </c>
      <c r="AV309" t="s">
        <v>165</v>
      </c>
    </row>
    <row r="310" spans="1:48" x14ac:dyDescent="0.3">
      <c r="A310" t="s">
        <v>1376</v>
      </c>
      <c r="B310" s="12">
        <v>45821</v>
      </c>
      <c r="C310" s="12">
        <v>45827</v>
      </c>
      <c r="D310" t="s">
        <v>1377</v>
      </c>
      <c r="E310" t="s">
        <v>255</v>
      </c>
      <c r="F310" t="s">
        <v>42</v>
      </c>
      <c r="G310" t="s">
        <v>9</v>
      </c>
      <c r="H310" t="s">
        <v>126</v>
      </c>
      <c r="I310" t="s">
        <v>127</v>
      </c>
      <c r="J310" t="s">
        <v>18</v>
      </c>
      <c r="K310" t="s">
        <v>27</v>
      </c>
      <c r="M310" t="s">
        <v>36</v>
      </c>
      <c r="N310">
        <v>4</v>
      </c>
      <c r="O310">
        <v>731.57</v>
      </c>
      <c r="P310">
        <v>0.2</v>
      </c>
      <c r="Q310">
        <v>0.2</v>
      </c>
      <c r="R310">
        <v>2341.02</v>
      </c>
      <c r="S310">
        <v>1565.49</v>
      </c>
      <c r="T310">
        <v>2341.0239999999999</v>
      </c>
      <c r="U310">
        <v>775.53399999999999</v>
      </c>
      <c r="V310">
        <v>0.33127981601213802</v>
      </c>
      <c r="W310">
        <v>6</v>
      </c>
      <c r="X310" t="s">
        <v>148</v>
      </c>
      <c r="Y310">
        <v>2025</v>
      </c>
      <c r="Z310" t="s">
        <v>129</v>
      </c>
      <c r="AA310" t="s">
        <v>130</v>
      </c>
      <c r="AB310" t="s">
        <v>131</v>
      </c>
      <c r="AC310" t="s">
        <v>131</v>
      </c>
      <c r="AD310" t="s">
        <v>131</v>
      </c>
      <c r="AE310" t="s">
        <v>131</v>
      </c>
      <c r="AF310" t="s">
        <v>131</v>
      </c>
      <c r="AG310" t="s">
        <v>131</v>
      </c>
      <c r="AH310" t="s">
        <v>132</v>
      </c>
      <c r="AI310" t="s">
        <v>133</v>
      </c>
      <c r="AJ310" t="s">
        <v>1378</v>
      </c>
      <c r="AK310" t="s">
        <v>1379</v>
      </c>
      <c r="AL310" t="s">
        <v>255</v>
      </c>
      <c r="AM310" t="s">
        <v>42</v>
      </c>
      <c r="AN310" t="s">
        <v>9</v>
      </c>
      <c r="AO310" t="s">
        <v>126</v>
      </c>
      <c r="AP310" t="s">
        <v>127</v>
      </c>
      <c r="AQ310" t="s">
        <v>18</v>
      </c>
      <c r="AR310" t="s">
        <v>27</v>
      </c>
      <c r="AS310" t="s">
        <v>36</v>
      </c>
      <c r="AT310">
        <v>0.2</v>
      </c>
      <c r="AU310" t="s">
        <v>129</v>
      </c>
      <c r="AV310" t="s">
        <v>130</v>
      </c>
    </row>
    <row r="311" spans="1:48" x14ac:dyDescent="0.3">
      <c r="A311" t="s">
        <v>1380</v>
      </c>
      <c r="B311" s="12">
        <v>45493</v>
      </c>
      <c r="C311" s="12">
        <v>45495</v>
      </c>
      <c r="D311" t="s">
        <v>1381</v>
      </c>
      <c r="E311" t="s">
        <v>162</v>
      </c>
      <c r="F311" t="s">
        <v>42</v>
      </c>
      <c r="G311" t="s">
        <v>6</v>
      </c>
      <c r="H311" t="s">
        <v>385</v>
      </c>
      <c r="I311" t="s">
        <v>386</v>
      </c>
      <c r="J311" t="s">
        <v>18</v>
      </c>
      <c r="K311" t="s">
        <v>27</v>
      </c>
      <c r="M311" t="s">
        <v>36</v>
      </c>
      <c r="N311">
        <v>7</v>
      </c>
      <c r="O311">
        <v>2060.73</v>
      </c>
      <c r="P311">
        <v>0.1</v>
      </c>
      <c r="Q311">
        <v>0.1</v>
      </c>
      <c r="R311">
        <v>12982.6</v>
      </c>
      <c r="S311">
        <v>7246.36</v>
      </c>
      <c r="T311">
        <v>12982.599</v>
      </c>
      <c r="U311">
        <v>5736.2389999999996</v>
      </c>
      <c r="V311">
        <v>0.441840574448922</v>
      </c>
      <c r="W311">
        <v>2</v>
      </c>
      <c r="X311" t="s">
        <v>128</v>
      </c>
      <c r="Y311">
        <v>2024</v>
      </c>
      <c r="Z311" t="s">
        <v>129</v>
      </c>
      <c r="AA311" t="s">
        <v>165</v>
      </c>
      <c r="AB311" t="s">
        <v>131</v>
      </c>
      <c r="AC311" t="s">
        <v>131</v>
      </c>
      <c r="AD311" t="s">
        <v>131</v>
      </c>
      <c r="AE311" t="s">
        <v>131</v>
      </c>
      <c r="AF311" t="s">
        <v>131</v>
      </c>
      <c r="AG311" t="s">
        <v>131</v>
      </c>
      <c r="AH311" t="s">
        <v>131</v>
      </c>
      <c r="AI311" t="s">
        <v>133</v>
      </c>
      <c r="AJ311" t="s">
        <v>1382</v>
      </c>
      <c r="AK311" t="s">
        <v>209</v>
      </c>
      <c r="AL311" t="s">
        <v>162</v>
      </c>
      <c r="AM311" t="s">
        <v>42</v>
      </c>
      <c r="AN311" t="s">
        <v>6</v>
      </c>
      <c r="AO311" t="s">
        <v>385</v>
      </c>
      <c r="AP311" t="s">
        <v>386</v>
      </c>
      <c r="AQ311" t="s">
        <v>18</v>
      </c>
      <c r="AR311" t="s">
        <v>27</v>
      </c>
      <c r="AS311" t="s">
        <v>36</v>
      </c>
      <c r="AT311">
        <v>0.1</v>
      </c>
      <c r="AU311" t="s">
        <v>129</v>
      </c>
      <c r="AV311" t="s">
        <v>165</v>
      </c>
    </row>
    <row r="312" spans="1:48" x14ac:dyDescent="0.3">
      <c r="A312" t="s">
        <v>1383</v>
      </c>
      <c r="B312" s="12">
        <v>45477</v>
      </c>
      <c r="C312" s="12">
        <v>45481</v>
      </c>
      <c r="D312" t="s">
        <v>1384</v>
      </c>
      <c r="E312" t="s">
        <v>255</v>
      </c>
      <c r="F312" t="s">
        <v>44</v>
      </c>
      <c r="G312" t="s">
        <v>6</v>
      </c>
      <c r="H312" t="s">
        <v>385</v>
      </c>
      <c r="I312" t="s">
        <v>386</v>
      </c>
      <c r="J312" t="s">
        <v>15</v>
      </c>
      <c r="K312" t="s">
        <v>25</v>
      </c>
      <c r="M312" t="s">
        <v>36</v>
      </c>
      <c r="N312">
        <v>8</v>
      </c>
      <c r="O312">
        <v>2034.25</v>
      </c>
      <c r="P312">
        <v>0</v>
      </c>
      <c r="Q312">
        <v>0</v>
      </c>
      <c r="R312">
        <v>16274</v>
      </c>
      <c r="S312">
        <v>9424.25</v>
      </c>
      <c r="T312">
        <v>16274</v>
      </c>
      <c r="U312">
        <v>6849.75</v>
      </c>
      <c r="V312">
        <v>0.42090143787636702</v>
      </c>
      <c r="W312">
        <v>4</v>
      </c>
      <c r="X312" t="s">
        <v>128</v>
      </c>
      <c r="Y312">
        <v>2024</v>
      </c>
      <c r="Z312" t="s">
        <v>129</v>
      </c>
      <c r="AA312" t="s">
        <v>130</v>
      </c>
      <c r="AB312" t="s">
        <v>131</v>
      </c>
      <c r="AC312" t="s">
        <v>131</v>
      </c>
      <c r="AD312" t="s">
        <v>131</v>
      </c>
      <c r="AE312" t="s">
        <v>131</v>
      </c>
      <c r="AF312" t="s">
        <v>131</v>
      </c>
      <c r="AG312" t="s">
        <v>131</v>
      </c>
      <c r="AH312" t="s">
        <v>132</v>
      </c>
      <c r="AI312" t="s">
        <v>133</v>
      </c>
      <c r="AJ312" t="s">
        <v>1385</v>
      </c>
      <c r="AK312" t="s">
        <v>1386</v>
      </c>
      <c r="AL312" t="s">
        <v>255</v>
      </c>
      <c r="AM312" t="s">
        <v>44</v>
      </c>
      <c r="AN312" t="s">
        <v>6</v>
      </c>
      <c r="AO312" t="s">
        <v>385</v>
      </c>
      <c r="AP312" t="s">
        <v>386</v>
      </c>
      <c r="AQ312" t="s">
        <v>15</v>
      </c>
      <c r="AR312" t="s">
        <v>25</v>
      </c>
      <c r="AS312" t="s">
        <v>36</v>
      </c>
      <c r="AT312">
        <v>0</v>
      </c>
      <c r="AU312" t="s">
        <v>129</v>
      </c>
      <c r="AV312" t="s">
        <v>130</v>
      </c>
    </row>
    <row r="313" spans="1:48" x14ac:dyDescent="0.3">
      <c r="A313" t="s">
        <v>1387</v>
      </c>
      <c r="B313" s="12">
        <v>45409</v>
      </c>
      <c r="C313" s="12">
        <v>45414</v>
      </c>
      <c r="D313" t="s">
        <v>1388</v>
      </c>
      <c r="E313" t="s">
        <v>139</v>
      </c>
      <c r="F313" t="s">
        <v>43</v>
      </c>
      <c r="G313" t="s">
        <v>6</v>
      </c>
      <c r="H313" t="s">
        <v>294</v>
      </c>
      <c r="I313" t="s">
        <v>295</v>
      </c>
      <c r="J313" t="s">
        <v>20</v>
      </c>
      <c r="K313" t="s">
        <v>28</v>
      </c>
      <c r="M313" t="s">
        <v>37</v>
      </c>
      <c r="N313">
        <v>5</v>
      </c>
      <c r="O313">
        <v>554.04</v>
      </c>
      <c r="P313">
        <v>0.1</v>
      </c>
      <c r="Q313">
        <v>0.1</v>
      </c>
      <c r="R313">
        <v>2493.1799999999998</v>
      </c>
      <c r="S313">
        <v>1764</v>
      </c>
      <c r="T313">
        <v>2493.1799999999998</v>
      </c>
      <c r="U313">
        <v>729.18</v>
      </c>
      <c r="V313">
        <v>0.29246985777200202</v>
      </c>
      <c r="W313">
        <v>5</v>
      </c>
      <c r="X313" t="s">
        <v>179</v>
      </c>
      <c r="Y313">
        <v>2024</v>
      </c>
      <c r="Z313" t="s">
        <v>129</v>
      </c>
      <c r="AA313" t="s">
        <v>130</v>
      </c>
      <c r="AB313" t="s">
        <v>131</v>
      </c>
      <c r="AC313" t="s">
        <v>131</v>
      </c>
      <c r="AD313" t="s">
        <v>131</v>
      </c>
      <c r="AE313" t="s">
        <v>131</v>
      </c>
      <c r="AF313" t="s">
        <v>131</v>
      </c>
      <c r="AG313" t="s">
        <v>131</v>
      </c>
      <c r="AH313" t="s">
        <v>132</v>
      </c>
      <c r="AI313" t="s">
        <v>133</v>
      </c>
      <c r="AJ313" t="s">
        <v>1389</v>
      </c>
      <c r="AK313" t="s">
        <v>880</v>
      </c>
      <c r="AL313" t="s">
        <v>139</v>
      </c>
      <c r="AM313" t="s">
        <v>43</v>
      </c>
      <c r="AN313" t="s">
        <v>6</v>
      </c>
      <c r="AO313" t="s">
        <v>294</v>
      </c>
      <c r="AP313" t="s">
        <v>295</v>
      </c>
      <c r="AQ313" t="s">
        <v>20</v>
      </c>
      <c r="AR313" t="s">
        <v>28</v>
      </c>
      <c r="AS313" t="s">
        <v>37</v>
      </c>
      <c r="AT313">
        <v>0.1</v>
      </c>
      <c r="AU313" t="s">
        <v>129</v>
      </c>
      <c r="AV313" t="s">
        <v>130</v>
      </c>
    </row>
    <row r="314" spans="1:48" x14ac:dyDescent="0.3">
      <c r="A314" t="s">
        <v>1390</v>
      </c>
      <c r="B314" s="12">
        <v>45504</v>
      </c>
      <c r="C314" s="12">
        <v>45508</v>
      </c>
      <c r="D314" t="s">
        <v>1391</v>
      </c>
      <c r="E314" t="s">
        <v>125</v>
      </c>
      <c r="F314" t="s">
        <v>44</v>
      </c>
      <c r="G314" t="s">
        <v>8</v>
      </c>
      <c r="H314" t="s">
        <v>283</v>
      </c>
      <c r="I314" t="s">
        <v>284</v>
      </c>
      <c r="J314" t="s">
        <v>15</v>
      </c>
      <c r="K314" t="s">
        <v>17</v>
      </c>
      <c r="M314" t="s">
        <v>35</v>
      </c>
      <c r="N314">
        <v>8</v>
      </c>
      <c r="O314">
        <v>2614.7399999999998</v>
      </c>
      <c r="Q314">
        <v>0</v>
      </c>
      <c r="R314">
        <v>15688.44</v>
      </c>
      <c r="S314">
        <v>10047.33</v>
      </c>
      <c r="T314">
        <v>20917.919999999998</v>
      </c>
      <c r="U314">
        <v>10870.59</v>
      </c>
      <c r="V314">
        <v>0.51967834277977898</v>
      </c>
      <c r="W314">
        <v>4</v>
      </c>
      <c r="X314" t="s">
        <v>128</v>
      </c>
      <c r="Y314">
        <v>2024</v>
      </c>
      <c r="Z314" t="s">
        <v>129</v>
      </c>
      <c r="AA314" t="s">
        <v>165</v>
      </c>
      <c r="AB314" t="s">
        <v>131</v>
      </c>
      <c r="AC314" t="s">
        <v>131</v>
      </c>
      <c r="AD314" t="s">
        <v>132</v>
      </c>
      <c r="AE314" t="s">
        <v>131</v>
      </c>
      <c r="AF314" t="s">
        <v>131</v>
      </c>
      <c r="AG314" t="s">
        <v>131</v>
      </c>
      <c r="AH314" t="s">
        <v>131</v>
      </c>
      <c r="AI314" t="s">
        <v>321</v>
      </c>
      <c r="AJ314" t="s">
        <v>1392</v>
      </c>
      <c r="AK314" t="s">
        <v>533</v>
      </c>
      <c r="AL314" t="s">
        <v>125</v>
      </c>
      <c r="AM314" t="s">
        <v>44</v>
      </c>
      <c r="AN314" t="s">
        <v>8</v>
      </c>
      <c r="AO314" t="s">
        <v>283</v>
      </c>
      <c r="AP314" t="s">
        <v>284</v>
      </c>
      <c r="AQ314" t="s">
        <v>15</v>
      </c>
      <c r="AR314" t="s">
        <v>17</v>
      </c>
      <c r="AS314" t="s">
        <v>35</v>
      </c>
      <c r="AU314" t="s">
        <v>129</v>
      </c>
      <c r="AV314" t="s">
        <v>165</v>
      </c>
    </row>
    <row r="315" spans="1:48" x14ac:dyDescent="0.3">
      <c r="A315" t="s">
        <v>1393</v>
      </c>
      <c r="B315" s="12">
        <v>45807</v>
      </c>
      <c r="C315" s="12">
        <v>45808</v>
      </c>
      <c r="D315" t="s">
        <v>1394</v>
      </c>
      <c r="E315" t="s">
        <v>227</v>
      </c>
      <c r="F315" t="s">
        <v>43</v>
      </c>
      <c r="G315" t="s">
        <v>9</v>
      </c>
      <c r="H315" t="s">
        <v>249</v>
      </c>
      <c r="I315" t="s">
        <v>250</v>
      </c>
      <c r="J315" t="s">
        <v>15</v>
      </c>
      <c r="K315" t="s">
        <v>17</v>
      </c>
      <c r="M315" t="s">
        <v>36</v>
      </c>
      <c r="N315">
        <v>8</v>
      </c>
      <c r="O315">
        <v>2081.4299999999998</v>
      </c>
      <c r="P315">
        <v>0.25</v>
      </c>
      <c r="Q315">
        <v>0.25</v>
      </c>
      <c r="R315">
        <v>12488.58</v>
      </c>
      <c r="S315">
        <v>10717.4</v>
      </c>
      <c r="T315">
        <v>12488.58</v>
      </c>
      <c r="U315">
        <v>1771.18</v>
      </c>
      <c r="V315">
        <v>0.141823970379338</v>
      </c>
      <c r="W315">
        <v>1</v>
      </c>
      <c r="X315" t="s">
        <v>173</v>
      </c>
      <c r="Y315">
        <v>2025</v>
      </c>
      <c r="Z315" t="s">
        <v>203</v>
      </c>
      <c r="AA315" t="s">
        <v>165</v>
      </c>
      <c r="AB315" t="s">
        <v>131</v>
      </c>
      <c r="AC315" t="s">
        <v>131</v>
      </c>
      <c r="AD315" t="s">
        <v>131</v>
      </c>
      <c r="AE315" t="s">
        <v>131</v>
      </c>
      <c r="AF315" t="s">
        <v>131</v>
      </c>
      <c r="AG315" t="s">
        <v>131</v>
      </c>
      <c r="AH315" t="s">
        <v>131</v>
      </c>
      <c r="AI315" t="s">
        <v>133</v>
      </c>
      <c r="AJ315" t="s">
        <v>1395</v>
      </c>
      <c r="AK315" t="s">
        <v>1396</v>
      </c>
      <c r="AL315" t="s">
        <v>227</v>
      </c>
      <c r="AM315" t="s">
        <v>43</v>
      </c>
      <c r="AN315" t="s">
        <v>9</v>
      </c>
      <c r="AO315" t="s">
        <v>249</v>
      </c>
      <c r="AP315" t="s">
        <v>250</v>
      </c>
      <c r="AQ315" t="s">
        <v>15</v>
      </c>
      <c r="AR315" t="s">
        <v>17</v>
      </c>
      <c r="AS315" t="s">
        <v>36</v>
      </c>
      <c r="AT315">
        <v>0.25</v>
      </c>
      <c r="AU315" t="s">
        <v>203</v>
      </c>
      <c r="AV315" t="s">
        <v>165</v>
      </c>
    </row>
    <row r="316" spans="1:48" x14ac:dyDescent="0.3">
      <c r="A316" t="s">
        <v>1397</v>
      </c>
      <c r="B316" s="12">
        <v>45795</v>
      </c>
      <c r="C316" s="12">
        <v>45797</v>
      </c>
      <c r="D316" t="s">
        <v>1398</v>
      </c>
      <c r="E316" t="s">
        <v>147</v>
      </c>
      <c r="F316" t="s">
        <v>43</v>
      </c>
      <c r="G316" t="s">
        <v>7</v>
      </c>
      <c r="H316" t="s">
        <v>171</v>
      </c>
      <c r="I316" t="s">
        <v>172</v>
      </c>
      <c r="J316" t="s">
        <v>20</v>
      </c>
      <c r="K316" t="s">
        <v>30</v>
      </c>
      <c r="M316" t="s">
        <v>35</v>
      </c>
      <c r="N316">
        <v>9</v>
      </c>
      <c r="O316">
        <v>847.76</v>
      </c>
      <c r="P316">
        <v>0.15</v>
      </c>
      <c r="Q316">
        <v>0.15</v>
      </c>
      <c r="R316">
        <v>6485.36</v>
      </c>
      <c r="S316">
        <v>5376.17</v>
      </c>
      <c r="T316">
        <v>6485.3639999999996</v>
      </c>
      <c r="U316">
        <v>1109.194</v>
      </c>
      <c r="V316">
        <v>0.17103033846673801</v>
      </c>
      <c r="W316">
        <v>2</v>
      </c>
      <c r="X316" t="s">
        <v>173</v>
      </c>
      <c r="Y316">
        <v>2025</v>
      </c>
      <c r="Z316" t="s">
        <v>269</v>
      </c>
      <c r="AA316" t="s">
        <v>204</v>
      </c>
      <c r="AB316" t="s">
        <v>131</v>
      </c>
      <c r="AC316" t="s">
        <v>131</v>
      </c>
      <c r="AD316" t="s">
        <v>131</v>
      </c>
      <c r="AE316" t="s">
        <v>131</v>
      </c>
      <c r="AF316" t="s">
        <v>131</v>
      </c>
      <c r="AG316" t="s">
        <v>132</v>
      </c>
      <c r="AH316" t="s">
        <v>131</v>
      </c>
      <c r="AI316" t="s">
        <v>149</v>
      </c>
      <c r="AJ316" t="s">
        <v>1004</v>
      </c>
      <c r="AK316" t="s">
        <v>205</v>
      </c>
      <c r="AL316" t="s">
        <v>147</v>
      </c>
      <c r="AM316" t="s">
        <v>43</v>
      </c>
      <c r="AN316" t="s">
        <v>7</v>
      </c>
      <c r="AO316" t="s">
        <v>171</v>
      </c>
      <c r="AP316" t="s">
        <v>172</v>
      </c>
      <c r="AQ316" t="s">
        <v>20</v>
      </c>
      <c r="AR316" t="s">
        <v>30</v>
      </c>
      <c r="AS316" t="s">
        <v>35</v>
      </c>
      <c r="AT316">
        <v>0.15</v>
      </c>
      <c r="AU316" t="s">
        <v>269</v>
      </c>
      <c r="AV316" t="s">
        <v>204</v>
      </c>
    </row>
    <row r="317" spans="1:48" x14ac:dyDescent="0.3">
      <c r="A317" t="s">
        <v>1399</v>
      </c>
      <c r="B317" s="12">
        <v>45475</v>
      </c>
      <c r="C317" s="12">
        <v>45481</v>
      </c>
      <c r="D317" t="s">
        <v>1400</v>
      </c>
      <c r="E317" t="s">
        <v>255</v>
      </c>
      <c r="F317" t="s">
        <v>42</v>
      </c>
      <c r="G317" t="s">
        <v>9</v>
      </c>
      <c r="H317" t="s">
        <v>522</v>
      </c>
      <c r="I317" t="s">
        <v>523</v>
      </c>
      <c r="J317" t="s">
        <v>20</v>
      </c>
      <c r="K317" t="s">
        <v>24</v>
      </c>
      <c r="M317" t="s">
        <v>35</v>
      </c>
      <c r="N317">
        <v>9</v>
      </c>
      <c r="O317">
        <v>3450.4</v>
      </c>
      <c r="P317">
        <v>0.05</v>
      </c>
      <c r="Q317">
        <v>0.05</v>
      </c>
      <c r="R317">
        <v>29500.92</v>
      </c>
      <c r="S317">
        <v>17989.68</v>
      </c>
      <c r="T317">
        <v>29500.92</v>
      </c>
      <c r="U317">
        <v>11511.24</v>
      </c>
      <c r="V317">
        <v>0.39019935649464499</v>
      </c>
      <c r="W317">
        <v>6</v>
      </c>
      <c r="X317" t="s">
        <v>128</v>
      </c>
      <c r="Y317">
        <v>2024</v>
      </c>
      <c r="Z317" t="s">
        <v>215</v>
      </c>
      <c r="AA317" t="s">
        <v>204</v>
      </c>
      <c r="AB317" t="s">
        <v>131</v>
      </c>
      <c r="AC317" t="s">
        <v>131</v>
      </c>
      <c r="AD317" t="s">
        <v>131</v>
      </c>
      <c r="AE317" t="s">
        <v>131</v>
      </c>
      <c r="AF317" t="s">
        <v>131</v>
      </c>
      <c r="AG317" t="s">
        <v>131</v>
      </c>
      <c r="AH317" t="s">
        <v>131</v>
      </c>
      <c r="AI317" t="s">
        <v>133</v>
      </c>
      <c r="AJ317" t="s">
        <v>1401</v>
      </c>
      <c r="AK317" t="s">
        <v>1402</v>
      </c>
      <c r="AL317" t="s">
        <v>255</v>
      </c>
      <c r="AM317" t="s">
        <v>42</v>
      </c>
      <c r="AN317" t="s">
        <v>9</v>
      </c>
      <c r="AO317" t="s">
        <v>522</v>
      </c>
      <c r="AP317" t="s">
        <v>523</v>
      </c>
      <c r="AQ317" t="s">
        <v>20</v>
      </c>
      <c r="AR317" t="s">
        <v>24</v>
      </c>
      <c r="AS317" t="s">
        <v>35</v>
      </c>
      <c r="AT317">
        <v>0.05</v>
      </c>
      <c r="AU317" t="s">
        <v>215</v>
      </c>
      <c r="AV317" t="s">
        <v>204</v>
      </c>
    </row>
    <row r="318" spans="1:48" x14ac:dyDescent="0.3">
      <c r="A318" t="s">
        <v>1403</v>
      </c>
      <c r="B318" s="12">
        <v>45338</v>
      </c>
      <c r="C318" s="12">
        <v>45340</v>
      </c>
      <c r="D318" t="s">
        <v>1404</v>
      </c>
      <c r="E318" t="s">
        <v>125</v>
      </c>
      <c r="F318" t="s">
        <v>43</v>
      </c>
      <c r="G318" t="s">
        <v>9</v>
      </c>
      <c r="H318" t="s">
        <v>232</v>
      </c>
      <c r="I318" t="s">
        <v>233</v>
      </c>
      <c r="J318" t="s">
        <v>20</v>
      </c>
      <c r="K318" t="s">
        <v>30</v>
      </c>
      <c r="M318" t="s">
        <v>35</v>
      </c>
      <c r="N318">
        <v>2</v>
      </c>
      <c r="O318">
        <v>1947.53</v>
      </c>
      <c r="P318">
        <v>0.2</v>
      </c>
      <c r="Q318">
        <v>0.2</v>
      </c>
      <c r="R318">
        <v>3116.05</v>
      </c>
      <c r="S318">
        <v>1956.63</v>
      </c>
      <c r="T318">
        <v>3116.0479999999998</v>
      </c>
      <c r="U318">
        <v>1159.4179999999999</v>
      </c>
      <c r="V318">
        <v>0.37207963420332402</v>
      </c>
      <c r="W318">
        <v>2</v>
      </c>
      <c r="X318" t="s">
        <v>186</v>
      </c>
      <c r="Y318">
        <v>2024</v>
      </c>
      <c r="Z318" t="s">
        <v>129</v>
      </c>
      <c r="AA318" t="s">
        <v>165</v>
      </c>
      <c r="AB318" t="s">
        <v>131</v>
      </c>
      <c r="AC318" t="s">
        <v>131</v>
      </c>
      <c r="AD318" t="s">
        <v>131</v>
      </c>
      <c r="AE318" t="s">
        <v>131</v>
      </c>
      <c r="AF318" t="s">
        <v>131</v>
      </c>
      <c r="AG318" t="s">
        <v>131</v>
      </c>
      <c r="AH318" t="s">
        <v>131</v>
      </c>
      <c r="AI318" t="s">
        <v>133</v>
      </c>
      <c r="AJ318" t="s">
        <v>1405</v>
      </c>
      <c r="AK318" t="s">
        <v>1406</v>
      </c>
      <c r="AL318" t="s">
        <v>125</v>
      </c>
      <c r="AM318" t="s">
        <v>43</v>
      </c>
      <c r="AN318" t="s">
        <v>9</v>
      </c>
      <c r="AO318" t="s">
        <v>232</v>
      </c>
      <c r="AP318" t="s">
        <v>233</v>
      </c>
      <c r="AQ318" t="s">
        <v>20</v>
      </c>
      <c r="AR318" t="s">
        <v>30</v>
      </c>
      <c r="AS318" t="s">
        <v>35</v>
      </c>
      <c r="AT318">
        <v>0.2</v>
      </c>
      <c r="AU318" t="s">
        <v>129</v>
      </c>
      <c r="AV318" t="s">
        <v>165</v>
      </c>
    </row>
    <row r="319" spans="1:48" x14ac:dyDescent="0.3">
      <c r="A319" t="s">
        <v>1407</v>
      </c>
      <c r="B319" s="12">
        <v>45898</v>
      </c>
      <c r="C319" s="12">
        <v>45904</v>
      </c>
      <c r="D319" t="s">
        <v>1408</v>
      </c>
      <c r="E319" t="s">
        <v>178</v>
      </c>
      <c r="F319" t="s">
        <v>43</v>
      </c>
      <c r="G319" t="s">
        <v>6</v>
      </c>
      <c r="H319" t="s">
        <v>305</v>
      </c>
      <c r="I319" t="s">
        <v>306</v>
      </c>
      <c r="J319" t="s">
        <v>18</v>
      </c>
      <c r="K319" t="s">
        <v>27</v>
      </c>
      <c r="M319" t="s">
        <v>36</v>
      </c>
      <c r="N319">
        <v>9</v>
      </c>
      <c r="O319">
        <v>2996.97</v>
      </c>
      <c r="P319">
        <v>0.15</v>
      </c>
      <c r="Q319">
        <v>0.15</v>
      </c>
      <c r="R319">
        <v>22926.82</v>
      </c>
      <c r="S319">
        <v>14621.59</v>
      </c>
      <c r="T319">
        <v>22926.820500000002</v>
      </c>
      <c r="U319">
        <v>8305.2304999999997</v>
      </c>
      <c r="V319">
        <v>0.36224955396671799</v>
      </c>
      <c r="W319">
        <v>6</v>
      </c>
      <c r="X319" t="s">
        <v>142</v>
      </c>
      <c r="Y319">
        <v>2025</v>
      </c>
      <c r="Z319" t="s">
        <v>129</v>
      </c>
      <c r="AA319" t="s">
        <v>130</v>
      </c>
      <c r="AB319" t="s">
        <v>131</v>
      </c>
      <c r="AC319" t="s">
        <v>131</v>
      </c>
      <c r="AD319" t="s">
        <v>131</v>
      </c>
      <c r="AE319" t="s">
        <v>131</v>
      </c>
      <c r="AF319" t="s">
        <v>131</v>
      </c>
      <c r="AG319" t="s">
        <v>131</v>
      </c>
      <c r="AH319" t="s">
        <v>132</v>
      </c>
      <c r="AI319" t="s">
        <v>133</v>
      </c>
      <c r="AJ319" t="s">
        <v>1409</v>
      </c>
      <c r="AK319" t="s">
        <v>1410</v>
      </c>
      <c r="AL319" t="s">
        <v>178</v>
      </c>
      <c r="AM319" t="s">
        <v>43</v>
      </c>
      <c r="AN319" t="s">
        <v>6</v>
      </c>
      <c r="AO319" t="s">
        <v>305</v>
      </c>
      <c r="AP319" t="s">
        <v>306</v>
      </c>
      <c r="AQ319" t="s">
        <v>18</v>
      </c>
      <c r="AR319" t="s">
        <v>27</v>
      </c>
      <c r="AS319" t="s">
        <v>36</v>
      </c>
      <c r="AT319">
        <v>0.15</v>
      </c>
      <c r="AU319" t="s">
        <v>129</v>
      </c>
      <c r="AV319" t="s">
        <v>130</v>
      </c>
    </row>
    <row r="320" spans="1:48" x14ac:dyDescent="0.3">
      <c r="A320" t="s">
        <v>1411</v>
      </c>
      <c r="B320" s="12">
        <v>45407</v>
      </c>
      <c r="C320" s="12">
        <v>45412</v>
      </c>
      <c r="D320" t="s">
        <v>1412</v>
      </c>
      <c r="E320" t="s">
        <v>139</v>
      </c>
      <c r="F320" t="s">
        <v>44</v>
      </c>
      <c r="G320" t="s">
        <v>6</v>
      </c>
      <c r="H320" t="s">
        <v>294</v>
      </c>
      <c r="I320" t="s">
        <v>295</v>
      </c>
      <c r="J320" t="s">
        <v>15</v>
      </c>
      <c r="K320" t="s">
        <v>17</v>
      </c>
      <c r="M320" t="s">
        <v>35</v>
      </c>
      <c r="N320">
        <v>3</v>
      </c>
      <c r="O320">
        <v>4149.46</v>
      </c>
      <c r="P320">
        <v>0.1</v>
      </c>
      <c r="Q320">
        <v>0.1</v>
      </c>
      <c r="R320">
        <v>11203.54</v>
      </c>
      <c r="S320">
        <v>8452.93</v>
      </c>
      <c r="T320">
        <v>11203.541999999999</v>
      </c>
      <c r="U320">
        <v>2750.6120000000001</v>
      </c>
      <c r="V320">
        <v>0.24551271374713499</v>
      </c>
      <c r="W320">
        <v>5</v>
      </c>
      <c r="X320" t="s">
        <v>179</v>
      </c>
      <c r="Y320">
        <v>2024</v>
      </c>
      <c r="Z320" t="s">
        <v>129</v>
      </c>
      <c r="AA320" t="s">
        <v>130</v>
      </c>
      <c r="AB320" t="s">
        <v>131</v>
      </c>
      <c r="AC320" t="s">
        <v>131</v>
      </c>
      <c r="AD320" t="s">
        <v>131</v>
      </c>
      <c r="AE320" t="s">
        <v>131</v>
      </c>
      <c r="AF320" t="s">
        <v>131</v>
      </c>
      <c r="AG320" t="s">
        <v>131</v>
      </c>
      <c r="AH320" t="s">
        <v>132</v>
      </c>
      <c r="AI320" t="s">
        <v>133</v>
      </c>
      <c r="AJ320" t="s">
        <v>1413</v>
      </c>
      <c r="AK320" t="s">
        <v>1414</v>
      </c>
      <c r="AL320" t="s">
        <v>139</v>
      </c>
      <c r="AM320" t="s">
        <v>44</v>
      </c>
      <c r="AN320" t="s">
        <v>6</v>
      </c>
      <c r="AO320" t="s">
        <v>294</v>
      </c>
      <c r="AP320" t="s">
        <v>295</v>
      </c>
      <c r="AQ320" t="s">
        <v>15</v>
      </c>
      <c r="AR320" t="s">
        <v>17</v>
      </c>
      <c r="AS320" t="s">
        <v>35</v>
      </c>
      <c r="AT320">
        <v>0.1</v>
      </c>
      <c r="AU320" t="s">
        <v>129</v>
      </c>
      <c r="AV320" t="s">
        <v>130</v>
      </c>
    </row>
    <row r="321" spans="1:48" x14ac:dyDescent="0.3">
      <c r="A321" t="s">
        <v>1415</v>
      </c>
      <c r="B321" s="12">
        <v>45525</v>
      </c>
      <c r="C321" s="12">
        <v>45529</v>
      </c>
      <c r="D321" t="s">
        <v>1416</v>
      </c>
      <c r="E321" t="s">
        <v>277</v>
      </c>
      <c r="F321" t="s">
        <v>42</v>
      </c>
      <c r="G321" t="s">
        <v>7</v>
      </c>
      <c r="H321" t="s">
        <v>300</v>
      </c>
      <c r="I321" t="s">
        <v>301</v>
      </c>
      <c r="J321" t="s">
        <v>20</v>
      </c>
      <c r="K321" t="s">
        <v>28</v>
      </c>
      <c r="M321" t="s">
        <v>36</v>
      </c>
      <c r="N321">
        <v>1</v>
      </c>
      <c r="O321">
        <v>270.27999999999997</v>
      </c>
      <c r="P321">
        <v>0</v>
      </c>
      <c r="Q321">
        <v>0</v>
      </c>
      <c r="R321">
        <v>270.27999999999997</v>
      </c>
      <c r="S321">
        <v>156.34</v>
      </c>
      <c r="T321">
        <v>270.27999999999997</v>
      </c>
      <c r="U321">
        <v>113.94</v>
      </c>
      <c r="V321">
        <v>0.42156282373834503</v>
      </c>
      <c r="W321">
        <v>4</v>
      </c>
      <c r="X321" t="s">
        <v>142</v>
      </c>
      <c r="Y321">
        <v>2024</v>
      </c>
      <c r="Z321" t="s">
        <v>129</v>
      </c>
      <c r="AA321" t="s">
        <v>130</v>
      </c>
      <c r="AB321" t="s">
        <v>131</v>
      </c>
      <c r="AC321" t="s">
        <v>131</v>
      </c>
      <c r="AD321" t="s">
        <v>131</v>
      </c>
      <c r="AE321" t="s">
        <v>131</v>
      </c>
      <c r="AF321" t="s">
        <v>131</v>
      </c>
      <c r="AG321" t="s">
        <v>131</v>
      </c>
      <c r="AH321" t="s">
        <v>132</v>
      </c>
      <c r="AI321" t="s">
        <v>133</v>
      </c>
      <c r="AJ321" t="s">
        <v>1417</v>
      </c>
      <c r="AK321" t="s">
        <v>1418</v>
      </c>
      <c r="AL321" t="s">
        <v>277</v>
      </c>
      <c r="AM321" t="s">
        <v>42</v>
      </c>
      <c r="AN321" t="s">
        <v>7</v>
      </c>
      <c r="AO321" t="s">
        <v>300</v>
      </c>
      <c r="AP321" t="s">
        <v>301</v>
      </c>
      <c r="AQ321" t="s">
        <v>20</v>
      </c>
      <c r="AR321" t="s">
        <v>28</v>
      </c>
      <c r="AS321" t="s">
        <v>36</v>
      </c>
      <c r="AT321">
        <v>0</v>
      </c>
      <c r="AU321" t="s">
        <v>129</v>
      </c>
      <c r="AV321" t="s">
        <v>130</v>
      </c>
    </row>
    <row r="322" spans="1:48" x14ac:dyDescent="0.3">
      <c r="A322" t="s">
        <v>1419</v>
      </c>
      <c r="B322" s="12">
        <v>45630</v>
      </c>
      <c r="C322" s="12">
        <v>45632</v>
      </c>
      <c r="D322" t="s">
        <v>1420</v>
      </c>
      <c r="E322" t="s">
        <v>238</v>
      </c>
      <c r="F322" t="s">
        <v>41</v>
      </c>
      <c r="G322" t="s">
        <v>8</v>
      </c>
      <c r="H322" t="s">
        <v>201</v>
      </c>
      <c r="I322" t="s">
        <v>202</v>
      </c>
      <c r="J322" t="s">
        <v>20</v>
      </c>
      <c r="K322" t="s">
        <v>29</v>
      </c>
      <c r="M322" t="s">
        <v>37</v>
      </c>
      <c r="N322">
        <v>3</v>
      </c>
      <c r="O322">
        <v>876.14</v>
      </c>
      <c r="P322">
        <v>0.7</v>
      </c>
      <c r="Q322">
        <v>0</v>
      </c>
      <c r="R322">
        <v>2628.42</v>
      </c>
      <c r="S322">
        <v>1541.54</v>
      </c>
      <c r="T322">
        <v>2628.42</v>
      </c>
      <c r="U322">
        <v>1086.8800000000001</v>
      </c>
      <c r="V322">
        <v>0.41351077833831701</v>
      </c>
      <c r="W322">
        <v>2</v>
      </c>
      <c r="X322" t="s">
        <v>214</v>
      </c>
      <c r="Y322">
        <v>2024</v>
      </c>
      <c r="Z322" t="s">
        <v>215</v>
      </c>
      <c r="AA322" t="s">
        <v>204</v>
      </c>
      <c r="AB322" t="s">
        <v>131</v>
      </c>
      <c r="AC322" t="s">
        <v>131</v>
      </c>
      <c r="AD322" t="s">
        <v>131</v>
      </c>
      <c r="AE322" t="s">
        <v>131</v>
      </c>
      <c r="AF322" t="s">
        <v>132</v>
      </c>
      <c r="AG322" t="s">
        <v>131</v>
      </c>
      <c r="AH322" t="s">
        <v>131</v>
      </c>
      <c r="AI322" t="s">
        <v>149</v>
      </c>
      <c r="AJ322" t="s">
        <v>1421</v>
      </c>
      <c r="AK322" t="s">
        <v>1422</v>
      </c>
      <c r="AL322" t="s">
        <v>238</v>
      </c>
      <c r="AM322" t="s">
        <v>41</v>
      </c>
      <c r="AN322" t="s">
        <v>8</v>
      </c>
      <c r="AO322" t="s">
        <v>201</v>
      </c>
      <c r="AP322" t="s">
        <v>202</v>
      </c>
      <c r="AQ322" t="s">
        <v>20</v>
      </c>
      <c r="AR322" t="s">
        <v>29</v>
      </c>
      <c r="AS322" t="s">
        <v>37</v>
      </c>
      <c r="AT322" t="s">
        <v>664</v>
      </c>
      <c r="AU322" t="s">
        <v>215</v>
      </c>
      <c r="AV322" t="s">
        <v>204</v>
      </c>
    </row>
    <row r="323" spans="1:48" x14ac:dyDescent="0.3">
      <c r="A323" t="s">
        <v>1423</v>
      </c>
      <c r="B323" s="12">
        <v>45466</v>
      </c>
      <c r="C323" s="12">
        <v>45473</v>
      </c>
      <c r="D323" t="s">
        <v>1424</v>
      </c>
      <c r="E323" t="s">
        <v>178</v>
      </c>
      <c r="F323" t="s">
        <v>44</v>
      </c>
      <c r="G323" t="s">
        <v>7</v>
      </c>
      <c r="H323" t="s">
        <v>311</v>
      </c>
      <c r="I323" t="s">
        <v>312</v>
      </c>
      <c r="J323" t="s">
        <v>15</v>
      </c>
      <c r="K323" t="s">
        <v>22</v>
      </c>
      <c r="M323" t="s">
        <v>38</v>
      </c>
      <c r="N323">
        <v>4</v>
      </c>
      <c r="O323">
        <v>674.82</v>
      </c>
      <c r="P323">
        <v>0</v>
      </c>
      <c r="Q323">
        <v>0</v>
      </c>
      <c r="R323">
        <v>2699.28</v>
      </c>
      <c r="S323">
        <v>1759.76</v>
      </c>
      <c r="T323">
        <v>2699.28</v>
      </c>
      <c r="U323">
        <v>939.52</v>
      </c>
      <c r="V323">
        <v>0.348063187220296</v>
      </c>
      <c r="W323">
        <v>7</v>
      </c>
      <c r="X323" t="s">
        <v>148</v>
      </c>
      <c r="Y323">
        <v>2024</v>
      </c>
      <c r="Z323" t="s">
        <v>269</v>
      </c>
      <c r="AA323" t="s">
        <v>165</v>
      </c>
      <c r="AB323" t="s">
        <v>131</v>
      </c>
      <c r="AC323" t="s">
        <v>131</v>
      </c>
      <c r="AD323" t="s">
        <v>131</v>
      </c>
      <c r="AE323" t="s">
        <v>131</v>
      </c>
      <c r="AF323" t="s">
        <v>131</v>
      </c>
      <c r="AG323" t="s">
        <v>131</v>
      </c>
      <c r="AH323" t="s">
        <v>131</v>
      </c>
      <c r="AI323" t="s">
        <v>133</v>
      </c>
      <c r="AJ323" t="s">
        <v>1425</v>
      </c>
      <c r="AK323" t="s">
        <v>1426</v>
      </c>
      <c r="AL323" t="s">
        <v>178</v>
      </c>
      <c r="AM323" t="s">
        <v>44</v>
      </c>
      <c r="AN323" t="s">
        <v>7</v>
      </c>
      <c r="AO323" t="s">
        <v>311</v>
      </c>
      <c r="AP323" t="s">
        <v>312</v>
      </c>
      <c r="AQ323" t="s">
        <v>15</v>
      </c>
      <c r="AR323" t="s">
        <v>22</v>
      </c>
      <c r="AS323" t="s">
        <v>38</v>
      </c>
      <c r="AT323">
        <v>0</v>
      </c>
      <c r="AU323" t="s">
        <v>269</v>
      </c>
      <c r="AV323" t="s">
        <v>165</v>
      </c>
    </row>
    <row r="324" spans="1:48" x14ac:dyDescent="0.3">
      <c r="A324" t="s">
        <v>1427</v>
      </c>
      <c r="B324" s="12">
        <v>45608</v>
      </c>
      <c r="C324" s="12">
        <v>45608</v>
      </c>
      <c r="D324" t="s">
        <v>1428</v>
      </c>
      <c r="E324" t="s">
        <v>147</v>
      </c>
      <c r="F324" t="s">
        <v>42</v>
      </c>
      <c r="G324" t="s">
        <v>9</v>
      </c>
      <c r="H324" t="s">
        <v>249</v>
      </c>
      <c r="I324" t="s">
        <v>250</v>
      </c>
      <c r="J324" t="s">
        <v>15</v>
      </c>
      <c r="K324" t="s">
        <v>17</v>
      </c>
      <c r="M324" t="s">
        <v>37</v>
      </c>
      <c r="N324">
        <v>6</v>
      </c>
      <c r="O324">
        <v>1369.48</v>
      </c>
      <c r="P324">
        <v>0.15</v>
      </c>
      <c r="Q324">
        <v>0.15</v>
      </c>
      <c r="R324">
        <v>6984.35</v>
      </c>
      <c r="S324">
        <v>4023.63</v>
      </c>
      <c r="T324">
        <v>6984.348</v>
      </c>
      <c r="U324">
        <v>2960.7179999999998</v>
      </c>
      <c r="V324">
        <v>0.42390757161584702</v>
      </c>
      <c r="W324">
        <v>0</v>
      </c>
      <c r="X324" t="s">
        <v>157</v>
      </c>
      <c r="Y324">
        <v>2024</v>
      </c>
      <c r="Z324" t="s">
        <v>129</v>
      </c>
      <c r="AA324" t="s">
        <v>130</v>
      </c>
      <c r="AB324" t="s">
        <v>131</v>
      </c>
      <c r="AC324" t="s">
        <v>131</v>
      </c>
      <c r="AD324" t="s">
        <v>131</v>
      </c>
      <c r="AE324" t="s">
        <v>131</v>
      </c>
      <c r="AF324" t="s">
        <v>131</v>
      </c>
      <c r="AG324" t="s">
        <v>131</v>
      </c>
      <c r="AH324" t="s">
        <v>132</v>
      </c>
      <c r="AI324" t="s">
        <v>133</v>
      </c>
      <c r="AJ324" t="s">
        <v>1347</v>
      </c>
      <c r="AK324" t="s">
        <v>1429</v>
      </c>
      <c r="AL324" t="s">
        <v>147</v>
      </c>
      <c r="AM324" t="s">
        <v>42</v>
      </c>
      <c r="AN324" t="s">
        <v>9</v>
      </c>
      <c r="AO324" t="s">
        <v>249</v>
      </c>
      <c r="AP324" t="s">
        <v>250</v>
      </c>
      <c r="AQ324" t="s">
        <v>15</v>
      </c>
      <c r="AR324" t="s">
        <v>17</v>
      </c>
      <c r="AS324" t="s">
        <v>37</v>
      </c>
      <c r="AT324">
        <v>0.15</v>
      </c>
      <c r="AU324" t="s">
        <v>129</v>
      </c>
      <c r="AV324" t="s">
        <v>130</v>
      </c>
    </row>
    <row r="325" spans="1:48" x14ac:dyDescent="0.3">
      <c r="A325" t="s">
        <v>1430</v>
      </c>
      <c r="B325" s="12">
        <v>45347</v>
      </c>
      <c r="C325" s="12">
        <v>45351</v>
      </c>
      <c r="D325" t="s">
        <v>1431</v>
      </c>
      <c r="E325" t="s">
        <v>147</v>
      </c>
      <c r="F325" t="s">
        <v>44</v>
      </c>
      <c r="G325" t="s">
        <v>7</v>
      </c>
      <c r="H325" t="s">
        <v>311</v>
      </c>
      <c r="I325" t="s">
        <v>312</v>
      </c>
      <c r="J325" t="s">
        <v>18</v>
      </c>
      <c r="K325" t="s">
        <v>23</v>
      </c>
      <c r="M325" t="s">
        <v>35</v>
      </c>
      <c r="N325">
        <v>9</v>
      </c>
      <c r="O325">
        <v>1331.46</v>
      </c>
      <c r="P325">
        <v>0.15</v>
      </c>
      <c r="Q325">
        <v>0.15</v>
      </c>
      <c r="R325">
        <v>10185.67</v>
      </c>
      <c r="S325">
        <v>6479.31</v>
      </c>
      <c r="T325">
        <v>10185.669</v>
      </c>
      <c r="U325">
        <v>3706.3589999999999</v>
      </c>
      <c r="V325">
        <v>0.363879780503372</v>
      </c>
      <c r="W325">
        <v>4</v>
      </c>
      <c r="X325" t="s">
        <v>186</v>
      </c>
      <c r="Y325">
        <v>2024</v>
      </c>
      <c r="Z325" t="s">
        <v>129</v>
      </c>
      <c r="AA325" t="s">
        <v>130</v>
      </c>
      <c r="AB325" t="s">
        <v>131</v>
      </c>
      <c r="AC325" t="s">
        <v>131</v>
      </c>
      <c r="AD325" t="s">
        <v>131</v>
      </c>
      <c r="AE325" t="s">
        <v>131</v>
      </c>
      <c r="AF325" t="s">
        <v>131</v>
      </c>
      <c r="AG325" t="s">
        <v>131</v>
      </c>
      <c r="AH325" t="s">
        <v>132</v>
      </c>
      <c r="AI325" t="s">
        <v>133</v>
      </c>
      <c r="AJ325" t="s">
        <v>1432</v>
      </c>
      <c r="AK325" t="s">
        <v>1433</v>
      </c>
      <c r="AL325" t="s">
        <v>147</v>
      </c>
      <c r="AM325" t="s">
        <v>44</v>
      </c>
      <c r="AN325" t="s">
        <v>7</v>
      </c>
      <c r="AO325" t="s">
        <v>311</v>
      </c>
      <c r="AP325" t="s">
        <v>312</v>
      </c>
      <c r="AQ325" t="s">
        <v>18</v>
      </c>
      <c r="AR325" t="s">
        <v>23</v>
      </c>
      <c r="AS325" t="s">
        <v>35</v>
      </c>
      <c r="AT325">
        <v>0.15</v>
      </c>
      <c r="AU325" t="s">
        <v>129</v>
      </c>
      <c r="AV325" t="s">
        <v>130</v>
      </c>
    </row>
    <row r="326" spans="1:48" x14ac:dyDescent="0.3">
      <c r="A326" t="s">
        <v>1434</v>
      </c>
      <c r="B326" s="12">
        <v>45869</v>
      </c>
      <c r="C326" s="12">
        <v>45871</v>
      </c>
      <c r="D326" t="s">
        <v>1435</v>
      </c>
      <c r="E326" t="s">
        <v>255</v>
      </c>
      <c r="F326" t="s">
        <v>41</v>
      </c>
      <c r="G326" t="s">
        <v>6</v>
      </c>
      <c r="H326" t="s">
        <v>184</v>
      </c>
      <c r="I326" t="s">
        <v>185</v>
      </c>
      <c r="J326" t="s">
        <v>20</v>
      </c>
      <c r="K326" t="s">
        <v>30</v>
      </c>
      <c r="M326" t="s">
        <v>38</v>
      </c>
      <c r="N326">
        <v>1</v>
      </c>
      <c r="O326">
        <v>1947.88</v>
      </c>
      <c r="P326">
        <v>0.15</v>
      </c>
      <c r="Q326">
        <v>0.15</v>
      </c>
      <c r="R326">
        <v>1655.7</v>
      </c>
      <c r="S326">
        <v>1354.8</v>
      </c>
      <c r="T326">
        <v>1655.6980000000001</v>
      </c>
      <c r="U326">
        <v>300.89800000000002</v>
      </c>
      <c r="V326">
        <v>0.18173483328481399</v>
      </c>
      <c r="W326">
        <v>2</v>
      </c>
      <c r="X326" t="s">
        <v>128</v>
      </c>
      <c r="Y326">
        <v>2025</v>
      </c>
      <c r="Z326" t="s">
        <v>129</v>
      </c>
      <c r="AA326" t="s">
        <v>204</v>
      </c>
      <c r="AB326" t="s">
        <v>131</v>
      </c>
      <c r="AC326" t="s">
        <v>131</v>
      </c>
      <c r="AD326" t="s">
        <v>131</v>
      </c>
      <c r="AE326" t="s">
        <v>131</v>
      </c>
      <c r="AF326" t="s">
        <v>131</v>
      </c>
      <c r="AG326" t="s">
        <v>131</v>
      </c>
      <c r="AH326" t="s">
        <v>131</v>
      </c>
      <c r="AI326" t="s">
        <v>133</v>
      </c>
      <c r="AJ326" t="s">
        <v>1436</v>
      </c>
      <c r="AK326" t="s">
        <v>876</v>
      </c>
      <c r="AL326" t="s">
        <v>255</v>
      </c>
      <c r="AM326" t="s">
        <v>41</v>
      </c>
      <c r="AN326" t="s">
        <v>6</v>
      </c>
      <c r="AO326" t="s">
        <v>184</v>
      </c>
      <c r="AP326" t="s">
        <v>185</v>
      </c>
      <c r="AQ326" t="s">
        <v>20</v>
      </c>
      <c r="AR326" t="s">
        <v>30</v>
      </c>
      <c r="AS326" t="s">
        <v>38</v>
      </c>
      <c r="AT326">
        <v>0.15</v>
      </c>
      <c r="AU326" t="s">
        <v>129</v>
      </c>
      <c r="AV326" t="s">
        <v>204</v>
      </c>
    </row>
    <row r="327" spans="1:48" x14ac:dyDescent="0.3">
      <c r="A327" t="s">
        <v>1437</v>
      </c>
      <c r="B327" s="12">
        <v>45916</v>
      </c>
      <c r="C327" s="12">
        <v>45922</v>
      </c>
      <c r="D327" t="s">
        <v>1438</v>
      </c>
      <c r="E327" t="s">
        <v>243</v>
      </c>
      <c r="F327" t="s">
        <v>41</v>
      </c>
      <c r="G327" t="s">
        <v>8</v>
      </c>
      <c r="H327" t="s">
        <v>201</v>
      </c>
      <c r="I327" t="s">
        <v>202</v>
      </c>
      <c r="J327" t="s">
        <v>15</v>
      </c>
      <c r="K327" t="s">
        <v>16</v>
      </c>
      <c r="M327" t="s">
        <v>37</v>
      </c>
      <c r="N327">
        <v>5</v>
      </c>
      <c r="O327">
        <v>3671.2</v>
      </c>
      <c r="P327">
        <v>0.15</v>
      </c>
      <c r="Q327">
        <v>0.15</v>
      </c>
      <c r="R327">
        <v>15602.6</v>
      </c>
      <c r="S327">
        <v>11908.52</v>
      </c>
      <c r="T327">
        <v>15602.6</v>
      </c>
      <c r="U327">
        <v>3694.08</v>
      </c>
      <c r="V327">
        <v>0.236760539910015</v>
      </c>
      <c r="W327">
        <v>6</v>
      </c>
      <c r="X327" t="s">
        <v>196</v>
      </c>
      <c r="Y327">
        <v>2025</v>
      </c>
      <c r="Z327" t="s">
        <v>129</v>
      </c>
      <c r="AA327" t="s">
        <v>130</v>
      </c>
      <c r="AB327" t="s">
        <v>131</v>
      </c>
      <c r="AC327" t="s">
        <v>131</v>
      </c>
      <c r="AD327" t="s">
        <v>131</v>
      </c>
      <c r="AE327" t="s">
        <v>131</v>
      </c>
      <c r="AF327" t="s">
        <v>131</v>
      </c>
      <c r="AG327" t="s">
        <v>131</v>
      </c>
      <c r="AH327" t="s">
        <v>132</v>
      </c>
      <c r="AI327" t="s">
        <v>133</v>
      </c>
      <c r="AJ327" t="s">
        <v>1439</v>
      </c>
      <c r="AK327" t="s">
        <v>1440</v>
      </c>
      <c r="AL327" t="s">
        <v>243</v>
      </c>
      <c r="AM327" t="s">
        <v>41</v>
      </c>
      <c r="AN327" t="s">
        <v>8</v>
      </c>
      <c r="AO327" t="s">
        <v>201</v>
      </c>
      <c r="AP327" t="s">
        <v>202</v>
      </c>
      <c r="AQ327" t="s">
        <v>15</v>
      </c>
      <c r="AR327" t="s">
        <v>16</v>
      </c>
      <c r="AS327" t="s">
        <v>37</v>
      </c>
      <c r="AT327">
        <v>0.15</v>
      </c>
      <c r="AU327" t="s">
        <v>129</v>
      </c>
      <c r="AV327" t="s">
        <v>130</v>
      </c>
    </row>
    <row r="328" spans="1:48" x14ac:dyDescent="0.3">
      <c r="A328" t="s">
        <v>1441</v>
      </c>
      <c r="B328" s="12">
        <v>45860</v>
      </c>
      <c r="C328" s="12">
        <v>45860</v>
      </c>
      <c r="D328" t="s">
        <v>1442</v>
      </c>
      <c r="E328" t="s">
        <v>243</v>
      </c>
      <c r="F328" t="s">
        <v>43</v>
      </c>
      <c r="G328" t="s">
        <v>8</v>
      </c>
      <c r="H328" t="s">
        <v>362</v>
      </c>
      <c r="I328" t="s">
        <v>363</v>
      </c>
      <c r="J328" t="s">
        <v>18</v>
      </c>
      <c r="K328" t="s">
        <v>23</v>
      </c>
      <c r="M328" t="s">
        <v>38</v>
      </c>
      <c r="N328">
        <v>5</v>
      </c>
      <c r="O328">
        <v>3187.05</v>
      </c>
      <c r="P328">
        <v>0.05</v>
      </c>
      <c r="Q328">
        <v>0.05</v>
      </c>
      <c r="R328">
        <v>15138.49</v>
      </c>
      <c r="S328">
        <v>11235.72</v>
      </c>
      <c r="T328">
        <v>15138.487499999999</v>
      </c>
      <c r="U328">
        <v>3902.7674999999999</v>
      </c>
      <c r="V328">
        <v>0.25780432160082001</v>
      </c>
      <c r="W328">
        <v>0</v>
      </c>
      <c r="X328" t="s">
        <v>128</v>
      </c>
      <c r="Y328">
        <v>2025</v>
      </c>
      <c r="Z328" t="s">
        <v>129</v>
      </c>
      <c r="AA328" t="s">
        <v>130</v>
      </c>
      <c r="AB328" t="s">
        <v>131</v>
      </c>
      <c r="AC328" t="s">
        <v>131</v>
      </c>
      <c r="AD328" t="s">
        <v>131</v>
      </c>
      <c r="AE328" t="s">
        <v>131</v>
      </c>
      <c r="AF328" t="s">
        <v>131</v>
      </c>
      <c r="AG328" t="s">
        <v>131</v>
      </c>
      <c r="AH328" t="s">
        <v>132</v>
      </c>
      <c r="AI328" t="s">
        <v>133</v>
      </c>
      <c r="AJ328" t="s">
        <v>1443</v>
      </c>
      <c r="AK328" t="s">
        <v>1328</v>
      </c>
      <c r="AL328" t="s">
        <v>243</v>
      </c>
      <c r="AM328" t="s">
        <v>43</v>
      </c>
      <c r="AN328" t="s">
        <v>8</v>
      </c>
      <c r="AO328" t="s">
        <v>362</v>
      </c>
      <c r="AP328" t="s">
        <v>363</v>
      </c>
      <c r="AQ328" t="s">
        <v>18</v>
      </c>
      <c r="AR328" t="s">
        <v>23</v>
      </c>
      <c r="AS328" t="s">
        <v>38</v>
      </c>
      <c r="AT328">
        <v>0.05</v>
      </c>
      <c r="AU328" t="s">
        <v>129</v>
      </c>
      <c r="AV328" t="s">
        <v>130</v>
      </c>
    </row>
    <row r="329" spans="1:48" x14ac:dyDescent="0.3">
      <c r="A329" t="s">
        <v>1444</v>
      </c>
      <c r="B329" s="12">
        <v>45497</v>
      </c>
      <c r="C329" s="12">
        <v>45500</v>
      </c>
      <c r="D329" t="s">
        <v>1445</v>
      </c>
      <c r="E329" t="s">
        <v>147</v>
      </c>
      <c r="F329" t="s">
        <v>42</v>
      </c>
      <c r="G329" t="s">
        <v>7</v>
      </c>
      <c r="H329" t="s">
        <v>126</v>
      </c>
      <c r="I329" t="s">
        <v>213</v>
      </c>
      <c r="J329" t="s">
        <v>15</v>
      </c>
      <c r="K329" t="s">
        <v>22</v>
      </c>
      <c r="M329" t="s">
        <v>37</v>
      </c>
      <c r="N329">
        <v>3</v>
      </c>
      <c r="O329">
        <v>1834.55</v>
      </c>
      <c r="P329">
        <v>0.2</v>
      </c>
      <c r="Q329">
        <v>0.2</v>
      </c>
      <c r="R329">
        <v>4402.92</v>
      </c>
      <c r="S329">
        <v>2993.94</v>
      </c>
      <c r="T329">
        <v>4402.92</v>
      </c>
      <c r="U329">
        <v>1408.98</v>
      </c>
      <c r="V329">
        <v>0.32001035676323902</v>
      </c>
      <c r="W329">
        <v>3</v>
      </c>
      <c r="X329" t="s">
        <v>128</v>
      </c>
      <c r="Y329">
        <v>2024</v>
      </c>
      <c r="Z329" t="s">
        <v>215</v>
      </c>
      <c r="AA329" t="s">
        <v>165</v>
      </c>
      <c r="AB329" t="s">
        <v>131</v>
      </c>
      <c r="AC329" t="s">
        <v>131</v>
      </c>
      <c r="AD329" t="s">
        <v>131</v>
      </c>
      <c r="AE329" t="s">
        <v>131</v>
      </c>
      <c r="AF329" t="s">
        <v>131</v>
      </c>
      <c r="AG329" t="s">
        <v>131</v>
      </c>
      <c r="AH329" t="s">
        <v>131</v>
      </c>
      <c r="AI329" t="s">
        <v>133</v>
      </c>
      <c r="AJ329" t="s">
        <v>1446</v>
      </c>
      <c r="AK329" t="s">
        <v>327</v>
      </c>
      <c r="AL329" t="s">
        <v>147</v>
      </c>
      <c r="AM329" t="s">
        <v>42</v>
      </c>
      <c r="AN329" t="s">
        <v>7</v>
      </c>
      <c r="AO329" t="s">
        <v>126</v>
      </c>
      <c r="AP329" t="s">
        <v>213</v>
      </c>
      <c r="AQ329" t="s">
        <v>15</v>
      </c>
      <c r="AR329" t="s">
        <v>22</v>
      </c>
      <c r="AS329" t="s">
        <v>37</v>
      </c>
      <c r="AT329">
        <v>0.2</v>
      </c>
      <c r="AU329" t="s">
        <v>215</v>
      </c>
      <c r="AV329" t="s">
        <v>165</v>
      </c>
    </row>
    <row r="330" spans="1:48" x14ac:dyDescent="0.3">
      <c r="A330" t="s">
        <v>1447</v>
      </c>
      <c r="B330" s="12">
        <v>45806</v>
      </c>
      <c r="C330" s="12">
        <v>45812</v>
      </c>
      <c r="D330" t="s">
        <v>1448</v>
      </c>
      <c r="E330" t="s">
        <v>277</v>
      </c>
      <c r="F330" t="s">
        <v>42</v>
      </c>
      <c r="G330" t="s">
        <v>7</v>
      </c>
      <c r="H330" t="s">
        <v>163</v>
      </c>
      <c r="I330" t="s">
        <v>164</v>
      </c>
      <c r="J330" t="s">
        <v>20</v>
      </c>
      <c r="K330" t="s">
        <v>21</v>
      </c>
      <c r="M330" t="s">
        <v>36</v>
      </c>
      <c r="N330">
        <v>6</v>
      </c>
      <c r="O330">
        <v>3100.68</v>
      </c>
      <c r="P330">
        <v>0</v>
      </c>
      <c r="Q330">
        <v>0</v>
      </c>
      <c r="R330">
        <v>18604.080000000002</v>
      </c>
      <c r="S330">
        <v>15834.3</v>
      </c>
      <c r="T330">
        <v>18604.080000000002</v>
      </c>
      <c r="U330">
        <v>2769.78</v>
      </c>
      <c r="V330">
        <v>0.14888024562354099</v>
      </c>
      <c r="W330">
        <v>6</v>
      </c>
      <c r="X330" t="s">
        <v>173</v>
      </c>
      <c r="Y330">
        <v>2025</v>
      </c>
      <c r="Z330" t="s">
        <v>129</v>
      </c>
      <c r="AA330" t="s">
        <v>130</v>
      </c>
      <c r="AB330" t="s">
        <v>131</v>
      </c>
      <c r="AC330" t="s">
        <v>131</v>
      </c>
      <c r="AD330" t="s">
        <v>131</v>
      </c>
      <c r="AE330" t="s">
        <v>131</v>
      </c>
      <c r="AF330" t="s">
        <v>131</v>
      </c>
      <c r="AG330" t="s">
        <v>131</v>
      </c>
      <c r="AH330" t="s">
        <v>132</v>
      </c>
      <c r="AI330" t="s">
        <v>133</v>
      </c>
      <c r="AJ330" t="s">
        <v>1449</v>
      </c>
      <c r="AK330" t="s">
        <v>1263</v>
      </c>
      <c r="AL330" t="s">
        <v>277</v>
      </c>
      <c r="AM330" t="s">
        <v>42</v>
      </c>
      <c r="AN330" t="s">
        <v>7</v>
      </c>
      <c r="AO330" t="s">
        <v>163</v>
      </c>
      <c r="AP330" t="s">
        <v>164</v>
      </c>
      <c r="AQ330" t="s">
        <v>20</v>
      </c>
      <c r="AR330" t="s">
        <v>21</v>
      </c>
      <c r="AS330" t="s">
        <v>36</v>
      </c>
      <c r="AT330">
        <v>0</v>
      </c>
      <c r="AU330" t="s">
        <v>129</v>
      </c>
      <c r="AV330" t="s">
        <v>130</v>
      </c>
    </row>
    <row r="331" spans="1:48" x14ac:dyDescent="0.3">
      <c r="A331" t="s">
        <v>1450</v>
      </c>
      <c r="B331" s="12">
        <v>45789</v>
      </c>
      <c r="C331" s="12">
        <v>45795</v>
      </c>
      <c r="D331" t="s">
        <v>1451</v>
      </c>
      <c r="E331" t="s">
        <v>178</v>
      </c>
      <c r="F331" t="s">
        <v>44</v>
      </c>
      <c r="G331" t="s">
        <v>7</v>
      </c>
      <c r="H331" t="s">
        <v>163</v>
      </c>
      <c r="I331" t="s">
        <v>164</v>
      </c>
      <c r="J331" t="s">
        <v>20</v>
      </c>
      <c r="K331" t="s">
        <v>21</v>
      </c>
      <c r="M331" t="s">
        <v>35</v>
      </c>
      <c r="N331">
        <v>4</v>
      </c>
      <c r="O331">
        <v>4053.03</v>
      </c>
      <c r="P331">
        <v>0.05</v>
      </c>
      <c r="Q331">
        <v>0.05</v>
      </c>
      <c r="R331">
        <v>15401.51</v>
      </c>
      <c r="S331">
        <v>8650.42</v>
      </c>
      <c r="T331">
        <v>15401.513999999999</v>
      </c>
      <c r="U331">
        <v>6751.0940000000001</v>
      </c>
      <c r="V331">
        <v>0.43833963336331699</v>
      </c>
      <c r="W331">
        <v>6</v>
      </c>
      <c r="X331" t="s">
        <v>173</v>
      </c>
      <c r="Y331">
        <v>2025</v>
      </c>
      <c r="Z331" t="s">
        <v>129</v>
      </c>
      <c r="AA331" t="s">
        <v>130</v>
      </c>
      <c r="AB331" t="s">
        <v>131</v>
      </c>
      <c r="AC331" t="s">
        <v>131</v>
      </c>
      <c r="AD331" t="s">
        <v>131</v>
      </c>
      <c r="AE331" t="s">
        <v>131</v>
      </c>
      <c r="AF331" t="s">
        <v>131</v>
      </c>
      <c r="AG331" t="s">
        <v>131</v>
      </c>
      <c r="AH331" t="s">
        <v>132</v>
      </c>
      <c r="AI331" t="s">
        <v>133</v>
      </c>
      <c r="AJ331" t="s">
        <v>1452</v>
      </c>
      <c r="AK331" t="s">
        <v>1453</v>
      </c>
      <c r="AL331" t="s">
        <v>178</v>
      </c>
      <c r="AM331" t="s">
        <v>44</v>
      </c>
      <c r="AN331" t="s">
        <v>7</v>
      </c>
      <c r="AO331" t="s">
        <v>163</v>
      </c>
      <c r="AP331" t="s">
        <v>164</v>
      </c>
      <c r="AQ331" t="s">
        <v>20</v>
      </c>
      <c r="AR331" t="s">
        <v>21</v>
      </c>
      <c r="AS331" t="s">
        <v>35</v>
      </c>
      <c r="AT331">
        <v>0.05</v>
      </c>
      <c r="AU331" t="s">
        <v>129</v>
      </c>
      <c r="AV331" t="s">
        <v>130</v>
      </c>
    </row>
    <row r="332" spans="1:48" x14ac:dyDescent="0.3">
      <c r="A332" t="s">
        <v>1454</v>
      </c>
      <c r="B332" s="12">
        <v>45428</v>
      </c>
      <c r="C332" s="12">
        <v>45436</v>
      </c>
      <c r="D332" t="s">
        <v>1455</v>
      </c>
      <c r="E332" t="s">
        <v>154</v>
      </c>
      <c r="F332" t="s">
        <v>41</v>
      </c>
      <c r="G332" t="s">
        <v>9</v>
      </c>
      <c r="H332" t="s">
        <v>232</v>
      </c>
      <c r="I332" t="s">
        <v>233</v>
      </c>
      <c r="J332" t="s">
        <v>15</v>
      </c>
      <c r="K332" t="s">
        <v>22</v>
      </c>
      <c r="M332" t="s">
        <v>38</v>
      </c>
      <c r="N332">
        <v>1</v>
      </c>
      <c r="O332">
        <v>783.09</v>
      </c>
      <c r="P332">
        <v>0</v>
      </c>
      <c r="Q332">
        <v>0</v>
      </c>
      <c r="R332">
        <v>783.09</v>
      </c>
      <c r="S332">
        <v>503.89</v>
      </c>
      <c r="T332">
        <v>783.09</v>
      </c>
      <c r="U332">
        <v>279.2</v>
      </c>
      <c r="V332">
        <v>0.35653628573982599</v>
      </c>
      <c r="W332">
        <v>8</v>
      </c>
      <c r="X332" t="s">
        <v>173</v>
      </c>
      <c r="Y332">
        <v>2024</v>
      </c>
      <c r="Z332" t="s">
        <v>269</v>
      </c>
      <c r="AA332" t="s">
        <v>165</v>
      </c>
      <c r="AB332" t="s">
        <v>131</v>
      </c>
      <c r="AC332" t="s">
        <v>131</v>
      </c>
      <c r="AD332" t="s">
        <v>131</v>
      </c>
      <c r="AE332" t="s">
        <v>131</v>
      </c>
      <c r="AF332" t="s">
        <v>131</v>
      </c>
      <c r="AG332" t="s">
        <v>131</v>
      </c>
      <c r="AH332" t="s">
        <v>131</v>
      </c>
      <c r="AI332" t="s">
        <v>133</v>
      </c>
      <c r="AJ332" t="s">
        <v>1023</v>
      </c>
      <c r="AK332" t="s">
        <v>689</v>
      </c>
      <c r="AL332" t="s">
        <v>154</v>
      </c>
      <c r="AM332" t="s">
        <v>41</v>
      </c>
      <c r="AN332" t="s">
        <v>9</v>
      </c>
      <c r="AO332" t="s">
        <v>232</v>
      </c>
      <c r="AP332" t="s">
        <v>233</v>
      </c>
      <c r="AQ332" t="s">
        <v>15</v>
      </c>
      <c r="AR332" t="s">
        <v>22</v>
      </c>
      <c r="AS332" t="s">
        <v>38</v>
      </c>
      <c r="AT332">
        <v>0</v>
      </c>
      <c r="AU332" t="s">
        <v>269</v>
      </c>
      <c r="AV332" t="s">
        <v>165</v>
      </c>
    </row>
    <row r="333" spans="1:48" x14ac:dyDescent="0.3">
      <c r="A333" t="s">
        <v>1456</v>
      </c>
      <c r="B333" s="12">
        <v>45630</v>
      </c>
      <c r="C333" s="12">
        <v>45632</v>
      </c>
      <c r="D333" t="s">
        <v>1457</v>
      </c>
      <c r="E333" t="s">
        <v>243</v>
      </c>
      <c r="F333" t="s">
        <v>41</v>
      </c>
      <c r="G333" t="s">
        <v>8</v>
      </c>
      <c r="H333" t="s">
        <v>140</v>
      </c>
      <c r="I333" t="s">
        <v>141</v>
      </c>
      <c r="J333" t="s">
        <v>20</v>
      </c>
      <c r="K333" t="s">
        <v>28</v>
      </c>
      <c r="M333" t="s">
        <v>37</v>
      </c>
      <c r="N333">
        <v>4</v>
      </c>
      <c r="O333">
        <v>2685.66</v>
      </c>
      <c r="P333">
        <v>0</v>
      </c>
      <c r="Q333">
        <v>0</v>
      </c>
      <c r="R333">
        <v>10742.64</v>
      </c>
      <c r="S333">
        <v>6477.37</v>
      </c>
      <c r="T333">
        <v>10742.64</v>
      </c>
      <c r="U333">
        <v>4265.2700000000004</v>
      </c>
      <c r="V333">
        <v>0.39704113700170501</v>
      </c>
      <c r="W333">
        <v>2</v>
      </c>
      <c r="X333" t="s">
        <v>214</v>
      </c>
      <c r="Y333">
        <v>2024</v>
      </c>
      <c r="Z333" t="s">
        <v>129</v>
      </c>
      <c r="AA333" t="s">
        <v>204</v>
      </c>
      <c r="AB333" t="s">
        <v>131</v>
      </c>
      <c r="AC333" t="s">
        <v>131</v>
      </c>
      <c r="AD333" t="s">
        <v>131</v>
      </c>
      <c r="AE333" t="s">
        <v>131</v>
      </c>
      <c r="AF333" t="s">
        <v>131</v>
      </c>
      <c r="AG333" t="s">
        <v>132</v>
      </c>
      <c r="AH333" t="s">
        <v>131</v>
      </c>
      <c r="AI333" t="s">
        <v>149</v>
      </c>
      <c r="AJ333" t="s">
        <v>686</v>
      </c>
      <c r="AK333" t="s">
        <v>1458</v>
      </c>
      <c r="AL333" t="s">
        <v>243</v>
      </c>
      <c r="AM333" t="s">
        <v>41</v>
      </c>
      <c r="AN333" t="s">
        <v>8</v>
      </c>
      <c r="AO333" t="s">
        <v>140</v>
      </c>
      <c r="AP333" t="s">
        <v>141</v>
      </c>
      <c r="AQ333" t="s">
        <v>20</v>
      </c>
      <c r="AR333" t="s">
        <v>28</v>
      </c>
      <c r="AS333" t="s">
        <v>37</v>
      </c>
      <c r="AT333">
        <v>0</v>
      </c>
      <c r="AU333" t="s">
        <v>129</v>
      </c>
      <c r="AV333" t="s">
        <v>204</v>
      </c>
    </row>
    <row r="334" spans="1:48" x14ac:dyDescent="0.3">
      <c r="A334" t="s">
        <v>1459</v>
      </c>
      <c r="B334" s="12">
        <v>45804</v>
      </c>
      <c r="C334" s="12">
        <v>45805</v>
      </c>
      <c r="D334" t="s">
        <v>1460</v>
      </c>
      <c r="E334" t="s">
        <v>238</v>
      </c>
      <c r="F334" t="s">
        <v>42</v>
      </c>
      <c r="G334" t="s">
        <v>6</v>
      </c>
      <c r="H334" t="s">
        <v>184</v>
      </c>
      <c r="I334" t="s">
        <v>185</v>
      </c>
      <c r="J334" t="s">
        <v>15</v>
      </c>
      <c r="K334" t="s">
        <v>25</v>
      </c>
      <c r="M334" t="s">
        <v>37</v>
      </c>
      <c r="N334">
        <v>2</v>
      </c>
      <c r="O334">
        <v>3911.96</v>
      </c>
      <c r="P334">
        <v>0</v>
      </c>
      <c r="Q334">
        <v>0</v>
      </c>
      <c r="R334">
        <v>7823.92</v>
      </c>
      <c r="S334">
        <v>6034.63</v>
      </c>
      <c r="T334">
        <v>7823.92</v>
      </c>
      <c r="U334">
        <v>1789.29</v>
      </c>
      <c r="V334">
        <v>0.22869482305545</v>
      </c>
      <c r="W334">
        <v>1</v>
      </c>
      <c r="X334" t="s">
        <v>173</v>
      </c>
      <c r="Y334">
        <v>2025</v>
      </c>
      <c r="Z334" t="s">
        <v>129</v>
      </c>
      <c r="AA334" t="s">
        <v>130</v>
      </c>
      <c r="AB334" t="s">
        <v>131</v>
      </c>
      <c r="AC334" t="s">
        <v>131</v>
      </c>
      <c r="AD334" t="s">
        <v>131</v>
      </c>
      <c r="AE334" t="s">
        <v>131</v>
      </c>
      <c r="AF334" t="s">
        <v>131</v>
      </c>
      <c r="AG334" t="s">
        <v>131</v>
      </c>
      <c r="AH334" t="s">
        <v>132</v>
      </c>
      <c r="AI334" t="s">
        <v>133</v>
      </c>
      <c r="AJ334" t="s">
        <v>1461</v>
      </c>
      <c r="AK334" t="s">
        <v>1462</v>
      </c>
      <c r="AL334" t="s">
        <v>238</v>
      </c>
      <c r="AM334" t="s">
        <v>42</v>
      </c>
      <c r="AN334" t="s">
        <v>6</v>
      </c>
      <c r="AO334" t="s">
        <v>184</v>
      </c>
      <c r="AP334" t="s">
        <v>185</v>
      </c>
      <c r="AQ334" t="s">
        <v>15</v>
      </c>
      <c r="AR334" t="s">
        <v>1463</v>
      </c>
      <c r="AS334" t="s">
        <v>37</v>
      </c>
      <c r="AT334">
        <v>0</v>
      </c>
      <c r="AU334" t="s">
        <v>129</v>
      </c>
      <c r="AV334" t="s">
        <v>130</v>
      </c>
    </row>
    <row r="335" spans="1:48" x14ac:dyDescent="0.3">
      <c r="A335" t="s">
        <v>1464</v>
      </c>
      <c r="B335" s="12">
        <v>45830</v>
      </c>
      <c r="C335" s="12">
        <v>45835</v>
      </c>
      <c r="D335" t="s">
        <v>1465</v>
      </c>
      <c r="E335" t="s">
        <v>255</v>
      </c>
      <c r="F335" t="s">
        <v>41</v>
      </c>
      <c r="G335" t="s">
        <v>10</v>
      </c>
      <c r="H335" t="s">
        <v>522</v>
      </c>
      <c r="I335" t="s">
        <v>523</v>
      </c>
      <c r="J335" t="s">
        <v>15</v>
      </c>
      <c r="K335" t="s">
        <v>17</v>
      </c>
      <c r="M335" t="s">
        <v>36</v>
      </c>
      <c r="N335">
        <v>2</v>
      </c>
      <c r="O335">
        <v>1468.05</v>
      </c>
      <c r="P335">
        <v>0</v>
      </c>
      <c r="Q335">
        <v>0</v>
      </c>
      <c r="R335">
        <v>2936.1</v>
      </c>
      <c r="S335">
        <v>1923.1</v>
      </c>
      <c r="T335">
        <v>2936.1</v>
      </c>
      <c r="U335">
        <v>1013</v>
      </c>
      <c r="V335">
        <v>0.34501549674738602</v>
      </c>
      <c r="W335">
        <v>5</v>
      </c>
      <c r="X335" t="s">
        <v>148</v>
      </c>
      <c r="Y335">
        <v>2025</v>
      </c>
      <c r="Z335" t="s">
        <v>129</v>
      </c>
      <c r="AA335" t="s">
        <v>130</v>
      </c>
      <c r="AB335" t="s">
        <v>132</v>
      </c>
      <c r="AC335" t="s">
        <v>131</v>
      </c>
      <c r="AD335" t="s">
        <v>131</v>
      </c>
      <c r="AE335" t="s">
        <v>131</v>
      </c>
      <c r="AF335" t="s">
        <v>131</v>
      </c>
      <c r="AG335" t="s">
        <v>131</v>
      </c>
      <c r="AH335" t="s">
        <v>132</v>
      </c>
      <c r="AI335" t="s">
        <v>321</v>
      </c>
      <c r="AJ335" t="s">
        <v>1466</v>
      </c>
      <c r="AK335" t="s">
        <v>1467</v>
      </c>
      <c r="AL335" t="s">
        <v>255</v>
      </c>
      <c r="AM335" t="s">
        <v>41</v>
      </c>
      <c r="AO335" t="s">
        <v>522</v>
      </c>
      <c r="AP335" t="s">
        <v>523</v>
      </c>
      <c r="AQ335" t="s">
        <v>15</v>
      </c>
      <c r="AR335" t="s">
        <v>17</v>
      </c>
      <c r="AS335" t="s">
        <v>36</v>
      </c>
      <c r="AT335">
        <v>0</v>
      </c>
      <c r="AU335" t="s">
        <v>129</v>
      </c>
      <c r="AV335" t="s">
        <v>130</v>
      </c>
    </row>
    <row r="336" spans="1:48" x14ac:dyDescent="0.3">
      <c r="A336" t="s">
        <v>1468</v>
      </c>
      <c r="B336" s="12">
        <v>45547</v>
      </c>
      <c r="C336" s="12">
        <v>45552</v>
      </c>
      <c r="D336" t="s">
        <v>1469</v>
      </c>
      <c r="E336" t="s">
        <v>162</v>
      </c>
      <c r="F336" t="s">
        <v>42</v>
      </c>
      <c r="G336" t="s">
        <v>8</v>
      </c>
      <c r="H336" t="s">
        <v>362</v>
      </c>
      <c r="I336" t="s">
        <v>363</v>
      </c>
      <c r="J336" t="s">
        <v>20</v>
      </c>
      <c r="K336" t="s">
        <v>21</v>
      </c>
      <c r="M336" t="s">
        <v>36</v>
      </c>
      <c r="N336">
        <v>9</v>
      </c>
      <c r="O336">
        <v>1921.47</v>
      </c>
      <c r="P336">
        <v>0.25</v>
      </c>
      <c r="Q336">
        <v>0.25</v>
      </c>
      <c r="R336">
        <v>12969.92</v>
      </c>
      <c r="S336">
        <v>9398.4599999999991</v>
      </c>
      <c r="T336">
        <v>12969.922500000001</v>
      </c>
      <c r="U336">
        <v>3571.4625000000001</v>
      </c>
      <c r="V336">
        <v>0.27536498386941</v>
      </c>
      <c r="W336">
        <v>5</v>
      </c>
      <c r="X336" t="s">
        <v>196</v>
      </c>
      <c r="Y336">
        <v>2024</v>
      </c>
      <c r="Z336" t="s">
        <v>129</v>
      </c>
      <c r="AA336" t="s">
        <v>130</v>
      </c>
      <c r="AB336" t="s">
        <v>131</v>
      </c>
      <c r="AC336" t="s">
        <v>131</v>
      </c>
      <c r="AD336" t="s">
        <v>131</v>
      </c>
      <c r="AE336" t="s">
        <v>131</v>
      </c>
      <c r="AF336" t="s">
        <v>131</v>
      </c>
      <c r="AG336" t="s">
        <v>131</v>
      </c>
      <c r="AH336" t="s">
        <v>132</v>
      </c>
      <c r="AI336" t="s">
        <v>133</v>
      </c>
      <c r="AJ336" t="s">
        <v>1470</v>
      </c>
      <c r="AK336" t="s">
        <v>1471</v>
      </c>
      <c r="AL336" t="s">
        <v>162</v>
      </c>
      <c r="AM336" t="s">
        <v>42</v>
      </c>
      <c r="AN336" t="s">
        <v>8</v>
      </c>
      <c r="AO336" t="s">
        <v>362</v>
      </c>
      <c r="AP336" t="s">
        <v>363</v>
      </c>
      <c r="AQ336" t="s">
        <v>20</v>
      </c>
      <c r="AR336" t="s">
        <v>21</v>
      </c>
      <c r="AS336" t="s">
        <v>36</v>
      </c>
      <c r="AT336">
        <v>0.25</v>
      </c>
      <c r="AU336" t="s">
        <v>129</v>
      </c>
      <c r="AV336" t="s">
        <v>130</v>
      </c>
    </row>
    <row r="337" spans="1:48" x14ac:dyDescent="0.3">
      <c r="A337" t="s">
        <v>1472</v>
      </c>
      <c r="B337" s="12">
        <v>45824</v>
      </c>
      <c r="C337" s="12">
        <v>45826</v>
      </c>
      <c r="D337" t="s">
        <v>1473</v>
      </c>
      <c r="E337" t="s">
        <v>227</v>
      </c>
      <c r="F337" t="s">
        <v>41</v>
      </c>
      <c r="G337" t="s">
        <v>7</v>
      </c>
      <c r="H337" t="s">
        <v>171</v>
      </c>
      <c r="I337" t="s">
        <v>172</v>
      </c>
      <c r="J337" t="s">
        <v>20</v>
      </c>
      <c r="K337" t="s">
        <v>24</v>
      </c>
      <c r="M337" t="s">
        <v>36</v>
      </c>
      <c r="N337">
        <v>3</v>
      </c>
      <c r="O337">
        <v>4289.37</v>
      </c>
      <c r="P337">
        <v>0.1</v>
      </c>
      <c r="Q337">
        <v>0.1</v>
      </c>
      <c r="R337">
        <v>11581.3</v>
      </c>
      <c r="S337">
        <v>6829.43</v>
      </c>
      <c r="T337">
        <v>11581.299000000001</v>
      </c>
      <c r="U337">
        <v>4751.8689999999997</v>
      </c>
      <c r="V337">
        <v>0.41030535521101702</v>
      </c>
      <c r="W337">
        <v>2</v>
      </c>
      <c r="X337" t="s">
        <v>148</v>
      </c>
      <c r="Y337">
        <v>2025</v>
      </c>
      <c r="Z337" t="s">
        <v>129</v>
      </c>
      <c r="AA337" t="s">
        <v>130</v>
      </c>
      <c r="AB337" t="s">
        <v>131</v>
      </c>
      <c r="AC337" t="s">
        <v>131</v>
      </c>
      <c r="AD337" t="s">
        <v>131</v>
      </c>
      <c r="AE337" t="s">
        <v>131</v>
      </c>
      <c r="AF337" t="s">
        <v>131</v>
      </c>
      <c r="AG337" t="s">
        <v>132</v>
      </c>
      <c r="AH337" t="s">
        <v>132</v>
      </c>
      <c r="AI337" t="s">
        <v>149</v>
      </c>
      <c r="AJ337" t="s">
        <v>1474</v>
      </c>
      <c r="AK337" t="s">
        <v>1475</v>
      </c>
      <c r="AL337" t="s">
        <v>227</v>
      </c>
      <c r="AM337" t="s">
        <v>41</v>
      </c>
      <c r="AN337" t="s">
        <v>7</v>
      </c>
      <c r="AO337" t="s">
        <v>171</v>
      </c>
      <c r="AP337" t="s">
        <v>172</v>
      </c>
      <c r="AQ337" t="s">
        <v>20</v>
      </c>
      <c r="AR337" t="s">
        <v>24</v>
      </c>
      <c r="AS337" t="s">
        <v>36</v>
      </c>
      <c r="AT337">
        <v>0.1</v>
      </c>
      <c r="AU337" t="s">
        <v>129</v>
      </c>
      <c r="AV337" t="s">
        <v>130</v>
      </c>
    </row>
    <row r="338" spans="1:48" x14ac:dyDescent="0.3">
      <c r="A338" t="s">
        <v>1476</v>
      </c>
      <c r="B338" s="12">
        <v>45368</v>
      </c>
      <c r="C338" s="12">
        <v>45372</v>
      </c>
      <c r="D338" t="s">
        <v>1175</v>
      </c>
      <c r="E338" t="s">
        <v>238</v>
      </c>
      <c r="F338" t="s">
        <v>42</v>
      </c>
      <c r="G338" t="s">
        <v>9</v>
      </c>
      <c r="H338" t="s">
        <v>126</v>
      </c>
      <c r="I338" t="s">
        <v>127</v>
      </c>
      <c r="J338" t="s">
        <v>15</v>
      </c>
      <c r="K338" t="s">
        <v>16</v>
      </c>
      <c r="M338" t="s">
        <v>36</v>
      </c>
      <c r="N338">
        <v>8</v>
      </c>
      <c r="O338">
        <v>1992.57</v>
      </c>
      <c r="P338">
        <v>0</v>
      </c>
      <c r="Q338">
        <v>0</v>
      </c>
      <c r="R338">
        <v>15940.56</v>
      </c>
      <c r="S338">
        <v>12347.15</v>
      </c>
      <c r="T338">
        <v>15940.56</v>
      </c>
      <c r="U338">
        <v>3593.41</v>
      </c>
      <c r="V338">
        <v>0.22542558103353999</v>
      </c>
      <c r="W338">
        <v>4</v>
      </c>
      <c r="X338" t="s">
        <v>278</v>
      </c>
      <c r="Y338">
        <v>2024</v>
      </c>
      <c r="Z338" t="s">
        <v>129</v>
      </c>
      <c r="AA338" t="s">
        <v>130</v>
      </c>
      <c r="AB338" t="s">
        <v>131</v>
      </c>
      <c r="AC338" t="s">
        <v>131</v>
      </c>
      <c r="AD338" t="s">
        <v>131</v>
      </c>
      <c r="AE338" t="s">
        <v>131</v>
      </c>
      <c r="AF338" t="s">
        <v>131</v>
      </c>
      <c r="AG338" t="s">
        <v>131</v>
      </c>
      <c r="AH338" t="s">
        <v>132</v>
      </c>
      <c r="AI338" t="s">
        <v>133</v>
      </c>
      <c r="AJ338" t="s">
        <v>359</v>
      </c>
      <c r="AK338" t="s">
        <v>1477</v>
      </c>
      <c r="AL338" t="s">
        <v>238</v>
      </c>
      <c r="AM338" t="s">
        <v>42</v>
      </c>
      <c r="AN338" t="s">
        <v>9</v>
      </c>
      <c r="AO338" t="s">
        <v>126</v>
      </c>
      <c r="AP338" t="s">
        <v>127</v>
      </c>
      <c r="AQ338" t="s">
        <v>15</v>
      </c>
      <c r="AR338" t="s">
        <v>16</v>
      </c>
      <c r="AS338" t="s">
        <v>36</v>
      </c>
      <c r="AT338">
        <v>0</v>
      </c>
      <c r="AU338" t="s">
        <v>129</v>
      </c>
      <c r="AV338" t="s">
        <v>130</v>
      </c>
    </row>
    <row r="339" spans="1:48" x14ac:dyDescent="0.3">
      <c r="A339" t="s">
        <v>1478</v>
      </c>
      <c r="B339" s="12">
        <v>45516</v>
      </c>
      <c r="C339" s="12">
        <v>45522</v>
      </c>
      <c r="D339" t="s">
        <v>1479</v>
      </c>
      <c r="E339" t="s">
        <v>162</v>
      </c>
      <c r="F339" t="s">
        <v>42</v>
      </c>
      <c r="G339" t="s">
        <v>8</v>
      </c>
      <c r="H339" t="s">
        <v>283</v>
      </c>
      <c r="I339" t="s">
        <v>284</v>
      </c>
      <c r="J339" t="s">
        <v>20</v>
      </c>
      <c r="K339" t="s">
        <v>30</v>
      </c>
      <c r="M339" t="s">
        <v>38</v>
      </c>
      <c r="N339">
        <v>6</v>
      </c>
      <c r="O339">
        <v>1181.74</v>
      </c>
      <c r="P339">
        <v>0</v>
      </c>
      <c r="Q339">
        <v>0</v>
      </c>
      <c r="R339">
        <v>7090.44</v>
      </c>
      <c r="S339">
        <v>5672.27</v>
      </c>
      <c r="T339">
        <v>7090.44</v>
      </c>
      <c r="U339">
        <v>1418.17</v>
      </c>
      <c r="V339">
        <v>0.200011564867625</v>
      </c>
      <c r="W339">
        <v>6</v>
      </c>
      <c r="X339" t="s">
        <v>142</v>
      </c>
      <c r="Y339">
        <v>2024</v>
      </c>
      <c r="Z339" t="s">
        <v>129</v>
      </c>
      <c r="AA339" t="s">
        <v>130</v>
      </c>
      <c r="AB339" t="s">
        <v>131</v>
      </c>
      <c r="AC339" t="s">
        <v>131</v>
      </c>
      <c r="AD339" t="s">
        <v>131</v>
      </c>
      <c r="AE339" t="s">
        <v>131</v>
      </c>
      <c r="AF339" t="s">
        <v>131</v>
      </c>
      <c r="AG339" t="s">
        <v>131</v>
      </c>
      <c r="AH339" t="s">
        <v>132</v>
      </c>
      <c r="AI339" t="s">
        <v>133</v>
      </c>
      <c r="AJ339" t="s">
        <v>1480</v>
      </c>
      <c r="AK339" t="s">
        <v>1481</v>
      </c>
      <c r="AL339" t="s">
        <v>162</v>
      </c>
      <c r="AM339" t="s">
        <v>42</v>
      </c>
      <c r="AN339" t="s">
        <v>8</v>
      </c>
      <c r="AO339" t="s">
        <v>283</v>
      </c>
      <c r="AP339" t="s">
        <v>284</v>
      </c>
      <c r="AQ339" t="s">
        <v>20</v>
      </c>
      <c r="AR339" t="s">
        <v>30</v>
      </c>
      <c r="AS339" t="s">
        <v>38</v>
      </c>
      <c r="AT339">
        <v>0</v>
      </c>
      <c r="AU339" t="s">
        <v>129</v>
      </c>
      <c r="AV339" t="s">
        <v>130</v>
      </c>
    </row>
    <row r="340" spans="1:48" x14ac:dyDescent="0.3">
      <c r="A340" t="s">
        <v>1482</v>
      </c>
      <c r="B340" s="12">
        <v>45634</v>
      </c>
      <c r="C340" s="12">
        <v>45634</v>
      </c>
      <c r="D340" t="s">
        <v>1483</v>
      </c>
      <c r="E340" t="s">
        <v>154</v>
      </c>
      <c r="F340" t="s">
        <v>44</v>
      </c>
      <c r="G340" t="s">
        <v>6</v>
      </c>
      <c r="H340" t="s">
        <v>184</v>
      </c>
      <c r="I340" t="s">
        <v>185</v>
      </c>
      <c r="J340" t="s">
        <v>15</v>
      </c>
      <c r="K340" t="s">
        <v>22</v>
      </c>
      <c r="M340" t="s">
        <v>36</v>
      </c>
      <c r="N340">
        <v>8</v>
      </c>
      <c r="O340">
        <v>4402.3599999999997</v>
      </c>
      <c r="P340">
        <v>0.25</v>
      </c>
      <c r="Q340">
        <v>0.25</v>
      </c>
      <c r="R340">
        <v>26414.16</v>
      </c>
      <c r="S340">
        <v>21822.53</v>
      </c>
      <c r="T340">
        <v>26414.16</v>
      </c>
      <c r="U340">
        <v>4591.63</v>
      </c>
      <c r="V340">
        <v>0.173832141548321</v>
      </c>
      <c r="W340">
        <v>0</v>
      </c>
      <c r="X340" t="s">
        <v>214</v>
      </c>
      <c r="Y340">
        <v>2024</v>
      </c>
      <c r="Z340" t="s">
        <v>129</v>
      </c>
      <c r="AA340" t="s">
        <v>130</v>
      </c>
      <c r="AB340" t="s">
        <v>131</v>
      </c>
      <c r="AC340" t="s">
        <v>131</v>
      </c>
      <c r="AD340" t="s">
        <v>131</v>
      </c>
      <c r="AE340" t="s">
        <v>131</v>
      </c>
      <c r="AF340" t="s">
        <v>131</v>
      </c>
      <c r="AG340" t="s">
        <v>131</v>
      </c>
      <c r="AH340" t="s">
        <v>132</v>
      </c>
      <c r="AI340" t="s">
        <v>133</v>
      </c>
      <c r="AJ340" t="s">
        <v>1484</v>
      </c>
      <c r="AK340" t="s">
        <v>1290</v>
      </c>
      <c r="AL340" t="s">
        <v>154</v>
      </c>
      <c r="AM340" t="s">
        <v>44</v>
      </c>
      <c r="AN340" t="s">
        <v>6</v>
      </c>
      <c r="AO340" t="s">
        <v>184</v>
      </c>
      <c r="AP340" t="s">
        <v>185</v>
      </c>
      <c r="AQ340" t="s">
        <v>15</v>
      </c>
      <c r="AR340" t="s">
        <v>22</v>
      </c>
      <c r="AS340" t="s">
        <v>36</v>
      </c>
      <c r="AT340">
        <v>0.25</v>
      </c>
      <c r="AU340" t="s">
        <v>129</v>
      </c>
      <c r="AV340" t="s">
        <v>130</v>
      </c>
    </row>
    <row r="341" spans="1:48" x14ac:dyDescent="0.3">
      <c r="A341" t="s">
        <v>1485</v>
      </c>
      <c r="B341" s="12">
        <v>45708</v>
      </c>
      <c r="C341" s="12">
        <v>45710</v>
      </c>
      <c r="D341" t="s">
        <v>1486</v>
      </c>
      <c r="E341" t="s">
        <v>178</v>
      </c>
      <c r="F341" t="s">
        <v>43</v>
      </c>
      <c r="G341" t="s">
        <v>8</v>
      </c>
      <c r="H341" t="s">
        <v>362</v>
      </c>
      <c r="I341" t="s">
        <v>363</v>
      </c>
      <c r="J341" t="s">
        <v>18</v>
      </c>
      <c r="K341" t="s">
        <v>26</v>
      </c>
      <c r="M341" t="s">
        <v>35</v>
      </c>
      <c r="N341">
        <v>8</v>
      </c>
      <c r="O341">
        <v>3265.76</v>
      </c>
      <c r="P341">
        <v>0.2</v>
      </c>
      <c r="Q341">
        <v>0.2</v>
      </c>
      <c r="R341">
        <v>20900.86</v>
      </c>
      <c r="S341">
        <v>12513.14</v>
      </c>
      <c r="T341">
        <v>20900.864000000001</v>
      </c>
      <c r="U341">
        <v>8387.7240000000002</v>
      </c>
      <c r="V341">
        <v>0.40130991714026798</v>
      </c>
      <c r="W341">
        <v>2</v>
      </c>
      <c r="X341" t="s">
        <v>186</v>
      </c>
      <c r="Y341">
        <v>2025</v>
      </c>
      <c r="Z341" t="s">
        <v>129</v>
      </c>
      <c r="AA341" t="s">
        <v>130</v>
      </c>
      <c r="AB341" t="s">
        <v>131</v>
      </c>
      <c r="AC341" t="s">
        <v>131</v>
      </c>
      <c r="AD341" t="s">
        <v>131</v>
      </c>
      <c r="AE341" t="s">
        <v>131</v>
      </c>
      <c r="AF341" t="s">
        <v>131</v>
      </c>
      <c r="AG341" t="s">
        <v>131</v>
      </c>
      <c r="AH341" t="s">
        <v>132</v>
      </c>
      <c r="AI341" t="s">
        <v>133</v>
      </c>
      <c r="AJ341" t="s">
        <v>855</v>
      </c>
      <c r="AK341" t="s">
        <v>1487</v>
      </c>
      <c r="AL341" t="s">
        <v>178</v>
      </c>
      <c r="AM341" t="s">
        <v>43</v>
      </c>
      <c r="AN341" t="s">
        <v>8</v>
      </c>
      <c r="AO341" t="s">
        <v>362</v>
      </c>
      <c r="AP341" t="s">
        <v>363</v>
      </c>
      <c r="AQ341" t="s">
        <v>18</v>
      </c>
      <c r="AR341" t="s">
        <v>26</v>
      </c>
      <c r="AS341" t="s">
        <v>35</v>
      </c>
      <c r="AT341">
        <v>0.2</v>
      </c>
      <c r="AU341" t="s">
        <v>129</v>
      </c>
      <c r="AV341" t="s">
        <v>130</v>
      </c>
    </row>
    <row r="342" spans="1:48" x14ac:dyDescent="0.3">
      <c r="A342" t="s">
        <v>1488</v>
      </c>
      <c r="B342" s="12">
        <v>45312</v>
      </c>
      <c r="C342" s="12">
        <v>45320</v>
      </c>
      <c r="D342" t="s">
        <v>1489</v>
      </c>
      <c r="E342" t="s">
        <v>178</v>
      </c>
      <c r="F342" t="s">
        <v>42</v>
      </c>
      <c r="G342" t="s">
        <v>6</v>
      </c>
      <c r="H342" t="s">
        <v>294</v>
      </c>
      <c r="I342" t="s">
        <v>295</v>
      </c>
      <c r="J342" t="s">
        <v>20</v>
      </c>
      <c r="K342" t="s">
        <v>28</v>
      </c>
      <c r="M342" t="s">
        <v>35</v>
      </c>
      <c r="N342">
        <v>5</v>
      </c>
      <c r="O342">
        <v>4058.08</v>
      </c>
      <c r="P342">
        <v>0.1</v>
      </c>
      <c r="Q342">
        <v>0.1</v>
      </c>
      <c r="R342">
        <v>18261.36</v>
      </c>
      <c r="S342">
        <v>11399.94</v>
      </c>
      <c r="T342">
        <v>18261.36</v>
      </c>
      <c r="U342">
        <v>6861.42</v>
      </c>
      <c r="V342">
        <v>0.37573433742065199</v>
      </c>
      <c r="W342">
        <v>8</v>
      </c>
      <c r="X342" t="s">
        <v>244</v>
      </c>
      <c r="Y342">
        <v>2024</v>
      </c>
      <c r="Z342" t="s">
        <v>129</v>
      </c>
      <c r="AA342" t="s">
        <v>130</v>
      </c>
      <c r="AB342" t="s">
        <v>131</v>
      </c>
      <c r="AC342" t="s">
        <v>131</v>
      </c>
      <c r="AD342" t="s">
        <v>131</v>
      </c>
      <c r="AE342" t="s">
        <v>131</v>
      </c>
      <c r="AF342" t="s">
        <v>131</v>
      </c>
      <c r="AG342" t="s">
        <v>131</v>
      </c>
      <c r="AH342" t="s">
        <v>132</v>
      </c>
      <c r="AI342" t="s">
        <v>133</v>
      </c>
      <c r="AJ342" t="s">
        <v>1490</v>
      </c>
      <c r="AK342" t="s">
        <v>1491</v>
      </c>
      <c r="AL342" t="s">
        <v>178</v>
      </c>
      <c r="AM342" t="s">
        <v>42</v>
      </c>
      <c r="AN342" t="s">
        <v>6</v>
      </c>
      <c r="AO342" t="s">
        <v>294</v>
      </c>
      <c r="AP342" t="s">
        <v>295</v>
      </c>
      <c r="AQ342" t="s">
        <v>20</v>
      </c>
      <c r="AR342" t="s">
        <v>28</v>
      </c>
      <c r="AS342" t="s">
        <v>35</v>
      </c>
      <c r="AT342">
        <v>0.1</v>
      </c>
      <c r="AU342" t="s">
        <v>129</v>
      </c>
      <c r="AV342" t="s">
        <v>130</v>
      </c>
    </row>
    <row r="343" spans="1:48" x14ac:dyDescent="0.3">
      <c r="A343" t="s">
        <v>1492</v>
      </c>
      <c r="B343" s="12">
        <v>45908</v>
      </c>
      <c r="C343" s="12">
        <v>45909</v>
      </c>
      <c r="D343" t="s">
        <v>1493</v>
      </c>
      <c r="E343" t="s">
        <v>255</v>
      </c>
      <c r="F343" t="s">
        <v>41</v>
      </c>
      <c r="G343" t="s">
        <v>7</v>
      </c>
      <c r="H343" t="s">
        <v>300</v>
      </c>
      <c r="I343" t="s">
        <v>301</v>
      </c>
      <c r="J343" t="s">
        <v>18</v>
      </c>
      <c r="K343" t="s">
        <v>19</v>
      </c>
      <c r="M343" t="s">
        <v>37</v>
      </c>
      <c r="N343">
        <v>2</v>
      </c>
      <c r="O343">
        <v>3960.33</v>
      </c>
      <c r="P343">
        <v>0.05</v>
      </c>
      <c r="Q343">
        <v>0.05</v>
      </c>
      <c r="R343">
        <v>7524.63</v>
      </c>
      <c r="S343">
        <v>6229.6</v>
      </c>
      <c r="T343">
        <v>7524.6270000000004</v>
      </c>
      <c r="U343">
        <v>1295.027</v>
      </c>
      <c r="V343">
        <v>0.17210514222166801</v>
      </c>
      <c r="W343">
        <v>1</v>
      </c>
      <c r="X343" t="s">
        <v>196</v>
      </c>
      <c r="Y343">
        <v>2025</v>
      </c>
      <c r="Z343" t="s">
        <v>129</v>
      </c>
      <c r="AA343" t="s">
        <v>130</v>
      </c>
      <c r="AB343" t="s">
        <v>131</v>
      </c>
      <c r="AC343" t="s">
        <v>131</v>
      </c>
      <c r="AD343" t="s">
        <v>131</v>
      </c>
      <c r="AE343" t="s">
        <v>131</v>
      </c>
      <c r="AF343" t="s">
        <v>131</v>
      </c>
      <c r="AG343" t="s">
        <v>131</v>
      </c>
      <c r="AH343" t="s">
        <v>132</v>
      </c>
      <c r="AI343" t="s">
        <v>133</v>
      </c>
      <c r="AJ343" t="s">
        <v>1494</v>
      </c>
      <c r="AK343" t="s">
        <v>1495</v>
      </c>
      <c r="AL343" t="s">
        <v>255</v>
      </c>
      <c r="AM343" t="s">
        <v>41</v>
      </c>
      <c r="AN343" t="s">
        <v>7</v>
      </c>
      <c r="AO343" t="s">
        <v>300</v>
      </c>
      <c r="AP343" t="s">
        <v>301</v>
      </c>
      <c r="AQ343" t="s">
        <v>18</v>
      </c>
      <c r="AR343" t="s">
        <v>19</v>
      </c>
      <c r="AS343" t="s">
        <v>37</v>
      </c>
      <c r="AT343">
        <v>0.05</v>
      </c>
      <c r="AU343" t="s">
        <v>129</v>
      </c>
      <c r="AV343" t="s">
        <v>130</v>
      </c>
    </row>
    <row r="344" spans="1:48" x14ac:dyDescent="0.3">
      <c r="A344" t="s">
        <v>1496</v>
      </c>
      <c r="B344" s="12">
        <v>45862</v>
      </c>
      <c r="C344" s="12">
        <v>45870</v>
      </c>
      <c r="D344" t="s">
        <v>1497</v>
      </c>
      <c r="E344" t="s">
        <v>409</v>
      </c>
      <c r="F344" t="s">
        <v>44</v>
      </c>
      <c r="G344" t="s">
        <v>8</v>
      </c>
      <c r="H344" t="s">
        <v>362</v>
      </c>
      <c r="I344" t="s">
        <v>363</v>
      </c>
      <c r="J344" t="s">
        <v>20</v>
      </c>
      <c r="K344" t="s">
        <v>28</v>
      </c>
      <c r="M344" t="s">
        <v>36</v>
      </c>
      <c r="N344">
        <v>8</v>
      </c>
      <c r="O344">
        <v>1528.92</v>
      </c>
      <c r="P344">
        <v>0</v>
      </c>
      <c r="Q344">
        <v>0</v>
      </c>
      <c r="R344">
        <v>12231.36</v>
      </c>
      <c r="S344">
        <v>8766.9</v>
      </c>
      <c r="T344">
        <v>12231.36</v>
      </c>
      <c r="U344">
        <v>3464.46</v>
      </c>
      <c r="V344">
        <v>0.28324405462679503</v>
      </c>
      <c r="W344">
        <v>8</v>
      </c>
      <c r="X344" t="s">
        <v>128</v>
      </c>
      <c r="Y344">
        <v>2025</v>
      </c>
      <c r="Z344" t="s">
        <v>129</v>
      </c>
      <c r="AA344" t="s">
        <v>130</v>
      </c>
      <c r="AB344" t="s">
        <v>131</v>
      </c>
      <c r="AC344" t="s">
        <v>131</v>
      </c>
      <c r="AD344" t="s">
        <v>131</v>
      </c>
      <c r="AE344" t="s">
        <v>131</v>
      </c>
      <c r="AF344" t="s">
        <v>131</v>
      </c>
      <c r="AG344" t="s">
        <v>131</v>
      </c>
      <c r="AH344" t="s">
        <v>132</v>
      </c>
      <c r="AI344" t="s">
        <v>133</v>
      </c>
      <c r="AJ344" t="s">
        <v>1498</v>
      </c>
      <c r="AK344" t="s">
        <v>1499</v>
      </c>
      <c r="AL344" t="s">
        <v>409</v>
      </c>
      <c r="AM344" t="s">
        <v>44</v>
      </c>
      <c r="AN344" t="s">
        <v>8</v>
      </c>
      <c r="AO344" t="s">
        <v>362</v>
      </c>
      <c r="AP344" t="s">
        <v>363</v>
      </c>
      <c r="AQ344" t="s">
        <v>20</v>
      </c>
      <c r="AR344" t="s">
        <v>28</v>
      </c>
      <c r="AS344" t="s">
        <v>36</v>
      </c>
      <c r="AT344">
        <v>0</v>
      </c>
      <c r="AU344" t="s">
        <v>129</v>
      </c>
      <c r="AV344" t="s">
        <v>130</v>
      </c>
    </row>
    <row r="345" spans="1:48" x14ac:dyDescent="0.3">
      <c r="A345" t="s">
        <v>1500</v>
      </c>
      <c r="B345" s="12">
        <v>45933</v>
      </c>
      <c r="C345" s="12">
        <v>45938</v>
      </c>
      <c r="D345" t="s">
        <v>1501</v>
      </c>
      <c r="E345" t="s">
        <v>238</v>
      </c>
      <c r="F345" t="s">
        <v>43</v>
      </c>
      <c r="G345" t="s">
        <v>7</v>
      </c>
      <c r="H345" t="s">
        <v>171</v>
      </c>
      <c r="I345" t="s">
        <v>172</v>
      </c>
      <c r="J345" t="s">
        <v>15</v>
      </c>
      <c r="K345" t="s">
        <v>25</v>
      </c>
      <c r="M345" t="s">
        <v>38</v>
      </c>
      <c r="N345">
        <v>9</v>
      </c>
      <c r="O345">
        <v>3837</v>
      </c>
      <c r="P345">
        <v>0.1</v>
      </c>
      <c r="Q345">
        <v>0.1</v>
      </c>
      <c r="R345">
        <v>31079.7</v>
      </c>
      <c r="S345">
        <v>17758.25</v>
      </c>
      <c r="T345">
        <v>31079.7</v>
      </c>
      <c r="U345">
        <v>13321.45</v>
      </c>
      <c r="V345">
        <v>0.42862221964819502</v>
      </c>
      <c r="W345">
        <v>5</v>
      </c>
      <c r="X345" t="s">
        <v>222</v>
      </c>
      <c r="Y345">
        <v>2025</v>
      </c>
      <c r="Z345" t="s">
        <v>129</v>
      </c>
      <c r="AA345" t="s">
        <v>130</v>
      </c>
      <c r="AB345" t="s">
        <v>131</v>
      </c>
      <c r="AC345" t="s">
        <v>131</v>
      </c>
      <c r="AD345" t="s">
        <v>131</v>
      </c>
      <c r="AE345" t="s">
        <v>131</v>
      </c>
      <c r="AF345" t="s">
        <v>131</v>
      </c>
      <c r="AG345" t="s">
        <v>131</v>
      </c>
      <c r="AH345" t="s">
        <v>132</v>
      </c>
      <c r="AI345" t="s">
        <v>133</v>
      </c>
      <c r="AJ345" t="s">
        <v>1502</v>
      </c>
      <c r="AK345" t="s">
        <v>1075</v>
      </c>
      <c r="AL345" t="s">
        <v>238</v>
      </c>
      <c r="AM345" t="s">
        <v>43</v>
      </c>
      <c r="AN345" t="s">
        <v>7</v>
      </c>
      <c r="AO345" t="s">
        <v>171</v>
      </c>
      <c r="AP345" t="s">
        <v>172</v>
      </c>
      <c r="AQ345" t="s">
        <v>15</v>
      </c>
      <c r="AR345" t="s">
        <v>25</v>
      </c>
      <c r="AS345" t="s">
        <v>38</v>
      </c>
      <c r="AT345">
        <v>0.1</v>
      </c>
      <c r="AU345" t="s">
        <v>129</v>
      </c>
      <c r="AV345" t="s">
        <v>130</v>
      </c>
    </row>
    <row r="346" spans="1:48" x14ac:dyDescent="0.3">
      <c r="A346" t="s">
        <v>1503</v>
      </c>
      <c r="B346" s="12">
        <v>45362</v>
      </c>
      <c r="C346" s="12">
        <v>45362</v>
      </c>
      <c r="D346" t="s">
        <v>1504</v>
      </c>
      <c r="E346" t="s">
        <v>221</v>
      </c>
      <c r="F346" t="s">
        <v>42</v>
      </c>
      <c r="G346" t="s">
        <v>9</v>
      </c>
      <c r="H346" t="s">
        <v>232</v>
      </c>
      <c r="I346" t="s">
        <v>233</v>
      </c>
      <c r="J346" t="s">
        <v>18</v>
      </c>
      <c r="K346" t="s">
        <v>26</v>
      </c>
      <c r="M346" t="s">
        <v>38</v>
      </c>
      <c r="N346">
        <v>9</v>
      </c>
      <c r="O346">
        <v>3456.38</v>
      </c>
      <c r="P346">
        <v>0</v>
      </c>
      <c r="Q346">
        <v>0</v>
      </c>
      <c r="R346">
        <v>31107.42</v>
      </c>
      <c r="S346">
        <v>20146.66</v>
      </c>
      <c r="T346">
        <v>31107.42</v>
      </c>
      <c r="U346">
        <v>10960.76</v>
      </c>
      <c r="V346">
        <v>0.35235194689884303</v>
      </c>
      <c r="W346">
        <v>0</v>
      </c>
      <c r="X346" t="s">
        <v>278</v>
      </c>
      <c r="Y346">
        <v>2024</v>
      </c>
      <c r="Z346" t="s">
        <v>215</v>
      </c>
      <c r="AA346" t="s">
        <v>204</v>
      </c>
      <c r="AB346" t="s">
        <v>131</v>
      </c>
      <c r="AC346" t="s">
        <v>131</v>
      </c>
      <c r="AD346" t="s">
        <v>131</v>
      </c>
      <c r="AE346" t="s">
        <v>131</v>
      </c>
      <c r="AF346" t="s">
        <v>131</v>
      </c>
      <c r="AG346" t="s">
        <v>131</v>
      </c>
      <c r="AH346" t="s">
        <v>131</v>
      </c>
      <c r="AI346" t="s">
        <v>133</v>
      </c>
      <c r="AJ346" t="s">
        <v>1324</v>
      </c>
      <c r="AK346" t="s">
        <v>1324</v>
      </c>
      <c r="AL346" t="s">
        <v>221</v>
      </c>
      <c r="AM346" t="s">
        <v>42</v>
      </c>
      <c r="AN346" t="s">
        <v>9</v>
      </c>
      <c r="AO346" t="s">
        <v>232</v>
      </c>
      <c r="AP346" t="s">
        <v>233</v>
      </c>
      <c r="AQ346" t="s">
        <v>18</v>
      </c>
      <c r="AR346" t="s">
        <v>26</v>
      </c>
      <c r="AS346" t="s">
        <v>38</v>
      </c>
      <c r="AT346">
        <v>0</v>
      </c>
      <c r="AU346" t="s">
        <v>215</v>
      </c>
      <c r="AV346" t="s">
        <v>204</v>
      </c>
    </row>
    <row r="347" spans="1:48" x14ac:dyDescent="0.3">
      <c r="A347" t="s">
        <v>1505</v>
      </c>
      <c r="B347" s="12">
        <v>45549</v>
      </c>
      <c r="C347" s="12">
        <v>45557</v>
      </c>
      <c r="D347" t="s">
        <v>1506</v>
      </c>
      <c r="E347" t="s">
        <v>125</v>
      </c>
      <c r="F347" t="s">
        <v>42</v>
      </c>
      <c r="G347" t="s">
        <v>7</v>
      </c>
      <c r="H347" t="s">
        <v>171</v>
      </c>
      <c r="I347" t="s">
        <v>172</v>
      </c>
      <c r="J347" t="s">
        <v>18</v>
      </c>
      <c r="K347" t="s">
        <v>23</v>
      </c>
      <c r="M347" t="s">
        <v>37</v>
      </c>
      <c r="N347">
        <v>2</v>
      </c>
      <c r="O347">
        <v>2765.3</v>
      </c>
      <c r="P347">
        <v>0</v>
      </c>
      <c r="Q347">
        <v>0</v>
      </c>
      <c r="R347">
        <v>5530.6</v>
      </c>
      <c r="S347">
        <v>4453.1099999999997</v>
      </c>
      <c r="T347">
        <v>5530.6</v>
      </c>
      <c r="U347">
        <v>1077.49</v>
      </c>
      <c r="V347">
        <v>0.194823346472354</v>
      </c>
      <c r="W347">
        <v>8</v>
      </c>
      <c r="X347" t="s">
        <v>196</v>
      </c>
      <c r="Y347">
        <v>2024</v>
      </c>
      <c r="Z347" t="s">
        <v>129</v>
      </c>
      <c r="AA347" t="s">
        <v>130</v>
      </c>
      <c r="AB347" t="s">
        <v>131</v>
      </c>
      <c r="AC347" t="s">
        <v>131</v>
      </c>
      <c r="AD347" t="s">
        <v>131</v>
      </c>
      <c r="AE347" t="s">
        <v>131</v>
      </c>
      <c r="AF347" t="s">
        <v>131</v>
      </c>
      <c r="AG347" t="s">
        <v>131</v>
      </c>
      <c r="AH347" t="s">
        <v>132</v>
      </c>
      <c r="AI347" t="s">
        <v>133</v>
      </c>
      <c r="AJ347" t="s">
        <v>1507</v>
      </c>
      <c r="AK347" t="s">
        <v>1508</v>
      </c>
      <c r="AL347" t="s">
        <v>125</v>
      </c>
      <c r="AM347" t="s">
        <v>42</v>
      </c>
      <c r="AN347" t="s">
        <v>7</v>
      </c>
      <c r="AO347" t="s">
        <v>171</v>
      </c>
      <c r="AP347" t="s">
        <v>172</v>
      </c>
      <c r="AQ347" t="s">
        <v>18</v>
      </c>
      <c r="AR347" t="s">
        <v>23</v>
      </c>
      <c r="AS347" t="s">
        <v>37</v>
      </c>
      <c r="AT347">
        <v>0</v>
      </c>
      <c r="AU347" t="s">
        <v>129</v>
      </c>
      <c r="AV347" t="s">
        <v>130</v>
      </c>
    </row>
    <row r="348" spans="1:48" x14ac:dyDescent="0.3">
      <c r="A348" t="s">
        <v>1509</v>
      </c>
      <c r="B348" s="12">
        <v>45860</v>
      </c>
      <c r="C348" s="12">
        <v>45866</v>
      </c>
      <c r="D348" t="s">
        <v>1510</v>
      </c>
      <c r="E348" t="s">
        <v>227</v>
      </c>
      <c r="F348" t="s">
        <v>43</v>
      </c>
      <c r="G348" t="s">
        <v>6</v>
      </c>
      <c r="H348" t="s">
        <v>305</v>
      </c>
      <c r="I348" t="s">
        <v>306</v>
      </c>
      <c r="J348" t="s">
        <v>18</v>
      </c>
      <c r="K348" t="s">
        <v>19</v>
      </c>
      <c r="M348" t="s">
        <v>37</v>
      </c>
      <c r="N348">
        <v>6</v>
      </c>
      <c r="O348">
        <v>1607.46</v>
      </c>
      <c r="P348">
        <v>0.2</v>
      </c>
      <c r="Q348">
        <v>0.2</v>
      </c>
      <c r="R348">
        <v>7715.81</v>
      </c>
      <c r="S348">
        <v>4258.42</v>
      </c>
      <c r="T348">
        <v>7715.808</v>
      </c>
      <c r="U348">
        <v>3457.3879999999999</v>
      </c>
      <c r="V348">
        <v>0.44809150253609198</v>
      </c>
      <c r="W348">
        <v>6</v>
      </c>
      <c r="X348" t="s">
        <v>128</v>
      </c>
      <c r="Y348">
        <v>2025</v>
      </c>
      <c r="Z348" t="s">
        <v>129</v>
      </c>
      <c r="AA348" t="s">
        <v>130</v>
      </c>
      <c r="AB348" t="s">
        <v>131</v>
      </c>
      <c r="AC348" t="s">
        <v>131</v>
      </c>
      <c r="AD348" t="s">
        <v>131</v>
      </c>
      <c r="AE348" t="s">
        <v>131</v>
      </c>
      <c r="AF348" t="s">
        <v>131</v>
      </c>
      <c r="AG348" t="s">
        <v>131</v>
      </c>
      <c r="AH348" t="s">
        <v>132</v>
      </c>
      <c r="AI348" t="s">
        <v>133</v>
      </c>
      <c r="AJ348" t="s">
        <v>1443</v>
      </c>
      <c r="AK348" t="s">
        <v>1511</v>
      </c>
      <c r="AL348" t="s">
        <v>227</v>
      </c>
      <c r="AM348" t="s">
        <v>43</v>
      </c>
      <c r="AN348" t="s">
        <v>6</v>
      </c>
      <c r="AO348" t="s">
        <v>305</v>
      </c>
      <c r="AP348" t="s">
        <v>306</v>
      </c>
      <c r="AQ348" t="s">
        <v>18</v>
      </c>
      <c r="AR348" t="s">
        <v>19</v>
      </c>
      <c r="AS348" t="s">
        <v>37</v>
      </c>
      <c r="AT348">
        <v>0.2</v>
      </c>
      <c r="AU348" t="s">
        <v>129</v>
      </c>
      <c r="AV348" t="s">
        <v>130</v>
      </c>
    </row>
    <row r="349" spans="1:48" x14ac:dyDescent="0.3">
      <c r="A349" t="s">
        <v>1512</v>
      </c>
      <c r="B349" s="12">
        <v>45627</v>
      </c>
      <c r="C349" s="12">
        <v>45634</v>
      </c>
      <c r="D349" t="s">
        <v>1513</v>
      </c>
      <c r="E349" t="s">
        <v>238</v>
      </c>
      <c r="F349" t="s">
        <v>44</v>
      </c>
      <c r="G349" t="s">
        <v>7</v>
      </c>
      <c r="H349" t="s">
        <v>311</v>
      </c>
      <c r="I349" t="s">
        <v>312</v>
      </c>
      <c r="J349" t="s">
        <v>18</v>
      </c>
      <c r="K349" t="s">
        <v>19</v>
      </c>
      <c r="M349" t="s">
        <v>37</v>
      </c>
      <c r="N349">
        <v>5</v>
      </c>
      <c r="O349">
        <v>2981.49</v>
      </c>
      <c r="P349">
        <v>0.2</v>
      </c>
      <c r="Q349">
        <v>0.2</v>
      </c>
      <c r="R349">
        <v>11925.96</v>
      </c>
      <c r="S349">
        <v>10103.51</v>
      </c>
      <c r="T349">
        <v>11925.96</v>
      </c>
      <c r="U349">
        <v>1822.45</v>
      </c>
      <c r="V349">
        <v>0.15281369382422899</v>
      </c>
      <c r="W349">
        <v>7</v>
      </c>
      <c r="X349" t="s">
        <v>214</v>
      </c>
      <c r="Y349">
        <v>2024</v>
      </c>
      <c r="Z349" t="s">
        <v>203</v>
      </c>
      <c r="AA349" t="s">
        <v>204</v>
      </c>
      <c r="AB349" t="s">
        <v>131</v>
      </c>
      <c r="AC349" t="s">
        <v>131</v>
      </c>
      <c r="AD349" t="s">
        <v>131</v>
      </c>
      <c r="AE349" t="s">
        <v>131</v>
      </c>
      <c r="AF349" t="s">
        <v>131</v>
      </c>
      <c r="AG349" t="s">
        <v>131</v>
      </c>
      <c r="AH349" t="s">
        <v>131</v>
      </c>
      <c r="AI349" t="s">
        <v>133</v>
      </c>
      <c r="AJ349" t="s">
        <v>1514</v>
      </c>
      <c r="AK349" t="s">
        <v>1290</v>
      </c>
      <c r="AL349" t="s">
        <v>238</v>
      </c>
      <c r="AM349" t="s">
        <v>44</v>
      </c>
      <c r="AN349" t="s">
        <v>7</v>
      </c>
      <c r="AO349" t="s">
        <v>311</v>
      </c>
      <c r="AP349" t="s">
        <v>312</v>
      </c>
      <c r="AQ349" t="s">
        <v>18</v>
      </c>
      <c r="AR349" t="s">
        <v>19</v>
      </c>
      <c r="AS349" t="s">
        <v>37</v>
      </c>
      <c r="AT349">
        <v>0.2</v>
      </c>
      <c r="AU349" t="s">
        <v>203</v>
      </c>
      <c r="AV349" t="s">
        <v>204</v>
      </c>
    </row>
    <row r="350" spans="1:48" x14ac:dyDescent="0.3">
      <c r="A350" t="s">
        <v>1515</v>
      </c>
      <c r="B350" s="12">
        <v>45445</v>
      </c>
      <c r="C350" s="12">
        <v>45450</v>
      </c>
      <c r="D350" t="s">
        <v>1516</v>
      </c>
      <c r="E350" t="s">
        <v>238</v>
      </c>
      <c r="F350" t="s">
        <v>43</v>
      </c>
      <c r="G350" t="s">
        <v>6</v>
      </c>
      <c r="H350" t="s">
        <v>294</v>
      </c>
      <c r="I350" t="s">
        <v>295</v>
      </c>
      <c r="J350" t="s">
        <v>15</v>
      </c>
      <c r="K350" t="s">
        <v>17</v>
      </c>
      <c r="M350" t="s">
        <v>38</v>
      </c>
      <c r="N350">
        <v>9</v>
      </c>
      <c r="O350">
        <v>2860.26</v>
      </c>
      <c r="P350">
        <v>0.25</v>
      </c>
      <c r="Q350">
        <v>0.25</v>
      </c>
      <c r="R350">
        <v>19306.759999999998</v>
      </c>
      <c r="S350">
        <v>14442.38</v>
      </c>
      <c r="T350">
        <v>19306.755000000001</v>
      </c>
      <c r="U350">
        <v>4864.37500000001</v>
      </c>
      <c r="V350">
        <v>0.251951972250127</v>
      </c>
      <c r="W350">
        <v>5</v>
      </c>
      <c r="X350" t="s">
        <v>148</v>
      </c>
      <c r="Y350">
        <v>2024</v>
      </c>
      <c r="Z350" t="s">
        <v>129</v>
      </c>
      <c r="AA350" t="s">
        <v>130</v>
      </c>
      <c r="AB350" t="s">
        <v>131</v>
      </c>
      <c r="AC350" t="s">
        <v>131</v>
      </c>
      <c r="AD350" t="s">
        <v>131</v>
      </c>
      <c r="AE350" t="s">
        <v>131</v>
      </c>
      <c r="AF350" t="s">
        <v>131</v>
      </c>
      <c r="AG350" t="s">
        <v>131</v>
      </c>
      <c r="AH350" t="s">
        <v>132</v>
      </c>
      <c r="AI350" t="s">
        <v>133</v>
      </c>
      <c r="AJ350" t="s">
        <v>1163</v>
      </c>
      <c r="AK350" t="s">
        <v>1517</v>
      </c>
      <c r="AL350" t="s">
        <v>238</v>
      </c>
      <c r="AM350" t="s">
        <v>43</v>
      </c>
      <c r="AN350" t="s">
        <v>6</v>
      </c>
      <c r="AO350" t="s">
        <v>294</v>
      </c>
      <c r="AP350" t="s">
        <v>295</v>
      </c>
      <c r="AQ350" t="s">
        <v>15</v>
      </c>
      <c r="AR350" t="s">
        <v>17</v>
      </c>
      <c r="AS350" t="s">
        <v>38</v>
      </c>
      <c r="AT350">
        <v>0.25</v>
      </c>
      <c r="AU350" t="s">
        <v>129</v>
      </c>
      <c r="AV350" t="s">
        <v>130</v>
      </c>
    </row>
    <row r="351" spans="1:48" x14ac:dyDescent="0.3">
      <c r="A351" t="s">
        <v>1518</v>
      </c>
      <c r="B351" s="12">
        <v>45927</v>
      </c>
      <c r="C351" s="12">
        <v>45929</v>
      </c>
      <c r="D351" t="s">
        <v>1519</v>
      </c>
      <c r="E351" t="s">
        <v>409</v>
      </c>
      <c r="F351" t="s">
        <v>41</v>
      </c>
      <c r="G351" t="s">
        <v>8</v>
      </c>
      <c r="H351" t="s">
        <v>362</v>
      </c>
      <c r="I351" t="s">
        <v>363</v>
      </c>
      <c r="J351" t="s">
        <v>18</v>
      </c>
      <c r="K351" t="s">
        <v>23</v>
      </c>
      <c r="M351" t="s">
        <v>37</v>
      </c>
      <c r="N351">
        <v>9</v>
      </c>
      <c r="O351">
        <v>2867.55</v>
      </c>
      <c r="P351">
        <v>0.25</v>
      </c>
      <c r="Q351">
        <v>0.25</v>
      </c>
      <c r="R351">
        <v>19355.96</v>
      </c>
      <c r="S351">
        <v>15012.45</v>
      </c>
      <c r="T351">
        <v>19355.962500000001</v>
      </c>
      <c r="U351">
        <v>4343.5124999999998</v>
      </c>
      <c r="V351">
        <v>0.224401783171465</v>
      </c>
      <c r="W351">
        <v>2</v>
      </c>
      <c r="X351" t="s">
        <v>196</v>
      </c>
      <c r="Y351">
        <v>2025</v>
      </c>
      <c r="Z351" t="s">
        <v>129</v>
      </c>
      <c r="AA351" t="s">
        <v>130</v>
      </c>
      <c r="AB351" t="s">
        <v>131</v>
      </c>
      <c r="AC351" t="s">
        <v>131</v>
      </c>
      <c r="AD351" t="s">
        <v>131</v>
      </c>
      <c r="AE351" t="s">
        <v>131</v>
      </c>
      <c r="AF351" t="s">
        <v>131</v>
      </c>
      <c r="AG351" t="s">
        <v>131</v>
      </c>
      <c r="AH351" t="s">
        <v>132</v>
      </c>
      <c r="AI351" t="s">
        <v>133</v>
      </c>
      <c r="AJ351" t="s">
        <v>1520</v>
      </c>
      <c r="AK351" t="s">
        <v>720</v>
      </c>
      <c r="AL351" t="s">
        <v>409</v>
      </c>
      <c r="AM351" t="s">
        <v>41</v>
      </c>
      <c r="AN351" t="s">
        <v>8</v>
      </c>
      <c r="AO351" t="s">
        <v>362</v>
      </c>
      <c r="AP351" t="s">
        <v>363</v>
      </c>
      <c r="AQ351" t="s">
        <v>18</v>
      </c>
      <c r="AR351" t="s">
        <v>23</v>
      </c>
      <c r="AS351" t="s">
        <v>37</v>
      </c>
      <c r="AT351">
        <v>0.25</v>
      </c>
      <c r="AU351" t="s">
        <v>129</v>
      </c>
      <c r="AV351" t="s">
        <v>130</v>
      </c>
    </row>
    <row r="352" spans="1:48" x14ac:dyDescent="0.3">
      <c r="A352" t="s">
        <v>1521</v>
      </c>
      <c r="B352" s="12">
        <v>45298</v>
      </c>
      <c r="C352" s="12">
        <v>45305</v>
      </c>
      <c r="D352" t="s">
        <v>1522</v>
      </c>
      <c r="E352" t="s">
        <v>243</v>
      </c>
      <c r="F352" t="s">
        <v>44</v>
      </c>
      <c r="G352" t="s">
        <v>8</v>
      </c>
      <c r="H352" t="s">
        <v>362</v>
      </c>
      <c r="I352" t="s">
        <v>363</v>
      </c>
      <c r="J352" t="s">
        <v>18</v>
      </c>
      <c r="K352" t="s">
        <v>23</v>
      </c>
      <c r="M352" t="s">
        <v>37</v>
      </c>
      <c r="N352">
        <v>4</v>
      </c>
      <c r="O352">
        <v>3309.54</v>
      </c>
      <c r="P352">
        <v>0.1</v>
      </c>
      <c r="Q352">
        <v>0.1</v>
      </c>
      <c r="R352">
        <v>11914.34</v>
      </c>
      <c r="S352">
        <v>9771.24</v>
      </c>
      <c r="T352">
        <v>11914.343999999999</v>
      </c>
      <c r="U352">
        <v>2143.1039999999998</v>
      </c>
      <c r="V352">
        <v>0.179875954563676</v>
      </c>
      <c r="W352">
        <v>7</v>
      </c>
      <c r="X352" t="s">
        <v>244</v>
      </c>
      <c r="Y352">
        <v>2024</v>
      </c>
      <c r="Z352" t="s">
        <v>203</v>
      </c>
      <c r="AA352" t="s">
        <v>204</v>
      </c>
      <c r="AB352" t="s">
        <v>131</v>
      </c>
      <c r="AC352" t="s">
        <v>131</v>
      </c>
      <c r="AD352" t="s">
        <v>131</v>
      </c>
      <c r="AE352" t="s">
        <v>131</v>
      </c>
      <c r="AF352" t="s">
        <v>131</v>
      </c>
      <c r="AG352" t="s">
        <v>131</v>
      </c>
      <c r="AH352" t="s">
        <v>131</v>
      </c>
      <c r="AI352" t="s">
        <v>133</v>
      </c>
      <c r="AJ352" t="s">
        <v>1523</v>
      </c>
      <c r="AK352" t="s">
        <v>1524</v>
      </c>
      <c r="AL352" t="s">
        <v>243</v>
      </c>
      <c r="AM352" t="s">
        <v>44</v>
      </c>
      <c r="AN352" t="s">
        <v>8</v>
      </c>
      <c r="AO352" t="s">
        <v>362</v>
      </c>
      <c r="AP352" t="s">
        <v>363</v>
      </c>
      <c r="AQ352" t="s">
        <v>18</v>
      </c>
      <c r="AR352" t="s">
        <v>23</v>
      </c>
      <c r="AS352" t="s">
        <v>37</v>
      </c>
      <c r="AT352">
        <v>0.1</v>
      </c>
      <c r="AU352" t="s">
        <v>203</v>
      </c>
      <c r="AV352" t="s">
        <v>204</v>
      </c>
    </row>
    <row r="353" spans="1:48" x14ac:dyDescent="0.3">
      <c r="A353" t="s">
        <v>1525</v>
      </c>
      <c r="B353" s="12">
        <v>45800</v>
      </c>
      <c r="C353" s="12">
        <v>45804</v>
      </c>
      <c r="D353" t="s">
        <v>1526</v>
      </c>
      <c r="E353" t="s">
        <v>170</v>
      </c>
      <c r="F353" t="s">
        <v>44</v>
      </c>
      <c r="G353" t="s">
        <v>6</v>
      </c>
      <c r="H353" t="s">
        <v>155</v>
      </c>
      <c r="I353" t="s">
        <v>156</v>
      </c>
      <c r="J353" t="s">
        <v>20</v>
      </c>
      <c r="K353" t="s">
        <v>21</v>
      </c>
      <c r="M353" t="s">
        <v>36</v>
      </c>
      <c r="N353">
        <v>6</v>
      </c>
      <c r="O353">
        <v>719.44</v>
      </c>
      <c r="P353">
        <v>0.25</v>
      </c>
      <c r="Q353">
        <v>0.25</v>
      </c>
      <c r="R353">
        <v>3237.48</v>
      </c>
      <c r="S353">
        <v>2118.34</v>
      </c>
      <c r="T353">
        <v>3237.48</v>
      </c>
      <c r="U353">
        <v>1119.1400000000001</v>
      </c>
      <c r="V353">
        <v>0.34568244437031298</v>
      </c>
      <c r="W353">
        <v>4</v>
      </c>
      <c r="X353" t="s">
        <v>173</v>
      </c>
      <c r="Y353">
        <v>2025</v>
      </c>
      <c r="Z353" t="s">
        <v>215</v>
      </c>
      <c r="AA353" t="s">
        <v>165</v>
      </c>
      <c r="AB353" t="s">
        <v>131</v>
      </c>
      <c r="AC353" t="s">
        <v>131</v>
      </c>
      <c r="AD353" t="s">
        <v>131</v>
      </c>
      <c r="AE353" t="s">
        <v>131</v>
      </c>
      <c r="AF353" t="s">
        <v>131</v>
      </c>
      <c r="AG353" t="s">
        <v>131</v>
      </c>
      <c r="AH353" t="s">
        <v>131</v>
      </c>
      <c r="AI353" t="s">
        <v>133</v>
      </c>
      <c r="AJ353" t="s">
        <v>1527</v>
      </c>
      <c r="AK353" t="s">
        <v>1461</v>
      </c>
      <c r="AL353" t="s">
        <v>170</v>
      </c>
      <c r="AM353" t="s">
        <v>44</v>
      </c>
      <c r="AN353" t="s">
        <v>6</v>
      </c>
      <c r="AO353" t="s">
        <v>155</v>
      </c>
      <c r="AP353" t="s">
        <v>156</v>
      </c>
      <c r="AQ353" t="s">
        <v>20</v>
      </c>
      <c r="AR353" t="s">
        <v>21</v>
      </c>
      <c r="AS353" t="s">
        <v>36</v>
      </c>
      <c r="AT353">
        <v>0.25</v>
      </c>
      <c r="AU353" t="s">
        <v>215</v>
      </c>
      <c r="AV353" t="s">
        <v>165</v>
      </c>
    </row>
    <row r="354" spans="1:48" x14ac:dyDescent="0.3">
      <c r="A354" t="s">
        <v>1528</v>
      </c>
      <c r="B354" s="12">
        <v>45884</v>
      </c>
      <c r="C354" s="12">
        <v>45886</v>
      </c>
      <c r="D354" t="s">
        <v>1529</v>
      </c>
      <c r="E354" t="s">
        <v>277</v>
      </c>
      <c r="F354" t="s">
        <v>44</v>
      </c>
      <c r="G354" t="s">
        <v>8</v>
      </c>
      <c r="H354" t="s">
        <v>283</v>
      </c>
      <c r="I354" t="s">
        <v>284</v>
      </c>
      <c r="J354" t="s">
        <v>15</v>
      </c>
      <c r="K354" t="s">
        <v>16</v>
      </c>
      <c r="M354" t="s">
        <v>36</v>
      </c>
      <c r="N354">
        <v>5</v>
      </c>
      <c r="O354">
        <v>2862.6</v>
      </c>
      <c r="P354">
        <v>0.25</v>
      </c>
      <c r="Q354">
        <v>0.25</v>
      </c>
      <c r="R354">
        <v>10734.75</v>
      </c>
      <c r="S354">
        <v>6475.73</v>
      </c>
      <c r="T354">
        <v>10734.75</v>
      </c>
      <c r="U354">
        <v>4259.0200000000004</v>
      </c>
      <c r="V354">
        <v>0.396750739421039</v>
      </c>
      <c r="W354">
        <v>2</v>
      </c>
      <c r="X354" t="s">
        <v>142</v>
      </c>
      <c r="Y354">
        <v>2025</v>
      </c>
      <c r="Z354" t="s">
        <v>129</v>
      </c>
      <c r="AA354" t="s">
        <v>130</v>
      </c>
      <c r="AB354" t="s">
        <v>131</v>
      </c>
      <c r="AC354" t="s">
        <v>131</v>
      </c>
      <c r="AD354" t="s">
        <v>131</v>
      </c>
      <c r="AE354" t="s">
        <v>131</v>
      </c>
      <c r="AF354" t="s">
        <v>131</v>
      </c>
      <c r="AG354" t="s">
        <v>131</v>
      </c>
      <c r="AH354" t="s">
        <v>132</v>
      </c>
      <c r="AI354" t="s">
        <v>133</v>
      </c>
      <c r="AJ354" t="s">
        <v>1530</v>
      </c>
      <c r="AK354" t="s">
        <v>1234</v>
      </c>
      <c r="AL354" t="s">
        <v>277</v>
      </c>
      <c r="AM354" t="s">
        <v>44</v>
      </c>
      <c r="AN354" t="s">
        <v>8</v>
      </c>
      <c r="AO354" t="s">
        <v>283</v>
      </c>
      <c r="AP354" t="s">
        <v>284</v>
      </c>
      <c r="AQ354" t="s">
        <v>15</v>
      </c>
      <c r="AR354" t="s">
        <v>16</v>
      </c>
      <c r="AS354" t="s">
        <v>36</v>
      </c>
      <c r="AT354">
        <v>0.25</v>
      </c>
      <c r="AU354" t="s">
        <v>129</v>
      </c>
      <c r="AV354" t="s">
        <v>130</v>
      </c>
    </row>
    <row r="355" spans="1:48" x14ac:dyDescent="0.3">
      <c r="A355" t="s">
        <v>1531</v>
      </c>
      <c r="B355" s="12">
        <v>45709</v>
      </c>
      <c r="C355" s="12">
        <v>45715</v>
      </c>
      <c r="D355" t="s">
        <v>1532</v>
      </c>
      <c r="E355" t="s">
        <v>162</v>
      </c>
      <c r="F355" t="s">
        <v>42</v>
      </c>
      <c r="G355" t="s">
        <v>9</v>
      </c>
      <c r="H355" t="s">
        <v>126</v>
      </c>
      <c r="I355" t="s">
        <v>127</v>
      </c>
      <c r="J355" t="s">
        <v>20</v>
      </c>
      <c r="K355" t="s">
        <v>29</v>
      </c>
      <c r="M355" t="s">
        <v>38</v>
      </c>
      <c r="N355">
        <v>9</v>
      </c>
      <c r="O355">
        <v>1431.67</v>
      </c>
      <c r="P355">
        <v>0.2</v>
      </c>
      <c r="Q355">
        <v>0.2</v>
      </c>
      <c r="R355">
        <v>10308.02</v>
      </c>
      <c r="S355">
        <v>5822.31</v>
      </c>
      <c r="T355">
        <v>10308.023999999999</v>
      </c>
      <c r="U355">
        <v>4485.7139999999999</v>
      </c>
      <c r="V355">
        <v>0.43516720566424799</v>
      </c>
      <c r="W355">
        <v>6</v>
      </c>
      <c r="X355" t="s">
        <v>186</v>
      </c>
      <c r="Y355">
        <v>2025</v>
      </c>
      <c r="Z355" t="s">
        <v>129</v>
      </c>
      <c r="AA355" t="s">
        <v>130</v>
      </c>
      <c r="AB355" t="s">
        <v>131</v>
      </c>
      <c r="AC355" t="s">
        <v>131</v>
      </c>
      <c r="AD355" t="s">
        <v>131</v>
      </c>
      <c r="AE355" t="s">
        <v>131</v>
      </c>
      <c r="AF355" t="s">
        <v>131</v>
      </c>
      <c r="AG355" t="s">
        <v>131</v>
      </c>
      <c r="AH355" t="s">
        <v>132</v>
      </c>
      <c r="AI355" t="s">
        <v>133</v>
      </c>
      <c r="AJ355" t="s">
        <v>1533</v>
      </c>
      <c r="AK355" t="s">
        <v>1053</v>
      </c>
      <c r="AL355" t="s">
        <v>162</v>
      </c>
      <c r="AM355" t="s">
        <v>42</v>
      </c>
      <c r="AN355" t="s">
        <v>9</v>
      </c>
      <c r="AO355" t="s">
        <v>126</v>
      </c>
      <c r="AP355" t="s">
        <v>127</v>
      </c>
      <c r="AQ355" t="s">
        <v>20</v>
      </c>
      <c r="AR355" t="s">
        <v>29</v>
      </c>
      <c r="AS355" t="s">
        <v>38</v>
      </c>
      <c r="AT355">
        <v>0.2</v>
      </c>
      <c r="AU355" t="s">
        <v>129</v>
      </c>
      <c r="AV355" t="s">
        <v>130</v>
      </c>
    </row>
    <row r="356" spans="1:48" x14ac:dyDescent="0.3">
      <c r="A356" t="s">
        <v>1534</v>
      </c>
      <c r="B356" s="12">
        <v>45653</v>
      </c>
      <c r="C356" s="12">
        <v>45657</v>
      </c>
      <c r="D356" t="s">
        <v>1535</v>
      </c>
      <c r="E356" t="s">
        <v>409</v>
      </c>
      <c r="F356" t="s">
        <v>43</v>
      </c>
      <c r="G356" t="s">
        <v>9</v>
      </c>
      <c r="H356" t="s">
        <v>232</v>
      </c>
      <c r="I356" t="s">
        <v>233</v>
      </c>
      <c r="J356" t="s">
        <v>18</v>
      </c>
      <c r="K356" t="s">
        <v>23</v>
      </c>
      <c r="M356" t="s">
        <v>35</v>
      </c>
      <c r="N356">
        <v>6</v>
      </c>
      <c r="O356">
        <v>3346.78</v>
      </c>
      <c r="P356">
        <v>-0.06</v>
      </c>
      <c r="Q356">
        <v>0</v>
      </c>
      <c r="R356">
        <v>20080.68</v>
      </c>
      <c r="S356">
        <v>12908.84</v>
      </c>
      <c r="T356">
        <v>20080.68</v>
      </c>
      <c r="U356">
        <v>7171.84</v>
      </c>
      <c r="V356">
        <v>0.35715125185003699</v>
      </c>
      <c r="W356">
        <v>4</v>
      </c>
      <c r="X356" t="s">
        <v>214</v>
      </c>
      <c r="Y356">
        <v>2024</v>
      </c>
      <c r="Z356" t="s">
        <v>215</v>
      </c>
      <c r="AA356" t="s">
        <v>165</v>
      </c>
      <c r="AB356" t="s">
        <v>131</v>
      </c>
      <c r="AC356" t="s">
        <v>131</v>
      </c>
      <c r="AD356" t="s">
        <v>131</v>
      </c>
      <c r="AE356" t="s">
        <v>131</v>
      </c>
      <c r="AF356" t="s">
        <v>132</v>
      </c>
      <c r="AG356" t="s">
        <v>131</v>
      </c>
      <c r="AH356" t="s">
        <v>131</v>
      </c>
      <c r="AI356" t="s">
        <v>149</v>
      </c>
      <c r="AJ356" t="s">
        <v>228</v>
      </c>
      <c r="AK356" t="s">
        <v>1536</v>
      </c>
      <c r="AL356" t="s">
        <v>409</v>
      </c>
      <c r="AM356" t="s">
        <v>1537</v>
      </c>
      <c r="AN356" t="s">
        <v>9</v>
      </c>
      <c r="AO356" t="s">
        <v>232</v>
      </c>
      <c r="AP356" t="s">
        <v>233</v>
      </c>
      <c r="AQ356" t="s">
        <v>18</v>
      </c>
      <c r="AR356" t="s">
        <v>23</v>
      </c>
      <c r="AS356" t="s">
        <v>35</v>
      </c>
      <c r="AT356">
        <v>-0.06</v>
      </c>
      <c r="AU356" t="s">
        <v>215</v>
      </c>
      <c r="AV356" t="s">
        <v>165</v>
      </c>
    </row>
    <row r="357" spans="1:48" x14ac:dyDescent="0.3">
      <c r="A357" t="s">
        <v>1538</v>
      </c>
      <c r="B357" s="12">
        <v>45424</v>
      </c>
      <c r="C357" s="12">
        <v>45421</v>
      </c>
      <c r="D357" t="s">
        <v>1539</v>
      </c>
      <c r="E357" t="s">
        <v>221</v>
      </c>
      <c r="F357" t="s">
        <v>43</v>
      </c>
      <c r="G357" t="s">
        <v>7</v>
      </c>
      <c r="H357" t="s">
        <v>126</v>
      </c>
      <c r="I357" t="s">
        <v>213</v>
      </c>
      <c r="J357" t="s">
        <v>18</v>
      </c>
      <c r="K357" t="s">
        <v>27</v>
      </c>
      <c r="M357" t="s">
        <v>35</v>
      </c>
      <c r="N357">
        <v>5</v>
      </c>
      <c r="O357">
        <v>3203.48</v>
      </c>
      <c r="P357">
        <v>0</v>
      </c>
      <c r="Q357">
        <v>0</v>
      </c>
      <c r="R357">
        <v>16017.4</v>
      </c>
      <c r="S357">
        <v>9557.7999999999993</v>
      </c>
      <c r="T357">
        <v>16017.4</v>
      </c>
      <c r="U357">
        <v>6459.6</v>
      </c>
      <c r="V357">
        <v>0.403286426011712</v>
      </c>
      <c r="W357">
        <v>-3</v>
      </c>
      <c r="X357" t="s">
        <v>173</v>
      </c>
      <c r="Y357">
        <v>2024</v>
      </c>
      <c r="Z357" t="s">
        <v>215</v>
      </c>
      <c r="AA357" t="s">
        <v>165</v>
      </c>
      <c r="AB357" t="s">
        <v>131</v>
      </c>
      <c r="AC357" t="s">
        <v>131</v>
      </c>
      <c r="AD357" t="s">
        <v>131</v>
      </c>
      <c r="AE357" t="s">
        <v>132</v>
      </c>
      <c r="AF357" t="s">
        <v>131</v>
      </c>
      <c r="AG357" t="s">
        <v>131</v>
      </c>
      <c r="AH357" t="s">
        <v>131</v>
      </c>
      <c r="AI357" t="s">
        <v>149</v>
      </c>
      <c r="AJ357" t="s">
        <v>1540</v>
      </c>
      <c r="AK357" t="s">
        <v>1541</v>
      </c>
      <c r="AL357" t="s">
        <v>221</v>
      </c>
      <c r="AM357" t="s">
        <v>43</v>
      </c>
      <c r="AN357" t="s">
        <v>7</v>
      </c>
      <c r="AO357" t="s">
        <v>126</v>
      </c>
      <c r="AP357" t="s">
        <v>213</v>
      </c>
      <c r="AQ357" t="s">
        <v>18</v>
      </c>
      <c r="AR357" t="s">
        <v>27</v>
      </c>
      <c r="AS357" t="s">
        <v>35</v>
      </c>
      <c r="AT357">
        <v>0</v>
      </c>
      <c r="AU357" t="s">
        <v>215</v>
      </c>
      <c r="AV357" t="s">
        <v>165</v>
      </c>
    </row>
    <row r="358" spans="1:48" x14ac:dyDescent="0.3">
      <c r="A358" t="s">
        <v>1542</v>
      </c>
      <c r="B358" s="12">
        <v>45835</v>
      </c>
      <c r="C358" s="12">
        <v>45837</v>
      </c>
      <c r="D358" t="s">
        <v>1543</v>
      </c>
      <c r="E358" t="s">
        <v>255</v>
      </c>
      <c r="F358" t="s">
        <v>41</v>
      </c>
      <c r="G358" t="s">
        <v>6</v>
      </c>
      <c r="H358" t="s">
        <v>155</v>
      </c>
      <c r="I358" t="s">
        <v>156</v>
      </c>
      <c r="J358" t="s">
        <v>18</v>
      </c>
      <c r="K358" t="s">
        <v>19</v>
      </c>
      <c r="M358" t="s">
        <v>36</v>
      </c>
      <c r="N358">
        <v>5</v>
      </c>
      <c r="O358">
        <v>621.70000000000005</v>
      </c>
      <c r="P358">
        <v>0.2</v>
      </c>
      <c r="Q358">
        <v>0.2</v>
      </c>
      <c r="R358">
        <v>2486.8000000000002</v>
      </c>
      <c r="S358">
        <v>2131.73</v>
      </c>
      <c r="T358">
        <v>2486.8000000000002</v>
      </c>
      <c r="U358">
        <v>355.07</v>
      </c>
      <c r="V358">
        <v>0.14278188837059699</v>
      </c>
      <c r="W358">
        <v>2</v>
      </c>
      <c r="X358" t="s">
        <v>148</v>
      </c>
      <c r="Y358">
        <v>2025</v>
      </c>
      <c r="Z358" t="s">
        <v>215</v>
      </c>
      <c r="AA358" t="s">
        <v>204</v>
      </c>
      <c r="AB358" t="s">
        <v>131</v>
      </c>
      <c r="AC358" t="s">
        <v>131</v>
      </c>
      <c r="AD358" t="s">
        <v>131</v>
      </c>
      <c r="AE358" t="s">
        <v>131</v>
      </c>
      <c r="AF358" t="s">
        <v>131</v>
      </c>
      <c r="AG358" t="s">
        <v>131</v>
      </c>
      <c r="AH358" t="s">
        <v>131</v>
      </c>
      <c r="AI358" t="s">
        <v>133</v>
      </c>
      <c r="AJ358" t="s">
        <v>1544</v>
      </c>
      <c r="AK358" t="s">
        <v>1545</v>
      </c>
      <c r="AL358" t="s">
        <v>255</v>
      </c>
      <c r="AM358" t="s">
        <v>41</v>
      </c>
      <c r="AN358" t="s">
        <v>6</v>
      </c>
      <c r="AO358" t="s">
        <v>155</v>
      </c>
      <c r="AP358" t="s">
        <v>156</v>
      </c>
      <c r="AQ358" t="s">
        <v>18</v>
      </c>
      <c r="AR358" t="s">
        <v>19</v>
      </c>
      <c r="AS358" t="s">
        <v>36</v>
      </c>
      <c r="AT358">
        <v>0.2</v>
      </c>
      <c r="AU358" t="s">
        <v>215</v>
      </c>
      <c r="AV358" t="s">
        <v>204</v>
      </c>
    </row>
    <row r="359" spans="1:48" x14ac:dyDescent="0.3">
      <c r="A359" t="s">
        <v>1546</v>
      </c>
      <c r="B359" s="12">
        <v>45678</v>
      </c>
      <c r="C359" s="12">
        <v>45686</v>
      </c>
      <c r="D359" t="s">
        <v>1547</v>
      </c>
      <c r="E359" t="s">
        <v>139</v>
      </c>
      <c r="F359" t="s">
        <v>41</v>
      </c>
      <c r="G359" t="s">
        <v>6</v>
      </c>
      <c r="H359" t="s">
        <v>184</v>
      </c>
      <c r="I359" t="s">
        <v>185</v>
      </c>
      <c r="J359" t="s">
        <v>15</v>
      </c>
      <c r="K359" t="s">
        <v>25</v>
      </c>
      <c r="M359" t="s">
        <v>37</v>
      </c>
      <c r="N359">
        <v>8</v>
      </c>
      <c r="O359">
        <v>546.13</v>
      </c>
      <c r="P359">
        <v>0</v>
      </c>
      <c r="Q359">
        <v>0</v>
      </c>
      <c r="R359">
        <v>4369.04</v>
      </c>
      <c r="S359">
        <v>3716.88</v>
      </c>
      <c r="T359">
        <v>4369.04</v>
      </c>
      <c r="U359">
        <v>652.16</v>
      </c>
      <c r="V359">
        <v>0.149268489187556</v>
      </c>
      <c r="W359">
        <v>8</v>
      </c>
      <c r="X359" t="s">
        <v>244</v>
      </c>
      <c r="Y359">
        <v>2025</v>
      </c>
      <c r="Z359" t="s">
        <v>129</v>
      </c>
      <c r="AA359" t="s">
        <v>165</v>
      </c>
      <c r="AB359" t="s">
        <v>131</v>
      </c>
      <c r="AC359" t="s">
        <v>131</v>
      </c>
      <c r="AD359" t="s">
        <v>131</v>
      </c>
      <c r="AE359" t="s">
        <v>131</v>
      </c>
      <c r="AF359" t="s">
        <v>131</v>
      </c>
      <c r="AG359" t="s">
        <v>131</v>
      </c>
      <c r="AH359" t="s">
        <v>131</v>
      </c>
      <c r="AI359" t="s">
        <v>133</v>
      </c>
      <c r="AJ359" t="s">
        <v>271</v>
      </c>
      <c r="AK359" t="s">
        <v>1548</v>
      </c>
      <c r="AL359" t="s">
        <v>139</v>
      </c>
      <c r="AM359" t="s">
        <v>41</v>
      </c>
      <c r="AN359" t="s">
        <v>6</v>
      </c>
      <c r="AO359" t="s">
        <v>184</v>
      </c>
      <c r="AP359" t="s">
        <v>185</v>
      </c>
      <c r="AQ359" t="s">
        <v>15</v>
      </c>
      <c r="AR359" t="s">
        <v>25</v>
      </c>
      <c r="AS359" t="s">
        <v>37</v>
      </c>
      <c r="AT359">
        <v>0</v>
      </c>
      <c r="AU359" t="s">
        <v>129</v>
      </c>
      <c r="AV359" t="s">
        <v>165</v>
      </c>
    </row>
    <row r="360" spans="1:48" x14ac:dyDescent="0.3">
      <c r="A360" t="s">
        <v>1549</v>
      </c>
      <c r="B360" s="12">
        <v>45878</v>
      </c>
      <c r="C360" s="12">
        <v>45876</v>
      </c>
      <c r="D360" t="s">
        <v>1550</v>
      </c>
      <c r="E360" t="s">
        <v>170</v>
      </c>
      <c r="F360" t="s">
        <v>41</v>
      </c>
      <c r="G360" t="s">
        <v>7</v>
      </c>
      <c r="H360" t="s">
        <v>300</v>
      </c>
      <c r="I360" t="s">
        <v>301</v>
      </c>
      <c r="J360" t="s">
        <v>18</v>
      </c>
      <c r="K360" t="s">
        <v>26</v>
      </c>
      <c r="M360" t="s">
        <v>37</v>
      </c>
      <c r="N360">
        <v>5</v>
      </c>
      <c r="O360">
        <v>1253.92</v>
      </c>
      <c r="P360">
        <v>0.05</v>
      </c>
      <c r="Q360">
        <v>0.05</v>
      </c>
      <c r="R360">
        <v>5956.12</v>
      </c>
      <c r="S360">
        <v>4379.18</v>
      </c>
      <c r="T360">
        <v>5956.12</v>
      </c>
      <c r="U360">
        <v>1576.94</v>
      </c>
      <c r="V360">
        <v>0.26475960860425901</v>
      </c>
      <c r="W360">
        <v>-2</v>
      </c>
      <c r="X360" t="s">
        <v>142</v>
      </c>
      <c r="Y360">
        <v>2025</v>
      </c>
      <c r="Z360" t="s">
        <v>215</v>
      </c>
      <c r="AA360" t="s">
        <v>204</v>
      </c>
      <c r="AB360" t="s">
        <v>131</v>
      </c>
      <c r="AC360" t="s">
        <v>131</v>
      </c>
      <c r="AD360" t="s">
        <v>131</v>
      </c>
      <c r="AE360" t="s">
        <v>132</v>
      </c>
      <c r="AF360" t="s">
        <v>131</v>
      </c>
      <c r="AG360" t="s">
        <v>131</v>
      </c>
      <c r="AH360" t="s">
        <v>131</v>
      </c>
      <c r="AI360" t="s">
        <v>149</v>
      </c>
      <c r="AJ360" t="s">
        <v>1551</v>
      </c>
      <c r="AK360" t="s">
        <v>1552</v>
      </c>
      <c r="AL360" t="s">
        <v>170</v>
      </c>
      <c r="AM360" t="s">
        <v>41</v>
      </c>
      <c r="AN360" t="s">
        <v>7</v>
      </c>
      <c r="AO360" t="s">
        <v>300</v>
      </c>
      <c r="AP360" t="s">
        <v>301</v>
      </c>
      <c r="AQ360" t="s">
        <v>18</v>
      </c>
      <c r="AR360" t="s">
        <v>26</v>
      </c>
      <c r="AS360" t="s">
        <v>37</v>
      </c>
      <c r="AT360">
        <v>0.05</v>
      </c>
      <c r="AU360" t="s">
        <v>215</v>
      </c>
      <c r="AV360" t="s">
        <v>204</v>
      </c>
    </row>
    <row r="361" spans="1:48" x14ac:dyDescent="0.3">
      <c r="A361" t="s">
        <v>1553</v>
      </c>
      <c r="B361" s="12">
        <v>45525</v>
      </c>
      <c r="C361" s="12">
        <v>45526</v>
      </c>
      <c r="D361" t="s">
        <v>1554</v>
      </c>
      <c r="E361" t="s">
        <v>147</v>
      </c>
      <c r="F361" t="s">
        <v>42</v>
      </c>
      <c r="G361" t="s">
        <v>6</v>
      </c>
      <c r="H361" t="s">
        <v>385</v>
      </c>
      <c r="I361" t="s">
        <v>386</v>
      </c>
      <c r="J361" t="s">
        <v>15</v>
      </c>
      <c r="K361" t="s">
        <v>17</v>
      </c>
      <c r="M361" t="s">
        <v>38</v>
      </c>
      <c r="N361">
        <v>9</v>
      </c>
      <c r="O361">
        <v>616.96</v>
      </c>
      <c r="P361">
        <v>0.1</v>
      </c>
      <c r="Q361">
        <v>0.1</v>
      </c>
      <c r="R361">
        <v>4997.38</v>
      </c>
      <c r="S361">
        <v>2971.39</v>
      </c>
      <c r="T361">
        <v>4997.3760000000002</v>
      </c>
      <c r="U361">
        <v>2025.9860000000001</v>
      </c>
      <c r="V361">
        <v>0.40540995914655997</v>
      </c>
      <c r="W361">
        <v>1</v>
      </c>
      <c r="X361" t="s">
        <v>142</v>
      </c>
      <c r="Y361">
        <v>2024</v>
      </c>
      <c r="Z361" t="s">
        <v>129</v>
      </c>
      <c r="AA361" t="s">
        <v>130</v>
      </c>
      <c r="AB361" t="s">
        <v>131</v>
      </c>
      <c r="AC361" t="s">
        <v>131</v>
      </c>
      <c r="AD361" t="s">
        <v>131</v>
      </c>
      <c r="AE361" t="s">
        <v>131</v>
      </c>
      <c r="AF361" t="s">
        <v>131</v>
      </c>
      <c r="AG361" t="s">
        <v>131</v>
      </c>
      <c r="AH361" t="s">
        <v>132</v>
      </c>
      <c r="AI361" t="s">
        <v>133</v>
      </c>
      <c r="AJ361" t="s">
        <v>1417</v>
      </c>
      <c r="AK361" t="s">
        <v>1555</v>
      </c>
      <c r="AL361" t="s">
        <v>147</v>
      </c>
      <c r="AM361" t="s">
        <v>42</v>
      </c>
      <c r="AN361" t="s">
        <v>6</v>
      </c>
      <c r="AO361" t="s">
        <v>385</v>
      </c>
      <c r="AP361" t="s">
        <v>386</v>
      </c>
      <c r="AQ361" t="s">
        <v>15</v>
      </c>
      <c r="AR361" t="s">
        <v>17</v>
      </c>
      <c r="AS361" t="s">
        <v>38</v>
      </c>
      <c r="AT361">
        <v>0.1</v>
      </c>
      <c r="AU361" t="s">
        <v>129</v>
      </c>
      <c r="AV361" t="s">
        <v>130</v>
      </c>
    </row>
    <row r="362" spans="1:48" x14ac:dyDescent="0.3">
      <c r="A362" t="s">
        <v>1556</v>
      </c>
      <c r="B362" s="12">
        <v>45460</v>
      </c>
      <c r="C362" s="12">
        <v>45463</v>
      </c>
      <c r="D362" t="s">
        <v>1557</v>
      </c>
      <c r="E362" t="s">
        <v>243</v>
      </c>
      <c r="F362" t="s">
        <v>44</v>
      </c>
      <c r="G362" t="s">
        <v>7</v>
      </c>
      <c r="H362" t="s">
        <v>300</v>
      </c>
      <c r="I362" t="s">
        <v>301</v>
      </c>
      <c r="J362" t="s">
        <v>18</v>
      </c>
      <c r="K362" t="s">
        <v>23</v>
      </c>
      <c r="M362" t="s">
        <v>35</v>
      </c>
      <c r="N362">
        <v>7</v>
      </c>
      <c r="O362">
        <v>3155.25</v>
      </c>
      <c r="P362">
        <v>0.2</v>
      </c>
      <c r="Q362">
        <v>0.2</v>
      </c>
      <c r="R362">
        <v>17669.400000000001</v>
      </c>
      <c r="S362">
        <v>13718.77</v>
      </c>
      <c r="T362">
        <v>17669.400000000001</v>
      </c>
      <c r="U362">
        <v>3950.63</v>
      </c>
      <c r="V362">
        <v>0.22358597349089401</v>
      </c>
      <c r="W362">
        <v>3</v>
      </c>
      <c r="X362" t="s">
        <v>148</v>
      </c>
      <c r="Y362">
        <v>2024</v>
      </c>
      <c r="Z362" t="s">
        <v>203</v>
      </c>
      <c r="AA362" t="s">
        <v>165</v>
      </c>
      <c r="AB362" t="s">
        <v>131</v>
      </c>
      <c r="AC362" t="s">
        <v>131</v>
      </c>
      <c r="AD362" t="s">
        <v>131</v>
      </c>
      <c r="AE362" t="s">
        <v>131</v>
      </c>
      <c r="AF362" t="s">
        <v>131</v>
      </c>
      <c r="AG362" t="s">
        <v>131</v>
      </c>
      <c r="AH362" t="s">
        <v>131</v>
      </c>
      <c r="AI362" t="s">
        <v>133</v>
      </c>
      <c r="AJ362" t="s">
        <v>1558</v>
      </c>
      <c r="AK362" t="s">
        <v>1559</v>
      </c>
      <c r="AL362" t="s">
        <v>243</v>
      </c>
      <c r="AM362" t="s">
        <v>44</v>
      </c>
      <c r="AN362" t="s">
        <v>7</v>
      </c>
      <c r="AO362" t="s">
        <v>300</v>
      </c>
      <c r="AP362" t="s">
        <v>301</v>
      </c>
      <c r="AQ362" t="s">
        <v>18</v>
      </c>
      <c r="AR362" t="s">
        <v>23</v>
      </c>
      <c r="AS362" t="s">
        <v>35</v>
      </c>
      <c r="AT362">
        <v>0.2</v>
      </c>
      <c r="AU362" t="s">
        <v>203</v>
      </c>
      <c r="AV362" t="s">
        <v>165</v>
      </c>
    </row>
    <row r="363" spans="1:48" x14ac:dyDescent="0.3">
      <c r="A363" t="s">
        <v>1560</v>
      </c>
      <c r="B363" s="12">
        <v>45748</v>
      </c>
      <c r="C363" s="12">
        <v>45749</v>
      </c>
      <c r="D363" t="s">
        <v>1561</v>
      </c>
      <c r="E363" t="s">
        <v>255</v>
      </c>
      <c r="F363" t="s">
        <v>43</v>
      </c>
      <c r="G363" t="s">
        <v>8</v>
      </c>
      <c r="H363" t="s">
        <v>140</v>
      </c>
      <c r="I363" t="s">
        <v>141</v>
      </c>
      <c r="J363" t="s">
        <v>18</v>
      </c>
      <c r="K363" t="s">
        <v>19</v>
      </c>
      <c r="M363" t="s">
        <v>37</v>
      </c>
      <c r="N363">
        <v>9</v>
      </c>
      <c r="O363">
        <v>4165.58</v>
      </c>
      <c r="P363">
        <v>0.05</v>
      </c>
      <c r="Q363">
        <v>0.05</v>
      </c>
      <c r="R363">
        <v>35615.71</v>
      </c>
      <c r="S363">
        <v>20389.71</v>
      </c>
      <c r="T363">
        <v>35615.709000000003</v>
      </c>
      <c r="U363">
        <v>15225.999</v>
      </c>
      <c r="V363">
        <v>0.427507957233141</v>
      </c>
      <c r="W363">
        <v>1</v>
      </c>
      <c r="X363" t="s">
        <v>179</v>
      </c>
      <c r="Y363">
        <v>2025</v>
      </c>
      <c r="Z363" t="s">
        <v>215</v>
      </c>
      <c r="AA363" t="s">
        <v>204</v>
      </c>
      <c r="AB363" t="s">
        <v>131</v>
      </c>
      <c r="AC363" t="s">
        <v>131</v>
      </c>
      <c r="AD363" t="s">
        <v>131</v>
      </c>
      <c r="AE363" t="s">
        <v>131</v>
      </c>
      <c r="AF363" t="s">
        <v>131</v>
      </c>
      <c r="AG363" t="s">
        <v>131</v>
      </c>
      <c r="AH363" t="s">
        <v>131</v>
      </c>
      <c r="AI363" t="s">
        <v>133</v>
      </c>
      <c r="AJ363" t="s">
        <v>1048</v>
      </c>
      <c r="AK363" t="s">
        <v>1562</v>
      </c>
      <c r="AL363" t="s">
        <v>255</v>
      </c>
      <c r="AM363" t="s">
        <v>43</v>
      </c>
      <c r="AN363" t="s">
        <v>8</v>
      </c>
      <c r="AO363" t="s">
        <v>140</v>
      </c>
      <c r="AP363" t="s">
        <v>141</v>
      </c>
      <c r="AQ363" t="s">
        <v>18</v>
      </c>
      <c r="AR363" t="s">
        <v>19</v>
      </c>
      <c r="AS363" t="s">
        <v>37</v>
      </c>
      <c r="AT363">
        <v>0.05</v>
      </c>
      <c r="AU363" t="s">
        <v>215</v>
      </c>
      <c r="AV363" t="s">
        <v>204</v>
      </c>
    </row>
    <row r="364" spans="1:48" x14ac:dyDescent="0.3">
      <c r="A364" t="s">
        <v>1563</v>
      </c>
      <c r="B364" s="12">
        <v>45527</v>
      </c>
      <c r="C364" s="12">
        <v>45529</v>
      </c>
      <c r="D364" t="s">
        <v>1564</v>
      </c>
      <c r="E364" t="s">
        <v>170</v>
      </c>
      <c r="F364" t="s">
        <v>42</v>
      </c>
      <c r="G364" t="s">
        <v>7</v>
      </c>
      <c r="H364" t="s">
        <v>311</v>
      </c>
      <c r="I364" t="s">
        <v>312</v>
      </c>
      <c r="J364" t="s">
        <v>15</v>
      </c>
      <c r="K364" t="s">
        <v>25</v>
      </c>
      <c r="M364" t="s">
        <v>38</v>
      </c>
      <c r="N364">
        <v>4</v>
      </c>
      <c r="O364">
        <v>491.16</v>
      </c>
      <c r="P364">
        <v>0.05</v>
      </c>
      <c r="Q364">
        <v>0.05</v>
      </c>
      <c r="R364">
        <v>1866.41</v>
      </c>
      <c r="S364">
        <v>1576.49</v>
      </c>
      <c r="T364">
        <v>1866.4079999999999</v>
      </c>
      <c r="U364">
        <v>289.91800000000001</v>
      </c>
      <c r="V364">
        <v>0.15533473924243801</v>
      </c>
      <c r="W364">
        <v>2</v>
      </c>
      <c r="X364" t="s">
        <v>142</v>
      </c>
      <c r="Y364">
        <v>2024</v>
      </c>
      <c r="Z364" t="s">
        <v>129</v>
      </c>
      <c r="AA364" t="s">
        <v>130</v>
      </c>
      <c r="AB364" t="s">
        <v>131</v>
      </c>
      <c r="AC364" t="s">
        <v>131</v>
      </c>
      <c r="AD364" t="s">
        <v>131</v>
      </c>
      <c r="AE364" t="s">
        <v>131</v>
      </c>
      <c r="AF364" t="s">
        <v>131</v>
      </c>
      <c r="AG364" t="s">
        <v>131</v>
      </c>
      <c r="AH364" t="s">
        <v>132</v>
      </c>
      <c r="AI364" t="s">
        <v>133</v>
      </c>
      <c r="AJ364" t="s">
        <v>1565</v>
      </c>
      <c r="AK364" t="s">
        <v>1566</v>
      </c>
      <c r="AL364" t="s">
        <v>170</v>
      </c>
      <c r="AM364" t="s">
        <v>42</v>
      </c>
      <c r="AN364" t="s">
        <v>7</v>
      </c>
      <c r="AO364" t="s">
        <v>311</v>
      </c>
      <c r="AP364" t="s">
        <v>312</v>
      </c>
      <c r="AQ364" t="s">
        <v>15</v>
      </c>
      <c r="AR364" t="s">
        <v>25</v>
      </c>
      <c r="AS364" t="s">
        <v>38</v>
      </c>
      <c r="AT364">
        <v>0.05</v>
      </c>
      <c r="AU364" t="s">
        <v>129</v>
      </c>
      <c r="AV364" t="s">
        <v>130</v>
      </c>
    </row>
    <row r="365" spans="1:48" x14ac:dyDescent="0.3">
      <c r="A365" t="s">
        <v>1567</v>
      </c>
      <c r="B365" s="12">
        <v>45845</v>
      </c>
      <c r="C365" s="12">
        <v>45850</v>
      </c>
      <c r="D365" t="s">
        <v>1568</v>
      </c>
      <c r="E365" t="s">
        <v>277</v>
      </c>
      <c r="F365" t="s">
        <v>43</v>
      </c>
      <c r="G365" t="s">
        <v>8</v>
      </c>
      <c r="H365" t="s">
        <v>201</v>
      </c>
      <c r="I365" t="s">
        <v>202</v>
      </c>
      <c r="J365" t="s">
        <v>18</v>
      </c>
      <c r="K365" t="s">
        <v>27</v>
      </c>
      <c r="M365" t="s">
        <v>37</v>
      </c>
      <c r="N365">
        <v>5</v>
      </c>
      <c r="O365">
        <v>1831.37</v>
      </c>
      <c r="P365">
        <v>0.25</v>
      </c>
      <c r="Q365">
        <v>0.25</v>
      </c>
      <c r="R365">
        <v>6867.64</v>
      </c>
      <c r="S365">
        <v>5205.3599999999997</v>
      </c>
      <c r="T365">
        <v>6867.6374999999998</v>
      </c>
      <c r="U365">
        <v>1662.2774999999999</v>
      </c>
      <c r="V365">
        <v>0.24204502640100001</v>
      </c>
      <c r="W365">
        <v>5</v>
      </c>
      <c r="X365" t="s">
        <v>128</v>
      </c>
      <c r="Y365">
        <v>2025</v>
      </c>
      <c r="Z365" t="s">
        <v>129</v>
      </c>
      <c r="AA365" t="s">
        <v>130</v>
      </c>
      <c r="AB365" t="s">
        <v>131</v>
      </c>
      <c r="AC365" t="s">
        <v>131</v>
      </c>
      <c r="AD365" t="s">
        <v>131</v>
      </c>
      <c r="AE365" t="s">
        <v>131</v>
      </c>
      <c r="AF365" t="s">
        <v>131</v>
      </c>
      <c r="AG365" t="s">
        <v>131</v>
      </c>
      <c r="AH365" t="s">
        <v>132</v>
      </c>
      <c r="AI365" t="s">
        <v>133</v>
      </c>
      <c r="AJ365" t="s">
        <v>1569</v>
      </c>
      <c r="AK365" t="s">
        <v>1570</v>
      </c>
      <c r="AL365" t="s">
        <v>277</v>
      </c>
      <c r="AM365" t="s">
        <v>43</v>
      </c>
      <c r="AN365" t="s">
        <v>8</v>
      </c>
      <c r="AO365" t="s">
        <v>201</v>
      </c>
      <c r="AP365" t="s">
        <v>202</v>
      </c>
      <c r="AQ365" t="s">
        <v>18</v>
      </c>
      <c r="AR365" t="s">
        <v>27</v>
      </c>
      <c r="AS365" t="s">
        <v>37</v>
      </c>
      <c r="AT365">
        <v>0.25</v>
      </c>
      <c r="AU365" t="s">
        <v>129</v>
      </c>
      <c r="AV365" t="s">
        <v>130</v>
      </c>
    </row>
    <row r="366" spans="1:48" x14ac:dyDescent="0.3">
      <c r="A366" t="s">
        <v>1571</v>
      </c>
      <c r="B366" s="12">
        <v>45737</v>
      </c>
      <c r="C366" s="12">
        <v>45740</v>
      </c>
      <c r="D366" t="s">
        <v>1572</v>
      </c>
      <c r="E366" t="s">
        <v>238</v>
      </c>
      <c r="F366" t="s">
        <v>44</v>
      </c>
      <c r="G366" t="s">
        <v>6</v>
      </c>
      <c r="H366" t="s">
        <v>184</v>
      </c>
      <c r="I366" t="s">
        <v>185</v>
      </c>
      <c r="J366" t="s">
        <v>18</v>
      </c>
      <c r="K366" t="s">
        <v>19</v>
      </c>
      <c r="M366" t="s">
        <v>37</v>
      </c>
      <c r="N366">
        <v>5</v>
      </c>
      <c r="O366">
        <v>1239.1500000000001</v>
      </c>
      <c r="P366">
        <v>0</v>
      </c>
      <c r="Q366">
        <v>0</v>
      </c>
      <c r="R366">
        <v>6195.75</v>
      </c>
      <c r="S366">
        <v>3967.02</v>
      </c>
      <c r="T366">
        <v>6195.75</v>
      </c>
      <c r="U366">
        <v>2228.73</v>
      </c>
      <c r="V366">
        <v>0.35971916232901602</v>
      </c>
      <c r="W366">
        <v>3</v>
      </c>
      <c r="X366" t="s">
        <v>278</v>
      </c>
      <c r="Y366">
        <v>2025</v>
      </c>
      <c r="Z366" t="s">
        <v>129</v>
      </c>
      <c r="AA366" t="s">
        <v>130</v>
      </c>
      <c r="AB366" t="s">
        <v>131</v>
      </c>
      <c r="AC366" t="s">
        <v>131</v>
      </c>
      <c r="AD366" t="s">
        <v>131</v>
      </c>
      <c r="AE366" t="s">
        <v>131</v>
      </c>
      <c r="AF366" t="s">
        <v>131</v>
      </c>
      <c r="AG366" t="s">
        <v>131</v>
      </c>
      <c r="AH366" t="s">
        <v>132</v>
      </c>
      <c r="AI366" t="s">
        <v>133</v>
      </c>
      <c r="AJ366" t="s">
        <v>1573</v>
      </c>
      <c r="AK366" t="s">
        <v>1574</v>
      </c>
      <c r="AL366" t="s">
        <v>238</v>
      </c>
      <c r="AM366" t="s">
        <v>44</v>
      </c>
      <c r="AN366" t="s">
        <v>6</v>
      </c>
      <c r="AO366" t="s">
        <v>184</v>
      </c>
      <c r="AP366" t="s">
        <v>185</v>
      </c>
      <c r="AQ366" t="s">
        <v>18</v>
      </c>
      <c r="AR366" t="s">
        <v>19</v>
      </c>
      <c r="AS366" t="s">
        <v>37</v>
      </c>
      <c r="AT366">
        <v>0</v>
      </c>
      <c r="AU366" t="s">
        <v>129</v>
      </c>
      <c r="AV366" t="s">
        <v>130</v>
      </c>
    </row>
    <row r="367" spans="1:48" x14ac:dyDescent="0.3">
      <c r="A367" t="s">
        <v>1575</v>
      </c>
      <c r="B367" s="12">
        <v>45458</v>
      </c>
      <c r="C367" s="12">
        <v>45464</v>
      </c>
      <c r="D367" t="s">
        <v>1576</v>
      </c>
      <c r="E367" t="s">
        <v>191</v>
      </c>
      <c r="F367" t="s">
        <v>43</v>
      </c>
      <c r="G367" t="s">
        <v>7</v>
      </c>
      <c r="H367" t="s">
        <v>311</v>
      </c>
      <c r="I367" t="s">
        <v>312</v>
      </c>
      <c r="J367" t="s">
        <v>15</v>
      </c>
      <c r="K367" t="s">
        <v>22</v>
      </c>
      <c r="M367" t="s">
        <v>36</v>
      </c>
      <c r="N367">
        <v>8</v>
      </c>
      <c r="O367">
        <v>1706.4</v>
      </c>
      <c r="Q367">
        <v>0</v>
      </c>
      <c r="R367">
        <v>12968.64</v>
      </c>
      <c r="S367">
        <v>10119.61</v>
      </c>
      <c r="T367">
        <v>13651.2</v>
      </c>
      <c r="U367">
        <v>3531.59</v>
      </c>
      <c r="V367">
        <v>0.25870179910923602</v>
      </c>
      <c r="W367">
        <v>6</v>
      </c>
      <c r="X367" t="s">
        <v>148</v>
      </c>
      <c r="Y367">
        <v>2024</v>
      </c>
      <c r="Z367" t="s">
        <v>129</v>
      </c>
      <c r="AA367" t="s">
        <v>130</v>
      </c>
      <c r="AB367" t="s">
        <v>131</v>
      </c>
      <c r="AC367" t="s">
        <v>131</v>
      </c>
      <c r="AD367" t="s">
        <v>132</v>
      </c>
      <c r="AE367" t="s">
        <v>131</v>
      </c>
      <c r="AF367" t="s">
        <v>131</v>
      </c>
      <c r="AG367" t="s">
        <v>131</v>
      </c>
      <c r="AH367" t="s">
        <v>132</v>
      </c>
      <c r="AI367" t="s">
        <v>321</v>
      </c>
      <c r="AJ367" t="s">
        <v>1577</v>
      </c>
      <c r="AK367" t="s">
        <v>1578</v>
      </c>
      <c r="AL367" t="s">
        <v>191</v>
      </c>
      <c r="AM367" t="s">
        <v>43</v>
      </c>
      <c r="AN367" t="s">
        <v>7</v>
      </c>
      <c r="AO367" t="s">
        <v>311</v>
      </c>
      <c r="AP367" t="s">
        <v>312</v>
      </c>
      <c r="AQ367" t="s">
        <v>15</v>
      </c>
      <c r="AR367" t="s">
        <v>22</v>
      </c>
      <c r="AS367" t="s">
        <v>36</v>
      </c>
      <c r="AU367" t="s">
        <v>129</v>
      </c>
      <c r="AV367" t="s">
        <v>130</v>
      </c>
    </row>
    <row r="368" spans="1:48" x14ac:dyDescent="0.3">
      <c r="A368" t="s">
        <v>1579</v>
      </c>
      <c r="B368" s="12">
        <v>45673</v>
      </c>
      <c r="C368" s="12">
        <v>45679</v>
      </c>
      <c r="D368" t="s">
        <v>1580</v>
      </c>
      <c r="E368" t="s">
        <v>243</v>
      </c>
      <c r="F368" t="s">
        <v>43</v>
      </c>
      <c r="G368" t="s">
        <v>9</v>
      </c>
      <c r="H368" t="s">
        <v>126</v>
      </c>
      <c r="I368" t="s">
        <v>127</v>
      </c>
      <c r="J368" t="s">
        <v>18</v>
      </c>
      <c r="K368" t="s">
        <v>27</v>
      </c>
      <c r="M368" t="s">
        <v>38</v>
      </c>
      <c r="N368">
        <v>2</v>
      </c>
      <c r="O368">
        <v>4418.28</v>
      </c>
      <c r="P368">
        <v>0</v>
      </c>
      <c r="Q368">
        <v>0</v>
      </c>
      <c r="R368">
        <v>8836.56</v>
      </c>
      <c r="S368">
        <v>5867.75</v>
      </c>
      <c r="T368">
        <v>8836.56</v>
      </c>
      <c r="U368">
        <v>2968.81</v>
      </c>
      <c r="V368">
        <v>0.33596897435201001</v>
      </c>
      <c r="W368">
        <v>6</v>
      </c>
      <c r="X368" t="s">
        <v>244</v>
      </c>
      <c r="Y368">
        <v>2025</v>
      </c>
      <c r="Z368" t="s">
        <v>129</v>
      </c>
      <c r="AA368" t="s">
        <v>130</v>
      </c>
      <c r="AB368" t="s">
        <v>131</v>
      </c>
      <c r="AC368" t="s">
        <v>131</v>
      </c>
      <c r="AD368" t="s">
        <v>131</v>
      </c>
      <c r="AE368" t="s">
        <v>131</v>
      </c>
      <c r="AF368" t="s">
        <v>131</v>
      </c>
      <c r="AG368" t="s">
        <v>131</v>
      </c>
      <c r="AH368" t="s">
        <v>132</v>
      </c>
      <c r="AI368" t="s">
        <v>133</v>
      </c>
      <c r="AJ368" t="s">
        <v>1581</v>
      </c>
      <c r="AK368" t="s">
        <v>1582</v>
      </c>
      <c r="AL368" t="s">
        <v>243</v>
      </c>
      <c r="AM368" t="s">
        <v>43</v>
      </c>
      <c r="AN368" t="s">
        <v>9</v>
      </c>
      <c r="AO368" t="s">
        <v>126</v>
      </c>
      <c r="AP368" t="s">
        <v>127</v>
      </c>
      <c r="AQ368" t="s">
        <v>18</v>
      </c>
      <c r="AR368" t="s">
        <v>27</v>
      </c>
      <c r="AS368" t="s">
        <v>38</v>
      </c>
      <c r="AT368">
        <v>0</v>
      </c>
      <c r="AU368" t="s">
        <v>129</v>
      </c>
      <c r="AV368" t="s">
        <v>130</v>
      </c>
    </row>
    <row r="369" spans="1:48" x14ac:dyDescent="0.3">
      <c r="A369" t="s">
        <v>1583</v>
      </c>
      <c r="B369" s="12">
        <v>45366</v>
      </c>
      <c r="C369" s="12">
        <v>45367</v>
      </c>
      <c r="D369" t="s">
        <v>1584</v>
      </c>
      <c r="E369" t="s">
        <v>255</v>
      </c>
      <c r="F369" t="s">
        <v>42</v>
      </c>
      <c r="G369" t="s">
        <v>9</v>
      </c>
      <c r="H369" t="s">
        <v>522</v>
      </c>
      <c r="I369" t="s">
        <v>523</v>
      </c>
      <c r="J369" t="s">
        <v>20</v>
      </c>
      <c r="K369" t="s">
        <v>29</v>
      </c>
      <c r="M369" t="s">
        <v>35</v>
      </c>
      <c r="N369">
        <v>6</v>
      </c>
      <c r="O369">
        <v>3815.09</v>
      </c>
      <c r="P369">
        <v>0.15</v>
      </c>
      <c r="Q369">
        <v>0.15</v>
      </c>
      <c r="R369">
        <v>19456.96</v>
      </c>
      <c r="S369">
        <v>14520.06</v>
      </c>
      <c r="T369">
        <v>19456.958999999999</v>
      </c>
      <c r="U369">
        <v>4936.8990000000003</v>
      </c>
      <c r="V369">
        <v>0.25373435797443999</v>
      </c>
      <c r="W369">
        <v>1</v>
      </c>
      <c r="X369" t="s">
        <v>278</v>
      </c>
      <c r="Y369">
        <v>2024</v>
      </c>
      <c r="Z369" t="s">
        <v>269</v>
      </c>
      <c r="AA369" t="s">
        <v>165</v>
      </c>
      <c r="AB369" t="s">
        <v>131</v>
      </c>
      <c r="AC369" t="s">
        <v>131</v>
      </c>
      <c r="AD369" t="s">
        <v>131</v>
      </c>
      <c r="AE369" t="s">
        <v>131</v>
      </c>
      <c r="AF369" t="s">
        <v>131</v>
      </c>
      <c r="AG369" t="s">
        <v>131</v>
      </c>
      <c r="AH369" t="s">
        <v>131</v>
      </c>
      <c r="AI369" t="s">
        <v>133</v>
      </c>
      <c r="AJ369" t="s">
        <v>904</v>
      </c>
      <c r="AK369" t="s">
        <v>1585</v>
      </c>
      <c r="AL369" t="s">
        <v>255</v>
      </c>
      <c r="AM369" t="s">
        <v>42</v>
      </c>
      <c r="AN369" t="s">
        <v>9</v>
      </c>
      <c r="AO369" t="s">
        <v>522</v>
      </c>
      <c r="AP369" t="s">
        <v>523</v>
      </c>
      <c r="AQ369" t="s">
        <v>20</v>
      </c>
      <c r="AR369" t="s">
        <v>29</v>
      </c>
      <c r="AS369" t="s">
        <v>35</v>
      </c>
      <c r="AT369">
        <v>0.15</v>
      </c>
      <c r="AU369" t="s">
        <v>269</v>
      </c>
      <c r="AV369" t="s">
        <v>165</v>
      </c>
    </row>
    <row r="370" spans="1:48" x14ac:dyDescent="0.3">
      <c r="A370" t="s">
        <v>1586</v>
      </c>
      <c r="B370" s="12">
        <v>45844</v>
      </c>
      <c r="C370" s="12">
        <v>45844</v>
      </c>
      <c r="D370" t="s">
        <v>1587</v>
      </c>
      <c r="E370" t="s">
        <v>238</v>
      </c>
      <c r="F370" t="s">
        <v>41</v>
      </c>
      <c r="G370" t="s">
        <v>9</v>
      </c>
      <c r="H370" t="s">
        <v>126</v>
      </c>
      <c r="I370" t="s">
        <v>127</v>
      </c>
      <c r="J370" t="s">
        <v>15</v>
      </c>
      <c r="K370" t="s">
        <v>22</v>
      </c>
      <c r="M370" t="s">
        <v>38</v>
      </c>
      <c r="N370">
        <v>9</v>
      </c>
      <c r="O370">
        <v>243.19</v>
      </c>
      <c r="P370">
        <v>0.05</v>
      </c>
      <c r="Q370">
        <v>0.05</v>
      </c>
      <c r="R370">
        <v>2079.27</v>
      </c>
      <c r="S370">
        <v>1512.17</v>
      </c>
      <c r="T370">
        <v>2079.2745</v>
      </c>
      <c r="U370">
        <v>567.10450000000003</v>
      </c>
      <c r="V370">
        <v>0.27274152595051798</v>
      </c>
      <c r="W370">
        <v>0</v>
      </c>
      <c r="X370" t="s">
        <v>128</v>
      </c>
      <c r="Y370">
        <v>2025</v>
      </c>
      <c r="Z370" t="s">
        <v>203</v>
      </c>
      <c r="AA370" t="s">
        <v>204</v>
      </c>
      <c r="AB370" t="s">
        <v>131</v>
      </c>
      <c r="AC370" t="s">
        <v>131</v>
      </c>
      <c r="AD370" t="s">
        <v>131</v>
      </c>
      <c r="AE370" t="s">
        <v>131</v>
      </c>
      <c r="AF370" t="s">
        <v>131</v>
      </c>
      <c r="AG370" t="s">
        <v>131</v>
      </c>
      <c r="AH370" t="s">
        <v>131</v>
      </c>
      <c r="AI370" t="s">
        <v>133</v>
      </c>
      <c r="AJ370" t="s">
        <v>1139</v>
      </c>
      <c r="AK370" t="s">
        <v>1139</v>
      </c>
      <c r="AL370" t="s">
        <v>238</v>
      </c>
      <c r="AM370" t="s">
        <v>41</v>
      </c>
      <c r="AN370" t="s">
        <v>9</v>
      </c>
      <c r="AO370" t="s">
        <v>126</v>
      </c>
      <c r="AP370" t="s">
        <v>127</v>
      </c>
      <c r="AQ370" t="s">
        <v>15</v>
      </c>
      <c r="AR370" t="s">
        <v>22</v>
      </c>
      <c r="AS370" t="s">
        <v>38</v>
      </c>
      <c r="AT370">
        <v>0.05</v>
      </c>
      <c r="AU370" t="s">
        <v>203</v>
      </c>
      <c r="AV370" t="s">
        <v>204</v>
      </c>
    </row>
    <row r="371" spans="1:48" x14ac:dyDescent="0.3">
      <c r="A371" t="s">
        <v>1588</v>
      </c>
      <c r="B371" s="12">
        <v>45680</v>
      </c>
      <c r="C371" s="12">
        <v>45687</v>
      </c>
      <c r="D371" t="s">
        <v>1589</v>
      </c>
      <c r="E371" t="s">
        <v>221</v>
      </c>
      <c r="F371" t="s">
        <v>42</v>
      </c>
      <c r="G371" t="s">
        <v>9</v>
      </c>
      <c r="H371" t="s">
        <v>522</v>
      </c>
      <c r="I371" t="s">
        <v>523</v>
      </c>
      <c r="J371" t="s">
        <v>20</v>
      </c>
      <c r="K371" t="s">
        <v>30</v>
      </c>
      <c r="M371" t="s">
        <v>35</v>
      </c>
      <c r="N371">
        <v>9</v>
      </c>
      <c r="O371">
        <v>1169.3699999999999</v>
      </c>
      <c r="P371">
        <v>0.15</v>
      </c>
      <c r="Q371">
        <v>0.15</v>
      </c>
      <c r="R371">
        <v>8945.68</v>
      </c>
      <c r="S371">
        <v>6740.35</v>
      </c>
      <c r="T371">
        <v>8945.6805000000004</v>
      </c>
      <c r="U371">
        <v>2205.3305</v>
      </c>
      <c r="V371">
        <v>0.24652462157574201</v>
      </c>
      <c r="W371">
        <v>7</v>
      </c>
      <c r="X371" t="s">
        <v>244</v>
      </c>
      <c r="Y371">
        <v>2025</v>
      </c>
      <c r="Z371" t="s">
        <v>129</v>
      </c>
      <c r="AA371" t="s">
        <v>130</v>
      </c>
      <c r="AB371" t="s">
        <v>131</v>
      </c>
      <c r="AC371" t="s">
        <v>131</v>
      </c>
      <c r="AD371" t="s">
        <v>131</v>
      </c>
      <c r="AE371" t="s">
        <v>131</v>
      </c>
      <c r="AF371" t="s">
        <v>131</v>
      </c>
      <c r="AG371" t="s">
        <v>131</v>
      </c>
      <c r="AH371" t="s">
        <v>132</v>
      </c>
      <c r="AI371" t="s">
        <v>133</v>
      </c>
      <c r="AJ371" t="s">
        <v>1343</v>
      </c>
      <c r="AK371" t="s">
        <v>266</v>
      </c>
      <c r="AL371" t="s">
        <v>221</v>
      </c>
      <c r="AM371" t="s">
        <v>42</v>
      </c>
      <c r="AN371" t="s">
        <v>9</v>
      </c>
      <c r="AO371" t="s">
        <v>522</v>
      </c>
      <c r="AP371" t="s">
        <v>523</v>
      </c>
      <c r="AQ371" t="s">
        <v>20</v>
      </c>
      <c r="AR371" t="s">
        <v>30</v>
      </c>
      <c r="AS371" t="s">
        <v>35</v>
      </c>
      <c r="AT371">
        <v>0.15</v>
      </c>
      <c r="AU371" t="s">
        <v>129</v>
      </c>
      <c r="AV371" t="s">
        <v>130</v>
      </c>
    </row>
    <row r="372" spans="1:48" x14ac:dyDescent="0.3">
      <c r="A372" t="s">
        <v>1590</v>
      </c>
      <c r="B372" s="12">
        <v>45519</v>
      </c>
      <c r="C372" s="12">
        <v>45525</v>
      </c>
      <c r="D372" t="s">
        <v>1591</v>
      </c>
      <c r="E372" t="s">
        <v>162</v>
      </c>
      <c r="F372" t="s">
        <v>44</v>
      </c>
      <c r="G372" t="s">
        <v>7</v>
      </c>
      <c r="H372" t="s">
        <v>126</v>
      </c>
      <c r="I372" t="s">
        <v>213</v>
      </c>
      <c r="J372" t="s">
        <v>15</v>
      </c>
      <c r="K372" t="s">
        <v>16</v>
      </c>
      <c r="M372" t="s">
        <v>36</v>
      </c>
      <c r="N372">
        <v>7</v>
      </c>
      <c r="O372">
        <v>2333.81</v>
      </c>
      <c r="P372">
        <v>0.2</v>
      </c>
      <c r="Q372">
        <v>0.2</v>
      </c>
      <c r="R372">
        <v>13069.34</v>
      </c>
      <c r="S372">
        <v>8768.59</v>
      </c>
      <c r="T372">
        <v>13069.335999999999</v>
      </c>
      <c r="U372">
        <v>4300.7460000000001</v>
      </c>
      <c r="V372">
        <v>0.32907149988339102</v>
      </c>
      <c r="W372">
        <v>6</v>
      </c>
      <c r="X372" t="s">
        <v>142</v>
      </c>
      <c r="Y372">
        <v>2024</v>
      </c>
      <c r="Z372" t="s">
        <v>129</v>
      </c>
      <c r="AA372" t="s">
        <v>130</v>
      </c>
      <c r="AB372" t="s">
        <v>131</v>
      </c>
      <c r="AC372" t="s">
        <v>131</v>
      </c>
      <c r="AD372" t="s">
        <v>131</v>
      </c>
      <c r="AE372" t="s">
        <v>131</v>
      </c>
      <c r="AF372" t="s">
        <v>131</v>
      </c>
      <c r="AG372" t="s">
        <v>131</v>
      </c>
      <c r="AH372" t="s">
        <v>132</v>
      </c>
      <c r="AI372" t="s">
        <v>133</v>
      </c>
      <c r="AJ372" t="s">
        <v>1592</v>
      </c>
      <c r="AK372" t="s">
        <v>1417</v>
      </c>
      <c r="AL372" t="s">
        <v>162</v>
      </c>
      <c r="AM372" t="s">
        <v>44</v>
      </c>
      <c r="AN372" t="s">
        <v>7</v>
      </c>
      <c r="AO372" t="s">
        <v>126</v>
      </c>
      <c r="AP372" t="s">
        <v>213</v>
      </c>
      <c r="AQ372" t="s">
        <v>15</v>
      </c>
      <c r="AR372" t="s">
        <v>16</v>
      </c>
      <c r="AS372" t="s">
        <v>36</v>
      </c>
      <c r="AT372">
        <v>0.2</v>
      </c>
      <c r="AU372" t="s">
        <v>129</v>
      </c>
      <c r="AV372" t="s">
        <v>130</v>
      </c>
    </row>
    <row r="373" spans="1:48" x14ac:dyDescent="0.3">
      <c r="A373" t="s">
        <v>1593</v>
      </c>
      <c r="B373" s="12">
        <v>45313</v>
      </c>
      <c r="C373" s="12">
        <v>45315</v>
      </c>
      <c r="D373" t="s">
        <v>1594</v>
      </c>
      <c r="E373" t="s">
        <v>277</v>
      </c>
      <c r="F373" t="s">
        <v>41</v>
      </c>
      <c r="G373" t="s">
        <v>7</v>
      </c>
      <c r="H373" t="s">
        <v>163</v>
      </c>
      <c r="I373" t="s">
        <v>164</v>
      </c>
      <c r="J373" t="s">
        <v>20</v>
      </c>
      <c r="K373" t="s">
        <v>29</v>
      </c>
      <c r="M373" t="s">
        <v>35</v>
      </c>
      <c r="N373">
        <v>6</v>
      </c>
      <c r="O373">
        <v>1026.06</v>
      </c>
      <c r="Q373">
        <v>0</v>
      </c>
      <c r="R373">
        <v>4617.2700000000004</v>
      </c>
      <c r="S373">
        <v>2981.94</v>
      </c>
      <c r="T373">
        <v>6156.36</v>
      </c>
      <c r="U373">
        <v>3174.42</v>
      </c>
      <c r="V373">
        <v>0.515632614077149</v>
      </c>
      <c r="W373">
        <v>2</v>
      </c>
      <c r="X373" t="s">
        <v>244</v>
      </c>
      <c r="Y373">
        <v>2024</v>
      </c>
      <c r="Z373" t="s">
        <v>203</v>
      </c>
      <c r="AA373" t="s">
        <v>165</v>
      </c>
      <c r="AB373" t="s">
        <v>131</v>
      </c>
      <c r="AC373" t="s">
        <v>131</v>
      </c>
      <c r="AD373" t="s">
        <v>132</v>
      </c>
      <c r="AE373" t="s">
        <v>131</v>
      </c>
      <c r="AF373" t="s">
        <v>131</v>
      </c>
      <c r="AG373" t="s">
        <v>131</v>
      </c>
      <c r="AH373" t="s">
        <v>131</v>
      </c>
      <c r="AI373" t="s">
        <v>321</v>
      </c>
      <c r="AJ373" t="s">
        <v>968</v>
      </c>
      <c r="AK373" t="s">
        <v>1595</v>
      </c>
      <c r="AL373" t="s">
        <v>277</v>
      </c>
      <c r="AM373" t="s">
        <v>41</v>
      </c>
      <c r="AN373" t="s">
        <v>7</v>
      </c>
      <c r="AO373" t="s">
        <v>163</v>
      </c>
      <c r="AP373" t="s">
        <v>164</v>
      </c>
      <c r="AQ373" t="s">
        <v>20</v>
      </c>
      <c r="AR373" t="s">
        <v>29</v>
      </c>
      <c r="AS373" t="s">
        <v>35</v>
      </c>
      <c r="AU373" t="s">
        <v>203</v>
      </c>
      <c r="AV373" t="s">
        <v>165</v>
      </c>
    </row>
    <row r="374" spans="1:48" x14ac:dyDescent="0.3">
      <c r="A374" t="s">
        <v>1596</v>
      </c>
      <c r="B374" s="12">
        <v>45885</v>
      </c>
      <c r="C374" s="12">
        <v>45887</v>
      </c>
      <c r="D374" t="s">
        <v>895</v>
      </c>
      <c r="E374" t="s">
        <v>409</v>
      </c>
      <c r="F374" t="s">
        <v>42</v>
      </c>
      <c r="G374" t="s">
        <v>8</v>
      </c>
      <c r="H374" t="s">
        <v>362</v>
      </c>
      <c r="I374" t="s">
        <v>363</v>
      </c>
      <c r="J374" t="s">
        <v>18</v>
      </c>
      <c r="K374" t="s">
        <v>19</v>
      </c>
      <c r="M374" t="s">
        <v>38</v>
      </c>
      <c r="N374">
        <v>5</v>
      </c>
      <c r="O374">
        <v>1530.36</v>
      </c>
      <c r="P374">
        <v>0</v>
      </c>
      <c r="Q374">
        <v>0</v>
      </c>
      <c r="R374">
        <v>7651.8</v>
      </c>
      <c r="S374">
        <v>5171.78</v>
      </c>
      <c r="T374">
        <v>7651.8</v>
      </c>
      <c r="U374">
        <v>2480.02</v>
      </c>
      <c r="V374">
        <v>0.324109359889176</v>
      </c>
      <c r="W374">
        <v>2</v>
      </c>
      <c r="X374" t="s">
        <v>142</v>
      </c>
      <c r="Y374">
        <v>2025</v>
      </c>
      <c r="Z374" t="s">
        <v>129</v>
      </c>
      <c r="AA374" t="s">
        <v>130</v>
      </c>
      <c r="AB374" t="s">
        <v>131</v>
      </c>
      <c r="AC374" t="s">
        <v>131</v>
      </c>
      <c r="AD374" t="s">
        <v>131</v>
      </c>
      <c r="AE374" t="s">
        <v>131</v>
      </c>
      <c r="AF374" t="s">
        <v>131</v>
      </c>
      <c r="AG374" t="s">
        <v>131</v>
      </c>
      <c r="AH374" t="s">
        <v>132</v>
      </c>
      <c r="AI374" t="s">
        <v>133</v>
      </c>
      <c r="AJ374" t="s">
        <v>1597</v>
      </c>
      <c r="AK374" t="s">
        <v>859</v>
      </c>
      <c r="AL374" t="s">
        <v>409</v>
      </c>
      <c r="AM374" t="s">
        <v>42</v>
      </c>
      <c r="AN374" t="s">
        <v>8</v>
      </c>
      <c r="AO374" t="s">
        <v>362</v>
      </c>
      <c r="AP374" t="s">
        <v>363</v>
      </c>
      <c r="AQ374" t="s">
        <v>18</v>
      </c>
      <c r="AR374" t="s">
        <v>19</v>
      </c>
      <c r="AS374" t="s">
        <v>38</v>
      </c>
      <c r="AT374">
        <v>0</v>
      </c>
      <c r="AU374" t="s">
        <v>129</v>
      </c>
      <c r="AV374" t="s">
        <v>130</v>
      </c>
    </row>
    <row r="375" spans="1:48" x14ac:dyDescent="0.3">
      <c r="A375" t="s">
        <v>1598</v>
      </c>
      <c r="B375" s="12">
        <v>45760</v>
      </c>
      <c r="C375" s="12">
        <v>45760</v>
      </c>
      <c r="D375" t="s">
        <v>1599</v>
      </c>
      <c r="E375" t="s">
        <v>243</v>
      </c>
      <c r="F375" t="s">
        <v>44</v>
      </c>
      <c r="G375" t="s">
        <v>9</v>
      </c>
      <c r="H375" t="s">
        <v>249</v>
      </c>
      <c r="I375" t="s">
        <v>250</v>
      </c>
      <c r="J375" t="s">
        <v>20</v>
      </c>
      <c r="K375" t="s">
        <v>21</v>
      </c>
      <c r="M375" t="s">
        <v>37</v>
      </c>
      <c r="N375">
        <v>9</v>
      </c>
      <c r="O375">
        <v>1118.68</v>
      </c>
      <c r="P375">
        <v>0</v>
      </c>
      <c r="Q375">
        <v>0</v>
      </c>
      <c r="R375">
        <v>10068.120000000001</v>
      </c>
      <c r="S375">
        <v>8595.3700000000008</v>
      </c>
      <c r="T375">
        <v>10068.120000000001</v>
      </c>
      <c r="U375">
        <v>1472.75</v>
      </c>
      <c r="V375">
        <v>0.14627855051389901</v>
      </c>
      <c r="W375">
        <v>0</v>
      </c>
      <c r="X375" t="s">
        <v>179</v>
      </c>
      <c r="Y375">
        <v>2025</v>
      </c>
      <c r="Z375" t="s">
        <v>129</v>
      </c>
      <c r="AA375" t="s">
        <v>130</v>
      </c>
      <c r="AB375" t="s">
        <v>131</v>
      </c>
      <c r="AC375" t="s">
        <v>131</v>
      </c>
      <c r="AD375" t="s">
        <v>131</v>
      </c>
      <c r="AE375" t="s">
        <v>131</v>
      </c>
      <c r="AF375" t="s">
        <v>131</v>
      </c>
      <c r="AG375" t="s">
        <v>132</v>
      </c>
      <c r="AH375" t="s">
        <v>132</v>
      </c>
      <c r="AI375" t="s">
        <v>149</v>
      </c>
      <c r="AJ375" t="s">
        <v>1600</v>
      </c>
      <c r="AK375" t="s">
        <v>1600</v>
      </c>
      <c r="AL375" t="s">
        <v>243</v>
      </c>
      <c r="AM375" t="s">
        <v>44</v>
      </c>
      <c r="AN375" t="s">
        <v>9</v>
      </c>
      <c r="AO375" t="s">
        <v>249</v>
      </c>
      <c r="AP375" t="s">
        <v>250</v>
      </c>
      <c r="AQ375" t="s">
        <v>20</v>
      </c>
      <c r="AR375" t="s">
        <v>21</v>
      </c>
      <c r="AS375" t="s">
        <v>37</v>
      </c>
      <c r="AT375">
        <v>0</v>
      </c>
      <c r="AU375" t="s">
        <v>129</v>
      </c>
      <c r="AV375" t="s">
        <v>130</v>
      </c>
    </row>
    <row r="376" spans="1:48" x14ac:dyDescent="0.3">
      <c r="A376" t="s">
        <v>1601</v>
      </c>
      <c r="B376" s="12">
        <v>45715</v>
      </c>
      <c r="C376" s="12">
        <v>45716</v>
      </c>
      <c r="D376" t="s">
        <v>1602</v>
      </c>
      <c r="E376" t="s">
        <v>191</v>
      </c>
      <c r="F376" t="s">
        <v>44</v>
      </c>
      <c r="G376" t="s">
        <v>9</v>
      </c>
      <c r="H376" t="s">
        <v>249</v>
      </c>
      <c r="I376" t="s">
        <v>250</v>
      </c>
      <c r="J376" t="s">
        <v>20</v>
      </c>
      <c r="K376" t="s">
        <v>30</v>
      </c>
      <c r="M376" t="s">
        <v>35</v>
      </c>
      <c r="N376">
        <v>6</v>
      </c>
      <c r="O376">
        <v>2393.25</v>
      </c>
      <c r="P376">
        <v>0</v>
      </c>
      <c r="Q376">
        <v>0</v>
      </c>
      <c r="R376">
        <v>14359.5</v>
      </c>
      <c r="S376">
        <v>8117.71</v>
      </c>
      <c r="T376">
        <v>14359.5</v>
      </c>
      <c r="U376">
        <v>6241.79</v>
      </c>
      <c r="V376">
        <v>0.434680176886382</v>
      </c>
      <c r="W376">
        <v>1</v>
      </c>
      <c r="X376" t="s">
        <v>186</v>
      </c>
      <c r="Y376">
        <v>2025</v>
      </c>
      <c r="Z376" t="s">
        <v>129</v>
      </c>
      <c r="AA376" t="s">
        <v>130</v>
      </c>
      <c r="AB376" t="s">
        <v>131</v>
      </c>
      <c r="AC376" t="s">
        <v>131</v>
      </c>
      <c r="AD376" t="s">
        <v>131</v>
      </c>
      <c r="AE376" t="s">
        <v>131</v>
      </c>
      <c r="AF376" t="s">
        <v>131</v>
      </c>
      <c r="AG376" t="s">
        <v>131</v>
      </c>
      <c r="AH376" t="s">
        <v>132</v>
      </c>
      <c r="AI376" t="s">
        <v>133</v>
      </c>
      <c r="AJ376" t="s">
        <v>1603</v>
      </c>
      <c r="AK376" t="s">
        <v>1604</v>
      </c>
      <c r="AL376" t="s">
        <v>191</v>
      </c>
      <c r="AM376" t="s">
        <v>44</v>
      </c>
      <c r="AN376" t="s">
        <v>9</v>
      </c>
      <c r="AO376" t="s">
        <v>249</v>
      </c>
      <c r="AP376" t="s">
        <v>250</v>
      </c>
      <c r="AQ376" t="s">
        <v>20</v>
      </c>
      <c r="AR376" t="s">
        <v>30</v>
      </c>
      <c r="AS376" t="s">
        <v>35</v>
      </c>
      <c r="AT376">
        <v>0</v>
      </c>
      <c r="AU376" t="s">
        <v>129</v>
      </c>
      <c r="AV376" t="s">
        <v>130</v>
      </c>
    </row>
    <row r="377" spans="1:48" x14ac:dyDescent="0.3">
      <c r="A377" t="s">
        <v>1605</v>
      </c>
      <c r="B377" s="12">
        <v>45657</v>
      </c>
      <c r="C377" s="12">
        <v>45661</v>
      </c>
      <c r="D377" t="s">
        <v>1606</v>
      </c>
      <c r="E377" t="s">
        <v>170</v>
      </c>
      <c r="F377" t="s">
        <v>42</v>
      </c>
      <c r="G377" t="s">
        <v>9</v>
      </c>
      <c r="H377" t="s">
        <v>522</v>
      </c>
      <c r="I377" t="s">
        <v>523</v>
      </c>
      <c r="J377" t="s">
        <v>18</v>
      </c>
      <c r="K377" t="s">
        <v>19</v>
      </c>
      <c r="M377" t="s">
        <v>38</v>
      </c>
      <c r="N377">
        <v>3</v>
      </c>
      <c r="O377">
        <v>1166.6099999999999</v>
      </c>
      <c r="P377">
        <v>0.25</v>
      </c>
      <c r="Q377">
        <v>0.25</v>
      </c>
      <c r="R377">
        <v>2624.87</v>
      </c>
      <c r="S377">
        <v>2253.88</v>
      </c>
      <c r="T377">
        <v>2624.8724999999999</v>
      </c>
      <c r="U377">
        <v>370.99250000000001</v>
      </c>
      <c r="V377">
        <v>0.14133734114704599</v>
      </c>
      <c r="W377">
        <v>4</v>
      </c>
      <c r="X377" t="s">
        <v>214</v>
      </c>
      <c r="Y377">
        <v>2024</v>
      </c>
      <c r="Z377" t="s">
        <v>129</v>
      </c>
      <c r="AA377" t="s">
        <v>130</v>
      </c>
      <c r="AB377" t="s">
        <v>131</v>
      </c>
      <c r="AC377" t="s">
        <v>131</v>
      </c>
      <c r="AD377" t="s">
        <v>131</v>
      </c>
      <c r="AE377" t="s">
        <v>131</v>
      </c>
      <c r="AF377" t="s">
        <v>131</v>
      </c>
      <c r="AG377" t="s">
        <v>131</v>
      </c>
      <c r="AH377" t="s">
        <v>132</v>
      </c>
      <c r="AI377" t="s">
        <v>133</v>
      </c>
      <c r="AJ377" t="s">
        <v>1607</v>
      </c>
      <c r="AK377" t="s">
        <v>1608</v>
      </c>
      <c r="AL377" t="s">
        <v>170</v>
      </c>
      <c r="AM377" t="s">
        <v>42</v>
      </c>
      <c r="AN377" t="s">
        <v>9</v>
      </c>
      <c r="AO377" t="s">
        <v>522</v>
      </c>
      <c r="AP377" t="s">
        <v>523</v>
      </c>
      <c r="AQ377" t="s">
        <v>18</v>
      </c>
      <c r="AR377" t="s">
        <v>19</v>
      </c>
      <c r="AS377" t="s">
        <v>38</v>
      </c>
      <c r="AT377">
        <v>0.25</v>
      </c>
      <c r="AU377" t="s">
        <v>129</v>
      </c>
      <c r="AV377" t="s">
        <v>130</v>
      </c>
    </row>
    <row r="378" spans="1:48" x14ac:dyDescent="0.3">
      <c r="A378" t="s">
        <v>1609</v>
      </c>
      <c r="B378" s="12">
        <v>45655</v>
      </c>
      <c r="C378" s="12">
        <v>45657</v>
      </c>
      <c r="D378" t="s">
        <v>1610</v>
      </c>
      <c r="E378" t="s">
        <v>147</v>
      </c>
      <c r="F378" t="s">
        <v>44</v>
      </c>
      <c r="G378" t="s">
        <v>8</v>
      </c>
      <c r="H378" t="s">
        <v>259</v>
      </c>
      <c r="I378" t="s">
        <v>260</v>
      </c>
      <c r="J378" t="s">
        <v>18</v>
      </c>
      <c r="K378" t="s">
        <v>19</v>
      </c>
      <c r="M378" t="s">
        <v>36</v>
      </c>
      <c r="N378">
        <v>6</v>
      </c>
      <c r="O378">
        <v>1844.78</v>
      </c>
      <c r="P378">
        <v>0.2</v>
      </c>
      <c r="Q378">
        <v>0.2</v>
      </c>
      <c r="R378">
        <v>8854.94</v>
      </c>
      <c r="S378">
        <v>7433.95</v>
      </c>
      <c r="T378">
        <v>8854.9439999999995</v>
      </c>
      <c r="U378">
        <v>1420.9939999999999</v>
      </c>
      <c r="V378">
        <v>0.16047464557652799</v>
      </c>
      <c r="W378">
        <v>2</v>
      </c>
      <c r="X378" t="s">
        <v>214</v>
      </c>
      <c r="Y378">
        <v>2024</v>
      </c>
      <c r="Z378" t="s">
        <v>129</v>
      </c>
      <c r="AA378" t="s">
        <v>130</v>
      </c>
      <c r="AB378" t="s">
        <v>131</v>
      </c>
      <c r="AC378" t="s">
        <v>131</v>
      </c>
      <c r="AD378" t="s">
        <v>131</v>
      </c>
      <c r="AE378" t="s">
        <v>131</v>
      </c>
      <c r="AF378" t="s">
        <v>131</v>
      </c>
      <c r="AG378" t="s">
        <v>131</v>
      </c>
      <c r="AH378" t="s">
        <v>132</v>
      </c>
      <c r="AI378" t="s">
        <v>133</v>
      </c>
      <c r="AJ378" t="s">
        <v>1611</v>
      </c>
      <c r="AK378" t="s">
        <v>1536</v>
      </c>
      <c r="AL378" t="s">
        <v>147</v>
      </c>
      <c r="AM378" t="s">
        <v>44</v>
      </c>
      <c r="AN378" t="s">
        <v>8</v>
      </c>
      <c r="AO378" t="s">
        <v>259</v>
      </c>
      <c r="AP378" t="s">
        <v>260</v>
      </c>
      <c r="AQ378" t="s">
        <v>18</v>
      </c>
      <c r="AR378" t="s">
        <v>19</v>
      </c>
      <c r="AS378" t="s">
        <v>36</v>
      </c>
      <c r="AT378">
        <v>0.2</v>
      </c>
      <c r="AU378" t="s">
        <v>129</v>
      </c>
      <c r="AV378" t="s">
        <v>130</v>
      </c>
    </row>
    <row r="379" spans="1:48" x14ac:dyDescent="0.3">
      <c r="A379" t="s">
        <v>1612</v>
      </c>
      <c r="B379" s="12">
        <v>45801</v>
      </c>
      <c r="C379" s="12">
        <v>45807</v>
      </c>
      <c r="D379" t="s">
        <v>1613</v>
      </c>
      <c r="E379" t="s">
        <v>409</v>
      </c>
      <c r="F379" t="s">
        <v>44</v>
      </c>
      <c r="G379" t="s">
        <v>8</v>
      </c>
      <c r="H379" t="s">
        <v>140</v>
      </c>
      <c r="I379" t="s">
        <v>141</v>
      </c>
      <c r="J379" t="s">
        <v>20</v>
      </c>
      <c r="K379" t="s">
        <v>21</v>
      </c>
      <c r="M379" t="s">
        <v>38</v>
      </c>
      <c r="N379">
        <v>1</v>
      </c>
      <c r="O379">
        <v>2564.7399999999998</v>
      </c>
      <c r="P379">
        <v>0</v>
      </c>
      <c r="Q379">
        <v>0</v>
      </c>
      <c r="R379">
        <v>2564.7399999999998</v>
      </c>
      <c r="S379">
        <v>1754.58</v>
      </c>
      <c r="T379">
        <v>2564.7399999999998</v>
      </c>
      <c r="U379">
        <v>810.16</v>
      </c>
      <c r="V379">
        <v>0.31588387126960199</v>
      </c>
      <c r="W379">
        <v>6</v>
      </c>
      <c r="X379" t="s">
        <v>173</v>
      </c>
      <c r="Y379">
        <v>2025</v>
      </c>
      <c r="Z379" t="s">
        <v>129</v>
      </c>
      <c r="AA379" t="s">
        <v>130</v>
      </c>
      <c r="AB379" t="s">
        <v>131</v>
      </c>
      <c r="AC379" t="s">
        <v>131</v>
      </c>
      <c r="AD379" t="s">
        <v>131</v>
      </c>
      <c r="AE379" t="s">
        <v>131</v>
      </c>
      <c r="AF379" t="s">
        <v>131</v>
      </c>
      <c r="AG379" t="s">
        <v>131</v>
      </c>
      <c r="AH379" t="s">
        <v>132</v>
      </c>
      <c r="AI379" t="s">
        <v>133</v>
      </c>
      <c r="AJ379" t="s">
        <v>1335</v>
      </c>
      <c r="AK379" t="s">
        <v>1614</v>
      </c>
      <c r="AL379" t="s">
        <v>409</v>
      </c>
      <c r="AM379" t="s">
        <v>44</v>
      </c>
      <c r="AN379" t="s">
        <v>8</v>
      </c>
      <c r="AO379" t="s">
        <v>140</v>
      </c>
      <c r="AP379" t="s">
        <v>141</v>
      </c>
      <c r="AQ379" t="s">
        <v>20</v>
      </c>
      <c r="AR379" t="s">
        <v>1615</v>
      </c>
      <c r="AS379" t="s">
        <v>38</v>
      </c>
      <c r="AT379">
        <v>0</v>
      </c>
      <c r="AU379" t="s">
        <v>129</v>
      </c>
      <c r="AV379" t="s">
        <v>130</v>
      </c>
    </row>
    <row r="380" spans="1:48" x14ac:dyDescent="0.3">
      <c r="A380" t="s">
        <v>1616</v>
      </c>
      <c r="B380" s="12">
        <v>45799</v>
      </c>
      <c r="C380" s="12">
        <v>45799</v>
      </c>
      <c r="D380" t="s">
        <v>1617</v>
      </c>
      <c r="E380" t="s">
        <v>139</v>
      </c>
      <c r="F380" t="s">
        <v>42</v>
      </c>
      <c r="G380" t="s">
        <v>7</v>
      </c>
      <c r="H380" t="s">
        <v>311</v>
      </c>
      <c r="I380" t="s">
        <v>312</v>
      </c>
      <c r="J380" t="s">
        <v>15</v>
      </c>
      <c r="K380" t="s">
        <v>22</v>
      </c>
      <c r="M380" t="s">
        <v>35</v>
      </c>
      <c r="N380">
        <v>2</v>
      </c>
      <c r="O380">
        <v>3910.61</v>
      </c>
      <c r="P380">
        <v>0</v>
      </c>
      <c r="Q380">
        <v>0</v>
      </c>
      <c r="R380">
        <v>7821.22</v>
      </c>
      <c r="S380">
        <v>4994.46</v>
      </c>
      <c r="T380">
        <v>7821.22</v>
      </c>
      <c r="U380">
        <v>2826.76</v>
      </c>
      <c r="V380">
        <v>0.36142187535959902</v>
      </c>
      <c r="W380">
        <v>0</v>
      </c>
      <c r="X380" t="s">
        <v>173</v>
      </c>
      <c r="Y380">
        <v>2025</v>
      </c>
      <c r="Z380" t="s">
        <v>129</v>
      </c>
      <c r="AA380" t="s">
        <v>130</v>
      </c>
      <c r="AB380" t="s">
        <v>131</v>
      </c>
      <c r="AC380" t="s">
        <v>131</v>
      </c>
      <c r="AD380" t="s">
        <v>131</v>
      </c>
      <c r="AE380" t="s">
        <v>131</v>
      </c>
      <c r="AF380" t="s">
        <v>131</v>
      </c>
      <c r="AG380" t="s">
        <v>131</v>
      </c>
      <c r="AH380" t="s">
        <v>132</v>
      </c>
      <c r="AI380" t="s">
        <v>133</v>
      </c>
      <c r="AJ380" t="s">
        <v>1618</v>
      </c>
      <c r="AK380" t="s">
        <v>1618</v>
      </c>
      <c r="AL380" t="s">
        <v>139</v>
      </c>
      <c r="AM380" t="s">
        <v>42</v>
      </c>
      <c r="AN380" t="s">
        <v>7</v>
      </c>
      <c r="AO380" t="s">
        <v>311</v>
      </c>
      <c r="AP380" t="s">
        <v>312</v>
      </c>
      <c r="AQ380" t="s">
        <v>15</v>
      </c>
      <c r="AR380" t="s">
        <v>22</v>
      </c>
      <c r="AS380" t="s">
        <v>35</v>
      </c>
      <c r="AT380">
        <v>0</v>
      </c>
      <c r="AU380" t="s">
        <v>129</v>
      </c>
      <c r="AV380" t="s">
        <v>130</v>
      </c>
    </row>
    <row r="381" spans="1:48" x14ac:dyDescent="0.3">
      <c r="A381" t="s">
        <v>1619</v>
      </c>
      <c r="B381" s="12">
        <v>45554</v>
      </c>
      <c r="C381" s="12">
        <v>45558</v>
      </c>
      <c r="D381" t="s">
        <v>1620</v>
      </c>
      <c r="E381" t="s">
        <v>139</v>
      </c>
      <c r="F381" t="s">
        <v>44</v>
      </c>
      <c r="G381" t="s">
        <v>6</v>
      </c>
      <c r="H381" t="s">
        <v>305</v>
      </c>
      <c r="I381" t="s">
        <v>306</v>
      </c>
      <c r="J381" t="s">
        <v>20</v>
      </c>
      <c r="K381" t="s">
        <v>24</v>
      </c>
      <c r="M381" t="s">
        <v>35</v>
      </c>
      <c r="N381">
        <v>7</v>
      </c>
      <c r="O381">
        <v>1136.68</v>
      </c>
      <c r="Q381">
        <v>0</v>
      </c>
      <c r="R381">
        <v>7956.76</v>
      </c>
      <c r="S381">
        <v>4799.54</v>
      </c>
      <c r="T381">
        <v>7956.76</v>
      </c>
      <c r="U381">
        <v>3157.22</v>
      </c>
      <c r="V381">
        <v>0.39679718880549403</v>
      </c>
      <c r="W381">
        <v>4</v>
      </c>
      <c r="X381" t="s">
        <v>196</v>
      </c>
      <c r="Y381">
        <v>2024</v>
      </c>
      <c r="Z381" t="s">
        <v>129</v>
      </c>
      <c r="AA381" t="s">
        <v>130</v>
      </c>
      <c r="AB381" t="s">
        <v>131</v>
      </c>
      <c r="AC381" t="s">
        <v>131</v>
      </c>
      <c r="AD381" t="s">
        <v>132</v>
      </c>
      <c r="AE381" t="s">
        <v>131</v>
      </c>
      <c r="AF381" t="s">
        <v>131</v>
      </c>
      <c r="AG381" t="s">
        <v>131</v>
      </c>
      <c r="AH381" t="s">
        <v>132</v>
      </c>
      <c r="AI381" t="s">
        <v>321</v>
      </c>
      <c r="AJ381" t="s">
        <v>1621</v>
      </c>
      <c r="AK381" t="s">
        <v>1622</v>
      </c>
      <c r="AL381" t="s">
        <v>139</v>
      </c>
      <c r="AM381" t="s">
        <v>44</v>
      </c>
      <c r="AN381" t="s">
        <v>6</v>
      </c>
      <c r="AO381" t="s">
        <v>305</v>
      </c>
      <c r="AP381" t="s">
        <v>306</v>
      </c>
      <c r="AQ381" t="s">
        <v>20</v>
      </c>
      <c r="AR381" t="s">
        <v>24</v>
      </c>
      <c r="AS381" t="s">
        <v>35</v>
      </c>
      <c r="AU381" t="s">
        <v>129</v>
      </c>
      <c r="AV381" t="s">
        <v>130</v>
      </c>
    </row>
    <row r="382" spans="1:48" x14ac:dyDescent="0.3">
      <c r="A382" t="s">
        <v>1623</v>
      </c>
      <c r="B382" s="12">
        <v>45389</v>
      </c>
      <c r="C382" s="12">
        <v>45396</v>
      </c>
      <c r="D382" t="s">
        <v>1624</v>
      </c>
      <c r="E382" t="s">
        <v>170</v>
      </c>
      <c r="F382" t="s">
        <v>42</v>
      </c>
      <c r="G382" t="s">
        <v>7</v>
      </c>
      <c r="H382" t="s">
        <v>163</v>
      </c>
      <c r="I382" t="s">
        <v>164</v>
      </c>
      <c r="J382" t="s">
        <v>18</v>
      </c>
      <c r="K382" t="s">
        <v>26</v>
      </c>
      <c r="M382" t="s">
        <v>38</v>
      </c>
      <c r="N382">
        <v>5</v>
      </c>
      <c r="O382">
        <v>2235.85</v>
      </c>
      <c r="P382">
        <v>0.25</v>
      </c>
      <c r="Q382">
        <v>0.25</v>
      </c>
      <c r="R382">
        <v>8384.44</v>
      </c>
      <c r="S382">
        <v>4765.96</v>
      </c>
      <c r="T382">
        <v>8384.4375</v>
      </c>
      <c r="U382">
        <v>3618.4775</v>
      </c>
      <c r="V382">
        <v>0.431570692726853</v>
      </c>
      <c r="W382">
        <v>7</v>
      </c>
      <c r="X382" t="s">
        <v>179</v>
      </c>
      <c r="Y382">
        <v>2024</v>
      </c>
      <c r="Z382" t="s">
        <v>129</v>
      </c>
      <c r="AA382" t="s">
        <v>204</v>
      </c>
      <c r="AB382" t="s">
        <v>131</v>
      </c>
      <c r="AC382" t="s">
        <v>131</v>
      </c>
      <c r="AD382" t="s">
        <v>131</v>
      </c>
      <c r="AE382" t="s">
        <v>131</v>
      </c>
      <c r="AF382" t="s">
        <v>131</v>
      </c>
      <c r="AG382" t="s">
        <v>131</v>
      </c>
      <c r="AH382" t="s">
        <v>131</v>
      </c>
      <c r="AI382" t="s">
        <v>133</v>
      </c>
      <c r="AJ382" t="s">
        <v>1625</v>
      </c>
      <c r="AK382" t="s">
        <v>1255</v>
      </c>
      <c r="AL382" t="s">
        <v>170</v>
      </c>
      <c r="AM382" t="s">
        <v>42</v>
      </c>
      <c r="AN382" t="s">
        <v>7</v>
      </c>
      <c r="AO382" t="s">
        <v>163</v>
      </c>
      <c r="AP382" t="s">
        <v>164</v>
      </c>
      <c r="AQ382" t="s">
        <v>18</v>
      </c>
      <c r="AR382" t="s">
        <v>26</v>
      </c>
      <c r="AS382" t="s">
        <v>38</v>
      </c>
      <c r="AT382">
        <v>0.25</v>
      </c>
      <c r="AU382" t="s">
        <v>129</v>
      </c>
      <c r="AV382" t="s">
        <v>204</v>
      </c>
    </row>
    <row r="383" spans="1:48" x14ac:dyDescent="0.3">
      <c r="A383" t="s">
        <v>1626</v>
      </c>
      <c r="B383" s="12">
        <v>45919</v>
      </c>
      <c r="C383" s="12">
        <v>45923</v>
      </c>
      <c r="D383" t="s">
        <v>1627</v>
      </c>
      <c r="E383" t="s">
        <v>154</v>
      </c>
      <c r="F383" t="s">
        <v>41</v>
      </c>
      <c r="G383" t="s">
        <v>9</v>
      </c>
      <c r="H383" t="s">
        <v>522</v>
      </c>
      <c r="I383" t="s">
        <v>523</v>
      </c>
      <c r="J383" t="s">
        <v>20</v>
      </c>
      <c r="K383" t="s">
        <v>28</v>
      </c>
      <c r="M383" t="s">
        <v>35</v>
      </c>
      <c r="N383">
        <v>4</v>
      </c>
      <c r="O383">
        <v>4387.1499999999996</v>
      </c>
      <c r="P383">
        <v>0.05</v>
      </c>
      <c r="Q383">
        <v>0.05</v>
      </c>
      <c r="R383">
        <v>16671.169999999998</v>
      </c>
      <c r="S383">
        <v>10833.19</v>
      </c>
      <c r="T383">
        <v>16671.169999999998</v>
      </c>
      <c r="U383">
        <v>5837.98</v>
      </c>
      <c r="V383">
        <v>0.35018418023450099</v>
      </c>
      <c r="W383">
        <v>4</v>
      </c>
      <c r="X383" t="s">
        <v>196</v>
      </c>
      <c r="Y383">
        <v>2025</v>
      </c>
      <c r="Z383" t="s">
        <v>269</v>
      </c>
      <c r="AA383" t="s">
        <v>165</v>
      </c>
      <c r="AB383" t="s">
        <v>131</v>
      </c>
      <c r="AC383" t="s">
        <v>131</v>
      </c>
      <c r="AD383" t="s">
        <v>131</v>
      </c>
      <c r="AE383" t="s">
        <v>131</v>
      </c>
      <c r="AF383" t="s">
        <v>131</v>
      </c>
      <c r="AG383" t="s">
        <v>131</v>
      </c>
      <c r="AH383" t="s">
        <v>131</v>
      </c>
      <c r="AI383" t="s">
        <v>133</v>
      </c>
      <c r="AJ383" t="s">
        <v>1628</v>
      </c>
      <c r="AK383" t="s">
        <v>1629</v>
      </c>
      <c r="AL383" t="s">
        <v>154</v>
      </c>
      <c r="AM383" t="s">
        <v>1630</v>
      </c>
      <c r="AN383" t="s">
        <v>9</v>
      </c>
      <c r="AO383" t="s">
        <v>522</v>
      </c>
      <c r="AP383" t="s">
        <v>523</v>
      </c>
      <c r="AQ383" t="s">
        <v>20</v>
      </c>
      <c r="AR383" t="s">
        <v>28</v>
      </c>
      <c r="AS383" t="s">
        <v>35</v>
      </c>
      <c r="AT383">
        <v>0.05</v>
      </c>
      <c r="AU383" t="s">
        <v>269</v>
      </c>
      <c r="AV383" t="s">
        <v>165</v>
      </c>
    </row>
    <row r="384" spans="1:48" x14ac:dyDescent="0.3">
      <c r="A384" t="s">
        <v>1631</v>
      </c>
      <c r="B384" s="12">
        <v>45720</v>
      </c>
      <c r="C384" s="12">
        <v>45724</v>
      </c>
      <c r="D384" t="s">
        <v>273</v>
      </c>
      <c r="E384" t="s">
        <v>154</v>
      </c>
      <c r="F384" t="s">
        <v>44</v>
      </c>
      <c r="G384" t="s">
        <v>8</v>
      </c>
      <c r="H384" t="s">
        <v>259</v>
      </c>
      <c r="I384" t="s">
        <v>260</v>
      </c>
      <c r="J384" t="s">
        <v>15</v>
      </c>
      <c r="K384" t="s">
        <v>17</v>
      </c>
      <c r="M384" t="s">
        <v>36</v>
      </c>
      <c r="N384">
        <v>3</v>
      </c>
      <c r="O384">
        <v>4361.8500000000004</v>
      </c>
      <c r="P384">
        <v>0.2</v>
      </c>
      <c r="Q384">
        <v>0.2</v>
      </c>
      <c r="R384">
        <v>10468.44</v>
      </c>
      <c r="S384">
        <v>8399.8700000000008</v>
      </c>
      <c r="T384">
        <v>10468.44</v>
      </c>
      <c r="U384">
        <v>2068.5700000000002</v>
      </c>
      <c r="V384">
        <v>0.19760059760575599</v>
      </c>
      <c r="W384">
        <v>4</v>
      </c>
      <c r="X384" t="s">
        <v>278</v>
      </c>
      <c r="Y384">
        <v>2025</v>
      </c>
      <c r="Z384" t="s">
        <v>129</v>
      </c>
      <c r="AA384" t="s">
        <v>130</v>
      </c>
      <c r="AB384" t="s">
        <v>131</v>
      </c>
      <c r="AC384" t="s">
        <v>131</v>
      </c>
      <c r="AD384" t="s">
        <v>131</v>
      </c>
      <c r="AE384" t="s">
        <v>131</v>
      </c>
      <c r="AF384" t="s">
        <v>131</v>
      </c>
      <c r="AG384" t="s">
        <v>131</v>
      </c>
      <c r="AH384" t="s">
        <v>132</v>
      </c>
      <c r="AI384" t="s">
        <v>133</v>
      </c>
      <c r="AJ384" t="s">
        <v>1632</v>
      </c>
      <c r="AK384" t="s">
        <v>564</v>
      </c>
      <c r="AL384" t="s">
        <v>154</v>
      </c>
      <c r="AM384" t="s">
        <v>44</v>
      </c>
      <c r="AN384" t="s">
        <v>8</v>
      </c>
      <c r="AO384" t="s">
        <v>259</v>
      </c>
      <c r="AP384" t="s">
        <v>260</v>
      </c>
      <c r="AQ384" t="s">
        <v>1633</v>
      </c>
      <c r="AR384" t="s">
        <v>17</v>
      </c>
      <c r="AS384" t="s">
        <v>36</v>
      </c>
      <c r="AT384">
        <v>0.2</v>
      </c>
      <c r="AU384" t="s">
        <v>129</v>
      </c>
      <c r="AV384" t="s">
        <v>130</v>
      </c>
    </row>
    <row r="385" spans="1:48" x14ac:dyDescent="0.3">
      <c r="A385" t="s">
        <v>1634</v>
      </c>
      <c r="B385" s="12">
        <v>45836</v>
      </c>
      <c r="C385" s="12">
        <v>45843</v>
      </c>
      <c r="D385" t="s">
        <v>1635</v>
      </c>
      <c r="E385" t="s">
        <v>170</v>
      </c>
      <c r="F385" t="s">
        <v>43</v>
      </c>
      <c r="G385" t="s">
        <v>8</v>
      </c>
      <c r="H385" t="s">
        <v>201</v>
      </c>
      <c r="I385" t="s">
        <v>202</v>
      </c>
      <c r="J385" t="s">
        <v>20</v>
      </c>
      <c r="K385" t="s">
        <v>29</v>
      </c>
      <c r="M385" t="s">
        <v>36</v>
      </c>
      <c r="N385">
        <v>2</v>
      </c>
      <c r="O385">
        <v>2242.75</v>
      </c>
      <c r="P385">
        <v>0</v>
      </c>
      <c r="Q385">
        <v>0</v>
      </c>
      <c r="R385">
        <v>4485.5</v>
      </c>
      <c r="S385">
        <v>3131.86</v>
      </c>
      <c r="T385">
        <v>4485.5</v>
      </c>
      <c r="U385">
        <v>1353.64</v>
      </c>
      <c r="V385">
        <v>0.30178129528480702</v>
      </c>
      <c r="W385">
        <v>7</v>
      </c>
      <c r="X385" t="s">
        <v>148</v>
      </c>
      <c r="Y385">
        <v>2025</v>
      </c>
      <c r="Z385" t="s">
        <v>129</v>
      </c>
      <c r="AA385" t="s">
        <v>165</v>
      </c>
      <c r="AB385" t="s">
        <v>131</v>
      </c>
      <c r="AC385" t="s">
        <v>131</v>
      </c>
      <c r="AD385" t="s">
        <v>131</v>
      </c>
      <c r="AE385" t="s">
        <v>131</v>
      </c>
      <c r="AF385" t="s">
        <v>131</v>
      </c>
      <c r="AG385" t="s">
        <v>131</v>
      </c>
      <c r="AH385" t="s">
        <v>131</v>
      </c>
      <c r="AI385" t="s">
        <v>133</v>
      </c>
      <c r="AJ385" t="s">
        <v>1332</v>
      </c>
      <c r="AK385" t="s">
        <v>981</v>
      </c>
      <c r="AL385" t="s">
        <v>170</v>
      </c>
      <c r="AM385" t="s">
        <v>43</v>
      </c>
      <c r="AN385" t="s">
        <v>8</v>
      </c>
      <c r="AO385" t="s">
        <v>201</v>
      </c>
      <c r="AP385" t="s">
        <v>202</v>
      </c>
      <c r="AQ385" t="s">
        <v>20</v>
      </c>
      <c r="AR385" t="s">
        <v>29</v>
      </c>
      <c r="AS385" t="s">
        <v>36</v>
      </c>
      <c r="AT385">
        <v>0</v>
      </c>
      <c r="AU385" t="s">
        <v>129</v>
      </c>
      <c r="AV385" t="s">
        <v>165</v>
      </c>
    </row>
    <row r="386" spans="1:48" x14ac:dyDescent="0.3">
      <c r="A386" t="s">
        <v>1636</v>
      </c>
      <c r="B386" s="12">
        <v>45366</v>
      </c>
      <c r="C386" s="12">
        <v>45371</v>
      </c>
      <c r="D386" t="s">
        <v>1637</v>
      </c>
      <c r="E386" t="s">
        <v>255</v>
      </c>
      <c r="F386" t="s">
        <v>42</v>
      </c>
      <c r="G386" t="s">
        <v>8</v>
      </c>
      <c r="H386" t="s">
        <v>362</v>
      </c>
      <c r="I386" t="s">
        <v>363</v>
      </c>
      <c r="J386" t="s">
        <v>15</v>
      </c>
      <c r="K386" t="s">
        <v>16</v>
      </c>
      <c r="M386" t="s">
        <v>35</v>
      </c>
      <c r="N386">
        <v>2</v>
      </c>
      <c r="O386">
        <v>1881.4</v>
      </c>
      <c r="P386">
        <v>0.25</v>
      </c>
      <c r="Q386">
        <v>0.25</v>
      </c>
      <c r="R386">
        <v>2822.1</v>
      </c>
      <c r="S386">
        <v>1624.57</v>
      </c>
      <c r="T386">
        <v>2822.1</v>
      </c>
      <c r="U386">
        <v>1197.53</v>
      </c>
      <c r="V386">
        <v>0.42434003047376101</v>
      </c>
      <c r="W386">
        <v>5</v>
      </c>
      <c r="X386" t="s">
        <v>278</v>
      </c>
      <c r="Y386">
        <v>2024</v>
      </c>
      <c r="Z386" t="s">
        <v>129</v>
      </c>
      <c r="AA386" t="s">
        <v>204</v>
      </c>
      <c r="AB386" t="s">
        <v>131</v>
      </c>
      <c r="AC386" t="s">
        <v>131</v>
      </c>
      <c r="AD386" t="s">
        <v>131</v>
      </c>
      <c r="AE386" t="s">
        <v>131</v>
      </c>
      <c r="AF386" t="s">
        <v>131</v>
      </c>
      <c r="AG386" t="s">
        <v>131</v>
      </c>
      <c r="AH386" t="s">
        <v>131</v>
      </c>
      <c r="AI386" t="s">
        <v>133</v>
      </c>
      <c r="AJ386" t="s">
        <v>1638</v>
      </c>
      <c r="AK386" t="s">
        <v>1639</v>
      </c>
      <c r="AL386" t="s">
        <v>255</v>
      </c>
      <c r="AM386" t="s">
        <v>42</v>
      </c>
      <c r="AN386" t="s">
        <v>8</v>
      </c>
      <c r="AO386" t="s">
        <v>362</v>
      </c>
      <c r="AP386" t="s">
        <v>363</v>
      </c>
      <c r="AQ386" t="s">
        <v>15</v>
      </c>
      <c r="AR386" t="s">
        <v>16</v>
      </c>
      <c r="AS386" t="s">
        <v>35</v>
      </c>
      <c r="AT386">
        <v>0.25</v>
      </c>
      <c r="AU386" t="s">
        <v>129</v>
      </c>
      <c r="AV386" t="s">
        <v>204</v>
      </c>
    </row>
    <row r="387" spans="1:48" x14ac:dyDescent="0.3">
      <c r="A387" t="s">
        <v>1640</v>
      </c>
      <c r="B387" s="12">
        <v>45832</v>
      </c>
      <c r="C387" s="12">
        <v>45838</v>
      </c>
      <c r="D387" t="s">
        <v>1641</v>
      </c>
      <c r="E387" t="s">
        <v>154</v>
      </c>
      <c r="F387" t="s">
        <v>42</v>
      </c>
      <c r="G387" t="s">
        <v>9</v>
      </c>
      <c r="H387" t="s">
        <v>372</v>
      </c>
      <c r="I387" t="s">
        <v>373</v>
      </c>
      <c r="J387" t="s">
        <v>20</v>
      </c>
      <c r="K387" t="s">
        <v>30</v>
      </c>
      <c r="M387" t="s">
        <v>35</v>
      </c>
      <c r="N387">
        <v>6</v>
      </c>
      <c r="O387">
        <v>365.76</v>
      </c>
      <c r="P387">
        <v>0.1</v>
      </c>
      <c r="Q387">
        <v>0.1</v>
      </c>
      <c r="R387">
        <v>1975.1</v>
      </c>
      <c r="S387">
        <v>1115.3499999999999</v>
      </c>
      <c r="T387">
        <v>1975.104</v>
      </c>
      <c r="U387">
        <v>859.75400000000002</v>
      </c>
      <c r="V387">
        <v>0.43529555911992501</v>
      </c>
      <c r="W387">
        <v>6</v>
      </c>
      <c r="X387" t="s">
        <v>148</v>
      </c>
      <c r="Y387">
        <v>2025</v>
      </c>
      <c r="Z387" t="s">
        <v>129</v>
      </c>
      <c r="AA387" t="s">
        <v>130</v>
      </c>
      <c r="AB387" t="s">
        <v>131</v>
      </c>
      <c r="AC387" t="s">
        <v>131</v>
      </c>
      <c r="AD387" t="s">
        <v>131</v>
      </c>
      <c r="AE387" t="s">
        <v>131</v>
      </c>
      <c r="AF387" t="s">
        <v>131</v>
      </c>
      <c r="AG387" t="s">
        <v>131</v>
      </c>
      <c r="AH387" t="s">
        <v>132</v>
      </c>
      <c r="AI387" t="s">
        <v>133</v>
      </c>
      <c r="AJ387" t="s">
        <v>918</v>
      </c>
      <c r="AK387" t="s">
        <v>1642</v>
      </c>
      <c r="AL387" t="s">
        <v>154</v>
      </c>
      <c r="AM387" t="s">
        <v>42</v>
      </c>
      <c r="AN387" t="s">
        <v>9</v>
      </c>
      <c r="AO387" t="s">
        <v>372</v>
      </c>
      <c r="AP387" t="s">
        <v>373</v>
      </c>
      <c r="AQ387" t="s">
        <v>20</v>
      </c>
      <c r="AR387" t="s">
        <v>30</v>
      </c>
      <c r="AS387" t="s">
        <v>35</v>
      </c>
      <c r="AT387">
        <v>0.1</v>
      </c>
      <c r="AU387" t="s">
        <v>129</v>
      </c>
      <c r="AV387" t="s">
        <v>130</v>
      </c>
    </row>
    <row r="388" spans="1:48" x14ac:dyDescent="0.3">
      <c r="A388" t="s">
        <v>1643</v>
      </c>
      <c r="B388" s="12">
        <v>45700</v>
      </c>
      <c r="C388" s="12">
        <v>45702</v>
      </c>
      <c r="D388" t="s">
        <v>1644</v>
      </c>
      <c r="E388" t="s">
        <v>243</v>
      </c>
      <c r="F388" t="s">
        <v>42</v>
      </c>
      <c r="G388" t="s">
        <v>7</v>
      </c>
      <c r="H388" t="s">
        <v>163</v>
      </c>
      <c r="I388" t="s">
        <v>164</v>
      </c>
      <c r="J388" t="s">
        <v>18</v>
      </c>
      <c r="K388" t="s">
        <v>23</v>
      </c>
      <c r="M388" t="s">
        <v>37</v>
      </c>
      <c r="N388">
        <v>8</v>
      </c>
      <c r="O388">
        <v>2786.66</v>
      </c>
      <c r="P388">
        <v>0.1</v>
      </c>
      <c r="Q388">
        <v>0.1</v>
      </c>
      <c r="R388">
        <v>20063.95</v>
      </c>
      <c r="S388">
        <v>14363.38</v>
      </c>
      <c r="T388">
        <v>20063.952000000001</v>
      </c>
      <c r="U388">
        <v>5700.5720000000001</v>
      </c>
      <c r="V388">
        <v>0.28412009757599099</v>
      </c>
      <c r="W388">
        <v>2</v>
      </c>
      <c r="X388" t="s">
        <v>186</v>
      </c>
      <c r="Y388">
        <v>2025</v>
      </c>
      <c r="Z388" t="s">
        <v>129</v>
      </c>
      <c r="AA388" t="s">
        <v>130</v>
      </c>
      <c r="AB388" t="s">
        <v>131</v>
      </c>
      <c r="AC388" t="s">
        <v>131</v>
      </c>
      <c r="AD388" t="s">
        <v>131</v>
      </c>
      <c r="AE388" t="s">
        <v>131</v>
      </c>
      <c r="AF388" t="s">
        <v>131</v>
      </c>
      <c r="AG388" t="s">
        <v>131</v>
      </c>
      <c r="AH388" t="s">
        <v>132</v>
      </c>
      <c r="AI388" t="s">
        <v>133</v>
      </c>
      <c r="AJ388" t="s">
        <v>1237</v>
      </c>
      <c r="AK388" t="s">
        <v>1645</v>
      </c>
      <c r="AL388" t="s">
        <v>243</v>
      </c>
      <c r="AM388" t="s">
        <v>42</v>
      </c>
      <c r="AN388" t="s">
        <v>7</v>
      </c>
      <c r="AO388" t="s">
        <v>163</v>
      </c>
      <c r="AP388" t="s">
        <v>164</v>
      </c>
      <c r="AQ388" t="s">
        <v>18</v>
      </c>
      <c r="AR388" t="s">
        <v>23</v>
      </c>
      <c r="AS388" t="s">
        <v>37</v>
      </c>
      <c r="AT388">
        <v>0.1</v>
      </c>
      <c r="AU388" t="s">
        <v>129</v>
      </c>
      <c r="AV388" t="s">
        <v>130</v>
      </c>
    </row>
    <row r="389" spans="1:48" x14ac:dyDescent="0.3">
      <c r="A389" t="s">
        <v>1646</v>
      </c>
      <c r="B389" s="12">
        <v>45879</v>
      </c>
      <c r="C389" s="12">
        <v>45882</v>
      </c>
      <c r="D389" t="s">
        <v>1647</v>
      </c>
      <c r="E389" t="s">
        <v>221</v>
      </c>
      <c r="F389" t="s">
        <v>44</v>
      </c>
      <c r="G389" t="s">
        <v>7</v>
      </c>
      <c r="H389" t="s">
        <v>171</v>
      </c>
      <c r="I389" t="s">
        <v>172</v>
      </c>
      <c r="J389" t="s">
        <v>18</v>
      </c>
      <c r="K389" t="s">
        <v>19</v>
      </c>
      <c r="M389" t="s">
        <v>35</v>
      </c>
      <c r="N389">
        <v>5</v>
      </c>
      <c r="O389">
        <v>352.86</v>
      </c>
      <c r="P389">
        <v>0</v>
      </c>
      <c r="Q389">
        <v>0</v>
      </c>
      <c r="R389">
        <v>1764.3</v>
      </c>
      <c r="S389">
        <v>1332.49</v>
      </c>
      <c r="T389">
        <v>1764.3</v>
      </c>
      <c r="U389">
        <v>431.81</v>
      </c>
      <c r="V389">
        <v>0.244748625517202</v>
      </c>
      <c r="W389">
        <v>3</v>
      </c>
      <c r="X389" t="s">
        <v>142</v>
      </c>
      <c r="Y389">
        <v>2025</v>
      </c>
      <c r="Z389" t="s">
        <v>215</v>
      </c>
      <c r="AA389" t="s">
        <v>165</v>
      </c>
      <c r="AB389" t="s">
        <v>131</v>
      </c>
      <c r="AC389" t="s">
        <v>131</v>
      </c>
      <c r="AD389" t="s">
        <v>131</v>
      </c>
      <c r="AE389" t="s">
        <v>131</v>
      </c>
      <c r="AF389" t="s">
        <v>131</v>
      </c>
      <c r="AG389" t="s">
        <v>131</v>
      </c>
      <c r="AH389" t="s">
        <v>131</v>
      </c>
      <c r="AI389" t="s">
        <v>133</v>
      </c>
      <c r="AJ389" t="s">
        <v>877</v>
      </c>
      <c r="AK389" t="s">
        <v>1015</v>
      </c>
      <c r="AL389" t="s">
        <v>221</v>
      </c>
      <c r="AM389" t="s">
        <v>44</v>
      </c>
      <c r="AN389" t="s">
        <v>7</v>
      </c>
      <c r="AO389" t="s">
        <v>171</v>
      </c>
      <c r="AP389" t="s">
        <v>172</v>
      </c>
      <c r="AQ389" t="s">
        <v>18</v>
      </c>
      <c r="AR389" t="s">
        <v>19</v>
      </c>
      <c r="AS389" t="s">
        <v>35</v>
      </c>
      <c r="AT389">
        <v>0</v>
      </c>
      <c r="AU389" t="s">
        <v>215</v>
      </c>
      <c r="AV389" t="s">
        <v>165</v>
      </c>
    </row>
    <row r="390" spans="1:48" x14ac:dyDescent="0.3">
      <c r="A390" t="s">
        <v>1648</v>
      </c>
      <c r="B390" s="12">
        <v>45425</v>
      </c>
      <c r="C390" s="12">
        <v>45430</v>
      </c>
      <c r="D390" t="s">
        <v>1649</v>
      </c>
      <c r="E390" t="s">
        <v>147</v>
      </c>
      <c r="F390" t="s">
        <v>44</v>
      </c>
      <c r="G390" t="s">
        <v>7</v>
      </c>
      <c r="H390" t="s">
        <v>300</v>
      </c>
      <c r="I390" t="s">
        <v>301</v>
      </c>
      <c r="J390" t="s">
        <v>18</v>
      </c>
      <c r="K390" t="s">
        <v>19</v>
      </c>
      <c r="M390" t="s">
        <v>35</v>
      </c>
      <c r="N390">
        <v>3</v>
      </c>
      <c r="O390">
        <v>3128.59</v>
      </c>
      <c r="P390">
        <v>0</v>
      </c>
      <c r="Q390">
        <v>0</v>
      </c>
      <c r="R390">
        <v>9385.77</v>
      </c>
      <c r="S390">
        <v>6872.44</v>
      </c>
      <c r="T390">
        <v>9385.77</v>
      </c>
      <c r="U390">
        <v>2513.33</v>
      </c>
      <c r="V390">
        <v>0.26778090662779902</v>
      </c>
      <c r="W390">
        <v>5</v>
      </c>
      <c r="X390" t="s">
        <v>173</v>
      </c>
      <c r="Y390">
        <v>2024</v>
      </c>
      <c r="Z390" t="s">
        <v>129</v>
      </c>
      <c r="AA390" t="s">
        <v>130</v>
      </c>
      <c r="AB390" t="s">
        <v>131</v>
      </c>
      <c r="AC390" t="s">
        <v>131</v>
      </c>
      <c r="AD390" t="s">
        <v>131</v>
      </c>
      <c r="AE390" t="s">
        <v>131</v>
      </c>
      <c r="AF390" t="s">
        <v>131</v>
      </c>
      <c r="AG390" t="s">
        <v>131</v>
      </c>
      <c r="AH390" t="s">
        <v>132</v>
      </c>
      <c r="AI390" t="s">
        <v>133</v>
      </c>
      <c r="AJ390" t="s">
        <v>1650</v>
      </c>
      <c r="AK390" t="s">
        <v>1651</v>
      </c>
      <c r="AL390" t="s">
        <v>147</v>
      </c>
      <c r="AM390" t="s">
        <v>44</v>
      </c>
      <c r="AN390" t="s">
        <v>7</v>
      </c>
      <c r="AO390" t="s">
        <v>300</v>
      </c>
      <c r="AP390" t="s">
        <v>301</v>
      </c>
      <c r="AQ390" t="s">
        <v>18</v>
      </c>
      <c r="AR390" t="s">
        <v>19</v>
      </c>
      <c r="AS390" t="s">
        <v>35</v>
      </c>
      <c r="AT390">
        <v>0</v>
      </c>
      <c r="AU390" t="s">
        <v>129</v>
      </c>
      <c r="AV390" t="s">
        <v>130</v>
      </c>
    </row>
    <row r="391" spans="1:48" x14ac:dyDescent="0.3">
      <c r="A391" t="s">
        <v>1652</v>
      </c>
      <c r="B391" s="12">
        <v>45387</v>
      </c>
      <c r="C391" s="12">
        <v>45395</v>
      </c>
      <c r="D391" t="s">
        <v>1653</v>
      </c>
      <c r="E391" t="s">
        <v>277</v>
      </c>
      <c r="F391" t="s">
        <v>43</v>
      </c>
      <c r="G391" t="s">
        <v>7</v>
      </c>
      <c r="H391" t="s">
        <v>300</v>
      </c>
      <c r="I391" t="s">
        <v>301</v>
      </c>
      <c r="J391" t="s">
        <v>15</v>
      </c>
      <c r="K391" t="s">
        <v>25</v>
      </c>
      <c r="M391" t="s">
        <v>37</v>
      </c>
      <c r="N391">
        <v>5</v>
      </c>
      <c r="O391">
        <v>1937.54</v>
      </c>
      <c r="P391">
        <v>0.2</v>
      </c>
      <c r="Q391">
        <v>0.2</v>
      </c>
      <c r="R391">
        <v>7750.16</v>
      </c>
      <c r="S391">
        <v>5434.3</v>
      </c>
      <c r="T391">
        <v>7750.16</v>
      </c>
      <c r="U391">
        <v>2315.86</v>
      </c>
      <c r="V391">
        <v>0.29881447608823603</v>
      </c>
      <c r="W391">
        <v>8</v>
      </c>
      <c r="X391" t="s">
        <v>179</v>
      </c>
      <c r="Y391">
        <v>2024</v>
      </c>
      <c r="Z391" t="s">
        <v>215</v>
      </c>
      <c r="AA391" t="s">
        <v>165</v>
      </c>
      <c r="AB391" t="s">
        <v>131</v>
      </c>
      <c r="AC391" t="s">
        <v>131</v>
      </c>
      <c r="AD391" t="s">
        <v>131</v>
      </c>
      <c r="AE391" t="s">
        <v>131</v>
      </c>
      <c r="AF391" t="s">
        <v>131</v>
      </c>
      <c r="AG391" t="s">
        <v>131</v>
      </c>
      <c r="AH391" t="s">
        <v>131</v>
      </c>
      <c r="AI391" t="s">
        <v>133</v>
      </c>
      <c r="AJ391" t="s">
        <v>1654</v>
      </c>
      <c r="AK391" t="s">
        <v>397</v>
      </c>
      <c r="AL391" t="s">
        <v>277</v>
      </c>
      <c r="AM391" t="s">
        <v>43</v>
      </c>
      <c r="AN391" t="s">
        <v>7</v>
      </c>
      <c r="AO391" t="s">
        <v>300</v>
      </c>
      <c r="AP391" t="s">
        <v>301</v>
      </c>
      <c r="AQ391" t="s">
        <v>15</v>
      </c>
      <c r="AR391" t="s">
        <v>25</v>
      </c>
      <c r="AS391" t="s">
        <v>37</v>
      </c>
      <c r="AT391">
        <v>0.2</v>
      </c>
      <c r="AU391" t="s">
        <v>215</v>
      </c>
      <c r="AV391" t="s">
        <v>165</v>
      </c>
    </row>
    <row r="392" spans="1:48" x14ac:dyDescent="0.3">
      <c r="A392" t="s">
        <v>1655</v>
      </c>
      <c r="B392" s="12">
        <v>45602</v>
      </c>
      <c r="C392" s="12">
        <v>45607</v>
      </c>
      <c r="D392" t="s">
        <v>1656</v>
      </c>
      <c r="E392" t="s">
        <v>147</v>
      </c>
      <c r="F392" t="s">
        <v>42</v>
      </c>
      <c r="G392" t="s">
        <v>7</v>
      </c>
      <c r="H392" t="s">
        <v>300</v>
      </c>
      <c r="I392" t="s">
        <v>301</v>
      </c>
      <c r="J392" t="s">
        <v>18</v>
      </c>
      <c r="K392" t="s">
        <v>23</v>
      </c>
      <c r="M392" t="s">
        <v>35</v>
      </c>
      <c r="N392">
        <v>4</v>
      </c>
      <c r="O392">
        <v>1917.26</v>
      </c>
      <c r="P392">
        <v>0.2</v>
      </c>
      <c r="Q392">
        <v>0.2</v>
      </c>
      <c r="R392">
        <v>6135.23</v>
      </c>
      <c r="S392">
        <v>3439.79</v>
      </c>
      <c r="T392">
        <v>6135.232</v>
      </c>
      <c r="U392">
        <v>2695.442</v>
      </c>
      <c r="V392">
        <v>0.43933823529411797</v>
      </c>
      <c r="W392">
        <v>5</v>
      </c>
      <c r="X392" t="s">
        <v>157</v>
      </c>
      <c r="Y392">
        <v>2024</v>
      </c>
      <c r="Z392" t="s">
        <v>129</v>
      </c>
      <c r="AA392" t="s">
        <v>130</v>
      </c>
      <c r="AB392" t="s">
        <v>131</v>
      </c>
      <c r="AC392" t="s">
        <v>131</v>
      </c>
      <c r="AD392" t="s">
        <v>131</v>
      </c>
      <c r="AE392" t="s">
        <v>131</v>
      </c>
      <c r="AF392" t="s">
        <v>131</v>
      </c>
      <c r="AG392" t="s">
        <v>131</v>
      </c>
      <c r="AH392" t="s">
        <v>132</v>
      </c>
      <c r="AI392" t="s">
        <v>133</v>
      </c>
      <c r="AJ392" t="s">
        <v>1657</v>
      </c>
      <c r="AK392" t="s">
        <v>506</v>
      </c>
      <c r="AL392" t="s">
        <v>147</v>
      </c>
      <c r="AM392" t="s">
        <v>42</v>
      </c>
      <c r="AN392" t="s">
        <v>7</v>
      </c>
      <c r="AO392" t="s">
        <v>300</v>
      </c>
      <c r="AP392" t="s">
        <v>301</v>
      </c>
      <c r="AQ392" t="s">
        <v>18</v>
      </c>
      <c r="AR392" t="s">
        <v>23</v>
      </c>
      <c r="AS392" t="s">
        <v>35</v>
      </c>
      <c r="AT392">
        <v>0.2</v>
      </c>
      <c r="AU392" t="s">
        <v>129</v>
      </c>
      <c r="AV392" t="s">
        <v>130</v>
      </c>
    </row>
    <row r="393" spans="1:48" x14ac:dyDescent="0.3">
      <c r="A393" t="s">
        <v>1658</v>
      </c>
      <c r="B393" s="12">
        <v>45702</v>
      </c>
      <c r="C393" s="12">
        <v>45702</v>
      </c>
      <c r="D393" t="s">
        <v>1659</v>
      </c>
      <c r="E393" t="s">
        <v>277</v>
      </c>
      <c r="F393" t="s">
        <v>42</v>
      </c>
      <c r="G393" t="s">
        <v>6</v>
      </c>
      <c r="H393" t="s">
        <v>294</v>
      </c>
      <c r="I393" t="s">
        <v>295</v>
      </c>
      <c r="J393" t="s">
        <v>20</v>
      </c>
      <c r="K393" t="s">
        <v>21</v>
      </c>
      <c r="M393" t="s">
        <v>36</v>
      </c>
      <c r="N393">
        <v>1</v>
      </c>
      <c r="O393">
        <v>714.43</v>
      </c>
      <c r="P393">
        <v>0</v>
      </c>
      <c r="Q393">
        <v>0</v>
      </c>
      <c r="R393">
        <v>714.43</v>
      </c>
      <c r="S393">
        <v>565.44000000000005</v>
      </c>
      <c r="T393">
        <v>714.43</v>
      </c>
      <c r="U393">
        <v>148.99</v>
      </c>
      <c r="V393">
        <v>0.20854387413742401</v>
      </c>
      <c r="W393">
        <v>0</v>
      </c>
      <c r="X393" t="s">
        <v>186</v>
      </c>
      <c r="Y393">
        <v>2025</v>
      </c>
      <c r="Z393" t="s">
        <v>129</v>
      </c>
      <c r="AA393" t="s">
        <v>130</v>
      </c>
      <c r="AB393" t="s">
        <v>131</v>
      </c>
      <c r="AC393" t="s">
        <v>131</v>
      </c>
      <c r="AD393" t="s">
        <v>131</v>
      </c>
      <c r="AE393" t="s">
        <v>131</v>
      </c>
      <c r="AF393" t="s">
        <v>131</v>
      </c>
      <c r="AG393" t="s">
        <v>131</v>
      </c>
      <c r="AH393" t="s">
        <v>132</v>
      </c>
      <c r="AI393" t="s">
        <v>133</v>
      </c>
      <c r="AJ393" t="s">
        <v>1645</v>
      </c>
      <c r="AK393" t="s">
        <v>1660</v>
      </c>
      <c r="AL393" t="s">
        <v>277</v>
      </c>
      <c r="AM393" t="s">
        <v>42</v>
      </c>
      <c r="AN393" t="s">
        <v>6</v>
      </c>
      <c r="AO393" t="s">
        <v>294</v>
      </c>
      <c r="AP393" t="s">
        <v>295</v>
      </c>
      <c r="AQ393" t="s">
        <v>20</v>
      </c>
      <c r="AR393" t="s">
        <v>21</v>
      </c>
      <c r="AS393" t="s">
        <v>36</v>
      </c>
      <c r="AT393">
        <v>0</v>
      </c>
      <c r="AU393" t="s">
        <v>129</v>
      </c>
      <c r="AV393" t="s">
        <v>130</v>
      </c>
    </row>
    <row r="394" spans="1:48" x14ac:dyDescent="0.3">
      <c r="A394" t="s">
        <v>1661</v>
      </c>
      <c r="B394" s="12">
        <v>45341</v>
      </c>
      <c r="C394" s="12">
        <v>45344</v>
      </c>
      <c r="D394" t="s">
        <v>1662</v>
      </c>
      <c r="E394" t="s">
        <v>191</v>
      </c>
      <c r="F394" t="s">
        <v>44</v>
      </c>
      <c r="G394" t="s">
        <v>6</v>
      </c>
      <c r="H394" t="s">
        <v>305</v>
      </c>
      <c r="I394" t="s">
        <v>306</v>
      </c>
      <c r="J394" t="s">
        <v>18</v>
      </c>
      <c r="K394" t="s">
        <v>23</v>
      </c>
      <c r="M394" t="s">
        <v>38</v>
      </c>
      <c r="N394">
        <v>9</v>
      </c>
      <c r="O394">
        <v>4053.01</v>
      </c>
      <c r="P394">
        <v>0</v>
      </c>
      <c r="Q394">
        <v>0</v>
      </c>
      <c r="R394">
        <v>36477.089999999997</v>
      </c>
      <c r="S394">
        <v>24525.48</v>
      </c>
      <c r="T394">
        <v>36477.089999999997</v>
      </c>
      <c r="U394">
        <v>11951.61</v>
      </c>
      <c r="V394">
        <v>0.32764702447481397</v>
      </c>
      <c r="W394">
        <v>3</v>
      </c>
      <c r="X394" t="s">
        <v>186</v>
      </c>
      <c r="Y394">
        <v>2024</v>
      </c>
      <c r="Z394" t="s">
        <v>129</v>
      </c>
      <c r="AA394" t="s">
        <v>130</v>
      </c>
      <c r="AB394" t="s">
        <v>131</v>
      </c>
      <c r="AC394" t="s">
        <v>131</v>
      </c>
      <c r="AD394" t="s">
        <v>131</v>
      </c>
      <c r="AE394" t="s">
        <v>131</v>
      </c>
      <c r="AF394" t="s">
        <v>131</v>
      </c>
      <c r="AG394" t="s">
        <v>131</v>
      </c>
      <c r="AH394" t="s">
        <v>132</v>
      </c>
      <c r="AI394" t="s">
        <v>133</v>
      </c>
      <c r="AJ394" t="s">
        <v>1663</v>
      </c>
      <c r="AK394" t="s">
        <v>1664</v>
      </c>
      <c r="AL394" t="s">
        <v>191</v>
      </c>
      <c r="AM394" t="s">
        <v>44</v>
      </c>
      <c r="AN394" t="s">
        <v>6</v>
      </c>
      <c r="AO394" t="s">
        <v>305</v>
      </c>
      <c r="AP394" t="s">
        <v>306</v>
      </c>
      <c r="AQ394" t="s">
        <v>18</v>
      </c>
      <c r="AR394" t="s">
        <v>23</v>
      </c>
      <c r="AS394" t="s">
        <v>38</v>
      </c>
      <c r="AT394">
        <v>0</v>
      </c>
      <c r="AU394" t="s">
        <v>129</v>
      </c>
      <c r="AV394" t="s">
        <v>130</v>
      </c>
    </row>
    <row r="395" spans="1:48" x14ac:dyDescent="0.3">
      <c r="A395" t="s">
        <v>1665</v>
      </c>
      <c r="B395" s="12">
        <v>45527</v>
      </c>
      <c r="C395" s="12">
        <v>45533</v>
      </c>
      <c r="D395" t="s">
        <v>1666</v>
      </c>
      <c r="E395" t="s">
        <v>139</v>
      </c>
      <c r="F395" t="s">
        <v>43</v>
      </c>
      <c r="G395" t="s">
        <v>9</v>
      </c>
      <c r="H395" t="s">
        <v>249</v>
      </c>
      <c r="I395" t="s">
        <v>250</v>
      </c>
      <c r="J395" t="s">
        <v>20</v>
      </c>
      <c r="K395" t="s">
        <v>30</v>
      </c>
      <c r="M395" t="s">
        <v>38</v>
      </c>
      <c r="N395">
        <v>2</v>
      </c>
      <c r="O395">
        <v>1936.91</v>
      </c>
      <c r="P395">
        <v>0.05</v>
      </c>
      <c r="Q395">
        <v>0.05</v>
      </c>
      <c r="R395">
        <v>3680.13</v>
      </c>
      <c r="S395">
        <v>2967.46</v>
      </c>
      <c r="T395">
        <v>3680.1289999999999</v>
      </c>
      <c r="U395">
        <v>712.66899999999998</v>
      </c>
      <c r="V395">
        <v>0.19365326595888299</v>
      </c>
      <c r="W395">
        <v>6</v>
      </c>
      <c r="X395" t="s">
        <v>142</v>
      </c>
      <c r="Y395">
        <v>2024</v>
      </c>
      <c r="Z395" t="s">
        <v>129</v>
      </c>
      <c r="AA395" t="s">
        <v>130</v>
      </c>
      <c r="AB395" t="s">
        <v>131</v>
      </c>
      <c r="AC395" t="s">
        <v>131</v>
      </c>
      <c r="AD395" t="s">
        <v>131</v>
      </c>
      <c r="AE395" t="s">
        <v>131</v>
      </c>
      <c r="AF395" t="s">
        <v>131</v>
      </c>
      <c r="AG395" t="s">
        <v>131</v>
      </c>
      <c r="AH395" t="s">
        <v>132</v>
      </c>
      <c r="AI395" t="s">
        <v>133</v>
      </c>
      <c r="AJ395" t="s">
        <v>1667</v>
      </c>
      <c r="AK395" t="s">
        <v>1668</v>
      </c>
      <c r="AL395" t="s">
        <v>139</v>
      </c>
      <c r="AM395" t="s">
        <v>43</v>
      </c>
      <c r="AN395" t="s">
        <v>9</v>
      </c>
      <c r="AO395" t="s">
        <v>249</v>
      </c>
      <c r="AP395" t="s">
        <v>250</v>
      </c>
      <c r="AQ395" t="s">
        <v>20</v>
      </c>
      <c r="AR395" t="s">
        <v>30</v>
      </c>
      <c r="AS395" t="s">
        <v>38</v>
      </c>
      <c r="AT395">
        <v>0.05</v>
      </c>
      <c r="AU395" t="s">
        <v>129</v>
      </c>
      <c r="AV395" t="s">
        <v>130</v>
      </c>
    </row>
    <row r="396" spans="1:48" x14ac:dyDescent="0.3">
      <c r="A396" t="s">
        <v>1669</v>
      </c>
      <c r="B396" s="12">
        <v>45385</v>
      </c>
      <c r="C396" s="12">
        <v>45386</v>
      </c>
      <c r="D396" t="s">
        <v>1670</v>
      </c>
      <c r="E396" t="s">
        <v>409</v>
      </c>
      <c r="F396" t="s">
        <v>42</v>
      </c>
      <c r="G396" t="s">
        <v>7</v>
      </c>
      <c r="H396" t="s">
        <v>163</v>
      </c>
      <c r="I396" t="s">
        <v>164</v>
      </c>
      <c r="J396" t="s">
        <v>18</v>
      </c>
      <c r="K396" t="s">
        <v>23</v>
      </c>
      <c r="M396" t="s">
        <v>36</v>
      </c>
      <c r="N396">
        <v>7</v>
      </c>
      <c r="O396">
        <v>3945.21</v>
      </c>
      <c r="P396">
        <v>0</v>
      </c>
      <c r="Q396">
        <v>0</v>
      </c>
      <c r="R396">
        <v>27616.47</v>
      </c>
      <c r="S396">
        <v>21225.26</v>
      </c>
      <c r="T396">
        <v>27616.47</v>
      </c>
      <c r="U396">
        <v>6391.21</v>
      </c>
      <c r="V396">
        <v>0.231427477878237</v>
      </c>
      <c r="W396">
        <v>1</v>
      </c>
      <c r="X396" t="s">
        <v>179</v>
      </c>
      <c r="Y396">
        <v>2024</v>
      </c>
      <c r="Z396" t="s">
        <v>129</v>
      </c>
      <c r="AA396" t="s">
        <v>130</v>
      </c>
      <c r="AB396" t="s">
        <v>131</v>
      </c>
      <c r="AC396" t="s">
        <v>131</v>
      </c>
      <c r="AD396" t="s">
        <v>131</v>
      </c>
      <c r="AE396" t="s">
        <v>131</v>
      </c>
      <c r="AF396" t="s">
        <v>131</v>
      </c>
      <c r="AG396" t="s">
        <v>131</v>
      </c>
      <c r="AH396" t="s">
        <v>132</v>
      </c>
      <c r="AI396" t="s">
        <v>133</v>
      </c>
      <c r="AJ396" t="s">
        <v>1671</v>
      </c>
      <c r="AK396" t="s">
        <v>1672</v>
      </c>
      <c r="AL396" t="s">
        <v>409</v>
      </c>
      <c r="AM396" t="s">
        <v>42</v>
      </c>
      <c r="AN396" t="s">
        <v>7</v>
      </c>
      <c r="AO396" t="s">
        <v>163</v>
      </c>
      <c r="AP396" t="s">
        <v>164</v>
      </c>
      <c r="AQ396" t="s">
        <v>18</v>
      </c>
      <c r="AR396" t="s">
        <v>23</v>
      </c>
      <c r="AS396" t="s">
        <v>36</v>
      </c>
      <c r="AT396">
        <v>0</v>
      </c>
      <c r="AU396" t="s">
        <v>129</v>
      </c>
      <c r="AV396" t="s">
        <v>130</v>
      </c>
    </row>
    <row r="397" spans="1:48" x14ac:dyDescent="0.3">
      <c r="A397" t="s">
        <v>1673</v>
      </c>
      <c r="B397" s="12">
        <v>45449</v>
      </c>
      <c r="C397" s="12">
        <v>45450</v>
      </c>
      <c r="D397" t="s">
        <v>1674</v>
      </c>
      <c r="E397" t="s">
        <v>227</v>
      </c>
      <c r="F397" t="s">
        <v>41</v>
      </c>
      <c r="G397" t="s">
        <v>6</v>
      </c>
      <c r="H397" t="s">
        <v>385</v>
      </c>
      <c r="I397" t="s">
        <v>386</v>
      </c>
      <c r="J397" t="s">
        <v>18</v>
      </c>
      <c r="K397" t="s">
        <v>27</v>
      </c>
      <c r="M397" t="s">
        <v>38</v>
      </c>
      <c r="N397">
        <v>7</v>
      </c>
      <c r="O397">
        <v>861.91</v>
      </c>
      <c r="P397">
        <v>0.05</v>
      </c>
      <c r="Q397">
        <v>0.05</v>
      </c>
      <c r="R397">
        <v>5731.7</v>
      </c>
      <c r="S397">
        <v>4115.5600000000004</v>
      </c>
      <c r="T397">
        <v>5731.7015000000001</v>
      </c>
      <c r="U397">
        <v>1616.1415</v>
      </c>
      <c r="V397">
        <v>0.28196539893084099</v>
      </c>
      <c r="W397">
        <v>1</v>
      </c>
      <c r="X397" t="s">
        <v>148</v>
      </c>
      <c r="Y397">
        <v>2024</v>
      </c>
      <c r="Z397" t="s">
        <v>129</v>
      </c>
      <c r="AA397" t="s">
        <v>130</v>
      </c>
      <c r="AB397" t="s">
        <v>131</v>
      </c>
      <c r="AC397" t="s">
        <v>131</v>
      </c>
      <c r="AD397" t="s">
        <v>131</v>
      </c>
      <c r="AE397" t="s">
        <v>131</v>
      </c>
      <c r="AF397" t="s">
        <v>131</v>
      </c>
      <c r="AG397" t="s">
        <v>131</v>
      </c>
      <c r="AH397" t="s">
        <v>132</v>
      </c>
      <c r="AI397" t="s">
        <v>133</v>
      </c>
      <c r="AJ397" t="s">
        <v>975</v>
      </c>
      <c r="AK397" t="s">
        <v>1517</v>
      </c>
      <c r="AL397" t="s">
        <v>227</v>
      </c>
      <c r="AM397" t="s">
        <v>41</v>
      </c>
      <c r="AN397" t="s">
        <v>6</v>
      </c>
      <c r="AO397" t="s">
        <v>385</v>
      </c>
      <c r="AP397" t="s">
        <v>386</v>
      </c>
      <c r="AQ397" t="s">
        <v>18</v>
      </c>
      <c r="AR397" t="s">
        <v>27</v>
      </c>
      <c r="AS397" t="s">
        <v>38</v>
      </c>
      <c r="AT397">
        <v>0.05</v>
      </c>
      <c r="AU397" t="s">
        <v>129</v>
      </c>
      <c r="AV397" t="s">
        <v>130</v>
      </c>
    </row>
    <row r="398" spans="1:48" x14ac:dyDescent="0.3">
      <c r="A398" t="s">
        <v>1675</v>
      </c>
      <c r="B398" s="12">
        <v>45761</v>
      </c>
      <c r="C398" s="12">
        <v>45769</v>
      </c>
      <c r="D398" t="s">
        <v>1676</v>
      </c>
      <c r="E398" t="s">
        <v>191</v>
      </c>
      <c r="F398" t="s">
        <v>44</v>
      </c>
      <c r="G398" t="s">
        <v>6</v>
      </c>
      <c r="H398" t="s">
        <v>294</v>
      </c>
      <c r="I398" t="s">
        <v>295</v>
      </c>
      <c r="J398" t="s">
        <v>15</v>
      </c>
      <c r="K398" t="s">
        <v>25</v>
      </c>
      <c r="M398" t="s">
        <v>35</v>
      </c>
      <c r="N398">
        <v>2</v>
      </c>
      <c r="O398">
        <v>638.73</v>
      </c>
      <c r="P398">
        <v>0.05</v>
      </c>
      <c r="Q398">
        <v>0.05</v>
      </c>
      <c r="R398">
        <v>1213.5899999999999</v>
      </c>
      <c r="S398">
        <v>956.22</v>
      </c>
      <c r="T398">
        <v>1213.587</v>
      </c>
      <c r="U398">
        <v>257.36700000000002</v>
      </c>
      <c r="V398">
        <v>0.212071322451542</v>
      </c>
      <c r="W398">
        <v>8</v>
      </c>
      <c r="X398" t="s">
        <v>179</v>
      </c>
      <c r="Y398">
        <v>2025</v>
      </c>
      <c r="Z398" t="s">
        <v>129</v>
      </c>
      <c r="AA398" t="s">
        <v>130</v>
      </c>
      <c r="AB398" t="s">
        <v>131</v>
      </c>
      <c r="AC398" t="s">
        <v>131</v>
      </c>
      <c r="AD398" t="s">
        <v>131</v>
      </c>
      <c r="AE398" t="s">
        <v>131</v>
      </c>
      <c r="AF398" t="s">
        <v>131</v>
      </c>
      <c r="AG398" t="s">
        <v>131</v>
      </c>
      <c r="AH398" t="s">
        <v>132</v>
      </c>
      <c r="AI398" t="s">
        <v>133</v>
      </c>
      <c r="AJ398" t="s">
        <v>1677</v>
      </c>
      <c r="AK398" t="s">
        <v>1678</v>
      </c>
      <c r="AL398" t="s">
        <v>191</v>
      </c>
      <c r="AM398" t="s">
        <v>44</v>
      </c>
      <c r="AN398" t="s">
        <v>6</v>
      </c>
      <c r="AO398" t="s">
        <v>294</v>
      </c>
      <c r="AP398" t="s">
        <v>295</v>
      </c>
      <c r="AQ398" t="s">
        <v>15</v>
      </c>
      <c r="AR398" t="s">
        <v>25</v>
      </c>
      <c r="AS398" t="s">
        <v>35</v>
      </c>
      <c r="AT398">
        <v>0.05</v>
      </c>
      <c r="AU398" t="s">
        <v>129</v>
      </c>
      <c r="AV398" t="s">
        <v>130</v>
      </c>
    </row>
    <row r="399" spans="1:48" x14ac:dyDescent="0.3">
      <c r="A399" t="s">
        <v>1679</v>
      </c>
      <c r="B399" s="12">
        <v>45817</v>
      </c>
      <c r="C399" s="12">
        <v>45818</v>
      </c>
      <c r="D399" t="s">
        <v>1680</v>
      </c>
      <c r="E399" t="s">
        <v>243</v>
      </c>
      <c r="F399" t="s">
        <v>44</v>
      </c>
      <c r="G399" t="s">
        <v>9</v>
      </c>
      <c r="H399" t="s">
        <v>249</v>
      </c>
      <c r="I399" t="s">
        <v>250</v>
      </c>
      <c r="J399" t="s">
        <v>18</v>
      </c>
      <c r="K399" t="s">
        <v>27</v>
      </c>
      <c r="M399" t="s">
        <v>37</v>
      </c>
      <c r="N399">
        <v>2</v>
      </c>
      <c r="O399">
        <v>1731.88</v>
      </c>
      <c r="P399">
        <v>0</v>
      </c>
      <c r="Q399">
        <v>0</v>
      </c>
      <c r="R399">
        <v>3463.76</v>
      </c>
      <c r="S399">
        <v>2143.7399999999998</v>
      </c>
      <c r="T399">
        <v>3463.76</v>
      </c>
      <c r="U399">
        <v>1320.02</v>
      </c>
      <c r="V399">
        <v>0.38109453310852998</v>
      </c>
      <c r="W399">
        <v>1</v>
      </c>
      <c r="X399" t="s">
        <v>148</v>
      </c>
      <c r="Y399">
        <v>2025</v>
      </c>
      <c r="Z399" t="s">
        <v>129</v>
      </c>
      <c r="AA399" t="s">
        <v>130</v>
      </c>
      <c r="AB399" t="s">
        <v>131</v>
      </c>
      <c r="AC399" t="s">
        <v>131</v>
      </c>
      <c r="AD399" t="s">
        <v>131</v>
      </c>
      <c r="AE399" t="s">
        <v>131</v>
      </c>
      <c r="AF399" t="s">
        <v>131</v>
      </c>
      <c r="AG399" t="s">
        <v>131</v>
      </c>
      <c r="AH399" t="s">
        <v>132</v>
      </c>
      <c r="AI399" t="s">
        <v>133</v>
      </c>
      <c r="AJ399" t="s">
        <v>1681</v>
      </c>
      <c r="AK399" t="s">
        <v>1682</v>
      </c>
      <c r="AL399" t="s">
        <v>243</v>
      </c>
      <c r="AM399" t="s">
        <v>44</v>
      </c>
      <c r="AN399" t="s">
        <v>9</v>
      </c>
      <c r="AO399" t="s">
        <v>249</v>
      </c>
      <c r="AP399" t="s">
        <v>250</v>
      </c>
      <c r="AQ399" t="s">
        <v>18</v>
      </c>
      <c r="AR399" t="s">
        <v>27</v>
      </c>
      <c r="AS399" t="s">
        <v>37</v>
      </c>
      <c r="AT399">
        <v>0</v>
      </c>
      <c r="AU399" t="s">
        <v>129</v>
      </c>
      <c r="AV399" t="s">
        <v>130</v>
      </c>
    </row>
    <row r="400" spans="1:48" x14ac:dyDescent="0.3">
      <c r="A400" t="s">
        <v>1683</v>
      </c>
      <c r="B400" s="12">
        <v>45492</v>
      </c>
      <c r="C400" s="12">
        <v>45499</v>
      </c>
      <c r="D400" t="s">
        <v>1684</v>
      </c>
      <c r="E400" t="s">
        <v>170</v>
      </c>
      <c r="F400" t="s">
        <v>43</v>
      </c>
      <c r="G400" t="s">
        <v>9</v>
      </c>
      <c r="H400" t="s">
        <v>232</v>
      </c>
      <c r="I400" t="s">
        <v>233</v>
      </c>
      <c r="J400" t="s">
        <v>15</v>
      </c>
      <c r="K400" t="s">
        <v>25</v>
      </c>
      <c r="M400" t="s">
        <v>38</v>
      </c>
      <c r="N400">
        <v>2</v>
      </c>
      <c r="O400">
        <v>1263.6500000000001</v>
      </c>
      <c r="P400">
        <v>0.2</v>
      </c>
      <c r="Q400">
        <v>0.2</v>
      </c>
      <c r="R400">
        <v>2021.84</v>
      </c>
      <c r="S400">
        <v>1355.22</v>
      </c>
      <c r="T400">
        <v>2021.84</v>
      </c>
      <c r="U400">
        <v>666.62</v>
      </c>
      <c r="V400">
        <v>0.32970957147944502</v>
      </c>
      <c r="W400">
        <v>7</v>
      </c>
      <c r="X400" t="s">
        <v>128</v>
      </c>
      <c r="Y400">
        <v>2024</v>
      </c>
      <c r="Z400" t="s">
        <v>129</v>
      </c>
      <c r="AA400" t="s">
        <v>130</v>
      </c>
      <c r="AB400" t="s">
        <v>131</v>
      </c>
      <c r="AC400" t="s">
        <v>131</v>
      </c>
      <c r="AD400" t="s">
        <v>131</v>
      </c>
      <c r="AE400" t="s">
        <v>131</v>
      </c>
      <c r="AF400" t="s">
        <v>131</v>
      </c>
      <c r="AG400" t="s">
        <v>131</v>
      </c>
      <c r="AH400" t="s">
        <v>132</v>
      </c>
      <c r="AI400" t="s">
        <v>133</v>
      </c>
      <c r="AJ400" t="s">
        <v>1685</v>
      </c>
      <c r="AK400" t="s">
        <v>1686</v>
      </c>
      <c r="AL400" t="s">
        <v>170</v>
      </c>
      <c r="AM400" t="s">
        <v>1687</v>
      </c>
      <c r="AN400" t="s">
        <v>9</v>
      </c>
      <c r="AO400" t="s">
        <v>232</v>
      </c>
      <c r="AP400" t="s">
        <v>233</v>
      </c>
      <c r="AQ400" t="s">
        <v>15</v>
      </c>
      <c r="AR400" t="s">
        <v>25</v>
      </c>
      <c r="AS400" t="s">
        <v>38</v>
      </c>
      <c r="AT400">
        <v>0.2</v>
      </c>
      <c r="AU400" t="s">
        <v>129</v>
      </c>
      <c r="AV400" t="s">
        <v>130</v>
      </c>
    </row>
    <row r="401" spans="1:48" x14ac:dyDescent="0.3">
      <c r="A401" t="s">
        <v>1688</v>
      </c>
      <c r="B401" s="12">
        <v>45771</v>
      </c>
      <c r="C401" s="12">
        <v>45776</v>
      </c>
      <c r="D401" t="s">
        <v>1689</v>
      </c>
      <c r="E401" t="s">
        <v>277</v>
      </c>
      <c r="F401" t="s">
        <v>44</v>
      </c>
      <c r="G401" t="s">
        <v>6</v>
      </c>
      <c r="H401" t="s">
        <v>184</v>
      </c>
      <c r="I401" t="s">
        <v>185</v>
      </c>
      <c r="J401" t="s">
        <v>20</v>
      </c>
      <c r="K401" t="s">
        <v>24</v>
      </c>
      <c r="M401" t="s">
        <v>38</v>
      </c>
      <c r="N401">
        <v>1</v>
      </c>
      <c r="O401">
        <v>4358.5</v>
      </c>
      <c r="P401">
        <v>0.25</v>
      </c>
      <c r="Q401">
        <v>0.25</v>
      </c>
      <c r="R401">
        <v>3268.88</v>
      </c>
      <c r="S401">
        <v>1993.74</v>
      </c>
      <c r="T401">
        <v>3268.875</v>
      </c>
      <c r="U401">
        <v>1275.135</v>
      </c>
      <c r="V401">
        <v>0.39008374440748</v>
      </c>
      <c r="W401">
        <v>5</v>
      </c>
      <c r="X401" t="s">
        <v>179</v>
      </c>
      <c r="Y401">
        <v>2025</v>
      </c>
      <c r="Z401" t="s">
        <v>129</v>
      </c>
      <c r="AA401" t="s">
        <v>130</v>
      </c>
      <c r="AB401" t="s">
        <v>131</v>
      </c>
      <c r="AC401" t="s">
        <v>131</v>
      </c>
      <c r="AD401" t="s">
        <v>131</v>
      </c>
      <c r="AE401" t="s">
        <v>131</v>
      </c>
      <c r="AF401" t="s">
        <v>131</v>
      </c>
      <c r="AG401" t="s">
        <v>131</v>
      </c>
      <c r="AH401" t="s">
        <v>132</v>
      </c>
      <c r="AI401" t="s">
        <v>133</v>
      </c>
      <c r="AJ401" t="s">
        <v>1690</v>
      </c>
      <c r="AK401" t="s">
        <v>1691</v>
      </c>
      <c r="AL401" t="s">
        <v>277</v>
      </c>
      <c r="AM401" t="s">
        <v>44</v>
      </c>
      <c r="AN401" t="s">
        <v>6</v>
      </c>
      <c r="AO401" t="s">
        <v>184</v>
      </c>
      <c r="AP401" t="s">
        <v>185</v>
      </c>
      <c r="AQ401" t="s">
        <v>20</v>
      </c>
      <c r="AR401" t="s">
        <v>24</v>
      </c>
      <c r="AS401" t="s">
        <v>38</v>
      </c>
      <c r="AT401">
        <v>0.25</v>
      </c>
      <c r="AU401" t="s">
        <v>129</v>
      </c>
      <c r="AV401" t="s">
        <v>130</v>
      </c>
    </row>
    <row r="402" spans="1:48" x14ac:dyDescent="0.3">
      <c r="A402" t="s">
        <v>1692</v>
      </c>
      <c r="B402" s="12">
        <v>45814</v>
      </c>
      <c r="C402" s="12">
        <v>45819</v>
      </c>
      <c r="D402" t="s">
        <v>1693</v>
      </c>
      <c r="E402" t="s">
        <v>243</v>
      </c>
      <c r="F402" t="s">
        <v>44</v>
      </c>
      <c r="G402" t="s">
        <v>9</v>
      </c>
      <c r="H402" t="s">
        <v>249</v>
      </c>
      <c r="I402" t="s">
        <v>250</v>
      </c>
      <c r="J402" t="s">
        <v>20</v>
      </c>
      <c r="K402" t="s">
        <v>24</v>
      </c>
      <c r="M402" t="s">
        <v>38</v>
      </c>
      <c r="N402">
        <v>7</v>
      </c>
      <c r="O402">
        <v>878.09</v>
      </c>
      <c r="P402">
        <v>-0.1</v>
      </c>
      <c r="Q402">
        <v>0</v>
      </c>
      <c r="R402">
        <v>5839.3</v>
      </c>
      <c r="S402">
        <v>4877.38</v>
      </c>
      <c r="T402">
        <v>6146.63</v>
      </c>
      <c r="U402">
        <v>1269.25</v>
      </c>
      <c r="V402">
        <v>0.20649526651189401</v>
      </c>
      <c r="W402">
        <v>5</v>
      </c>
      <c r="X402" t="s">
        <v>148</v>
      </c>
      <c r="Y402">
        <v>2025</v>
      </c>
      <c r="Z402" t="s">
        <v>129</v>
      </c>
      <c r="AA402" t="s">
        <v>130</v>
      </c>
      <c r="AB402" t="s">
        <v>131</v>
      </c>
      <c r="AC402" t="s">
        <v>131</v>
      </c>
      <c r="AD402" t="s">
        <v>131</v>
      </c>
      <c r="AE402" t="s">
        <v>131</v>
      </c>
      <c r="AF402" t="s">
        <v>132</v>
      </c>
      <c r="AG402" t="s">
        <v>131</v>
      </c>
      <c r="AH402" t="s">
        <v>132</v>
      </c>
      <c r="AI402" t="s">
        <v>149</v>
      </c>
      <c r="AJ402" t="s">
        <v>1694</v>
      </c>
      <c r="AK402" t="s">
        <v>1695</v>
      </c>
      <c r="AL402" t="s">
        <v>243</v>
      </c>
      <c r="AM402" t="s">
        <v>44</v>
      </c>
      <c r="AN402" t="s">
        <v>9</v>
      </c>
      <c r="AO402" t="s">
        <v>249</v>
      </c>
      <c r="AP402" t="s">
        <v>250</v>
      </c>
      <c r="AQ402" t="s">
        <v>20</v>
      </c>
      <c r="AR402" t="s">
        <v>24</v>
      </c>
      <c r="AS402" t="s">
        <v>38</v>
      </c>
      <c r="AT402">
        <v>-0.1</v>
      </c>
      <c r="AU402" t="s">
        <v>129</v>
      </c>
      <c r="AV402" t="s">
        <v>130</v>
      </c>
    </row>
    <row r="403" spans="1:48" x14ac:dyDescent="0.3">
      <c r="A403" t="s">
        <v>1696</v>
      </c>
      <c r="B403" s="12">
        <v>45725</v>
      </c>
      <c r="C403" s="12">
        <v>45732</v>
      </c>
      <c r="D403" t="s">
        <v>1697</v>
      </c>
      <c r="E403" t="s">
        <v>154</v>
      </c>
      <c r="F403" t="s">
        <v>44</v>
      </c>
      <c r="G403" t="s">
        <v>8</v>
      </c>
      <c r="H403" t="s">
        <v>362</v>
      </c>
      <c r="I403" t="s">
        <v>363</v>
      </c>
      <c r="J403" t="s">
        <v>18</v>
      </c>
      <c r="K403" t="s">
        <v>27</v>
      </c>
      <c r="M403" t="s">
        <v>38</v>
      </c>
      <c r="N403">
        <v>3</v>
      </c>
      <c r="O403">
        <v>2625.85</v>
      </c>
      <c r="P403">
        <v>0</v>
      </c>
      <c r="Q403">
        <v>0</v>
      </c>
      <c r="R403">
        <v>7877.55</v>
      </c>
      <c r="S403">
        <v>5562.77</v>
      </c>
      <c r="T403">
        <v>7877.55</v>
      </c>
      <c r="U403">
        <v>2314.7800000000002</v>
      </c>
      <c r="V403">
        <v>0.29384516759652402</v>
      </c>
      <c r="W403">
        <v>7</v>
      </c>
      <c r="X403" t="s">
        <v>278</v>
      </c>
      <c r="Y403">
        <v>2025</v>
      </c>
      <c r="Z403" t="s">
        <v>129</v>
      </c>
      <c r="AA403" t="s">
        <v>130</v>
      </c>
      <c r="AB403" t="s">
        <v>131</v>
      </c>
      <c r="AC403" t="s">
        <v>131</v>
      </c>
      <c r="AD403" t="s">
        <v>131</v>
      </c>
      <c r="AE403" t="s">
        <v>131</v>
      </c>
      <c r="AF403" t="s">
        <v>131</v>
      </c>
      <c r="AG403" t="s">
        <v>131</v>
      </c>
      <c r="AH403" t="s">
        <v>132</v>
      </c>
      <c r="AI403" t="s">
        <v>133</v>
      </c>
      <c r="AJ403" t="s">
        <v>1698</v>
      </c>
      <c r="AK403" t="s">
        <v>1699</v>
      </c>
      <c r="AL403" t="s">
        <v>154</v>
      </c>
      <c r="AM403" t="s">
        <v>44</v>
      </c>
      <c r="AN403" t="s">
        <v>8</v>
      </c>
      <c r="AO403" t="s">
        <v>362</v>
      </c>
      <c r="AP403" t="s">
        <v>363</v>
      </c>
      <c r="AQ403" t="s">
        <v>18</v>
      </c>
      <c r="AR403" t="s">
        <v>27</v>
      </c>
      <c r="AS403" t="s">
        <v>38</v>
      </c>
      <c r="AT403">
        <v>0</v>
      </c>
      <c r="AU403" t="s">
        <v>129</v>
      </c>
      <c r="AV403" t="s">
        <v>130</v>
      </c>
    </row>
    <row r="404" spans="1:48" x14ac:dyDescent="0.3">
      <c r="A404" t="s">
        <v>1700</v>
      </c>
      <c r="B404" s="12">
        <v>45373</v>
      </c>
      <c r="C404" s="12">
        <v>45373</v>
      </c>
      <c r="D404" t="s">
        <v>1701</v>
      </c>
      <c r="E404" t="s">
        <v>221</v>
      </c>
      <c r="F404" t="s">
        <v>44</v>
      </c>
      <c r="G404" t="s">
        <v>6</v>
      </c>
      <c r="H404" t="s">
        <v>294</v>
      </c>
      <c r="I404" t="s">
        <v>295</v>
      </c>
      <c r="J404" t="s">
        <v>18</v>
      </c>
      <c r="K404" t="s">
        <v>27</v>
      </c>
      <c r="M404" t="s">
        <v>10</v>
      </c>
      <c r="N404">
        <v>3</v>
      </c>
      <c r="O404">
        <v>1365.26</v>
      </c>
      <c r="P404">
        <v>0</v>
      </c>
      <c r="Q404">
        <v>0</v>
      </c>
      <c r="R404">
        <v>4095.78</v>
      </c>
      <c r="S404">
        <v>2807.77</v>
      </c>
      <c r="T404">
        <v>4095.78</v>
      </c>
      <c r="U404">
        <v>1288.01</v>
      </c>
      <c r="V404">
        <v>0.31447245701673399</v>
      </c>
      <c r="W404">
        <v>0</v>
      </c>
      <c r="X404" t="s">
        <v>278</v>
      </c>
      <c r="Y404">
        <v>2024</v>
      </c>
      <c r="Z404" t="s">
        <v>129</v>
      </c>
      <c r="AA404" t="s">
        <v>130</v>
      </c>
      <c r="AB404" t="s">
        <v>131</v>
      </c>
      <c r="AC404" t="s">
        <v>132</v>
      </c>
      <c r="AD404" t="s">
        <v>131</v>
      </c>
      <c r="AE404" t="s">
        <v>131</v>
      </c>
      <c r="AF404" t="s">
        <v>131</v>
      </c>
      <c r="AG404" t="s">
        <v>131</v>
      </c>
      <c r="AH404" t="s">
        <v>132</v>
      </c>
      <c r="AI404" t="s">
        <v>321</v>
      </c>
      <c r="AJ404" t="s">
        <v>1702</v>
      </c>
      <c r="AK404" t="s">
        <v>1703</v>
      </c>
      <c r="AL404" t="s">
        <v>221</v>
      </c>
      <c r="AM404" t="s">
        <v>44</v>
      </c>
      <c r="AN404" t="s">
        <v>6</v>
      </c>
      <c r="AO404" t="s">
        <v>294</v>
      </c>
      <c r="AP404" t="s">
        <v>295</v>
      </c>
      <c r="AQ404" t="s">
        <v>18</v>
      </c>
      <c r="AR404" t="s">
        <v>27</v>
      </c>
      <c r="AT404">
        <v>0</v>
      </c>
      <c r="AU404" t="s">
        <v>129</v>
      </c>
      <c r="AV404" t="s">
        <v>130</v>
      </c>
    </row>
    <row r="405" spans="1:48" x14ac:dyDescent="0.3">
      <c r="A405" t="s">
        <v>1704</v>
      </c>
      <c r="B405" s="12">
        <v>45565</v>
      </c>
      <c r="C405" s="12">
        <v>45569</v>
      </c>
      <c r="D405" t="s">
        <v>1705</v>
      </c>
      <c r="E405" t="s">
        <v>154</v>
      </c>
      <c r="F405" t="s">
        <v>44</v>
      </c>
      <c r="G405" t="s">
        <v>6</v>
      </c>
      <c r="H405" t="s">
        <v>305</v>
      </c>
      <c r="I405" t="s">
        <v>306</v>
      </c>
      <c r="J405" t="s">
        <v>20</v>
      </c>
      <c r="K405" t="s">
        <v>24</v>
      </c>
      <c r="M405" t="s">
        <v>38</v>
      </c>
      <c r="N405">
        <v>5</v>
      </c>
      <c r="O405">
        <v>3512.25</v>
      </c>
      <c r="P405">
        <v>0.05</v>
      </c>
      <c r="Q405">
        <v>0.05</v>
      </c>
      <c r="R405">
        <v>16683.189999999999</v>
      </c>
      <c r="S405">
        <v>10301.16</v>
      </c>
      <c r="T405">
        <v>16683.1875</v>
      </c>
      <c r="U405">
        <v>6382.0275000000001</v>
      </c>
      <c r="V405">
        <v>0.38254245479168802</v>
      </c>
      <c r="W405">
        <v>4</v>
      </c>
      <c r="X405" t="s">
        <v>196</v>
      </c>
      <c r="Y405">
        <v>2024</v>
      </c>
      <c r="Z405" t="s">
        <v>129</v>
      </c>
      <c r="AA405" t="s">
        <v>204</v>
      </c>
      <c r="AB405" t="s">
        <v>131</v>
      </c>
      <c r="AC405" t="s">
        <v>131</v>
      </c>
      <c r="AD405" t="s">
        <v>131</v>
      </c>
      <c r="AE405" t="s">
        <v>131</v>
      </c>
      <c r="AF405" t="s">
        <v>131</v>
      </c>
      <c r="AG405" t="s">
        <v>131</v>
      </c>
      <c r="AH405" t="s">
        <v>131</v>
      </c>
      <c r="AI405" t="s">
        <v>133</v>
      </c>
      <c r="AJ405" t="s">
        <v>1706</v>
      </c>
      <c r="AK405" t="s">
        <v>1707</v>
      </c>
      <c r="AL405" t="s">
        <v>154</v>
      </c>
      <c r="AM405" t="s">
        <v>44</v>
      </c>
      <c r="AN405" t="s">
        <v>6</v>
      </c>
      <c r="AO405" t="s">
        <v>305</v>
      </c>
      <c r="AP405" t="s">
        <v>306</v>
      </c>
      <c r="AQ405" t="s">
        <v>20</v>
      </c>
      <c r="AR405" t="s">
        <v>1708</v>
      </c>
      <c r="AS405" t="s">
        <v>38</v>
      </c>
      <c r="AT405">
        <v>0.05</v>
      </c>
      <c r="AU405" t="s">
        <v>129</v>
      </c>
      <c r="AV405" t="s">
        <v>204</v>
      </c>
    </row>
    <row r="406" spans="1:48" x14ac:dyDescent="0.3">
      <c r="A406" t="s">
        <v>1709</v>
      </c>
      <c r="B406" s="12">
        <v>45318</v>
      </c>
      <c r="C406" s="12">
        <v>45325</v>
      </c>
      <c r="D406" t="s">
        <v>1710</v>
      </c>
      <c r="E406" t="s">
        <v>191</v>
      </c>
      <c r="F406" t="s">
        <v>43</v>
      </c>
      <c r="G406" t="s">
        <v>7</v>
      </c>
      <c r="H406" t="s">
        <v>126</v>
      </c>
      <c r="I406" t="s">
        <v>213</v>
      </c>
      <c r="J406" t="s">
        <v>18</v>
      </c>
      <c r="K406" t="s">
        <v>19</v>
      </c>
      <c r="M406" t="s">
        <v>38</v>
      </c>
      <c r="N406">
        <v>3</v>
      </c>
      <c r="O406">
        <v>359.61</v>
      </c>
      <c r="P406">
        <v>0</v>
      </c>
      <c r="Q406">
        <v>0</v>
      </c>
      <c r="R406">
        <v>1078.83</v>
      </c>
      <c r="S406">
        <v>926.35</v>
      </c>
      <c r="T406">
        <v>1078.83</v>
      </c>
      <c r="U406">
        <v>152.47999999999999</v>
      </c>
      <c r="V406">
        <v>0.14133830167867001</v>
      </c>
      <c r="W406">
        <v>7</v>
      </c>
      <c r="X406" t="s">
        <v>244</v>
      </c>
      <c r="Y406">
        <v>2024</v>
      </c>
      <c r="Z406" t="s">
        <v>129</v>
      </c>
      <c r="AA406" t="s">
        <v>130</v>
      </c>
      <c r="AB406" t="s">
        <v>131</v>
      </c>
      <c r="AC406" t="s">
        <v>131</v>
      </c>
      <c r="AD406" t="s">
        <v>131</v>
      </c>
      <c r="AE406" t="s">
        <v>131</v>
      </c>
      <c r="AF406" t="s">
        <v>131</v>
      </c>
      <c r="AG406" t="s">
        <v>131</v>
      </c>
      <c r="AH406" t="s">
        <v>132</v>
      </c>
      <c r="AI406" t="s">
        <v>133</v>
      </c>
      <c r="AJ406" t="s">
        <v>1711</v>
      </c>
      <c r="AK406" t="s">
        <v>1712</v>
      </c>
      <c r="AL406" t="s">
        <v>191</v>
      </c>
      <c r="AM406" t="s">
        <v>43</v>
      </c>
      <c r="AN406" t="s">
        <v>7</v>
      </c>
      <c r="AO406" t="s">
        <v>126</v>
      </c>
      <c r="AP406" t="s">
        <v>213</v>
      </c>
      <c r="AQ406" t="s">
        <v>18</v>
      </c>
      <c r="AR406" t="s">
        <v>19</v>
      </c>
      <c r="AS406" t="s">
        <v>38</v>
      </c>
      <c r="AT406">
        <v>0</v>
      </c>
      <c r="AU406" t="s">
        <v>129</v>
      </c>
      <c r="AV406" t="s">
        <v>945</v>
      </c>
    </row>
    <row r="407" spans="1:48" x14ac:dyDescent="0.3">
      <c r="A407" t="s">
        <v>1713</v>
      </c>
      <c r="B407" s="12">
        <v>45558</v>
      </c>
      <c r="C407" s="12">
        <v>45559</v>
      </c>
      <c r="D407" t="s">
        <v>1714</v>
      </c>
      <c r="E407" t="s">
        <v>191</v>
      </c>
      <c r="F407" t="s">
        <v>41</v>
      </c>
      <c r="G407" t="s">
        <v>7</v>
      </c>
      <c r="H407" t="s">
        <v>300</v>
      </c>
      <c r="I407" t="s">
        <v>301</v>
      </c>
      <c r="J407" t="s">
        <v>18</v>
      </c>
      <c r="K407" t="s">
        <v>26</v>
      </c>
      <c r="M407" t="s">
        <v>10</v>
      </c>
      <c r="N407">
        <v>7</v>
      </c>
      <c r="O407">
        <v>3878.01</v>
      </c>
      <c r="P407">
        <v>0.1</v>
      </c>
      <c r="Q407">
        <v>0.1</v>
      </c>
      <c r="R407">
        <v>24431.46</v>
      </c>
      <c r="S407">
        <v>18202.36</v>
      </c>
      <c r="T407">
        <v>24431.463</v>
      </c>
      <c r="U407">
        <v>6229.1030000000001</v>
      </c>
      <c r="V407">
        <v>0.25496234097810699</v>
      </c>
      <c r="W407">
        <v>1</v>
      </c>
      <c r="X407" t="s">
        <v>196</v>
      </c>
      <c r="Y407">
        <v>2024</v>
      </c>
      <c r="Z407" t="s">
        <v>129</v>
      </c>
      <c r="AA407" t="s">
        <v>130</v>
      </c>
      <c r="AB407" t="s">
        <v>131</v>
      </c>
      <c r="AC407" t="s">
        <v>132</v>
      </c>
      <c r="AD407" t="s">
        <v>131</v>
      </c>
      <c r="AE407" t="s">
        <v>131</v>
      </c>
      <c r="AF407" t="s">
        <v>131</v>
      </c>
      <c r="AG407" t="s">
        <v>131</v>
      </c>
      <c r="AH407" t="s">
        <v>132</v>
      </c>
      <c r="AI407" t="s">
        <v>321</v>
      </c>
      <c r="AJ407" t="s">
        <v>1715</v>
      </c>
      <c r="AK407" t="s">
        <v>1716</v>
      </c>
      <c r="AL407" t="s">
        <v>191</v>
      </c>
      <c r="AM407" t="s">
        <v>41</v>
      </c>
      <c r="AN407" t="s">
        <v>7</v>
      </c>
      <c r="AO407" t="s">
        <v>300</v>
      </c>
      <c r="AP407" t="s">
        <v>301</v>
      </c>
      <c r="AQ407" t="s">
        <v>18</v>
      </c>
      <c r="AR407" t="s">
        <v>26</v>
      </c>
      <c r="AT407">
        <v>0.1</v>
      </c>
      <c r="AU407" t="s">
        <v>129</v>
      </c>
      <c r="AV407" t="s">
        <v>130</v>
      </c>
    </row>
    <row r="408" spans="1:48" x14ac:dyDescent="0.3">
      <c r="A408" t="s">
        <v>1717</v>
      </c>
      <c r="B408" s="12">
        <v>45713</v>
      </c>
      <c r="C408" s="12">
        <v>45713</v>
      </c>
      <c r="D408" t="s">
        <v>1718</v>
      </c>
      <c r="E408" t="s">
        <v>409</v>
      </c>
      <c r="F408" t="s">
        <v>44</v>
      </c>
      <c r="G408" t="s">
        <v>7</v>
      </c>
      <c r="H408" t="s">
        <v>311</v>
      </c>
      <c r="I408" t="s">
        <v>312</v>
      </c>
      <c r="J408" t="s">
        <v>18</v>
      </c>
      <c r="K408" t="s">
        <v>23</v>
      </c>
      <c r="M408" t="s">
        <v>35</v>
      </c>
      <c r="N408">
        <v>2</v>
      </c>
      <c r="O408">
        <v>3924.2</v>
      </c>
      <c r="P408">
        <v>0.25</v>
      </c>
      <c r="Q408">
        <v>0.25</v>
      </c>
      <c r="R408">
        <v>5886.3</v>
      </c>
      <c r="S408">
        <v>3621.76</v>
      </c>
      <c r="T408">
        <v>5886.3</v>
      </c>
      <c r="U408">
        <v>2264.54</v>
      </c>
      <c r="V408">
        <v>0.38471365713606198</v>
      </c>
      <c r="W408">
        <v>0</v>
      </c>
      <c r="X408" t="s">
        <v>186</v>
      </c>
      <c r="Y408">
        <v>2025</v>
      </c>
      <c r="Z408" t="s">
        <v>215</v>
      </c>
      <c r="AA408" t="s">
        <v>204</v>
      </c>
      <c r="AB408" t="s">
        <v>131</v>
      </c>
      <c r="AC408" t="s">
        <v>131</v>
      </c>
      <c r="AD408" t="s">
        <v>131</v>
      </c>
      <c r="AE408" t="s">
        <v>131</v>
      </c>
      <c r="AF408" t="s">
        <v>131</v>
      </c>
      <c r="AG408" t="s">
        <v>131</v>
      </c>
      <c r="AH408" t="s">
        <v>131</v>
      </c>
      <c r="AI408" t="s">
        <v>133</v>
      </c>
      <c r="AJ408" t="s">
        <v>1719</v>
      </c>
      <c r="AK408" t="s">
        <v>1719</v>
      </c>
      <c r="AL408" t="s">
        <v>409</v>
      </c>
      <c r="AM408" t="s">
        <v>44</v>
      </c>
      <c r="AN408" t="s">
        <v>7</v>
      </c>
      <c r="AO408" t="s">
        <v>311</v>
      </c>
      <c r="AP408" t="s">
        <v>312</v>
      </c>
      <c r="AQ408" t="s">
        <v>18</v>
      </c>
      <c r="AR408" t="s">
        <v>23</v>
      </c>
      <c r="AS408" t="s">
        <v>35</v>
      </c>
      <c r="AT408">
        <v>0.25</v>
      </c>
      <c r="AU408" t="s">
        <v>215</v>
      </c>
      <c r="AV408" t="s">
        <v>204</v>
      </c>
    </row>
    <row r="409" spans="1:48" x14ac:dyDescent="0.3">
      <c r="A409" t="s">
        <v>1720</v>
      </c>
      <c r="B409" s="12">
        <v>45424</v>
      </c>
      <c r="C409" s="12">
        <v>45425</v>
      </c>
      <c r="D409" t="s">
        <v>1721</v>
      </c>
      <c r="E409" t="s">
        <v>227</v>
      </c>
      <c r="F409" t="s">
        <v>43</v>
      </c>
      <c r="G409" t="s">
        <v>7</v>
      </c>
      <c r="H409" t="s">
        <v>311</v>
      </c>
      <c r="I409" t="s">
        <v>312</v>
      </c>
      <c r="J409" t="s">
        <v>20</v>
      </c>
      <c r="K409" t="s">
        <v>30</v>
      </c>
      <c r="M409" t="s">
        <v>37</v>
      </c>
      <c r="N409">
        <v>3</v>
      </c>
      <c r="O409">
        <v>2644.55</v>
      </c>
      <c r="P409">
        <v>0</v>
      </c>
      <c r="Q409">
        <v>0</v>
      </c>
      <c r="R409">
        <v>7933.65</v>
      </c>
      <c r="S409">
        <v>5698.42</v>
      </c>
      <c r="T409">
        <v>7933.65</v>
      </c>
      <c r="U409">
        <v>2235.23</v>
      </c>
      <c r="V409">
        <v>0.281740434730547</v>
      </c>
      <c r="W409">
        <v>1</v>
      </c>
      <c r="X409" t="s">
        <v>173</v>
      </c>
      <c r="Y409">
        <v>2024</v>
      </c>
      <c r="Z409" t="s">
        <v>129</v>
      </c>
      <c r="AA409" t="s">
        <v>130</v>
      </c>
      <c r="AB409" t="s">
        <v>131</v>
      </c>
      <c r="AC409" t="s">
        <v>131</v>
      </c>
      <c r="AD409" t="s">
        <v>131</v>
      </c>
      <c r="AE409" t="s">
        <v>131</v>
      </c>
      <c r="AF409" t="s">
        <v>131</v>
      </c>
      <c r="AG409" t="s">
        <v>131</v>
      </c>
      <c r="AH409" t="s">
        <v>132</v>
      </c>
      <c r="AI409" t="s">
        <v>133</v>
      </c>
      <c r="AJ409" t="s">
        <v>1722</v>
      </c>
      <c r="AK409" t="s">
        <v>1723</v>
      </c>
      <c r="AL409" t="s">
        <v>227</v>
      </c>
      <c r="AM409" t="s">
        <v>43</v>
      </c>
      <c r="AN409" t="s">
        <v>7</v>
      </c>
      <c r="AO409" t="s">
        <v>311</v>
      </c>
      <c r="AP409" t="s">
        <v>312</v>
      </c>
      <c r="AQ409" t="s">
        <v>20</v>
      </c>
      <c r="AR409" t="s">
        <v>30</v>
      </c>
      <c r="AS409" t="s">
        <v>37</v>
      </c>
      <c r="AT409">
        <v>0</v>
      </c>
      <c r="AU409" t="s">
        <v>129</v>
      </c>
      <c r="AV409" t="s">
        <v>130</v>
      </c>
    </row>
    <row r="410" spans="1:48" x14ac:dyDescent="0.3">
      <c r="A410" t="s">
        <v>1724</v>
      </c>
      <c r="B410" s="12">
        <v>45870</v>
      </c>
      <c r="C410" s="12">
        <v>45872</v>
      </c>
      <c r="D410" t="s">
        <v>1725</v>
      </c>
      <c r="E410" t="s">
        <v>243</v>
      </c>
      <c r="F410" t="s">
        <v>42</v>
      </c>
      <c r="G410" t="s">
        <v>7</v>
      </c>
      <c r="H410" t="s">
        <v>163</v>
      </c>
      <c r="I410" t="s">
        <v>164</v>
      </c>
      <c r="J410" t="s">
        <v>18</v>
      </c>
      <c r="K410" t="s">
        <v>19</v>
      </c>
      <c r="M410" t="s">
        <v>36</v>
      </c>
      <c r="N410">
        <v>4</v>
      </c>
      <c r="O410">
        <v>1773.46</v>
      </c>
      <c r="P410">
        <v>0</v>
      </c>
      <c r="Q410">
        <v>0</v>
      </c>
      <c r="R410">
        <v>7093.84</v>
      </c>
      <c r="S410">
        <v>4587.49</v>
      </c>
      <c r="T410">
        <v>7093.84</v>
      </c>
      <c r="U410">
        <v>2506.35</v>
      </c>
      <c r="V410">
        <v>0.35331357910525202</v>
      </c>
      <c r="W410">
        <v>2</v>
      </c>
      <c r="X410" t="s">
        <v>142</v>
      </c>
      <c r="Y410">
        <v>2025</v>
      </c>
      <c r="Z410" t="s">
        <v>269</v>
      </c>
      <c r="AA410" t="s">
        <v>204</v>
      </c>
      <c r="AB410" t="s">
        <v>131</v>
      </c>
      <c r="AC410" t="s">
        <v>131</v>
      </c>
      <c r="AD410" t="s">
        <v>131</v>
      </c>
      <c r="AE410" t="s">
        <v>131</v>
      </c>
      <c r="AF410" t="s">
        <v>131</v>
      </c>
      <c r="AG410" t="s">
        <v>131</v>
      </c>
      <c r="AH410" t="s">
        <v>131</v>
      </c>
      <c r="AI410" t="s">
        <v>133</v>
      </c>
      <c r="AJ410" t="s">
        <v>779</v>
      </c>
      <c r="AK410" t="s">
        <v>985</v>
      </c>
      <c r="AL410" t="s">
        <v>243</v>
      </c>
      <c r="AM410" t="s">
        <v>42</v>
      </c>
      <c r="AN410" t="s">
        <v>7</v>
      </c>
      <c r="AO410" t="s">
        <v>163</v>
      </c>
      <c r="AP410" t="s">
        <v>164</v>
      </c>
      <c r="AQ410" t="s">
        <v>18</v>
      </c>
      <c r="AR410" t="s">
        <v>19</v>
      </c>
      <c r="AS410" t="s">
        <v>36</v>
      </c>
      <c r="AT410">
        <v>0</v>
      </c>
      <c r="AU410" t="s">
        <v>269</v>
      </c>
      <c r="AV410" t="s">
        <v>204</v>
      </c>
    </row>
    <row r="411" spans="1:48" x14ac:dyDescent="0.3">
      <c r="A411" t="s">
        <v>1726</v>
      </c>
      <c r="B411" s="12">
        <v>45701</v>
      </c>
      <c r="C411" s="12">
        <v>45703</v>
      </c>
      <c r="D411" t="s">
        <v>1727</v>
      </c>
      <c r="E411" t="s">
        <v>125</v>
      </c>
      <c r="F411" t="s">
        <v>42</v>
      </c>
      <c r="G411" t="s">
        <v>8</v>
      </c>
      <c r="H411" t="s">
        <v>283</v>
      </c>
      <c r="I411" t="s">
        <v>284</v>
      </c>
      <c r="J411" t="s">
        <v>15</v>
      </c>
      <c r="K411" t="s">
        <v>22</v>
      </c>
      <c r="M411" t="s">
        <v>38</v>
      </c>
      <c r="N411">
        <v>1</v>
      </c>
      <c r="O411">
        <v>3025.46</v>
      </c>
      <c r="P411">
        <v>0.25</v>
      </c>
      <c r="Q411">
        <v>0.25</v>
      </c>
      <c r="R411">
        <v>2269.1</v>
      </c>
      <c r="S411">
        <v>1593.59</v>
      </c>
      <c r="T411">
        <v>2269.0949999999998</v>
      </c>
      <c r="U411">
        <v>675.505</v>
      </c>
      <c r="V411">
        <v>0.29769798091309502</v>
      </c>
      <c r="W411">
        <v>2</v>
      </c>
      <c r="X411" t="s">
        <v>186</v>
      </c>
      <c r="Y411">
        <v>2025</v>
      </c>
      <c r="Z411" t="s">
        <v>203</v>
      </c>
      <c r="AA411" t="s">
        <v>204</v>
      </c>
      <c r="AB411" t="s">
        <v>131</v>
      </c>
      <c r="AC411" t="s">
        <v>131</v>
      </c>
      <c r="AD411" t="s">
        <v>131</v>
      </c>
      <c r="AE411" t="s">
        <v>131</v>
      </c>
      <c r="AF411" t="s">
        <v>131</v>
      </c>
      <c r="AG411" t="s">
        <v>131</v>
      </c>
      <c r="AH411" t="s">
        <v>131</v>
      </c>
      <c r="AI411" t="s">
        <v>133</v>
      </c>
      <c r="AJ411" t="s">
        <v>787</v>
      </c>
      <c r="AK411" t="s">
        <v>740</v>
      </c>
      <c r="AL411" t="s">
        <v>125</v>
      </c>
      <c r="AM411" t="s">
        <v>42</v>
      </c>
      <c r="AN411" t="s">
        <v>8</v>
      </c>
      <c r="AO411" t="s">
        <v>283</v>
      </c>
      <c r="AP411" t="s">
        <v>284</v>
      </c>
      <c r="AQ411" t="s">
        <v>15</v>
      </c>
      <c r="AR411" t="s">
        <v>22</v>
      </c>
      <c r="AS411" t="s">
        <v>38</v>
      </c>
      <c r="AT411">
        <v>0.25</v>
      </c>
      <c r="AU411" t="s">
        <v>203</v>
      </c>
      <c r="AV411" t="s">
        <v>204</v>
      </c>
    </row>
    <row r="412" spans="1:48" x14ac:dyDescent="0.3">
      <c r="A412" t="s">
        <v>1728</v>
      </c>
      <c r="B412" s="12">
        <v>45394</v>
      </c>
      <c r="C412" s="12">
        <v>45402</v>
      </c>
      <c r="D412" t="s">
        <v>1729</v>
      </c>
      <c r="E412" t="s">
        <v>277</v>
      </c>
      <c r="F412" t="s">
        <v>42</v>
      </c>
      <c r="G412" t="s">
        <v>7</v>
      </c>
      <c r="H412" t="s">
        <v>311</v>
      </c>
      <c r="I412" t="s">
        <v>312</v>
      </c>
      <c r="J412" t="s">
        <v>18</v>
      </c>
      <c r="K412" t="s">
        <v>27</v>
      </c>
      <c r="M412" t="s">
        <v>36</v>
      </c>
      <c r="N412">
        <v>9</v>
      </c>
      <c r="O412">
        <v>1302.6099999999999</v>
      </c>
      <c r="P412">
        <v>0.2</v>
      </c>
      <c r="Q412">
        <v>0.2</v>
      </c>
      <c r="R412">
        <v>9378.7900000000009</v>
      </c>
      <c r="S412">
        <v>6774.48</v>
      </c>
      <c r="T412">
        <v>9378.7919999999995</v>
      </c>
      <c r="U412">
        <v>2604.3119999999999</v>
      </c>
      <c r="V412">
        <v>0.27768096360384198</v>
      </c>
      <c r="W412">
        <v>8</v>
      </c>
      <c r="X412" t="s">
        <v>179</v>
      </c>
      <c r="Y412">
        <v>2024</v>
      </c>
      <c r="Z412" t="s">
        <v>129</v>
      </c>
      <c r="AA412" t="s">
        <v>130</v>
      </c>
      <c r="AB412" t="s">
        <v>131</v>
      </c>
      <c r="AC412" t="s">
        <v>131</v>
      </c>
      <c r="AD412" t="s">
        <v>131</v>
      </c>
      <c r="AE412" t="s">
        <v>131</v>
      </c>
      <c r="AF412" t="s">
        <v>131</v>
      </c>
      <c r="AG412" t="s">
        <v>131</v>
      </c>
      <c r="AH412" t="s">
        <v>132</v>
      </c>
      <c r="AI412" t="s">
        <v>133</v>
      </c>
      <c r="AJ412" t="s">
        <v>1730</v>
      </c>
      <c r="AK412" t="s">
        <v>1731</v>
      </c>
      <c r="AL412" t="s">
        <v>277</v>
      </c>
      <c r="AM412" t="s">
        <v>42</v>
      </c>
      <c r="AN412" t="s">
        <v>7</v>
      </c>
      <c r="AO412" t="s">
        <v>311</v>
      </c>
      <c r="AP412" t="s">
        <v>312</v>
      </c>
      <c r="AQ412" t="s">
        <v>18</v>
      </c>
      <c r="AR412" t="s">
        <v>27</v>
      </c>
      <c r="AS412" t="s">
        <v>36</v>
      </c>
      <c r="AT412">
        <v>0.2</v>
      </c>
      <c r="AU412" t="s">
        <v>129</v>
      </c>
      <c r="AV412" t="s">
        <v>130</v>
      </c>
    </row>
    <row r="413" spans="1:48" x14ac:dyDescent="0.3">
      <c r="A413" t="s">
        <v>1732</v>
      </c>
      <c r="B413" s="12">
        <v>45892</v>
      </c>
      <c r="C413" s="12">
        <v>45897</v>
      </c>
      <c r="D413" t="s">
        <v>1733</v>
      </c>
      <c r="E413" t="s">
        <v>154</v>
      </c>
      <c r="F413" t="s">
        <v>41</v>
      </c>
      <c r="G413" t="s">
        <v>7</v>
      </c>
      <c r="H413" t="s">
        <v>126</v>
      </c>
      <c r="I413" t="s">
        <v>213</v>
      </c>
      <c r="J413" t="s">
        <v>18</v>
      </c>
      <c r="K413" t="s">
        <v>27</v>
      </c>
      <c r="M413" t="s">
        <v>36</v>
      </c>
      <c r="N413">
        <v>1</v>
      </c>
      <c r="O413">
        <v>4167.8100000000004</v>
      </c>
      <c r="P413">
        <v>0.2</v>
      </c>
      <c r="Q413">
        <v>0.2</v>
      </c>
      <c r="R413">
        <v>3334.25</v>
      </c>
      <c r="S413">
        <v>2768.77</v>
      </c>
      <c r="T413">
        <v>3334.248</v>
      </c>
      <c r="U413">
        <v>565.47800000000097</v>
      </c>
      <c r="V413">
        <v>0.16959686262089699</v>
      </c>
      <c r="W413">
        <v>5</v>
      </c>
      <c r="X413" t="s">
        <v>142</v>
      </c>
      <c r="Y413">
        <v>2025</v>
      </c>
      <c r="Z413" t="s">
        <v>269</v>
      </c>
      <c r="AA413" t="s">
        <v>204</v>
      </c>
      <c r="AB413" t="s">
        <v>131</v>
      </c>
      <c r="AC413" t="s">
        <v>131</v>
      </c>
      <c r="AD413" t="s">
        <v>131</v>
      </c>
      <c r="AE413" t="s">
        <v>131</v>
      </c>
      <c r="AF413" t="s">
        <v>131</v>
      </c>
      <c r="AG413" t="s">
        <v>131</v>
      </c>
      <c r="AH413" t="s">
        <v>131</v>
      </c>
      <c r="AI413" t="s">
        <v>133</v>
      </c>
      <c r="AJ413" t="s">
        <v>1734</v>
      </c>
      <c r="AK413" t="s">
        <v>1735</v>
      </c>
      <c r="AL413" t="s">
        <v>154</v>
      </c>
      <c r="AM413" t="s">
        <v>41</v>
      </c>
      <c r="AN413" t="s">
        <v>7</v>
      </c>
      <c r="AO413" t="s">
        <v>126</v>
      </c>
      <c r="AP413" t="s">
        <v>213</v>
      </c>
      <c r="AQ413" t="s">
        <v>18</v>
      </c>
      <c r="AR413" t="s">
        <v>27</v>
      </c>
      <c r="AS413" t="s">
        <v>36</v>
      </c>
      <c r="AT413">
        <v>0.2</v>
      </c>
      <c r="AU413" t="s">
        <v>269</v>
      </c>
      <c r="AV413" t="s">
        <v>204</v>
      </c>
    </row>
    <row r="414" spans="1:48" x14ac:dyDescent="0.3">
      <c r="A414" t="s">
        <v>1736</v>
      </c>
      <c r="B414" s="12">
        <v>45313</v>
      </c>
      <c r="C414" s="12">
        <v>45321</v>
      </c>
      <c r="D414" t="s">
        <v>1737</v>
      </c>
      <c r="E414" t="s">
        <v>147</v>
      </c>
      <c r="F414" t="s">
        <v>43</v>
      </c>
      <c r="G414" t="s">
        <v>6</v>
      </c>
      <c r="H414" t="s">
        <v>294</v>
      </c>
      <c r="I414" t="s">
        <v>295</v>
      </c>
      <c r="J414" t="s">
        <v>18</v>
      </c>
      <c r="K414" t="s">
        <v>19</v>
      </c>
      <c r="M414" t="s">
        <v>38</v>
      </c>
      <c r="N414">
        <v>1</v>
      </c>
      <c r="O414">
        <v>2111.39</v>
      </c>
      <c r="P414">
        <v>0.25</v>
      </c>
      <c r="Q414">
        <v>0.25</v>
      </c>
      <c r="R414">
        <v>1583.54</v>
      </c>
      <c r="S414">
        <v>1014.19</v>
      </c>
      <c r="T414">
        <v>1583.5425</v>
      </c>
      <c r="U414">
        <v>569.35249999999996</v>
      </c>
      <c r="V414">
        <v>0.35954355503562402</v>
      </c>
      <c r="W414">
        <v>8</v>
      </c>
      <c r="X414" t="s">
        <v>244</v>
      </c>
      <c r="Y414">
        <v>2024</v>
      </c>
      <c r="Z414" t="s">
        <v>129</v>
      </c>
      <c r="AA414" t="s">
        <v>130</v>
      </c>
      <c r="AB414" t="s">
        <v>131</v>
      </c>
      <c r="AC414" t="s">
        <v>131</v>
      </c>
      <c r="AD414" t="s">
        <v>131</v>
      </c>
      <c r="AE414" t="s">
        <v>131</v>
      </c>
      <c r="AF414" t="s">
        <v>131</v>
      </c>
      <c r="AG414" t="s">
        <v>131</v>
      </c>
      <c r="AH414" t="s">
        <v>132</v>
      </c>
      <c r="AI414" t="s">
        <v>133</v>
      </c>
      <c r="AJ414" t="s">
        <v>1738</v>
      </c>
      <c r="AK414" t="s">
        <v>790</v>
      </c>
      <c r="AL414" t="s">
        <v>147</v>
      </c>
      <c r="AM414" t="s">
        <v>43</v>
      </c>
      <c r="AN414" t="s">
        <v>6</v>
      </c>
      <c r="AO414" t="s">
        <v>294</v>
      </c>
      <c r="AP414" t="s">
        <v>295</v>
      </c>
      <c r="AQ414" t="s">
        <v>18</v>
      </c>
      <c r="AR414" t="s">
        <v>19</v>
      </c>
      <c r="AS414" t="s">
        <v>38</v>
      </c>
      <c r="AT414">
        <v>0.25</v>
      </c>
      <c r="AU414" t="s">
        <v>129</v>
      </c>
      <c r="AV414" t="s">
        <v>130</v>
      </c>
    </row>
    <row r="415" spans="1:48" x14ac:dyDescent="0.3">
      <c r="A415" t="s">
        <v>1739</v>
      </c>
      <c r="B415" s="12">
        <v>45882</v>
      </c>
      <c r="C415" s="12">
        <v>45886</v>
      </c>
      <c r="D415" t="s">
        <v>1740</v>
      </c>
      <c r="E415" t="s">
        <v>178</v>
      </c>
      <c r="F415" t="s">
        <v>41</v>
      </c>
      <c r="G415" t="s">
        <v>7</v>
      </c>
      <c r="H415" t="s">
        <v>171</v>
      </c>
      <c r="I415" t="s">
        <v>172</v>
      </c>
      <c r="J415" t="s">
        <v>15</v>
      </c>
      <c r="K415" t="s">
        <v>22</v>
      </c>
      <c r="M415" t="s">
        <v>37</v>
      </c>
      <c r="N415">
        <v>8</v>
      </c>
      <c r="O415">
        <v>1918.23</v>
      </c>
      <c r="P415">
        <v>0</v>
      </c>
      <c r="Q415">
        <v>0</v>
      </c>
      <c r="R415">
        <v>15345.84</v>
      </c>
      <c r="S415">
        <v>10735.33</v>
      </c>
      <c r="T415">
        <v>15345.84</v>
      </c>
      <c r="U415">
        <v>4610.51</v>
      </c>
      <c r="V415">
        <v>0.30044037993358502</v>
      </c>
      <c r="W415">
        <v>4</v>
      </c>
      <c r="X415" t="s">
        <v>142</v>
      </c>
      <c r="Y415">
        <v>2025</v>
      </c>
      <c r="Z415" t="s">
        <v>215</v>
      </c>
      <c r="AA415" t="s">
        <v>165</v>
      </c>
      <c r="AB415" t="s">
        <v>131</v>
      </c>
      <c r="AC415" t="s">
        <v>131</v>
      </c>
      <c r="AD415" t="s">
        <v>131</v>
      </c>
      <c r="AE415" t="s">
        <v>131</v>
      </c>
      <c r="AF415" t="s">
        <v>131</v>
      </c>
      <c r="AG415" t="s">
        <v>131</v>
      </c>
      <c r="AH415" t="s">
        <v>131</v>
      </c>
      <c r="AI415" t="s">
        <v>133</v>
      </c>
      <c r="AJ415" t="s">
        <v>308</v>
      </c>
      <c r="AK415" t="s">
        <v>1741</v>
      </c>
      <c r="AL415" t="s">
        <v>178</v>
      </c>
      <c r="AM415" t="s">
        <v>41</v>
      </c>
      <c r="AN415" t="s">
        <v>7</v>
      </c>
      <c r="AO415" t="s">
        <v>171</v>
      </c>
      <c r="AP415" t="s">
        <v>172</v>
      </c>
      <c r="AQ415" t="s">
        <v>15</v>
      </c>
      <c r="AR415" t="s">
        <v>22</v>
      </c>
      <c r="AS415" t="s">
        <v>37</v>
      </c>
      <c r="AT415">
        <v>0</v>
      </c>
      <c r="AU415" t="s">
        <v>215</v>
      </c>
      <c r="AV415" t="s">
        <v>165</v>
      </c>
    </row>
    <row r="416" spans="1:48" x14ac:dyDescent="0.3">
      <c r="A416" t="s">
        <v>1742</v>
      </c>
      <c r="B416" s="12">
        <v>45533</v>
      </c>
      <c r="C416" s="12">
        <v>45534</v>
      </c>
      <c r="D416" t="s">
        <v>1743</v>
      </c>
      <c r="E416" t="s">
        <v>154</v>
      </c>
      <c r="F416" t="s">
        <v>41</v>
      </c>
      <c r="G416" t="s">
        <v>8</v>
      </c>
      <c r="H416" t="s">
        <v>283</v>
      </c>
      <c r="I416" t="s">
        <v>284</v>
      </c>
      <c r="J416" t="s">
        <v>20</v>
      </c>
      <c r="K416" t="s">
        <v>21</v>
      </c>
      <c r="M416" t="s">
        <v>36</v>
      </c>
      <c r="N416">
        <v>4</v>
      </c>
      <c r="O416">
        <v>2484.08</v>
      </c>
      <c r="P416">
        <v>0.05</v>
      </c>
      <c r="Q416">
        <v>0.05</v>
      </c>
      <c r="R416">
        <v>9439.5</v>
      </c>
      <c r="S416">
        <v>5519.39</v>
      </c>
      <c r="T416">
        <v>9439.5040000000008</v>
      </c>
      <c r="U416">
        <v>3920.114</v>
      </c>
      <c r="V416">
        <v>0.41528813378329998</v>
      </c>
      <c r="W416">
        <v>1</v>
      </c>
      <c r="X416" t="s">
        <v>142</v>
      </c>
      <c r="Y416">
        <v>2024</v>
      </c>
      <c r="Z416" t="s">
        <v>129</v>
      </c>
      <c r="AA416" t="s">
        <v>130</v>
      </c>
      <c r="AB416" t="s">
        <v>131</v>
      </c>
      <c r="AC416" t="s">
        <v>131</v>
      </c>
      <c r="AD416" t="s">
        <v>131</v>
      </c>
      <c r="AE416" t="s">
        <v>131</v>
      </c>
      <c r="AF416" t="s">
        <v>131</v>
      </c>
      <c r="AG416" t="s">
        <v>131</v>
      </c>
      <c r="AH416" t="s">
        <v>132</v>
      </c>
      <c r="AI416" t="s">
        <v>133</v>
      </c>
      <c r="AJ416" t="s">
        <v>1744</v>
      </c>
      <c r="AK416" t="s">
        <v>1745</v>
      </c>
      <c r="AL416" t="s">
        <v>154</v>
      </c>
      <c r="AM416" t="s">
        <v>41</v>
      </c>
      <c r="AN416" t="s">
        <v>8</v>
      </c>
      <c r="AO416" t="s">
        <v>283</v>
      </c>
      <c r="AP416" t="s">
        <v>284</v>
      </c>
      <c r="AQ416" t="s">
        <v>20</v>
      </c>
      <c r="AR416" t="s">
        <v>21</v>
      </c>
      <c r="AS416" t="s">
        <v>36</v>
      </c>
      <c r="AT416">
        <v>0.05</v>
      </c>
      <c r="AU416" t="s">
        <v>129</v>
      </c>
      <c r="AV416" t="s">
        <v>130</v>
      </c>
    </row>
    <row r="417" spans="1:48" x14ac:dyDescent="0.3">
      <c r="A417" t="s">
        <v>1746</v>
      </c>
      <c r="B417" s="12">
        <v>45316</v>
      </c>
      <c r="C417" s="12">
        <v>45318</v>
      </c>
      <c r="D417" t="s">
        <v>1747</v>
      </c>
      <c r="E417" t="s">
        <v>238</v>
      </c>
      <c r="F417" t="s">
        <v>43</v>
      </c>
      <c r="G417" t="s">
        <v>6</v>
      </c>
      <c r="H417" t="s">
        <v>294</v>
      </c>
      <c r="I417" t="s">
        <v>295</v>
      </c>
      <c r="J417" t="s">
        <v>20</v>
      </c>
      <c r="K417" t="s">
        <v>21</v>
      </c>
      <c r="M417" t="s">
        <v>38</v>
      </c>
      <c r="N417">
        <v>7</v>
      </c>
      <c r="O417">
        <v>1727.26</v>
      </c>
      <c r="P417">
        <v>0.15</v>
      </c>
      <c r="Q417">
        <v>0.15</v>
      </c>
      <c r="R417">
        <v>10277.200000000001</v>
      </c>
      <c r="S417">
        <v>7906.5</v>
      </c>
      <c r="T417">
        <v>10277.197</v>
      </c>
      <c r="U417">
        <v>2370.6970000000001</v>
      </c>
      <c r="V417">
        <v>0.230675445843842</v>
      </c>
      <c r="W417">
        <v>2</v>
      </c>
      <c r="X417" t="s">
        <v>244</v>
      </c>
      <c r="Y417">
        <v>2024</v>
      </c>
      <c r="Z417" t="s">
        <v>129</v>
      </c>
      <c r="AA417" t="s">
        <v>204</v>
      </c>
      <c r="AB417" t="s">
        <v>131</v>
      </c>
      <c r="AC417" t="s">
        <v>131</v>
      </c>
      <c r="AD417" t="s">
        <v>131</v>
      </c>
      <c r="AE417" t="s">
        <v>131</v>
      </c>
      <c r="AF417" t="s">
        <v>131</v>
      </c>
      <c r="AG417" t="s">
        <v>131</v>
      </c>
      <c r="AH417" t="s">
        <v>131</v>
      </c>
      <c r="AI417" t="s">
        <v>133</v>
      </c>
      <c r="AJ417" t="s">
        <v>1748</v>
      </c>
      <c r="AK417" t="s">
        <v>1711</v>
      </c>
      <c r="AL417" t="s">
        <v>238</v>
      </c>
      <c r="AM417" t="s">
        <v>43</v>
      </c>
      <c r="AN417" t="s">
        <v>6</v>
      </c>
      <c r="AO417" t="s">
        <v>294</v>
      </c>
      <c r="AP417" t="s">
        <v>295</v>
      </c>
      <c r="AQ417" t="s">
        <v>20</v>
      </c>
      <c r="AR417" t="s">
        <v>21</v>
      </c>
      <c r="AS417" t="s">
        <v>38</v>
      </c>
      <c r="AT417">
        <v>0.15</v>
      </c>
      <c r="AU417" t="s">
        <v>129</v>
      </c>
      <c r="AV417" t="s">
        <v>204</v>
      </c>
    </row>
    <row r="418" spans="1:48" x14ac:dyDescent="0.3">
      <c r="A418" t="s">
        <v>1749</v>
      </c>
      <c r="B418" s="12">
        <v>45665</v>
      </c>
      <c r="C418" s="12">
        <v>45673</v>
      </c>
      <c r="D418" t="s">
        <v>1750</v>
      </c>
      <c r="E418" t="s">
        <v>178</v>
      </c>
      <c r="F418" t="s">
        <v>42</v>
      </c>
      <c r="G418" t="s">
        <v>6</v>
      </c>
      <c r="H418" t="s">
        <v>155</v>
      </c>
      <c r="I418" t="s">
        <v>156</v>
      </c>
      <c r="J418" t="s">
        <v>18</v>
      </c>
      <c r="K418" t="s">
        <v>23</v>
      </c>
      <c r="M418" t="s">
        <v>36</v>
      </c>
      <c r="N418">
        <v>8</v>
      </c>
      <c r="O418">
        <v>638.95000000000005</v>
      </c>
      <c r="P418">
        <v>0.25</v>
      </c>
      <c r="Q418">
        <v>0.25</v>
      </c>
      <c r="R418">
        <v>3833.7</v>
      </c>
      <c r="S418">
        <v>2886.35</v>
      </c>
      <c r="T418">
        <v>3833.7</v>
      </c>
      <c r="U418">
        <v>947.35</v>
      </c>
      <c r="V418">
        <v>0.24711114589039301</v>
      </c>
      <c r="W418">
        <v>8</v>
      </c>
      <c r="X418" t="s">
        <v>244</v>
      </c>
      <c r="Y418">
        <v>2025</v>
      </c>
      <c r="Z418" t="s">
        <v>129</v>
      </c>
      <c r="AA418" t="s">
        <v>130</v>
      </c>
      <c r="AB418" t="s">
        <v>131</v>
      </c>
      <c r="AC418" t="s">
        <v>131</v>
      </c>
      <c r="AD418" t="s">
        <v>131</v>
      </c>
      <c r="AE418" t="s">
        <v>131</v>
      </c>
      <c r="AF418" t="s">
        <v>131</v>
      </c>
      <c r="AG418" t="s">
        <v>131</v>
      </c>
      <c r="AH418" t="s">
        <v>132</v>
      </c>
      <c r="AI418" t="s">
        <v>133</v>
      </c>
      <c r="AJ418" t="s">
        <v>1751</v>
      </c>
      <c r="AK418" t="s">
        <v>1752</v>
      </c>
      <c r="AL418" t="s">
        <v>178</v>
      </c>
      <c r="AM418" t="s">
        <v>42</v>
      </c>
      <c r="AN418" t="s">
        <v>6</v>
      </c>
      <c r="AO418" t="s">
        <v>155</v>
      </c>
      <c r="AP418" t="s">
        <v>156</v>
      </c>
      <c r="AQ418" t="s">
        <v>736</v>
      </c>
      <c r="AR418" t="s">
        <v>23</v>
      </c>
      <c r="AS418" t="s">
        <v>36</v>
      </c>
      <c r="AT418">
        <v>0.25</v>
      </c>
      <c r="AU418" t="s">
        <v>129</v>
      </c>
      <c r="AV418" t="s">
        <v>130</v>
      </c>
    </row>
    <row r="419" spans="1:48" x14ac:dyDescent="0.3">
      <c r="A419" t="s">
        <v>1753</v>
      </c>
      <c r="B419" s="12">
        <v>45686</v>
      </c>
      <c r="C419" s="12">
        <v>45693</v>
      </c>
      <c r="D419" t="s">
        <v>1754</v>
      </c>
      <c r="E419" t="s">
        <v>139</v>
      </c>
      <c r="F419" t="s">
        <v>42</v>
      </c>
      <c r="G419" t="s">
        <v>7</v>
      </c>
      <c r="H419" t="s">
        <v>300</v>
      </c>
      <c r="I419" t="s">
        <v>301</v>
      </c>
      <c r="J419" t="s">
        <v>20</v>
      </c>
      <c r="K419" t="s">
        <v>29</v>
      </c>
      <c r="M419" t="s">
        <v>36</v>
      </c>
      <c r="N419">
        <v>6</v>
      </c>
      <c r="O419">
        <v>3863</v>
      </c>
      <c r="P419">
        <v>0.2</v>
      </c>
      <c r="Q419">
        <v>0.2</v>
      </c>
      <c r="R419">
        <v>18542.400000000001</v>
      </c>
      <c r="S419">
        <v>11193.75</v>
      </c>
      <c r="T419">
        <v>18542.400000000001</v>
      </c>
      <c r="U419">
        <v>7348.65</v>
      </c>
      <c r="V419">
        <v>0.396316010872379</v>
      </c>
      <c r="W419">
        <v>7</v>
      </c>
      <c r="X419" t="s">
        <v>244</v>
      </c>
      <c r="Y419">
        <v>2025</v>
      </c>
      <c r="Z419" t="s">
        <v>129</v>
      </c>
      <c r="AA419" t="s">
        <v>130</v>
      </c>
      <c r="AB419" t="s">
        <v>131</v>
      </c>
      <c r="AC419" t="s">
        <v>131</v>
      </c>
      <c r="AD419" t="s">
        <v>131</v>
      </c>
      <c r="AE419" t="s">
        <v>131</v>
      </c>
      <c r="AF419" t="s">
        <v>131</v>
      </c>
      <c r="AG419" t="s">
        <v>131</v>
      </c>
      <c r="AH419" t="s">
        <v>132</v>
      </c>
      <c r="AI419" t="s">
        <v>133</v>
      </c>
      <c r="AJ419" t="s">
        <v>1548</v>
      </c>
      <c r="AK419" t="s">
        <v>1755</v>
      </c>
      <c r="AL419" t="s">
        <v>139</v>
      </c>
      <c r="AM419" t="s">
        <v>42</v>
      </c>
      <c r="AN419" t="s">
        <v>7</v>
      </c>
      <c r="AO419" t="s">
        <v>300</v>
      </c>
      <c r="AP419" t="s">
        <v>301</v>
      </c>
      <c r="AQ419" t="s">
        <v>20</v>
      </c>
      <c r="AR419" t="s">
        <v>29</v>
      </c>
      <c r="AS419" t="s">
        <v>36</v>
      </c>
      <c r="AT419">
        <v>0.2</v>
      </c>
      <c r="AU419" t="s">
        <v>129</v>
      </c>
      <c r="AV419" t="s">
        <v>130</v>
      </c>
    </row>
    <row r="420" spans="1:48" x14ac:dyDescent="0.3">
      <c r="A420" t="s">
        <v>1756</v>
      </c>
      <c r="B420" s="12">
        <v>45605</v>
      </c>
      <c r="C420" s="12">
        <v>45613</v>
      </c>
      <c r="D420" t="s">
        <v>1757</v>
      </c>
      <c r="E420" t="s">
        <v>243</v>
      </c>
      <c r="F420" t="s">
        <v>43</v>
      </c>
      <c r="G420" t="s">
        <v>8</v>
      </c>
      <c r="H420" t="s">
        <v>140</v>
      </c>
      <c r="I420" t="s">
        <v>141</v>
      </c>
      <c r="J420" t="s">
        <v>15</v>
      </c>
      <c r="K420" t="s">
        <v>16</v>
      </c>
      <c r="M420" t="s">
        <v>35</v>
      </c>
      <c r="N420">
        <v>6</v>
      </c>
      <c r="O420">
        <v>3660.4</v>
      </c>
      <c r="P420">
        <v>0</v>
      </c>
      <c r="Q420">
        <v>0</v>
      </c>
      <c r="R420">
        <v>21962.400000000001</v>
      </c>
      <c r="S420">
        <v>15331.99</v>
      </c>
      <c r="T420">
        <v>21962.400000000001</v>
      </c>
      <c r="U420">
        <v>6630.41</v>
      </c>
      <c r="V420">
        <v>0.30189824427202899</v>
      </c>
      <c r="W420">
        <v>8</v>
      </c>
      <c r="X420" t="s">
        <v>157</v>
      </c>
      <c r="Y420">
        <v>2024</v>
      </c>
      <c r="Z420" t="s">
        <v>269</v>
      </c>
      <c r="AA420" t="s">
        <v>165</v>
      </c>
      <c r="AB420" t="s">
        <v>131</v>
      </c>
      <c r="AC420" t="s">
        <v>131</v>
      </c>
      <c r="AD420" t="s">
        <v>131</v>
      </c>
      <c r="AE420" t="s">
        <v>131</v>
      </c>
      <c r="AF420" t="s">
        <v>131</v>
      </c>
      <c r="AG420" t="s">
        <v>131</v>
      </c>
      <c r="AH420" t="s">
        <v>131</v>
      </c>
      <c r="AI420" t="s">
        <v>133</v>
      </c>
      <c r="AJ420" t="s">
        <v>1758</v>
      </c>
      <c r="AK420" t="s">
        <v>1759</v>
      </c>
      <c r="AL420" t="s">
        <v>243</v>
      </c>
      <c r="AM420" t="s">
        <v>43</v>
      </c>
      <c r="AN420" t="s">
        <v>8</v>
      </c>
      <c r="AO420" t="s">
        <v>140</v>
      </c>
      <c r="AP420" t="s">
        <v>141</v>
      </c>
      <c r="AQ420" t="s">
        <v>15</v>
      </c>
      <c r="AR420" t="s">
        <v>16</v>
      </c>
      <c r="AS420" t="s">
        <v>35</v>
      </c>
      <c r="AT420">
        <v>0</v>
      </c>
      <c r="AU420" t="s">
        <v>269</v>
      </c>
      <c r="AV420" t="s">
        <v>165</v>
      </c>
    </row>
    <row r="421" spans="1:48" x14ac:dyDescent="0.3">
      <c r="A421" t="s">
        <v>1760</v>
      </c>
      <c r="B421" s="12">
        <v>45926</v>
      </c>
      <c r="C421" s="12">
        <v>45930</v>
      </c>
      <c r="D421" t="s">
        <v>1761</v>
      </c>
      <c r="E421" t="s">
        <v>243</v>
      </c>
      <c r="F421" t="s">
        <v>41</v>
      </c>
      <c r="G421" t="s">
        <v>9</v>
      </c>
      <c r="H421" t="s">
        <v>372</v>
      </c>
      <c r="I421" t="s">
        <v>373</v>
      </c>
      <c r="J421" t="s">
        <v>15</v>
      </c>
      <c r="K421" t="s">
        <v>17</v>
      </c>
      <c r="M421" t="s">
        <v>38</v>
      </c>
      <c r="N421">
        <v>2</v>
      </c>
      <c r="O421">
        <v>688.83</v>
      </c>
      <c r="P421">
        <v>0.05</v>
      </c>
      <c r="Q421">
        <v>0.05</v>
      </c>
      <c r="R421">
        <v>1308.78</v>
      </c>
      <c r="S421">
        <v>843</v>
      </c>
      <c r="T421">
        <v>1308.777</v>
      </c>
      <c r="U421">
        <v>465.77699999999999</v>
      </c>
      <c r="V421">
        <v>0.35588721378813998</v>
      </c>
      <c r="W421">
        <v>4</v>
      </c>
      <c r="X421" t="s">
        <v>196</v>
      </c>
      <c r="Y421">
        <v>2025</v>
      </c>
      <c r="Z421" t="s">
        <v>129</v>
      </c>
      <c r="AA421" t="s">
        <v>130</v>
      </c>
      <c r="AB421" t="s">
        <v>131</v>
      </c>
      <c r="AC421" t="s">
        <v>131</v>
      </c>
      <c r="AD421" t="s">
        <v>131</v>
      </c>
      <c r="AE421" t="s">
        <v>131</v>
      </c>
      <c r="AF421" t="s">
        <v>131</v>
      </c>
      <c r="AG421" t="s">
        <v>131</v>
      </c>
      <c r="AH421" t="s">
        <v>132</v>
      </c>
      <c r="AI421" t="s">
        <v>133</v>
      </c>
      <c r="AJ421" t="s">
        <v>1762</v>
      </c>
      <c r="AK421" t="s">
        <v>1763</v>
      </c>
      <c r="AL421" t="s">
        <v>243</v>
      </c>
      <c r="AM421" t="s">
        <v>41</v>
      </c>
      <c r="AN421" t="s">
        <v>9</v>
      </c>
      <c r="AO421" t="s">
        <v>372</v>
      </c>
      <c r="AP421" t="s">
        <v>373</v>
      </c>
      <c r="AQ421" t="s">
        <v>15</v>
      </c>
      <c r="AR421" t="s">
        <v>17</v>
      </c>
      <c r="AS421" t="s">
        <v>38</v>
      </c>
      <c r="AT421">
        <v>0.05</v>
      </c>
      <c r="AU421" t="s">
        <v>129</v>
      </c>
      <c r="AV421" t="s">
        <v>130</v>
      </c>
    </row>
    <row r="422" spans="1:48" x14ac:dyDescent="0.3">
      <c r="A422" t="s">
        <v>1764</v>
      </c>
      <c r="B422" s="12">
        <v>45734</v>
      </c>
      <c r="C422" s="12">
        <v>45735</v>
      </c>
      <c r="D422" t="s">
        <v>1765</v>
      </c>
      <c r="E422" t="s">
        <v>147</v>
      </c>
      <c r="F422" t="s">
        <v>43</v>
      </c>
      <c r="G422" t="s">
        <v>6</v>
      </c>
      <c r="H422" t="s">
        <v>385</v>
      </c>
      <c r="I422" t="s">
        <v>386</v>
      </c>
      <c r="J422" t="s">
        <v>15</v>
      </c>
      <c r="K422" t="s">
        <v>25</v>
      </c>
      <c r="M422" t="s">
        <v>35</v>
      </c>
      <c r="N422">
        <v>2</v>
      </c>
      <c r="O422">
        <v>1209.99</v>
      </c>
      <c r="P422">
        <v>0.25</v>
      </c>
      <c r="Q422">
        <v>0.25</v>
      </c>
      <c r="R422">
        <v>1814.99</v>
      </c>
      <c r="S422">
        <v>1120.06</v>
      </c>
      <c r="T422">
        <v>1814.9849999999999</v>
      </c>
      <c r="U422">
        <v>694.92499999999995</v>
      </c>
      <c r="V422">
        <v>0.38288195219244198</v>
      </c>
      <c r="W422">
        <v>1</v>
      </c>
      <c r="X422" t="s">
        <v>278</v>
      </c>
      <c r="Y422">
        <v>2025</v>
      </c>
      <c r="Z422" t="s">
        <v>215</v>
      </c>
      <c r="AA422" t="s">
        <v>165</v>
      </c>
      <c r="AB422" t="s">
        <v>131</v>
      </c>
      <c r="AC422" t="s">
        <v>131</v>
      </c>
      <c r="AD422" t="s">
        <v>131</v>
      </c>
      <c r="AE422" t="s">
        <v>131</v>
      </c>
      <c r="AF422" t="s">
        <v>131</v>
      </c>
      <c r="AG422" t="s">
        <v>131</v>
      </c>
      <c r="AH422" t="s">
        <v>131</v>
      </c>
      <c r="AI422" t="s">
        <v>133</v>
      </c>
      <c r="AJ422" t="s">
        <v>892</v>
      </c>
      <c r="AK422" t="s">
        <v>1766</v>
      </c>
      <c r="AL422" t="s">
        <v>147</v>
      </c>
      <c r="AM422" t="s">
        <v>43</v>
      </c>
      <c r="AN422" t="s">
        <v>6</v>
      </c>
      <c r="AO422" t="s">
        <v>385</v>
      </c>
      <c r="AP422" t="s">
        <v>386</v>
      </c>
      <c r="AQ422" t="s">
        <v>15</v>
      </c>
      <c r="AR422" t="s">
        <v>25</v>
      </c>
      <c r="AS422" t="s">
        <v>35</v>
      </c>
      <c r="AT422">
        <v>0.25</v>
      </c>
      <c r="AU422" t="s">
        <v>215</v>
      </c>
      <c r="AV422" t="s">
        <v>165</v>
      </c>
    </row>
    <row r="423" spans="1:48" x14ac:dyDescent="0.3">
      <c r="A423" t="s">
        <v>1767</v>
      </c>
      <c r="B423" s="12">
        <v>45822</v>
      </c>
      <c r="C423" s="12">
        <v>45827</v>
      </c>
      <c r="D423" t="s">
        <v>1768</v>
      </c>
      <c r="E423" t="s">
        <v>255</v>
      </c>
      <c r="F423" t="s">
        <v>44</v>
      </c>
      <c r="G423" t="s">
        <v>9</v>
      </c>
      <c r="H423" t="s">
        <v>522</v>
      </c>
      <c r="I423" t="s">
        <v>523</v>
      </c>
      <c r="J423" t="s">
        <v>20</v>
      </c>
      <c r="K423" t="s">
        <v>28</v>
      </c>
      <c r="M423" t="s">
        <v>38</v>
      </c>
      <c r="N423">
        <v>3</v>
      </c>
      <c r="O423">
        <v>1037.45</v>
      </c>
      <c r="P423">
        <v>0.2</v>
      </c>
      <c r="Q423">
        <v>0.2</v>
      </c>
      <c r="R423">
        <v>2489.88</v>
      </c>
      <c r="S423">
        <v>1707.52</v>
      </c>
      <c r="T423">
        <v>2489.88</v>
      </c>
      <c r="U423">
        <v>782.36000000000104</v>
      </c>
      <c r="V423">
        <v>0.31421594615001502</v>
      </c>
      <c r="W423">
        <v>5</v>
      </c>
      <c r="X423" t="s">
        <v>148</v>
      </c>
      <c r="Y423">
        <v>2025</v>
      </c>
      <c r="Z423" t="s">
        <v>215</v>
      </c>
      <c r="AA423" t="s">
        <v>204</v>
      </c>
      <c r="AB423" t="s">
        <v>131</v>
      </c>
      <c r="AC423" t="s">
        <v>131</v>
      </c>
      <c r="AD423" t="s">
        <v>131</v>
      </c>
      <c r="AE423" t="s">
        <v>131</v>
      </c>
      <c r="AF423" t="s">
        <v>131</v>
      </c>
      <c r="AG423" t="s">
        <v>131</v>
      </c>
      <c r="AH423" t="s">
        <v>131</v>
      </c>
      <c r="AI423" t="s">
        <v>133</v>
      </c>
      <c r="AJ423" t="s">
        <v>1769</v>
      </c>
      <c r="AK423" t="s">
        <v>1770</v>
      </c>
      <c r="AL423" t="s">
        <v>255</v>
      </c>
      <c r="AM423" t="s">
        <v>44</v>
      </c>
      <c r="AN423" t="s">
        <v>9</v>
      </c>
      <c r="AO423" t="s">
        <v>522</v>
      </c>
      <c r="AP423" t="s">
        <v>523</v>
      </c>
      <c r="AQ423" t="s">
        <v>20</v>
      </c>
      <c r="AR423" t="s">
        <v>28</v>
      </c>
      <c r="AS423" t="s">
        <v>38</v>
      </c>
      <c r="AT423">
        <v>0.2</v>
      </c>
      <c r="AU423" t="s">
        <v>215</v>
      </c>
      <c r="AV423" t="s">
        <v>204</v>
      </c>
    </row>
    <row r="424" spans="1:48" x14ac:dyDescent="0.3">
      <c r="A424" t="s">
        <v>1771</v>
      </c>
      <c r="B424" s="12">
        <v>45903</v>
      </c>
      <c r="C424" s="12">
        <v>45906</v>
      </c>
      <c r="D424" t="s">
        <v>1772</v>
      </c>
      <c r="E424" t="s">
        <v>409</v>
      </c>
      <c r="F424" t="s">
        <v>42</v>
      </c>
      <c r="G424" t="s">
        <v>7</v>
      </c>
      <c r="H424" t="s">
        <v>171</v>
      </c>
      <c r="I424" t="s">
        <v>172</v>
      </c>
      <c r="J424" t="s">
        <v>15</v>
      </c>
      <c r="K424" t="s">
        <v>16</v>
      </c>
      <c r="M424" t="s">
        <v>38</v>
      </c>
      <c r="N424">
        <v>7</v>
      </c>
      <c r="O424">
        <v>688.85</v>
      </c>
      <c r="P424">
        <v>0.15</v>
      </c>
      <c r="Q424">
        <v>0.15</v>
      </c>
      <c r="R424">
        <v>4098.66</v>
      </c>
      <c r="S424">
        <v>2678.06</v>
      </c>
      <c r="T424">
        <v>4098.6575000000003</v>
      </c>
      <c r="U424">
        <v>1420.5975000000001</v>
      </c>
      <c r="V424">
        <v>0.34660068571233399</v>
      </c>
      <c r="W424">
        <v>3</v>
      </c>
      <c r="X424" t="s">
        <v>196</v>
      </c>
      <c r="Y424">
        <v>2025</v>
      </c>
      <c r="Z424" t="s">
        <v>129</v>
      </c>
      <c r="AA424" t="s">
        <v>130</v>
      </c>
      <c r="AB424" t="s">
        <v>131</v>
      </c>
      <c r="AC424" t="s">
        <v>131</v>
      </c>
      <c r="AD424" t="s">
        <v>131</v>
      </c>
      <c r="AE424" t="s">
        <v>131</v>
      </c>
      <c r="AF424" t="s">
        <v>131</v>
      </c>
      <c r="AG424" t="s">
        <v>131</v>
      </c>
      <c r="AH424" t="s">
        <v>132</v>
      </c>
      <c r="AI424" t="s">
        <v>133</v>
      </c>
      <c r="AJ424" t="s">
        <v>1773</v>
      </c>
      <c r="AK424" t="s">
        <v>1774</v>
      </c>
      <c r="AL424" t="s">
        <v>409</v>
      </c>
      <c r="AM424" t="s">
        <v>42</v>
      </c>
      <c r="AN424" t="s">
        <v>7</v>
      </c>
      <c r="AO424" t="s">
        <v>171</v>
      </c>
      <c r="AP424" t="s">
        <v>172</v>
      </c>
      <c r="AQ424" t="s">
        <v>15</v>
      </c>
      <c r="AR424" t="s">
        <v>16</v>
      </c>
      <c r="AS424" t="s">
        <v>38</v>
      </c>
      <c r="AT424">
        <v>0.15</v>
      </c>
      <c r="AU424" t="s">
        <v>129</v>
      </c>
      <c r="AV424" t="s">
        <v>130</v>
      </c>
    </row>
    <row r="425" spans="1:48" x14ac:dyDescent="0.3">
      <c r="A425" t="s">
        <v>1775</v>
      </c>
      <c r="B425" s="12">
        <v>45342</v>
      </c>
      <c r="C425" s="12">
        <v>45349</v>
      </c>
      <c r="D425" t="s">
        <v>1776</v>
      </c>
      <c r="E425" t="s">
        <v>277</v>
      </c>
      <c r="F425" t="s">
        <v>42</v>
      </c>
      <c r="G425" t="s">
        <v>6</v>
      </c>
      <c r="H425" t="s">
        <v>305</v>
      </c>
      <c r="I425" t="s">
        <v>306</v>
      </c>
      <c r="J425" t="s">
        <v>15</v>
      </c>
      <c r="K425" t="s">
        <v>22</v>
      </c>
      <c r="M425" t="s">
        <v>36</v>
      </c>
      <c r="N425">
        <v>9</v>
      </c>
      <c r="O425">
        <v>3779.31</v>
      </c>
      <c r="P425">
        <v>0.2</v>
      </c>
      <c r="Q425">
        <v>0.2</v>
      </c>
      <c r="R425">
        <v>27211.03</v>
      </c>
      <c r="S425">
        <v>17940.43</v>
      </c>
      <c r="T425">
        <v>27211.031999999999</v>
      </c>
      <c r="U425">
        <v>9270.6020000000008</v>
      </c>
      <c r="V425">
        <v>0.34069277490100303</v>
      </c>
      <c r="W425">
        <v>7</v>
      </c>
      <c r="X425" t="s">
        <v>186</v>
      </c>
      <c r="Y425">
        <v>2024</v>
      </c>
      <c r="Z425" t="s">
        <v>129</v>
      </c>
      <c r="AA425" t="s">
        <v>130</v>
      </c>
      <c r="AB425" t="s">
        <v>131</v>
      </c>
      <c r="AC425" t="s">
        <v>131</v>
      </c>
      <c r="AD425" t="s">
        <v>131</v>
      </c>
      <c r="AE425" t="s">
        <v>131</v>
      </c>
      <c r="AF425" t="s">
        <v>131</v>
      </c>
      <c r="AG425" t="s">
        <v>132</v>
      </c>
      <c r="AH425" t="s">
        <v>132</v>
      </c>
      <c r="AI425" t="s">
        <v>149</v>
      </c>
      <c r="AJ425" t="s">
        <v>1777</v>
      </c>
      <c r="AK425" t="s">
        <v>1778</v>
      </c>
      <c r="AL425" t="s">
        <v>277</v>
      </c>
      <c r="AM425" t="s">
        <v>42</v>
      </c>
      <c r="AN425" t="s">
        <v>6</v>
      </c>
      <c r="AO425" t="s">
        <v>305</v>
      </c>
      <c r="AP425" t="s">
        <v>306</v>
      </c>
      <c r="AQ425" t="s">
        <v>15</v>
      </c>
      <c r="AR425" t="s">
        <v>22</v>
      </c>
      <c r="AS425" t="s">
        <v>1779</v>
      </c>
      <c r="AT425">
        <v>0.2</v>
      </c>
      <c r="AU425" t="s">
        <v>129</v>
      </c>
      <c r="AV425" t="s">
        <v>130</v>
      </c>
    </row>
    <row r="426" spans="1:48" x14ac:dyDescent="0.3">
      <c r="A426" t="s">
        <v>1780</v>
      </c>
      <c r="B426" s="12">
        <v>45469</v>
      </c>
      <c r="C426" s="12">
        <v>45472</v>
      </c>
      <c r="D426" t="s">
        <v>1781</v>
      </c>
      <c r="E426" t="s">
        <v>178</v>
      </c>
      <c r="F426" t="s">
        <v>43</v>
      </c>
      <c r="G426" t="s">
        <v>9</v>
      </c>
      <c r="H426" t="s">
        <v>232</v>
      </c>
      <c r="I426" t="s">
        <v>233</v>
      </c>
      <c r="J426" t="s">
        <v>15</v>
      </c>
      <c r="K426" t="s">
        <v>17</v>
      </c>
      <c r="M426" t="s">
        <v>35</v>
      </c>
      <c r="N426">
        <v>8</v>
      </c>
      <c r="O426">
        <v>804.52</v>
      </c>
      <c r="P426">
        <v>0</v>
      </c>
      <c r="Q426">
        <v>0</v>
      </c>
      <c r="R426">
        <v>6436.16</v>
      </c>
      <c r="S426">
        <v>4263.83</v>
      </c>
      <c r="T426">
        <v>6436.16</v>
      </c>
      <c r="U426">
        <v>2172.33</v>
      </c>
      <c r="V426">
        <v>0.337519576890568</v>
      </c>
      <c r="W426">
        <v>3</v>
      </c>
      <c r="X426" t="s">
        <v>148</v>
      </c>
      <c r="Y426">
        <v>2024</v>
      </c>
      <c r="Z426" t="s">
        <v>129</v>
      </c>
      <c r="AA426" t="s">
        <v>130</v>
      </c>
      <c r="AB426" t="s">
        <v>131</v>
      </c>
      <c r="AC426" t="s">
        <v>131</v>
      </c>
      <c r="AD426" t="s">
        <v>131</v>
      </c>
      <c r="AE426" t="s">
        <v>131</v>
      </c>
      <c r="AF426" t="s">
        <v>131</v>
      </c>
      <c r="AG426" t="s">
        <v>131</v>
      </c>
      <c r="AH426" t="s">
        <v>132</v>
      </c>
      <c r="AI426" t="s">
        <v>133</v>
      </c>
      <c r="AJ426" t="s">
        <v>1782</v>
      </c>
      <c r="AK426" t="s">
        <v>1783</v>
      </c>
      <c r="AL426" t="s">
        <v>178</v>
      </c>
      <c r="AM426" t="s">
        <v>43</v>
      </c>
      <c r="AN426" t="s">
        <v>9</v>
      </c>
      <c r="AO426" t="s">
        <v>232</v>
      </c>
      <c r="AP426" t="s">
        <v>233</v>
      </c>
      <c r="AQ426" t="s">
        <v>15</v>
      </c>
      <c r="AR426" t="s">
        <v>17</v>
      </c>
      <c r="AS426" t="s">
        <v>35</v>
      </c>
      <c r="AT426">
        <v>0</v>
      </c>
      <c r="AU426" t="s">
        <v>129</v>
      </c>
      <c r="AV426" t="s">
        <v>130</v>
      </c>
    </row>
    <row r="427" spans="1:48" x14ac:dyDescent="0.3">
      <c r="A427" t="s">
        <v>1784</v>
      </c>
      <c r="B427" s="12">
        <v>45561</v>
      </c>
      <c r="C427" s="12">
        <v>45562</v>
      </c>
      <c r="D427" t="s">
        <v>1785</v>
      </c>
      <c r="E427" t="s">
        <v>147</v>
      </c>
      <c r="F427" t="s">
        <v>41</v>
      </c>
      <c r="G427" t="s">
        <v>9</v>
      </c>
      <c r="H427" t="s">
        <v>522</v>
      </c>
      <c r="I427" t="s">
        <v>523</v>
      </c>
      <c r="J427" t="s">
        <v>20</v>
      </c>
      <c r="K427" t="s">
        <v>30</v>
      </c>
      <c r="M427" t="s">
        <v>36</v>
      </c>
      <c r="N427">
        <v>2</v>
      </c>
      <c r="O427">
        <v>1065.69</v>
      </c>
      <c r="P427">
        <v>0.1</v>
      </c>
      <c r="Q427">
        <v>0.1</v>
      </c>
      <c r="R427">
        <v>1918.24</v>
      </c>
      <c r="S427">
        <v>1373.52</v>
      </c>
      <c r="T427">
        <v>1918.242</v>
      </c>
      <c r="U427">
        <v>544.72199999999998</v>
      </c>
      <c r="V427">
        <v>0.28396938446765302</v>
      </c>
      <c r="W427">
        <v>1</v>
      </c>
      <c r="X427" t="s">
        <v>196</v>
      </c>
      <c r="Y427">
        <v>2024</v>
      </c>
      <c r="Z427" t="s">
        <v>203</v>
      </c>
      <c r="AA427" t="s">
        <v>165</v>
      </c>
      <c r="AB427" t="s">
        <v>131</v>
      </c>
      <c r="AC427" t="s">
        <v>131</v>
      </c>
      <c r="AD427" t="s">
        <v>131</v>
      </c>
      <c r="AE427" t="s">
        <v>131</v>
      </c>
      <c r="AF427" t="s">
        <v>131</v>
      </c>
      <c r="AG427" t="s">
        <v>131</v>
      </c>
      <c r="AH427" t="s">
        <v>131</v>
      </c>
      <c r="AI427" t="s">
        <v>133</v>
      </c>
      <c r="AJ427" t="s">
        <v>1786</v>
      </c>
      <c r="AK427" t="s">
        <v>1787</v>
      </c>
      <c r="AL427" t="s">
        <v>147</v>
      </c>
      <c r="AM427" t="s">
        <v>41</v>
      </c>
      <c r="AN427" t="s">
        <v>9</v>
      </c>
      <c r="AO427" t="s">
        <v>522</v>
      </c>
      <c r="AP427" t="s">
        <v>523</v>
      </c>
      <c r="AQ427" t="s">
        <v>20</v>
      </c>
      <c r="AR427" t="s">
        <v>30</v>
      </c>
      <c r="AS427" t="s">
        <v>36</v>
      </c>
      <c r="AT427">
        <v>0.1</v>
      </c>
      <c r="AU427" t="s">
        <v>203</v>
      </c>
      <c r="AV427" t="s">
        <v>165</v>
      </c>
    </row>
    <row r="428" spans="1:48" x14ac:dyDescent="0.3">
      <c r="A428" t="s">
        <v>1788</v>
      </c>
      <c r="B428" s="12">
        <v>45473</v>
      </c>
      <c r="C428" s="12">
        <v>45474</v>
      </c>
      <c r="D428" t="s">
        <v>1789</v>
      </c>
      <c r="E428" t="s">
        <v>191</v>
      </c>
      <c r="F428" t="s">
        <v>42</v>
      </c>
      <c r="G428" t="s">
        <v>9</v>
      </c>
      <c r="H428" t="s">
        <v>372</v>
      </c>
      <c r="I428" t="s">
        <v>373</v>
      </c>
      <c r="J428" t="s">
        <v>15</v>
      </c>
      <c r="K428" t="s">
        <v>16</v>
      </c>
      <c r="M428" t="s">
        <v>38</v>
      </c>
      <c r="N428">
        <v>8</v>
      </c>
      <c r="O428">
        <v>3756.66</v>
      </c>
      <c r="P428">
        <v>0.1</v>
      </c>
      <c r="Q428">
        <v>0.1</v>
      </c>
      <c r="R428">
        <v>27047.95</v>
      </c>
      <c r="S428">
        <v>18431.330000000002</v>
      </c>
      <c r="T428">
        <v>27047.952000000001</v>
      </c>
      <c r="U428">
        <v>8616.6219999999994</v>
      </c>
      <c r="V428">
        <v>0.31856837072174599</v>
      </c>
      <c r="W428">
        <v>1</v>
      </c>
      <c r="X428" t="s">
        <v>148</v>
      </c>
      <c r="Y428">
        <v>2024</v>
      </c>
      <c r="Z428" t="s">
        <v>129</v>
      </c>
      <c r="AA428" t="s">
        <v>130</v>
      </c>
      <c r="AB428" t="s">
        <v>131</v>
      </c>
      <c r="AC428" t="s">
        <v>131</v>
      </c>
      <c r="AD428" t="s">
        <v>131</v>
      </c>
      <c r="AE428" t="s">
        <v>131</v>
      </c>
      <c r="AF428" t="s">
        <v>131</v>
      </c>
      <c r="AG428" t="s">
        <v>131</v>
      </c>
      <c r="AH428" t="s">
        <v>132</v>
      </c>
      <c r="AI428" t="s">
        <v>133</v>
      </c>
      <c r="AJ428" t="s">
        <v>1790</v>
      </c>
      <c r="AK428" t="s">
        <v>1791</v>
      </c>
      <c r="AL428" t="s">
        <v>191</v>
      </c>
      <c r="AM428" t="s">
        <v>42</v>
      </c>
      <c r="AN428" t="s">
        <v>9</v>
      </c>
      <c r="AO428" t="s">
        <v>372</v>
      </c>
      <c r="AP428" t="s">
        <v>373</v>
      </c>
      <c r="AQ428" t="s">
        <v>15</v>
      </c>
      <c r="AR428" t="s">
        <v>16</v>
      </c>
      <c r="AS428" t="s">
        <v>38</v>
      </c>
      <c r="AT428">
        <v>0.1</v>
      </c>
      <c r="AU428" t="s">
        <v>129</v>
      </c>
      <c r="AV428" t="s">
        <v>130</v>
      </c>
    </row>
    <row r="429" spans="1:48" x14ac:dyDescent="0.3">
      <c r="A429" t="s">
        <v>1792</v>
      </c>
      <c r="B429" s="12">
        <v>45769</v>
      </c>
      <c r="C429" s="12">
        <v>45771</v>
      </c>
      <c r="D429" t="s">
        <v>1793</v>
      </c>
      <c r="E429" t="s">
        <v>147</v>
      </c>
      <c r="F429" t="s">
        <v>43</v>
      </c>
      <c r="G429" t="s">
        <v>10</v>
      </c>
      <c r="H429" t="s">
        <v>362</v>
      </c>
      <c r="I429" t="s">
        <v>363</v>
      </c>
      <c r="J429" t="s">
        <v>15</v>
      </c>
      <c r="K429" t="s">
        <v>22</v>
      </c>
      <c r="M429" t="s">
        <v>35</v>
      </c>
      <c r="N429">
        <v>9</v>
      </c>
      <c r="O429">
        <v>2939.44</v>
      </c>
      <c r="P429">
        <v>0</v>
      </c>
      <c r="Q429">
        <v>0</v>
      </c>
      <c r="R429">
        <v>26454.959999999999</v>
      </c>
      <c r="S429">
        <v>17630.25</v>
      </c>
      <c r="T429">
        <v>26454.959999999999</v>
      </c>
      <c r="U429">
        <v>8824.7099999999991</v>
      </c>
      <c r="V429">
        <v>0.333574875940088</v>
      </c>
      <c r="W429">
        <v>2</v>
      </c>
      <c r="X429" t="s">
        <v>179</v>
      </c>
      <c r="Y429">
        <v>2025</v>
      </c>
      <c r="Z429" t="s">
        <v>129</v>
      </c>
      <c r="AA429" t="s">
        <v>130</v>
      </c>
      <c r="AB429" t="s">
        <v>132</v>
      </c>
      <c r="AC429" t="s">
        <v>131</v>
      </c>
      <c r="AD429" t="s">
        <v>131</v>
      </c>
      <c r="AE429" t="s">
        <v>131</v>
      </c>
      <c r="AF429" t="s">
        <v>131</v>
      </c>
      <c r="AG429" t="s">
        <v>131</v>
      </c>
      <c r="AH429" t="s">
        <v>132</v>
      </c>
      <c r="AI429" t="s">
        <v>321</v>
      </c>
      <c r="AJ429" t="s">
        <v>1794</v>
      </c>
      <c r="AK429" t="s">
        <v>1795</v>
      </c>
      <c r="AL429" t="s">
        <v>147</v>
      </c>
      <c r="AM429" t="s">
        <v>43</v>
      </c>
      <c r="AO429" t="s">
        <v>362</v>
      </c>
      <c r="AP429" t="s">
        <v>363</v>
      </c>
      <c r="AQ429" t="s">
        <v>15</v>
      </c>
      <c r="AR429" t="s">
        <v>22</v>
      </c>
      <c r="AS429" t="s">
        <v>343</v>
      </c>
      <c r="AT429">
        <v>0</v>
      </c>
      <c r="AU429" t="s">
        <v>129</v>
      </c>
      <c r="AV429" t="s">
        <v>130</v>
      </c>
    </row>
    <row r="430" spans="1:48" x14ac:dyDescent="0.3">
      <c r="A430" t="s">
        <v>1796</v>
      </c>
      <c r="B430" s="12">
        <v>45731</v>
      </c>
      <c r="C430" s="12">
        <v>45738</v>
      </c>
      <c r="D430" t="s">
        <v>1797</v>
      </c>
      <c r="E430" t="s">
        <v>125</v>
      </c>
      <c r="F430" t="s">
        <v>44</v>
      </c>
      <c r="G430" t="s">
        <v>8</v>
      </c>
      <c r="H430" t="s">
        <v>201</v>
      </c>
      <c r="I430" t="s">
        <v>202</v>
      </c>
      <c r="J430" t="s">
        <v>15</v>
      </c>
      <c r="K430" t="s">
        <v>17</v>
      </c>
      <c r="M430" t="s">
        <v>38</v>
      </c>
      <c r="N430">
        <v>2</v>
      </c>
      <c r="O430">
        <v>1235.93</v>
      </c>
      <c r="P430">
        <v>0.25</v>
      </c>
      <c r="Q430">
        <v>0.25</v>
      </c>
      <c r="R430">
        <v>1853.89</v>
      </c>
      <c r="S430">
        <v>1101.23</v>
      </c>
      <c r="T430">
        <v>1853.895</v>
      </c>
      <c r="U430">
        <v>752.66499999999996</v>
      </c>
      <c r="V430">
        <v>0.40599116994220302</v>
      </c>
      <c r="W430">
        <v>7</v>
      </c>
      <c r="X430" t="s">
        <v>278</v>
      </c>
      <c r="Y430">
        <v>2025</v>
      </c>
      <c r="Z430" t="s">
        <v>215</v>
      </c>
      <c r="AA430" t="s">
        <v>165</v>
      </c>
      <c r="AB430" t="s">
        <v>131</v>
      </c>
      <c r="AC430" t="s">
        <v>131</v>
      </c>
      <c r="AD430" t="s">
        <v>131</v>
      </c>
      <c r="AE430" t="s">
        <v>131</v>
      </c>
      <c r="AF430" t="s">
        <v>131</v>
      </c>
      <c r="AG430" t="s">
        <v>131</v>
      </c>
      <c r="AH430" t="s">
        <v>131</v>
      </c>
      <c r="AI430" t="s">
        <v>133</v>
      </c>
      <c r="AJ430" t="s">
        <v>1798</v>
      </c>
      <c r="AK430" t="s">
        <v>1799</v>
      </c>
      <c r="AL430" t="s">
        <v>125</v>
      </c>
      <c r="AM430" t="s">
        <v>44</v>
      </c>
      <c r="AN430" t="s">
        <v>8</v>
      </c>
      <c r="AO430" t="s">
        <v>201</v>
      </c>
      <c r="AP430" t="s">
        <v>202</v>
      </c>
      <c r="AQ430" t="s">
        <v>15</v>
      </c>
      <c r="AR430" t="s">
        <v>17</v>
      </c>
      <c r="AS430" t="s">
        <v>38</v>
      </c>
      <c r="AT430">
        <v>0.25</v>
      </c>
      <c r="AU430" t="s">
        <v>215</v>
      </c>
      <c r="AV430" t="s">
        <v>165</v>
      </c>
    </row>
    <row r="431" spans="1:48" x14ac:dyDescent="0.3">
      <c r="A431" t="s">
        <v>1800</v>
      </c>
      <c r="B431" s="12">
        <v>45717</v>
      </c>
      <c r="C431" s="12">
        <v>45724</v>
      </c>
      <c r="D431" t="s">
        <v>1801</v>
      </c>
      <c r="E431" t="s">
        <v>178</v>
      </c>
      <c r="F431" t="s">
        <v>41</v>
      </c>
      <c r="G431" t="s">
        <v>9</v>
      </c>
      <c r="H431" t="s">
        <v>126</v>
      </c>
      <c r="I431" t="s">
        <v>127</v>
      </c>
      <c r="J431" t="s">
        <v>15</v>
      </c>
      <c r="K431" t="s">
        <v>16</v>
      </c>
      <c r="M431" t="s">
        <v>38</v>
      </c>
      <c r="N431">
        <v>8</v>
      </c>
      <c r="O431">
        <v>2943.1</v>
      </c>
      <c r="P431">
        <v>0.25</v>
      </c>
      <c r="Q431">
        <v>0.25</v>
      </c>
      <c r="R431">
        <v>17658.599999999999</v>
      </c>
      <c r="S431">
        <v>13842.48</v>
      </c>
      <c r="T431">
        <v>17658.599999999999</v>
      </c>
      <c r="U431">
        <v>3816.12</v>
      </c>
      <c r="V431">
        <v>0.21610546702456601</v>
      </c>
      <c r="W431">
        <v>7</v>
      </c>
      <c r="X431" t="s">
        <v>278</v>
      </c>
      <c r="Y431">
        <v>2025</v>
      </c>
      <c r="Z431" t="s">
        <v>129</v>
      </c>
      <c r="AA431" t="s">
        <v>130</v>
      </c>
      <c r="AB431" t="s">
        <v>131</v>
      </c>
      <c r="AC431" t="s">
        <v>131</v>
      </c>
      <c r="AD431" t="s">
        <v>131</v>
      </c>
      <c r="AE431" t="s">
        <v>131</v>
      </c>
      <c r="AF431" t="s">
        <v>131</v>
      </c>
      <c r="AG431" t="s">
        <v>131</v>
      </c>
      <c r="AH431" t="s">
        <v>132</v>
      </c>
      <c r="AI431" t="s">
        <v>133</v>
      </c>
      <c r="AJ431" t="s">
        <v>1802</v>
      </c>
      <c r="AK431" t="s">
        <v>1803</v>
      </c>
      <c r="AL431" t="s">
        <v>178</v>
      </c>
      <c r="AM431" t="s">
        <v>41</v>
      </c>
      <c r="AN431" t="s">
        <v>9</v>
      </c>
      <c r="AO431" t="s">
        <v>126</v>
      </c>
      <c r="AP431" t="s">
        <v>127</v>
      </c>
      <c r="AQ431" t="s">
        <v>15</v>
      </c>
      <c r="AR431" t="s">
        <v>16</v>
      </c>
      <c r="AS431" t="s">
        <v>38</v>
      </c>
      <c r="AT431">
        <v>0.25</v>
      </c>
      <c r="AU431" t="s">
        <v>129</v>
      </c>
      <c r="AV431" t="s">
        <v>130</v>
      </c>
    </row>
    <row r="432" spans="1:48" x14ac:dyDescent="0.3">
      <c r="A432" t="s">
        <v>1804</v>
      </c>
      <c r="B432" s="12">
        <v>45534</v>
      </c>
      <c r="C432" s="12">
        <v>45537</v>
      </c>
      <c r="D432" t="s">
        <v>1805</v>
      </c>
      <c r="E432" t="s">
        <v>178</v>
      </c>
      <c r="F432" t="s">
        <v>44</v>
      </c>
      <c r="G432" t="s">
        <v>9</v>
      </c>
      <c r="H432" t="s">
        <v>372</v>
      </c>
      <c r="I432" t="s">
        <v>373</v>
      </c>
      <c r="J432" t="s">
        <v>20</v>
      </c>
      <c r="K432" t="s">
        <v>24</v>
      </c>
      <c r="M432" t="s">
        <v>37</v>
      </c>
      <c r="N432">
        <v>1</v>
      </c>
      <c r="O432">
        <v>4320.84</v>
      </c>
      <c r="P432">
        <v>0.15</v>
      </c>
      <c r="Q432">
        <v>0.15</v>
      </c>
      <c r="R432">
        <v>3672.71</v>
      </c>
      <c r="S432">
        <v>2714.23</v>
      </c>
      <c r="T432">
        <v>3672.7139999999999</v>
      </c>
      <c r="U432">
        <v>958.48400000000004</v>
      </c>
      <c r="V432">
        <v>0.26097430946161299</v>
      </c>
      <c r="W432">
        <v>3</v>
      </c>
      <c r="X432" t="s">
        <v>142</v>
      </c>
      <c r="Y432">
        <v>2024</v>
      </c>
      <c r="Z432" t="s">
        <v>129</v>
      </c>
      <c r="AA432" t="s">
        <v>130</v>
      </c>
      <c r="AB432" t="s">
        <v>131</v>
      </c>
      <c r="AC432" t="s">
        <v>131</v>
      </c>
      <c r="AD432" t="s">
        <v>131</v>
      </c>
      <c r="AE432" t="s">
        <v>131</v>
      </c>
      <c r="AF432" t="s">
        <v>131</v>
      </c>
      <c r="AG432" t="s">
        <v>131</v>
      </c>
      <c r="AH432" t="s">
        <v>132</v>
      </c>
      <c r="AI432" t="s">
        <v>133</v>
      </c>
      <c r="AJ432" t="s">
        <v>1806</v>
      </c>
      <c r="AK432" t="s">
        <v>1807</v>
      </c>
      <c r="AL432" t="s">
        <v>178</v>
      </c>
      <c r="AM432" t="s">
        <v>44</v>
      </c>
      <c r="AN432" t="s">
        <v>9</v>
      </c>
      <c r="AO432" t="s">
        <v>372</v>
      </c>
      <c r="AP432" t="s">
        <v>373</v>
      </c>
      <c r="AQ432" t="s">
        <v>1808</v>
      </c>
      <c r="AR432" t="s">
        <v>24</v>
      </c>
      <c r="AS432" t="s">
        <v>37</v>
      </c>
      <c r="AT432">
        <v>0.15</v>
      </c>
      <c r="AU432" t="s">
        <v>129</v>
      </c>
      <c r="AV432" t="s">
        <v>130</v>
      </c>
    </row>
    <row r="433" spans="1:48" x14ac:dyDescent="0.3">
      <c r="A433" t="s">
        <v>1809</v>
      </c>
      <c r="B433" s="12">
        <v>45332</v>
      </c>
      <c r="C433" s="12">
        <v>45335</v>
      </c>
      <c r="D433" t="s">
        <v>1810</v>
      </c>
      <c r="E433" t="s">
        <v>125</v>
      </c>
      <c r="F433" t="s">
        <v>41</v>
      </c>
      <c r="G433" t="s">
        <v>7</v>
      </c>
      <c r="H433" t="s">
        <v>311</v>
      </c>
      <c r="I433" t="s">
        <v>312</v>
      </c>
      <c r="J433" t="s">
        <v>15</v>
      </c>
      <c r="K433" t="s">
        <v>25</v>
      </c>
      <c r="M433" t="s">
        <v>38</v>
      </c>
      <c r="N433">
        <v>2</v>
      </c>
      <c r="O433">
        <v>4118.45</v>
      </c>
      <c r="P433">
        <v>0.25</v>
      </c>
      <c r="Q433">
        <v>0.25</v>
      </c>
      <c r="R433">
        <v>6177.67</v>
      </c>
      <c r="S433">
        <v>4520.75</v>
      </c>
      <c r="T433">
        <v>6177.6750000000002</v>
      </c>
      <c r="U433">
        <v>1656.925</v>
      </c>
      <c r="V433">
        <v>0.26821174632851302</v>
      </c>
      <c r="W433">
        <v>3</v>
      </c>
      <c r="X433" t="s">
        <v>186</v>
      </c>
      <c r="Y433">
        <v>2024</v>
      </c>
      <c r="Z433" t="s">
        <v>129</v>
      </c>
      <c r="AA433" t="s">
        <v>130</v>
      </c>
      <c r="AB433" t="s">
        <v>131</v>
      </c>
      <c r="AC433" t="s">
        <v>131</v>
      </c>
      <c r="AD433" t="s">
        <v>131</v>
      </c>
      <c r="AE433" t="s">
        <v>131</v>
      </c>
      <c r="AF433" t="s">
        <v>131</v>
      </c>
      <c r="AG433" t="s">
        <v>131</v>
      </c>
      <c r="AH433" t="s">
        <v>132</v>
      </c>
      <c r="AI433" t="s">
        <v>133</v>
      </c>
      <c r="AJ433" t="s">
        <v>1811</v>
      </c>
      <c r="AK433" t="s">
        <v>1812</v>
      </c>
      <c r="AL433" t="s">
        <v>125</v>
      </c>
      <c r="AM433" t="s">
        <v>41</v>
      </c>
      <c r="AN433" t="s">
        <v>7</v>
      </c>
      <c r="AO433" t="s">
        <v>311</v>
      </c>
      <c r="AP433" t="s">
        <v>312</v>
      </c>
      <c r="AQ433" t="s">
        <v>15</v>
      </c>
      <c r="AR433" t="s">
        <v>25</v>
      </c>
      <c r="AS433" t="s">
        <v>38</v>
      </c>
      <c r="AT433">
        <v>0.25</v>
      </c>
      <c r="AU433" t="s">
        <v>129</v>
      </c>
      <c r="AV433" t="s">
        <v>130</v>
      </c>
    </row>
    <row r="434" spans="1:48" x14ac:dyDescent="0.3">
      <c r="A434" t="s">
        <v>1813</v>
      </c>
      <c r="B434" s="12">
        <v>45533</v>
      </c>
      <c r="C434" s="12">
        <v>45537</v>
      </c>
      <c r="D434" t="s">
        <v>1814</v>
      </c>
      <c r="E434" t="s">
        <v>221</v>
      </c>
      <c r="F434" t="s">
        <v>44</v>
      </c>
      <c r="G434" t="s">
        <v>7</v>
      </c>
      <c r="H434" t="s">
        <v>163</v>
      </c>
      <c r="I434" t="s">
        <v>164</v>
      </c>
      <c r="J434" t="s">
        <v>18</v>
      </c>
      <c r="K434" t="s">
        <v>26</v>
      </c>
      <c r="M434" t="s">
        <v>35</v>
      </c>
      <c r="N434">
        <v>6</v>
      </c>
      <c r="O434">
        <v>172.82</v>
      </c>
      <c r="P434">
        <v>0.05</v>
      </c>
      <c r="Q434">
        <v>0.05</v>
      </c>
      <c r="R434">
        <v>985.07</v>
      </c>
      <c r="S434">
        <v>844.48</v>
      </c>
      <c r="T434">
        <v>985.07399999999996</v>
      </c>
      <c r="U434">
        <v>140.59399999999999</v>
      </c>
      <c r="V434">
        <v>0.14272430294576899</v>
      </c>
      <c r="W434">
        <v>4</v>
      </c>
      <c r="X434" t="s">
        <v>142</v>
      </c>
      <c r="Y434">
        <v>2024</v>
      </c>
      <c r="Z434" t="s">
        <v>129</v>
      </c>
      <c r="AA434" t="s">
        <v>130</v>
      </c>
      <c r="AB434" t="s">
        <v>131</v>
      </c>
      <c r="AC434" t="s">
        <v>131</v>
      </c>
      <c r="AD434" t="s">
        <v>131</v>
      </c>
      <c r="AE434" t="s">
        <v>131</v>
      </c>
      <c r="AF434" t="s">
        <v>131</v>
      </c>
      <c r="AG434" t="s">
        <v>131</v>
      </c>
      <c r="AH434" t="s">
        <v>132</v>
      </c>
      <c r="AI434" t="s">
        <v>133</v>
      </c>
      <c r="AJ434" t="s">
        <v>1668</v>
      </c>
      <c r="AK434" t="s">
        <v>1807</v>
      </c>
      <c r="AL434" t="s">
        <v>221</v>
      </c>
      <c r="AM434" t="s">
        <v>44</v>
      </c>
      <c r="AN434" t="s">
        <v>7</v>
      </c>
      <c r="AO434" t="s">
        <v>163</v>
      </c>
      <c r="AP434" t="s">
        <v>164</v>
      </c>
      <c r="AQ434" t="s">
        <v>18</v>
      </c>
      <c r="AR434" t="s">
        <v>26</v>
      </c>
      <c r="AS434" t="s">
        <v>35</v>
      </c>
      <c r="AT434">
        <v>0.05</v>
      </c>
      <c r="AU434" t="s">
        <v>129</v>
      </c>
      <c r="AV434" t="s">
        <v>130</v>
      </c>
    </row>
    <row r="435" spans="1:48" x14ac:dyDescent="0.3">
      <c r="A435" t="s">
        <v>1815</v>
      </c>
      <c r="B435" s="12">
        <v>45401</v>
      </c>
      <c r="C435" s="12">
        <v>45402</v>
      </c>
      <c r="D435" t="s">
        <v>1816</v>
      </c>
      <c r="E435" t="s">
        <v>221</v>
      </c>
      <c r="F435" t="s">
        <v>43</v>
      </c>
      <c r="G435" t="s">
        <v>6</v>
      </c>
      <c r="H435" t="s">
        <v>305</v>
      </c>
      <c r="I435" t="s">
        <v>306</v>
      </c>
      <c r="J435" t="s">
        <v>20</v>
      </c>
      <c r="K435" t="s">
        <v>29</v>
      </c>
      <c r="M435" t="s">
        <v>37</v>
      </c>
      <c r="N435">
        <v>4</v>
      </c>
      <c r="O435">
        <v>1540.22</v>
      </c>
      <c r="P435">
        <v>0</v>
      </c>
      <c r="Q435">
        <v>0</v>
      </c>
      <c r="R435">
        <v>6160.88</v>
      </c>
      <c r="S435">
        <v>4938.7</v>
      </c>
      <c r="T435">
        <v>6160.88</v>
      </c>
      <c r="U435">
        <v>1222.18</v>
      </c>
      <c r="V435">
        <v>0.19837750451234201</v>
      </c>
      <c r="W435">
        <v>1</v>
      </c>
      <c r="X435" t="s">
        <v>179</v>
      </c>
      <c r="Y435">
        <v>2024</v>
      </c>
      <c r="Z435" t="s">
        <v>203</v>
      </c>
      <c r="AA435" t="s">
        <v>204</v>
      </c>
      <c r="AB435" t="s">
        <v>131</v>
      </c>
      <c r="AC435" t="s">
        <v>131</v>
      </c>
      <c r="AD435" t="s">
        <v>131</v>
      </c>
      <c r="AE435" t="s">
        <v>131</v>
      </c>
      <c r="AF435" t="s">
        <v>131</v>
      </c>
      <c r="AG435" t="s">
        <v>131</v>
      </c>
      <c r="AH435" t="s">
        <v>131</v>
      </c>
      <c r="AI435" t="s">
        <v>133</v>
      </c>
      <c r="AJ435" t="s">
        <v>1817</v>
      </c>
      <c r="AK435" t="s">
        <v>1818</v>
      </c>
      <c r="AL435" t="s">
        <v>221</v>
      </c>
      <c r="AM435" t="s">
        <v>43</v>
      </c>
      <c r="AN435" t="s">
        <v>6</v>
      </c>
      <c r="AO435" t="s">
        <v>305</v>
      </c>
      <c r="AP435" t="s">
        <v>306</v>
      </c>
      <c r="AQ435" t="s">
        <v>20</v>
      </c>
      <c r="AR435" t="s">
        <v>29</v>
      </c>
      <c r="AS435" t="s">
        <v>37</v>
      </c>
      <c r="AT435">
        <v>0</v>
      </c>
      <c r="AU435" t="s">
        <v>203</v>
      </c>
      <c r="AV435" t="s">
        <v>204</v>
      </c>
    </row>
    <row r="436" spans="1:48" x14ac:dyDescent="0.3">
      <c r="A436" t="s">
        <v>1819</v>
      </c>
      <c r="B436" s="12">
        <v>45758</v>
      </c>
      <c r="C436" s="12">
        <v>45762</v>
      </c>
      <c r="D436" t="s">
        <v>1820</v>
      </c>
      <c r="E436" t="s">
        <v>139</v>
      </c>
      <c r="F436" t="s">
        <v>41</v>
      </c>
      <c r="G436" t="s">
        <v>9</v>
      </c>
      <c r="H436" t="s">
        <v>249</v>
      </c>
      <c r="I436" t="s">
        <v>250</v>
      </c>
      <c r="J436" t="s">
        <v>15</v>
      </c>
      <c r="K436" t="s">
        <v>22</v>
      </c>
      <c r="M436" t="s">
        <v>37</v>
      </c>
      <c r="N436">
        <v>5</v>
      </c>
      <c r="O436">
        <v>652.78</v>
      </c>
      <c r="P436">
        <v>0</v>
      </c>
      <c r="Q436">
        <v>0</v>
      </c>
      <c r="R436">
        <v>3263.9</v>
      </c>
      <c r="S436">
        <v>2068.44</v>
      </c>
      <c r="T436">
        <v>3263.9</v>
      </c>
      <c r="U436">
        <v>1195.46</v>
      </c>
      <c r="V436">
        <v>0.36626734887710999</v>
      </c>
      <c r="W436">
        <v>4</v>
      </c>
      <c r="X436" t="s">
        <v>179</v>
      </c>
      <c r="Y436">
        <v>2025</v>
      </c>
      <c r="Z436" t="s">
        <v>129</v>
      </c>
      <c r="AA436" t="s">
        <v>130</v>
      </c>
      <c r="AB436" t="s">
        <v>131</v>
      </c>
      <c r="AC436" t="s">
        <v>131</v>
      </c>
      <c r="AD436" t="s">
        <v>131</v>
      </c>
      <c r="AE436" t="s">
        <v>131</v>
      </c>
      <c r="AF436" t="s">
        <v>131</v>
      </c>
      <c r="AG436" t="s">
        <v>131</v>
      </c>
      <c r="AH436" t="s">
        <v>132</v>
      </c>
      <c r="AI436" t="s">
        <v>133</v>
      </c>
      <c r="AJ436" t="s">
        <v>1821</v>
      </c>
      <c r="AK436" t="s">
        <v>1822</v>
      </c>
      <c r="AL436" t="s">
        <v>139</v>
      </c>
      <c r="AM436" t="s">
        <v>41</v>
      </c>
      <c r="AN436" t="s">
        <v>9</v>
      </c>
      <c r="AO436" t="s">
        <v>249</v>
      </c>
      <c r="AP436" t="s">
        <v>250</v>
      </c>
      <c r="AQ436" t="s">
        <v>15</v>
      </c>
      <c r="AR436" t="s">
        <v>22</v>
      </c>
      <c r="AS436" t="s">
        <v>37</v>
      </c>
      <c r="AT436">
        <v>0</v>
      </c>
      <c r="AU436" t="s">
        <v>129</v>
      </c>
      <c r="AV436" t="s">
        <v>130</v>
      </c>
    </row>
    <row r="437" spans="1:48" x14ac:dyDescent="0.3">
      <c r="A437" t="s">
        <v>1823</v>
      </c>
      <c r="B437" s="12">
        <v>45759</v>
      </c>
      <c r="C437" s="12">
        <v>45767</v>
      </c>
      <c r="D437" t="s">
        <v>1824</v>
      </c>
      <c r="E437" t="s">
        <v>409</v>
      </c>
      <c r="F437" t="s">
        <v>41</v>
      </c>
      <c r="G437" t="s">
        <v>9</v>
      </c>
      <c r="H437" t="s">
        <v>522</v>
      </c>
      <c r="I437" t="s">
        <v>523</v>
      </c>
      <c r="J437" t="s">
        <v>15</v>
      </c>
      <c r="K437" t="s">
        <v>25</v>
      </c>
      <c r="M437" t="s">
        <v>35</v>
      </c>
      <c r="N437">
        <v>1</v>
      </c>
      <c r="O437">
        <v>2737.71</v>
      </c>
      <c r="P437">
        <v>0.15</v>
      </c>
      <c r="Q437">
        <v>0.15</v>
      </c>
      <c r="R437">
        <v>2327.0500000000002</v>
      </c>
      <c r="S437">
        <v>1919.42</v>
      </c>
      <c r="T437">
        <v>2327.0535</v>
      </c>
      <c r="U437">
        <v>407.63350000000003</v>
      </c>
      <c r="V437">
        <v>0.17517152055163299</v>
      </c>
      <c r="W437">
        <v>8</v>
      </c>
      <c r="X437" t="s">
        <v>179</v>
      </c>
      <c r="Y437">
        <v>2025</v>
      </c>
      <c r="Z437" t="s">
        <v>129</v>
      </c>
      <c r="AA437" t="s">
        <v>165</v>
      </c>
      <c r="AB437" t="s">
        <v>131</v>
      </c>
      <c r="AC437" t="s">
        <v>131</v>
      </c>
      <c r="AD437" t="s">
        <v>131</v>
      </c>
      <c r="AE437" t="s">
        <v>131</v>
      </c>
      <c r="AF437" t="s">
        <v>131</v>
      </c>
      <c r="AG437" t="s">
        <v>131</v>
      </c>
      <c r="AH437" t="s">
        <v>131</v>
      </c>
      <c r="AI437" t="s">
        <v>133</v>
      </c>
      <c r="AJ437" t="s">
        <v>1825</v>
      </c>
      <c r="AK437" t="s">
        <v>943</v>
      </c>
      <c r="AL437" t="s">
        <v>409</v>
      </c>
      <c r="AM437" t="s">
        <v>41</v>
      </c>
      <c r="AN437" t="s">
        <v>9</v>
      </c>
      <c r="AO437" t="s">
        <v>522</v>
      </c>
      <c r="AP437" t="s">
        <v>523</v>
      </c>
      <c r="AQ437" t="s">
        <v>15</v>
      </c>
      <c r="AR437" t="s">
        <v>25</v>
      </c>
      <c r="AS437" t="s">
        <v>35</v>
      </c>
      <c r="AT437">
        <v>0.15</v>
      </c>
      <c r="AU437" t="s">
        <v>129</v>
      </c>
      <c r="AV437" t="s">
        <v>165</v>
      </c>
    </row>
    <row r="438" spans="1:48" x14ac:dyDescent="0.3">
      <c r="A438" t="s">
        <v>1826</v>
      </c>
      <c r="B438" s="12">
        <v>45459</v>
      </c>
      <c r="C438" s="12">
        <v>45464</v>
      </c>
      <c r="D438" t="s">
        <v>1827</v>
      </c>
      <c r="E438" t="s">
        <v>178</v>
      </c>
      <c r="F438" t="s">
        <v>42</v>
      </c>
      <c r="G438" t="s">
        <v>6</v>
      </c>
      <c r="H438" t="s">
        <v>305</v>
      </c>
      <c r="I438" t="s">
        <v>306</v>
      </c>
      <c r="J438" t="s">
        <v>18</v>
      </c>
      <c r="K438" t="s">
        <v>23</v>
      </c>
      <c r="M438" t="s">
        <v>38</v>
      </c>
      <c r="N438">
        <v>6</v>
      </c>
      <c r="O438">
        <v>1156.78</v>
      </c>
      <c r="P438">
        <v>0.05</v>
      </c>
      <c r="Q438">
        <v>0.05</v>
      </c>
      <c r="R438">
        <v>6593.65</v>
      </c>
      <c r="S438">
        <v>4359.3900000000003</v>
      </c>
      <c r="T438">
        <v>6593.6459999999997</v>
      </c>
      <c r="U438">
        <v>2234.2559999999999</v>
      </c>
      <c r="V438">
        <v>0.338849856361715</v>
      </c>
      <c r="W438">
        <v>5</v>
      </c>
      <c r="X438" t="s">
        <v>148</v>
      </c>
      <c r="Y438">
        <v>2024</v>
      </c>
      <c r="Z438" t="s">
        <v>129</v>
      </c>
      <c r="AA438" t="s">
        <v>204</v>
      </c>
      <c r="AB438" t="s">
        <v>131</v>
      </c>
      <c r="AC438" t="s">
        <v>131</v>
      </c>
      <c r="AD438" t="s">
        <v>131</v>
      </c>
      <c r="AE438" t="s">
        <v>131</v>
      </c>
      <c r="AF438" t="s">
        <v>131</v>
      </c>
      <c r="AG438" t="s">
        <v>131</v>
      </c>
      <c r="AH438" t="s">
        <v>131</v>
      </c>
      <c r="AI438" t="s">
        <v>133</v>
      </c>
      <c r="AJ438" t="s">
        <v>1828</v>
      </c>
      <c r="AK438" t="s">
        <v>1829</v>
      </c>
      <c r="AL438" t="s">
        <v>178</v>
      </c>
      <c r="AM438" t="s">
        <v>42</v>
      </c>
      <c r="AN438" t="s">
        <v>6</v>
      </c>
      <c r="AO438" t="s">
        <v>305</v>
      </c>
      <c r="AP438" t="s">
        <v>306</v>
      </c>
      <c r="AQ438" t="s">
        <v>18</v>
      </c>
      <c r="AR438" t="s">
        <v>23</v>
      </c>
      <c r="AS438" t="s">
        <v>38</v>
      </c>
      <c r="AT438">
        <v>0.05</v>
      </c>
      <c r="AU438" t="s">
        <v>129</v>
      </c>
      <c r="AV438" t="s">
        <v>204</v>
      </c>
    </row>
    <row r="439" spans="1:48" x14ac:dyDescent="0.3">
      <c r="A439" t="s">
        <v>1830</v>
      </c>
      <c r="B439" s="12">
        <v>45337</v>
      </c>
      <c r="C439" s="12">
        <v>45340</v>
      </c>
      <c r="D439" t="s">
        <v>1831</v>
      </c>
      <c r="E439" t="s">
        <v>191</v>
      </c>
      <c r="F439" t="s">
        <v>44</v>
      </c>
      <c r="G439" t="s">
        <v>6</v>
      </c>
      <c r="H439" t="s">
        <v>305</v>
      </c>
      <c r="I439" t="s">
        <v>306</v>
      </c>
      <c r="J439" t="s">
        <v>15</v>
      </c>
      <c r="K439" t="s">
        <v>22</v>
      </c>
      <c r="M439" t="s">
        <v>38</v>
      </c>
      <c r="N439">
        <v>8</v>
      </c>
      <c r="O439">
        <v>379.82</v>
      </c>
      <c r="P439">
        <v>0.05</v>
      </c>
      <c r="Q439">
        <v>0.05</v>
      </c>
      <c r="R439">
        <v>2886.63</v>
      </c>
      <c r="S439">
        <v>1588.23</v>
      </c>
      <c r="T439">
        <v>2886.6320000000001</v>
      </c>
      <c r="U439">
        <v>1298.402</v>
      </c>
      <c r="V439">
        <v>0.44979824238074001</v>
      </c>
      <c r="W439">
        <v>3</v>
      </c>
      <c r="X439" t="s">
        <v>186</v>
      </c>
      <c r="Y439">
        <v>2024</v>
      </c>
      <c r="Z439" t="s">
        <v>269</v>
      </c>
      <c r="AA439" t="s">
        <v>204</v>
      </c>
      <c r="AB439" t="s">
        <v>131</v>
      </c>
      <c r="AC439" t="s">
        <v>131</v>
      </c>
      <c r="AD439" t="s">
        <v>131</v>
      </c>
      <c r="AE439" t="s">
        <v>131</v>
      </c>
      <c r="AF439" t="s">
        <v>131</v>
      </c>
      <c r="AG439" t="s">
        <v>131</v>
      </c>
      <c r="AH439" t="s">
        <v>131</v>
      </c>
      <c r="AI439" t="s">
        <v>133</v>
      </c>
      <c r="AJ439" t="s">
        <v>1832</v>
      </c>
      <c r="AK439" t="s">
        <v>1833</v>
      </c>
      <c r="AL439" t="s">
        <v>191</v>
      </c>
      <c r="AM439" t="s">
        <v>44</v>
      </c>
      <c r="AN439" t="s">
        <v>6</v>
      </c>
      <c r="AO439" t="s">
        <v>305</v>
      </c>
      <c r="AP439" t="s">
        <v>306</v>
      </c>
      <c r="AQ439" t="s">
        <v>15</v>
      </c>
      <c r="AR439" t="s">
        <v>1834</v>
      </c>
      <c r="AS439" t="s">
        <v>38</v>
      </c>
      <c r="AT439">
        <v>0.05</v>
      </c>
      <c r="AU439" t="s">
        <v>269</v>
      </c>
      <c r="AV439" t="s">
        <v>204</v>
      </c>
    </row>
    <row r="440" spans="1:48" x14ac:dyDescent="0.3">
      <c r="A440" t="s">
        <v>1835</v>
      </c>
      <c r="B440" s="12">
        <v>45784</v>
      </c>
      <c r="C440" s="12">
        <v>45782</v>
      </c>
      <c r="D440" t="s">
        <v>1836</v>
      </c>
      <c r="E440" t="s">
        <v>178</v>
      </c>
      <c r="F440" t="s">
        <v>43</v>
      </c>
      <c r="G440" t="s">
        <v>8</v>
      </c>
      <c r="H440" t="s">
        <v>362</v>
      </c>
      <c r="I440" t="s">
        <v>363</v>
      </c>
      <c r="J440" t="s">
        <v>15</v>
      </c>
      <c r="K440" t="s">
        <v>17</v>
      </c>
      <c r="M440" t="s">
        <v>35</v>
      </c>
      <c r="N440">
        <v>1</v>
      </c>
      <c r="O440">
        <v>2266.4699999999998</v>
      </c>
      <c r="P440">
        <v>0.2</v>
      </c>
      <c r="Q440">
        <v>0.2</v>
      </c>
      <c r="R440">
        <v>1813.18</v>
      </c>
      <c r="S440">
        <v>1363.64</v>
      </c>
      <c r="T440">
        <v>1813.1759999999999</v>
      </c>
      <c r="U440">
        <v>449.536</v>
      </c>
      <c r="V440">
        <v>0.24792739370033601</v>
      </c>
      <c r="W440">
        <v>-2</v>
      </c>
      <c r="X440" t="s">
        <v>173</v>
      </c>
      <c r="Y440">
        <v>2025</v>
      </c>
      <c r="Z440" t="s">
        <v>129</v>
      </c>
      <c r="AA440" t="s">
        <v>130</v>
      </c>
      <c r="AB440" t="s">
        <v>131</v>
      </c>
      <c r="AC440" t="s">
        <v>131</v>
      </c>
      <c r="AD440" t="s">
        <v>131</v>
      </c>
      <c r="AE440" t="s">
        <v>132</v>
      </c>
      <c r="AF440" t="s">
        <v>131</v>
      </c>
      <c r="AG440" t="s">
        <v>131</v>
      </c>
      <c r="AH440" t="s">
        <v>132</v>
      </c>
      <c r="AI440" t="s">
        <v>149</v>
      </c>
      <c r="AJ440" t="s">
        <v>939</v>
      </c>
      <c r="AK440" t="s">
        <v>1837</v>
      </c>
      <c r="AL440" t="s">
        <v>178</v>
      </c>
      <c r="AM440" t="s">
        <v>43</v>
      </c>
      <c r="AN440" t="s">
        <v>8</v>
      </c>
      <c r="AO440" t="s">
        <v>362</v>
      </c>
      <c r="AP440" t="s">
        <v>363</v>
      </c>
      <c r="AQ440" t="s">
        <v>15</v>
      </c>
      <c r="AR440" t="s">
        <v>17</v>
      </c>
      <c r="AS440" t="s">
        <v>35</v>
      </c>
      <c r="AT440">
        <v>0.2</v>
      </c>
      <c r="AU440" t="s">
        <v>129</v>
      </c>
      <c r="AV440" t="s">
        <v>130</v>
      </c>
    </row>
    <row r="441" spans="1:48" x14ac:dyDescent="0.3">
      <c r="A441" t="s">
        <v>1838</v>
      </c>
      <c r="B441" s="12">
        <v>45838</v>
      </c>
      <c r="C441" s="12">
        <v>45841</v>
      </c>
      <c r="D441" t="s">
        <v>1839</v>
      </c>
      <c r="E441" t="s">
        <v>238</v>
      </c>
      <c r="F441" t="s">
        <v>41</v>
      </c>
      <c r="G441" t="s">
        <v>7</v>
      </c>
      <c r="H441" t="s">
        <v>311</v>
      </c>
      <c r="I441" t="s">
        <v>312</v>
      </c>
      <c r="J441" t="s">
        <v>20</v>
      </c>
      <c r="K441" t="s">
        <v>21</v>
      </c>
      <c r="M441" t="s">
        <v>38</v>
      </c>
      <c r="N441">
        <v>5</v>
      </c>
      <c r="O441">
        <v>665.25</v>
      </c>
      <c r="P441">
        <v>0</v>
      </c>
      <c r="Q441">
        <v>0</v>
      </c>
      <c r="R441">
        <v>3326.25</v>
      </c>
      <c r="S441">
        <v>2689.36</v>
      </c>
      <c r="T441">
        <v>3326.25</v>
      </c>
      <c r="U441">
        <v>636.89</v>
      </c>
      <c r="V441">
        <v>0.191473881999248</v>
      </c>
      <c r="W441">
        <v>3</v>
      </c>
      <c r="X441" t="s">
        <v>148</v>
      </c>
      <c r="Y441">
        <v>2025</v>
      </c>
      <c r="Z441" t="s">
        <v>203</v>
      </c>
      <c r="AA441" t="s">
        <v>204</v>
      </c>
      <c r="AB441" t="s">
        <v>131</v>
      </c>
      <c r="AC441" t="s">
        <v>131</v>
      </c>
      <c r="AD441" t="s">
        <v>131</v>
      </c>
      <c r="AE441" t="s">
        <v>131</v>
      </c>
      <c r="AF441" t="s">
        <v>131</v>
      </c>
      <c r="AG441" t="s">
        <v>131</v>
      </c>
      <c r="AH441" t="s">
        <v>131</v>
      </c>
      <c r="AI441" t="s">
        <v>133</v>
      </c>
      <c r="AJ441" t="s">
        <v>1840</v>
      </c>
      <c r="AK441" t="s">
        <v>1841</v>
      </c>
      <c r="AL441" t="s">
        <v>238</v>
      </c>
      <c r="AM441" t="s">
        <v>41</v>
      </c>
      <c r="AN441" t="s">
        <v>7</v>
      </c>
      <c r="AO441" t="s">
        <v>311</v>
      </c>
      <c r="AP441" t="s">
        <v>312</v>
      </c>
      <c r="AQ441" t="s">
        <v>20</v>
      </c>
      <c r="AR441" t="s">
        <v>21</v>
      </c>
      <c r="AS441" t="s">
        <v>38</v>
      </c>
      <c r="AT441">
        <v>0</v>
      </c>
      <c r="AU441" t="s">
        <v>203</v>
      </c>
      <c r="AV441" t="s">
        <v>204</v>
      </c>
    </row>
    <row r="442" spans="1:48" x14ac:dyDescent="0.3">
      <c r="A442" t="s">
        <v>1842</v>
      </c>
      <c r="B442" s="12">
        <v>45384</v>
      </c>
      <c r="C442" s="12">
        <v>45390</v>
      </c>
      <c r="D442" t="s">
        <v>417</v>
      </c>
      <c r="E442" t="s">
        <v>170</v>
      </c>
      <c r="F442" t="s">
        <v>43</v>
      </c>
      <c r="G442" t="s">
        <v>8</v>
      </c>
      <c r="H442" t="s">
        <v>140</v>
      </c>
      <c r="I442" t="s">
        <v>141</v>
      </c>
      <c r="J442" t="s">
        <v>15</v>
      </c>
      <c r="K442" t="s">
        <v>25</v>
      </c>
      <c r="M442" t="s">
        <v>37</v>
      </c>
      <c r="N442">
        <v>6</v>
      </c>
      <c r="O442">
        <v>3722.84</v>
      </c>
      <c r="P442">
        <v>0.2</v>
      </c>
      <c r="Q442">
        <v>0.2</v>
      </c>
      <c r="R442">
        <v>17869.63</v>
      </c>
      <c r="S442">
        <v>12163.8</v>
      </c>
      <c r="T442">
        <v>17869.632000000001</v>
      </c>
      <c r="U442">
        <v>5705.8320000000003</v>
      </c>
      <c r="V442">
        <v>0.31930327384469898</v>
      </c>
      <c r="W442">
        <v>6</v>
      </c>
      <c r="X442" t="s">
        <v>179</v>
      </c>
      <c r="Y442">
        <v>2024</v>
      </c>
      <c r="Z442" t="s">
        <v>129</v>
      </c>
      <c r="AA442" t="s">
        <v>130</v>
      </c>
      <c r="AB442" t="s">
        <v>131</v>
      </c>
      <c r="AC442" t="s">
        <v>131</v>
      </c>
      <c r="AD442" t="s">
        <v>131</v>
      </c>
      <c r="AE442" t="s">
        <v>131</v>
      </c>
      <c r="AF442" t="s">
        <v>131</v>
      </c>
      <c r="AG442" t="s">
        <v>131</v>
      </c>
      <c r="AH442" t="s">
        <v>132</v>
      </c>
      <c r="AI442" t="s">
        <v>133</v>
      </c>
      <c r="AJ442" t="s">
        <v>1843</v>
      </c>
      <c r="AK442" t="s">
        <v>1844</v>
      </c>
      <c r="AL442" t="s">
        <v>170</v>
      </c>
      <c r="AM442" t="s">
        <v>43</v>
      </c>
      <c r="AN442" t="s">
        <v>8</v>
      </c>
      <c r="AO442" t="s">
        <v>140</v>
      </c>
      <c r="AP442" t="s">
        <v>141</v>
      </c>
      <c r="AQ442" t="s">
        <v>15</v>
      </c>
      <c r="AR442" t="s">
        <v>25</v>
      </c>
      <c r="AS442" t="s">
        <v>37</v>
      </c>
      <c r="AT442">
        <v>0.2</v>
      </c>
      <c r="AU442" t="s">
        <v>129</v>
      </c>
      <c r="AV442" t="s">
        <v>130</v>
      </c>
    </row>
    <row r="443" spans="1:48" x14ac:dyDescent="0.3">
      <c r="A443" t="s">
        <v>1845</v>
      </c>
      <c r="B443" s="12">
        <v>45568</v>
      </c>
      <c r="C443" s="12">
        <v>45568</v>
      </c>
      <c r="D443" t="s">
        <v>1846</v>
      </c>
      <c r="E443" t="s">
        <v>125</v>
      </c>
      <c r="F443" t="s">
        <v>42</v>
      </c>
      <c r="G443" t="s">
        <v>8</v>
      </c>
      <c r="H443" t="s">
        <v>259</v>
      </c>
      <c r="I443" t="s">
        <v>260</v>
      </c>
      <c r="J443" t="s">
        <v>18</v>
      </c>
      <c r="K443" t="s">
        <v>26</v>
      </c>
      <c r="M443" t="s">
        <v>35</v>
      </c>
      <c r="N443">
        <v>6</v>
      </c>
      <c r="O443">
        <v>4217.49</v>
      </c>
      <c r="P443">
        <v>0</v>
      </c>
      <c r="Q443">
        <v>0</v>
      </c>
      <c r="R443">
        <v>25304.94</v>
      </c>
      <c r="S443">
        <v>20771.95</v>
      </c>
      <c r="T443">
        <v>25304.94</v>
      </c>
      <c r="U443">
        <v>4532.99</v>
      </c>
      <c r="V443">
        <v>0.17913458795002099</v>
      </c>
      <c r="W443">
        <v>0</v>
      </c>
      <c r="X443" t="s">
        <v>222</v>
      </c>
      <c r="Y443">
        <v>2024</v>
      </c>
      <c r="Z443" t="s">
        <v>129</v>
      </c>
      <c r="AA443" t="s">
        <v>165</v>
      </c>
      <c r="AB443" t="s">
        <v>131</v>
      </c>
      <c r="AC443" t="s">
        <v>131</v>
      </c>
      <c r="AD443" t="s">
        <v>131</v>
      </c>
      <c r="AE443" t="s">
        <v>131</v>
      </c>
      <c r="AF443" t="s">
        <v>131</v>
      </c>
      <c r="AG443" t="s">
        <v>131</v>
      </c>
      <c r="AH443" t="s">
        <v>131</v>
      </c>
      <c r="AI443" t="s">
        <v>133</v>
      </c>
      <c r="AJ443" t="s">
        <v>1847</v>
      </c>
      <c r="AK443" t="s">
        <v>540</v>
      </c>
      <c r="AL443" t="s">
        <v>125</v>
      </c>
      <c r="AM443" t="s">
        <v>42</v>
      </c>
      <c r="AN443" t="s">
        <v>8</v>
      </c>
      <c r="AO443" t="s">
        <v>259</v>
      </c>
      <c r="AP443" t="s">
        <v>260</v>
      </c>
      <c r="AQ443" t="s">
        <v>18</v>
      </c>
      <c r="AR443" t="s">
        <v>26</v>
      </c>
      <c r="AS443" t="s">
        <v>35</v>
      </c>
      <c r="AT443">
        <v>0</v>
      </c>
      <c r="AU443" t="s">
        <v>129</v>
      </c>
      <c r="AV443" t="s">
        <v>165</v>
      </c>
    </row>
    <row r="444" spans="1:48" x14ac:dyDescent="0.3">
      <c r="A444" t="s">
        <v>1848</v>
      </c>
      <c r="B444" s="12">
        <v>45669</v>
      </c>
      <c r="C444" s="12">
        <v>45676</v>
      </c>
      <c r="D444" t="s">
        <v>1849</v>
      </c>
      <c r="E444" t="s">
        <v>238</v>
      </c>
      <c r="F444" t="s">
        <v>42</v>
      </c>
      <c r="G444" t="s">
        <v>8</v>
      </c>
      <c r="H444" t="s">
        <v>362</v>
      </c>
      <c r="I444" t="s">
        <v>363</v>
      </c>
      <c r="J444" t="s">
        <v>18</v>
      </c>
      <c r="K444" t="s">
        <v>27</v>
      </c>
      <c r="M444" t="s">
        <v>36</v>
      </c>
      <c r="N444">
        <v>1</v>
      </c>
      <c r="O444">
        <v>1842.31</v>
      </c>
      <c r="P444">
        <v>0</v>
      </c>
      <c r="Q444">
        <v>0</v>
      </c>
      <c r="R444">
        <v>1842.31</v>
      </c>
      <c r="S444">
        <v>1019.17</v>
      </c>
      <c r="T444">
        <v>1842.31</v>
      </c>
      <c r="U444">
        <v>823.14</v>
      </c>
      <c r="V444">
        <v>0.44679777019068501</v>
      </c>
      <c r="W444">
        <v>7</v>
      </c>
      <c r="X444" t="s">
        <v>244</v>
      </c>
      <c r="Y444">
        <v>2025</v>
      </c>
      <c r="Z444" t="s">
        <v>129</v>
      </c>
      <c r="AA444" t="s">
        <v>130</v>
      </c>
      <c r="AB444" t="s">
        <v>131</v>
      </c>
      <c r="AC444" t="s">
        <v>131</v>
      </c>
      <c r="AD444" t="s">
        <v>131</v>
      </c>
      <c r="AE444" t="s">
        <v>131</v>
      </c>
      <c r="AF444" t="s">
        <v>131</v>
      </c>
      <c r="AG444" t="s">
        <v>131</v>
      </c>
      <c r="AH444" t="s">
        <v>132</v>
      </c>
      <c r="AI444" t="s">
        <v>133</v>
      </c>
      <c r="AJ444" t="s">
        <v>1850</v>
      </c>
      <c r="AK444" t="s">
        <v>1851</v>
      </c>
      <c r="AL444" t="s">
        <v>238</v>
      </c>
      <c r="AM444" t="s">
        <v>42</v>
      </c>
      <c r="AN444" t="s">
        <v>8</v>
      </c>
      <c r="AO444" t="s">
        <v>362</v>
      </c>
      <c r="AP444" t="s">
        <v>363</v>
      </c>
      <c r="AQ444" t="s">
        <v>18</v>
      </c>
      <c r="AR444" t="s">
        <v>27</v>
      </c>
      <c r="AS444" t="s">
        <v>36</v>
      </c>
      <c r="AT444">
        <v>0</v>
      </c>
      <c r="AU444" t="s">
        <v>129</v>
      </c>
      <c r="AV444" t="s">
        <v>130</v>
      </c>
    </row>
    <row r="445" spans="1:48" x14ac:dyDescent="0.3">
      <c r="A445" t="s">
        <v>1852</v>
      </c>
      <c r="B445" s="12">
        <v>45386</v>
      </c>
      <c r="C445" s="12">
        <v>45389</v>
      </c>
      <c r="D445" t="s">
        <v>1853</v>
      </c>
      <c r="E445" t="s">
        <v>255</v>
      </c>
      <c r="F445" t="s">
        <v>41</v>
      </c>
      <c r="G445" t="s">
        <v>8</v>
      </c>
      <c r="H445" t="s">
        <v>140</v>
      </c>
      <c r="I445" t="s">
        <v>141</v>
      </c>
      <c r="J445" t="s">
        <v>18</v>
      </c>
      <c r="K445" t="s">
        <v>23</v>
      </c>
      <c r="M445" t="s">
        <v>36</v>
      </c>
      <c r="N445">
        <v>1</v>
      </c>
      <c r="O445">
        <v>3683.75</v>
      </c>
      <c r="P445">
        <v>0.1</v>
      </c>
      <c r="Q445">
        <v>0.1</v>
      </c>
      <c r="R445">
        <v>3315.38</v>
      </c>
      <c r="S445">
        <v>2347.6799999999998</v>
      </c>
      <c r="T445">
        <v>3315.375</v>
      </c>
      <c r="U445">
        <v>967.69500000000005</v>
      </c>
      <c r="V445">
        <v>0.29188100893564101</v>
      </c>
      <c r="W445">
        <v>3</v>
      </c>
      <c r="X445" t="s">
        <v>179</v>
      </c>
      <c r="Y445">
        <v>2024</v>
      </c>
      <c r="Z445" t="s">
        <v>129</v>
      </c>
      <c r="AA445" t="s">
        <v>130</v>
      </c>
      <c r="AB445" t="s">
        <v>131</v>
      </c>
      <c r="AC445" t="s">
        <v>131</v>
      </c>
      <c r="AD445" t="s">
        <v>131</v>
      </c>
      <c r="AE445" t="s">
        <v>131</v>
      </c>
      <c r="AF445" t="s">
        <v>131</v>
      </c>
      <c r="AG445" t="s">
        <v>131</v>
      </c>
      <c r="AH445" t="s">
        <v>132</v>
      </c>
      <c r="AI445" t="s">
        <v>133</v>
      </c>
      <c r="AJ445" t="s">
        <v>1854</v>
      </c>
      <c r="AK445" t="s">
        <v>1625</v>
      </c>
      <c r="AL445" t="s">
        <v>255</v>
      </c>
      <c r="AM445" t="s">
        <v>41</v>
      </c>
      <c r="AN445" t="s">
        <v>8</v>
      </c>
      <c r="AO445" t="s">
        <v>140</v>
      </c>
      <c r="AP445" t="s">
        <v>141</v>
      </c>
      <c r="AQ445" t="s">
        <v>18</v>
      </c>
      <c r="AR445" t="s">
        <v>23</v>
      </c>
      <c r="AS445" t="s">
        <v>36</v>
      </c>
      <c r="AT445">
        <v>0.1</v>
      </c>
      <c r="AU445" t="s">
        <v>129</v>
      </c>
      <c r="AV445" t="s">
        <v>130</v>
      </c>
    </row>
    <row r="446" spans="1:48" x14ac:dyDescent="0.3">
      <c r="A446" t="s">
        <v>1855</v>
      </c>
      <c r="B446" s="12">
        <v>45881</v>
      </c>
      <c r="C446" s="12">
        <v>45885</v>
      </c>
      <c r="D446" t="s">
        <v>1856</v>
      </c>
      <c r="E446" t="s">
        <v>162</v>
      </c>
      <c r="F446" t="s">
        <v>42</v>
      </c>
      <c r="G446" t="s">
        <v>8</v>
      </c>
      <c r="H446" t="s">
        <v>283</v>
      </c>
      <c r="I446" t="s">
        <v>284</v>
      </c>
      <c r="J446" t="s">
        <v>15</v>
      </c>
      <c r="K446" t="s">
        <v>22</v>
      </c>
      <c r="M446" t="s">
        <v>38</v>
      </c>
      <c r="N446">
        <v>9</v>
      </c>
      <c r="O446">
        <v>2379.2399999999998</v>
      </c>
      <c r="P446">
        <v>0.05</v>
      </c>
      <c r="Q446">
        <v>0.05</v>
      </c>
      <c r="R446">
        <v>20342.5</v>
      </c>
      <c r="S446">
        <v>12407.51</v>
      </c>
      <c r="T446">
        <v>20342.502</v>
      </c>
      <c r="U446">
        <v>7934.9920000000002</v>
      </c>
      <c r="V446">
        <v>0.39006961877157498</v>
      </c>
      <c r="W446">
        <v>4</v>
      </c>
      <c r="X446" t="s">
        <v>142</v>
      </c>
      <c r="Y446">
        <v>2025</v>
      </c>
      <c r="Z446" t="s">
        <v>129</v>
      </c>
      <c r="AA446" t="s">
        <v>130</v>
      </c>
      <c r="AB446" t="s">
        <v>131</v>
      </c>
      <c r="AC446" t="s">
        <v>131</v>
      </c>
      <c r="AD446" t="s">
        <v>131</v>
      </c>
      <c r="AE446" t="s">
        <v>131</v>
      </c>
      <c r="AF446" t="s">
        <v>131</v>
      </c>
      <c r="AG446" t="s">
        <v>131</v>
      </c>
      <c r="AH446" t="s">
        <v>132</v>
      </c>
      <c r="AI446" t="s">
        <v>133</v>
      </c>
      <c r="AJ446" t="s">
        <v>1857</v>
      </c>
      <c r="AK446" t="s">
        <v>1597</v>
      </c>
      <c r="AL446" t="s">
        <v>162</v>
      </c>
      <c r="AM446" t="s">
        <v>42</v>
      </c>
      <c r="AN446" t="s">
        <v>8</v>
      </c>
      <c r="AO446" t="s">
        <v>283</v>
      </c>
      <c r="AP446" t="s">
        <v>284</v>
      </c>
      <c r="AQ446" t="s">
        <v>15</v>
      </c>
      <c r="AR446" t="s">
        <v>22</v>
      </c>
      <c r="AS446" t="s">
        <v>38</v>
      </c>
      <c r="AT446">
        <v>0.05</v>
      </c>
      <c r="AU446" t="s">
        <v>129</v>
      </c>
      <c r="AV446" t="s">
        <v>130</v>
      </c>
    </row>
    <row r="447" spans="1:48" x14ac:dyDescent="0.3">
      <c r="A447" t="s">
        <v>1858</v>
      </c>
      <c r="B447" s="12">
        <v>45421</v>
      </c>
      <c r="C447" s="12">
        <v>45417</v>
      </c>
      <c r="D447" t="s">
        <v>1859</v>
      </c>
      <c r="E447" t="s">
        <v>154</v>
      </c>
      <c r="F447" t="s">
        <v>42</v>
      </c>
      <c r="G447" t="s">
        <v>8</v>
      </c>
      <c r="H447" t="s">
        <v>283</v>
      </c>
      <c r="I447" t="s">
        <v>284</v>
      </c>
      <c r="J447" t="s">
        <v>18</v>
      </c>
      <c r="K447" t="s">
        <v>26</v>
      </c>
      <c r="M447" t="s">
        <v>38</v>
      </c>
      <c r="N447">
        <v>2</v>
      </c>
      <c r="O447">
        <v>2111.23</v>
      </c>
      <c r="P447">
        <v>0.2</v>
      </c>
      <c r="Q447">
        <v>0.2</v>
      </c>
      <c r="R447">
        <v>3377.97</v>
      </c>
      <c r="S447">
        <v>2496.29</v>
      </c>
      <c r="T447">
        <v>3377.9679999999998</v>
      </c>
      <c r="U447">
        <v>881.678</v>
      </c>
      <c r="V447">
        <v>0.26100839321154001</v>
      </c>
      <c r="W447">
        <v>-4</v>
      </c>
      <c r="X447" t="s">
        <v>173</v>
      </c>
      <c r="Y447">
        <v>2024</v>
      </c>
      <c r="Z447" t="s">
        <v>129</v>
      </c>
      <c r="AA447" t="s">
        <v>130</v>
      </c>
      <c r="AB447" t="s">
        <v>131</v>
      </c>
      <c r="AC447" t="s">
        <v>131</v>
      </c>
      <c r="AD447" t="s">
        <v>131</v>
      </c>
      <c r="AE447" t="s">
        <v>132</v>
      </c>
      <c r="AF447" t="s">
        <v>131</v>
      </c>
      <c r="AG447" t="s">
        <v>131</v>
      </c>
      <c r="AH447" t="s">
        <v>132</v>
      </c>
      <c r="AI447" t="s">
        <v>149</v>
      </c>
      <c r="AJ447" t="s">
        <v>1860</v>
      </c>
      <c r="AK447" t="s">
        <v>1861</v>
      </c>
      <c r="AL447" t="s">
        <v>154</v>
      </c>
      <c r="AM447" t="s">
        <v>42</v>
      </c>
      <c r="AN447" t="s">
        <v>8</v>
      </c>
      <c r="AO447" t="s">
        <v>283</v>
      </c>
      <c r="AP447" t="s">
        <v>284</v>
      </c>
      <c r="AQ447" t="s">
        <v>18</v>
      </c>
      <c r="AR447" t="s">
        <v>26</v>
      </c>
      <c r="AS447" t="s">
        <v>38</v>
      </c>
      <c r="AT447">
        <v>0.2</v>
      </c>
      <c r="AU447" t="s">
        <v>129</v>
      </c>
      <c r="AV447" t="s">
        <v>130</v>
      </c>
    </row>
    <row r="448" spans="1:48" x14ac:dyDescent="0.3">
      <c r="A448" t="s">
        <v>1862</v>
      </c>
      <c r="B448" s="12">
        <v>45918</v>
      </c>
      <c r="C448" s="12">
        <v>45919</v>
      </c>
      <c r="D448" t="s">
        <v>1863</v>
      </c>
      <c r="E448" t="s">
        <v>243</v>
      </c>
      <c r="F448" t="s">
        <v>41</v>
      </c>
      <c r="G448" t="s">
        <v>6</v>
      </c>
      <c r="H448" t="s">
        <v>184</v>
      </c>
      <c r="I448" t="s">
        <v>185</v>
      </c>
      <c r="J448" t="s">
        <v>20</v>
      </c>
      <c r="K448" t="s">
        <v>21</v>
      </c>
      <c r="M448" t="s">
        <v>38</v>
      </c>
      <c r="N448">
        <v>8</v>
      </c>
      <c r="O448">
        <v>4242.51</v>
      </c>
      <c r="P448">
        <v>0</v>
      </c>
      <c r="Q448">
        <v>0</v>
      </c>
      <c r="R448">
        <v>33940.080000000002</v>
      </c>
      <c r="S448">
        <v>23754.19</v>
      </c>
      <c r="T448">
        <v>33940.080000000002</v>
      </c>
      <c r="U448">
        <v>10185.89</v>
      </c>
      <c r="V448">
        <v>0.30011390662602999</v>
      </c>
      <c r="W448">
        <v>1</v>
      </c>
      <c r="X448" t="s">
        <v>196</v>
      </c>
      <c r="Y448">
        <v>2025</v>
      </c>
      <c r="Z448" t="s">
        <v>129</v>
      </c>
      <c r="AA448" t="s">
        <v>130</v>
      </c>
      <c r="AB448" t="s">
        <v>131</v>
      </c>
      <c r="AC448" t="s">
        <v>131</v>
      </c>
      <c r="AD448" t="s">
        <v>131</v>
      </c>
      <c r="AE448" t="s">
        <v>131</v>
      </c>
      <c r="AF448" t="s">
        <v>131</v>
      </c>
      <c r="AG448" t="s">
        <v>131</v>
      </c>
      <c r="AH448" t="s">
        <v>132</v>
      </c>
      <c r="AI448" t="s">
        <v>133</v>
      </c>
      <c r="AJ448" t="s">
        <v>1864</v>
      </c>
      <c r="AK448" t="s">
        <v>1865</v>
      </c>
      <c r="AL448" t="s">
        <v>243</v>
      </c>
      <c r="AM448" t="s">
        <v>41</v>
      </c>
      <c r="AN448" t="s">
        <v>6</v>
      </c>
      <c r="AO448" t="s">
        <v>184</v>
      </c>
      <c r="AP448" t="s">
        <v>185</v>
      </c>
      <c r="AQ448" t="s">
        <v>20</v>
      </c>
      <c r="AR448" t="s">
        <v>21</v>
      </c>
      <c r="AS448" t="s">
        <v>38</v>
      </c>
      <c r="AT448">
        <v>0</v>
      </c>
      <c r="AU448" t="s">
        <v>129</v>
      </c>
      <c r="AV448" t="s">
        <v>130</v>
      </c>
    </row>
    <row r="449" spans="1:48" x14ac:dyDescent="0.3">
      <c r="A449" t="s">
        <v>1866</v>
      </c>
      <c r="B449" s="12">
        <v>45879</v>
      </c>
      <c r="C449" s="12">
        <v>45879</v>
      </c>
      <c r="D449" t="s">
        <v>1867</v>
      </c>
      <c r="E449" t="s">
        <v>255</v>
      </c>
      <c r="F449" t="s">
        <v>41</v>
      </c>
      <c r="G449" t="s">
        <v>6</v>
      </c>
      <c r="H449" t="s">
        <v>155</v>
      </c>
      <c r="I449" t="s">
        <v>156</v>
      </c>
      <c r="J449" t="s">
        <v>18</v>
      </c>
      <c r="K449" t="s">
        <v>26</v>
      </c>
      <c r="M449" t="s">
        <v>35</v>
      </c>
      <c r="N449">
        <v>6</v>
      </c>
      <c r="O449">
        <v>4288.7</v>
      </c>
      <c r="P449">
        <v>0.15</v>
      </c>
      <c r="Q449">
        <v>0.15</v>
      </c>
      <c r="R449">
        <v>21872.37</v>
      </c>
      <c r="S449">
        <v>13829.5</v>
      </c>
      <c r="T449">
        <v>21872.37</v>
      </c>
      <c r="U449">
        <v>8042.87</v>
      </c>
      <c r="V449">
        <v>0.36771826738483299</v>
      </c>
      <c r="W449">
        <v>0</v>
      </c>
      <c r="X449" t="s">
        <v>142</v>
      </c>
      <c r="Y449">
        <v>2025</v>
      </c>
      <c r="Z449" t="s">
        <v>215</v>
      </c>
      <c r="AA449" t="s">
        <v>204</v>
      </c>
      <c r="AB449" t="s">
        <v>131</v>
      </c>
      <c r="AC449" t="s">
        <v>131</v>
      </c>
      <c r="AD449" t="s">
        <v>131</v>
      </c>
      <c r="AE449" t="s">
        <v>131</v>
      </c>
      <c r="AF449" t="s">
        <v>131</v>
      </c>
      <c r="AG449" t="s">
        <v>131</v>
      </c>
      <c r="AH449" t="s">
        <v>131</v>
      </c>
      <c r="AI449" t="s">
        <v>133</v>
      </c>
      <c r="AJ449" t="s">
        <v>877</v>
      </c>
      <c r="AK449" t="s">
        <v>1868</v>
      </c>
      <c r="AL449" t="s">
        <v>255</v>
      </c>
      <c r="AM449" t="s">
        <v>41</v>
      </c>
      <c r="AN449" t="s">
        <v>6</v>
      </c>
      <c r="AO449" t="s">
        <v>155</v>
      </c>
      <c r="AP449" t="s">
        <v>156</v>
      </c>
      <c r="AQ449" t="s">
        <v>18</v>
      </c>
      <c r="AR449" t="s">
        <v>26</v>
      </c>
      <c r="AS449" t="s">
        <v>35</v>
      </c>
      <c r="AT449">
        <v>0.15</v>
      </c>
      <c r="AU449" t="s">
        <v>215</v>
      </c>
      <c r="AV449" t="s">
        <v>204</v>
      </c>
    </row>
    <row r="450" spans="1:48" x14ac:dyDescent="0.3">
      <c r="A450" t="s">
        <v>1869</v>
      </c>
      <c r="B450" s="12">
        <v>45306</v>
      </c>
      <c r="C450" s="12">
        <v>45309</v>
      </c>
      <c r="D450" t="s">
        <v>1870</v>
      </c>
      <c r="E450" t="s">
        <v>139</v>
      </c>
      <c r="F450" t="s">
        <v>44</v>
      </c>
      <c r="G450" t="s">
        <v>6</v>
      </c>
      <c r="H450" t="s">
        <v>184</v>
      </c>
      <c r="I450" t="s">
        <v>185</v>
      </c>
      <c r="J450" t="s">
        <v>18</v>
      </c>
      <c r="K450" t="s">
        <v>19</v>
      </c>
      <c r="M450" t="s">
        <v>36</v>
      </c>
      <c r="N450">
        <v>2</v>
      </c>
      <c r="O450">
        <v>201.21</v>
      </c>
      <c r="P450">
        <v>0.15</v>
      </c>
      <c r="Q450">
        <v>0.15</v>
      </c>
      <c r="R450">
        <v>342.06</v>
      </c>
      <c r="S450">
        <v>244.57</v>
      </c>
      <c r="T450">
        <v>342.05700000000002</v>
      </c>
      <c r="U450">
        <v>97.486999999999995</v>
      </c>
      <c r="V450">
        <v>0.28500220723446701</v>
      </c>
      <c r="W450">
        <v>3</v>
      </c>
      <c r="X450" t="s">
        <v>244</v>
      </c>
      <c r="Y450">
        <v>2024</v>
      </c>
      <c r="Z450" t="s">
        <v>129</v>
      </c>
      <c r="AA450" t="s">
        <v>130</v>
      </c>
      <c r="AB450" t="s">
        <v>131</v>
      </c>
      <c r="AC450" t="s">
        <v>131</v>
      </c>
      <c r="AD450" t="s">
        <v>131</v>
      </c>
      <c r="AE450" t="s">
        <v>131</v>
      </c>
      <c r="AF450" t="s">
        <v>131</v>
      </c>
      <c r="AG450" t="s">
        <v>131</v>
      </c>
      <c r="AH450" t="s">
        <v>132</v>
      </c>
      <c r="AI450" t="s">
        <v>133</v>
      </c>
      <c r="AJ450" t="s">
        <v>1871</v>
      </c>
      <c r="AK450" t="s">
        <v>378</v>
      </c>
      <c r="AL450" t="s">
        <v>139</v>
      </c>
      <c r="AM450" t="s">
        <v>44</v>
      </c>
      <c r="AN450" t="s">
        <v>6</v>
      </c>
      <c r="AO450" t="s">
        <v>184</v>
      </c>
      <c r="AP450" t="s">
        <v>185</v>
      </c>
      <c r="AQ450" t="s">
        <v>18</v>
      </c>
      <c r="AR450" t="s">
        <v>19</v>
      </c>
      <c r="AS450" t="s">
        <v>36</v>
      </c>
      <c r="AT450">
        <v>0.15</v>
      </c>
      <c r="AU450" t="s">
        <v>129</v>
      </c>
      <c r="AV450" t="s">
        <v>130</v>
      </c>
    </row>
    <row r="451" spans="1:48" x14ac:dyDescent="0.3">
      <c r="A451" t="s">
        <v>1872</v>
      </c>
      <c r="B451" s="12">
        <v>45449</v>
      </c>
      <c r="C451" s="12">
        <v>45456</v>
      </c>
      <c r="D451" t="s">
        <v>1740</v>
      </c>
      <c r="E451" t="s">
        <v>191</v>
      </c>
      <c r="F451" t="s">
        <v>43</v>
      </c>
      <c r="G451" t="s">
        <v>8</v>
      </c>
      <c r="H451" t="s">
        <v>283</v>
      </c>
      <c r="I451" t="s">
        <v>284</v>
      </c>
      <c r="J451" t="s">
        <v>15</v>
      </c>
      <c r="K451" t="s">
        <v>25</v>
      </c>
      <c r="M451" t="s">
        <v>37</v>
      </c>
      <c r="N451">
        <v>6</v>
      </c>
      <c r="O451">
        <v>3270.36</v>
      </c>
      <c r="P451">
        <v>0</v>
      </c>
      <c r="Q451">
        <v>0</v>
      </c>
      <c r="R451">
        <v>19622.16</v>
      </c>
      <c r="S451">
        <v>14271.27</v>
      </c>
      <c r="T451">
        <v>19622.16</v>
      </c>
      <c r="U451">
        <v>5350.89</v>
      </c>
      <c r="V451">
        <v>0.27269627808559299</v>
      </c>
      <c r="W451">
        <v>7</v>
      </c>
      <c r="X451" t="s">
        <v>148</v>
      </c>
      <c r="Y451">
        <v>2024</v>
      </c>
      <c r="Z451" t="s">
        <v>129</v>
      </c>
      <c r="AA451" t="s">
        <v>130</v>
      </c>
      <c r="AB451" t="s">
        <v>131</v>
      </c>
      <c r="AC451" t="s">
        <v>131</v>
      </c>
      <c r="AD451" t="s">
        <v>131</v>
      </c>
      <c r="AE451" t="s">
        <v>131</v>
      </c>
      <c r="AF451" t="s">
        <v>131</v>
      </c>
      <c r="AG451" t="s">
        <v>131</v>
      </c>
      <c r="AH451" t="s">
        <v>132</v>
      </c>
      <c r="AI451" t="s">
        <v>133</v>
      </c>
      <c r="AJ451" t="s">
        <v>1873</v>
      </c>
      <c r="AK451" t="s">
        <v>1874</v>
      </c>
      <c r="AL451" t="s">
        <v>191</v>
      </c>
      <c r="AM451" t="s">
        <v>43</v>
      </c>
      <c r="AN451" t="s">
        <v>8</v>
      </c>
      <c r="AO451" t="s">
        <v>283</v>
      </c>
      <c r="AP451" t="s">
        <v>284</v>
      </c>
      <c r="AQ451" t="s">
        <v>15</v>
      </c>
      <c r="AR451" t="s">
        <v>25</v>
      </c>
      <c r="AS451" t="s">
        <v>37</v>
      </c>
      <c r="AT451">
        <v>0</v>
      </c>
      <c r="AU451" t="s">
        <v>129</v>
      </c>
      <c r="AV451" t="s">
        <v>130</v>
      </c>
    </row>
    <row r="452" spans="1:48" x14ac:dyDescent="0.3">
      <c r="A452" t="s">
        <v>1875</v>
      </c>
      <c r="B452" s="12">
        <v>45820</v>
      </c>
      <c r="C452" s="12">
        <v>45827</v>
      </c>
      <c r="D452" t="s">
        <v>1876</v>
      </c>
      <c r="E452" t="s">
        <v>162</v>
      </c>
      <c r="F452" t="s">
        <v>43</v>
      </c>
      <c r="G452" t="s">
        <v>9</v>
      </c>
      <c r="H452" t="s">
        <v>522</v>
      </c>
      <c r="I452" t="s">
        <v>523</v>
      </c>
      <c r="J452" t="s">
        <v>18</v>
      </c>
      <c r="K452" t="s">
        <v>19</v>
      </c>
      <c r="M452" t="s">
        <v>35</v>
      </c>
      <c r="N452">
        <v>9</v>
      </c>
      <c r="O452">
        <v>2278.5700000000002</v>
      </c>
      <c r="P452">
        <v>0.25</v>
      </c>
      <c r="Q452">
        <v>0.25</v>
      </c>
      <c r="R452">
        <v>15380.35</v>
      </c>
      <c r="S452">
        <v>9907.3700000000008</v>
      </c>
      <c r="T452">
        <v>15380.3475</v>
      </c>
      <c r="U452">
        <v>5472.9775</v>
      </c>
      <c r="V452">
        <v>0.35584225258889601</v>
      </c>
      <c r="W452">
        <v>7</v>
      </c>
      <c r="X452" t="s">
        <v>148</v>
      </c>
      <c r="Y452">
        <v>2025</v>
      </c>
      <c r="Z452" t="s">
        <v>129</v>
      </c>
      <c r="AA452" t="s">
        <v>130</v>
      </c>
      <c r="AB452" t="s">
        <v>131</v>
      </c>
      <c r="AC452" t="s">
        <v>131</v>
      </c>
      <c r="AD452" t="s">
        <v>131</v>
      </c>
      <c r="AE452" t="s">
        <v>131</v>
      </c>
      <c r="AF452" t="s">
        <v>131</v>
      </c>
      <c r="AG452" t="s">
        <v>131</v>
      </c>
      <c r="AH452" t="s">
        <v>132</v>
      </c>
      <c r="AI452" t="s">
        <v>133</v>
      </c>
      <c r="AJ452" t="s">
        <v>1877</v>
      </c>
      <c r="AK452" t="s">
        <v>1379</v>
      </c>
      <c r="AL452" t="s">
        <v>162</v>
      </c>
      <c r="AM452" t="s">
        <v>43</v>
      </c>
      <c r="AN452" t="s">
        <v>9</v>
      </c>
      <c r="AO452" t="s">
        <v>522</v>
      </c>
      <c r="AP452" t="s">
        <v>523</v>
      </c>
      <c r="AQ452" t="s">
        <v>18</v>
      </c>
      <c r="AR452" t="s">
        <v>19</v>
      </c>
      <c r="AS452" t="s">
        <v>35</v>
      </c>
      <c r="AT452">
        <v>0.25</v>
      </c>
      <c r="AU452" t="s">
        <v>129</v>
      </c>
      <c r="AV452" t="s">
        <v>130</v>
      </c>
    </row>
    <row r="453" spans="1:48" x14ac:dyDescent="0.3">
      <c r="A453" t="s">
        <v>1878</v>
      </c>
      <c r="B453" s="12">
        <v>45375</v>
      </c>
      <c r="C453" s="12">
        <v>45377</v>
      </c>
      <c r="D453" t="s">
        <v>1879</v>
      </c>
      <c r="E453" t="s">
        <v>255</v>
      </c>
      <c r="F453" t="s">
        <v>44</v>
      </c>
      <c r="G453" t="s">
        <v>9</v>
      </c>
      <c r="H453" t="s">
        <v>372</v>
      </c>
      <c r="I453" t="s">
        <v>373</v>
      </c>
      <c r="J453" t="s">
        <v>20</v>
      </c>
      <c r="K453" t="s">
        <v>24</v>
      </c>
      <c r="M453" t="s">
        <v>37</v>
      </c>
      <c r="N453">
        <v>8</v>
      </c>
      <c r="O453">
        <v>1917.64</v>
      </c>
      <c r="P453">
        <v>0.15</v>
      </c>
      <c r="Q453">
        <v>0.15</v>
      </c>
      <c r="R453">
        <v>13039.95</v>
      </c>
      <c r="S453">
        <v>11127.82</v>
      </c>
      <c r="T453">
        <v>13039.951999999999</v>
      </c>
      <c r="U453">
        <v>1912.1320000000001</v>
      </c>
      <c r="V453">
        <v>0.14663642933654999</v>
      </c>
      <c r="W453">
        <v>2</v>
      </c>
      <c r="X453" t="s">
        <v>278</v>
      </c>
      <c r="Y453">
        <v>2024</v>
      </c>
      <c r="Z453" t="s">
        <v>129</v>
      </c>
      <c r="AA453" t="s">
        <v>165</v>
      </c>
      <c r="AB453" t="s">
        <v>131</v>
      </c>
      <c r="AC453" t="s">
        <v>131</v>
      </c>
      <c r="AD453" t="s">
        <v>131</v>
      </c>
      <c r="AE453" t="s">
        <v>131</v>
      </c>
      <c r="AF453" t="s">
        <v>131</v>
      </c>
      <c r="AG453" t="s">
        <v>131</v>
      </c>
      <c r="AH453" t="s">
        <v>131</v>
      </c>
      <c r="AI453" t="s">
        <v>133</v>
      </c>
      <c r="AJ453" t="s">
        <v>1880</v>
      </c>
      <c r="AK453" t="s">
        <v>1881</v>
      </c>
      <c r="AL453" t="s">
        <v>255</v>
      </c>
      <c r="AM453" t="s">
        <v>44</v>
      </c>
      <c r="AN453" t="s">
        <v>9</v>
      </c>
      <c r="AO453" t="s">
        <v>372</v>
      </c>
      <c r="AP453" t="s">
        <v>373</v>
      </c>
      <c r="AQ453" t="s">
        <v>20</v>
      </c>
      <c r="AR453" t="s">
        <v>24</v>
      </c>
      <c r="AS453" t="s">
        <v>37</v>
      </c>
      <c r="AT453">
        <v>0.15</v>
      </c>
      <c r="AU453" t="s">
        <v>129</v>
      </c>
      <c r="AV453" t="s">
        <v>165</v>
      </c>
    </row>
    <row r="454" spans="1:48" x14ac:dyDescent="0.3">
      <c r="A454" t="s">
        <v>1882</v>
      </c>
      <c r="B454" s="12">
        <v>45422</v>
      </c>
      <c r="C454" s="12">
        <v>45428</v>
      </c>
      <c r="D454" t="s">
        <v>1883</v>
      </c>
      <c r="E454" t="s">
        <v>277</v>
      </c>
      <c r="F454" t="s">
        <v>41</v>
      </c>
      <c r="G454" t="s">
        <v>8</v>
      </c>
      <c r="H454" t="s">
        <v>362</v>
      </c>
      <c r="I454" t="s">
        <v>363</v>
      </c>
      <c r="J454" t="s">
        <v>15</v>
      </c>
      <c r="K454" t="s">
        <v>22</v>
      </c>
      <c r="M454" t="s">
        <v>37</v>
      </c>
      <c r="N454">
        <v>6</v>
      </c>
      <c r="O454">
        <v>2013.33</v>
      </c>
      <c r="P454">
        <v>0.2</v>
      </c>
      <c r="Q454">
        <v>0.2</v>
      </c>
      <c r="R454">
        <v>9663.98</v>
      </c>
      <c r="S454">
        <v>5628.93</v>
      </c>
      <c r="T454">
        <v>9663.9840000000004</v>
      </c>
      <c r="U454">
        <v>4035.0540000000001</v>
      </c>
      <c r="V454">
        <v>0.41753525254180901</v>
      </c>
      <c r="W454">
        <v>6</v>
      </c>
      <c r="X454" t="s">
        <v>173</v>
      </c>
      <c r="Y454">
        <v>2024</v>
      </c>
      <c r="Z454" t="s">
        <v>129</v>
      </c>
      <c r="AA454" t="s">
        <v>130</v>
      </c>
      <c r="AB454" t="s">
        <v>131</v>
      </c>
      <c r="AC454" t="s">
        <v>131</v>
      </c>
      <c r="AD454" t="s">
        <v>131</v>
      </c>
      <c r="AE454" t="s">
        <v>131</v>
      </c>
      <c r="AF454" t="s">
        <v>131</v>
      </c>
      <c r="AG454" t="s">
        <v>131</v>
      </c>
      <c r="AH454" t="s">
        <v>132</v>
      </c>
      <c r="AI454" t="s">
        <v>133</v>
      </c>
      <c r="AJ454" t="s">
        <v>1884</v>
      </c>
      <c r="AK454" t="s">
        <v>1219</v>
      </c>
      <c r="AL454" t="s">
        <v>277</v>
      </c>
      <c r="AM454" t="s">
        <v>41</v>
      </c>
      <c r="AN454" t="s">
        <v>8</v>
      </c>
      <c r="AO454" t="s">
        <v>362</v>
      </c>
      <c r="AP454" t="s">
        <v>363</v>
      </c>
      <c r="AQ454" t="s">
        <v>15</v>
      </c>
      <c r="AR454" t="s">
        <v>22</v>
      </c>
      <c r="AS454" t="s">
        <v>37</v>
      </c>
      <c r="AT454">
        <v>0.2</v>
      </c>
      <c r="AU454" t="s">
        <v>129</v>
      </c>
      <c r="AV454" t="s">
        <v>130</v>
      </c>
    </row>
    <row r="455" spans="1:48" x14ac:dyDescent="0.3">
      <c r="A455" t="s">
        <v>1885</v>
      </c>
      <c r="B455" s="12">
        <v>45780</v>
      </c>
      <c r="C455" s="12">
        <v>45788</v>
      </c>
      <c r="D455" t="s">
        <v>1886</v>
      </c>
      <c r="E455" t="s">
        <v>255</v>
      </c>
      <c r="F455" t="s">
        <v>44</v>
      </c>
      <c r="G455" t="s">
        <v>7</v>
      </c>
      <c r="H455" t="s">
        <v>171</v>
      </c>
      <c r="I455" t="s">
        <v>172</v>
      </c>
      <c r="J455" t="s">
        <v>20</v>
      </c>
      <c r="K455" t="s">
        <v>30</v>
      </c>
      <c r="M455" t="s">
        <v>38</v>
      </c>
      <c r="N455">
        <v>5</v>
      </c>
      <c r="O455">
        <v>1483.52</v>
      </c>
      <c r="P455">
        <v>0</v>
      </c>
      <c r="Q455">
        <v>0</v>
      </c>
      <c r="R455">
        <v>7417.6</v>
      </c>
      <c r="S455">
        <v>4955.8599999999997</v>
      </c>
      <c r="T455">
        <v>7417.6</v>
      </c>
      <c r="U455">
        <v>2461.7399999999998</v>
      </c>
      <c r="V455">
        <v>0.33187823554788598</v>
      </c>
      <c r="W455">
        <v>8</v>
      </c>
      <c r="X455" t="s">
        <v>173</v>
      </c>
      <c r="Y455">
        <v>2025</v>
      </c>
      <c r="Z455" t="s">
        <v>129</v>
      </c>
      <c r="AA455" t="s">
        <v>130</v>
      </c>
      <c r="AB455" t="s">
        <v>131</v>
      </c>
      <c r="AC455" t="s">
        <v>131</v>
      </c>
      <c r="AD455" t="s">
        <v>131</v>
      </c>
      <c r="AE455" t="s">
        <v>131</v>
      </c>
      <c r="AF455" t="s">
        <v>131</v>
      </c>
      <c r="AG455" t="s">
        <v>131</v>
      </c>
      <c r="AH455" t="s">
        <v>132</v>
      </c>
      <c r="AI455" t="s">
        <v>133</v>
      </c>
      <c r="AJ455" t="s">
        <v>1887</v>
      </c>
      <c r="AK455" t="s">
        <v>1888</v>
      </c>
      <c r="AL455" t="s">
        <v>255</v>
      </c>
      <c r="AM455" t="s">
        <v>486</v>
      </c>
      <c r="AN455" t="s">
        <v>7</v>
      </c>
      <c r="AO455" t="s">
        <v>171</v>
      </c>
      <c r="AP455" t="s">
        <v>172</v>
      </c>
      <c r="AQ455" t="s">
        <v>20</v>
      </c>
      <c r="AR455" t="s">
        <v>30</v>
      </c>
      <c r="AS455" t="s">
        <v>38</v>
      </c>
      <c r="AT455">
        <v>0</v>
      </c>
      <c r="AU455" t="s">
        <v>129</v>
      </c>
      <c r="AV455" t="s">
        <v>130</v>
      </c>
    </row>
    <row r="456" spans="1:48" x14ac:dyDescent="0.3">
      <c r="A456" t="s">
        <v>1889</v>
      </c>
      <c r="B456" s="12">
        <v>45739</v>
      </c>
      <c r="C456" s="12">
        <v>45744</v>
      </c>
      <c r="D456" t="s">
        <v>1890</v>
      </c>
      <c r="E456" t="s">
        <v>170</v>
      </c>
      <c r="F456" t="s">
        <v>44</v>
      </c>
      <c r="G456" t="s">
        <v>9</v>
      </c>
      <c r="H456" t="s">
        <v>126</v>
      </c>
      <c r="I456" t="s">
        <v>127</v>
      </c>
      <c r="J456" t="s">
        <v>18</v>
      </c>
      <c r="K456" t="s">
        <v>23</v>
      </c>
      <c r="M456" t="s">
        <v>35</v>
      </c>
      <c r="N456">
        <v>9</v>
      </c>
      <c r="O456">
        <v>3298</v>
      </c>
      <c r="P456">
        <v>0.15</v>
      </c>
      <c r="Q456">
        <v>0.15</v>
      </c>
      <c r="R456">
        <v>25229.7</v>
      </c>
      <c r="S456">
        <v>20170.43</v>
      </c>
      <c r="T456">
        <v>25229.7</v>
      </c>
      <c r="U456">
        <v>5059.2700000000004</v>
      </c>
      <c r="V456">
        <v>0.200528345560986</v>
      </c>
      <c r="W456">
        <v>5</v>
      </c>
      <c r="X456" t="s">
        <v>278</v>
      </c>
      <c r="Y456">
        <v>2025</v>
      </c>
      <c r="Z456" t="s">
        <v>129</v>
      </c>
      <c r="AA456" t="s">
        <v>130</v>
      </c>
      <c r="AB456" t="s">
        <v>131</v>
      </c>
      <c r="AC456" t="s">
        <v>131</v>
      </c>
      <c r="AD456" t="s">
        <v>131</v>
      </c>
      <c r="AE456" t="s">
        <v>131</v>
      </c>
      <c r="AF456" t="s">
        <v>131</v>
      </c>
      <c r="AG456" t="s">
        <v>131</v>
      </c>
      <c r="AH456" t="s">
        <v>132</v>
      </c>
      <c r="AI456" t="s">
        <v>133</v>
      </c>
      <c r="AJ456" t="s">
        <v>1891</v>
      </c>
      <c r="AK456" t="s">
        <v>1892</v>
      </c>
      <c r="AL456" t="s">
        <v>170</v>
      </c>
      <c r="AM456" t="s">
        <v>44</v>
      </c>
      <c r="AN456" t="s">
        <v>9</v>
      </c>
      <c r="AO456" t="s">
        <v>126</v>
      </c>
      <c r="AP456" t="s">
        <v>127</v>
      </c>
      <c r="AQ456" t="s">
        <v>18</v>
      </c>
      <c r="AR456" t="s">
        <v>23</v>
      </c>
      <c r="AS456" t="s">
        <v>35</v>
      </c>
      <c r="AT456">
        <v>0.15</v>
      </c>
      <c r="AU456" t="s">
        <v>129</v>
      </c>
      <c r="AV456" t="s">
        <v>130</v>
      </c>
    </row>
    <row r="457" spans="1:48" x14ac:dyDescent="0.3">
      <c r="A457" t="s">
        <v>1893</v>
      </c>
      <c r="B457" s="12">
        <v>45491</v>
      </c>
      <c r="C457" s="12">
        <v>45495</v>
      </c>
      <c r="D457" t="s">
        <v>1894</v>
      </c>
      <c r="E457" t="s">
        <v>178</v>
      </c>
      <c r="F457" t="s">
        <v>44</v>
      </c>
      <c r="G457" t="s">
        <v>6</v>
      </c>
      <c r="H457" t="s">
        <v>155</v>
      </c>
      <c r="I457" t="s">
        <v>156</v>
      </c>
      <c r="J457" t="s">
        <v>20</v>
      </c>
      <c r="K457" t="s">
        <v>29</v>
      </c>
      <c r="M457" t="s">
        <v>35</v>
      </c>
      <c r="N457">
        <v>4</v>
      </c>
      <c r="O457">
        <v>808.77</v>
      </c>
      <c r="P457">
        <v>0</v>
      </c>
      <c r="Q457">
        <v>0</v>
      </c>
      <c r="R457">
        <v>3235.08</v>
      </c>
      <c r="S457">
        <v>1848.6</v>
      </c>
      <c r="T457">
        <v>3235.08</v>
      </c>
      <c r="U457">
        <v>1386.48</v>
      </c>
      <c r="V457">
        <v>0.42857672762342802</v>
      </c>
      <c r="W457">
        <v>4</v>
      </c>
      <c r="X457" t="s">
        <v>128</v>
      </c>
      <c r="Y457">
        <v>2024</v>
      </c>
      <c r="Z457" t="s">
        <v>129</v>
      </c>
      <c r="AA457" t="s">
        <v>130</v>
      </c>
      <c r="AB457" t="s">
        <v>131</v>
      </c>
      <c r="AC457" t="s">
        <v>131</v>
      </c>
      <c r="AD457" t="s">
        <v>131</v>
      </c>
      <c r="AE457" t="s">
        <v>131</v>
      </c>
      <c r="AF457" t="s">
        <v>131</v>
      </c>
      <c r="AG457" t="s">
        <v>131</v>
      </c>
      <c r="AH457" t="s">
        <v>132</v>
      </c>
      <c r="AI457" t="s">
        <v>133</v>
      </c>
      <c r="AJ457" t="s">
        <v>1895</v>
      </c>
      <c r="AK457" t="s">
        <v>1896</v>
      </c>
      <c r="AL457" t="s">
        <v>178</v>
      </c>
      <c r="AM457" t="s">
        <v>44</v>
      </c>
      <c r="AN457" t="s">
        <v>6</v>
      </c>
      <c r="AO457" t="s">
        <v>155</v>
      </c>
      <c r="AP457" t="s">
        <v>156</v>
      </c>
      <c r="AQ457" t="s">
        <v>20</v>
      </c>
      <c r="AR457" t="s">
        <v>29</v>
      </c>
      <c r="AS457" t="s">
        <v>35</v>
      </c>
      <c r="AT457">
        <v>0</v>
      </c>
      <c r="AU457" t="s">
        <v>129</v>
      </c>
      <c r="AV457" t="s">
        <v>130</v>
      </c>
    </row>
    <row r="458" spans="1:48" x14ac:dyDescent="0.3">
      <c r="A458" t="s">
        <v>1897</v>
      </c>
      <c r="B458" s="12">
        <v>45342</v>
      </c>
      <c r="C458" s="12">
        <v>45342</v>
      </c>
      <c r="D458" t="s">
        <v>1898</v>
      </c>
      <c r="E458" t="s">
        <v>178</v>
      </c>
      <c r="F458" t="s">
        <v>43</v>
      </c>
      <c r="G458" t="s">
        <v>9</v>
      </c>
      <c r="H458" t="s">
        <v>249</v>
      </c>
      <c r="I458" t="s">
        <v>250</v>
      </c>
      <c r="J458" t="s">
        <v>15</v>
      </c>
      <c r="K458" t="s">
        <v>22</v>
      </c>
      <c r="M458" t="s">
        <v>38</v>
      </c>
      <c r="N458">
        <v>5</v>
      </c>
      <c r="O458">
        <v>2604.91</v>
      </c>
      <c r="P458">
        <v>0.15</v>
      </c>
      <c r="Q458">
        <v>0.15</v>
      </c>
      <c r="R458">
        <v>11070.87</v>
      </c>
      <c r="S458">
        <v>6623.61</v>
      </c>
      <c r="T458">
        <v>11070.8675</v>
      </c>
      <c r="U458">
        <v>4447.2574999999997</v>
      </c>
      <c r="V458">
        <v>0.40170813172499797</v>
      </c>
      <c r="W458">
        <v>0</v>
      </c>
      <c r="X458" t="s">
        <v>186</v>
      </c>
      <c r="Y458">
        <v>2024</v>
      </c>
      <c r="Z458" t="s">
        <v>129</v>
      </c>
      <c r="AA458" t="s">
        <v>204</v>
      </c>
      <c r="AB458" t="s">
        <v>131</v>
      </c>
      <c r="AC458" t="s">
        <v>131</v>
      </c>
      <c r="AD458" t="s">
        <v>131</v>
      </c>
      <c r="AE458" t="s">
        <v>131</v>
      </c>
      <c r="AF458" t="s">
        <v>131</v>
      </c>
      <c r="AG458" t="s">
        <v>131</v>
      </c>
      <c r="AH458" t="s">
        <v>131</v>
      </c>
      <c r="AI458" t="s">
        <v>133</v>
      </c>
      <c r="AJ458" t="s">
        <v>1777</v>
      </c>
      <c r="AK458" t="s">
        <v>1777</v>
      </c>
      <c r="AL458" t="s">
        <v>178</v>
      </c>
      <c r="AM458" t="s">
        <v>43</v>
      </c>
      <c r="AN458" t="s">
        <v>9</v>
      </c>
      <c r="AO458" t="s">
        <v>249</v>
      </c>
      <c r="AP458" t="s">
        <v>250</v>
      </c>
      <c r="AQ458" t="s">
        <v>15</v>
      </c>
      <c r="AR458" t="s">
        <v>22</v>
      </c>
      <c r="AS458" t="s">
        <v>38</v>
      </c>
      <c r="AT458">
        <v>0.15</v>
      </c>
      <c r="AU458" t="s">
        <v>129</v>
      </c>
      <c r="AV458" t="s">
        <v>204</v>
      </c>
    </row>
    <row r="459" spans="1:48" x14ac:dyDescent="0.3">
      <c r="A459" t="s">
        <v>1899</v>
      </c>
      <c r="B459" s="12">
        <v>45416</v>
      </c>
      <c r="C459" s="12">
        <v>45416</v>
      </c>
      <c r="D459" t="s">
        <v>1900</v>
      </c>
      <c r="E459" t="s">
        <v>139</v>
      </c>
      <c r="F459" t="s">
        <v>44</v>
      </c>
      <c r="G459" t="s">
        <v>7</v>
      </c>
      <c r="H459" t="s">
        <v>311</v>
      </c>
      <c r="I459" t="s">
        <v>312</v>
      </c>
      <c r="J459" t="s">
        <v>18</v>
      </c>
      <c r="K459" t="s">
        <v>27</v>
      </c>
      <c r="M459" t="s">
        <v>35</v>
      </c>
      <c r="N459">
        <v>7</v>
      </c>
      <c r="O459">
        <v>2851.51</v>
      </c>
      <c r="P459">
        <v>0</v>
      </c>
      <c r="Q459">
        <v>0</v>
      </c>
      <c r="R459">
        <v>19960.57</v>
      </c>
      <c r="S459">
        <v>16603.599999999999</v>
      </c>
      <c r="T459">
        <v>19960.57</v>
      </c>
      <c r="U459">
        <v>3356.97</v>
      </c>
      <c r="V459">
        <v>0.16818006700209501</v>
      </c>
      <c r="W459">
        <v>0</v>
      </c>
      <c r="X459" t="s">
        <v>173</v>
      </c>
      <c r="Y459">
        <v>2024</v>
      </c>
      <c r="Z459" t="s">
        <v>129</v>
      </c>
      <c r="AA459" t="s">
        <v>130</v>
      </c>
      <c r="AB459" t="s">
        <v>131</v>
      </c>
      <c r="AC459" t="s">
        <v>131</v>
      </c>
      <c r="AD459" t="s">
        <v>131</v>
      </c>
      <c r="AE459" t="s">
        <v>131</v>
      </c>
      <c r="AF459" t="s">
        <v>131</v>
      </c>
      <c r="AG459" t="s">
        <v>131</v>
      </c>
      <c r="AH459" t="s">
        <v>132</v>
      </c>
      <c r="AI459" t="s">
        <v>133</v>
      </c>
      <c r="AJ459" t="s">
        <v>1901</v>
      </c>
      <c r="AK459" t="s">
        <v>1902</v>
      </c>
      <c r="AL459" t="s">
        <v>139</v>
      </c>
      <c r="AM459" t="s">
        <v>44</v>
      </c>
      <c r="AN459" t="s">
        <v>7</v>
      </c>
      <c r="AO459" t="s">
        <v>311</v>
      </c>
      <c r="AP459" t="s">
        <v>312</v>
      </c>
      <c r="AQ459" t="s">
        <v>18</v>
      </c>
      <c r="AR459" t="s">
        <v>27</v>
      </c>
      <c r="AS459" t="s">
        <v>35</v>
      </c>
      <c r="AT459">
        <v>0</v>
      </c>
      <c r="AU459" t="s">
        <v>129</v>
      </c>
      <c r="AV459" t="s">
        <v>130</v>
      </c>
    </row>
    <row r="460" spans="1:48" x14ac:dyDescent="0.3">
      <c r="A460" t="s">
        <v>1903</v>
      </c>
      <c r="B460" s="12">
        <v>45332</v>
      </c>
      <c r="C460" s="12">
        <v>45333</v>
      </c>
      <c r="D460" t="s">
        <v>1904</v>
      </c>
      <c r="E460" t="s">
        <v>125</v>
      </c>
      <c r="F460" t="s">
        <v>43</v>
      </c>
      <c r="G460" t="s">
        <v>9</v>
      </c>
      <c r="H460" t="s">
        <v>126</v>
      </c>
      <c r="I460" t="s">
        <v>127</v>
      </c>
      <c r="J460" t="s">
        <v>15</v>
      </c>
      <c r="K460" t="s">
        <v>17</v>
      </c>
      <c r="M460" t="s">
        <v>37</v>
      </c>
      <c r="N460">
        <v>3</v>
      </c>
      <c r="O460">
        <v>3183.72</v>
      </c>
      <c r="P460">
        <v>0.1</v>
      </c>
      <c r="Q460">
        <v>0.1</v>
      </c>
      <c r="R460">
        <v>8596.0400000000009</v>
      </c>
      <c r="S460">
        <v>5378.16</v>
      </c>
      <c r="T460">
        <v>8596.0439999999999</v>
      </c>
      <c r="U460">
        <v>3217.884</v>
      </c>
      <c r="V460">
        <v>0.37434475672763001</v>
      </c>
      <c r="W460">
        <v>1</v>
      </c>
      <c r="X460" t="s">
        <v>186</v>
      </c>
      <c r="Y460">
        <v>2024</v>
      </c>
      <c r="Z460" t="s">
        <v>129</v>
      </c>
      <c r="AA460" t="s">
        <v>130</v>
      </c>
      <c r="AB460" t="s">
        <v>131</v>
      </c>
      <c r="AC460" t="s">
        <v>131</v>
      </c>
      <c r="AD460" t="s">
        <v>131</v>
      </c>
      <c r="AE460" t="s">
        <v>131</v>
      </c>
      <c r="AF460" t="s">
        <v>131</v>
      </c>
      <c r="AG460" t="s">
        <v>131</v>
      </c>
      <c r="AH460" t="s">
        <v>132</v>
      </c>
      <c r="AI460" t="s">
        <v>133</v>
      </c>
      <c r="AJ460" t="s">
        <v>1905</v>
      </c>
      <c r="AK460" t="s">
        <v>810</v>
      </c>
      <c r="AL460" t="s">
        <v>125</v>
      </c>
      <c r="AM460" t="s">
        <v>43</v>
      </c>
      <c r="AN460" t="s">
        <v>9</v>
      </c>
      <c r="AO460" t="s">
        <v>126</v>
      </c>
      <c r="AP460" t="s">
        <v>127</v>
      </c>
      <c r="AQ460" t="s">
        <v>15</v>
      </c>
      <c r="AR460" t="s">
        <v>17</v>
      </c>
      <c r="AS460" t="s">
        <v>37</v>
      </c>
      <c r="AT460">
        <v>0.1</v>
      </c>
      <c r="AU460" t="s">
        <v>129</v>
      </c>
      <c r="AV460" t="s">
        <v>130</v>
      </c>
    </row>
    <row r="461" spans="1:48" x14ac:dyDescent="0.3">
      <c r="A461" t="s">
        <v>1906</v>
      </c>
      <c r="B461" s="12">
        <v>45379</v>
      </c>
      <c r="C461" s="12">
        <v>45386</v>
      </c>
      <c r="D461" t="s">
        <v>1907</v>
      </c>
      <c r="E461" t="s">
        <v>162</v>
      </c>
      <c r="F461" t="s">
        <v>41</v>
      </c>
      <c r="G461" t="s">
        <v>7</v>
      </c>
      <c r="H461" t="s">
        <v>311</v>
      </c>
      <c r="I461" t="s">
        <v>312</v>
      </c>
      <c r="J461" t="s">
        <v>20</v>
      </c>
      <c r="K461" t="s">
        <v>24</v>
      </c>
      <c r="M461" t="s">
        <v>36</v>
      </c>
      <c r="N461">
        <v>3</v>
      </c>
      <c r="O461">
        <v>1150.92</v>
      </c>
      <c r="P461">
        <v>0</v>
      </c>
      <c r="Q461">
        <v>0</v>
      </c>
      <c r="R461">
        <v>3452.76</v>
      </c>
      <c r="S461">
        <v>2077.96</v>
      </c>
      <c r="T461">
        <v>3452.76</v>
      </c>
      <c r="U461">
        <v>1374.8</v>
      </c>
      <c r="V461">
        <v>0.39817421425178701</v>
      </c>
      <c r="W461">
        <v>7</v>
      </c>
      <c r="X461" t="s">
        <v>278</v>
      </c>
      <c r="Y461">
        <v>2024</v>
      </c>
      <c r="Z461" t="s">
        <v>129</v>
      </c>
      <c r="AA461" t="s">
        <v>130</v>
      </c>
      <c r="AB461" t="s">
        <v>131</v>
      </c>
      <c r="AC461" t="s">
        <v>131</v>
      </c>
      <c r="AD461" t="s">
        <v>131</v>
      </c>
      <c r="AE461" t="s">
        <v>131</v>
      </c>
      <c r="AF461" t="s">
        <v>131</v>
      </c>
      <c r="AG461" t="s">
        <v>131</v>
      </c>
      <c r="AH461" t="s">
        <v>132</v>
      </c>
      <c r="AI461" t="s">
        <v>133</v>
      </c>
      <c r="AJ461" t="s">
        <v>1908</v>
      </c>
      <c r="AK461" t="s">
        <v>1854</v>
      </c>
      <c r="AL461" t="s">
        <v>162</v>
      </c>
      <c r="AM461" t="s">
        <v>41</v>
      </c>
      <c r="AN461" t="s">
        <v>7</v>
      </c>
      <c r="AO461" t="s">
        <v>311</v>
      </c>
      <c r="AP461" t="s">
        <v>312</v>
      </c>
      <c r="AQ461" t="s">
        <v>20</v>
      </c>
      <c r="AR461" t="s">
        <v>24</v>
      </c>
      <c r="AS461" t="s">
        <v>36</v>
      </c>
      <c r="AT461">
        <v>0</v>
      </c>
      <c r="AU461" t="s">
        <v>129</v>
      </c>
      <c r="AV461" t="s">
        <v>130</v>
      </c>
    </row>
    <row r="462" spans="1:48" x14ac:dyDescent="0.3">
      <c r="A462" t="s">
        <v>1909</v>
      </c>
      <c r="B462" s="12">
        <v>45930</v>
      </c>
      <c r="C462" s="12">
        <v>45936</v>
      </c>
      <c r="D462" t="s">
        <v>1910</v>
      </c>
      <c r="E462" t="s">
        <v>238</v>
      </c>
      <c r="F462" t="s">
        <v>43</v>
      </c>
      <c r="G462" t="s">
        <v>10</v>
      </c>
      <c r="H462" t="s">
        <v>126</v>
      </c>
      <c r="I462" t="s">
        <v>127</v>
      </c>
      <c r="J462" t="s">
        <v>15</v>
      </c>
      <c r="K462" t="s">
        <v>16</v>
      </c>
      <c r="M462" t="s">
        <v>37</v>
      </c>
      <c r="N462">
        <v>9</v>
      </c>
      <c r="O462">
        <v>1359.88</v>
      </c>
      <c r="P462">
        <v>0.05</v>
      </c>
      <c r="Q462">
        <v>0.05</v>
      </c>
      <c r="R462">
        <v>11626.97</v>
      </c>
      <c r="S462">
        <v>7394.07</v>
      </c>
      <c r="T462">
        <v>11626.974</v>
      </c>
      <c r="U462">
        <v>4232.9040000000005</v>
      </c>
      <c r="V462">
        <v>0.364058954634284</v>
      </c>
      <c r="W462">
        <v>6</v>
      </c>
      <c r="X462" t="s">
        <v>196</v>
      </c>
      <c r="Y462">
        <v>2025</v>
      </c>
      <c r="Z462" t="s">
        <v>129</v>
      </c>
      <c r="AA462" t="s">
        <v>130</v>
      </c>
      <c r="AB462" t="s">
        <v>132</v>
      </c>
      <c r="AC462" t="s">
        <v>131</v>
      </c>
      <c r="AD462" t="s">
        <v>131</v>
      </c>
      <c r="AE462" t="s">
        <v>131</v>
      </c>
      <c r="AF462" t="s">
        <v>131</v>
      </c>
      <c r="AG462" t="s">
        <v>131</v>
      </c>
      <c r="AH462" t="s">
        <v>132</v>
      </c>
      <c r="AI462" t="s">
        <v>321</v>
      </c>
      <c r="AJ462" t="s">
        <v>1911</v>
      </c>
      <c r="AK462" t="s">
        <v>1912</v>
      </c>
      <c r="AL462" t="s">
        <v>238</v>
      </c>
      <c r="AM462" t="s">
        <v>43</v>
      </c>
      <c r="AO462" t="s">
        <v>126</v>
      </c>
      <c r="AP462" t="s">
        <v>127</v>
      </c>
      <c r="AQ462" t="s">
        <v>15</v>
      </c>
      <c r="AR462" t="s">
        <v>16</v>
      </c>
      <c r="AS462" t="s">
        <v>37</v>
      </c>
      <c r="AT462">
        <v>0.05</v>
      </c>
      <c r="AU462" t="s">
        <v>129</v>
      </c>
      <c r="AV462" t="s">
        <v>130</v>
      </c>
    </row>
    <row r="463" spans="1:48" x14ac:dyDescent="0.3">
      <c r="A463" t="s">
        <v>1913</v>
      </c>
      <c r="B463" s="12">
        <v>45802</v>
      </c>
      <c r="C463" s="12">
        <v>45803</v>
      </c>
      <c r="D463" t="s">
        <v>1914</v>
      </c>
      <c r="E463" t="s">
        <v>178</v>
      </c>
      <c r="F463" t="s">
        <v>43</v>
      </c>
      <c r="G463" t="s">
        <v>6</v>
      </c>
      <c r="H463" t="s">
        <v>184</v>
      </c>
      <c r="I463" t="s">
        <v>185</v>
      </c>
      <c r="J463" t="s">
        <v>20</v>
      </c>
      <c r="K463" t="s">
        <v>24</v>
      </c>
      <c r="M463" t="s">
        <v>35</v>
      </c>
      <c r="N463">
        <v>3</v>
      </c>
      <c r="O463">
        <v>3378.15</v>
      </c>
      <c r="P463">
        <v>0.15</v>
      </c>
      <c r="Q463">
        <v>0.15</v>
      </c>
      <c r="R463">
        <v>8614.2800000000007</v>
      </c>
      <c r="S463">
        <v>7052.08</v>
      </c>
      <c r="T463">
        <v>8614.2824999999993</v>
      </c>
      <c r="U463">
        <v>1562.2025000000001</v>
      </c>
      <c r="V463">
        <v>0.181350274964862</v>
      </c>
      <c r="W463">
        <v>1</v>
      </c>
      <c r="X463" t="s">
        <v>173</v>
      </c>
      <c r="Y463">
        <v>2025</v>
      </c>
      <c r="Z463" t="s">
        <v>129</v>
      </c>
      <c r="AA463" t="s">
        <v>130</v>
      </c>
      <c r="AB463" t="s">
        <v>131</v>
      </c>
      <c r="AC463" t="s">
        <v>131</v>
      </c>
      <c r="AD463" t="s">
        <v>131</v>
      </c>
      <c r="AE463" t="s">
        <v>131</v>
      </c>
      <c r="AF463" t="s">
        <v>131</v>
      </c>
      <c r="AG463" t="s">
        <v>131</v>
      </c>
      <c r="AH463" t="s">
        <v>132</v>
      </c>
      <c r="AI463" t="s">
        <v>133</v>
      </c>
      <c r="AJ463" t="s">
        <v>1915</v>
      </c>
      <c r="AK463" t="s">
        <v>1336</v>
      </c>
      <c r="AL463" t="s">
        <v>178</v>
      </c>
      <c r="AM463" t="s">
        <v>43</v>
      </c>
      <c r="AN463" t="s">
        <v>6</v>
      </c>
      <c r="AO463" t="s">
        <v>184</v>
      </c>
      <c r="AP463" t="s">
        <v>185</v>
      </c>
      <c r="AQ463" t="s">
        <v>20</v>
      </c>
      <c r="AR463" t="s">
        <v>24</v>
      </c>
      <c r="AS463" t="s">
        <v>35</v>
      </c>
      <c r="AT463">
        <v>0.15</v>
      </c>
      <c r="AU463" t="s">
        <v>129</v>
      </c>
      <c r="AV463" t="s">
        <v>130</v>
      </c>
    </row>
    <row r="464" spans="1:48" x14ac:dyDescent="0.3">
      <c r="A464" t="s">
        <v>1916</v>
      </c>
      <c r="B464" s="12">
        <v>45558</v>
      </c>
      <c r="C464" s="12">
        <v>45560</v>
      </c>
      <c r="D464" t="s">
        <v>1917</v>
      </c>
      <c r="E464" t="s">
        <v>238</v>
      </c>
      <c r="F464" t="s">
        <v>41</v>
      </c>
      <c r="G464" t="s">
        <v>9</v>
      </c>
      <c r="H464" t="s">
        <v>522</v>
      </c>
      <c r="I464" t="s">
        <v>523</v>
      </c>
      <c r="J464" t="s">
        <v>20</v>
      </c>
      <c r="K464" t="s">
        <v>28</v>
      </c>
      <c r="M464" t="s">
        <v>36</v>
      </c>
      <c r="N464">
        <v>2</v>
      </c>
      <c r="O464">
        <v>1275.1400000000001</v>
      </c>
      <c r="P464">
        <v>0.2</v>
      </c>
      <c r="Q464">
        <v>0.2</v>
      </c>
      <c r="R464">
        <v>2040.22</v>
      </c>
      <c r="S464">
        <v>1395.71</v>
      </c>
      <c r="T464">
        <v>2040.2239999999999</v>
      </c>
      <c r="U464">
        <v>644.51400000000001</v>
      </c>
      <c r="V464">
        <v>0.315903547845727</v>
      </c>
      <c r="W464">
        <v>2</v>
      </c>
      <c r="X464" t="s">
        <v>196</v>
      </c>
      <c r="Y464">
        <v>2024</v>
      </c>
      <c r="Z464" t="s">
        <v>129</v>
      </c>
      <c r="AA464" t="s">
        <v>130</v>
      </c>
      <c r="AB464" t="s">
        <v>131</v>
      </c>
      <c r="AC464" t="s">
        <v>131</v>
      </c>
      <c r="AD464" t="s">
        <v>131</v>
      </c>
      <c r="AE464" t="s">
        <v>131</v>
      </c>
      <c r="AF464" t="s">
        <v>131</v>
      </c>
      <c r="AG464" t="s">
        <v>131</v>
      </c>
      <c r="AH464" t="s">
        <v>132</v>
      </c>
      <c r="AI464" t="s">
        <v>133</v>
      </c>
      <c r="AJ464" t="s">
        <v>1715</v>
      </c>
      <c r="AK464" t="s">
        <v>1918</v>
      </c>
      <c r="AL464" t="s">
        <v>238</v>
      </c>
      <c r="AM464" t="s">
        <v>41</v>
      </c>
      <c r="AN464" t="s">
        <v>9</v>
      </c>
      <c r="AO464" t="s">
        <v>522</v>
      </c>
      <c r="AP464" t="s">
        <v>523</v>
      </c>
      <c r="AQ464" t="s">
        <v>20</v>
      </c>
      <c r="AR464" t="s">
        <v>28</v>
      </c>
      <c r="AS464" t="s">
        <v>36</v>
      </c>
      <c r="AT464">
        <v>0.2</v>
      </c>
      <c r="AU464" t="s">
        <v>129</v>
      </c>
      <c r="AV464" t="s">
        <v>130</v>
      </c>
    </row>
    <row r="465" spans="1:48" x14ac:dyDescent="0.3">
      <c r="A465" t="s">
        <v>1919</v>
      </c>
      <c r="B465" s="12">
        <v>45695</v>
      </c>
      <c r="C465" s="12">
        <v>45696</v>
      </c>
      <c r="D465" t="s">
        <v>1920</v>
      </c>
      <c r="E465" t="s">
        <v>154</v>
      </c>
      <c r="F465" t="s">
        <v>43</v>
      </c>
      <c r="G465" t="s">
        <v>7</v>
      </c>
      <c r="H465" t="s">
        <v>171</v>
      </c>
      <c r="I465" t="s">
        <v>172</v>
      </c>
      <c r="J465" t="s">
        <v>15</v>
      </c>
      <c r="K465" t="s">
        <v>17</v>
      </c>
      <c r="M465" t="s">
        <v>35</v>
      </c>
      <c r="N465">
        <v>4</v>
      </c>
      <c r="O465">
        <v>889.5</v>
      </c>
      <c r="P465">
        <v>0.2</v>
      </c>
      <c r="Q465">
        <v>0.2</v>
      </c>
      <c r="R465">
        <v>2846.4</v>
      </c>
      <c r="S465">
        <v>2132.37</v>
      </c>
      <c r="T465">
        <v>2846.4</v>
      </c>
      <c r="U465">
        <v>714.03</v>
      </c>
      <c r="V465">
        <v>0.25085370994940998</v>
      </c>
      <c r="W465">
        <v>1</v>
      </c>
      <c r="X465" t="s">
        <v>186</v>
      </c>
      <c r="Y465">
        <v>2025</v>
      </c>
      <c r="Z465" t="s">
        <v>129</v>
      </c>
      <c r="AA465" t="s">
        <v>130</v>
      </c>
      <c r="AB465" t="s">
        <v>131</v>
      </c>
      <c r="AC465" t="s">
        <v>131</v>
      </c>
      <c r="AD465" t="s">
        <v>131</v>
      </c>
      <c r="AE465" t="s">
        <v>131</v>
      </c>
      <c r="AF465" t="s">
        <v>131</v>
      </c>
      <c r="AG465" t="s">
        <v>131</v>
      </c>
      <c r="AH465" t="s">
        <v>132</v>
      </c>
      <c r="AI465" t="s">
        <v>133</v>
      </c>
      <c r="AJ465" t="s">
        <v>471</v>
      </c>
      <c r="AK465" t="s">
        <v>1921</v>
      </c>
      <c r="AL465" t="s">
        <v>154</v>
      </c>
      <c r="AM465" t="s">
        <v>43</v>
      </c>
      <c r="AN465" t="s">
        <v>7</v>
      </c>
      <c r="AO465" t="s">
        <v>171</v>
      </c>
      <c r="AP465" t="s">
        <v>172</v>
      </c>
      <c r="AQ465" t="s">
        <v>15</v>
      </c>
      <c r="AR465" t="s">
        <v>17</v>
      </c>
      <c r="AS465" t="s">
        <v>35</v>
      </c>
      <c r="AT465">
        <v>0.2</v>
      </c>
      <c r="AU465" t="s">
        <v>129</v>
      </c>
      <c r="AV465" t="s">
        <v>130</v>
      </c>
    </row>
    <row r="466" spans="1:48" x14ac:dyDescent="0.3">
      <c r="A466" t="s">
        <v>1922</v>
      </c>
      <c r="B466" s="12">
        <v>45727</v>
      </c>
      <c r="C466" s="12">
        <v>45731</v>
      </c>
      <c r="D466" t="s">
        <v>1923</v>
      </c>
      <c r="E466" t="s">
        <v>154</v>
      </c>
      <c r="F466" t="s">
        <v>43</v>
      </c>
      <c r="G466" t="s">
        <v>8</v>
      </c>
      <c r="H466" t="s">
        <v>259</v>
      </c>
      <c r="I466" t="s">
        <v>260</v>
      </c>
      <c r="J466" t="s">
        <v>20</v>
      </c>
      <c r="K466" t="s">
        <v>24</v>
      </c>
      <c r="M466" t="s">
        <v>38</v>
      </c>
      <c r="N466">
        <v>3</v>
      </c>
      <c r="O466">
        <v>3625.08</v>
      </c>
      <c r="P466">
        <v>0.05</v>
      </c>
      <c r="Q466">
        <v>0.05</v>
      </c>
      <c r="R466">
        <v>10331.48</v>
      </c>
      <c r="S466">
        <v>7131.91</v>
      </c>
      <c r="T466">
        <v>10331.477999999999</v>
      </c>
      <c r="U466">
        <v>3199.5680000000002</v>
      </c>
      <c r="V466">
        <v>0.30969121746181899</v>
      </c>
      <c r="W466">
        <v>4</v>
      </c>
      <c r="X466" t="s">
        <v>278</v>
      </c>
      <c r="Y466">
        <v>2025</v>
      </c>
      <c r="Z466" t="s">
        <v>215</v>
      </c>
      <c r="AA466" t="s">
        <v>165</v>
      </c>
      <c r="AB466" t="s">
        <v>131</v>
      </c>
      <c r="AC466" t="s">
        <v>131</v>
      </c>
      <c r="AD466" t="s">
        <v>131</v>
      </c>
      <c r="AE466" t="s">
        <v>131</v>
      </c>
      <c r="AF466" t="s">
        <v>131</v>
      </c>
      <c r="AG466" t="s">
        <v>131</v>
      </c>
      <c r="AH466" t="s">
        <v>131</v>
      </c>
      <c r="AI466" t="s">
        <v>133</v>
      </c>
      <c r="AJ466" t="s">
        <v>1924</v>
      </c>
      <c r="AK466" t="s">
        <v>1925</v>
      </c>
      <c r="AL466" t="s">
        <v>154</v>
      </c>
      <c r="AM466" t="s">
        <v>43</v>
      </c>
      <c r="AN466" t="s">
        <v>8</v>
      </c>
      <c r="AO466" t="s">
        <v>259</v>
      </c>
      <c r="AP466" t="s">
        <v>260</v>
      </c>
      <c r="AQ466" t="s">
        <v>20</v>
      </c>
      <c r="AR466" t="s">
        <v>24</v>
      </c>
      <c r="AS466" t="s">
        <v>38</v>
      </c>
      <c r="AT466">
        <v>0.05</v>
      </c>
      <c r="AU466" t="s">
        <v>215</v>
      </c>
      <c r="AV466" t="s">
        <v>165</v>
      </c>
    </row>
    <row r="467" spans="1:48" x14ac:dyDescent="0.3">
      <c r="A467" t="s">
        <v>1926</v>
      </c>
      <c r="B467" s="12">
        <v>45320</v>
      </c>
      <c r="C467" s="12">
        <v>45328</v>
      </c>
      <c r="D467" t="s">
        <v>1927</v>
      </c>
      <c r="E467" t="s">
        <v>238</v>
      </c>
      <c r="F467" t="s">
        <v>44</v>
      </c>
      <c r="G467" t="s">
        <v>7</v>
      </c>
      <c r="H467" t="s">
        <v>171</v>
      </c>
      <c r="I467" t="s">
        <v>172</v>
      </c>
      <c r="J467" t="s">
        <v>20</v>
      </c>
      <c r="K467" t="s">
        <v>30</v>
      </c>
      <c r="M467" t="s">
        <v>35</v>
      </c>
      <c r="N467">
        <v>2</v>
      </c>
      <c r="O467">
        <v>1258.9000000000001</v>
      </c>
      <c r="P467">
        <v>0</v>
      </c>
      <c r="Q467">
        <v>0</v>
      </c>
      <c r="R467">
        <v>2517.8000000000002</v>
      </c>
      <c r="S467">
        <v>1478.54</v>
      </c>
      <c r="T467">
        <v>2517.8000000000002</v>
      </c>
      <c r="U467">
        <v>1039.26</v>
      </c>
      <c r="V467">
        <v>0.41276511239971397</v>
      </c>
      <c r="W467">
        <v>8</v>
      </c>
      <c r="X467" t="s">
        <v>244</v>
      </c>
      <c r="Y467">
        <v>2024</v>
      </c>
      <c r="Z467" t="s">
        <v>129</v>
      </c>
      <c r="AA467" t="s">
        <v>130</v>
      </c>
      <c r="AB467" t="s">
        <v>131</v>
      </c>
      <c r="AC467" t="s">
        <v>131</v>
      </c>
      <c r="AD467" t="s">
        <v>131</v>
      </c>
      <c r="AE467" t="s">
        <v>131</v>
      </c>
      <c r="AF467" t="s">
        <v>131</v>
      </c>
      <c r="AG467" t="s">
        <v>131</v>
      </c>
      <c r="AH467" t="s">
        <v>132</v>
      </c>
      <c r="AI467" t="s">
        <v>133</v>
      </c>
      <c r="AJ467" t="s">
        <v>1928</v>
      </c>
      <c r="AK467" t="s">
        <v>1929</v>
      </c>
      <c r="AL467" t="s">
        <v>238</v>
      </c>
      <c r="AM467" t="s">
        <v>44</v>
      </c>
      <c r="AN467" t="s">
        <v>7</v>
      </c>
      <c r="AO467" t="s">
        <v>171</v>
      </c>
      <c r="AP467" t="s">
        <v>172</v>
      </c>
      <c r="AQ467" t="s">
        <v>20</v>
      </c>
      <c r="AR467" t="s">
        <v>30</v>
      </c>
      <c r="AS467" t="s">
        <v>35</v>
      </c>
      <c r="AT467">
        <v>0</v>
      </c>
      <c r="AU467" t="s">
        <v>129</v>
      </c>
      <c r="AV467" t="s">
        <v>130</v>
      </c>
    </row>
    <row r="468" spans="1:48" x14ac:dyDescent="0.3">
      <c r="A468" t="s">
        <v>1930</v>
      </c>
      <c r="B468" s="12">
        <v>45295</v>
      </c>
      <c r="C468" s="12">
        <v>45299</v>
      </c>
      <c r="D468" t="s">
        <v>1931</v>
      </c>
      <c r="E468" t="s">
        <v>139</v>
      </c>
      <c r="F468" t="s">
        <v>44</v>
      </c>
      <c r="G468" t="s">
        <v>8</v>
      </c>
      <c r="H468" t="s">
        <v>259</v>
      </c>
      <c r="I468" t="s">
        <v>260</v>
      </c>
      <c r="J468" t="s">
        <v>15</v>
      </c>
      <c r="K468" t="s">
        <v>22</v>
      </c>
      <c r="M468" t="s">
        <v>38</v>
      </c>
      <c r="N468">
        <v>9</v>
      </c>
      <c r="O468">
        <v>1591.96</v>
      </c>
      <c r="P468">
        <v>0.2</v>
      </c>
      <c r="Q468">
        <v>0.2</v>
      </c>
      <c r="R468">
        <v>11462.11</v>
      </c>
      <c r="S468">
        <v>7105.48</v>
      </c>
      <c r="T468">
        <v>11462.111999999999</v>
      </c>
      <c r="U468">
        <v>4356.6319999999996</v>
      </c>
      <c r="V468">
        <v>0.38008981241851397</v>
      </c>
      <c r="W468">
        <v>4</v>
      </c>
      <c r="X468" t="s">
        <v>244</v>
      </c>
      <c r="Y468">
        <v>2024</v>
      </c>
      <c r="Z468" t="s">
        <v>129</v>
      </c>
      <c r="AA468" t="s">
        <v>130</v>
      </c>
      <c r="AB468" t="s">
        <v>131</v>
      </c>
      <c r="AC468" t="s">
        <v>131</v>
      </c>
      <c r="AD468" t="s">
        <v>131</v>
      </c>
      <c r="AE468" t="s">
        <v>131</v>
      </c>
      <c r="AF468" t="s">
        <v>131</v>
      </c>
      <c r="AG468" t="s">
        <v>131</v>
      </c>
      <c r="AH468" t="s">
        <v>132</v>
      </c>
      <c r="AI468" t="s">
        <v>133</v>
      </c>
      <c r="AJ468" t="s">
        <v>1932</v>
      </c>
      <c r="AK468" t="s">
        <v>1933</v>
      </c>
      <c r="AL468" t="s">
        <v>139</v>
      </c>
      <c r="AM468" t="s">
        <v>44</v>
      </c>
      <c r="AN468" t="s">
        <v>8</v>
      </c>
      <c r="AO468" t="s">
        <v>259</v>
      </c>
      <c r="AP468" t="s">
        <v>260</v>
      </c>
      <c r="AQ468" t="s">
        <v>15</v>
      </c>
      <c r="AR468" t="s">
        <v>22</v>
      </c>
      <c r="AS468" t="s">
        <v>38</v>
      </c>
      <c r="AT468">
        <v>0.2</v>
      </c>
      <c r="AU468" t="s">
        <v>129</v>
      </c>
      <c r="AV468" t="s">
        <v>130</v>
      </c>
    </row>
    <row r="469" spans="1:48" x14ac:dyDescent="0.3">
      <c r="A469" t="s">
        <v>1934</v>
      </c>
      <c r="B469" s="12">
        <v>45524</v>
      </c>
      <c r="C469" s="12">
        <v>45525</v>
      </c>
      <c r="D469" t="s">
        <v>1935</v>
      </c>
      <c r="E469" t="s">
        <v>191</v>
      </c>
      <c r="F469" t="s">
        <v>43</v>
      </c>
      <c r="G469" t="s">
        <v>8</v>
      </c>
      <c r="H469" t="s">
        <v>140</v>
      </c>
      <c r="I469" t="s">
        <v>141</v>
      </c>
      <c r="J469" t="s">
        <v>15</v>
      </c>
      <c r="K469" t="s">
        <v>16</v>
      </c>
      <c r="M469" t="s">
        <v>36</v>
      </c>
      <c r="N469">
        <v>5</v>
      </c>
      <c r="O469">
        <v>4288.33</v>
      </c>
      <c r="P469">
        <v>0.1</v>
      </c>
      <c r="Q469">
        <v>0.1</v>
      </c>
      <c r="R469">
        <v>19297.490000000002</v>
      </c>
      <c r="S469">
        <v>15451.66</v>
      </c>
      <c r="T469">
        <v>19297.485000000001</v>
      </c>
      <c r="U469">
        <v>3845.8249999999998</v>
      </c>
      <c r="V469">
        <v>0.19929151389416799</v>
      </c>
      <c r="W469">
        <v>1</v>
      </c>
      <c r="X469" t="s">
        <v>142</v>
      </c>
      <c r="Y469">
        <v>2024</v>
      </c>
      <c r="Z469" t="s">
        <v>203</v>
      </c>
      <c r="AA469" t="s">
        <v>165</v>
      </c>
      <c r="AB469" t="s">
        <v>131</v>
      </c>
      <c r="AC469" t="s">
        <v>131</v>
      </c>
      <c r="AD469" t="s">
        <v>131</v>
      </c>
      <c r="AE469" t="s">
        <v>131</v>
      </c>
      <c r="AF469" t="s">
        <v>131</v>
      </c>
      <c r="AG469" t="s">
        <v>131</v>
      </c>
      <c r="AH469" t="s">
        <v>131</v>
      </c>
      <c r="AI469" t="s">
        <v>133</v>
      </c>
      <c r="AJ469" t="s">
        <v>1936</v>
      </c>
      <c r="AK469" t="s">
        <v>1417</v>
      </c>
      <c r="AL469" t="s">
        <v>191</v>
      </c>
      <c r="AM469" t="s">
        <v>43</v>
      </c>
      <c r="AN469" t="s">
        <v>8</v>
      </c>
      <c r="AO469" t="s">
        <v>140</v>
      </c>
      <c r="AP469" t="s">
        <v>141</v>
      </c>
      <c r="AQ469" t="s">
        <v>15</v>
      </c>
      <c r="AR469" t="s">
        <v>16</v>
      </c>
      <c r="AS469" t="s">
        <v>36</v>
      </c>
      <c r="AT469">
        <v>0.1</v>
      </c>
      <c r="AU469" t="s">
        <v>203</v>
      </c>
      <c r="AV469" t="s">
        <v>165</v>
      </c>
    </row>
    <row r="470" spans="1:48" x14ac:dyDescent="0.3">
      <c r="A470" t="s">
        <v>1937</v>
      </c>
      <c r="B470" s="12">
        <v>45666</v>
      </c>
      <c r="C470" s="12">
        <v>45664</v>
      </c>
      <c r="D470" t="s">
        <v>1938</v>
      </c>
      <c r="E470" t="s">
        <v>238</v>
      </c>
      <c r="F470" t="s">
        <v>41</v>
      </c>
      <c r="G470" t="s">
        <v>8</v>
      </c>
      <c r="H470" t="s">
        <v>201</v>
      </c>
      <c r="I470" t="s">
        <v>202</v>
      </c>
      <c r="J470" t="s">
        <v>20</v>
      </c>
      <c r="K470" t="s">
        <v>28</v>
      </c>
      <c r="M470" t="s">
        <v>37</v>
      </c>
      <c r="N470">
        <v>3</v>
      </c>
      <c r="O470">
        <v>2188.33</v>
      </c>
      <c r="P470">
        <v>0</v>
      </c>
      <c r="Q470">
        <v>0</v>
      </c>
      <c r="R470">
        <v>6564.99</v>
      </c>
      <c r="S470">
        <v>5407.24</v>
      </c>
      <c r="T470">
        <v>6564.99</v>
      </c>
      <c r="U470">
        <v>1157.75</v>
      </c>
      <c r="V470">
        <v>0.17635213458055499</v>
      </c>
      <c r="W470">
        <v>-2</v>
      </c>
      <c r="X470" t="s">
        <v>244</v>
      </c>
      <c r="Y470">
        <v>2025</v>
      </c>
      <c r="Z470" t="s">
        <v>129</v>
      </c>
      <c r="AA470" t="s">
        <v>130</v>
      </c>
      <c r="AB470" t="s">
        <v>131</v>
      </c>
      <c r="AC470" t="s">
        <v>131</v>
      </c>
      <c r="AD470" t="s">
        <v>131</v>
      </c>
      <c r="AE470" t="s">
        <v>132</v>
      </c>
      <c r="AF470" t="s">
        <v>131</v>
      </c>
      <c r="AG470" t="s">
        <v>131</v>
      </c>
      <c r="AH470" t="s">
        <v>132</v>
      </c>
      <c r="AI470" t="s">
        <v>149</v>
      </c>
      <c r="AJ470" t="s">
        <v>1939</v>
      </c>
      <c r="AK470" t="s">
        <v>1940</v>
      </c>
      <c r="AL470" t="s">
        <v>238</v>
      </c>
      <c r="AM470" t="s">
        <v>41</v>
      </c>
      <c r="AN470" t="s">
        <v>8</v>
      </c>
      <c r="AO470" t="s">
        <v>201</v>
      </c>
      <c r="AP470" t="s">
        <v>202</v>
      </c>
      <c r="AQ470" t="s">
        <v>20</v>
      </c>
      <c r="AR470" t="s">
        <v>28</v>
      </c>
      <c r="AS470" t="s">
        <v>37</v>
      </c>
      <c r="AT470">
        <v>0</v>
      </c>
      <c r="AU470" t="s">
        <v>129</v>
      </c>
      <c r="AV470" t="s">
        <v>130</v>
      </c>
    </row>
    <row r="471" spans="1:48" x14ac:dyDescent="0.3">
      <c r="A471" t="s">
        <v>1941</v>
      </c>
      <c r="B471" s="12">
        <v>45310</v>
      </c>
      <c r="C471" s="12">
        <v>45316</v>
      </c>
      <c r="D471" t="s">
        <v>1942</v>
      </c>
      <c r="E471" t="s">
        <v>191</v>
      </c>
      <c r="F471" t="s">
        <v>43</v>
      </c>
      <c r="G471" t="s">
        <v>7</v>
      </c>
      <c r="H471" t="s">
        <v>311</v>
      </c>
      <c r="I471" t="s">
        <v>312</v>
      </c>
      <c r="J471" t="s">
        <v>15</v>
      </c>
      <c r="K471" t="s">
        <v>16</v>
      </c>
      <c r="M471" t="s">
        <v>36</v>
      </c>
      <c r="N471">
        <v>3</v>
      </c>
      <c r="O471">
        <v>1041.6600000000001</v>
      </c>
      <c r="P471">
        <v>0.1</v>
      </c>
      <c r="Q471">
        <v>0.1</v>
      </c>
      <c r="R471">
        <v>2812.48</v>
      </c>
      <c r="S471">
        <v>2282.12</v>
      </c>
      <c r="T471">
        <v>2812.482</v>
      </c>
      <c r="U471">
        <v>530.36200000000099</v>
      </c>
      <c r="V471">
        <v>0.18857436243147499</v>
      </c>
      <c r="W471">
        <v>6</v>
      </c>
      <c r="X471" t="s">
        <v>244</v>
      </c>
      <c r="Y471">
        <v>2024</v>
      </c>
      <c r="Z471" t="s">
        <v>129</v>
      </c>
      <c r="AA471" t="s">
        <v>130</v>
      </c>
      <c r="AB471" t="s">
        <v>131</v>
      </c>
      <c r="AC471" t="s">
        <v>131</v>
      </c>
      <c r="AD471" t="s">
        <v>131</v>
      </c>
      <c r="AE471" t="s">
        <v>131</v>
      </c>
      <c r="AF471" t="s">
        <v>131</v>
      </c>
      <c r="AG471" t="s">
        <v>131</v>
      </c>
      <c r="AH471" t="s">
        <v>132</v>
      </c>
      <c r="AI471" t="s">
        <v>133</v>
      </c>
      <c r="AJ471" t="s">
        <v>1943</v>
      </c>
      <c r="AK471" t="s">
        <v>1748</v>
      </c>
      <c r="AL471" t="s">
        <v>191</v>
      </c>
      <c r="AM471" t="s">
        <v>43</v>
      </c>
      <c r="AN471" t="s">
        <v>7</v>
      </c>
      <c r="AO471" t="s">
        <v>311</v>
      </c>
      <c r="AP471" t="s">
        <v>312</v>
      </c>
      <c r="AQ471" t="s">
        <v>15</v>
      </c>
      <c r="AR471" t="s">
        <v>16</v>
      </c>
      <c r="AS471" t="s">
        <v>36</v>
      </c>
      <c r="AT471">
        <v>0.1</v>
      </c>
      <c r="AU471" t="s">
        <v>129</v>
      </c>
      <c r="AV471" t="s">
        <v>130</v>
      </c>
    </row>
    <row r="472" spans="1:48" x14ac:dyDescent="0.3">
      <c r="A472" t="s">
        <v>1944</v>
      </c>
      <c r="B472" s="12">
        <v>45501</v>
      </c>
      <c r="C472" s="12">
        <v>45504</v>
      </c>
      <c r="D472" t="s">
        <v>1945</v>
      </c>
      <c r="E472" t="s">
        <v>191</v>
      </c>
      <c r="F472" t="s">
        <v>42</v>
      </c>
      <c r="G472" t="s">
        <v>9</v>
      </c>
      <c r="H472" t="s">
        <v>126</v>
      </c>
      <c r="I472" t="s">
        <v>127</v>
      </c>
      <c r="J472" t="s">
        <v>18</v>
      </c>
      <c r="K472" t="s">
        <v>27</v>
      </c>
      <c r="M472" t="s">
        <v>38</v>
      </c>
      <c r="N472">
        <v>2</v>
      </c>
      <c r="O472">
        <v>4424.78</v>
      </c>
      <c r="P472">
        <v>0.2</v>
      </c>
      <c r="Q472">
        <v>0.2</v>
      </c>
      <c r="R472">
        <v>7079.65</v>
      </c>
      <c r="S472">
        <v>4465.91</v>
      </c>
      <c r="T472">
        <v>7079.6480000000001</v>
      </c>
      <c r="U472">
        <v>2613.7379999999998</v>
      </c>
      <c r="V472">
        <v>0.369190389126691</v>
      </c>
      <c r="W472">
        <v>3</v>
      </c>
      <c r="X472" t="s">
        <v>128</v>
      </c>
      <c r="Y472">
        <v>2024</v>
      </c>
      <c r="Z472" t="s">
        <v>129</v>
      </c>
      <c r="AA472" t="s">
        <v>130</v>
      </c>
      <c r="AB472" t="s">
        <v>131</v>
      </c>
      <c r="AC472" t="s">
        <v>131</v>
      </c>
      <c r="AD472" t="s">
        <v>131</v>
      </c>
      <c r="AE472" t="s">
        <v>131</v>
      </c>
      <c r="AF472" t="s">
        <v>131</v>
      </c>
      <c r="AG472" t="s">
        <v>131</v>
      </c>
      <c r="AH472" t="s">
        <v>132</v>
      </c>
      <c r="AI472" t="s">
        <v>133</v>
      </c>
      <c r="AJ472" t="s">
        <v>1946</v>
      </c>
      <c r="AK472" t="s">
        <v>1392</v>
      </c>
      <c r="AL472" t="s">
        <v>191</v>
      </c>
      <c r="AM472" t="s">
        <v>42</v>
      </c>
      <c r="AN472" t="s">
        <v>9</v>
      </c>
      <c r="AO472" t="s">
        <v>126</v>
      </c>
      <c r="AP472" t="s">
        <v>127</v>
      </c>
      <c r="AQ472" t="s">
        <v>18</v>
      </c>
      <c r="AR472" t="s">
        <v>27</v>
      </c>
      <c r="AS472" t="s">
        <v>38</v>
      </c>
      <c r="AT472">
        <v>0.2</v>
      </c>
      <c r="AU472" t="s">
        <v>129</v>
      </c>
      <c r="AV472" t="s">
        <v>130</v>
      </c>
    </row>
    <row r="473" spans="1:48" x14ac:dyDescent="0.3">
      <c r="A473" t="s">
        <v>1947</v>
      </c>
      <c r="B473" s="12">
        <v>45333</v>
      </c>
      <c r="C473" s="12">
        <v>45337</v>
      </c>
      <c r="D473" t="s">
        <v>1948</v>
      </c>
      <c r="E473" t="s">
        <v>409</v>
      </c>
      <c r="F473" t="s">
        <v>42</v>
      </c>
      <c r="G473" t="s">
        <v>6</v>
      </c>
      <c r="H473" t="s">
        <v>155</v>
      </c>
      <c r="I473" t="s">
        <v>156</v>
      </c>
      <c r="J473" t="s">
        <v>20</v>
      </c>
      <c r="K473" t="s">
        <v>28</v>
      </c>
      <c r="M473" t="s">
        <v>35</v>
      </c>
      <c r="N473">
        <v>3</v>
      </c>
      <c r="O473">
        <v>3019.14</v>
      </c>
      <c r="P473">
        <v>0.25</v>
      </c>
      <c r="Q473">
        <v>0.25</v>
      </c>
      <c r="R473">
        <v>6793.07</v>
      </c>
      <c r="S473">
        <v>4985.22</v>
      </c>
      <c r="T473">
        <v>6793.0649999999996</v>
      </c>
      <c r="U473">
        <v>1807.845</v>
      </c>
      <c r="V473">
        <v>0.26613097327936702</v>
      </c>
      <c r="W473">
        <v>4</v>
      </c>
      <c r="X473" t="s">
        <v>186</v>
      </c>
      <c r="Y473">
        <v>2024</v>
      </c>
      <c r="Z473" t="s">
        <v>129</v>
      </c>
      <c r="AA473" t="s">
        <v>130</v>
      </c>
      <c r="AB473" t="s">
        <v>131</v>
      </c>
      <c r="AC473" t="s">
        <v>131</v>
      </c>
      <c r="AD473" t="s">
        <v>131</v>
      </c>
      <c r="AE473" t="s">
        <v>131</v>
      </c>
      <c r="AF473" t="s">
        <v>131</v>
      </c>
      <c r="AG473" t="s">
        <v>131</v>
      </c>
      <c r="AH473" t="s">
        <v>132</v>
      </c>
      <c r="AI473" t="s">
        <v>133</v>
      </c>
      <c r="AJ473" t="s">
        <v>1949</v>
      </c>
      <c r="AK473" t="s">
        <v>1950</v>
      </c>
      <c r="AL473" t="s">
        <v>409</v>
      </c>
      <c r="AM473" t="s">
        <v>42</v>
      </c>
      <c r="AN473" t="s">
        <v>6</v>
      </c>
      <c r="AO473" t="s">
        <v>155</v>
      </c>
      <c r="AP473" t="s">
        <v>156</v>
      </c>
      <c r="AQ473" t="s">
        <v>20</v>
      </c>
      <c r="AR473" t="s">
        <v>28</v>
      </c>
      <c r="AS473" t="s">
        <v>35</v>
      </c>
      <c r="AT473">
        <v>0.25</v>
      </c>
      <c r="AU473" t="s">
        <v>129</v>
      </c>
      <c r="AV473" t="s">
        <v>130</v>
      </c>
    </row>
    <row r="474" spans="1:48" x14ac:dyDescent="0.3">
      <c r="A474" t="s">
        <v>1951</v>
      </c>
      <c r="B474" s="12">
        <v>45353</v>
      </c>
      <c r="C474" s="12">
        <v>45358</v>
      </c>
      <c r="D474" t="s">
        <v>1952</v>
      </c>
      <c r="E474" t="s">
        <v>255</v>
      </c>
      <c r="F474" t="s">
        <v>43</v>
      </c>
      <c r="G474" t="s">
        <v>8</v>
      </c>
      <c r="H474" t="s">
        <v>140</v>
      </c>
      <c r="I474" t="s">
        <v>141</v>
      </c>
      <c r="J474" t="s">
        <v>20</v>
      </c>
      <c r="K474" t="s">
        <v>21</v>
      </c>
      <c r="M474" t="s">
        <v>35</v>
      </c>
      <c r="N474">
        <v>7</v>
      </c>
      <c r="O474">
        <v>263.45999999999998</v>
      </c>
      <c r="P474">
        <v>0</v>
      </c>
      <c r="Q474">
        <v>0</v>
      </c>
      <c r="R474">
        <v>1844.22</v>
      </c>
      <c r="S474">
        <v>1094.21</v>
      </c>
      <c r="T474">
        <v>1844.22</v>
      </c>
      <c r="U474">
        <v>750.01</v>
      </c>
      <c r="V474">
        <v>0.40668141544934999</v>
      </c>
      <c r="W474">
        <v>5</v>
      </c>
      <c r="X474" t="s">
        <v>278</v>
      </c>
      <c r="Y474">
        <v>2024</v>
      </c>
      <c r="Z474" t="s">
        <v>129</v>
      </c>
      <c r="AA474" t="s">
        <v>130</v>
      </c>
      <c r="AB474" t="s">
        <v>131</v>
      </c>
      <c r="AC474" t="s">
        <v>131</v>
      </c>
      <c r="AD474" t="s">
        <v>131</v>
      </c>
      <c r="AE474" t="s">
        <v>131</v>
      </c>
      <c r="AF474" t="s">
        <v>131</v>
      </c>
      <c r="AG474" t="s">
        <v>131</v>
      </c>
      <c r="AH474" t="s">
        <v>132</v>
      </c>
      <c r="AI474" t="s">
        <v>133</v>
      </c>
      <c r="AJ474" t="s">
        <v>1953</v>
      </c>
      <c r="AK474" t="s">
        <v>1323</v>
      </c>
      <c r="AL474" t="s">
        <v>255</v>
      </c>
      <c r="AM474" t="s">
        <v>43</v>
      </c>
      <c r="AN474" t="s">
        <v>8</v>
      </c>
      <c r="AO474" t="s">
        <v>140</v>
      </c>
      <c r="AP474" t="s">
        <v>141</v>
      </c>
      <c r="AQ474" t="s">
        <v>20</v>
      </c>
      <c r="AR474" t="s">
        <v>21</v>
      </c>
      <c r="AS474" t="s">
        <v>35</v>
      </c>
      <c r="AT474">
        <v>0</v>
      </c>
      <c r="AU474" t="s">
        <v>129</v>
      </c>
      <c r="AV474" t="s">
        <v>130</v>
      </c>
    </row>
    <row r="475" spans="1:48" x14ac:dyDescent="0.3">
      <c r="A475" t="s">
        <v>1954</v>
      </c>
      <c r="B475" s="12">
        <v>45609</v>
      </c>
      <c r="C475" s="12">
        <v>45609</v>
      </c>
      <c r="D475" t="s">
        <v>1955</v>
      </c>
      <c r="E475" t="s">
        <v>221</v>
      </c>
      <c r="F475" t="s">
        <v>42</v>
      </c>
      <c r="G475" t="s">
        <v>7</v>
      </c>
      <c r="H475" t="s">
        <v>311</v>
      </c>
      <c r="I475" t="s">
        <v>312</v>
      </c>
      <c r="J475" t="s">
        <v>15</v>
      </c>
      <c r="K475" t="s">
        <v>16</v>
      </c>
      <c r="M475" t="s">
        <v>35</v>
      </c>
      <c r="N475">
        <v>6</v>
      </c>
      <c r="O475">
        <v>191.45</v>
      </c>
      <c r="P475">
        <v>0.2</v>
      </c>
      <c r="Q475">
        <v>0.2</v>
      </c>
      <c r="R475">
        <v>918.96</v>
      </c>
      <c r="S475">
        <v>554.17999999999995</v>
      </c>
      <c r="T475">
        <v>918.96</v>
      </c>
      <c r="U475">
        <v>364.78</v>
      </c>
      <c r="V475">
        <v>0.39694872464525099</v>
      </c>
      <c r="W475">
        <v>0</v>
      </c>
      <c r="X475" t="s">
        <v>157</v>
      </c>
      <c r="Y475">
        <v>2024</v>
      </c>
      <c r="Z475" t="s">
        <v>129</v>
      </c>
      <c r="AA475" t="s">
        <v>130</v>
      </c>
      <c r="AB475" t="s">
        <v>131</v>
      </c>
      <c r="AC475" t="s">
        <v>131</v>
      </c>
      <c r="AD475" t="s">
        <v>131</v>
      </c>
      <c r="AE475" t="s">
        <v>131</v>
      </c>
      <c r="AF475" t="s">
        <v>131</v>
      </c>
      <c r="AG475" t="s">
        <v>131</v>
      </c>
      <c r="AH475" t="s">
        <v>132</v>
      </c>
      <c r="AI475" t="s">
        <v>133</v>
      </c>
      <c r="AJ475" t="s">
        <v>1956</v>
      </c>
      <c r="AK475" t="s">
        <v>474</v>
      </c>
      <c r="AL475" t="s">
        <v>221</v>
      </c>
      <c r="AM475" t="s">
        <v>42</v>
      </c>
      <c r="AN475" t="s">
        <v>7</v>
      </c>
      <c r="AO475" t="s">
        <v>311</v>
      </c>
      <c r="AP475" t="s">
        <v>312</v>
      </c>
      <c r="AQ475" t="s">
        <v>15</v>
      </c>
      <c r="AR475" t="s">
        <v>16</v>
      </c>
      <c r="AS475" t="s">
        <v>35</v>
      </c>
      <c r="AT475">
        <v>0.2</v>
      </c>
      <c r="AU475" t="s">
        <v>129</v>
      </c>
      <c r="AV475" t="s">
        <v>130</v>
      </c>
    </row>
    <row r="476" spans="1:48" x14ac:dyDescent="0.3">
      <c r="A476" t="s">
        <v>1957</v>
      </c>
      <c r="B476" s="12">
        <v>45446</v>
      </c>
      <c r="C476" s="12">
        <v>45453</v>
      </c>
      <c r="D476" t="s">
        <v>1958</v>
      </c>
      <c r="E476" t="s">
        <v>277</v>
      </c>
      <c r="F476" t="s">
        <v>43</v>
      </c>
      <c r="G476" t="s">
        <v>9</v>
      </c>
      <c r="H476" t="s">
        <v>232</v>
      </c>
      <c r="I476" t="s">
        <v>233</v>
      </c>
      <c r="J476" t="s">
        <v>18</v>
      </c>
      <c r="K476" t="s">
        <v>23</v>
      </c>
      <c r="M476" t="s">
        <v>35</v>
      </c>
      <c r="N476">
        <v>3</v>
      </c>
      <c r="O476">
        <v>1633.57</v>
      </c>
      <c r="P476">
        <v>0</v>
      </c>
      <c r="Q476">
        <v>0</v>
      </c>
      <c r="R476">
        <v>4900.71</v>
      </c>
      <c r="S476">
        <v>2713.9</v>
      </c>
      <c r="T476">
        <v>4900.71</v>
      </c>
      <c r="U476">
        <v>2186.81</v>
      </c>
      <c r="V476">
        <v>0.44622309828575901</v>
      </c>
      <c r="W476">
        <v>7</v>
      </c>
      <c r="X476" t="s">
        <v>148</v>
      </c>
      <c r="Y476">
        <v>2024</v>
      </c>
      <c r="Z476" t="s">
        <v>129</v>
      </c>
      <c r="AA476" t="s">
        <v>130</v>
      </c>
      <c r="AB476" t="s">
        <v>131</v>
      </c>
      <c r="AC476" t="s">
        <v>131</v>
      </c>
      <c r="AD476" t="s">
        <v>131</v>
      </c>
      <c r="AE476" t="s">
        <v>131</v>
      </c>
      <c r="AF476" t="s">
        <v>131</v>
      </c>
      <c r="AG476" t="s">
        <v>131</v>
      </c>
      <c r="AH476" t="s">
        <v>132</v>
      </c>
      <c r="AI476" t="s">
        <v>133</v>
      </c>
      <c r="AJ476" t="s">
        <v>1098</v>
      </c>
      <c r="AK476" t="s">
        <v>1959</v>
      </c>
      <c r="AL476" t="s">
        <v>277</v>
      </c>
      <c r="AM476" t="s">
        <v>43</v>
      </c>
      <c r="AN476" t="s">
        <v>9</v>
      </c>
      <c r="AO476" t="s">
        <v>232</v>
      </c>
      <c r="AP476" t="s">
        <v>233</v>
      </c>
      <c r="AQ476" t="s">
        <v>18</v>
      </c>
      <c r="AR476" t="s">
        <v>23</v>
      </c>
      <c r="AS476" t="s">
        <v>35</v>
      </c>
      <c r="AT476">
        <v>0</v>
      </c>
      <c r="AU476" t="s">
        <v>129</v>
      </c>
      <c r="AV476" t="s">
        <v>130</v>
      </c>
    </row>
    <row r="477" spans="1:48" x14ac:dyDescent="0.3">
      <c r="A477" t="s">
        <v>1960</v>
      </c>
      <c r="B477" s="12">
        <v>45717</v>
      </c>
      <c r="C477" s="12">
        <v>45724</v>
      </c>
      <c r="D477" t="s">
        <v>1961</v>
      </c>
      <c r="E477" t="s">
        <v>170</v>
      </c>
      <c r="F477" t="s">
        <v>42</v>
      </c>
      <c r="G477" t="s">
        <v>8</v>
      </c>
      <c r="H477" t="s">
        <v>201</v>
      </c>
      <c r="I477" t="s">
        <v>202</v>
      </c>
      <c r="J477" t="s">
        <v>18</v>
      </c>
      <c r="K477" t="s">
        <v>19</v>
      </c>
      <c r="M477" t="s">
        <v>38</v>
      </c>
      <c r="N477">
        <v>8</v>
      </c>
      <c r="O477">
        <v>3378.82</v>
      </c>
      <c r="P477">
        <v>0.25</v>
      </c>
      <c r="Q477">
        <v>0.25</v>
      </c>
      <c r="R477">
        <v>20272.919999999998</v>
      </c>
      <c r="S477">
        <v>15873.38</v>
      </c>
      <c r="T477">
        <v>20272.919999999998</v>
      </c>
      <c r="U477">
        <v>4399.54</v>
      </c>
      <c r="V477">
        <v>0.217015605053441</v>
      </c>
      <c r="W477">
        <v>7</v>
      </c>
      <c r="X477" t="s">
        <v>278</v>
      </c>
      <c r="Y477">
        <v>2025</v>
      </c>
      <c r="Z477" t="s">
        <v>215</v>
      </c>
      <c r="AA477" t="s">
        <v>204</v>
      </c>
      <c r="AB477" t="s">
        <v>131</v>
      </c>
      <c r="AC477" t="s">
        <v>131</v>
      </c>
      <c r="AD477" t="s">
        <v>131</v>
      </c>
      <c r="AE477" t="s">
        <v>131</v>
      </c>
      <c r="AF477" t="s">
        <v>131</v>
      </c>
      <c r="AG477" t="s">
        <v>131</v>
      </c>
      <c r="AH477" t="s">
        <v>131</v>
      </c>
      <c r="AI477" t="s">
        <v>133</v>
      </c>
      <c r="AJ477" t="s">
        <v>1962</v>
      </c>
      <c r="AK477" t="s">
        <v>1963</v>
      </c>
      <c r="AL477" t="s">
        <v>170</v>
      </c>
      <c r="AM477" t="s">
        <v>42</v>
      </c>
      <c r="AN477" t="s">
        <v>8</v>
      </c>
      <c r="AO477" t="s">
        <v>201</v>
      </c>
      <c r="AP477" t="s">
        <v>202</v>
      </c>
      <c r="AQ477" t="s">
        <v>18</v>
      </c>
      <c r="AR477" t="s">
        <v>19</v>
      </c>
      <c r="AS477" t="s">
        <v>38</v>
      </c>
      <c r="AT477">
        <v>0.25</v>
      </c>
      <c r="AU477" t="s">
        <v>215</v>
      </c>
      <c r="AV477" t="s">
        <v>204</v>
      </c>
    </row>
    <row r="478" spans="1:48" x14ac:dyDescent="0.3">
      <c r="A478" t="s">
        <v>1964</v>
      </c>
      <c r="B478" s="12">
        <v>45419</v>
      </c>
      <c r="C478" s="12">
        <v>45426</v>
      </c>
      <c r="D478" t="s">
        <v>1965</v>
      </c>
      <c r="E478" t="s">
        <v>243</v>
      </c>
      <c r="F478" t="s">
        <v>44</v>
      </c>
      <c r="G478" t="s">
        <v>9</v>
      </c>
      <c r="H478" t="s">
        <v>126</v>
      </c>
      <c r="I478" t="s">
        <v>127</v>
      </c>
      <c r="J478" t="s">
        <v>20</v>
      </c>
      <c r="K478" t="s">
        <v>21</v>
      </c>
      <c r="M478" t="s">
        <v>36</v>
      </c>
      <c r="N478">
        <v>3</v>
      </c>
      <c r="O478">
        <v>383.58</v>
      </c>
      <c r="P478">
        <v>0.1</v>
      </c>
      <c r="Q478">
        <v>0.1</v>
      </c>
      <c r="R478">
        <v>1035.67</v>
      </c>
      <c r="S478">
        <v>595.41999999999996</v>
      </c>
      <c r="T478">
        <v>1035.6659999999999</v>
      </c>
      <c r="U478">
        <v>440.24599999999998</v>
      </c>
      <c r="V478">
        <v>0.42508492120046398</v>
      </c>
      <c r="W478">
        <v>7</v>
      </c>
      <c r="X478" t="s">
        <v>173</v>
      </c>
      <c r="Y478">
        <v>2024</v>
      </c>
      <c r="Z478" t="s">
        <v>129</v>
      </c>
      <c r="AA478" t="s">
        <v>130</v>
      </c>
      <c r="AB478" t="s">
        <v>131</v>
      </c>
      <c r="AC478" t="s">
        <v>131</v>
      </c>
      <c r="AD478" t="s">
        <v>131</v>
      </c>
      <c r="AE478" t="s">
        <v>131</v>
      </c>
      <c r="AF478" t="s">
        <v>131</v>
      </c>
      <c r="AG478" t="s">
        <v>131</v>
      </c>
      <c r="AH478" t="s">
        <v>132</v>
      </c>
      <c r="AI478" t="s">
        <v>133</v>
      </c>
      <c r="AJ478" t="s">
        <v>1966</v>
      </c>
      <c r="AK478" t="s">
        <v>1967</v>
      </c>
      <c r="AL478" t="s">
        <v>243</v>
      </c>
      <c r="AM478" t="s">
        <v>44</v>
      </c>
      <c r="AN478" t="s">
        <v>9</v>
      </c>
      <c r="AO478" t="s">
        <v>126</v>
      </c>
      <c r="AP478" t="s">
        <v>127</v>
      </c>
      <c r="AQ478" t="s">
        <v>20</v>
      </c>
      <c r="AR478" t="s">
        <v>21</v>
      </c>
      <c r="AS478" t="s">
        <v>36</v>
      </c>
      <c r="AT478">
        <v>0.1</v>
      </c>
      <c r="AU478" t="s">
        <v>129</v>
      </c>
      <c r="AV478" t="s">
        <v>130</v>
      </c>
    </row>
    <row r="479" spans="1:48" x14ac:dyDescent="0.3">
      <c r="A479" t="s">
        <v>1968</v>
      </c>
      <c r="B479" s="12">
        <v>45892</v>
      </c>
      <c r="C479" s="12">
        <v>45897</v>
      </c>
      <c r="D479" t="s">
        <v>1969</v>
      </c>
      <c r="E479" t="s">
        <v>170</v>
      </c>
      <c r="F479" t="s">
        <v>43</v>
      </c>
      <c r="G479" t="s">
        <v>7</v>
      </c>
      <c r="H479" t="s">
        <v>300</v>
      </c>
      <c r="I479" t="s">
        <v>301</v>
      </c>
      <c r="J479" t="s">
        <v>18</v>
      </c>
      <c r="K479" t="s">
        <v>19</v>
      </c>
      <c r="M479" t="s">
        <v>35</v>
      </c>
      <c r="N479">
        <v>6</v>
      </c>
      <c r="O479">
        <v>2193.23</v>
      </c>
      <c r="P479">
        <v>0.1</v>
      </c>
      <c r="Q479">
        <v>0.1</v>
      </c>
      <c r="R479">
        <v>11843.44</v>
      </c>
      <c r="S479">
        <v>9356.8799999999992</v>
      </c>
      <c r="T479">
        <v>11843.441999999999</v>
      </c>
      <c r="U479">
        <v>2486.5619999999999</v>
      </c>
      <c r="V479">
        <v>0.20995264721185</v>
      </c>
      <c r="W479">
        <v>5</v>
      </c>
      <c r="X479" t="s">
        <v>142</v>
      </c>
      <c r="Y479">
        <v>2025</v>
      </c>
      <c r="Z479" t="s">
        <v>129</v>
      </c>
      <c r="AA479" t="s">
        <v>165</v>
      </c>
      <c r="AB479" t="s">
        <v>131</v>
      </c>
      <c r="AC479" t="s">
        <v>131</v>
      </c>
      <c r="AD479" t="s">
        <v>131</v>
      </c>
      <c r="AE479" t="s">
        <v>131</v>
      </c>
      <c r="AF479" t="s">
        <v>131</v>
      </c>
      <c r="AG479" t="s">
        <v>131</v>
      </c>
      <c r="AH479" t="s">
        <v>131</v>
      </c>
      <c r="AI479" t="s">
        <v>133</v>
      </c>
      <c r="AJ479" t="s">
        <v>1970</v>
      </c>
      <c r="AK479" t="s">
        <v>1971</v>
      </c>
      <c r="AL479" t="s">
        <v>170</v>
      </c>
      <c r="AM479" t="s">
        <v>43</v>
      </c>
      <c r="AN479" t="s">
        <v>7</v>
      </c>
      <c r="AO479" t="s">
        <v>300</v>
      </c>
      <c r="AP479" t="s">
        <v>301</v>
      </c>
      <c r="AQ479" t="s">
        <v>18</v>
      </c>
      <c r="AR479" t="s">
        <v>19</v>
      </c>
      <c r="AS479" t="s">
        <v>35</v>
      </c>
      <c r="AT479">
        <v>0.1</v>
      </c>
      <c r="AU479" t="s">
        <v>129</v>
      </c>
      <c r="AV479" t="s">
        <v>165</v>
      </c>
    </row>
    <row r="480" spans="1:48" x14ac:dyDescent="0.3">
      <c r="A480" t="s">
        <v>1972</v>
      </c>
      <c r="B480" s="12">
        <v>45452</v>
      </c>
      <c r="C480" s="12">
        <v>45456</v>
      </c>
      <c r="D480" t="s">
        <v>1973</v>
      </c>
      <c r="E480" t="s">
        <v>139</v>
      </c>
      <c r="F480" t="s">
        <v>41</v>
      </c>
      <c r="G480" t="s">
        <v>10</v>
      </c>
      <c r="H480" t="s">
        <v>249</v>
      </c>
      <c r="I480" t="s">
        <v>250</v>
      </c>
      <c r="J480" t="s">
        <v>15</v>
      </c>
      <c r="K480" t="s">
        <v>25</v>
      </c>
      <c r="M480" t="s">
        <v>38</v>
      </c>
      <c r="N480">
        <v>7</v>
      </c>
      <c r="O480">
        <v>4079.71</v>
      </c>
      <c r="P480">
        <v>0.1</v>
      </c>
      <c r="Q480">
        <v>0.1</v>
      </c>
      <c r="R480">
        <v>25702.17</v>
      </c>
      <c r="S480">
        <v>14571.48</v>
      </c>
      <c r="T480">
        <v>25702.172999999999</v>
      </c>
      <c r="U480">
        <v>11130.692999999999</v>
      </c>
      <c r="V480">
        <v>0.43306427826160898</v>
      </c>
      <c r="W480">
        <v>4</v>
      </c>
      <c r="X480" t="s">
        <v>148</v>
      </c>
      <c r="Y480">
        <v>2024</v>
      </c>
      <c r="Z480" t="s">
        <v>203</v>
      </c>
      <c r="AA480" t="s">
        <v>204</v>
      </c>
      <c r="AB480" t="s">
        <v>132</v>
      </c>
      <c r="AC480" t="s">
        <v>131</v>
      </c>
      <c r="AD480" t="s">
        <v>131</v>
      </c>
      <c r="AE480" t="s">
        <v>131</v>
      </c>
      <c r="AF480" t="s">
        <v>131</v>
      </c>
      <c r="AG480" t="s">
        <v>131</v>
      </c>
      <c r="AH480" t="s">
        <v>131</v>
      </c>
      <c r="AI480" t="s">
        <v>321</v>
      </c>
      <c r="AJ480" t="s">
        <v>1974</v>
      </c>
      <c r="AK480" t="s">
        <v>1975</v>
      </c>
      <c r="AL480" t="s">
        <v>139</v>
      </c>
      <c r="AM480" t="s">
        <v>41</v>
      </c>
      <c r="AO480" t="s">
        <v>249</v>
      </c>
      <c r="AP480" t="s">
        <v>250</v>
      </c>
      <c r="AQ480" t="s">
        <v>15</v>
      </c>
      <c r="AR480" t="s">
        <v>25</v>
      </c>
      <c r="AS480" t="s">
        <v>38</v>
      </c>
      <c r="AT480">
        <v>0.1</v>
      </c>
      <c r="AU480" t="s">
        <v>203</v>
      </c>
      <c r="AV480" t="s">
        <v>204</v>
      </c>
    </row>
    <row r="481" spans="1:48" x14ac:dyDescent="0.3">
      <c r="A481" t="s">
        <v>1976</v>
      </c>
      <c r="B481" s="12">
        <v>45345</v>
      </c>
      <c r="C481" s="12">
        <v>45342</v>
      </c>
      <c r="D481" t="s">
        <v>1977</v>
      </c>
      <c r="E481" t="s">
        <v>154</v>
      </c>
      <c r="F481" t="s">
        <v>43</v>
      </c>
      <c r="G481" t="s">
        <v>8</v>
      </c>
      <c r="H481" t="s">
        <v>140</v>
      </c>
      <c r="I481" t="s">
        <v>141</v>
      </c>
      <c r="J481" t="s">
        <v>18</v>
      </c>
      <c r="K481" t="s">
        <v>19</v>
      </c>
      <c r="M481" t="s">
        <v>37</v>
      </c>
      <c r="N481">
        <v>1</v>
      </c>
      <c r="O481">
        <v>2202.5500000000002</v>
      </c>
      <c r="Q481">
        <v>0</v>
      </c>
      <c r="R481">
        <v>1651.91</v>
      </c>
      <c r="S481">
        <v>1034.57</v>
      </c>
      <c r="T481">
        <v>2202.5500000000002</v>
      </c>
      <c r="U481">
        <v>1167.98</v>
      </c>
      <c r="V481">
        <v>0.53028535107035002</v>
      </c>
      <c r="W481">
        <v>-3</v>
      </c>
      <c r="X481" t="s">
        <v>186</v>
      </c>
      <c r="Y481">
        <v>2024</v>
      </c>
      <c r="Z481" t="s">
        <v>129</v>
      </c>
      <c r="AA481" t="s">
        <v>130</v>
      </c>
      <c r="AB481" t="s">
        <v>131</v>
      </c>
      <c r="AC481" t="s">
        <v>131</v>
      </c>
      <c r="AD481" t="s">
        <v>132</v>
      </c>
      <c r="AE481" t="s">
        <v>132</v>
      </c>
      <c r="AF481" t="s">
        <v>131</v>
      </c>
      <c r="AG481" t="s">
        <v>131</v>
      </c>
      <c r="AH481" t="s">
        <v>132</v>
      </c>
      <c r="AI481" t="s">
        <v>149</v>
      </c>
      <c r="AJ481" t="s">
        <v>1978</v>
      </c>
      <c r="AK481" t="s">
        <v>1777</v>
      </c>
      <c r="AL481" t="s">
        <v>154</v>
      </c>
      <c r="AM481" t="s">
        <v>43</v>
      </c>
      <c r="AN481" t="s">
        <v>8</v>
      </c>
      <c r="AO481" t="s">
        <v>140</v>
      </c>
      <c r="AP481" t="s">
        <v>141</v>
      </c>
      <c r="AQ481" t="s">
        <v>18</v>
      </c>
      <c r="AR481" t="s">
        <v>19</v>
      </c>
      <c r="AS481" t="s">
        <v>37</v>
      </c>
      <c r="AU481" t="s">
        <v>129</v>
      </c>
      <c r="AV481" t="s">
        <v>130</v>
      </c>
    </row>
    <row r="482" spans="1:48" x14ac:dyDescent="0.3">
      <c r="A482" t="s">
        <v>1979</v>
      </c>
      <c r="B482" s="12">
        <v>45662</v>
      </c>
      <c r="C482" s="12">
        <v>45666</v>
      </c>
      <c r="D482" t="s">
        <v>1980</v>
      </c>
      <c r="E482" t="s">
        <v>178</v>
      </c>
      <c r="F482" t="s">
        <v>44</v>
      </c>
      <c r="G482" t="s">
        <v>6</v>
      </c>
      <c r="H482" t="s">
        <v>385</v>
      </c>
      <c r="I482" t="s">
        <v>386</v>
      </c>
      <c r="J482" t="s">
        <v>20</v>
      </c>
      <c r="K482" t="s">
        <v>21</v>
      </c>
      <c r="M482" t="s">
        <v>10</v>
      </c>
      <c r="N482">
        <v>5</v>
      </c>
      <c r="O482">
        <v>905.16</v>
      </c>
      <c r="P482">
        <v>0</v>
      </c>
      <c r="Q482">
        <v>0</v>
      </c>
      <c r="R482">
        <v>4525.8</v>
      </c>
      <c r="S482">
        <v>2714.51</v>
      </c>
      <c r="T482">
        <v>4525.8</v>
      </c>
      <c r="U482">
        <v>1811.29</v>
      </c>
      <c r="V482">
        <v>0.40021432674886198</v>
      </c>
      <c r="W482">
        <v>4</v>
      </c>
      <c r="X482" t="s">
        <v>244</v>
      </c>
      <c r="Y482">
        <v>2025</v>
      </c>
      <c r="Z482" t="s">
        <v>129</v>
      </c>
      <c r="AA482" t="s">
        <v>130</v>
      </c>
      <c r="AB482" t="s">
        <v>131</v>
      </c>
      <c r="AC482" t="s">
        <v>132</v>
      </c>
      <c r="AD482" t="s">
        <v>131</v>
      </c>
      <c r="AE482" t="s">
        <v>131</v>
      </c>
      <c r="AF482" t="s">
        <v>131</v>
      </c>
      <c r="AG482" t="s">
        <v>131</v>
      </c>
      <c r="AH482" t="s">
        <v>132</v>
      </c>
      <c r="AI482" t="s">
        <v>321</v>
      </c>
      <c r="AJ482" t="s">
        <v>426</v>
      </c>
      <c r="AK482" t="s">
        <v>1939</v>
      </c>
      <c r="AL482" t="s">
        <v>178</v>
      </c>
      <c r="AM482" t="s">
        <v>44</v>
      </c>
      <c r="AN482" t="s">
        <v>6</v>
      </c>
      <c r="AO482" t="s">
        <v>385</v>
      </c>
      <c r="AP482" t="s">
        <v>386</v>
      </c>
      <c r="AQ482" t="s">
        <v>20</v>
      </c>
      <c r="AR482" t="s">
        <v>21</v>
      </c>
      <c r="AT482">
        <v>0</v>
      </c>
      <c r="AU482" t="s">
        <v>129</v>
      </c>
      <c r="AV482" t="s">
        <v>130</v>
      </c>
    </row>
    <row r="483" spans="1:48" x14ac:dyDescent="0.3">
      <c r="A483" t="s">
        <v>1981</v>
      </c>
      <c r="B483" s="12">
        <v>45813</v>
      </c>
      <c r="C483" s="12">
        <v>45821</v>
      </c>
      <c r="D483" t="s">
        <v>1982</v>
      </c>
      <c r="E483" t="s">
        <v>147</v>
      </c>
      <c r="F483" t="s">
        <v>42</v>
      </c>
      <c r="G483" t="s">
        <v>9</v>
      </c>
      <c r="H483" t="s">
        <v>249</v>
      </c>
      <c r="I483" t="s">
        <v>250</v>
      </c>
      <c r="J483" t="s">
        <v>15</v>
      </c>
      <c r="K483" t="s">
        <v>25</v>
      </c>
      <c r="M483" t="s">
        <v>38</v>
      </c>
      <c r="N483">
        <v>4</v>
      </c>
      <c r="O483">
        <v>2793.88</v>
      </c>
      <c r="P483">
        <v>0.85</v>
      </c>
      <c r="Q483">
        <v>0</v>
      </c>
      <c r="R483">
        <v>10616.74</v>
      </c>
      <c r="S483">
        <v>6353.59</v>
      </c>
      <c r="T483">
        <v>11175.52</v>
      </c>
      <c r="U483">
        <v>4821.93</v>
      </c>
      <c r="V483">
        <v>0.43147253998024299</v>
      </c>
      <c r="W483">
        <v>8</v>
      </c>
      <c r="X483" t="s">
        <v>148</v>
      </c>
      <c r="Y483">
        <v>2025</v>
      </c>
      <c r="Z483" t="s">
        <v>129</v>
      </c>
      <c r="AA483" t="s">
        <v>130</v>
      </c>
      <c r="AB483" t="s">
        <v>131</v>
      </c>
      <c r="AC483" t="s">
        <v>131</v>
      </c>
      <c r="AD483" t="s">
        <v>131</v>
      </c>
      <c r="AE483" t="s">
        <v>131</v>
      </c>
      <c r="AF483" t="s">
        <v>132</v>
      </c>
      <c r="AG483" t="s">
        <v>131</v>
      </c>
      <c r="AH483" t="s">
        <v>132</v>
      </c>
      <c r="AI483" t="s">
        <v>149</v>
      </c>
      <c r="AJ483" t="s">
        <v>1983</v>
      </c>
      <c r="AK483" t="s">
        <v>1984</v>
      </c>
      <c r="AL483" t="s">
        <v>147</v>
      </c>
      <c r="AM483" t="s">
        <v>42</v>
      </c>
      <c r="AN483" t="s">
        <v>9</v>
      </c>
      <c r="AO483" t="s">
        <v>249</v>
      </c>
      <c r="AP483" t="s">
        <v>250</v>
      </c>
      <c r="AQ483" t="s">
        <v>15</v>
      </c>
      <c r="AR483" t="s">
        <v>25</v>
      </c>
      <c r="AS483" t="s">
        <v>38</v>
      </c>
      <c r="AT483" t="s">
        <v>1057</v>
      </c>
      <c r="AU483" t="s">
        <v>129</v>
      </c>
      <c r="AV483" t="s">
        <v>130</v>
      </c>
    </row>
    <row r="484" spans="1:48" x14ac:dyDescent="0.3">
      <c r="A484" t="s">
        <v>1985</v>
      </c>
      <c r="B484" s="12">
        <v>45495</v>
      </c>
      <c r="C484" s="12">
        <v>45495</v>
      </c>
      <c r="D484" t="s">
        <v>1986</v>
      </c>
      <c r="E484" t="s">
        <v>221</v>
      </c>
      <c r="F484" t="s">
        <v>42</v>
      </c>
      <c r="G484" t="s">
        <v>6</v>
      </c>
      <c r="H484" t="s">
        <v>294</v>
      </c>
      <c r="I484" t="s">
        <v>295</v>
      </c>
      <c r="J484" t="s">
        <v>15</v>
      </c>
      <c r="K484" t="s">
        <v>22</v>
      </c>
      <c r="M484" t="s">
        <v>37</v>
      </c>
      <c r="N484">
        <v>3</v>
      </c>
      <c r="O484">
        <v>1286.22</v>
      </c>
      <c r="P484">
        <v>0.25</v>
      </c>
      <c r="Q484">
        <v>0.25</v>
      </c>
      <c r="R484">
        <v>2893.99</v>
      </c>
      <c r="S484">
        <v>1856.03</v>
      </c>
      <c r="T484">
        <v>2893.9949999999999</v>
      </c>
      <c r="U484">
        <v>1037.9649999999999</v>
      </c>
      <c r="V484">
        <v>0.35866164247001098</v>
      </c>
      <c r="W484">
        <v>0</v>
      </c>
      <c r="X484" t="s">
        <v>128</v>
      </c>
      <c r="Y484">
        <v>2024</v>
      </c>
      <c r="Z484" t="s">
        <v>129</v>
      </c>
      <c r="AA484" t="s">
        <v>130</v>
      </c>
      <c r="AB484" t="s">
        <v>131</v>
      </c>
      <c r="AC484" t="s">
        <v>131</v>
      </c>
      <c r="AD484" t="s">
        <v>131</v>
      </c>
      <c r="AE484" t="s">
        <v>131</v>
      </c>
      <c r="AF484" t="s">
        <v>131</v>
      </c>
      <c r="AG484" t="s">
        <v>131</v>
      </c>
      <c r="AH484" t="s">
        <v>132</v>
      </c>
      <c r="AI484" t="s">
        <v>133</v>
      </c>
      <c r="AJ484" t="s">
        <v>326</v>
      </c>
      <c r="AK484" t="s">
        <v>326</v>
      </c>
      <c r="AL484" t="s">
        <v>221</v>
      </c>
      <c r="AM484" t="s">
        <v>42</v>
      </c>
      <c r="AN484" t="s">
        <v>6</v>
      </c>
      <c r="AO484" t="s">
        <v>294</v>
      </c>
      <c r="AP484" t="s">
        <v>295</v>
      </c>
      <c r="AQ484" t="s">
        <v>15</v>
      </c>
      <c r="AR484" t="s">
        <v>22</v>
      </c>
      <c r="AS484" t="s">
        <v>37</v>
      </c>
      <c r="AT484">
        <v>0.25</v>
      </c>
      <c r="AU484" t="s">
        <v>129</v>
      </c>
      <c r="AV484" t="s">
        <v>130</v>
      </c>
    </row>
    <row r="485" spans="1:48" x14ac:dyDescent="0.3">
      <c r="A485" t="s">
        <v>1987</v>
      </c>
      <c r="B485" s="12">
        <v>45651</v>
      </c>
      <c r="C485" s="12">
        <v>45651</v>
      </c>
      <c r="D485" t="s">
        <v>1988</v>
      </c>
      <c r="E485" t="s">
        <v>139</v>
      </c>
      <c r="F485" t="s">
        <v>43</v>
      </c>
      <c r="G485" t="s">
        <v>8</v>
      </c>
      <c r="H485" t="s">
        <v>259</v>
      </c>
      <c r="I485" t="s">
        <v>260</v>
      </c>
      <c r="J485" t="s">
        <v>15</v>
      </c>
      <c r="K485" t="s">
        <v>16</v>
      </c>
      <c r="M485" t="s">
        <v>35</v>
      </c>
      <c r="N485">
        <v>1</v>
      </c>
      <c r="O485">
        <v>829.66</v>
      </c>
      <c r="P485">
        <v>0.15</v>
      </c>
      <c r="Q485">
        <v>0.15</v>
      </c>
      <c r="R485">
        <v>705.21</v>
      </c>
      <c r="S485">
        <v>438.32</v>
      </c>
      <c r="T485">
        <v>705.21100000000001</v>
      </c>
      <c r="U485">
        <v>266.89100000000002</v>
      </c>
      <c r="V485">
        <v>0.378455526076593</v>
      </c>
      <c r="W485">
        <v>0</v>
      </c>
      <c r="X485" t="s">
        <v>214</v>
      </c>
      <c r="Y485">
        <v>2024</v>
      </c>
      <c r="Z485" t="s">
        <v>129</v>
      </c>
      <c r="AA485" t="s">
        <v>130</v>
      </c>
      <c r="AB485" t="s">
        <v>131</v>
      </c>
      <c r="AC485" t="s">
        <v>131</v>
      </c>
      <c r="AD485" t="s">
        <v>131</v>
      </c>
      <c r="AE485" t="s">
        <v>131</v>
      </c>
      <c r="AF485" t="s">
        <v>131</v>
      </c>
      <c r="AG485" t="s">
        <v>131</v>
      </c>
      <c r="AH485" t="s">
        <v>132</v>
      </c>
      <c r="AI485" t="s">
        <v>133</v>
      </c>
      <c r="AJ485" t="s">
        <v>1243</v>
      </c>
      <c r="AK485" t="s">
        <v>1989</v>
      </c>
      <c r="AL485" t="s">
        <v>139</v>
      </c>
      <c r="AM485" t="s">
        <v>43</v>
      </c>
      <c r="AN485" t="s">
        <v>8</v>
      </c>
      <c r="AO485" t="s">
        <v>259</v>
      </c>
      <c r="AP485" t="s">
        <v>260</v>
      </c>
      <c r="AQ485" t="s">
        <v>15</v>
      </c>
      <c r="AR485" t="s">
        <v>16</v>
      </c>
      <c r="AS485" t="s">
        <v>35</v>
      </c>
      <c r="AT485">
        <v>0.15</v>
      </c>
      <c r="AU485" t="s">
        <v>129</v>
      </c>
      <c r="AV485" t="s">
        <v>130</v>
      </c>
    </row>
    <row r="486" spans="1:48" x14ac:dyDescent="0.3">
      <c r="A486" t="s">
        <v>1990</v>
      </c>
      <c r="B486" s="12">
        <v>45654</v>
      </c>
      <c r="C486" s="12">
        <v>45657</v>
      </c>
      <c r="D486" t="s">
        <v>1991</v>
      </c>
      <c r="E486" t="s">
        <v>139</v>
      </c>
      <c r="F486" t="s">
        <v>44</v>
      </c>
      <c r="G486" t="s">
        <v>6</v>
      </c>
      <c r="H486" t="s">
        <v>184</v>
      </c>
      <c r="I486" t="s">
        <v>185</v>
      </c>
      <c r="J486" t="s">
        <v>18</v>
      </c>
      <c r="K486" t="s">
        <v>23</v>
      </c>
      <c r="M486" t="s">
        <v>36</v>
      </c>
      <c r="N486">
        <v>6</v>
      </c>
      <c r="O486">
        <v>3641.22</v>
      </c>
      <c r="P486">
        <v>0.25</v>
      </c>
      <c r="Q486">
        <v>0.25</v>
      </c>
      <c r="R486">
        <v>16385.490000000002</v>
      </c>
      <c r="S486">
        <v>13679.24</v>
      </c>
      <c r="T486">
        <v>16385.490000000002</v>
      </c>
      <c r="U486">
        <v>2706.25</v>
      </c>
      <c r="V486">
        <v>0.165161371432896</v>
      </c>
      <c r="W486">
        <v>3</v>
      </c>
      <c r="X486" t="s">
        <v>214</v>
      </c>
      <c r="Y486">
        <v>2024</v>
      </c>
      <c r="Z486" t="s">
        <v>129</v>
      </c>
      <c r="AA486" t="s">
        <v>130</v>
      </c>
      <c r="AB486" t="s">
        <v>131</v>
      </c>
      <c r="AC486" t="s">
        <v>131</v>
      </c>
      <c r="AD486" t="s">
        <v>131</v>
      </c>
      <c r="AE486" t="s">
        <v>131</v>
      </c>
      <c r="AF486" t="s">
        <v>131</v>
      </c>
      <c r="AG486" t="s">
        <v>131</v>
      </c>
      <c r="AH486" t="s">
        <v>132</v>
      </c>
      <c r="AI486" t="s">
        <v>133</v>
      </c>
      <c r="AJ486" t="s">
        <v>1992</v>
      </c>
      <c r="AK486" t="s">
        <v>1993</v>
      </c>
      <c r="AL486" t="s">
        <v>139</v>
      </c>
      <c r="AM486" t="s">
        <v>44</v>
      </c>
      <c r="AN486" t="s">
        <v>6</v>
      </c>
      <c r="AO486" t="s">
        <v>184</v>
      </c>
      <c r="AP486" t="s">
        <v>185</v>
      </c>
      <c r="AQ486" t="s">
        <v>18</v>
      </c>
      <c r="AR486" t="s">
        <v>23</v>
      </c>
      <c r="AS486" t="s">
        <v>36</v>
      </c>
      <c r="AT486">
        <v>0.25</v>
      </c>
      <c r="AU486" t="s">
        <v>129</v>
      </c>
      <c r="AV486" t="s">
        <v>130</v>
      </c>
    </row>
    <row r="487" spans="1:48" x14ac:dyDescent="0.3">
      <c r="A487" t="s">
        <v>1994</v>
      </c>
      <c r="B487" s="12">
        <v>45679</v>
      </c>
      <c r="C487" s="12">
        <v>45680</v>
      </c>
      <c r="D487" t="s">
        <v>1995</v>
      </c>
      <c r="E487" t="s">
        <v>227</v>
      </c>
      <c r="F487" t="s">
        <v>43</v>
      </c>
      <c r="G487" t="s">
        <v>7</v>
      </c>
      <c r="H487" t="s">
        <v>311</v>
      </c>
      <c r="I487" t="s">
        <v>312</v>
      </c>
      <c r="J487" t="s">
        <v>18</v>
      </c>
      <c r="K487" t="s">
        <v>26</v>
      </c>
      <c r="M487" t="s">
        <v>35</v>
      </c>
      <c r="N487">
        <v>4</v>
      </c>
      <c r="O487">
        <v>2555.19</v>
      </c>
      <c r="P487">
        <v>0.25</v>
      </c>
      <c r="Q487">
        <v>0.25</v>
      </c>
      <c r="R487">
        <v>7665.57</v>
      </c>
      <c r="S487">
        <v>5595.6</v>
      </c>
      <c r="T487">
        <v>7665.57</v>
      </c>
      <c r="U487">
        <v>2069.9699999999998</v>
      </c>
      <c r="V487">
        <v>0.27003471366121501</v>
      </c>
      <c r="W487">
        <v>1</v>
      </c>
      <c r="X487" t="s">
        <v>244</v>
      </c>
      <c r="Y487">
        <v>2025</v>
      </c>
      <c r="Z487" t="s">
        <v>129</v>
      </c>
      <c r="AA487" t="s">
        <v>130</v>
      </c>
      <c r="AB487" t="s">
        <v>131</v>
      </c>
      <c r="AC487" t="s">
        <v>131</v>
      </c>
      <c r="AD487" t="s">
        <v>131</v>
      </c>
      <c r="AE487" t="s">
        <v>131</v>
      </c>
      <c r="AF487" t="s">
        <v>131</v>
      </c>
      <c r="AG487" t="s">
        <v>131</v>
      </c>
      <c r="AH487" t="s">
        <v>132</v>
      </c>
      <c r="AI487" t="s">
        <v>133</v>
      </c>
      <c r="AJ487" t="s">
        <v>1582</v>
      </c>
      <c r="AK487" t="s">
        <v>262</v>
      </c>
      <c r="AL487" t="s">
        <v>227</v>
      </c>
      <c r="AM487" t="s">
        <v>43</v>
      </c>
      <c r="AN487" t="s">
        <v>7</v>
      </c>
      <c r="AO487" t="s">
        <v>311</v>
      </c>
      <c r="AP487" t="s">
        <v>312</v>
      </c>
      <c r="AQ487" t="s">
        <v>18</v>
      </c>
      <c r="AR487" t="s">
        <v>26</v>
      </c>
      <c r="AS487" t="s">
        <v>35</v>
      </c>
      <c r="AT487">
        <v>0.25</v>
      </c>
      <c r="AU487" t="s">
        <v>129</v>
      </c>
      <c r="AV487" t="s">
        <v>130</v>
      </c>
    </row>
    <row r="488" spans="1:48" x14ac:dyDescent="0.3">
      <c r="A488" t="s">
        <v>1996</v>
      </c>
      <c r="B488" s="12">
        <v>45830</v>
      </c>
      <c r="C488" s="12">
        <v>45834</v>
      </c>
      <c r="D488" t="s">
        <v>1997</v>
      </c>
      <c r="E488" t="s">
        <v>227</v>
      </c>
      <c r="F488" t="s">
        <v>43</v>
      </c>
      <c r="G488" t="s">
        <v>7</v>
      </c>
      <c r="H488" t="s">
        <v>311</v>
      </c>
      <c r="I488" t="s">
        <v>312</v>
      </c>
      <c r="J488" t="s">
        <v>18</v>
      </c>
      <c r="K488" t="s">
        <v>27</v>
      </c>
      <c r="M488" t="s">
        <v>35</v>
      </c>
      <c r="N488">
        <v>3</v>
      </c>
      <c r="O488">
        <v>1946.18</v>
      </c>
      <c r="P488">
        <v>0.2</v>
      </c>
      <c r="Q488">
        <v>0.2</v>
      </c>
      <c r="R488">
        <v>4670.83</v>
      </c>
      <c r="S488">
        <v>3166.49</v>
      </c>
      <c r="T488">
        <v>4670.8320000000003</v>
      </c>
      <c r="U488">
        <v>1504.3420000000001</v>
      </c>
      <c r="V488">
        <v>0.32207152815601198</v>
      </c>
      <c r="W488">
        <v>4</v>
      </c>
      <c r="X488" t="s">
        <v>148</v>
      </c>
      <c r="Y488">
        <v>2025</v>
      </c>
      <c r="Z488" t="s">
        <v>129</v>
      </c>
      <c r="AA488" t="s">
        <v>130</v>
      </c>
      <c r="AB488" t="s">
        <v>131</v>
      </c>
      <c r="AC488" t="s">
        <v>131</v>
      </c>
      <c r="AD488" t="s">
        <v>131</v>
      </c>
      <c r="AE488" t="s">
        <v>131</v>
      </c>
      <c r="AF488" t="s">
        <v>131</v>
      </c>
      <c r="AG488" t="s">
        <v>131</v>
      </c>
      <c r="AH488" t="s">
        <v>132</v>
      </c>
      <c r="AI488" t="s">
        <v>133</v>
      </c>
      <c r="AJ488" t="s">
        <v>1998</v>
      </c>
      <c r="AK488" t="s">
        <v>1999</v>
      </c>
      <c r="AL488" t="s">
        <v>227</v>
      </c>
      <c r="AM488" t="s">
        <v>43</v>
      </c>
      <c r="AN488" t="s">
        <v>7</v>
      </c>
      <c r="AO488" t="s">
        <v>311</v>
      </c>
      <c r="AP488" t="s">
        <v>312</v>
      </c>
      <c r="AQ488" t="s">
        <v>18</v>
      </c>
      <c r="AR488" t="s">
        <v>27</v>
      </c>
      <c r="AS488" t="s">
        <v>35</v>
      </c>
      <c r="AT488">
        <v>0.2</v>
      </c>
      <c r="AU488" t="s">
        <v>129</v>
      </c>
      <c r="AV488" t="s">
        <v>130</v>
      </c>
    </row>
    <row r="489" spans="1:48" x14ac:dyDescent="0.3">
      <c r="A489" t="s">
        <v>2000</v>
      </c>
      <c r="B489" s="12">
        <v>45818</v>
      </c>
      <c r="C489" s="12">
        <v>45825</v>
      </c>
      <c r="D489" t="s">
        <v>2001</v>
      </c>
      <c r="E489" t="s">
        <v>227</v>
      </c>
      <c r="F489" t="s">
        <v>43</v>
      </c>
      <c r="G489" t="s">
        <v>6</v>
      </c>
      <c r="H489" t="s">
        <v>155</v>
      </c>
      <c r="I489" t="s">
        <v>156</v>
      </c>
      <c r="J489" t="s">
        <v>18</v>
      </c>
      <c r="K489" t="s">
        <v>23</v>
      </c>
      <c r="M489" t="s">
        <v>35</v>
      </c>
      <c r="N489">
        <v>5</v>
      </c>
      <c r="O489">
        <v>1231.0999999999999</v>
      </c>
      <c r="P489">
        <v>0</v>
      </c>
      <c r="Q489">
        <v>0</v>
      </c>
      <c r="R489">
        <v>6155.5</v>
      </c>
      <c r="S489">
        <v>4282.09</v>
      </c>
      <c r="T489">
        <v>6155.5</v>
      </c>
      <c r="U489">
        <v>1873.41</v>
      </c>
      <c r="V489">
        <v>0.30434733165461803</v>
      </c>
      <c r="W489">
        <v>7</v>
      </c>
      <c r="X489" t="s">
        <v>148</v>
      </c>
      <c r="Y489">
        <v>2025</v>
      </c>
      <c r="Z489" t="s">
        <v>203</v>
      </c>
      <c r="AA489" t="s">
        <v>204</v>
      </c>
      <c r="AB489" t="s">
        <v>131</v>
      </c>
      <c r="AC489" t="s">
        <v>131</v>
      </c>
      <c r="AD489" t="s">
        <v>131</v>
      </c>
      <c r="AE489" t="s">
        <v>131</v>
      </c>
      <c r="AF489" t="s">
        <v>131</v>
      </c>
      <c r="AG489" t="s">
        <v>131</v>
      </c>
      <c r="AH489" t="s">
        <v>131</v>
      </c>
      <c r="AI489" t="s">
        <v>133</v>
      </c>
      <c r="AJ489" t="s">
        <v>1682</v>
      </c>
      <c r="AK489" t="s">
        <v>2002</v>
      </c>
      <c r="AL489" t="s">
        <v>227</v>
      </c>
      <c r="AM489" t="s">
        <v>43</v>
      </c>
      <c r="AN489" t="s">
        <v>6</v>
      </c>
      <c r="AO489" t="s">
        <v>155</v>
      </c>
      <c r="AP489" t="s">
        <v>156</v>
      </c>
      <c r="AQ489" t="s">
        <v>18</v>
      </c>
      <c r="AR489" t="s">
        <v>23</v>
      </c>
      <c r="AS489" t="s">
        <v>35</v>
      </c>
      <c r="AT489">
        <v>0</v>
      </c>
      <c r="AU489" t="s">
        <v>203</v>
      </c>
      <c r="AV489" t="s">
        <v>204</v>
      </c>
    </row>
    <row r="490" spans="1:48" x14ac:dyDescent="0.3">
      <c r="A490" t="s">
        <v>2003</v>
      </c>
      <c r="B490" s="12">
        <v>45579</v>
      </c>
      <c r="C490" s="12">
        <v>45585</v>
      </c>
      <c r="D490" t="s">
        <v>2004</v>
      </c>
      <c r="E490" t="s">
        <v>191</v>
      </c>
      <c r="F490" t="s">
        <v>44</v>
      </c>
      <c r="G490" t="s">
        <v>9</v>
      </c>
      <c r="H490" t="s">
        <v>126</v>
      </c>
      <c r="I490" t="s">
        <v>127</v>
      </c>
      <c r="J490" t="s">
        <v>18</v>
      </c>
      <c r="K490" t="s">
        <v>27</v>
      </c>
      <c r="M490" t="s">
        <v>38</v>
      </c>
      <c r="N490">
        <v>7</v>
      </c>
      <c r="O490">
        <v>1547.6</v>
      </c>
      <c r="P490">
        <v>0.2</v>
      </c>
      <c r="Q490">
        <v>0.2</v>
      </c>
      <c r="R490">
        <v>8666.56</v>
      </c>
      <c r="S490">
        <v>5967.44</v>
      </c>
      <c r="T490">
        <v>8666.56</v>
      </c>
      <c r="U490">
        <v>2699.12</v>
      </c>
      <c r="V490">
        <v>0.31144075619392197</v>
      </c>
      <c r="W490">
        <v>6</v>
      </c>
      <c r="X490" t="s">
        <v>222</v>
      </c>
      <c r="Y490">
        <v>2024</v>
      </c>
      <c r="Z490" t="s">
        <v>129</v>
      </c>
      <c r="AA490" t="s">
        <v>130</v>
      </c>
      <c r="AB490" t="s">
        <v>131</v>
      </c>
      <c r="AC490" t="s">
        <v>131</v>
      </c>
      <c r="AD490" t="s">
        <v>131</v>
      </c>
      <c r="AE490" t="s">
        <v>131</v>
      </c>
      <c r="AF490" t="s">
        <v>131</v>
      </c>
      <c r="AG490" t="s">
        <v>131</v>
      </c>
      <c r="AH490" t="s">
        <v>132</v>
      </c>
      <c r="AI490" t="s">
        <v>133</v>
      </c>
      <c r="AJ490" t="s">
        <v>2005</v>
      </c>
      <c r="AK490" t="s">
        <v>2006</v>
      </c>
      <c r="AL490" t="s">
        <v>191</v>
      </c>
      <c r="AM490" t="s">
        <v>44</v>
      </c>
      <c r="AN490" t="s">
        <v>2007</v>
      </c>
      <c r="AO490" t="s">
        <v>126</v>
      </c>
      <c r="AP490" t="s">
        <v>127</v>
      </c>
      <c r="AQ490" t="s">
        <v>18</v>
      </c>
      <c r="AR490" t="s">
        <v>27</v>
      </c>
      <c r="AS490" t="s">
        <v>38</v>
      </c>
      <c r="AT490">
        <v>0.2</v>
      </c>
      <c r="AU490" t="s">
        <v>129</v>
      </c>
      <c r="AV490" t="s">
        <v>130</v>
      </c>
    </row>
    <row r="491" spans="1:48" x14ac:dyDescent="0.3">
      <c r="A491" t="s">
        <v>2008</v>
      </c>
      <c r="B491" s="12">
        <v>45329</v>
      </c>
      <c r="C491" s="12">
        <v>45334</v>
      </c>
      <c r="D491" t="s">
        <v>2009</v>
      </c>
      <c r="E491" t="s">
        <v>154</v>
      </c>
      <c r="F491" t="s">
        <v>41</v>
      </c>
      <c r="G491" t="s">
        <v>8</v>
      </c>
      <c r="H491" t="s">
        <v>201</v>
      </c>
      <c r="I491" t="s">
        <v>202</v>
      </c>
      <c r="J491" t="s">
        <v>15</v>
      </c>
      <c r="K491" t="s">
        <v>22</v>
      </c>
      <c r="M491" t="s">
        <v>37</v>
      </c>
      <c r="N491">
        <v>1</v>
      </c>
      <c r="O491">
        <v>452.19</v>
      </c>
      <c r="P491">
        <v>0.2</v>
      </c>
      <c r="Q491">
        <v>0.2</v>
      </c>
      <c r="R491">
        <v>361.75</v>
      </c>
      <c r="S491">
        <v>262.52999999999997</v>
      </c>
      <c r="T491">
        <v>361.75200000000001</v>
      </c>
      <c r="U491">
        <v>99.221999999999994</v>
      </c>
      <c r="V491">
        <v>0.27428182843495003</v>
      </c>
      <c r="W491">
        <v>5</v>
      </c>
      <c r="X491" t="s">
        <v>186</v>
      </c>
      <c r="Y491">
        <v>2024</v>
      </c>
      <c r="Z491" t="s">
        <v>129</v>
      </c>
      <c r="AA491" t="s">
        <v>130</v>
      </c>
      <c r="AB491" t="s">
        <v>131</v>
      </c>
      <c r="AC491" t="s">
        <v>131</v>
      </c>
      <c r="AD491" t="s">
        <v>131</v>
      </c>
      <c r="AE491" t="s">
        <v>131</v>
      </c>
      <c r="AF491" t="s">
        <v>131</v>
      </c>
      <c r="AG491" t="s">
        <v>131</v>
      </c>
      <c r="AH491" t="s">
        <v>132</v>
      </c>
      <c r="AI491" t="s">
        <v>133</v>
      </c>
      <c r="AJ491" t="s">
        <v>430</v>
      </c>
      <c r="AK491" t="s">
        <v>2010</v>
      </c>
      <c r="AL491" t="s">
        <v>154</v>
      </c>
      <c r="AM491" t="s">
        <v>41</v>
      </c>
      <c r="AN491" t="s">
        <v>8</v>
      </c>
      <c r="AO491" t="s">
        <v>201</v>
      </c>
      <c r="AP491" t="s">
        <v>202</v>
      </c>
      <c r="AQ491" t="s">
        <v>15</v>
      </c>
      <c r="AR491" t="s">
        <v>22</v>
      </c>
      <c r="AS491" t="s">
        <v>37</v>
      </c>
      <c r="AT491">
        <v>0.2</v>
      </c>
      <c r="AU491" t="s">
        <v>129</v>
      </c>
      <c r="AV491" t="s">
        <v>130</v>
      </c>
    </row>
    <row r="492" spans="1:48" x14ac:dyDescent="0.3">
      <c r="A492" t="s">
        <v>2011</v>
      </c>
      <c r="B492" s="12">
        <v>45551</v>
      </c>
      <c r="C492" s="12">
        <v>45554</v>
      </c>
      <c r="D492" t="s">
        <v>2012</v>
      </c>
      <c r="E492" t="s">
        <v>191</v>
      </c>
      <c r="F492" t="s">
        <v>42</v>
      </c>
      <c r="G492" t="s">
        <v>7</v>
      </c>
      <c r="H492" t="s">
        <v>126</v>
      </c>
      <c r="I492" t="s">
        <v>213</v>
      </c>
      <c r="J492" t="s">
        <v>20</v>
      </c>
      <c r="K492" t="s">
        <v>28</v>
      </c>
      <c r="M492" t="s">
        <v>36</v>
      </c>
      <c r="N492">
        <v>7</v>
      </c>
      <c r="O492">
        <v>406.42</v>
      </c>
      <c r="P492">
        <v>0.15</v>
      </c>
      <c r="Q492">
        <v>0.15</v>
      </c>
      <c r="R492">
        <v>2418.1999999999998</v>
      </c>
      <c r="S492">
        <v>1613.82</v>
      </c>
      <c r="T492">
        <v>2418.1990000000001</v>
      </c>
      <c r="U492">
        <v>804.37900000000002</v>
      </c>
      <c r="V492">
        <v>0.332635568867575</v>
      </c>
      <c r="W492">
        <v>3</v>
      </c>
      <c r="X492" t="s">
        <v>196</v>
      </c>
      <c r="Y492">
        <v>2024</v>
      </c>
      <c r="Z492" t="s">
        <v>129</v>
      </c>
      <c r="AA492" t="s">
        <v>130</v>
      </c>
      <c r="AB492" t="s">
        <v>131</v>
      </c>
      <c r="AC492" t="s">
        <v>131</v>
      </c>
      <c r="AD492" t="s">
        <v>131</v>
      </c>
      <c r="AE492" t="s">
        <v>131</v>
      </c>
      <c r="AF492" t="s">
        <v>131</v>
      </c>
      <c r="AG492" t="s">
        <v>131</v>
      </c>
      <c r="AH492" t="s">
        <v>132</v>
      </c>
      <c r="AI492" t="s">
        <v>133</v>
      </c>
      <c r="AJ492" t="s">
        <v>2013</v>
      </c>
      <c r="AK492" t="s">
        <v>1621</v>
      </c>
      <c r="AL492" t="s">
        <v>191</v>
      </c>
      <c r="AM492" t="s">
        <v>42</v>
      </c>
      <c r="AN492" t="s">
        <v>7</v>
      </c>
      <c r="AO492" t="s">
        <v>126</v>
      </c>
      <c r="AP492" t="s">
        <v>213</v>
      </c>
      <c r="AQ492" t="s">
        <v>20</v>
      </c>
      <c r="AR492" t="s">
        <v>28</v>
      </c>
      <c r="AS492" t="s">
        <v>36</v>
      </c>
      <c r="AT492">
        <v>0.15</v>
      </c>
      <c r="AU492" t="s">
        <v>129</v>
      </c>
      <c r="AV492" t="s">
        <v>130</v>
      </c>
    </row>
    <row r="493" spans="1:48" x14ac:dyDescent="0.3">
      <c r="A493" t="s">
        <v>2014</v>
      </c>
      <c r="B493" s="12">
        <v>45776</v>
      </c>
      <c r="C493" s="12">
        <v>45777</v>
      </c>
      <c r="D493" t="s">
        <v>2015</v>
      </c>
      <c r="E493" t="s">
        <v>139</v>
      </c>
      <c r="F493" t="s">
        <v>43</v>
      </c>
      <c r="G493" t="s">
        <v>6</v>
      </c>
      <c r="H493" t="s">
        <v>305</v>
      </c>
      <c r="I493" t="s">
        <v>306</v>
      </c>
      <c r="J493" t="s">
        <v>15</v>
      </c>
      <c r="K493" t="s">
        <v>22</v>
      </c>
      <c r="M493" t="s">
        <v>35</v>
      </c>
      <c r="N493">
        <v>4</v>
      </c>
      <c r="O493">
        <v>606.58000000000004</v>
      </c>
      <c r="P493">
        <v>0.2</v>
      </c>
      <c r="Q493">
        <v>0.2</v>
      </c>
      <c r="R493">
        <v>1941.06</v>
      </c>
      <c r="S493">
        <v>1207.42</v>
      </c>
      <c r="T493">
        <v>1941.056</v>
      </c>
      <c r="U493">
        <v>733.63599999999997</v>
      </c>
      <c r="V493">
        <v>0.37795715321969098</v>
      </c>
      <c r="W493">
        <v>1</v>
      </c>
      <c r="X493" t="s">
        <v>179</v>
      </c>
      <c r="Y493">
        <v>2025</v>
      </c>
      <c r="Z493" t="s">
        <v>129</v>
      </c>
      <c r="AA493" t="s">
        <v>130</v>
      </c>
      <c r="AB493" t="s">
        <v>131</v>
      </c>
      <c r="AC493" t="s">
        <v>131</v>
      </c>
      <c r="AD493" t="s">
        <v>131</v>
      </c>
      <c r="AE493" t="s">
        <v>131</v>
      </c>
      <c r="AF493" t="s">
        <v>131</v>
      </c>
      <c r="AG493" t="s">
        <v>131</v>
      </c>
      <c r="AH493" t="s">
        <v>132</v>
      </c>
      <c r="AI493" t="s">
        <v>133</v>
      </c>
      <c r="AJ493" t="s">
        <v>1691</v>
      </c>
      <c r="AK493" t="s">
        <v>2016</v>
      </c>
      <c r="AL493" t="s">
        <v>139</v>
      </c>
      <c r="AM493" t="s">
        <v>43</v>
      </c>
      <c r="AN493" t="s">
        <v>6</v>
      </c>
      <c r="AO493" t="s">
        <v>305</v>
      </c>
      <c r="AP493" t="s">
        <v>306</v>
      </c>
      <c r="AQ493" t="s">
        <v>15</v>
      </c>
      <c r="AR493" t="s">
        <v>22</v>
      </c>
      <c r="AS493" t="s">
        <v>35</v>
      </c>
      <c r="AT493">
        <v>0.2</v>
      </c>
      <c r="AU493" t="s">
        <v>129</v>
      </c>
      <c r="AV493" t="s">
        <v>130</v>
      </c>
    </row>
    <row r="494" spans="1:48" x14ac:dyDescent="0.3">
      <c r="A494" t="s">
        <v>2017</v>
      </c>
      <c r="B494" s="12">
        <v>45836</v>
      </c>
      <c r="C494" s="12">
        <v>45840</v>
      </c>
      <c r="D494" t="s">
        <v>2018</v>
      </c>
      <c r="E494" t="s">
        <v>162</v>
      </c>
      <c r="F494" t="s">
        <v>43</v>
      </c>
      <c r="G494" t="s">
        <v>6</v>
      </c>
      <c r="H494" t="s">
        <v>184</v>
      </c>
      <c r="I494" t="s">
        <v>185</v>
      </c>
      <c r="J494" t="s">
        <v>20</v>
      </c>
      <c r="K494" t="s">
        <v>21</v>
      </c>
      <c r="M494" t="s">
        <v>37</v>
      </c>
      <c r="N494">
        <v>2</v>
      </c>
      <c r="O494">
        <v>2725.44</v>
      </c>
      <c r="P494">
        <v>0.25</v>
      </c>
      <c r="Q494">
        <v>0.25</v>
      </c>
      <c r="R494">
        <v>4088.16</v>
      </c>
      <c r="S494">
        <v>3205.68</v>
      </c>
      <c r="T494">
        <v>4088.16</v>
      </c>
      <c r="U494">
        <v>882.48</v>
      </c>
      <c r="V494">
        <v>0.21586239286133599</v>
      </c>
      <c r="W494">
        <v>4</v>
      </c>
      <c r="X494" t="s">
        <v>148</v>
      </c>
      <c r="Y494">
        <v>2025</v>
      </c>
      <c r="Z494" t="s">
        <v>129</v>
      </c>
      <c r="AA494" t="s">
        <v>130</v>
      </c>
      <c r="AB494" t="s">
        <v>131</v>
      </c>
      <c r="AC494" t="s">
        <v>131</v>
      </c>
      <c r="AD494" t="s">
        <v>131</v>
      </c>
      <c r="AE494" t="s">
        <v>131</v>
      </c>
      <c r="AF494" t="s">
        <v>131</v>
      </c>
      <c r="AG494" t="s">
        <v>131</v>
      </c>
      <c r="AH494" t="s">
        <v>132</v>
      </c>
      <c r="AI494" t="s">
        <v>133</v>
      </c>
      <c r="AJ494" t="s">
        <v>2019</v>
      </c>
      <c r="AK494" t="s">
        <v>2020</v>
      </c>
      <c r="AL494" t="s">
        <v>162</v>
      </c>
      <c r="AM494" t="s">
        <v>43</v>
      </c>
      <c r="AN494" t="s">
        <v>6</v>
      </c>
      <c r="AO494" t="s">
        <v>184</v>
      </c>
      <c r="AP494" t="s">
        <v>185</v>
      </c>
      <c r="AQ494" t="s">
        <v>20</v>
      </c>
      <c r="AR494" t="s">
        <v>21</v>
      </c>
      <c r="AS494" t="s">
        <v>37</v>
      </c>
      <c r="AT494">
        <v>0.25</v>
      </c>
      <c r="AU494" t="s">
        <v>129</v>
      </c>
      <c r="AV494" t="s">
        <v>130</v>
      </c>
    </row>
    <row r="495" spans="1:48" x14ac:dyDescent="0.3">
      <c r="A495" t="s">
        <v>2021</v>
      </c>
      <c r="B495" s="12">
        <v>45701</v>
      </c>
      <c r="C495" s="12">
        <v>45701</v>
      </c>
      <c r="D495" t="s">
        <v>2022</v>
      </c>
      <c r="E495" t="s">
        <v>409</v>
      </c>
      <c r="F495" t="s">
        <v>43</v>
      </c>
      <c r="G495" t="s">
        <v>8</v>
      </c>
      <c r="H495" t="s">
        <v>140</v>
      </c>
      <c r="I495" t="s">
        <v>141</v>
      </c>
      <c r="J495" t="s">
        <v>20</v>
      </c>
      <c r="K495" t="s">
        <v>24</v>
      </c>
      <c r="M495" t="s">
        <v>37</v>
      </c>
      <c r="N495">
        <v>7</v>
      </c>
      <c r="O495">
        <v>2296.6999999999998</v>
      </c>
      <c r="P495">
        <v>0.05</v>
      </c>
      <c r="Q495">
        <v>0.05</v>
      </c>
      <c r="R495">
        <v>15273.05</v>
      </c>
      <c r="S495">
        <v>11088.76</v>
      </c>
      <c r="T495">
        <v>15273.055</v>
      </c>
      <c r="U495">
        <v>4184.2950000000001</v>
      </c>
      <c r="V495">
        <v>0.273965817578736</v>
      </c>
      <c r="W495">
        <v>0</v>
      </c>
      <c r="X495" t="s">
        <v>186</v>
      </c>
      <c r="Y495">
        <v>2025</v>
      </c>
      <c r="Z495" t="s">
        <v>129</v>
      </c>
      <c r="AA495" t="s">
        <v>130</v>
      </c>
      <c r="AB495" t="s">
        <v>131</v>
      </c>
      <c r="AC495" t="s">
        <v>131</v>
      </c>
      <c r="AD495" t="s">
        <v>131</v>
      </c>
      <c r="AE495" t="s">
        <v>131</v>
      </c>
      <c r="AF495" t="s">
        <v>131</v>
      </c>
      <c r="AG495" t="s">
        <v>131</v>
      </c>
      <c r="AH495" t="s">
        <v>132</v>
      </c>
      <c r="AI495" t="s">
        <v>133</v>
      </c>
      <c r="AJ495" t="s">
        <v>1251</v>
      </c>
      <c r="AK495" t="s">
        <v>2023</v>
      </c>
      <c r="AL495" t="s">
        <v>409</v>
      </c>
      <c r="AM495" t="s">
        <v>43</v>
      </c>
      <c r="AN495" t="s">
        <v>8</v>
      </c>
      <c r="AO495" t="s">
        <v>140</v>
      </c>
      <c r="AP495" t="s">
        <v>141</v>
      </c>
      <c r="AQ495" t="s">
        <v>20</v>
      </c>
      <c r="AR495" t="s">
        <v>24</v>
      </c>
      <c r="AS495" t="s">
        <v>37</v>
      </c>
      <c r="AT495">
        <v>0.05</v>
      </c>
      <c r="AU495" t="s">
        <v>129</v>
      </c>
      <c r="AV495" t="s">
        <v>2024</v>
      </c>
    </row>
    <row r="496" spans="1:48" x14ac:dyDescent="0.3">
      <c r="A496" t="s">
        <v>2025</v>
      </c>
      <c r="B496" s="12">
        <v>45610</v>
      </c>
      <c r="C496" s="12">
        <v>45618</v>
      </c>
      <c r="D496" t="s">
        <v>2026</v>
      </c>
      <c r="E496" t="s">
        <v>147</v>
      </c>
      <c r="F496" t="s">
        <v>42</v>
      </c>
      <c r="G496" t="s">
        <v>7</v>
      </c>
      <c r="H496" t="s">
        <v>171</v>
      </c>
      <c r="I496" t="s">
        <v>172</v>
      </c>
      <c r="J496" t="s">
        <v>15</v>
      </c>
      <c r="K496" t="s">
        <v>17</v>
      </c>
      <c r="M496" t="s">
        <v>35</v>
      </c>
      <c r="N496">
        <v>3</v>
      </c>
      <c r="O496">
        <v>671.68</v>
      </c>
      <c r="P496">
        <v>-0.13</v>
      </c>
      <c r="Q496">
        <v>0</v>
      </c>
      <c r="R496">
        <v>1712.78</v>
      </c>
      <c r="S496">
        <v>1569.38</v>
      </c>
      <c r="T496">
        <v>2015.04</v>
      </c>
      <c r="U496">
        <v>445.66</v>
      </c>
      <c r="V496">
        <v>0.22116682547244701</v>
      </c>
      <c r="W496">
        <v>8</v>
      </c>
      <c r="X496" t="s">
        <v>157</v>
      </c>
      <c r="Y496">
        <v>2024</v>
      </c>
      <c r="Z496" t="s">
        <v>269</v>
      </c>
      <c r="AA496" t="s">
        <v>165</v>
      </c>
      <c r="AB496" t="s">
        <v>131</v>
      </c>
      <c r="AC496" t="s">
        <v>131</v>
      </c>
      <c r="AD496" t="s">
        <v>131</v>
      </c>
      <c r="AE496" t="s">
        <v>131</v>
      </c>
      <c r="AF496" t="s">
        <v>132</v>
      </c>
      <c r="AG496" t="s">
        <v>131</v>
      </c>
      <c r="AH496" t="s">
        <v>131</v>
      </c>
      <c r="AI496" t="s">
        <v>149</v>
      </c>
      <c r="AJ496" t="s">
        <v>2027</v>
      </c>
      <c r="AK496" t="s">
        <v>2028</v>
      </c>
      <c r="AL496" t="s">
        <v>147</v>
      </c>
      <c r="AM496" t="s">
        <v>42</v>
      </c>
      <c r="AN496" t="s">
        <v>7</v>
      </c>
      <c r="AO496" t="s">
        <v>171</v>
      </c>
      <c r="AP496" t="s">
        <v>172</v>
      </c>
      <c r="AQ496" t="s">
        <v>15</v>
      </c>
      <c r="AR496" t="s">
        <v>17</v>
      </c>
      <c r="AS496" t="s">
        <v>35</v>
      </c>
      <c r="AT496">
        <v>-0.13</v>
      </c>
      <c r="AU496" t="s">
        <v>269</v>
      </c>
      <c r="AV496" t="s">
        <v>165</v>
      </c>
    </row>
    <row r="497" spans="1:48" x14ac:dyDescent="0.3">
      <c r="A497" t="s">
        <v>2029</v>
      </c>
      <c r="B497" s="12">
        <v>45421</v>
      </c>
      <c r="C497" s="12">
        <v>45427</v>
      </c>
      <c r="D497" t="s">
        <v>2030</v>
      </c>
      <c r="E497" t="s">
        <v>139</v>
      </c>
      <c r="F497" t="s">
        <v>44</v>
      </c>
      <c r="G497" t="s">
        <v>8</v>
      </c>
      <c r="H497" t="s">
        <v>283</v>
      </c>
      <c r="I497" t="s">
        <v>284</v>
      </c>
      <c r="J497" t="s">
        <v>15</v>
      </c>
      <c r="K497" t="s">
        <v>17</v>
      </c>
      <c r="M497" t="s">
        <v>37</v>
      </c>
      <c r="N497">
        <v>4</v>
      </c>
      <c r="O497">
        <v>995.98</v>
      </c>
      <c r="P497">
        <v>0.05</v>
      </c>
      <c r="Q497">
        <v>0.05</v>
      </c>
      <c r="R497">
        <v>3784.72</v>
      </c>
      <c r="S497">
        <v>2419.2399999999998</v>
      </c>
      <c r="T497">
        <v>3784.7240000000002</v>
      </c>
      <c r="U497">
        <v>1365.4839999999999</v>
      </c>
      <c r="V497">
        <v>0.36078826355633897</v>
      </c>
      <c r="W497">
        <v>6</v>
      </c>
      <c r="X497" t="s">
        <v>173</v>
      </c>
      <c r="Y497">
        <v>2024</v>
      </c>
      <c r="Z497" t="s">
        <v>203</v>
      </c>
      <c r="AA497" t="s">
        <v>204</v>
      </c>
      <c r="AB497" t="s">
        <v>131</v>
      </c>
      <c r="AC497" t="s">
        <v>131</v>
      </c>
      <c r="AD497" t="s">
        <v>131</v>
      </c>
      <c r="AE497" t="s">
        <v>131</v>
      </c>
      <c r="AF497" t="s">
        <v>131</v>
      </c>
      <c r="AG497" t="s">
        <v>131</v>
      </c>
      <c r="AH497" t="s">
        <v>131</v>
      </c>
      <c r="AI497" t="s">
        <v>133</v>
      </c>
      <c r="AJ497" t="s">
        <v>1860</v>
      </c>
      <c r="AK497" t="s">
        <v>2031</v>
      </c>
      <c r="AL497" t="s">
        <v>139</v>
      </c>
      <c r="AM497" t="s">
        <v>44</v>
      </c>
      <c r="AN497" t="s">
        <v>8</v>
      </c>
      <c r="AO497" t="s">
        <v>283</v>
      </c>
      <c r="AP497" t="s">
        <v>284</v>
      </c>
      <c r="AQ497" t="s">
        <v>15</v>
      </c>
      <c r="AR497" t="s">
        <v>17</v>
      </c>
      <c r="AS497" t="s">
        <v>37</v>
      </c>
      <c r="AT497">
        <v>0.05</v>
      </c>
      <c r="AU497" t="s">
        <v>203</v>
      </c>
      <c r="AV497" t="s">
        <v>204</v>
      </c>
    </row>
    <row r="498" spans="1:48" x14ac:dyDescent="0.3">
      <c r="A498" t="s">
        <v>2032</v>
      </c>
      <c r="B498" s="12">
        <v>45842</v>
      </c>
      <c r="C498" s="12">
        <v>45844</v>
      </c>
      <c r="D498" t="s">
        <v>2033</v>
      </c>
      <c r="E498" t="s">
        <v>409</v>
      </c>
      <c r="F498" t="s">
        <v>44</v>
      </c>
      <c r="G498" t="s">
        <v>8</v>
      </c>
      <c r="H498" t="s">
        <v>362</v>
      </c>
      <c r="I498" t="s">
        <v>363</v>
      </c>
      <c r="J498" t="s">
        <v>18</v>
      </c>
      <c r="K498" t="s">
        <v>19</v>
      </c>
      <c r="M498" t="s">
        <v>37</v>
      </c>
      <c r="N498">
        <v>2</v>
      </c>
      <c r="O498">
        <v>3686.42</v>
      </c>
      <c r="P498">
        <v>0.1</v>
      </c>
      <c r="Q498">
        <v>0.1</v>
      </c>
      <c r="R498">
        <v>6635.56</v>
      </c>
      <c r="S498">
        <v>3652.91</v>
      </c>
      <c r="T498">
        <v>6635.5559999999996</v>
      </c>
      <c r="U498">
        <v>2982.6460000000002</v>
      </c>
      <c r="V498">
        <v>0.44949451108543098</v>
      </c>
      <c r="W498">
        <v>2</v>
      </c>
      <c r="X498" t="s">
        <v>128</v>
      </c>
      <c r="Y498">
        <v>2025</v>
      </c>
      <c r="Z498" t="s">
        <v>129</v>
      </c>
      <c r="AA498" t="s">
        <v>130</v>
      </c>
      <c r="AB498" t="s">
        <v>131</v>
      </c>
      <c r="AC498" t="s">
        <v>131</v>
      </c>
      <c r="AD498" t="s">
        <v>131</v>
      </c>
      <c r="AE498" t="s">
        <v>131</v>
      </c>
      <c r="AF498" t="s">
        <v>131</v>
      </c>
      <c r="AG498" t="s">
        <v>131</v>
      </c>
      <c r="AH498" t="s">
        <v>132</v>
      </c>
      <c r="AI498" t="s">
        <v>133</v>
      </c>
      <c r="AJ498" t="s">
        <v>2034</v>
      </c>
      <c r="AK498" t="s">
        <v>2035</v>
      </c>
      <c r="AL498" t="s">
        <v>409</v>
      </c>
      <c r="AM498" t="s">
        <v>44</v>
      </c>
      <c r="AN498" t="s">
        <v>8</v>
      </c>
      <c r="AO498" t="s">
        <v>362</v>
      </c>
      <c r="AP498" t="s">
        <v>363</v>
      </c>
      <c r="AQ498" t="s">
        <v>18</v>
      </c>
      <c r="AR498" t="s">
        <v>19</v>
      </c>
      <c r="AS498" t="s">
        <v>37</v>
      </c>
      <c r="AT498">
        <v>0.1</v>
      </c>
      <c r="AU498" t="s">
        <v>129</v>
      </c>
      <c r="AV498" t="s">
        <v>130</v>
      </c>
    </row>
    <row r="499" spans="1:48" x14ac:dyDescent="0.3">
      <c r="A499" t="s">
        <v>2036</v>
      </c>
      <c r="B499" s="12">
        <v>45533</v>
      </c>
      <c r="C499" s="12">
        <v>45533</v>
      </c>
      <c r="D499" t="s">
        <v>2037</v>
      </c>
      <c r="E499" t="s">
        <v>243</v>
      </c>
      <c r="F499" t="s">
        <v>44</v>
      </c>
      <c r="G499" t="s">
        <v>9</v>
      </c>
      <c r="H499" t="s">
        <v>249</v>
      </c>
      <c r="I499" t="s">
        <v>250</v>
      </c>
      <c r="J499" t="s">
        <v>15</v>
      </c>
      <c r="K499" t="s">
        <v>22</v>
      </c>
      <c r="M499" t="s">
        <v>37</v>
      </c>
      <c r="N499">
        <v>1</v>
      </c>
      <c r="O499">
        <v>3106.88</v>
      </c>
      <c r="P499">
        <v>0.2</v>
      </c>
      <c r="Q499">
        <v>0.2</v>
      </c>
      <c r="R499">
        <v>2485.5</v>
      </c>
      <c r="S499">
        <v>2028.43</v>
      </c>
      <c r="T499">
        <v>2485.5039999999999</v>
      </c>
      <c r="U499">
        <v>457.07400000000001</v>
      </c>
      <c r="V499">
        <v>0.18389590199814601</v>
      </c>
      <c r="W499">
        <v>0</v>
      </c>
      <c r="X499" t="s">
        <v>142</v>
      </c>
      <c r="Y499">
        <v>2024</v>
      </c>
      <c r="Z499" t="s">
        <v>129</v>
      </c>
      <c r="AA499" t="s">
        <v>165</v>
      </c>
      <c r="AB499" t="s">
        <v>131</v>
      </c>
      <c r="AC499" t="s">
        <v>131</v>
      </c>
      <c r="AD499" t="s">
        <v>131</v>
      </c>
      <c r="AE499" t="s">
        <v>131</v>
      </c>
      <c r="AF499" t="s">
        <v>131</v>
      </c>
      <c r="AG499" t="s">
        <v>131</v>
      </c>
      <c r="AH499" t="s">
        <v>131</v>
      </c>
      <c r="AI499" t="s">
        <v>133</v>
      </c>
      <c r="AJ499" t="s">
        <v>2038</v>
      </c>
      <c r="AK499" t="s">
        <v>2038</v>
      </c>
      <c r="AL499" t="s">
        <v>243</v>
      </c>
      <c r="AM499" t="s">
        <v>44</v>
      </c>
      <c r="AN499" t="s">
        <v>691</v>
      </c>
      <c r="AO499" t="s">
        <v>249</v>
      </c>
      <c r="AP499" t="s">
        <v>250</v>
      </c>
      <c r="AQ499" t="s">
        <v>15</v>
      </c>
      <c r="AR499" t="s">
        <v>22</v>
      </c>
      <c r="AS499" t="s">
        <v>37</v>
      </c>
      <c r="AT499">
        <v>0.2</v>
      </c>
      <c r="AU499" t="s">
        <v>129</v>
      </c>
      <c r="AV499" t="s">
        <v>165</v>
      </c>
    </row>
    <row r="500" spans="1:48" x14ac:dyDescent="0.3">
      <c r="A500" t="s">
        <v>2039</v>
      </c>
      <c r="B500" s="12">
        <v>45907</v>
      </c>
      <c r="C500" s="12">
        <v>45910</v>
      </c>
      <c r="D500" t="s">
        <v>2040</v>
      </c>
      <c r="E500" t="s">
        <v>125</v>
      </c>
      <c r="F500" t="s">
        <v>42</v>
      </c>
      <c r="G500" t="s">
        <v>9</v>
      </c>
      <c r="H500" t="s">
        <v>232</v>
      </c>
      <c r="I500" t="s">
        <v>233</v>
      </c>
      <c r="J500" t="s">
        <v>18</v>
      </c>
      <c r="K500" t="s">
        <v>19</v>
      </c>
      <c r="M500" t="s">
        <v>38</v>
      </c>
      <c r="N500">
        <v>2</v>
      </c>
      <c r="O500">
        <v>447.55</v>
      </c>
      <c r="P500">
        <v>0.05</v>
      </c>
      <c r="Q500">
        <v>0.05</v>
      </c>
      <c r="R500">
        <v>850.35</v>
      </c>
      <c r="S500">
        <v>600.98</v>
      </c>
      <c r="T500">
        <v>850.34500000000003</v>
      </c>
      <c r="U500">
        <v>249.36500000000001</v>
      </c>
      <c r="V500">
        <v>0.293251562601062</v>
      </c>
      <c r="W500">
        <v>3</v>
      </c>
      <c r="X500" t="s">
        <v>196</v>
      </c>
      <c r="Y500">
        <v>2025</v>
      </c>
      <c r="Z500" t="s">
        <v>203</v>
      </c>
      <c r="AA500" t="s">
        <v>165</v>
      </c>
      <c r="AB500" t="s">
        <v>131</v>
      </c>
      <c r="AC500" t="s">
        <v>131</v>
      </c>
      <c r="AD500" t="s">
        <v>131</v>
      </c>
      <c r="AE500" t="s">
        <v>131</v>
      </c>
      <c r="AF500" t="s">
        <v>131</v>
      </c>
      <c r="AG500" t="s">
        <v>131</v>
      </c>
      <c r="AH500" t="s">
        <v>131</v>
      </c>
      <c r="AI500" t="s">
        <v>133</v>
      </c>
      <c r="AJ500" t="s">
        <v>2041</v>
      </c>
      <c r="AK500" t="s">
        <v>2042</v>
      </c>
      <c r="AL500" t="s">
        <v>125</v>
      </c>
      <c r="AM500" t="s">
        <v>42</v>
      </c>
      <c r="AN500" t="s">
        <v>9</v>
      </c>
      <c r="AO500" t="s">
        <v>232</v>
      </c>
      <c r="AP500" t="s">
        <v>233</v>
      </c>
      <c r="AQ500" t="s">
        <v>18</v>
      </c>
      <c r="AR500" t="s">
        <v>19</v>
      </c>
      <c r="AS500" t="s">
        <v>38</v>
      </c>
      <c r="AT500">
        <v>0.05</v>
      </c>
      <c r="AU500" t="s">
        <v>203</v>
      </c>
      <c r="AV500" t="s">
        <v>2043</v>
      </c>
    </row>
    <row r="501" spans="1:48" x14ac:dyDescent="0.3">
      <c r="A501" t="s">
        <v>2044</v>
      </c>
      <c r="B501" s="12">
        <v>45648</v>
      </c>
      <c r="C501" s="12">
        <v>45652</v>
      </c>
      <c r="D501" t="s">
        <v>2045</v>
      </c>
      <c r="E501" t="s">
        <v>227</v>
      </c>
      <c r="F501" t="s">
        <v>41</v>
      </c>
      <c r="G501" t="s">
        <v>9</v>
      </c>
      <c r="H501" t="s">
        <v>249</v>
      </c>
      <c r="I501" t="s">
        <v>250</v>
      </c>
      <c r="J501" t="s">
        <v>18</v>
      </c>
      <c r="K501" t="s">
        <v>19</v>
      </c>
      <c r="M501" t="s">
        <v>35</v>
      </c>
      <c r="N501">
        <v>9</v>
      </c>
      <c r="O501">
        <v>1110.8699999999999</v>
      </c>
      <c r="Q501">
        <v>0</v>
      </c>
      <c r="R501">
        <v>7498.37</v>
      </c>
      <c r="S501">
        <v>6059.07</v>
      </c>
      <c r="T501">
        <v>9997.83</v>
      </c>
      <c r="U501">
        <v>3938.76</v>
      </c>
      <c r="V501">
        <v>0.393961489643253</v>
      </c>
      <c r="W501">
        <v>4</v>
      </c>
      <c r="X501" t="s">
        <v>214</v>
      </c>
      <c r="Y501">
        <v>2024</v>
      </c>
      <c r="Z501" t="s">
        <v>129</v>
      </c>
      <c r="AA501" t="s">
        <v>165</v>
      </c>
      <c r="AB501" t="s">
        <v>131</v>
      </c>
      <c r="AC501" t="s">
        <v>131</v>
      </c>
      <c r="AD501" t="s">
        <v>132</v>
      </c>
      <c r="AE501" t="s">
        <v>131</v>
      </c>
      <c r="AF501" t="s">
        <v>131</v>
      </c>
      <c r="AG501" t="s">
        <v>131</v>
      </c>
      <c r="AH501" t="s">
        <v>131</v>
      </c>
      <c r="AI501" t="s">
        <v>321</v>
      </c>
      <c r="AJ501" t="s">
        <v>2046</v>
      </c>
      <c r="AK501" t="s">
        <v>1275</v>
      </c>
      <c r="AL501" t="s">
        <v>227</v>
      </c>
      <c r="AM501" t="s">
        <v>41</v>
      </c>
      <c r="AN501" t="s">
        <v>9</v>
      </c>
      <c r="AO501" t="s">
        <v>249</v>
      </c>
      <c r="AP501" t="s">
        <v>250</v>
      </c>
      <c r="AQ501" t="s">
        <v>18</v>
      </c>
      <c r="AR501" t="s">
        <v>19</v>
      </c>
      <c r="AS501" t="s">
        <v>35</v>
      </c>
      <c r="AU501" t="s">
        <v>129</v>
      </c>
      <c r="AV501" t="s">
        <v>165</v>
      </c>
    </row>
    <row r="502" spans="1:48" x14ac:dyDescent="0.3">
      <c r="A502" t="s">
        <v>2047</v>
      </c>
      <c r="B502" s="12">
        <v>45429</v>
      </c>
      <c r="C502" s="12">
        <v>45434</v>
      </c>
      <c r="D502" t="s">
        <v>2048</v>
      </c>
      <c r="E502" t="s">
        <v>243</v>
      </c>
      <c r="F502" t="s">
        <v>42</v>
      </c>
      <c r="G502" t="s">
        <v>6</v>
      </c>
      <c r="H502" t="s">
        <v>305</v>
      </c>
      <c r="I502" t="s">
        <v>306</v>
      </c>
      <c r="J502" t="s">
        <v>15</v>
      </c>
      <c r="K502" t="s">
        <v>17</v>
      </c>
      <c r="M502" t="s">
        <v>38</v>
      </c>
      <c r="N502">
        <v>9</v>
      </c>
      <c r="O502">
        <v>3795.99</v>
      </c>
      <c r="P502">
        <v>0.85</v>
      </c>
      <c r="Q502">
        <v>0</v>
      </c>
      <c r="R502">
        <v>34163.910000000003</v>
      </c>
      <c r="S502">
        <v>28577.15</v>
      </c>
      <c r="T502">
        <v>34163.910000000003</v>
      </c>
      <c r="U502">
        <v>5586.76</v>
      </c>
      <c r="V502">
        <v>0.16352812075667</v>
      </c>
      <c r="W502">
        <v>5</v>
      </c>
      <c r="X502" t="s">
        <v>173</v>
      </c>
      <c r="Y502">
        <v>2024</v>
      </c>
      <c r="Z502" t="s">
        <v>129</v>
      </c>
      <c r="AA502" t="s">
        <v>130</v>
      </c>
      <c r="AB502" t="s">
        <v>131</v>
      </c>
      <c r="AC502" t="s">
        <v>131</v>
      </c>
      <c r="AD502" t="s">
        <v>131</v>
      </c>
      <c r="AE502" t="s">
        <v>131</v>
      </c>
      <c r="AF502" t="s">
        <v>132</v>
      </c>
      <c r="AG502" t="s">
        <v>131</v>
      </c>
      <c r="AH502" t="s">
        <v>132</v>
      </c>
      <c r="AI502" t="s">
        <v>149</v>
      </c>
      <c r="AJ502" t="s">
        <v>1024</v>
      </c>
      <c r="AK502" t="s">
        <v>2049</v>
      </c>
      <c r="AL502" t="s">
        <v>243</v>
      </c>
      <c r="AM502" t="s">
        <v>42</v>
      </c>
      <c r="AN502" t="s">
        <v>6</v>
      </c>
      <c r="AO502" t="s">
        <v>305</v>
      </c>
      <c r="AP502" t="s">
        <v>306</v>
      </c>
      <c r="AQ502" t="s">
        <v>15</v>
      </c>
      <c r="AR502" t="s">
        <v>17</v>
      </c>
      <c r="AS502" t="s">
        <v>38</v>
      </c>
      <c r="AT502" t="s">
        <v>1057</v>
      </c>
      <c r="AU502" t="s">
        <v>129</v>
      </c>
      <c r="AV502" t="s">
        <v>130</v>
      </c>
    </row>
    <row r="503" spans="1:48" x14ac:dyDescent="0.3">
      <c r="A503" t="s">
        <v>2050</v>
      </c>
      <c r="B503" s="12">
        <v>45515</v>
      </c>
      <c r="C503" s="12">
        <v>45521</v>
      </c>
      <c r="D503" t="s">
        <v>1109</v>
      </c>
      <c r="E503" t="s">
        <v>178</v>
      </c>
      <c r="F503" t="s">
        <v>42</v>
      </c>
      <c r="G503" t="s">
        <v>8</v>
      </c>
      <c r="H503" t="s">
        <v>362</v>
      </c>
      <c r="I503" t="s">
        <v>363</v>
      </c>
      <c r="J503" t="s">
        <v>20</v>
      </c>
      <c r="K503" t="s">
        <v>29</v>
      </c>
      <c r="M503" t="s">
        <v>37</v>
      </c>
      <c r="N503">
        <v>6</v>
      </c>
      <c r="O503">
        <v>3497.54</v>
      </c>
      <c r="P503">
        <v>0.15</v>
      </c>
      <c r="Q503">
        <v>0.15</v>
      </c>
      <c r="R503">
        <v>17837.45</v>
      </c>
      <c r="S503">
        <v>13627.02</v>
      </c>
      <c r="T503">
        <v>17837.454000000002</v>
      </c>
      <c r="U503">
        <v>4210.4340000000002</v>
      </c>
      <c r="V503">
        <v>0.23604456106796401</v>
      </c>
      <c r="W503">
        <v>6</v>
      </c>
      <c r="X503" t="s">
        <v>142</v>
      </c>
      <c r="Y503">
        <v>2024</v>
      </c>
      <c r="Z503" t="s">
        <v>129</v>
      </c>
      <c r="AA503" t="s">
        <v>130</v>
      </c>
      <c r="AB503" t="s">
        <v>131</v>
      </c>
      <c r="AC503" t="s">
        <v>131</v>
      </c>
      <c r="AD503" t="s">
        <v>131</v>
      </c>
      <c r="AE503" t="s">
        <v>131</v>
      </c>
      <c r="AF503" t="s">
        <v>131</v>
      </c>
      <c r="AG503" t="s">
        <v>131</v>
      </c>
      <c r="AH503" t="s">
        <v>132</v>
      </c>
      <c r="AI503" t="s">
        <v>133</v>
      </c>
      <c r="AJ503" t="s">
        <v>2051</v>
      </c>
      <c r="AK503" t="s">
        <v>2052</v>
      </c>
      <c r="AL503" t="s">
        <v>178</v>
      </c>
      <c r="AM503" t="s">
        <v>42</v>
      </c>
      <c r="AN503" t="s">
        <v>8</v>
      </c>
      <c r="AO503" t="s">
        <v>362</v>
      </c>
      <c r="AP503" t="s">
        <v>363</v>
      </c>
      <c r="AQ503" t="s">
        <v>20</v>
      </c>
      <c r="AR503" t="s">
        <v>29</v>
      </c>
      <c r="AS503" t="s">
        <v>37</v>
      </c>
      <c r="AT503">
        <v>0.15</v>
      </c>
      <c r="AU503" t="s">
        <v>129</v>
      </c>
      <c r="AV503" t="s">
        <v>130</v>
      </c>
    </row>
    <row r="504" spans="1:48" x14ac:dyDescent="0.3">
      <c r="A504" t="s">
        <v>2053</v>
      </c>
      <c r="B504" s="12">
        <v>45383</v>
      </c>
      <c r="C504" s="12">
        <v>45391</v>
      </c>
      <c r="D504" t="s">
        <v>2054</v>
      </c>
      <c r="E504" t="s">
        <v>221</v>
      </c>
      <c r="F504" t="s">
        <v>44</v>
      </c>
      <c r="G504" t="s">
        <v>8</v>
      </c>
      <c r="H504" t="s">
        <v>140</v>
      </c>
      <c r="I504" t="s">
        <v>141</v>
      </c>
      <c r="J504" t="s">
        <v>15</v>
      </c>
      <c r="K504" t="s">
        <v>16</v>
      </c>
      <c r="M504" t="s">
        <v>37</v>
      </c>
      <c r="N504">
        <v>6</v>
      </c>
      <c r="O504">
        <v>826.93</v>
      </c>
      <c r="P504">
        <v>0.1</v>
      </c>
      <c r="Q504">
        <v>0.1</v>
      </c>
      <c r="R504">
        <v>4465.42</v>
      </c>
      <c r="S504">
        <v>3377.1</v>
      </c>
      <c r="T504">
        <v>4465.4219999999996</v>
      </c>
      <c r="U504">
        <v>1088.3219999999999</v>
      </c>
      <c r="V504">
        <v>0.24372209390288299</v>
      </c>
      <c r="W504">
        <v>8</v>
      </c>
      <c r="X504" t="s">
        <v>179</v>
      </c>
      <c r="Y504">
        <v>2024</v>
      </c>
      <c r="Z504" t="s">
        <v>129</v>
      </c>
      <c r="AA504" t="s">
        <v>130</v>
      </c>
      <c r="AB504" t="s">
        <v>131</v>
      </c>
      <c r="AC504" t="s">
        <v>131</v>
      </c>
      <c r="AD504" t="s">
        <v>131</v>
      </c>
      <c r="AE504" t="s">
        <v>131</v>
      </c>
      <c r="AF504" t="s">
        <v>131</v>
      </c>
      <c r="AG504" t="s">
        <v>131</v>
      </c>
      <c r="AH504" t="s">
        <v>132</v>
      </c>
      <c r="AI504" t="s">
        <v>133</v>
      </c>
      <c r="AJ504" t="s">
        <v>2055</v>
      </c>
      <c r="AK504" t="s">
        <v>2056</v>
      </c>
      <c r="AL504" t="s">
        <v>221</v>
      </c>
      <c r="AM504" t="s">
        <v>44</v>
      </c>
      <c r="AN504" t="s">
        <v>2057</v>
      </c>
      <c r="AO504" t="s">
        <v>140</v>
      </c>
      <c r="AP504" t="s">
        <v>141</v>
      </c>
      <c r="AQ504" t="s">
        <v>15</v>
      </c>
      <c r="AR504" t="s">
        <v>16</v>
      </c>
      <c r="AS504" t="s">
        <v>37</v>
      </c>
      <c r="AT504">
        <v>0.1</v>
      </c>
      <c r="AU504" t="s">
        <v>129</v>
      </c>
      <c r="AV504" t="s">
        <v>130</v>
      </c>
    </row>
    <row r="505" spans="1:48" x14ac:dyDescent="0.3">
      <c r="A505" t="s">
        <v>2058</v>
      </c>
      <c r="B505" s="12">
        <v>45563</v>
      </c>
      <c r="C505" s="12">
        <v>45570</v>
      </c>
      <c r="D505" t="s">
        <v>2059</v>
      </c>
      <c r="E505" t="s">
        <v>238</v>
      </c>
      <c r="F505" t="s">
        <v>42</v>
      </c>
      <c r="G505" t="s">
        <v>6</v>
      </c>
      <c r="H505" t="s">
        <v>385</v>
      </c>
      <c r="I505" t="s">
        <v>386</v>
      </c>
      <c r="J505" t="s">
        <v>15</v>
      </c>
      <c r="K505" t="s">
        <v>17</v>
      </c>
      <c r="M505" t="s">
        <v>35</v>
      </c>
      <c r="N505">
        <v>7</v>
      </c>
      <c r="O505">
        <v>1681.6</v>
      </c>
      <c r="P505">
        <v>0.1</v>
      </c>
      <c r="Q505">
        <v>0.1</v>
      </c>
      <c r="R505">
        <v>10594.08</v>
      </c>
      <c r="S505">
        <v>7160.31</v>
      </c>
      <c r="T505">
        <v>10594.08</v>
      </c>
      <c r="U505">
        <v>3433.77</v>
      </c>
      <c r="V505">
        <v>0.32412158488514298</v>
      </c>
      <c r="W505">
        <v>7</v>
      </c>
      <c r="X505" t="s">
        <v>196</v>
      </c>
      <c r="Y505">
        <v>2024</v>
      </c>
      <c r="Z505" t="s">
        <v>129</v>
      </c>
      <c r="AA505" t="s">
        <v>130</v>
      </c>
      <c r="AB505" t="s">
        <v>131</v>
      </c>
      <c r="AC505" t="s">
        <v>131</v>
      </c>
      <c r="AD505" t="s">
        <v>131</v>
      </c>
      <c r="AE505" t="s">
        <v>131</v>
      </c>
      <c r="AF505" t="s">
        <v>131</v>
      </c>
      <c r="AG505" t="s">
        <v>131</v>
      </c>
      <c r="AH505" t="s">
        <v>132</v>
      </c>
      <c r="AI505" t="s">
        <v>133</v>
      </c>
      <c r="AJ505" t="s">
        <v>2060</v>
      </c>
      <c r="AK505" t="s">
        <v>2061</v>
      </c>
      <c r="AL505" t="s">
        <v>238</v>
      </c>
      <c r="AM505" t="s">
        <v>42</v>
      </c>
      <c r="AN505" t="s">
        <v>6</v>
      </c>
      <c r="AO505" t="s">
        <v>385</v>
      </c>
      <c r="AP505" t="s">
        <v>386</v>
      </c>
      <c r="AQ505" t="s">
        <v>15</v>
      </c>
      <c r="AR505" t="s">
        <v>17</v>
      </c>
      <c r="AS505" t="s">
        <v>35</v>
      </c>
      <c r="AT505">
        <v>0.1</v>
      </c>
      <c r="AU505" t="s">
        <v>129</v>
      </c>
      <c r="AV505" t="s">
        <v>130</v>
      </c>
    </row>
    <row r="506" spans="1:48" x14ac:dyDescent="0.3">
      <c r="A506" t="s">
        <v>2062</v>
      </c>
      <c r="B506" s="12">
        <v>45700</v>
      </c>
      <c r="C506" s="12">
        <v>45705</v>
      </c>
      <c r="D506" t="s">
        <v>2063</v>
      </c>
      <c r="E506" t="s">
        <v>154</v>
      </c>
      <c r="F506" t="s">
        <v>43</v>
      </c>
      <c r="G506" t="s">
        <v>7</v>
      </c>
      <c r="H506" t="s">
        <v>300</v>
      </c>
      <c r="I506" t="s">
        <v>301</v>
      </c>
      <c r="J506" t="s">
        <v>20</v>
      </c>
      <c r="K506" t="s">
        <v>29</v>
      </c>
      <c r="M506" t="s">
        <v>35</v>
      </c>
      <c r="N506">
        <v>4</v>
      </c>
      <c r="O506">
        <v>4328.12</v>
      </c>
      <c r="P506">
        <v>0</v>
      </c>
      <c r="Q506">
        <v>0</v>
      </c>
      <c r="R506">
        <v>17312.48</v>
      </c>
      <c r="S506">
        <v>14424.22</v>
      </c>
      <c r="T506">
        <v>17312.48</v>
      </c>
      <c r="U506">
        <v>2888.26</v>
      </c>
      <c r="V506">
        <v>0.16683109525613901</v>
      </c>
      <c r="W506">
        <v>5</v>
      </c>
      <c r="X506" t="s">
        <v>186</v>
      </c>
      <c r="Y506">
        <v>2025</v>
      </c>
      <c r="Z506" t="s">
        <v>129</v>
      </c>
      <c r="AA506" t="s">
        <v>130</v>
      </c>
      <c r="AB506" t="s">
        <v>131</v>
      </c>
      <c r="AC506" t="s">
        <v>131</v>
      </c>
      <c r="AD506" t="s">
        <v>131</v>
      </c>
      <c r="AE506" t="s">
        <v>131</v>
      </c>
      <c r="AF506" t="s">
        <v>131</v>
      </c>
      <c r="AG506" t="s">
        <v>131</v>
      </c>
      <c r="AH506" t="s">
        <v>132</v>
      </c>
      <c r="AI506" t="s">
        <v>133</v>
      </c>
      <c r="AJ506" t="s">
        <v>2064</v>
      </c>
      <c r="AK506" t="s">
        <v>2065</v>
      </c>
      <c r="AL506" t="s">
        <v>154</v>
      </c>
      <c r="AM506" t="s">
        <v>43</v>
      </c>
      <c r="AN506" t="s">
        <v>7</v>
      </c>
      <c r="AO506" t="s">
        <v>300</v>
      </c>
      <c r="AP506" t="s">
        <v>301</v>
      </c>
      <c r="AQ506" t="s">
        <v>20</v>
      </c>
      <c r="AR506" t="s">
        <v>29</v>
      </c>
      <c r="AS506" t="s">
        <v>35</v>
      </c>
      <c r="AT506">
        <v>0</v>
      </c>
      <c r="AU506" t="s">
        <v>129</v>
      </c>
      <c r="AV506" t="s">
        <v>130</v>
      </c>
    </row>
    <row r="507" spans="1:48" x14ac:dyDescent="0.3">
      <c r="A507" t="s">
        <v>2066</v>
      </c>
      <c r="B507" s="12">
        <v>45605</v>
      </c>
      <c r="C507" s="12">
        <v>45610</v>
      </c>
      <c r="D507" t="s">
        <v>2067</v>
      </c>
      <c r="E507" t="s">
        <v>178</v>
      </c>
      <c r="F507" t="s">
        <v>43</v>
      </c>
      <c r="G507" t="s">
        <v>7</v>
      </c>
      <c r="H507" t="s">
        <v>171</v>
      </c>
      <c r="I507" t="s">
        <v>172</v>
      </c>
      <c r="J507" t="s">
        <v>20</v>
      </c>
      <c r="K507" t="s">
        <v>29</v>
      </c>
      <c r="M507" t="s">
        <v>36</v>
      </c>
      <c r="N507">
        <v>9</v>
      </c>
      <c r="O507">
        <v>2438.29</v>
      </c>
      <c r="P507">
        <v>0.2</v>
      </c>
      <c r="Q507">
        <v>0.2</v>
      </c>
      <c r="R507">
        <v>17555.689999999999</v>
      </c>
      <c r="S507">
        <v>13293.2</v>
      </c>
      <c r="T507">
        <v>17555.687999999998</v>
      </c>
      <c r="U507">
        <v>4262.4880000000003</v>
      </c>
      <c r="V507">
        <v>0.24279811762432801</v>
      </c>
      <c r="W507">
        <v>5</v>
      </c>
      <c r="X507" t="s">
        <v>157</v>
      </c>
      <c r="Y507">
        <v>2024</v>
      </c>
      <c r="Z507" t="s">
        <v>129</v>
      </c>
      <c r="AA507" t="s">
        <v>165</v>
      </c>
      <c r="AB507" t="s">
        <v>131</v>
      </c>
      <c r="AC507" t="s">
        <v>131</v>
      </c>
      <c r="AD507" t="s">
        <v>131</v>
      </c>
      <c r="AE507" t="s">
        <v>131</v>
      </c>
      <c r="AF507" t="s">
        <v>131</v>
      </c>
      <c r="AG507" t="s">
        <v>131</v>
      </c>
      <c r="AH507" t="s">
        <v>131</v>
      </c>
      <c r="AI507" t="s">
        <v>133</v>
      </c>
      <c r="AJ507" t="s">
        <v>2068</v>
      </c>
      <c r="AK507" t="s">
        <v>1223</v>
      </c>
      <c r="AL507" t="s">
        <v>178</v>
      </c>
      <c r="AM507" t="s">
        <v>43</v>
      </c>
      <c r="AN507" t="s">
        <v>7</v>
      </c>
      <c r="AO507" t="s">
        <v>171</v>
      </c>
      <c r="AP507" t="s">
        <v>172</v>
      </c>
      <c r="AQ507" t="s">
        <v>20</v>
      </c>
      <c r="AR507" t="s">
        <v>29</v>
      </c>
      <c r="AS507" t="s">
        <v>36</v>
      </c>
      <c r="AT507">
        <v>0.2</v>
      </c>
      <c r="AU507" t="s">
        <v>129</v>
      </c>
      <c r="AV507" t="s">
        <v>165</v>
      </c>
    </row>
    <row r="508" spans="1:48" x14ac:dyDescent="0.3">
      <c r="A508" t="s">
        <v>2069</v>
      </c>
      <c r="B508" s="12">
        <v>45641</v>
      </c>
      <c r="C508" s="12">
        <v>45641</v>
      </c>
      <c r="D508" t="s">
        <v>2070</v>
      </c>
      <c r="E508" t="s">
        <v>238</v>
      </c>
      <c r="F508" t="s">
        <v>44</v>
      </c>
      <c r="G508" t="s">
        <v>9</v>
      </c>
      <c r="H508" t="s">
        <v>232</v>
      </c>
      <c r="I508" t="s">
        <v>233</v>
      </c>
      <c r="J508" t="s">
        <v>18</v>
      </c>
      <c r="K508" t="s">
        <v>23</v>
      </c>
      <c r="M508" t="s">
        <v>36</v>
      </c>
      <c r="N508">
        <v>2</v>
      </c>
      <c r="O508">
        <v>669.8</v>
      </c>
      <c r="P508">
        <v>0.1</v>
      </c>
      <c r="Q508">
        <v>0.1</v>
      </c>
      <c r="R508">
        <v>1205.6400000000001</v>
      </c>
      <c r="S508">
        <v>842.07</v>
      </c>
      <c r="T508">
        <v>1205.6400000000001</v>
      </c>
      <c r="U508">
        <v>363.57</v>
      </c>
      <c r="V508">
        <v>0.30155767890912699</v>
      </c>
      <c r="W508">
        <v>0</v>
      </c>
      <c r="X508" t="s">
        <v>214</v>
      </c>
      <c r="Y508">
        <v>2024</v>
      </c>
      <c r="Z508" t="s">
        <v>203</v>
      </c>
      <c r="AA508" t="s">
        <v>204</v>
      </c>
      <c r="AB508" t="s">
        <v>131</v>
      </c>
      <c r="AC508" t="s">
        <v>131</v>
      </c>
      <c r="AD508" t="s">
        <v>131</v>
      </c>
      <c r="AE508" t="s">
        <v>131</v>
      </c>
      <c r="AF508" t="s">
        <v>131</v>
      </c>
      <c r="AG508" t="s">
        <v>131</v>
      </c>
      <c r="AH508" t="s">
        <v>131</v>
      </c>
      <c r="AI508" t="s">
        <v>133</v>
      </c>
      <c r="AJ508" t="s">
        <v>2071</v>
      </c>
      <c r="AK508" t="s">
        <v>2072</v>
      </c>
      <c r="AL508" t="s">
        <v>238</v>
      </c>
      <c r="AM508" t="s">
        <v>44</v>
      </c>
      <c r="AN508" t="s">
        <v>9</v>
      </c>
      <c r="AO508" t="s">
        <v>232</v>
      </c>
      <c r="AP508" t="s">
        <v>233</v>
      </c>
      <c r="AQ508" t="s">
        <v>18</v>
      </c>
      <c r="AR508" t="s">
        <v>23</v>
      </c>
      <c r="AS508" t="s">
        <v>36</v>
      </c>
      <c r="AT508">
        <v>0.1</v>
      </c>
      <c r="AU508" t="s">
        <v>203</v>
      </c>
      <c r="AV508" t="s">
        <v>204</v>
      </c>
    </row>
    <row r="509" spans="1:48" x14ac:dyDescent="0.3">
      <c r="A509" t="s">
        <v>2073</v>
      </c>
      <c r="B509" s="12">
        <v>45762</v>
      </c>
      <c r="C509" s="12">
        <v>45769</v>
      </c>
      <c r="D509" t="s">
        <v>2074</v>
      </c>
      <c r="E509" t="s">
        <v>147</v>
      </c>
      <c r="F509" t="s">
        <v>44</v>
      </c>
      <c r="G509" t="s">
        <v>9</v>
      </c>
      <c r="H509" t="s">
        <v>372</v>
      </c>
      <c r="I509" t="s">
        <v>373</v>
      </c>
      <c r="J509" t="s">
        <v>20</v>
      </c>
      <c r="K509" t="s">
        <v>28</v>
      </c>
      <c r="M509" t="s">
        <v>38</v>
      </c>
      <c r="N509">
        <v>4</v>
      </c>
      <c r="O509">
        <v>2990.42</v>
      </c>
      <c r="P509">
        <v>0.25</v>
      </c>
      <c r="Q509">
        <v>0.25</v>
      </c>
      <c r="R509">
        <v>8971.26</v>
      </c>
      <c r="S509">
        <v>6814.35</v>
      </c>
      <c r="T509">
        <v>8971.26</v>
      </c>
      <c r="U509">
        <v>2156.91</v>
      </c>
      <c r="V509">
        <v>0.24042442198754699</v>
      </c>
      <c r="W509">
        <v>7</v>
      </c>
      <c r="X509" t="s">
        <v>179</v>
      </c>
      <c r="Y509">
        <v>2025</v>
      </c>
      <c r="Z509" t="s">
        <v>129</v>
      </c>
      <c r="AA509" t="s">
        <v>130</v>
      </c>
      <c r="AB509" t="s">
        <v>131</v>
      </c>
      <c r="AC509" t="s">
        <v>131</v>
      </c>
      <c r="AD509" t="s">
        <v>131</v>
      </c>
      <c r="AE509" t="s">
        <v>131</v>
      </c>
      <c r="AF509" t="s">
        <v>131</v>
      </c>
      <c r="AG509" t="s">
        <v>131</v>
      </c>
      <c r="AH509" t="s">
        <v>132</v>
      </c>
      <c r="AI509" t="s">
        <v>133</v>
      </c>
      <c r="AJ509" t="s">
        <v>1822</v>
      </c>
      <c r="AK509" t="s">
        <v>1794</v>
      </c>
      <c r="AL509" t="s">
        <v>147</v>
      </c>
      <c r="AM509" t="s">
        <v>44</v>
      </c>
      <c r="AN509" t="s">
        <v>9</v>
      </c>
      <c r="AO509" t="s">
        <v>372</v>
      </c>
      <c r="AP509" t="s">
        <v>373</v>
      </c>
      <c r="AQ509" t="s">
        <v>20</v>
      </c>
      <c r="AR509" t="s">
        <v>28</v>
      </c>
      <c r="AS509" t="s">
        <v>38</v>
      </c>
      <c r="AT509">
        <v>0.25</v>
      </c>
      <c r="AU509" t="s">
        <v>129</v>
      </c>
      <c r="AV509" t="s">
        <v>130</v>
      </c>
    </row>
    <row r="510" spans="1:48" x14ac:dyDescent="0.3">
      <c r="A510" t="s">
        <v>2075</v>
      </c>
      <c r="B510" s="12">
        <v>45382</v>
      </c>
      <c r="C510" s="12">
        <v>45389</v>
      </c>
      <c r="D510" t="s">
        <v>2076</v>
      </c>
      <c r="E510" t="s">
        <v>147</v>
      </c>
      <c r="F510" t="s">
        <v>44</v>
      </c>
      <c r="G510" t="s">
        <v>9</v>
      </c>
      <c r="H510" t="s">
        <v>372</v>
      </c>
      <c r="I510" t="s">
        <v>373</v>
      </c>
      <c r="J510" t="s">
        <v>15</v>
      </c>
      <c r="K510" t="s">
        <v>25</v>
      </c>
      <c r="M510" t="s">
        <v>37</v>
      </c>
      <c r="N510">
        <v>4</v>
      </c>
      <c r="O510">
        <v>1831</v>
      </c>
      <c r="P510">
        <v>0</v>
      </c>
      <c r="Q510">
        <v>0</v>
      </c>
      <c r="R510">
        <v>7324</v>
      </c>
      <c r="S510">
        <v>4179.63</v>
      </c>
      <c r="T510">
        <v>7324</v>
      </c>
      <c r="U510">
        <v>3144.37</v>
      </c>
      <c r="V510">
        <v>0.429324139814309</v>
      </c>
      <c r="W510">
        <v>7</v>
      </c>
      <c r="X510" t="s">
        <v>278</v>
      </c>
      <c r="Y510">
        <v>2024</v>
      </c>
      <c r="Z510" t="s">
        <v>129</v>
      </c>
      <c r="AA510" t="s">
        <v>130</v>
      </c>
      <c r="AB510" t="s">
        <v>131</v>
      </c>
      <c r="AC510" t="s">
        <v>131</v>
      </c>
      <c r="AD510" t="s">
        <v>131</v>
      </c>
      <c r="AE510" t="s">
        <v>131</v>
      </c>
      <c r="AF510" t="s">
        <v>131</v>
      </c>
      <c r="AG510" t="s">
        <v>131</v>
      </c>
      <c r="AH510" t="s">
        <v>132</v>
      </c>
      <c r="AI510" t="s">
        <v>133</v>
      </c>
      <c r="AJ510" t="s">
        <v>2077</v>
      </c>
      <c r="AK510" t="s">
        <v>1254</v>
      </c>
      <c r="AL510" t="s">
        <v>147</v>
      </c>
      <c r="AM510" t="s">
        <v>44</v>
      </c>
      <c r="AN510" t="s">
        <v>9</v>
      </c>
      <c r="AO510" t="s">
        <v>372</v>
      </c>
      <c r="AP510" t="s">
        <v>373</v>
      </c>
      <c r="AQ510" t="s">
        <v>15</v>
      </c>
      <c r="AR510" t="s">
        <v>25</v>
      </c>
      <c r="AS510" t="s">
        <v>37</v>
      </c>
      <c r="AT510">
        <v>0</v>
      </c>
      <c r="AU510" t="s">
        <v>129</v>
      </c>
      <c r="AV510" t="s">
        <v>130</v>
      </c>
    </row>
    <row r="511" spans="1:48" x14ac:dyDescent="0.3">
      <c r="A511" t="s">
        <v>2078</v>
      </c>
      <c r="B511" s="12">
        <v>45789</v>
      </c>
      <c r="C511" s="12">
        <v>45791</v>
      </c>
      <c r="D511" t="s">
        <v>2079</v>
      </c>
      <c r="E511" t="s">
        <v>178</v>
      </c>
      <c r="F511" t="s">
        <v>42</v>
      </c>
      <c r="G511" t="s">
        <v>7</v>
      </c>
      <c r="H511" t="s">
        <v>300</v>
      </c>
      <c r="I511" t="s">
        <v>301</v>
      </c>
      <c r="J511" t="s">
        <v>15</v>
      </c>
      <c r="K511" t="s">
        <v>25</v>
      </c>
      <c r="M511" t="s">
        <v>38</v>
      </c>
      <c r="N511">
        <v>8</v>
      </c>
      <c r="O511">
        <v>3631.44</v>
      </c>
      <c r="P511">
        <v>0.2</v>
      </c>
      <c r="Q511">
        <v>0.2</v>
      </c>
      <c r="R511">
        <v>23241.22</v>
      </c>
      <c r="S511">
        <v>17220.900000000001</v>
      </c>
      <c r="T511">
        <v>23241.216</v>
      </c>
      <c r="U511">
        <v>6020.3159999999998</v>
      </c>
      <c r="V511">
        <v>0.25903618812371998</v>
      </c>
      <c r="W511">
        <v>2</v>
      </c>
      <c r="X511" t="s">
        <v>173</v>
      </c>
      <c r="Y511">
        <v>2025</v>
      </c>
      <c r="Z511" t="s">
        <v>129</v>
      </c>
      <c r="AA511" t="s">
        <v>130</v>
      </c>
      <c r="AB511" t="s">
        <v>131</v>
      </c>
      <c r="AC511" t="s">
        <v>131</v>
      </c>
      <c r="AD511" t="s">
        <v>131</v>
      </c>
      <c r="AE511" t="s">
        <v>131</v>
      </c>
      <c r="AF511" t="s">
        <v>131</v>
      </c>
      <c r="AG511" t="s">
        <v>131</v>
      </c>
      <c r="AH511" t="s">
        <v>132</v>
      </c>
      <c r="AI511" t="s">
        <v>133</v>
      </c>
      <c r="AJ511" t="s">
        <v>2080</v>
      </c>
      <c r="AK511" t="s">
        <v>2081</v>
      </c>
      <c r="AL511" t="s">
        <v>178</v>
      </c>
      <c r="AM511" t="s">
        <v>42</v>
      </c>
      <c r="AN511" t="s">
        <v>7</v>
      </c>
      <c r="AO511" t="s">
        <v>300</v>
      </c>
      <c r="AP511" t="s">
        <v>301</v>
      </c>
      <c r="AQ511" t="s">
        <v>15</v>
      </c>
      <c r="AR511" t="s">
        <v>25</v>
      </c>
      <c r="AS511" t="s">
        <v>38</v>
      </c>
      <c r="AT511">
        <v>0.2</v>
      </c>
      <c r="AU511" t="s">
        <v>129</v>
      </c>
      <c r="AV511" t="s">
        <v>130</v>
      </c>
    </row>
    <row r="512" spans="1:48" x14ac:dyDescent="0.3">
      <c r="A512" t="s">
        <v>2082</v>
      </c>
      <c r="B512" s="12">
        <v>45583</v>
      </c>
      <c r="C512" s="12">
        <v>45586</v>
      </c>
      <c r="D512" t="s">
        <v>2083</v>
      </c>
      <c r="E512" t="s">
        <v>238</v>
      </c>
      <c r="F512" t="s">
        <v>42</v>
      </c>
      <c r="G512" t="s">
        <v>6</v>
      </c>
      <c r="H512" t="s">
        <v>294</v>
      </c>
      <c r="I512" t="s">
        <v>295</v>
      </c>
      <c r="J512" t="s">
        <v>20</v>
      </c>
      <c r="K512" t="s">
        <v>21</v>
      </c>
      <c r="M512" t="s">
        <v>37</v>
      </c>
      <c r="N512">
        <v>2</v>
      </c>
      <c r="O512">
        <v>4238.51</v>
      </c>
      <c r="P512">
        <v>0</v>
      </c>
      <c r="Q512">
        <v>0</v>
      </c>
      <c r="R512">
        <v>8477.02</v>
      </c>
      <c r="S512">
        <v>6884.96</v>
      </c>
      <c r="T512">
        <v>8477.02</v>
      </c>
      <c r="U512">
        <v>1592.06</v>
      </c>
      <c r="V512">
        <v>0.187808923418843</v>
      </c>
      <c r="W512">
        <v>3</v>
      </c>
      <c r="X512" t="s">
        <v>222</v>
      </c>
      <c r="Y512">
        <v>2024</v>
      </c>
      <c r="Z512" t="s">
        <v>129</v>
      </c>
      <c r="AA512" t="s">
        <v>130</v>
      </c>
      <c r="AB512" t="s">
        <v>131</v>
      </c>
      <c r="AC512" t="s">
        <v>131</v>
      </c>
      <c r="AD512" t="s">
        <v>131</v>
      </c>
      <c r="AE512" t="s">
        <v>131</v>
      </c>
      <c r="AF512" t="s">
        <v>131</v>
      </c>
      <c r="AG512" t="s">
        <v>131</v>
      </c>
      <c r="AH512" t="s">
        <v>132</v>
      </c>
      <c r="AI512" t="s">
        <v>133</v>
      </c>
      <c r="AJ512" t="s">
        <v>635</v>
      </c>
      <c r="AK512" t="s">
        <v>2084</v>
      </c>
      <c r="AL512" t="s">
        <v>2085</v>
      </c>
      <c r="AM512" t="s">
        <v>42</v>
      </c>
      <c r="AN512" t="s">
        <v>6</v>
      </c>
      <c r="AO512" t="s">
        <v>294</v>
      </c>
      <c r="AP512" t="s">
        <v>295</v>
      </c>
      <c r="AQ512" t="s">
        <v>20</v>
      </c>
      <c r="AR512" t="s">
        <v>21</v>
      </c>
      <c r="AS512" t="s">
        <v>37</v>
      </c>
      <c r="AT512">
        <v>0</v>
      </c>
      <c r="AU512" t="s">
        <v>129</v>
      </c>
      <c r="AV512" t="s">
        <v>130</v>
      </c>
    </row>
    <row r="513" spans="1:48" x14ac:dyDescent="0.3">
      <c r="A513" t="s">
        <v>2086</v>
      </c>
      <c r="B513" s="12">
        <v>45588</v>
      </c>
      <c r="C513" s="12">
        <v>45591</v>
      </c>
      <c r="D513" t="s">
        <v>2087</v>
      </c>
      <c r="E513" t="s">
        <v>243</v>
      </c>
      <c r="F513" t="s">
        <v>42</v>
      </c>
      <c r="G513" t="s">
        <v>7</v>
      </c>
      <c r="H513" t="s">
        <v>171</v>
      </c>
      <c r="I513" t="s">
        <v>172</v>
      </c>
      <c r="J513" t="s">
        <v>18</v>
      </c>
      <c r="K513" t="s">
        <v>26</v>
      </c>
      <c r="M513" t="s">
        <v>35</v>
      </c>
      <c r="N513">
        <v>9</v>
      </c>
      <c r="O513">
        <v>544.27</v>
      </c>
      <c r="P513">
        <v>0.25</v>
      </c>
      <c r="Q513">
        <v>0.25</v>
      </c>
      <c r="R513">
        <v>3673.82</v>
      </c>
      <c r="S513">
        <v>2088.15</v>
      </c>
      <c r="T513">
        <v>3673.8225000000002</v>
      </c>
      <c r="U513">
        <v>1585.6724999999999</v>
      </c>
      <c r="V513">
        <v>0.43161380278987399</v>
      </c>
      <c r="W513">
        <v>3</v>
      </c>
      <c r="X513" t="s">
        <v>222</v>
      </c>
      <c r="Y513">
        <v>2024</v>
      </c>
      <c r="Z513" t="s">
        <v>129</v>
      </c>
      <c r="AA513" t="s">
        <v>130</v>
      </c>
      <c r="AB513" t="s">
        <v>131</v>
      </c>
      <c r="AC513" t="s">
        <v>131</v>
      </c>
      <c r="AD513" t="s">
        <v>131</v>
      </c>
      <c r="AE513" t="s">
        <v>131</v>
      </c>
      <c r="AF513" t="s">
        <v>131</v>
      </c>
      <c r="AG513" t="s">
        <v>131</v>
      </c>
      <c r="AH513" t="s">
        <v>132</v>
      </c>
      <c r="AI513" t="s">
        <v>133</v>
      </c>
      <c r="AJ513" t="s">
        <v>2088</v>
      </c>
      <c r="AK513" t="s">
        <v>2089</v>
      </c>
      <c r="AL513" t="s">
        <v>243</v>
      </c>
      <c r="AM513" t="s">
        <v>42</v>
      </c>
      <c r="AN513" t="s">
        <v>7</v>
      </c>
      <c r="AO513" t="s">
        <v>171</v>
      </c>
      <c r="AP513" t="s">
        <v>172</v>
      </c>
      <c r="AQ513" t="s">
        <v>18</v>
      </c>
      <c r="AR513" t="s">
        <v>26</v>
      </c>
      <c r="AS513" t="s">
        <v>35</v>
      </c>
      <c r="AT513">
        <v>0.25</v>
      </c>
      <c r="AU513" t="s">
        <v>129</v>
      </c>
      <c r="AV513" t="s">
        <v>130</v>
      </c>
    </row>
    <row r="514" spans="1:48" x14ac:dyDescent="0.3">
      <c r="A514" t="s">
        <v>2090</v>
      </c>
      <c r="B514" s="12">
        <v>45718</v>
      </c>
      <c r="C514" s="12">
        <v>45719</v>
      </c>
      <c r="D514" t="s">
        <v>1627</v>
      </c>
      <c r="E514" t="s">
        <v>147</v>
      </c>
      <c r="F514" t="s">
        <v>43</v>
      </c>
      <c r="G514" t="s">
        <v>6</v>
      </c>
      <c r="H514" t="s">
        <v>305</v>
      </c>
      <c r="I514" t="s">
        <v>306</v>
      </c>
      <c r="J514" t="s">
        <v>20</v>
      </c>
      <c r="K514" t="s">
        <v>30</v>
      </c>
      <c r="M514" t="s">
        <v>37</v>
      </c>
      <c r="N514">
        <v>2</v>
      </c>
      <c r="O514">
        <v>4031.45</v>
      </c>
      <c r="P514">
        <v>0.25</v>
      </c>
      <c r="Q514">
        <v>0.25</v>
      </c>
      <c r="R514">
        <v>6047.17</v>
      </c>
      <c r="S514">
        <v>3368.79</v>
      </c>
      <c r="T514">
        <v>6047.1750000000002</v>
      </c>
      <c r="U514">
        <v>2678.3850000000002</v>
      </c>
      <c r="V514">
        <v>0.44291508018206799</v>
      </c>
      <c r="W514">
        <v>1</v>
      </c>
      <c r="X514" t="s">
        <v>278</v>
      </c>
      <c r="Y514">
        <v>2025</v>
      </c>
      <c r="Z514" t="s">
        <v>129</v>
      </c>
      <c r="AA514" t="s">
        <v>130</v>
      </c>
      <c r="AB514" t="s">
        <v>131</v>
      </c>
      <c r="AC514" t="s">
        <v>131</v>
      </c>
      <c r="AD514" t="s">
        <v>131</v>
      </c>
      <c r="AE514" t="s">
        <v>131</v>
      </c>
      <c r="AF514" t="s">
        <v>131</v>
      </c>
      <c r="AG514" t="s">
        <v>131</v>
      </c>
      <c r="AH514" t="s">
        <v>132</v>
      </c>
      <c r="AI514" t="s">
        <v>133</v>
      </c>
      <c r="AJ514" t="s">
        <v>752</v>
      </c>
      <c r="AK514" t="s">
        <v>2091</v>
      </c>
      <c r="AL514" t="s">
        <v>147</v>
      </c>
      <c r="AM514" t="s">
        <v>43</v>
      </c>
      <c r="AN514" t="s">
        <v>6</v>
      </c>
      <c r="AO514" t="s">
        <v>305</v>
      </c>
      <c r="AP514" t="s">
        <v>306</v>
      </c>
      <c r="AQ514" t="s">
        <v>20</v>
      </c>
      <c r="AR514" t="s">
        <v>30</v>
      </c>
      <c r="AS514" t="s">
        <v>37</v>
      </c>
      <c r="AT514">
        <v>0.25</v>
      </c>
      <c r="AU514" t="s">
        <v>129</v>
      </c>
      <c r="AV514" t="s">
        <v>130</v>
      </c>
    </row>
    <row r="515" spans="1:48" x14ac:dyDescent="0.3">
      <c r="A515" t="s">
        <v>2092</v>
      </c>
      <c r="B515" s="12">
        <v>45835</v>
      </c>
      <c r="C515" s="12">
        <v>45840</v>
      </c>
      <c r="D515" t="s">
        <v>2093</v>
      </c>
      <c r="E515" t="s">
        <v>238</v>
      </c>
      <c r="F515" t="s">
        <v>43</v>
      </c>
      <c r="G515" t="s">
        <v>6</v>
      </c>
      <c r="H515" t="s">
        <v>305</v>
      </c>
      <c r="I515" t="s">
        <v>306</v>
      </c>
      <c r="J515" t="s">
        <v>15</v>
      </c>
      <c r="K515" t="s">
        <v>22</v>
      </c>
      <c r="M515" t="s">
        <v>36</v>
      </c>
      <c r="N515">
        <v>6</v>
      </c>
      <c r="O515">
        <v>1099.49</v>
      </c>
      <c r="P515">
        <v>0.1</v>
      </c>
      <c r="Q515">
        <v>0.1</v>
      </c>
      <c r="R515">
        <v>6212.38</v>
      </c>
      <c r="S515">
        <v>4088.46</v>
      </c>
      <c r="T515">
        <v>5937.2460000000001</v>
      </c>
      <c r="U515">
        <v>1848.7860000000001</v>
      </c>
      <c r="V515">
        <v>0.31138780505305003</v>
      </c>
      <c r="W515">
        <v>5</v>
      </c>
      <c r="X515" t="s">
        <v>148</v>
      </c>
      <c r="Y515">
        <v>2025</v>
      </c>
      <c r="Z515" t="s">
        <v>129</v>
      </c>
      <c r="AA515" t="s">
        <v>130</v>
      </c>
      <c r="AB515" t="s">
        <v>131</v>
      </c>
      <c r="AC515" t="s">
        <v>131</v>
      </c>
      <c r="AD515" t="s">
        <v>131</v>
      </c>
      <c r="AE515" t="s">
        <v>131</v>
      </c>
      <c r="AF515" t="s">
        <v>131</v>
      </c>
      <c r="AG515" t="s">
        <v>131</v>
      </c>
      <c r="AH515" t="s">
        <v>132</v>
      </c>
      <c r="AI515" t="s">
        <v>133</v>
      </c>
      <c r="AJ515" t="s">
        <v>919</v>
      </c>
      <c r="AK515" t="s">
        <v>2020</v>
      </c>
      <c r="AL515" t="s">
        <v>238</v>
      </c>
      <c r="AM515" t="s">
        <v>43</v>
      </c>
      <c r="AN515" t="s">
        <v>6</v>
      </c>
      <c r="AO515" t="s">
        <v>305</v>
      </c>
      <c r="AP515" t="s">
        <v>306</v>
      </c>
      <c r="AQ515" t="s">
        <v>15</v>
      </c>
      <c r="AR515" t="s">
        <v>2094</v>
      </c>
      <c r="AS515" t="s">
        <v>36</v>
      </c>
      <c r="AT515">
        <v>0.1</v>
      </c>
      <c r="AU515" t="s">
        <v>129</v>
      </c>
      <c r="AV515" t="s">
        <v>130</v>
      </c>
    </row>
    <row r="516" spans="1:48" x14ac:dyDescent="0.3">
      <c r="A516" t="s">
        <v>2095</v>
      </c>
      <c r="B516" s="12">
        <v>45614</v>
      </c>
      <c r="C516" s="12">
        <v>45618</v>
      </c>
      <c r="D516" t="s">
        <v>2096</v>
      </c>
      <c r="E516" t="s">
        <v>125</v>
      </c>
      <c r="F516" t="s">
        <v>41</v>
      </c>
      <c r="G516" t="s">
        <v>6</v>
      </c>
      <c r="H516" t="s">
        <v>305</v>
      </c>
      <c r="I516" t="s">
        <v>306</v>
      </c>
      <c r="J516" t="s">
        <v>15</v>
      </c>
      <c r="K516" t="s">
        <v>22</v>
      </c>
      <c r="M516" t="s">
        <v>35</v>
      </c>
      <c r="N516">
        <v>6</v>
      </c>
      <c r="O516">
        <v>3872.94</v>
      </c>
      <c r="P516">
        <v>0.1</v>
      </c>
      <c r="Q516">
        <v>0.1</v>
      </c>
      <c r="R516">
        <v>20913.88</v>
      </c>
      <c r="S516">
        <v>11684.68</v>
      </c>
      <c r="T516">
        <v>20913.876</v>
      </c>
      <c r="U516">
        <v>9229.1959999999999</v>
      </c>
      <c r="V516">
        <v>0.44129533903710599</v>
      </c>
      <c r="W516">
        <v>4</v>
      </c>
      <c r="X516" t="s">
        <v>157</v>
      </c>
      <c r="Y516">
        <v>2024</v>
      </c>
      <c r="Z516" t="s">
        <v>129</v>
      </c>
      <c r="AA516" t="s">
        <v>130</v>
      </c>
      <c r="AB516" t="s">
        <v>131</v>
      </c>
      <c r="AC516" t="s">
        <v>131</v>
      </c>
      <c r="AD516" t="s">
        <v>131</v>
      </c>
      <c r="AE516" t="s">
        <v>131</v>
      </c>
      <c r="AF516" t="s">
        <v>131</v>
      </c>
      <c r="AG516" t="s">
        <v>131</v>
      </c>
      <c r="AH516" t="s">
        <v>132</v>
      </c>
      <c r="AI516" t="s">
        <v>133</v>
      </c>
      <c r="AJ516" t="s">
        <v>2097</v>
      </c>
      <c r="AK516" t="s">
        <v>2028</v>
      </c>
      <c r="AL516" t="s">
        <v>125</v>
      </c>
      <c r="AM516" t="s">
        <v>41</v>
      </c>
      <c r="AN516" t="s">
        <v>6</v>
      </c>
      <c r="AO516" t="s">
        <v>305</v>
      </c>
      <c r="AP516" t="s">
        <v>306</v>
      </c>
      <c r="AQ516" t="s">
        <v>15</v>
      </c>
      <c r="AR516" t="s">
        <v>22</v>
      </c>
      <c r="AS516" t="s">
        <v>35</v>
      </c>
      <c r="AT516">
        <v>0.1</v>
      </c>
      <c r="AU516" t="s">
        <v>129</v>
      </c>
      <c r="AV516" t="s">
        <v>130</v>
      </c>
    </row>
    <row r="517" spans="1:48" x14ac:dyDescent="0.3">
      <c r="A517" t="s">
        <v>2098</v>
      </c>
      <c r="B517" s="12">
        <v>45758</v>
      </c>
      <c r="C517" s="12">
        <v>45758</v>
      </c>
      <c r="D517" t="s">
        <v>2099</v>
      </c>
      <c r="E517" t="s">
        <v>227</v>
      </c>
      <c r="F517" t="s">
        <v>43</v>
      </c>
      <c r="G517" t="s">
        <v>9</v>
      </c>
      <c r="H517" t="s">
        <v>522</v>
      </c>
      <c r="I517" t="s">
        <v>523</v>
      </c>
      <c r="J517" t="s">
        <v>20</v>
      </c>
      <c r="K517" t="s">
        <v>24</v>
      </c>
      <c r="M517" t="s">
        <v>35</v>
      </c>
      <c r="N517">
        <v>1</v>
      </c>
      <c r="O517">
        <v>4458.49</v>
      </c>
      <c r="P517">
        <v>-7.0000000000000007E-2</v>
      </c>
      <c r="Q517">
        <v>0</v>
      </c>
      <c r="R517">
        <v>3566.79</v>
      </c>
      <c r="S517">
        <v>2083.41</v>
      </c>
      <c r="T517">
        <v>4458.49</v>
      </c>
      <c r="U517">
        <v>2375.08</v>
      </c>
      <c r="V517">
        <v>0.53270950478749501</v>
      </c>
      <c r="W517">
        <v>0</v>
      </c>
      <c r="X517" t="s">
        <v>179</v>
      </c>
      <c r="Y517">
        <v>2025</v>
      </c>
      <c r="Z517" t="s">
        <v>129</v>
      </c>
      <c r="AA517" t="s">
        <v>130</v>
      </c>
      <c r="AB517" t="s">
        <v>131</v>
      </c>
      <c r="AC517" t="s">
        <v>131</v>
      </c>
      <c r="AD517" t="s">
        <v>131</v>
      </c>
      <c r="AE517" t="s">
        <v>131</v>
      </c>
      <c r="AF517" t="s">
        <v>132</v>
      </c>
      <c r="AG517" t="s">
        <v>131</v>
      </c>
      <c r="AH517" t="s">
        <v>132</v>
      </c>
      <c r="AI517" t="s">
        <v>149</v>
      </c>
      <c r="AJ517" t="s">
        <v>1821</v>
      </c>
      <c r="AK517" t="s">
        <v>2100</v>
      </c>
      <c r="AL517" t="s">
        <v>227</v>
      </c>
      <c r="AM517" t="s">
        <v>43</v>
      </c>
      <c r="AN517" t="s">
        <v>9</v>
      </c>
      <c r="AO517" t="s">
        <v>522</v>
      </c>
      <c r="AP517" t="s">
        <v>523</v>
      </c>
      <c r="AQ517" t="s">
        <v>20</v>
      </c>
      <c r="AR517" t="s">
        <v>24</v>
      </c>
      <c r="AS517" t="s">
        <v>35</v>
      </c>
      <c r="AT517">
        <v>-7.0000000000000007E-2</v>
      </c>
      <c r="AU517" t="s">
        <v>129</v>
      </c>
      <c r="AV517" t="s">
        <v>130</v>
      </c>
    </row>
    <row r="518" spans="1:48" x14ac:dyDescent="0.3">
      <c r="A518" t="s">
        <v>2101</v>
      </c>
      <c r="B518" s="12">
        <v>45563</v>
      </c>
      <c r="C518" s="12">
        <v>45569</v>
      </c>
      <c r="D518" t="s">
        <v>2102</v>
      </c>
      <c r="E518" t="s">
        <v>409</v>
      </c>
      <c r="F518" t="s">
        <v>41</v>
      </c>
      <c r="G518" t="s">
        <v>9</v>
      </c>
      <c r="H518" t="s">
        <v>522</v>
      </c>
      <c r="I518" t="s">
        <v>523</v>
      </c>
      <c r="J518" t="s">
        <v>15</v>
      </c>
      <c r="K518" t="s">
        <v>16</v>
      </c>
      <c r="M518" t="s">
        <v>35</v>
      </c>
      <c r="N518">
        <v>1</v>
      </c>
      <c r="O518">
        <v>2233.1799999999998</v>
      </c>
      <c r="P518">
        <v>0</v>
      </c>
      <c r="Q518">
        <v>0</v>
      </c>
      <c r="R518">
        <v>2233.1799999999998</v>
      </c>
      <c r="S518">
        <v>1585.82</v>
      </c>
      <c r="T518">
        <v>2233.1799999999998</v>
      </c>
      <c r="U518">
        <v>647.36</v>
      </c>
      <c r="V518">
        <v>0.28988258895386798</v>
      </c>
      <c r="W518">
        <v>6</v>
      </c>
      <c r="X518" t="s">
        <v>196</v>
      </c>
      <c r="Y518">
        <v>2024</v>
      </c>
      <c r="Z518" t="s">
        <v>269</v>
      </c>
      <c r="AA518" t="s">
        <v>204</v>
      </c>
      <c r="AB518" t="s">
        <v>131</v>
      </c>
      <c r="AC518" t="s">
        <v>131</v>
      </c>
      <c r="AD518" t="s">
        <v>131</v>
      </c>
      <c r="AE518" t="s">
        <v>131</v>
      </c>
      <c r="AF518" t="s">
        <v>131</v>
      </c>
      <c r="AG518" t="s">
        <v>131</v>
      </c>
      <c r="AH518" t="s">
        <v>131</v>
      </c>
      <c r="AI518" t="s">
        <v>133</v>
      </c>
      <c r="AJ518" t="s">
        <v>2103</v>
      </c>
      <c r="AK518" t="s">
        <v>2104</v>
      </c>
      <c r="AL518" t="s">
        <v>409</v>
      </c>
      <c r="AM518" t="s">
        <v>41</v>
      </c>
      <c r="AN518" t="s">
        <v>9</v>
      </c>
      <c r="AO518" t="s">
        <v>522</v>
      </c>
      <c r="AP518" t="s">
        <v>523</v>
      </c>
      <c r="AQ518" t="s">
        <v>15</v>
      </c>
      <c r="AR518" t="s">
        <v>16</v>
      </c>
      <c r="AS518" t="s">
        <v>35</v>
      </c>
      <c r="AT518">
        <v>0</v>
      </c>
      <c r="AU518" t="s">
        <v>269</v>
      </c>
      <c r="AV518" t="s">
        <v>204</v>
      </c>
    </row>
    <row r="519" spans="1:48" x14ac:dyDescent="0.3">
      <c r="A519" t="s">
        <v>2105</v>
      </c>
      <c r="B519" s="12">
        <v>45802</v>
      </c>
      <c r="C519" s="12">
        <v>45804</v>
      </c>
      <c r="D519" t="s">
        <v>2106</v>
      </c>
      <c r="E519" t="s">
        <v>227</v>
      </c>
      <c r="F519" t="s">
        <v>42</v>
      </c>
      <c r="G519" t="s">
        <v>8</v>
      </c>
      <c r="H519" t="s">
        <v>140</v>
      </c>
      <c r="I519" t="s">
        <v>141</v>
      </c>
      <c r="J519" t="s">
        <v>18</v>
      </c>
      <c r="K519" t="s">
        <v>23</v>
      </c>
      <c r="M519" t="s">
        <v>37</v>
      </c>
      <c r="N519">
        <v>7</v>
      </c>
      <c r="O519">
        <v>2123.2800000000002</v>
      </c>
      <c r="P519">
        <v>0.2</v>
      </c>
      <c r="Q519">
        <v>0.2</v>
      </c>
      <c r="R519">
        <v>11890.37</v>
      </c>
      <c r="S519">
        <v>9234.5300000000007</v>
      </c>
      <c r="T519">
        <v>11890.368</v>
      </c>
      <c r="U519">
        <v>2655.8380000000002</v>
      </c>
      <c r="V519">
        <v>0.22336045444514399</v>
      </c>
      <c r="W519">
        <v>2</v>
      </c>
      <c r="X519" t="s">
        <v>173</v>
      </c>
      <c r="Y519">
        <v>2025</v>
      </c>
      <c r="Z519" t="s">
        <v>203</v>
      </c>
      <c r="AA519" t="s">
        <v>204</v>
      </c>
      <c r="AB519" t="s">
        <v>131</v>
      </c>
      <c r="AC519" t="s">
        <v>131</v>
      </c>
      <c r="AD519" t="s">
        <v>131</v>
      </c>
      <c r="AE519" t="s">
        <v>131</v>
      </c>
      <c r="AF519" t="s">
        <v>131</v>
      </c>
      <c r="AG519" t="s">
        <v>131</v>
      </c>
      <c r="AH519" t="s">
        <v>131</v>
      </c>
      <c r="AI519" t="s">
        <v>133</v>
      </c>
      <c r="AJ519" t="s">
        <v>2107</v>
      </c>
      <c r="AK519" t="s">
        <v>1461</v>
      </c>
      <c r="AL519" t="s">
        <v>227</v>
      </c>
      <c r="AM519" t="s">
        <v>42</v>
      </c>
      <c r="AN519" t="s">
        <v>8</v>
      </c>
      <c r="AO519" t="s">
        <v>140</v>
      </c>
      <c r="AP519" t="s">
        <v>141</v>
      </c>
      <c r="AQ519" t="s">
        <v>18</v>
      </c>
      <c r="AR519" t="s">
        <v>23</v>
      </c>
      <c r="AS519" t="s">
        <v>37</v>
      </c>
      <c r="AT519">
        <v>0.2</v>
      </c>
      <c r="AU519" t="s">
        <v>203</v>
      </c>
      <c r="AV519" t="s">
        <v>204</v>
      </c>
    </row>
    <row r="520" spans="1:48" x14ac:dyDescent="0.3">
      <c r="A520" t="s">
        <v>2108</v>
      </c>
      <c r="B520" s="12">
        <v>45777</v>
      </c>
      <c r="C520" s="12">
        <v>45773</v>
      </c>
      <c r="D520" t="s">
        <v>2109</v>
      </c>
      <c r="E520" t="s">
        <v>277</v>
      </c>
      <c r="F520" t="s">
        <v>43</v>
      </c>
      <c r="G520" t="s">
        <v>8</v>
      </c>
      <c r="H520" t="s">
        <v>140</v>
      </c>
      <c r="I520" t="s">
        <v>141</v>
      </c>
      <c r="J520" t="s">
        <v>18</v>
      </c>
      <c r="K520" t="s">
        <v>27</v>
      </c>
      <c r="M520" t="s">
        <v>36</v>
      </c>
      <c r="N520">
        <v>7</v>
      </c>
      <c r="O520">
        <v>1604.13</v>
      </c>
      <c r="P520">
        <v>0.25</v>
      </c>
      <c r="Q520">
        <v>0.25</v>
      </c>
      <c r="R520">
        <v>8421.68</v>
      </c>
      <c r="S520">
        <v>6534.47</v>
      </c>
      <c r="T520">
        <v>8421.6825000000008</v>
      </c>
      <c r="U520">
        <v>1887.2125000000001</v>
      </c>
      <c r="V520">
        <v>0.22408972316398801</v>
      </c>
      <c r="W520">
        <v>-4</v>
      </c>
      <c r="X520" t="s">
        <v>179</v>
      </c>
      <c r="Y520">
        <v>2025</v>
      </c>
      <c r="Z520" t="s">
        <v>129</v>
      </c>
      <c r="AA520" t="s">
        <v>165</v>
      </c>
      <c r="AB520" t="s">
        <v>131</v>
      </c>
      <c r="AC520" t="s">
        <v>131</v>
      </c>
      <c r="AD520" t="s">
        <v>131</v>
      </c>
      <c r="AE520" t="s">
        <v>132</v>
      </c>
      <c r="AF520" t="s">
        <v>131</v>
      </c>
      <c r="AG520" t="s">
        <v>131</v>
      </c>
      <c r="AH520" t="s">
        <v>131</v>
      </c>
      <c r="AI520" t="s">
        <v>149</v>
      </c>
      <c r="AJ520" t="s">
        <v>2016</v>
      </c>
      <c r="AK520" t="s">
        <v>2110</v>
      </c>
      <c r="AL520" t="s">
        <v>277</v>
      </c>
      <c r="AM520" t="s">
        <v>43</v>
      </c>
      <c r="AN520" t="s">
        <v>8</v>
      </c>
      <c r="AO520" t="s">
        <v>140</v>
      </c>
      <c r="AP520" t="s">
        <v>141</v>
      </c>
      <c r="AQ520" t="s">
        <v>18</v>
      </c>
      <c r="AR520" t="s">
        <v>27</v>
      </c>
      <c r="AS520" t="s">
        <v>36</v>
      </c>
      <c r="AT520">
        <v>0.25</v>
      </c>
      <c r="AU520" t="s">
        <v>129</v>
      </c>
      <c r="AV520" t="s">
        <v>165</v>
      </c>
    </row>
    <row r="521" spans="1:48" x14ac:dyDescent="0.3">
      <c r="A521" t="s">
        <v>2111</v>
      </c>
      <c r="B521" s="12">
        <v>45841</v>
      </c>
      <c r="C521" s="12">
        <v>45845</v>
      </c>
      <c r="D521" t="s">
        <v>2112</v>
      </c>
      <c r="E521" t="s">
        <v>221</v>
      </c>
      <c r="F521" t="s">
        <v>42</v>
      </c>
      <c r="G521" t="s">
        <v>9</v>
      </c>
      <c r="H521" t="s">
        <v>249</v>
      </c>
      <c r="I521" t="s">
        <v>250</v>
      </c>
      <c r="J521" t="s">
        <v>18</v>
      </c>
      <c r="K521" t="s">
        <v>27</v>
      </c>
      <c r="M521" t="s">
        <v>35</v>
      </c>
      <c r="N521">
        <v>4</v>
      </c>
      <c r="O521">
        <v>4365.21</v>
      </c>
      <c r="P521">
        <v>0.2</v>
      </c>
      <c r="Q521">
        <v>0.2</v>
      </c>
      <c r="R521">
        <v>13968.67</v>
      </c>
      <c r="S521">
        <v>8857.58</v>
      </c>
      <c r="T521">
        <v>13968.672</v>
      </c>
      <c r="U521">
        <v>5111.0919999999996</v>
      </c>
      <c r="V521">
        <v>0.36589677243477398</v>
      </c>
      <c r="W521">
        <v>4</v>
      </c>
      <c r="X521" t="s">
        <v>128</v>
      </c>
      <c r="Y521">
        <v>2025</v>
      </c>
      <c r="Z521" t="s">
        <v>215</v>
      </c>
      <c r="AA521" t="s">
        <v>165</v>
      </c>
      <c r="AB521" t="s">
        <v>131</v>
      </c>
      <c r="AC521" t="s">
        <v>131</v>
      </c>
      <c r="AD521" t="s">
        <v>131</v>
      </c>
      <c r="AE521" t="s">
        <v>131</v>
      </c>
      <c r="AF521" t="s">
        <v>131</v>
      </c>
      <c r="AG521" t="s">
        <v>131</v>
      </c>
      <c r="AH521" t="s">
        <v>131</v>
      </c>
      <c r="AI521" t="s">
        <v>133</v>
      </c>
      <c r="AJ521" t="s">
        <v>423</v>
      </c>
      <c r="AK521" t="s">
        <v>2113</v>
      </c>
      <c r="AL521" t="s">
        <v>221</v>
      </c>
      <c r="AM521" t="s">
        <v>42</v>
      </c>
      <c r="AN521" t="s">
        <v>9</v>
      </c>
      <c r="AO521" t="s">
        <v>249</v>
      </c>
      <c r="AP521" t="s">
        <v>250</v>
      </c>
      <c r="AQ521" t="s">
        <v>18</v>
      </c>
      <c r="AR521" t="s">
        <v>27</v>
      </c>
      <c r="AS521" t="s">
        <v>35</v>
      </c>
      <c r="AT521">
        <v>0.2</v>
      </c>
      <c r="AU521" t="s">
        <v>215</v>
      </c>
      <c r="AV521" t="s">
        <v>165</v>
      </c>
    </row>
    <row r="522" spans="1:48" x14ac:dyDescent="0.3">
      <c r="A522" t="s">
        <v>2114</v>
      </c>
      <c r="B522" s="12">
        <v>45489</v>
      </c>
      <c r="C522" s="12">
        <v>45496</v>
      </c>
      <c r="D522" t="s">
        <v>2115</v>
      </c>
      <c r="E522" t="s">
        <v>238</v>
      </c>
      <c r="F522" t="s">
        <v>41</v>
      </c>
      <c r="G522" t="s">
        <v>6</v>
      </c>
      <c r="H522" t="s">
        <v>294</v>
      </c>
      <c r="I522" t="s">
        <v>295</v>
      </c>
      <c r="J522" t="s">
        <v>15</v>
      </c>
      <c r="K522" t="s">
        <v>25</v>
      </c>
      <c r="M522" t="s">
        <v>38</v>
      </c>
      <c r="N522">
        <v>1</v>
      </c>
      <c r="O522">
        <v>1695.91</v>
      </c>
      <c r="P522">
        <v>0.05</v>
      </c>
      <c r="Q522">
        <v>0.05</v>
      </c>
      <c r="R522">
        <v>1611.11</v>
      </c>
      <c r="S522">
        <v>895.15</v>
      </c>
      <c r="T522">
        <v>1611.1144999999999</v>
      </c>
      <c r="U522">
        <v>715.96450000000004</v>
      </c>
      <c r="V522">
        <v>0.444390823867577</v>
      </c>
      <c r="W522">
        <v>7</v>
      </c>
      <c r="X522" t="s">
        <v>128</v>
      </c>
      <c r="Y522">
        <v>2024</v>
      </c>
      <c r="Z522" t="s">
        <v>129</v>
      </c>
      <c r="AA522" t="s">
        <v>130</v>
      </c>
      <c r="AB522" t="s">
        <v>131</v>
      </c>
      <c r="AC522" t="s">
        <v>131</v>
      </c>
      <c r="AD522" t="s">
        <v>131</v>
      </c>
      <c r="AE522" t="s">
        <v>131</v>
      </c>
      <c r="AF522" t="s">
        <v>131</v>
      </c>
      <c r="AG522" t="s">
        <v>131</v>
      </c>
      <c r="AH522" t="s">
        <v>132</v>
      </c>
      <c r="AI522" t="s">
        <v>133</v>
      </c>
      <c r="AJ522" t="s">
        <v>1008</v>
      </c>
      <c r="AK522" t="s">
        <v>2116</v>
      </c>
      <c r="AL522" t="s">
        <v>238</v>
      </c>
      <c r="AM522" t="s">
        <v>41</v>
      </c>
      <c r="AN522" t="s">
        <v>6</v>
      </c>
      <c r="AO522" t="s">
        <v>294</v>
      </c>
      <c r="AP522" t="s">
        <v>295</v>
      </c>
      <c r="AQ522" t="s">
        <v>15</v>
      </c>
      <c r="AR522" t="s">
        <v>25</v>
      </c>
      <c r="AS522" t="s">
        <v>38</v>
      </c>
      <c r="AT522">
        <v>0.05</v>
      </c>
      <c r="AU522" t="s">
        <v>129</v>
      </c>
      <c r="AV522" t="s">
        <v>130</v>
      </c>
    </row>
    <row r="523" spans="1:48" x14ac:dyDescent="0.3">
      <c r="A523" t="s">
        <v>2117</v>
      </c>
      <c r="B523" s="12">
        <v>45741</v>
      </c>
      <c r="C523" s="12">
        <v>45748</v>
      </c>
      <c r="D523" t="s">
        <v>2118</v>
      </c>
      <c r="E523" t="s">
        <v>277</v>
      </c>
      <c r="F523" t="s">
        <v>42</v>
      </c>
      <c r="G523" t="s">
        <v>9</v>
      </c>
      <c r="H523" t="s">
        <v>232</v>
      </c>
      <c r="I523" t="s">
        <v>233</v>
      </c>
      <c r="J523" t="s">
        <v>20</v>
      </c>
      <c r="K523" t="s">
        <v>30</v>
      </c>
      <c r="M523" t="s">
        <v>37</v>
      </c>
      <c r="N523">
        <v>6</v>
      </c>
      <c r="O523">
        <v>2192.11</v>
      </c>
      <c r="P523">
        <v>0.05</v>
      </c>
      <c r="Q523">
        <v>0.05</v>
      </c>
      <c r="R523">
        <v>12495.03</v>
      </c>
      <c r="S523">
        <v>9184.52</v>
      </c>
      <c r="T523">
        <v>12495.027</v>
      </c>
      <c r="U523">
        <v>3310.5070000000001</v>
      </c>
      <c r="V523">
        <v>0.26494596610315402</v>
      </c>
      <c r="W523">
        <v>7</v>
      </c>
      <c r="X523" t="s">
        <v>278</v>
      </c>
      <c r="Y523">
        <v>2025</v>
      </c>
      <c r="Z523" t="s">
        <v>129</v>
      </c>
      <c r="AA523" t="s">
        <v>130</v>
      </c>
      <c r="AB523" t="s">
        <v>131</v>
      </c>
      <c r="AC523" t="s">
        <v>131</v>
      </c>
      <c r="AD523" t="s">
        <v>131</v>
      </c>
      <c r="AE523" t="s">
        <v>131</v>
      </c>
      <c r="AF523" t="s">
        <v>131</v>
      </c>
      <c r="AG523" t="s">
        <v>131</v>
      </c>
      <c r="AH523" t="s">
        <v>132</v>
      </c>
      <c r="AI523" t="s">
        <v>133</v>
      </c>
      <c r="AJ523" t="s">
        <v>2119</v>
      </c>
      <c r="AK523" t="s">
        <v>2120</v>
      </c>
      <c r="AL523" t="s">
        <v>277</v>
      </c>
      <c r="AM523" t="s">
        <v>42</v>
      </c>
      <c r="AN523" t="s">
        <v>9</v>
      </c>
      <c r="AO523" t="s">
        <v>232</v>
      </c>
      <c r="AP523" t="s">
        <v>233</v>
      </c>
      <c r="AQ523" t="s">
        <v>20</v>
      </c>
      <c r="AR523" t="s">
        <v>30</v>
      </c>
      <c r="AS523" t="s">
        <v>37</v>
      </c>
      <c r="AT523">
        <v>0.05</v>
      </c>
      <c r="AU523" t="s">
        <v>129</v>
      </c>
      <c r="AV523" t="s">
        <v>130</v>
      </c>
    </row>
    <row r="524" spans="1:48" x14ac:dyDescent="0.3">
      <c r="A524" t="s">
        <v>2121</v>
      </c>
      <c r="B524" s="12">
        <v>45716</v>
      </c>
      <c r="C524" s="12">
        <v>45724</v>
      </c>
      <c r="D524" t="s">
        <v>2122</v>
      </c>
      <c r="E524" t="s">
        <v>178</v>
      </c>
      <c r="F524" t="s">
        <v>44</v>
      </c>
      <c r="G524" t="s">
        <v>8</v>
      </c>
      <c r="H524" t="s">
        <v>362</v>
      </c>
      <c r="I524" t="s">
        <v>363</v>
      </c>
      <c r="J524" t="s">
        <v>15</v>
      </c>
      <c r="K524" t="s">
        <v>17</v>
      </c>
      <c r="M524" t="s">
        <v>36</v>
      </c>
      <c r="N524">
        <v>9</v>
      </c>
      <c r="O524">
        <v>3670.54</v>
      </c>
      <c r="P524">
        <v>0</v>
      </c>
      <c r="Q524">
        <v>0</v>
      </c>
      <c r="R524">
        <v>33034.86</v>
      </c>
      <c r="S524">
        <v>24539.83</v>
      </c>
      <c r="T524">
        <v>33034.86</v>
      </c>
      <c r="U524">
        <v>8495.0300000000007</v>
      </c>
      <c r="V524">
        <v>0.25715350390466302</v>
      </c>
      <c r="W524">
        <v>8</v>
      </c>
      <c r="X524" t="s">
        <v>186</v>
      </c>
      <c r="Y524">
        <v>2025</v>
      </c>
      <c r="Z524" t="s">
        <v>129</v>
      </c>
      <c r="AA524" t="s">
        <v>130</v>
      </c>
      <c r="AB524" t="s">
        <v>131</v>
      </c>
      <c r="AC524" t="s">
        <v>131</v>
      </c>
      <c r="AD524" t="s">
        <v>131</v>
      </c>
      <c r="AE524" t="s">
        <v>131</v>
      </c>
      <c r="AF524" t="s">
        <v>131</v>
      </c>
      <c r="AG524" t="s">
        <v>131</v>
      </c>
      <c r="AH524" t="s">
        <v>132</v>
      </c>
      <c r="AI524" t="s">
        <v>133</v>
      </c>
      <c r="AJ524" t="s">
        <v>2123</v>
      </c>
      <c r="AK524" t="s">
        <v>1963</v>
      </c>
      <c r="AL524" t="s">
        <v>178</v>
      </c>
      <c r="AM524" t="s">
        <v>44</v>
      </c>
      <c r="AN524" t="s">
        <v>8</v>
      </c>
      <c r="AO524" t="s">
        <v>362</v>
      </c>
      <c r="AP524" t="s">
        <v>363</v>
      </c>
      <c r="AQ524" t="s">
        <v>15</v>
      </c>
      <c r="AR524" t="s">
        <v>17</v>
      </c>
      <c r="AS524" t="s">
        <v>36</v>
      </c>
      <c r="AT524">
        <v>0</v>
      </c>
      <c r="AU524" t="s">
        <v>129</v>
      </c>
      <c r="AV524" t="s">
        <v>130</v>
      </c>
    </row>
    <row r="525" spans="1:48" x14ac:dyDescent="0.3">
      <c r="A525" t="s">
        <v>2124</v>
      </c>
      <c r="B525" s="12">
        <v>45384</v>
      </c>
      <c r="C525" s="12">
        <v>45385</v>
      </c>
      <c r="D525" t="s">
        <v>2125</v>
      </c>
      <c r="E525" t="s">
        <v>409</v>
      </c>
      <c r="F525" t="s">
        <v>41</v>
      </c>
      <c r="G525" t="s">
        <v>7</v>
      </c>
      <c r="H525" t="s">
        <v>311</v>
      </c>
      <c r="I525" t="s">
        <v>312</v>
      </c>
      <c r="J525" t="s">
        <v>20</v>
      </c>
      <c r="K525" t="s">
        <v>24</v>
      </c>
      <c r="M525" t="s">
        <v>37</v>
      </c>
      <c r="N525">
        <v>2</v>
      </c>
      <c r="O525">
        <v>2902.63</v>
      </c>
      <c r="P525">
        <v>0</v>
      </c>
      <c r="Q525">
        <v>0</v>
      </c>
      <c r="R525">
        <v>5805.26</v>
      </c>
      <c r="S525">
        <v>4654.3599999999997</v>
      </c>
      <c r="T525">
        <v>5805.26</v>
      </c>
      <c r="U525">
        <v>1150.9000000000001</v>
      </c>
      <c r="V525">
        <v>0.19825124111581599</v>
      </c>
      <c r="W525">
        <v>1</v>
      </c>
      <c r="X525" t="s">
        <v>179</v>
      </c>
      <c r="Y525">
        <v>2024</v>
      </c>
      <c r="Z525" t="s">
        <v>129</v>
      </c>
      <c r="AA525" t="s">
        <v>204</v>
      </c>
      <c r="AB525" t="s">
        <v>131</v>
      </c>
      <c r="AC525" t="s">
        <v>131</v>
      </c>
      <c r="AD525" t="s">
        <v>131</v>
      </c>
      <c r="AE525" t="s">
        <v>131</v>
      </c>
      <c r="AF525" t="s">
        <v>131</v>
      </c>
      <c r="AG525" t="s">
        <v>131</v>
      </c>
      <c r="AH525" t="s">
        <v>131</v>
      </c>
      <c r="AI525" t="s">
        <v>133</v>
      </c>
      <c r="AJ525" t="s">
        <v>2126</v>
      </c>
      <c r="AK525" t="s">
        <v>2127</v>
      </c>
      <c r="AL525" t="s">
        <v>409</v>
      </c>
      <c r="AM525" t="s">
        <v>41</v>
      </c>
      <c r="AN525" t="s">
        <v>7</v>
      </c>
      <c r="AO525" t="s">
        <v>311</v>
      </c>
      <c r="AP525" t="s">
        <v>312</v>
      </c>
      <c r="AQ525" t="s">
        <v>20</v>
      </c>
      <c r="AR525" t="s">
        <v>24</v>
      </c>
      <c r="AS525" t="s">
        <v>37</v>
      </c>
      <c r="AT525">
        <v>0</v>
      </c>
      <c r="AU525" t="s">
        <v>129</v>
      </c>
      <c r="AV525" t="s">
        <v>204</v>
      </c>
    </row>
    <row r="526" spans="1:48" x14ac:dyDescent="0.3">
      <c r="A526" t="s">
        <v>2128</v>
      </c>
      <c r="B526" s="12">
        <v>45626</v>
      </c>
      <c r="C526" s="12">
        <v>45627</v>
      </c>
      <c r="D526" t="s">
        <v>2129</v>
      </c>
      <c r="E526" t="s">
        <v>162</v>
      </c>
      <c r="F526" t="s">
        <v>43</v>
      </c>
      <c r="G526" t="s">
        <v>7</v>
      </c>
      <c r="H526" t="s">
        <v>300</v>
      </c>
      <c r="I526" t="s">
        <v>301</v>
      </c>
      <c r="J526" t="s">
        <v>18</v>
      </c>
      <c r="K526" t="s">
        <v>19</v>
      </c>
      <c r="M526" t="s">
        <v>36</v>
      </c>
      <c r="N526">
        <v>9</v>
      </c>
      <c r="O526">
        <v>4207.3599999999997</v>
      </c>
      <c r="P526">
        <v>0.1</v>
      </c>
      <c r="Q526">
        <v>0.1</v>
      </c>
      <c r="R526">
        <v>34079.620000000003</v>
      </c>
      <c r="S526">
        <v>21871.39</v>
      </c>
      <c r="T526">
        <v>34079.616000000002</v>
      </c>
      <c r="U526">
        <v>12208.226000000001</v>
      </c>
      <c r="V526">
        <v>0.35822663025311102</v>
      </c>
      <c r="W526">
        <v>1</v>
      </c>
      <c r="X526" t="s">
        <v>157</v>
      </c>
      <c r="Y526">
        <v>2024</v>
      </c>
      <c r="Z526" t="s">
        <v>129</v>
      </c>
      <c r="AA526" t="s">
        <v>130</v>
      </c>
      <c r="AB526" t="s">
        <v>131</v>
      </c>
      <c r="AC526" t="s">
        <v>131</v>
      </c>
      <c r="AD526" t="s">
        <v>131</v>
      </c>
      <c r="AE526" t="s">
        <v>131</v>
      </c>
      <c r="AF526" t="s">
        <v>131</v>
      </c>
      <c r="AG526" t="s">
        <v>131</v>
      </c>
      <c r="AH526" t="s">
        <v>132</v>
      </c>
      <c r="AI526" t="s">
        <v>133</v>
      </c>
      <c r="AJ526" t="s">
        <v>2130</v>
      </c>
      <c r="AK526" t="s">
        <v>2131</v>
      </c>
      <c r="AL526" t="s">
        <v>162</v>
      </c>
      <c r="AM526" t="s">
        <v>43</v>
      </c>
      <c r="AN526" t="s">
        <v>7</v>
      </c>
      <c r="AO526" t="s">
        <v>300</v>
      </c>
      <c r="AP526" t="s">
        <v>301</v>
      </c>
      <c r="AQ526" t="s">
        <v>18</v>
      </c>
      <c r="AR526" t="s">
        <v>19</v>
      </c>
      <c r="AS526" t="s">
        <v>36</v>
      </c>
      <c r="AT526">
        <v>0.1</v>
      </c>
      <c r="AU526" t="s">
        <v>129</v>
      </c>
      <c r="AV526" t="s">
        <v>130</v>
      </c>
    </row>
    <row r="527" spans="1:48" x14ac:dyDescent="0.3">
      <c r="A527" t="s">
        <v>2132</v>
      </c>
      <c r="B527" s="12">
        <v>45582</v>
      </c>
      <c r="C527" s="12">
        <v>45582</v>
      </c>
      <c r="D527" t="s">
        <v>2133</v>
      </c>
      <c r="E527" t="s">
        <v>221</v>
      </c>
      <c r="F527" t="s">
        <v>41</v>
      </c>
      <c r="G527" t="s">
        <v>8</v>
      </c>
      <c r="H527" t="s">
        <v>201</v>
      </c>
      <c r="I527" t="s">
        <v>202</v>
      </c>
      <c r="J527" t="s">
        <v>18</v>
      </c>
      <c r="K527" t="s">
        <v>19</v>
      </c>
      <c r="M527" t="s">
        <v>35</v>
      </c>
      <c r="N527">
        <v>5</v>
      </c>
      <c r="O527">
        <v>2524.4</v>
      </c>
      <c r="P527">
        <v>0.1</v>
      </c>
      <c r="Q527">
        <v>0.1</v>
      </c>
      <c r="R527">
        <v>11359.8</v>
      </c>
      <c r="S527">
        <v>7062.44</v>
      </c>
      <c r="T527">
        <v>11359.8</v>
      </c>
      <c r="U527">
        <v>4297.3599999999997</v>
      </c>
      <c r="V527">
        <v>0.37829539252451599</v>
      </c>
      <c r="W527">
        <v>0</v>
      </c>
      <c r="X527" t="s">
        <v>222</v>
      </c>
      <c r="Y527">
        <v>2024</v>
      </c>
      <c r="Z527" t="s">
        <v>129</v>
      </c>
      <c r="AA527" t="s">
        <v>130</v>
      </c>
      <c r="AB527" t="s">
        <v>131</v>
      </c>
      <c r="AC527" t="s">
        <v>131</v>
      </c>
      <c r="AD527" t="s">
        <v>131</v>
      </c>
      <c r="AE527" t="s">
        <v>131</v>
      </c>
      <c r="AF527" t="s">
        <v>131</v>
      </c>
      <c r="AG527" t="s">
        <v>131</v>
      </c>
      <c r="AH527" t="s">
        <v>132</v>
      </c>
      <c r="AI527" t="s">
        <v>133</v>
      </c>
      <c r="AJ527" t="s">
        <v>2134</v>
      </c>
      <c r="AK527" t="s">
        <v>2135</v>
      </c>
      <c r="AL527" t="s">
        <v>221</v>
      </c>
      <c r="AM527" t="s">
        <v>41</v>
      </c>
      <c r="AN527" t="s">
        <v>8</v>
      </c>
      <c r="AO527" t="s">
        <v>201</v>
      </c>
      <c r="AP527" t="s">
        <v>202</v>
      </c>
      <c r="AQ527" t="s">
        <v>18</v>
      </c>
      <c r="AR527" t="s">
        <v>19</v>
      </c>
      <c r="AS527" t="s">
        <v>35</v>
      </c>
      <c r="AT527">
        <v>0.1</v>
      </c>
      <c r="AU527" t="s">
        <v>129</v>
      </c>
      <c r="AV527" t="s">
        <v>130</v>
      </c>
    </row>
    <row r="528" spans="1:48" x14ac:dyDescent="0.3">
      <c r="A528" t="s">
        <v>2136</v>
      </c>
      <c r="B528" s="12">
        <v>45856</v>
      </c>
      <c r="C528" s="12">
        <v>45859</v>
      </c>
      <c r="D528" t="s">
        <v>2137</v>
      </c>
      <c r="E528" t="s">
        <v>221</v>
      </c>
      <c r="F528" t="s">
        <v>42</v>
      </c>
      <c r="G528" t="s">
        <v>8</v>
      </c>
      <c r="H528" t="s">
        <v>140</v>
      </c>
      <c r="I528" t="s">
        <v>141</v>
      </c>
      <c r="J528" t="s">
        <v>18</v>
      </c>
      <c r="K528" t="s">
        <v>27</v>
      </c>
      <c r="M528" t="s">
        <v>37</v>
      </c>
      <c r="N528">
        <v>4</v>
      </c>
      <c r="O528">
        <v>284.04000000000002</v>
      </c>
      <c r="Q528">
        <v>0</v>
      </c>
      <c r="R528">
        <v>908.93</v>
      </c>
      <c r="S528">
        <v>572.08000000000004</v>
      </c>
      <c r="T528">
        <v>1136.1600000000001</v>
      </c>
      <c r="U528">
        <v>564.08000000000004</v>
      </c>
      <c r="V528">
        <v>0.49647936910294299</v>
      </c>
      <c r="W528">
        <v>3</v>
      </c>
      <c r="X528" t="s">
        <v>128</v>
      </c>
      <c r="Y528">
        <v>2025</v>
      </c>
      <c r="Z528" t="s">
        <v>129</v>
      </c>
      <c r="AA528" t="s">
        <v>130</v>
      </c>
      <c r="AB528" t="s">
        <v>131</v>
      </c>
      <c r="AC528" t="s">
        <v>131</v>
      </c>
      <c r="AD528" t="s">
        <v>132</v>
      </c>
      <c r="AE528" t="s">
        <v>131</v>
      </c>
      <c r="AF528" t="s">
        <v>131</v>
      </c>
      <c r="AG528" t="s">
        <v>131</v>
      </c>
      <c r="AH528" t="s">
        <v>132</v>
      </c>
      <c r="AI528" t="s">
        <v>321</v>
      </c>
      <c r="AJ528" t="s">
        <v>2138</v>
      </c>
      <c r="AK528" t="s">
        <v>2139</v>
      </c>
      <c r="AL528" t="s">
        <v>221</v>
      </c>
      <c r="AM528" t="s">
        <v>42</v>
      </c>
      <c r="AN528" t="s">
        <v>8</v>
      </c>
      <c r="AO528" t="s">
        <v>140</v>
      </c>
      <c r="AP528" t="s">
        <v>141</v>
      </c>
      <c r="AQ528" t="s">
        <v>18</v>
      </c>
      <c r="AR528" t="s">
        <v>27</v>
      </c>
      <c r="AS528" t="s">
        <v>37</v>
      </c>
      <c r="AU528" t="s">
        <v>129</v>
      </c>
      <c r="AV528" t="s">
        <v>130</v>
      </c>
    </row>
    <row r="529" spans="1:48" x14ac:dyDescent="0.3">
      <c r="A529" t="s">
        <v>2140</v>
      </c>
      <c r="B529" s="12">
        <v>45931</v>
      </c>
      <c r="C529" s="12">
        <v>45935</v>
      </c>
      <c r="D529" t="s">
        <v>2141</v>
      </c>
      <c r="E529" t="s">
        <v>191</v>
      </c>
      <c r="F529" t="s">
        <v>41</v>
      </c>
      <c r="G529" t="s">
        <v>9</v>
      </c>
      <c r="H529" t="s">
        <v>372</v>
      </c>
      <c r="I529" t="s">
        <v>373</v>
      </c>
      <c r="J529" t="s">
        <v>20</v>
      </c>
      <c r="K529" t="s">
        <v>24</v>
      </c>
      <c r="M529" t="s">
        <v>36</v>
      </c>
      <c r="N529">
        <v>5</v>
      </c>
      <c r="O529">
        <v>3247.56</v>
      </c>
      <c r="P529">
        <v>0.15</v>
      </c>
      <c r="Q529">
        <v>0.15</v>
      </c>
      <c r="R529">
        <v>13802.13</v>
      </c>
      <c r="S529">
        <v>10075.93</v>
      </c>
      <c r="T529">
        <v>13802.13</v>
      </c>
      <c r="U529">
        <v>3726.2</v>
      </c>
      <c r="V529">
        <v>0.26997282303528503</v>
      </c>
      <c r="W529">
        <v>4</v>
      </c>
      <c r="X529" t="s">
        <v>222</v>
      </c>
      <c r="Y529">
        <v>2025</v>
      </c>
      <c r="Z529" t="s">
        <v>129</v>
      </c>
      <c r="AA529" t="s">
        <v>130</v>
      </c>
      <c r="AB529" t="s">
        <v>131</v>
      </c>
      <c r="AC529" t="s">
        <v>131</v>
      </c>
      <c r="AD529" t="s">
        <v>131</v>
      </c>
      <c r="AE529" t="s">
        <v>131</v>
      </c>
      <c r="AF529" t="s">
        <v>131</v>
      </c>
      <c r="AG529" t="s">
        <v>131</v>
      </c>
      <c r="AH529" t="s">
        <v>132</v>
      </c>
      <c r="AI529" t="s">
        <v>133</v>
      </c>
      <c r="AJ529" t="s">
        <v>2142</v>
      </c>
      <c r="AK529" t="s">
        <v>2143</v>
      </c>
      <c r="AL529" t="s">
        <v>191</v>
      </c>
      <c r="AM529" t="s">
        <v>41</v>
      </c>
      <c r="AN529" t="s">
        <v>9</v>
      </c>
      <c r="AO529" t="s">
        <v>372</v>
      </c>
      <c r="AP529" t="s">
        <v>373</v>
      </c>
      <c r="AQ529" t="s">
        <v>20</v>
      </c>
      <c r="AR529" t="s">
        <v>24</v>
      </c>
      <c r="AS529" t="s">
        <v>36</v>
      </c>
      <c r="AT529">
        <v>0.15</v>
      </c>
      <c r="AU529" t="s">
        <v>129</v>
      </c>
      <c r="AV529" t="s">
        <v>130</v>
      </c>
    </row>
    <row r="530" spans="1:48" x14ac:dyDescent="0.3">
      <c r="A530" t="s">
        <v>2144</v>
      </c>
      <c r="B530" s="12">
        <v>45572</v>
      </c>
      <c r="C530" s="12">
        <v>45574</v>
      </c>
      <c r="D530" t="s">
        <v>2145</v>
      </c>
      <c r="E530" t="s">
        <v>277</v>
      </c>
      <c r="F530" t="s">
        <v>42</v>
      </c>
      <c r="G530" t="s">
        <v>6</v>
      </c>
      <c r="H530" t="s">
        <v>385</v>
      </c>
      <c r="I530" t="s">
        <v>386</v>
      </c>
      <c r="J530" t="s">
        <v>20</v>
      </c>
      <c r="K530" t="s">
        <v>28</v>
      </c>
      <c r="M530" t="s">
        <v>35</v>
      </c>
      <c r="N530">
        <v>9</v>
      </c>
      <c r="O530">
        <v>3457.09</v>
      </c>
      <c r="P530">
        <v>0.05</v>
      </c>
      <c r="Q530">
        <v>0.05</v>
      </c>
      <c r="R530">
        <v>29558.12</v>
      </c>
      <c r="S530">
        <v>21302.13</v>
      </c>
      <c r="T530">
        <v>29558.119500000001</v>
      </c>
      <c r="U530">
        <v>8255.9894999999997</v>
      </c>
      <c r="V530">
        <v>0.27931376013281201</v>
      </c>
      <c r="W530">
        <v>2</v>
      </c>
      <c r="X530" t="s">
        <v>222</v>
      </c>
      <c r="Y530">
        <v>2024</v>
      </c>
      <c r="Z530" t="s">
        <v>215</v>
      </c>
      <c r="AA530" t="s">
        <v>204</v>
      </c>
      <c r="AB530" t="s">
        <v>131</v>
      </c>
      <c r="AC530" t="s">
        <v>131</v>
      </c>
      <c r="AD530" t="s">
        <v>131</v>
      </c>
      <c r="AE530" t="s">
        <v>131</v>
      </c>
      <c r="AF530" t="s">
        <v>131</v>
      </c>
      <c r="AG530" t="s">
        <v>131</v>
      </c>
      <c r="AH530" t="s">
        <v>131</v>
      </c>
      <c r="AI530" t="s">
        <v>133</v>
      </c>
      <c r="AJ530" t="s">
        <v>2146</v>
      </c>
      <c r="AK530" t="s">
        <v>2147</v>
      </c>
      <c r="AL530" t="s">
        <v>277</v>
      </c>
      <c r="AM530" t="s">
        <v>42</v>
      </c>
      <c r="AN530" t="s">
        <v>6</v>
      </c>
      <c r="AO530" t="s">
        <v>385</v>
      </c>
      <c r="AP530" t="s">
        <v>386</v>
      </c>
      <c r="AQ530" t="s">
        <v>20</v>
      </c>
      <c r="AR530" t="s">
        <v>28</v>
      </c>
      <c r="AS530" t="s">
        <v>35</v>
      </c>
      <c r="AT530">
        <v>0.05</v>
      </c>
      <c r="AU530" t="s">
        <v>215</v>
      </c>
      <c r="AV530" t="s">
        <v>204</v>
      </c>
    </row>
    <row r="531" spans="1:48" x14ac:dyDescent="0.3">
      <c r="A531" t="s">
        <v>2148</v>
      </c>
      <c r="B531" s="12">
        <v>45328</v>
      </c>
      <c r="C531" s="12">
        <v>45330</v>
      </c>
      <c r="D531" t="s">
        <v>1006</v>
      </c>
      <c r="E531" t="s">
        <v>125</v>
      </c>
      <c r="F531" t="s">
        <v>42</v>
      </c>
      <c r="G531" t="s">
        <v>8</v>
      </c>
      <c r="H531" t="s">
        <v>362</v>
      </c>
      <c r="I531" t="s">
        <v>363</v>
      </c>
      <c r="J531" t="s">
        <v>18</v>
      </c>
      <c r="K531" t="s">
        <v>26</v>
      </c>
      <c r="M531" t="s">
        <v>37</v>
      </c>
      <c r="N531">
        <v>9</v>
      </c>
      <c r="O531">
        <v>1822.25</v>
      </c>
      <c r="P531">
        <v>0</v>
      </c>
      <c r="Q531">
        <v>0</v>
      </c>
      <c r="R531">
        <v>16400.25</v>
      </c>
      <c r="S531">
        <v>12146.96</v>
      </c>
      <c r="T531">
        <v>16400.25</v>
      </c>
      <c r="U531">
        <v>4253.29</v>
      </c>
      <c r="V531">
        <v>0.25934299782015502</v>
      </c>
      <c r="W531">
        <v>2</v>
      </c>
      <c r="X531" t="s">
        <v>186</v>
      </c>
      <c r="Y531">
        <v>2024</v>
      </c>
      <c r="Z531" t="s">
        <v>129</v>
      </c>
      <c r="AA531" t="s">
        <v>130</v>
      </c>
      <c r="AB531" t="s">
        <v>131</v>
      </c>
      <c r="AC531" t="s">
        <v>131</v>
      </c>
      <c r="AD531" t="s">
        <v>131</v>
      </c>
      <c r="AE531" t="s">
        <v>131</v>
      </c>
      <c r="AF531" t="s">
        <v>131</v>
      </c>
      <c r="AG531" t="s">
        <v>131</v>
      </c>
      <c r="AH531" t="s">
        <v>132</v>
      </c>
      <c r="AI531" t="s">
        <v>133</v>
      </c>
      <c r="AJ531" t="s">
        <v>1929</v>
      </c>
      <c r="AK531" t="s">
        <v>2149</v>
      </c>
      <c r="AL531" t="s">
        <v>125</v>
      </c>
      <c r="AM531" t="s">
        <v>42</v>
      </c>
      <c r="AN531" t="s">
        <v>8</v>
      </c>
      <c r="AO531" t="s">
        <v>362</v>
      </c>
      <c r="AP531" t="s">
        <v>363</v>
      </c>
      <c r="AQ531" t="s">
        <v>18</v>
      </c>
      <c r="AR531" t="s">
        <v>26</v>
      </c>
      <c r="AS531" t="s">
        <v>37</v>
      </c>
      <c r="AT531">
        <v>0</v>
      </c>
      <c r="AU531" t="s">
        <v>129</v>
      </c>
      <c r="AV531" t="s">
        <v>130</v>
      </c>
    </row>
    <row r="532" spans="1:48" x14ac:dyDescent="0.3">
      <c r="A532" t="s">
        <v>2150</v>
      </c>
      <c r="B532" s="12">
        <v>45807</v>
      </c>
      <c r="C532" s="12">
        <v>45809</v>
      </c>
      <c r="D532" t="s">
        <v>2151</v>
      </c>
      <c r="E532" t="s">
        <v>227</v>
      </c>
      <c r="F532" t="s">
        <v>41</v>
      </c>
      <c r="G532" t="s">
        <v>6</v>
      </c>
      <c r="H532" t="s">
        <v>385</v>
      </c>
      <c r="I532" t="s">
        <v>386</v>
      </c>
      <c r="J532" t="s">
        <v>20</v>
      </c>
      <c r="K532" t="s">
        <v>28</v>
      </c>
      <c r="M532" t="s">
        <v>35</v>
      </c>
      <c r="N532">
        <v>9</v>
      </c>
      <c r="O532">
        <v>1994.51</v>
      </c>
      <c r="P532">
        <v>0.05</v>
      </c>
      <c r="Q532">
        <v>0.05</v>
      </c>
      <c r="R532">
        <v>17053.060000000001</v>
      </c>
      <c r="S532">
        <v>10742.38</v>
      </c>
      <c r="T532">
        <v>17053.0605</v>
      </c>
      <c r="U532">
        <v>6310.6805000000004</v>
      </c>
      <c r="V532">
        <v>0.37006146198801099</v>
      </c>
      <c r="W532">
        <v>2</v>
      </c>
      <c r="X532" t="s">
        <v>173</v>
      </c>
      <c r="Y532">
        <v>2025</v>
      </c>
      <c r="Z532" t="s">
        <v>129</v>
      </c>
      <c r="AA532" t="s">
        <v>130</v>
      </c>
      <c r="AB532" t="s">
        <v>131</v>
      </c>
      <c r="AC532" t="s">
        <v>131</v>
      </c>
      <c r="AD532" t="s">
        <v>131</v>
      </c>
      <c r="AE532" t="s">
        <v>131</v>
      </c>
      <c r="AF532" t="s">
        <v>131</v>
      </c>
      <c r="AG532" t="s">
        <v>131</v>
      </c>
      <c r="AH532" t="s">
        <v>132</v>
      </c>
      <c r="AI532" t="s">
        <v>133</v>
      </c>
      <c r="AJ532" t="s">
        <v>2152</v>
      </c>
      <c r="AK532" t="s">
        <v>2153</v>
      </c>
      <c r="AL532" t="s">
        <v>227</v>
      </c>
      <c r="AM532" t="s">
        <v>41</v>
      </c>
      <c r="AN532" t="s">
        <v>6</v>
      </c>
      <c r="AO532" t="s">
        <v>385</v>
      </c>
      <c r="AP532" t="s">
        <v>386</v>
      </c>
      <c r="AQ532" t="s">
        <v>20</v>
      </c>
      <c r="AR532" t="s">
        <v>28</v>
      </c>
      <c r="AS532" t="s">
        <v>35</v>
      </c>
      <c r="AT532">
        <v>0.05</v>
      </c>
      <c r="AU532" t="s">
        <v>129</v>
      </c>
      <c r="AV532" t="s">
        <v>130</v>
      </c>
    </row>
    <row r="533" spans="1:48" x14ac:dyDescent="0.3">
      <c r="A533" t="s">
        <v>2154</v>
      </c>
      <c r="B533" s="12">
        <v>45505</v>
      </c>
      <c r="C533" s="12">
        <v>45512</v>
      </c>
      <c r="D533" t="s">
        <v>2155</v>
      </c>
      <c r="E533" t="s">
        <v>277</v>
      </c>
      <c r="F533" t="s">
        <v>44</v>
      </c>
      <c r="G533" t="s">
        <v>7</v>
      </c>
      <c r="H533" t="s">
        <v>163</v>
      </c>
      <c r="I533" t="s">
        <v>164</v>
      </c>
      <c r="J533" t="s">
        <v>20</v>
      </c>
      <c r="K533" t="s">
        <v>21</v>
      </c>
      <c r="M533" t="s">
        <v>10</v>
      </c>
      <c r="N533">
        <v>1</v>
      </c>
      <c r="O533">
        <v>442.97</v>
      </c>
      <c r="P533">
        <v>0.1</v>
      </c>
      <c r="Q533">
        <v>0.1</v>
      </c>
      <c r="R533">
        <v>398.67</v>
      </c>
      <c r="S533">
        <v>311.66000000000003</v>
      </c>
      <c r="T533">
        <v>398.673</v>
      </c>
      <c r="U533">
        <v>87.013000000000005</v>
      </c>
      <c r="V533">
        <v>0.21825656615823</v>
      </c>
      <c r="W533">
        <v>7</v>
      </c>
      <c r="X533" t="s">
        <v>142</v>
      </c>
      <c r="Y533">
        <v>2024</v>
      </c>
      <c r="Z533" t="s">
        <v>129</v>
      </c>
      <c r="AA533" t="s">
        <v>130</v>
      </c>
      <c r="AB533" t="s">
        <v>131</v>
      </c>
      <c r="AC533" t="s">
        <v>132</v>
      </c>
      <c r="AD533" t="s">
        <v>131</v>
      </c>
      <c r="AE533" t="s">
        <v>131</v>
      </c>
      <c r="AF533" t="s">
        <v>131</v>
      </c>
      <c r="AG533" t="s">
        <v>131</v>
      </c>
      <c r="AH533" t="s">
        <v>132</v>
      </c>
      <c r="AI533" t="s">
        <v>321</v>
      </c>
      <c r="AJ533" t="s">
        <v>1160</v>
      </c>
      <c r="AK533" t="s">
        <v>2156</v>
      </c>
      <c r="AL533" t="s">
        <v>277</v>
      </c>
      <c r="AM533" t="s">
        <v>44</v>
      </c>
      <c r="AN533" t="s">
        <v>7</v>
      </c>
      <c r="AO533" t="s">
        <v>163</v>
      </c>
      <c r="AP533" t="s">
        <v>164</v>
      </c>
      <c r="AQ533" t="s">
        <v>20</v>
      </c>
      <c r="AR533" t="s">
        <v>21</v>
      </c>
      <c r="AT533">
        <v>0.1</v>
      </c>
      <c r="AU533" t="s">
        <v>129</v>
      </c>
      <c r="AV533" t="s">
        <v>130</v>
      </c>
    </row>
    <row r="534" spans="1:48" x14ac:dyDescent="0.3">
      <c r="A534" t="s">
        <v>2157</v>
      </c>
      <c r="B534" s="12">
        <v>45935</v>
      </c>
      <c r="C534" s="12">
        <v>45940</v>
      </c>
      <c r="D534" t="s">
        <v>2158</v>
      </c>
      <c r="E534" t="s">
        <v>221</v>
      </c>
      <c r="F534" t="s">
        <v>43</v>
      </c>
      <c r="G534" t="s">
        <v>8</v>
      </c>
      <c r="H534" t="s">
        <v>283</v>
      </c>
      <c r="I534" t="s">
        <v>284</v>
      </c>
      <c r="J534" t="s">
        <v>18</v>
      </c>
      <c r="K534" t="s">
        <v>27</v>
      </c>
      <c r="M534" t="s">
        <v>37</v>
      </c>
      <c r="N534">
        <v>9</v>
      </c>
      <c r="O534">
        <v>2089.14</v>
      </c>
      <c r="P534">
        <v>0.05</v>
      </c>
      <c r="Q534">
        <v>0.05</v>
      </c>
      <c r="R534">
        <v>17862.150000000001</v>
      </c>
      <c r="S534">
        <v>9892.2099999999991</v>
      </c>
      <c r="T534">
        <v>17862.147000000001</v>
      </c>
      <c r="U534">
        <v>7969.9369999999999</v>
      </c>
      <c r="V534">
        <v>0.44619143488182</v>
      </c>
      <c r="W534">
        <v>5</v>
      </c>
      <c r="X534" t="s">
        <v>222</v>
      </c>
      <c r="Y534">
        <v>2025</v>
      </c>
      <c r="Z534" t="s">
        <v>269</v>
      </c>
      <c r="AA534" t="s">
        <v>165</v>
      </c>
      <c r="AB534" t="s">
        <v>131</v>
      </c>
      <c r="AC534" t="s">
        <v>131</v>
      </c>
      <c r="AD534" t="s">
        <v>131</v>
      </c>
      <c r="AE534" t="s">
        <v>131</v>
      </c>
      <c r="AF534" t="s">
        <v>131</v>
      </c>
      <c r="AG534" t="s">
        <v>131</v>
      </c>
      <c r="AH534" t="s">
        <v>131</v>
      </c>
      <c r="AI534" t="s">
        <v>133</v>
      </c>
      <c r="AJ534" t="s">
        <v>2143</v>
      </c>
      <c r="AK534" t="s">
        <v>364</v>
      </c>
      <c r="AL534" t="s">
        <v>221</v>
      </c>
      <c r="AM534" t="s">
        <v>43</v>
      </c>
      <c r="AN534" t="s">
        <v>8</v>
      </c>
      <c r="AO534" t="s">
        <v>283</v>
      </c>
      <c r="AP534" t="s">
        <v>284</v>
      </c>
      <c r="AQ534" t="s">
        <v>18</v>
      </c>
      <c r="AR534" t="s">
        <v>27</v>
      </c>
      <c r="AS534" t="s">
        <v>37</v>
      </c>
      <c r="AT534">
        <v>0.05</v>
      </c>
      <c r="AU534" t="s">
        <v>269</v>
      </c>
      <c r="AV534" t="s">
        <v>165</v>
      </c>
    </row>
    <row r="535" spans="1:48" x14ac:dyDescent="0.3">
      <c r="A535" t="s">
        <v>2159</v>
      </c>
      <c r="B535" s="12">
        <v>45529</v>
      </c>
      <c r="C535" s="12">
        <v>45536</v>
      </c>
      <c r="D535" t="s">
        <v>2160</v>
      </c>
      <c r="E535" t="s">
        <v>147</v>
      </c>
      <c r="F535" t="s">
        <v>41</v>
      </c>
      <c r="G535" t="s">
        <v>9</v>
      </c>
      <c r="H535" t="s">
        <v>126</v>
      </c>
      <c r="I535" t="s">
        <v>127</v>
      </c>
      <c r="J535" t="s">
        <v>18</v>
      </c>
      <c r="K535" t="s">
        <v>27</v>
      </c>
      <c r="M535" t="s">
        <v>38</v>
      </c>
      <c r="N535">
        <v>6</v>
      </c>
      <c r="O535">
        <v>481.3</v>
      </c>
      <c r="P535">
        <v>0.25</v>
      </c>
      <c r="Q535">
        <v>0.25</v>
      </c>
      <c r="R535">
        <v>2165.85</v>
      </c>
      <c r="S535">
        <v>2124.48</v>
      </c>
      <c r="T535">
        <v>2165.85</v>
      </c>
      <c r="U535">
        <v>41.370000000000303</v>
      </c>
      <c r="V535">
        <v>1.91010457787937E-2</v>
      </c>
      <c r="W535">
        <v>7</v>
      </c>
      <c r="X535" t="s">
        <v>142</v>
      </c>
      <c r="Y535">
        <v>2024</v>
      </c>
      <c r="Z535" t="s">
        <v>129</v>
      </c>
      <c r="AA535" t="s">
        <v>130</v>
      </c>
      <c r="AB535" t="s">
        <v>131</v>
      </c>
      <c r="AC535" t="s">
        <v>131</v>
      </c>
      <c r="AD535" t="s">
        <v>131</v>
      </c>
      <c r="AE535" t="s">
        <v>131</v>
      </c>
      <c r="AF535" t="s">
        <v>131</v>
      </c>
      <c r="AG535" t="s">
        <v>131</v>
      </c>
      <c r="AH535" t="s">
        <v>132</v>
      </c>
      <c r="AI535" t="s">
        <v>133</v>
      </c>
      <c r="AJ535" t="s">
        <v>2161</v>
      </c>
      <c r="AK535" t="s">
        <v>434</v>
      </c>
      <c r="AL535" t="s">
        <v>147</v>
      </c>
      <c r="AM535" t="s">
        <v>41</v>
      </c>
      <c r="AN535" t="s">
        <v>9</v>
      </c>
      <c r="AO535" t="s">
        <v>126</v>
      </c>
      <c r="AP535" t="s">
        <v>127</v>
      </c>
      <c r="AQ535" t="s">
        <v>18</v>
      </c>
      <c r="AR535" t="s">
        <v>27</v>
      </c>
      <c r="AS535" t="s">
        <v>38</v>
      </c>
      <c r="AT535">
        <v>0.25</v>
      </c>
      <c r="AU535" t="s">
        <v>129</v>
      </c>
      <c r="AV535" t="s">
        <v>130</v>
      </c>
    </row>
    <row r="536" spans="1:48" x14ac:dyDescent="0.3">
      <c r="A536" t="s">
        <v>2162</v>
      </c>
      <c r="B536" s="12">
        <v>45774</v>
      </c>
      <c r="C536" s="12">
        <v>45782</v>
      </c>
      <c r="D536" t="s">
        <v>2163</v>
      </c>
      <c r="E536" t="s">
        <v>255</v>
      </c>
      <c r="F536" t="s">
        <v>41</v>
      </c>
      <c r="G536" t="s">
        <v>8</v>
      </c>
      <c r="H536" t="s">
        <v>259</v>
      </c>
      <c r="I536" t="s">
        <v>260</v>
      </c>
      <c r="J536" t="s">
        <v>15</v>
      </c>
      <c r="K536" t="s">
        <v>22</v>
      </c>
      <c r="M536" t="s">
        <v>37</v>
      </c>
      <c r="N536">
        <v>4</v>
      </c>
      <c r="O536">
        <v>3963.39</v>
      </c>
      <c r="P536">
        <v>0.1</v>
      </c>
      <c r="Q536">
        <v>0.1</v>
      </c>
      <c r="R536">
        <v>14268.2</v>
      </c>
      <c r="S536">
        <v>11705.3</v>
      </c>
      <c r="T536">
        <v>14268.204</v>
      </c>
      <c r="U536">
        <v>2562.904</v>
      </c>
      <c r="V536">
        <v>0.17962344805274699</v>
      </c>
      <c r="W536">
        <v>8</v>
      </c>
      <c r="X536" t="s">
        <v>179</v>
      </c>
      <c r="Y536">
        <v>2025</v>
      </c>
      <c r="Z536" t="s">
        <v>215</v>
      </c>
      <c r="AA536" t="s">
        <v>204</v>
      </c>
      <c r="AB536" t="s">
        <v>131</v>
      </c>
      <c r="AC536" t="s">
        <v>131</v>
      </c>
      <c r="AD536" t="s">
        <v>131</v>
      </c>
      <c r="AE536" t="s">
        <v>131</v>
      </c>
      <c r="AF536" t="s">
        <v>131</v>
      </c>
      <c r="AG536" t="s">
        <v>131</v>
      </c>
      <c r="AH536" t="s">
        <v>131</v>
      </c>
      <c r="AI536" t="s">
        <v>133</v>
      </c>
      <c r="AJ536" t="s">
        <v>2164</v>
      </c>
      <c r="AK536" t="s">
        <v>2165</v>
      </c>
      <c r="AL536" t="s">
        <v>255</v>
      </c>
      <c r="AM536" t="s">
        <v>41</v>
      </c>
      <c r="AN536" t="s">
        <v>8</v>
      </c>
      <c r="AO536" t="s">
        <v>259</v>
      </c>
      <c r="AP536" t="s">
        <v>260</v>
      </c>
      <c r="AQ536" t="s">
        <v>15</v>
      </c>
      <c r="AR536" t="s">
        <v>22</v>
      </c>
      <c r="AS536" t="s">
        <v>37</v>
      </c>
      <c r="AT536">
        <v>0.1</v>
      </c>
      <c r="AU536" t="s">
        <v>215</v>
      </c>
      <c r="AV536" t="s">
        <v>204</v>
      </c>
    </row>
    <row r="537" spans="1:48" x14ac:dyDescent="0.3">
      <c r="A537" t="s">
        <v>2166</v>
      </c>
      <c r="B537" s="12">
        <v>45431</v>
      </c>
      <c r="C537" s="12">
        <v>45433</v>
      </c>
      <c r="D537" t="s">
        <v>2167</v>
      </c>
      <c r="E537" t="s">
        <v>277</v>
      </c>
      <c r="F537" t="s">
        <v>44</v>
      </c>
      <c r="G537" t="s">
        <v>7</v>
      </c>
      <c r="H537" t="s">
        <v>163</v>
      </c>
      <c r="I537" t="s">
        <v>164</v>
      </c>
      <c r="J537" t="s">
        <v>15</v>
      </c>
      <c r="K537" t="s">
        <v>16</v>
      </c>
      <c r="M537" t="s">
        <v>36</v>
      </c>
      <c r="N537">
        <v>3</v>
      </c>
      <c r="O537">
        <v>4000.98</v>
      </c>
      <c r="P537">
        <v>0.2</v>
      </c>
      <c r="Q537">
        <v>0.2</v>
      </c>
      <c r="R537">
        <v>9602.35</v>
      </c>
      <c r="S537">
        <v>7387.57</v>
      </c>
      <c r="T537">
        <v>9602.3520000000008</v>
      </c>
      <c r="U537">
        <v>2214.7820000000002</v>
      </c>
      <c r="V537">
        <v>0.230649949095805</v>
      </c>
      <c r="W537">
        <v>2</v>
      </c>
      <c r="X537" t="s">
        <v>173</v>
      </c>
      <c r="Y537">
        <v>2024</v>
      </c>
      <c r="Z537" t="s">
        <v>129</v>
      </c>
      <c r="AA537" t="s">
        <v>130</v>
      </c>
      <c r="AB537" t="s">
        <v>131</v>
      </c>
      <c r="AC537" t="s">
        <v>131</v>
      </c>
      <c r="AD537" t="s">
        <v>131</v>
      </c>
      <c r="AE537" t="s">
        <v>131</v>
      </c>
      <c r="AF537" t="s">
        <v>131</v>
      </c>
      <c r="AG537" t="s">
        <v>131</v>
      </c>
      <c r="AH537" t="s">
        <v>132</v>
      </c>
      <c r="AI537" t="s">
        <v>133</v>
      </c>
      <c r="AJ537" t="s">
        <v>2168</v>
      </c>
      <c r="AK537" t="s">
        <v>2169</v>
      </c>
      <c r="AL537" t="s">
        <v>277</v>
      </c>
      <c r="AM537" t="s">
        <v>44</v>
      </c>
      <c r="AN537" t="s">
        <v>7</v>
      </c>
      <c r="AO537" t="s">
        <v>163</v>
      </c>
      <c r="AP537" t="s">
        <v>164</v>
      </c>
      <c r="AQ537" t="s">
        <v>15</v>
      </c>
      <c r="AR537" t="s">
        <v>16</v>
      </c>
      <c r="AS537" t="s">
        <v>36</v>
      </c>
      <c r="AT537">
        <v>0.2</v>
      </c>
      <c r="AU537" t="s">
        <v>129</v>
      </c>
      <c r="AV537" t="s">
        <v>130</v>
      </c>
    </row>
    <row r="538" spans="1:48" x14ac:dyDescent="0.3">
      <c r="A538" t="s">
        <v>2170</v>
      </c>
      <c r="B538" s="12">
        <v>45757</v>
      </c>
      <c r="C538" s="12">
        <v>45764</v>
      </c>
      <c r="D538" t="s">
        <v>2171</v>
      </c>
      <c r="E538" t="s">
        <v>162</v>
      </c>
      <c r="F538" t="s">
        <v>44</v>
      </c>
      <c r="G538" t="s">
        <v>7</v>
      </c>
      <c r="H538" t="s">
        <v>126</v>
      </c>
      <c r="I538" t="s">
        <v>213</v>
      </c>
      <c r="J538" t="s">
        <v>18</v>
      </c>
      <c r="K538" t="s">
        <v>19</v>
      </c>
      <c r="M538" t="s">
        <v>36</v>
      </c>
      <c r="N538">
        <v>7</v>
      </c>
      <c r="O538">
        <v>3788.9</v>
      </c>
      <c r="P538">
        <v>0.25</v>
      </c>
      <c r="Q538">
        <v>0.25</v>
      </c>
      <c r="R538">
        <v>19891.72</v>
      </c>
      <c r="S538">
        <v>12295.76</v>
      </c>
      <c r="T538">
        <v>19891.724999999999</v>
      </c>
      <c r="U538">
        <v>7595.9650000000001</v>
      </c>
      <c r="V538">
        <v>0.381865574755332</v>
      </c>
      <c r="W538">
        <v>7</v>
      </c>
      <c r="X538" t="s">
        <v>179</v>
      </c>
      <c r="Y538">
        <v>2025</v>
      </c>
      <c r="Z538" t="s">
        <v>269</v>
      </c>
      <c r="AA538" t="s">
        <v>165</v>
      </c>
      <c r="AB538" t="s">
        <v>131</v>
      </c>
      <c r="AC538" t="s">
        <v>131</v>
      </c>
      <c r="AD538" t="s">
        <v>131</v>
      </c>
      <c r="AE538" t="s">
        <v>131</v>
      </c>
      <c r="AF538" t="s">
        <v>131</v>
      </c>
      <c r="AG538" t="s">
        <v>131</v>
      </c>
      <c r="AH538" t="s">
        <v>131</v>
      </c>
      <c r="AI538" t="s">
        <v>133</v>
      </c>
      <c r="AJ538" t="s">
        <v>2172</v>
      </c>
      <c r="AK538" t="s">
        <v>2173</v>
      </c>
      <c r="AL538" t="s">
        <v>162</v>
      </c>
      <c r="AM538" t="s">
        <v>44</v>
      </c>
      <c r="AN538" t="s">
        <v>7</v>
      </c>
      <c r="AO538" t="s">
        <v>126</v>
      </c>
      <c r="AP538" t="s">
        <v>213</v>
      </c>
      <c r="AQ538" t="s">
        <v>18</v>
      </c>
      <c r="AR538" t="s">
        <v>19</v>
      </c>
      <c r="AS538" t="s">
        <v>36</v>
      </c>
      <c r="AT538">
        <v>0.25</v>
      </c>
      <c r="AU538" t="s">
        <v>269</v>
      </c>
      <c r="AV538" t="s">
        <v>165</v>
      </c>
    </row>
    <row r="539" spans="1:48" x14ac:dyDescent="0.3">
      <c r="A539" t="s">
        <v>2174</v>
      </c>
      <c r="B539" s="12">
        <v>45313</v>
      </c>
      <c r="C539" s="12">
        <v>45321</v>
      </c>
      <c r="D539" t="s">
        <v>2175</v>
      </c>
      <c r="E539" t="s">
        <v>162</v>
      </c>
      <c r="F539" t="s">
        <v>44</v>
      </c>
      <c r="G539" t="s">
        <v>9</v>
      </c>
      <c r="H539" t="s">
        <v>372</v>
      </c>
      <c r="I539" t="s">
        <v>373</v>
      </c>
      <c r="J539" t="s">
        <v>20</v>
      </c>
      <c r="K539" t="s">
        <v>29</v>
      </c>
      <c r="M539" t="s">
        <v>38</v>
      </c>
      <c r="N539">
        <v>3</v>
      </c>
      <c r="O539">
        <v>676.37</v>
      </c>
      <c r="P539">
        <v>0.05</v>
      </c>
      <c r="Q539">
        <v>0.05</v>
      </c>
      <c r="R539">
        <v>1927.65</v>
      </c>
      <c r="S539">
        <v>1460.6</v>
      </c>
      <c r="T539">
        <v>1927.6545000000001</v>
      </c>
      <c r="U539">
        <v>467.05450000000002</v>
      </c>
      <c r="V539">
        <v>0.24229160360427701</v>
      </c>
      <c r="W539">
        <v>8</v>
      </c>
      <c r="X539" t="s">
        <v>244</v>
      </c>
      <c r="Y539">
        <v>2024</v>
      </c>
      <c r="Z539" t="s">
        <v>269</v>
      </c>
      <c r="AA539" t="s">
        <v>165</v>
      </c>
      <c r="AB539" t="s">
        <v>131</v>
      </c>
      <c r="AC539" t="s">
        <v>131</v>
      </c>
      <c r="AD539" t="s">
        <v>131</v>
      </c>
      <c r="AE539" t="s">
        <v>131</v>
      </c>
      <c r="AF539" t="s">
        <v>131</v>
      </c>
      <c r="AG539" t="s">
        <v>131</v>
      </c>
      <c r="AH539" t="s">
        <v>131</v>
      </c>
      <c r="AI539" t="s">
        <v>133</v>
      </c>
      <c r="AJ539" t="s">
        <v>1738</v>
      </c>
      <c r="AK539" t="s">
        <v>2176</v>
      </c>
      <c r="AL539" t="s">
        <v>162</v>
      </c>
      <c r="AM539" t="s">
        <v>44</v>
      </c>
      <c r="AN539" t="s">
        <v>9</v>
      </c>
      <c r="AO539" t="s">
        <v>372</v>
      </c>
      <c r="AP539" t="s">
        <v>373</v>
      </c>
      <c r="AQ539" t="s">
        <v>20</v>
      </c>
      <c r="AR539" t="s">
        <v>29</v>
      </c>
      <c r="AS539" t="s">
        <v>38</v>
      </c>
      <c r="AT539">
        <v>0.05</v>
      </c>
      <c r="AU539" t="s">
        <v>269</v>
      </c>
      <c r="AV539" t="s">
        <v>165</v>
      </c>
    </row>
    <row r="540" spans="1:48" x14ac:dyDescent="0.3">
      <c r="A540" t="s">
        <v>2177</v>
      </c>
      <c r="B540" s="12">
        <v>45560</v>
      </c>
      <c r="C540" s="12">
        <v>45566</v>
      </c>
      <c r="D540" t="s">
        <v>2178</v>
      </c>
      <c r="E540" t="s">
        <v>277</v>
      </c>
      <c r="F540" t="s">
        <v>44</v>
      </c>
      <c r="G540" t="s">
        <v>8</v>
      </c>
      <c r="H540" t="s">
        <v>362</v>
      </c>
      <c r="I540" t="s">
        <v>363</v>
      </c>
      <c r="J540" t="s">
        <v>18</v>
      </c>
      <c r="K540" t="s">
        <v>27</v>
      </c>
      <c r="M540" t="s">
        <v>37</v>
      </c>
      <c r="N540">
        <v>9</v>
      </c>
      <c r="O540">
        <v>3908.6</v>
      </c>
      <c r="P540">
        <v>0.15</v>
      </c>
      <c r="Q540">
        <v>0.15</v>
      </c>
      <c r="R540">
        <v>29900.79</v>
      </c>
      <c r="S540">
        <v>24650.67</v>
      </c>
      <c r="T540">
        <v>29900.79</v>
      </c>
      <c r="U540">
        <v>5250.12</v>
      </c>
      <c r="V540">
        <v>0.175584658465546</v>
      </c>
      <c r="W540">
        <v>6</v>
      </c>
      <c r="X540" t="s">
        <v>196</v>
      </c>
      <c r="Y540">
        <v>2024</v>
      </c>
      <c r="Z540" t="s">
        <v>129</v>
      </c>
      <c r="AA540" t="s">
        <v>130</v>
      </c>
      <c r="AB540" t="s">
        <v>131</v>
      </c>
      <c r="AC540" t="s">
        <v>131</v>
      </c>
      <c r="AD540" t="s">
        <v>131</v>
      </c>
      <c r="AE540" t="s">
        <v>131</v>
      </c>
      <c r="AF540" t="s">
        <v>131</v>
      </c>
      <c r="AG540" t="s">
        <v>131</v>
      </c>
      <c r="AH540" t="s">
        <v>132</v>
      </c>
      <c r="AI540" t="s">
        <v>133</v>
      </c>
      <c r="AJ540" t="s">
        <v>1918</v>
      </c>
      <c r="AK540" t="s">
        <v>2179</v>
      </c>
      <c r="AL540" t="s">
        <v>277</v>
      </c>
      <c r="AM540" t="s">
        <v>44</v>
      </c>
      <c r="AN540" t="s">
        <v>8</v>
      </c>
      <c r="AO540" t="s">
        <v>362</v>
      </c>
      <c r="AP540" t="s">
        <v>363</v>
      </c>
      <c r="AQ540" t="s">
        <v>18</v>
      </c>
      <c r="AR540" t="s">
        <v>27</v>
      </c>
      <c r="AS540" t="s">
        <v>37</v>
      </c>
      <c r="AT540">
        <v>0.15</v>
      </c>
      <c r="AU540" t="s">
        <v>129</v>
      </c>
      <c r="AV540" t="s">
        <v>130</v>
      </c>
    </row>
    <row r="541" spans="1:48" x14ac:dyDescent="0.3">
      <c r="A541" t="s">
        <v>2180</v>
      </c>
      <c r="B541" s="12">
        <v>45842</v>
      </c>
      <c r="C541" s="12">
        <v>45842</v>
      </c>
      <c r="D541" t="s">
        <v>2181</v>
      </c>
      <c r="E541" t="s">
        <v>139</v>
      </c>
      <c r="F541" t="s">
        <v>44</v>
      </c>
      <c r="G541" t="s">
        <v>6</v>
      </c>
      <c r="H541" t="s">
        <v>385</v>
      </c>
      <c r="I541" t="s">
        <v>386</v>
      </c>
      <c r="J541" t="s">
        <v>18</v>
      </c>
      <c r="K541" t="s">
        <v>19</v>
      </c>
      <c r="M541" t="s">
        <v>35</v>
      </c>
      <c r="N541">
        <v>3</v>
      </c>
      <c r="O541">
        <v>705.35</v>
      </c>
      <c r="P541">
        <v>0.1</v>
      </c>
      <c r="Q541">
        <v>0.1</v>
      </c>
      <c r="R541">
        <v>1904.45</v>
      </c>
      <c r="S541">
        <v>1316.54</v>
      </c>
      <c r="T541">
        <v>1904.4449999999999</v>
      </c>
      <c r="U541">
        <v>587.90499999999997</v>
      </c>
      <c r="V541">
        <v>0.308701485209602</v>
      </c>
      <c r="W541">
        <v>0</v>
      </c>
      <c r="X541" t="s">
        <v>128</v>
      </c>
      <c r="Y541">
        <v>2025</v>
      </c>
      <c r="Z541" t="s">
        <v>129</v>
      </c>
      <c r="AA541" t="s">
        <v>165</v>
      </c>
      <c r="AB541" t="s">
        <v>131</v>
      </c>
      <c r="AC541" t="s">
        <v>131</v>
      </c>
      <c r="AD541" t="s">
        <v>131</v>
      </c>
      <c r="AE541" t="s">
        <v>131</v>
      </c>
      <c r="AF541" t="s">
        <v>131</v>
      </c>
      <c r="AG541" t="s">
        <v>131</v>
      </c>
      <c r="AH541" t="s">
        <v>131</v>
      </c>
      <c r="AI541" t="s">
        <v>133</v>
      </c>
      <c r="AJ541" t="s">
        <v>1095</v>
      </c>
      <c r="AK541" t="s">
        <v>2034</v>
      </c>
      <c r="AL541" t="s">
        <v>2182</v>
      </c>
      <c r="AM541" t="s">
        <v>44</v>
      </c>
      <c r="AN541" t="s">
        <v>6</v>
      </c>
      <c r="AO541" t="s">
        <v>385</v>
      </c>
      <c r="AP541" t="s">
        <v>386</v>
      </c>
      <c r="AQ541" t="s">
        <v>18</v>
      </c>
      <c r="AR541" t="s">
        <v>19</v>
      </c>
      <c r="AS541" t="s">
        <v>35</v>
      </c>
      <c r="AT541">
        <v>0.1</v>
      </c>
      <c r="AU541" t="s">
        <v>129</v>
      </c>
      <c r="AV541" t="s">
        <v>165</v>
      </c>
    </row>
    <row r="542" spans="1:48" x14ac:dyDescent="0.3">
      <c r="A542" t="s">
        <v>2183</v>
      </c>
      <c r="B542" s="12">
        <v>45348</v>
      </c>
      <c r="C542" s="12">
        <v>45345</v>
      </c>
      <c r="D542" t="s">
        <v>2184</v>
      </c>
      <c r="E542" t="s">
        <v>409</v>
      </c>
      <c r="F542" t="s">
        <v>42</v>
      </c>
      <c r="G542" t="s">
        <v>7</v>
      </c>
      <c r="H542" t="s">
        <v>300</v>
      </c>
      <c r="I542" t="s">
        <v>301</v>
      </c>
      <c r="J542" t="s">
        <v>18</v>
      </c>
      <c r="K542" t="s">
        <v>23</v>
      </c>
      <c r="M542" t="s">
        <v>35</v>
      </c>
      <c r="N542">
        <v>7</v>
      </c>
      <c r="O542">
        <v>3852.07</v>
      </c>
      <c r="P542">
        <v>0.2</v>
      </c>
      <c r="Q542">
        <v>0.2</v>
      </c>
      <c r="R542">
        <v>21571.59</v>
      </c>
      <c r="S542">
        <v>17118.07</v>
      </c>
      <c r="T542">
        <v>21571.592000000001</v>
      </c>
      <c r="U542">
        <v>4453.5219999999999</v>
      </c>
      <c r="V542">
        <v>0.20645309813017099</v>
      </c>
      <c r="W542">
        <v>-3</v>
      </c>
      <c r="X542" t="s">
        <v>186</v>
      </c>
      <c r="Y542">
        <v>2024</v>
      </c>
      <c r="Z542" t="s">
        <v>129</v>
      </c>
      <c r="AA542" t="s">
        <v>130</v>
      </c>
      <c r="AB542" t="s">
        <v>131</v>
      </c>
      <c r="AC542" t="s">
        <v>131</v>
      </c>
      <c r="AD542" t="s">
        <v>131</v>
      </c>
      <c r="AE542" t="s">
        <v>132</v>
      </c>
      <c r="AF542" t="s">
        <v>131</v>
      </c>
      <c r="AG542" t="s">
        <v>131</v>
      </c>
      <c r="AH542" t="s">
        <v>132</v>
      </c>
      <c r="AI542" t="s">
        <v>149</v>
      </c>
      <c r="AJ542" t="s">
        <v>2185</v>
      </c>
      <c r="AK542" t="s">
        <v>1978</v>
      </c>
      <c r="AL542" t="s">
        <v>409</v>
      </c>
      <c r="AM542" t="s">
        <v>42</v>
      </c>
      <c r="AN542" t="s">
        <v>7</v>
      </c>
      <c r="AO542" t="s">
        <v>300</v>
      </c>
      <c r="AP542" t="s">
        <v>301</v>
      </c>
      <c r="AQ542" t="s">
        <v>18</v>
      </c>
      <c r="AR542" t="s">
        <v>23</v>
      </c>
      <c r="AS542" t="s">
        <v>35</v>
      </c>
      <c r="AT542">
        <v>0.2</v>
      </c>
      <c r="AU542" t="s">
        <v>129</v>
      </c>
      <c r="AV542" t="s">
        <v>130</v>
      </c>
    </row>
    <row r="543" spans="1:48" x14ac:dyDescent="0.3">
      <c r="A543" t="s">
        <v>2186</v>
      </c>
      <c r="B543" s="12">
        <v>45846</v>
      </c>
      <c r="C543" s="12">
        <v>45847</v>
      </c>
      <c r="D543" t="s">
        <v>2187</v>
      </c>
      <c r="E543" t="s">
        <v>243</v>
      </c>
      <c r="F543" t="s">
        <v>42</v>
      </c>
      <c r="G543" t="s">
        <v>7</v>
      </c>
      <c r="H543" t="s">
        <v>163</v>
      </c>
      <c r="I543" t="s">
        <v>164</v>
      </c>
      <c r="J543" t="s">
        <v>15</v>
      </c>
      <c r="K543" t="s">
        <v>16</v>
      </c>
      <c r="M543" t="s">
        <v>38</v>
      </c>
      <c r="N543">
        <v>3</v>
      </c>
      <c r="O543">
        <v>2880.56</v>
      </c>
      <c r="P543">
        <v>0</v>
      </c>
      <c r="Q543">
        <v>0</v>
      </c>
      <c r="R543">
        <v>8641.68</v>
      </c>
      <c r="S543">
        <v>5747.09</v>
      </c>
      <c r="T543">
        <v>8641.68</v>
      </c>
      <c r="U543">
        <v>2894.59</v>
      </c>
      <c r="V543">
        <v>0.33495686024013899</v>
      </c>
      <c r="W543">
        <v>1</v>
      </c>
      <c r="X543" t="s">
        <v>128</v>
      </c>
      <c r="Y543">
        <v>2025</v>
      </c>
      <c r="Z543" t="s">
        <v>129</v>
      </c>
      <c r="AA543" t="s">
        <v>204</v>
      </c>
      <c r="AB543" t="s">
        <v>131</v>
      </c>
      <c r="AC543" t="s">
        <v>131</v>
      </c>
      <c r="AD543" t="s">
        <v>131</v>
      </c>
      <c r="AE543" t="s">
        <v>131</v>
      </c>
      <c r="AF543" t="s">
        <v>131</v>
      </c>
      <c r="AG543" t="s">
        <v>131</v>
      </c>
      <c r="AH543" t="s">
        <v>131</v>
      </c>
      <c r="AI543" t="s">
        <v>133</v>
      </c>
      <c r="AJ543" t="s">
        <v>2188</v>
      </c>
      <c r="AK543" t="s">
        <v>2189</v>
      </c>
      <c r="AL543" t="s">
        <v>243</v>
      </c>
      <c r="AM543" t="s">
        <v>42</v>
      </c>
      <c r="AN543" t="s">
        <v>7</v>
      </c>
      <c r="AO543" t="s">
        <v>163</v>
      </c>
      <c r="AP543" t="s">
        <v>164</v>
      </c>
      <c r="AQ543" t="s">
        <v>15</v>
      </c>
      <c r="AR543" t="s">
        <v>16</v>
      </c>
      <c r="AS543" t="s">
        <v>38</v>
      </c>
      <c r="AT543">
        <v>0</v>
      </c>
      <c r="AU543" t="s">
        <v>129</v>
      </c>
      <c r="AV543" t="s">
        <v>204</v>
      </c>
    </row>
    <row r="544" spans="1:48" x14ac:dyDescent="0.3">
      <c r="A544" t="s">
        <v>2190</v>
      </c>
      <c r="B544" s="12">
        <v>45552</v>
      </c>
      <c r="C544" s="12">
        <v>45558</v>
      </c>
      <c r="D544" t="s">
        <v>2191</v>
      </c>
      <c r="E544" t="s">
        <v>227</v>
      </c>
      <c r="F544" t="s">
        <v>41</v>
      </c>
      <c r="G544" t="s">
        <v>6</v>
      </c>
      <c r="H544" t="s">
        <v>305</v>
      </c>
      <c r="I544" t="s">
        <v>306</v>
      </c>
      <c r="J544" t="s">
        <v>18</v>
      </c>
      <c r="K544" t="s">
        <v>26</v>
      </c>
      <c r="M544" t="s">
        <v>37</v>
      </c>
      <c r="N544">
        <v>3</v>
      </c>
      <c r="O544">
        <v>4067.62</v>
      </c>
      <c r="P544">
        <v>0.2</v>
      </c>
      <c r="Q544">
        <v>0.2</v>
      </c>
      <c r="R544">
        <v>9988.5300000000007</v>
      </c>
      <c r="S544">
        <v>8368.24</v>
      </c>
      <c r="T544">
        <v>9762.2880000000005</v>
      </c>
      <c r="U544">
        <v>1394.048</v>
      </c>
      <c r="V544">
        <v>0.142799310981196</v>
      </c>
      <c r="W544">
        <v>6</v>
      </c>
      <c r="X544" t="s">
        <v>196</v>
      </c>
      <c r="Y544">
        <v>2024</v>
      </c>
      <c r="Z544" t="s">
        <v>129</v>
      </c>
      <c r="AA544" t="s">
        <v>165</v>
      </c>
      <c r="AB544" t="s">
        <v>131</v>
      </c>
      <c r="AC544" t="s">
        <v>131</v>
      </c>
      <c r="AD544" t="s">
        <v>131</v>
      </c>
      <c r="AE544" t="s">
        <v>131</v>
      </c>
      <c r="AF544" t="s">
        <v>131</v>
      </c>
      <c r="AG544" t="s">
        <v>131</v>
      </c>
      <c r="AH544" t="s">
        <v>131</v>
      </c>
      <c r="AI544" t="s">
        <v>133</v>
      </c>
      <c r="AJ544" t="s">
        <v>2192</v>
      </c>
      <c r="AK544" t="s">
        <v>2193</v>
      </c>
      <c r="AL544" t="s">
        <v>227</v>
      </c>
      <c r="AM544" t="s">
        <v>41</v>
      </c>
      <c r="AN544" t="s">
        <v>6</v>
      </c>
      <c r="AO544" t="s">
        <v>305</v>
      </c>
      <c r="AP544" t="s">
        <v>306</v>
      </c>
      <c r="AQ544" t="s">
        <v>18</v>
      </c>
      <c r="AR544" t="s">
        <v>26</v>
      </c>
      <c r="AS544" t="s">
        <v>37</v>
      </c>
      <c r="AT544">
        <v>0.2</v>
      </c>
      <c r="AU544" t="s">
        <v>129</v>
      </c>
      <c r="AV544" t="s">
        <v>2194</v>
      </c>
    </row>
    <row r="545" spans="1:48" x14ac:dyDescent="0.3">
      <c r="A545" t="s">
        <v>2195</v>
      </c>
      <c r="B545" s="12">
        <v>45487</v>
      </c>
      <c r="C545" s="12">
        <v>45493</v>
      </c>
      <c r="D545" t="s">
        <v>2196</v>
      </c>
      <c r="E545" t="s">
        <v>139</v>
      </c>
      <c r="F545" t="s">
        <v>42</v>
      </c>
      <c r="G545" t="s">
        <v>8</v>
      </c>
      <c r="H545" t="s">
        <v>259</v>
      </c>
      <c r="I545" t="s">
        <v>260</v>
      </c>
      <c r="J545" t="s">
        <v>15</v>
      </c>
      <c r="K545" t="s">
        <v>16</v>
      </c>
      <c r="M545" t="s">
        <v>38</v>
      </c>
      <c r="N545">
        <v>1</v>
      </c>
      <c r="O545">
        <v>492.67</v>
      </c>
      <c r="P545">
        <v>0.15</v>
      </c>
      <c r="Q545">
        <v>0.15</v>
      </c>
      <c r="R545">
        <v>418.77</v>
      </c>
      <c r="S545">
        <v>313.72000000000003</v>
      </c>
      <c r="T545">
        <v>418.76949999999999</v>
      </c>
      <c r="U545">
        <v>105.04949999999999</v>
      </c>
      <c r="V545">
        <v>0.25085279610859901</v>
      </c>
      <c r="W545">
        <v>6</v>
      </c>
      <c r="X545" t="s">
        <v>128</v>
      </c>
      <c r="Y545">
        <v>2024</v>
      </c>
      <c r="Z545" t="s">
        <v>129</v>
      </c>
      <c r="AA545" t="s">
        <v>130</v>
      </c>
      <c r="AB545" t="s">
        <v>131</v>
      </c>
      <c r="AC545" t="s">
        <v>131</v>
      </c>
      <c r="AD545" t="s">
        <v>131</v>
      </c>
      <c r="AE545" t="s">
        <v>131</v>
      </c>
      <c r="AF545" t="s">
        <v>131</v>
      </c>
      <c r="AG545" t="s">
        <v>131</v>
      </c>
      <c r="AH545" t="s">
        <v>132</v>
      </c>
      <c r="AI545" t="s">
        <v>133</v>
      </c>
      <c r="AJ545" t="s">
        <v>2197</v>
      </c>
      <c r="AK545" t="s">
        <v>438</v>
      </c>
      <c r="AL545" t="s">
        <v>139</v>
      </c>
      <c r="AM545" t="s">
        <v>42</v>
      </c>
      <c r="AN545" t="s">
        <v>8</v>
      </c>
      <c r="AO545" t="s">
        <v>259</v>
      </c>
      <c r="AP545" t="s">
        <v>260</v>
      </c>
      <c r="AQ545" t="s">
        <v>15</v>
      </c>
      <c r="AR545" t="s">
        <v>16</v>
      </c>
      <c r="AS545" t="s">
        <v>38</v>
      </c>
      <c r="AT545">
        <v>0.15</v>
      </c>
      <c r="AU545" t="s">
        <v>129</v>
      </c>
      <c r="AV545" t="s">
        <v>130</v>
      </c>
    </row>
    <row r="546" spans="1:48" x14ac:dyDescent="0.3">
      <c r="A546" t="s">
        <v>2198</v>
      </c>
      <c r="B546" s="12">
        <v>45686</v>
      </c>
      <c r="C546" s="12">
        <v>45693</v>
      </c>
      <c r="D546" t="s">
        <v>2199</v>
      </c>
      <c r="E546" t="s">
        <v>162</v>
      </c>
      <c r="F546" t="s">
        <v>42</v>
      </c>
      <c r="G546" t="s">
        <v>6</v>
      </c>
      <c r="H546" t="s">
        <v>305</v>
      </c>
      <c r="I546" t="s">
        <v>306</v>
      </c>
      <c r="J546" t="s">
        <v>20</v>
      </c>
      <c r="K546" t="s">
        <v>29</v>
      </c>
      <c r="M546" t="s">
        <v>38</v>
      </c>
      <c r="N546">
        <v>8</v>
      </c>
      <c r="O546">
        <v>3643.62</v>
      </c>
      <c r="P546">
        <v>0.25</v>
      </c>
      <c r="Q546">
        <v>0.25</v>
      </c>
      <c r="R546">
        <v>21861.72</v>
      </c>
      <c r="S546">
        <v>18464.34</v>
      </c>
      <c r="T546">
        <v>21861.72</v>
      </c>
      <c r="U546">
        <v>3397.38</v>
      </c>
      <c r="V546">
        <v>0.155403143028088</v>
      </c>
      <c r="W546">
        <v>7</v>
      </c>
      <c r="X546" t="s">
        <v>244</v>
      </c>
      <c r="Y546">
        <v>2025</v>
      </c>
      <c r="Z546" t="s">
        <v>129</v>
      </c>
      <c r="AA546" t="s">
        <v>165</v>
      </c>
      <c r="AB546" t="s">
        <v>131</v>
      </c>
      <c r="AC546" t="s">
        <v>131</v>
      </c>
      <c r="AD546" t="s">
        <v>131</v>
      </c>
      <c r="AE546" t="s">
        <v>131</v>
      </c>
      <c r="AF546" t="s">
        <v>131</v>
      </c>
      <c r="AG546" t="s">
        <v>131</v>
      </c>
      <c r="AH546" t="s">
        <v>131</v>
      </c>
      <c r="AI546" t="s">
        <v>133</v>
      </c>
      <c r="AJ546" t="s">
        <v>2200</v>
      </c>
      <c r="AK546" t="s">
        <v>1755</v>
      </c>
      <c r="AL546" t="s">
        <v>162</v>
      </c>
      <c r="AM546" t="s">
        <v>42</v>
      </c>
      <c r="AN546" t="s">
        <v>6</v>
      </c>
      <c r="AO546" t="s">
        <v>305</v>
      </c>
      <c r="AP546" t="s">
        <v>306</v>
      </c>
      <c r="AQ546" t="s">
        <v>20</v>
      </c>
      <c r="AR546" t="s">
        <v>29</v>
      </c>
      <c r="AS546" t="s">
        <v>38</v>
      </c>
      <c r="AT546">
        <v>0.25</v>
      </c>
      <c r="AU546" t="s">
        <v>129</v>
      </c>
      <c r="AV546" t="s">
        <v>165</v>
      </c>
    </row>
    <row r="547" spans="1:48" x14ac:dyDescent="0.3">
      <c r="A547" t="s">
        <v>2201</v>
      </c>
      <c r="B547" s="12">
        <v>45439</v>
      </c>
      <c r="C547" s="12">
        <v>45442</v>
      </c>
      <c r="D547" t="s">
        <v>2202</v>
      </c>
      <c r="E547" t="s">
        <v>409</v>
      </c>
      <c r="F547" t="s">
        <v>44</v>
      </c>
      <c r="G547" t="s">
        <v>8</v>
      </c>
      <c r="H547" t="s">
        <v>362</v>
      </c>
      <c r="I547" t="s">
        <v>363</v>
      </c>
      <c r="J547" t="s">
        <v>20</v>
      </c>
      <c r="K547" t="s">
        <v>21</v>
      </c>
      <c r="M547" t="s">
        <v>38</v>
      </c>
      <c r="N547">
        <v>7</v>
      </c>
      <c r="O547">
        <v>2900.86</v>
      </c>
      <c r="P547">
        <v>0.15</v>
      </c>
      <c r="Q547">
        <v>0.15</v>
      </c>
      <c r="R547">
        <v>17260.12</v>
      </c>
      <c r="S547">
        <v>13513.51</v>
      </c>
      <c r="T547">
        <v>17260.116999999998</v>
      </c>
      <c r="U547">
        <v>3746.607</v>
      </c>
      <c r="V547">
        <v>0.21706730029697899</v>
      </c>
      <c r="W547">
        <v>3</v>
      </c>
      <c r="X547" t="s">
        <v>173</v>
      </c>
      <c r="Y547">
        <v>2024</v>
      </c>
      <c r="Z547" t="s">
        <v>129</v>
      </c>
      <c r="AA547" t="s">
        <v>130</v>
      </c>
      <c r="AB547" t="s">
        <v>131</v>
      </c>
      <c r="AC547" t="s">
        <v>131</v>
      </c>
      <c r="AD547" t="s">
        <v>131</v>
      </c>
      <c r="AE547" t="s">
        <v>131</v>
      </c>
      <c r="AF547" t="s">
        <v>131</v>
      </c>
      <c r="AG547" t="s">
        <v>131</v>
      </c>
      <c r="AH547" t="s">
        <v>132</v>
      </c>
      <c r="AI547" t="s">
        <v>133</v>
      </c>
      <c r="AJ547" t="s">
        <v>2203</v>
      </c>
      <c r="AK547" t="s">
        <v>2204</v>
      </c>
      <c r="AL547" t="s">
        <v>409</v>
      </c>
      <c r="AM547" t="s">
        <v>44</v>
      </c>
      <c r="AN547" t="s">
        <v>8</v>
      </c>
      <c r="AO547" t="s">
        <v>362</v>
      </c>
      <c r="AP547" t="s">
        <v>363</v>
      </c>
      <c r="AQ547" t="s">
        <v>20</v>
      </c>
      <c r="AR547" t="s">
        <v>21</v>
      </c>
      <c r="AS547" t="s">
        <v>38</v>
      </c>
      <c r="AT547">
        <v>0.15</v>
      </c>
      <c r="AU547" t="s">
        <v>129</v>
      </c>
      <c r="AV547" t="s">
        <v>130</v>
      </c>
    </row>
    <row r="548" spans="1:48" x14ac:dyDescent="0.3">
      <c r="A548" t="s">
        <v>2205</v>
      </c>
      <c r="B548" s="12">
        <v>45883</v>
      </c>
      <c r="C548" s="12">
        <v>45891</v>
      </c>
      <c r="D548" t="s">
        <v>2206</v>
      </c>
      <c r="E548" t="s">
        <v>154</v>
      </c>
      <c r="F548" t="s">
        <v>43</v>
      </c>
      <c r="G548" t="s">
        <v>7</v>
      </c>
      <c r="H548" t="s">
        <v>300</v>
      </c>
      <c r="I548" t="s">
        <v>301</v>
      </c>
      <c r="J548" t="s">
        <v>20</v>
      </c>
      <c r="K548" t="s">
        <v>24</v>
      </c>
      <c r="M548" t="s">
        <v>36</v>
      </c>
      <c r="N548">
        <v>5</v>
      </c>
      <c r="O548">
        <v>2567.37</v>
      </c>
      <c r="P548">
        <v>0.15</v>
      </c>
      <c r="Q548">
        <v>0.15</v>
      </c>
      <c r="R548">
        <v>10911.32</v>
      </c>
      <c r="S548">
        <v>6966.44</v>
      </c>
      <c r="T548">
        <v>10911.3225</v>
      </c>
      <c r="U548">
        <v>3944.8825000000002</v>
      </c>
      <c r="V548">
        <v>0.36154027158486102</v>
      </c>
      <c r="W548">
        <v>8</v>
      </c>
      <c r="X548" t="s">
        <v>142</v>
      </c>
      <c r="Y548">
        <v>2025</v>
      </c>
      <c r="Z548" t="s">
        <v>129</v>
      </c>
      <c r="AA548" t="s">
        <v>130</v>
      </c>
      <c r="AB548" t="s">
        <v>131</v>
      </c>
      <c r="AC548" t="s">
        <v>131</v>
      </c>
      <c r="AD548" t="s">
        <v>131</v>
      </c>
      <c r="AE548" t="s">
        <v>131</v>
      </c>
      <c r="AF548" t="s">
        <v>131</v>
      </c>
      <c r="AG548" t="s">
        <v>131</v>
      </c>
      <c r="AH548" t="s">
        <v>132</v>
      </c>
      <c r="AI548" t="s">
        <v>133</v>
      </c>
      <c r="AJ548" t="s">
        <v>2207</v>
      </c>
      <c r="AK548" t="s">
        <v>1311</v>
      </c>
      <c r="AL548" t="s">
        <v>154</v>
      </c>
      <c r="AM548" t="s">
        <v>43</v>
      </c>
      <c r="AN548" t="s">
        <v>7</v>
      </c>
      <c r="AO548" t="s">
        <v>300</v>
      </c>
      <c r="AP548" t="s">
        <v>301</v>
      </c>
      <c r="AQ548" t="s">
        <v>2208</v>
      </c>
      <c r="AR548" t="s">
        <v>24</v>
      </c>
      <c r="AS548" t="s">
        <v>36</v>
      </c>
      <c r="AT548">
        <v>0.15</v>
      </c>
      <c r="AU548" t="s">
        <v>129</v>
      </c>
      <c r="AV548" t="s">
        <v>130</v>
      </c>
    </row>
    <row r="549" spans="1:48" x14ac:dyDescent="0.3">
      <c r="A549" t="s">
        <v>2209</v>
      </c>
      <c r="B549" s="12">
        <v>45428</v>
      </c>
      <c r="C549" s="12">
        <v>45435</v>
      </c>
      <c r="D549" t="s">
        <v>2210</v>
      </c>
      <c r="E549" t="s">
        <v>178</v>
      </c>
      <c r="F549" t="s">
        <v>44</v>
      </c>
      <c r="G549" t="s">
        <v>9</v>
      </c>
      <c r="H549" t="s">
        <v>249</v>
      </c>
      <c r="I549" t="s">
        <v>250</v>
      </c>
      <c r="J549" t="s">
        <v>15</v>
      </c>
      <c r="K549" t="s">
        <v>16</v>
      </c>
      <c r="M549" t="s">
        <v>35</v>
      </c>
      <c r="N549">
        <v>9</v>
      </c>
      <c r="O549">
        <v>3722.09</v>
      </c>
      <c r="P549">
        <v>0.1</v>
      </c>
      <c r="Q549">
        <v>0.1</v>
      </c>
      <c r="R549">
        <v>30148.93</v>
      </c>
      <c r="S549">
        <v>25155.07</v>
      </c>
      <c r="T549">
        <v>30148.929</v>
      </c>
      <c r="U549">
        <v>4993.8590000000004</v>
      </c>
      <c r="V549">
        <v>0.165639681595323</v>
      </c>
      <c r="W549">
        <v>7</v>
      </c>
      <c r="X549" t="s">
        <v>173</v>
      </c>
      <c r="Y549">
        <v>2024</v>
      </c>
      <c r="Z549" t="s">
        <v>129</v>
      </c>
      <c r="AA549" t="s">
        <v>130</v>
      </c>
      <c r="AB549" t="s">
        <v>131</v>
      </c>
      <c r="AC549" t="s">
        <v>131</v>
      </c>
      <c r="AD549" t="s">
        <v>131</v>
      </c>
      <c r="AE549" t="s">
        <v>131</v>
      </c>
      <c r="AF549" t="s">
        <v>131</v>
      </c>
      <c r="AG549" t="s">
        <v>131</v>
      </c>
      <c r="AH549" t="s">
        <v>132</v>
      </c>
      <c r="AI549" t="s">
        <v>133</v>
      </c>
      <c r="AJ549" t="s">
        <v>2211</v>
      </c>
      <c r="AK549" t="s">
        <v>2212</v>
      </c>
      <c r="AL549" t="s">
        <v>178</v>
      </c>
      <c r="AM549" t="s">
        <v>44</v>
      </c>
      <c r="AN549" t="s">
        <v>9</v>
      </c>
      <c r="AO549" t="s">
        <v>249</v>
      </c>
      <c r="AP549" t="s">
        <v>250</v>
      </c>
      <c r="AQ549" t="s">
        <v>15</v>
      </c>
      <c r="AR549" t="s">
        <v>16</v>
      </c>
      <c r="AS549" t="s">
        <v>35</v>
      </c>
      <c r="AT549">
        <v>0.1</v>
      </c>
      <c r="AU549" t="s">
        <v>129</v>
      </c>
      <c r="AV549" t="s">
        <v>130</v>
      </c>
    </row>
    <row r="550" spans="1:48" x14ac:dyDescent="0.3">
      <c r="A550" t="s">
        <v>2213</v>
      </c>
      <c r="B550" s="12">
        <v>45441</v>
      </c>
      <c r="C550" s="12">
        <v>45441</v>
      </c>
      <c r="D550" t="s">
        <v>2214</v>
      </c>
      <c r="E550" t="s">
        <v>255</v>
      </c>
      <c r="F550" t="s">
        <v>43</v>
      </c>
      <c r="G550" t="s">
        <v>8</v>
      </c>
      <c r="H550" t="s">
        <v>259</v>
      </c>
      <c r="I550" t="s">
        <v>260</v>
      </c>
      <c r="J550" t="s">
        <v>18</v>
      </c>
      <c r="K550" t="s">
        <v>26</v>
      </c>
      <c r="M550" t="s">
        <v>38</v>
      </c>
      <c r="N550">
        <v>1</v>
      </c>
      <c r="O550">
        <v>1072.01</v>
      </c>
      <c r="P550">
        <v>0</v>
      </c>
      <c r="Q550">
        <v>0</v>
      </c>
      <c r="R550">
        <v>1072.01</v>
      </c>
      <c r="S550">
        <v>852.62</v>
      </c>
      <c r="T550">
        <v>1072.01</v>
      </c>
      <c r="U550">
        <v>219.39</v>
      </c>
      <c r="V550">
        <v>0.20465294167032</v>
      </c>
      <c r="W550">
        <v>0</v>
      </c>
      <c r="X550" t="s">
        <v>173</v>
      </c>
      <c r="Y550">
        <v>2024</v>
      </c>
      <c r="Z550" t="s">
        <v>215</v>
      </c>
      <c r="AA550" t="s">
        <v>165</v>
      </c>
      <c r="AB550" t="s">
        <v>131</v>
      </c>
      <c r="AC550" t="s">
        <v>131</v>
      </c>
      <c r="AD550" t="s">
        <v>131</v>
      </c>
      <c r="AE550" t="s">
        <v>131</v>
      </c>
      <c r="AF550" t="s">
        <v>131</v>
      </c>
      <c r="AG550" t="s">
        <v>131</v>
      </c>
      <c r="AH550" t="s">
        <v>131</v>
      </c>
      <c r="AI550" t="s">
        <v>133</v>
      </c>
      <c r="AJ550" t="s">
        <v>335</v>
      </c>
      <c r="AK550" t="s">
        <v>334</v>
      </c>
      <c r="AL550" t="s">
        <v>255</v>
      </c>
      <c r="AM550" t="s">
        <v>43</v>
      </c>
      <c r="AN550" t="s">
        <v>8</v>
      </c>
      <c r="AO550" t="s">
        <v>259</v>
      </c>
      <c r="AP550" t="s">
        <v>260</v>
      </c>
      <c r="AQ550" t="s">
        <v>18</v>
      </c>
      <c r="AR550" t="s">
        <v>26</v>
      </c>
      <c r="AS550" t="s">
        <v>38</v>
      </c>
      <c r="AT550">
        <v>0</v>
      </c>
      <c r="AU550" t="s">
        <v>215</v>
      </c>
      <c r="AV550" t="s">
        <v>165</v>
      </c>
    </row>
    <row r="551" spans="1:48" x14ac:dyDescent="0.3">
      <c r="A551" t="s">
        <v>2215</v>
      </c>
      <c r="B551" s="12">
        <v>45941</v>
      </c>
      <c r="C551" s="12">
        <v>45943</v>
      </c>
      <c r="D551" t="s">
        <v>2216</v>
      </c>
      <c r="E551" t="s">
        <v>139</v>
      </c>
      <c r="F551" t="s">
        <v>43</v>
      </c>
      <c r="G551" t="s">
        <v>6</v>
      </c>
      <c r="H551" t="s">
        <v>155</v>
      </c>
      <c r="I551" t="s">
        <v>156</v>
      </c>
      <c r="J551" t="s">
        <v>20</v>
      </c>
      <c r="K551" t="s">
        <v>29</v>
      </c>
      <c r="M551" t="s">
        <v>37</v>
      </c>
      <c r="N551">
        <v>3</v>
      </c>
      <c r="O551">
        <v>3804.27</v>
      </c>
      <c r="P551">
        <v>0.1</v>
      </c>
      <c r="Q551">
        <v>0.1</v>
      </c>
      <c r="R551">
        <v>10271.530000000001</v>
      </c>
      <c r="S551">
        <v>8272.24</v>
      </c>
      <c r="T551">
        <v>10271.529</v>
      </c>
      <c r="U551">
        <v>1999.289</v>
      </c>
      <c r="V551">
        <v>0.19464375751653001</v>
      </c>
      <c r="W551">
        <v>2</v>
      </c>
      <c r="X551" t="s">
        <v>222</v>
      </c>
      <c r="Y551">
        <v>2025</v>
      </c>
      <c r="Z551" t="s">
        <v>129</v>
      </c>
      <c r="AA551" t="s">
        <v>130</v>
      </c>
      <c r="AB551" t="s">
        <v>131</v>
      </c>
      <c r="AC551" t="s">
        <v>131</v>
      </c>
      <c r="AD551" t="s">
        <v>131</v>
      </c>
      <c r="AE551" t="s">
        <v>131</v>
      </c>
      <c r="AF551" t="s">
        <v>131</v>
      </c>
      <c r="AG551" t="s">
        <v>131</v>
      </c>
      <c r="AH551" t="s">
        <v>132</v>
      </c>
      <c r="AI551" t="s">
        <v>133</v>
      </c>
      <c r="AJ551" t="s">
        <v>2217</v>
      </c>
      <c r="AK551" t="s">
        <v>2218</v>
      </c>
      <c r="AL551" t="s">
        <v>139</v>
      </c>
      <c r="AM551" t="s">
        <v>43</v>
      </c>
      <c r="AN551" t="s">
        <v>6</v>
      </c>
      <c r="AO551" t="s">
        <v>155</v>
      </c>
      <c r="AP551" t="s">
        <v>156</v>
      </c>
      <c r="AQ551" t="s">
        <v>20</v>
      </c>
      <c r="AR551" t="s">
        <v>29</v>
      </c>
      <c r="AS551" t="s">
        <v>37</v>
      </c>
      <c r="AT551">
        <v>0.1</v>
      </c>
      <c r="AU551" t="s">
        <v>129</v>
      </c>
      <c r="AV551" t="s">
        <v>130</v>
      </c>
    </row>
    <row r="552" spans="1:48" x14ac:dyDescent="0.3">
      <c r="A552" t="s">
        <v>2219</v>
      </c>
      <c r="B552" s="12">
        <v>45506</v>
      </c>
      <c r="C552" s="12">
        <v>45514</v>
      </c>
      <c r="D552" t="s">
        <v>2220</v>
      </c>
      <c r="E552" t="s">
        <v>139</v>
      </c>
      <c r="F552" t="s">
        <v>41</v>
      </c>
      <c r="G552" t="s">
        <v>8</v>
      </c>
      <c r="H552" t="s">
        <v>140</v>
      </c>
      <c r="I552" t="s">
        <v>141</v>
      </c>
      <c r="J552" t="s">
        <v>15</v>
      </c>
      <c r="K552" t="s">
        <v>22</v>
      </c>
      <c r="M552" t="s">
        <v>35</v>
      </c>
      <c r="N552">
        <v>6</v>
      </c>
      <c r="O552">
        <v>2126.44</v>
      </c>
      <c r="P552">
        <v>0.2</v>
      </c>
      <c r="Q552">
        <v>0.2</v>
      </c>
      <c r="R552">
        <v>10206.91</v>
      </c>
      <c r="S552">
        <v>6764.53</v>
      </c>
      <c r="T552">
        <v>10206.912</v>
      </c>
      <c r="U552">
        <v>3442.3820000000001</v>
      </c>
      <c r="V552">
        <v>0.33725988820125002</v>
      </c>
      <c r="W552">
        <v>8</v>
      </c>
      <c r="X552" t="s">
        <v>142</v>
      </c>
      <c r="Y552">
        <v>2024</v>
      </c>
      <c r="Z552" t="s">
        <v>129</v>
      </c>
      <c r="AA552" t="s">
        <v>130</v>
      </c>
      <c r="AB552" t="s">
        <v>131</v>
      </c>
      <c r="AC552" t="s">
        <v>131</v>
      </c>
      <c r="AD552" t="s">
        <v>131</v>
      </c>
      <c r="AE552" t="s">
        <v>131</v>
      </c>
      <c r="AF552" t="s">
        <v>131</v>
      </c>
      <c r="AG552" t="s">
        <v>131</v>
      </c>
      <c r="AH552" t="s">
        <v>132</v>
      </c>
      <c r="AI552" t="s">
        <v>133</v>
      </c>
      <c r="AJ552" t="s">
        <v>551</v>
      </c>
      <c r="AK552" t="s">
        <v>2221</v>
      </c>
      <c r="AL552" t="s">
        <v>139</v>
      </c>
      <c r="AM552" t="s">
        <v>41</v>
      </c>
      <c r="AN552" t="s">
        <v>8</v>
      </c>
      <c r="AO552" t="s">
        <v>140</v>
      </c>
      <c r="AP552" t="s">
        <v>141</v>
      </c>
      <c r="AQ552" t="s">
        <v>15</v>
      </c>
      <c r="AR552" t="s">
        <v>22</v>
      </c>
      <c r="AS552" t="s">
        <v>35</v>
      </c>
      <c r="AT552">
        <v>0.2</v>
      </c>
      <c r="AU552" t="s">
        <v>129</v>
      </c>
      <c r="AV552" t="s">
        <v>130</v>
      </c>
    </row>
    <row r="553" spans="1:48" x14ac:dyDescent="0.3">
      <c r="A553" t="s">
        <v>2222</v>
      </c>
      <c r="B553" s="12">
        <v>45349</v>
      </c>
      <c r="C553" s="12">
        <v>45349</v>
      </c>
      <c r="D553" t="s">
        <v>2223</v>
      </c>
      <c r="E553" t="s">
        <v>243</v>
      </c>
      <c r="F553" t="s">
        <v>42</v>
      </c>
      <c r="G553" t="s">
        <v>8</v>
      </c>
      <c r="H553" t="s">
        <v>362</v>
      </c>
      <c r="I553" t="s">
        <v>363</v>
      </c>
      <c r="J553" t="s">
        <v>18</v>
      </c>
      <c r="K553" t="s">
        <v>19</v>
      </c>
      <c r="M553" t="s">
        <v>37</v>
      </c>
      <c r="N553">
        <v>3</v>
      </c>
      <c r="O553">
        <v>3148.09</v>
      </c>
      <c r="P553">
        <v>0.15</v>
      </c>
      <c r="Q553">
        <v>0.15</v>
      </c>
      <c r="R553">
        <v>8027.63</v>
      </c>
      <c r="S553">
        <v>5496.09</v>
      </c>
      <c r="T553">
        <v>8027.6295</v>
      </c>
      <c r="U553">
        <v>2531.5394999999999</v>
      </c>
      <c r="V553">
        <v>0.31535330572991699</v>
      </c>
      <c r="W553">
        <v>0</v>
      </c>
      <c r="X553" t="s">
        <v>186</v>
      </c>
      <c r="Y553">
        <v>2024</v>
      </c>
      <c r="Z553" t="s">
        <v>129</v>
      </c>
      <c r="AA553" t="s">
        <v>130</v>
      </c>
      <c r="AB553" t="s">
        <v>131</v>
      </c>
      <c r="AC553" t="s">
        <v>131</v>
      </c>
      <c r="AD553" t="s">
        <v>131</v>
      </c>
      <c r="AE553" t="s">
        <v>131</v>
      </c>
      <c r="AF553" t="s">
        <v>131</v>
      </c>
      <c r="AG553" t="s">
        <v>131</v>
      </c>
      <c r="AH553" t="s">
        <v>132</v>
      </c>
      <c r="AI553" t="s">
        <v>133</v>
      </c>
      <c r="AJ553" t="s">
        <v>1778</v>
      </c>
      <c r="AK553" t="s">
        <v>2224</v>
      </c>
      <c r="AL553" t="s">
        <v>243</v>
      </c>
      <c r="AM553" t="s">
        <v>42</v>
      </c>
      <c r="AN553" t="s">
        <v>8</v>
      </c>
      <c r="AO553" t="s">
        <v>362</v>
      </c>
      <c r="AP553" t="s">
        <v>363</v>
      </c>
      <c r="AQ553" t="s">
        <v>18</v>
      </c>
      <c r="AR553" t="s">
        <v>19</v>
      </c>
      <c r="AS553" t="s">
        <v>37</v>
      </c>
      <c r="AT553">
        <v>0.15</v>
      </c>
      <c r="AU553" t="s">
        <v>129</v>
      </c>
      <c r="AV553" t="s">
        <v>130</v>
      </c>
    </row>
    <row r="554" spans="1:48" x14ac:dyDescent="0.3">
      <c r="A554" t="s">
        <v>2225</v>
      </c>
      <c r="B554" s="12">
        <v>45681</v>
      </c>
      <c r="C554" s="12">
        <v>45687</v>
      </c>
      <c r="D554" t="s">
        <v>2226</v>
      </c>
      <c r="E554" t="s">
        <v>162</v>
      </c>
      <c r="F554" t="s">
        <v>43</v>
      </c>
      <c r="G554" t="s">
        <v>8</v>
      </c>
      <c r="H554" t="s">
        <v>201</v>
      </c>
      <c r="I554" t="s">
        <v>202</v>
      </c>
      <c r="J554" t="s">
        <v>15</v>
      </c>
      <c r="K554" t="s">
        <v>16</v>
      </c>
      <c r="M554" t="s">
        <v>35</v>
      </c>
      <c r="N554">
        <v>8</v>
      </c>
      <c r="O554">
        <v>312.52999999999997</v>
      </c>
      <c r="P554">
        <v>0.7</v>
      </c>
      <c r="Q554">
        <v>0</v>
      </c>
      <c r="R554">
        <v>1875.18</v>
      </c>
      <c r="S554">
        <v>1579.17</v>
      </c>
      <c r="T554">
        <v>2500.2399999999998</v>
      </c>
      <c r="U554">
        <v>921.07</v>
      </c>
      <c r="V554">
        <v>0.368392634307106</v>
      </c>
      <c r="W554">
        <v>6</v>
      </c>
      <c r="X554" t="s">
        <v>244</v>
      </c>
      <c r="Y554">
        <v>2025</v>
      </c>
      <c r="Z554" t="s">
        <v>129</v>
      </c>
      <c r="AA554" t="s">
        <v>130</v>
      </c>
      <c r="AB554" t="s">
        <v>131</v>
      </c>
      <c r="AC554" t="s">
        <v>131</v>
      </c>
      <c r="AD554" t="s">
        <v>131</v>
      </c>
      <c r="AE554" t="s">
        <v>131</v>
      </c>
      <c r="AF554" t="s">
        <v>132</v>
      </c>
      <c r="AG554" t="s">
        <v>131</v>
      </c>
      <c r="AH554" t="s">
        <v>132</v>
      </c>
      <c r="AI554" t="s">
        <v>149</v>
      </c>
      <c r="AJ554" t="s">
        <v>265</v>
      </c>
      <c r="AK554" t="s">
        <v>391</v>
      </c>
      <c r="AL554" t="s">
        <v>162</v>
      </c>
      <c r="AM554" t="s">
        <v>43</v>
      </c>
      <c r="AN554" t="s">
        <v>8</v>
      </c>
      <c r="AO554" t="s">
        <v>201</v>
      </c>
      <c r="AP554" t="s">
        <v>202</v>
      </c>
      <c r="AQ554" t="s">
        <v>15</v>
      </c>
      <c r="AR554" t="s">
        <v>16</v>
      </c>
      <c r="AS554" t="s">
        <v>35</v>
      </c>
      <c r="AT554" t="s">
        <v>664</v>
      </c>
      <c r="AU554" t="s">
        <v>129</v>
      </c>
      <c r="AV554" t="s">
        <v>130</v>
      </c>
    </row>
    <row r="555" spans="1:48" x14ac:dyDescent="0.3">
      <c r="A555" t="s">
        <v>2227</v>
      </c>
      <c r="B555" s="12">
        <v>45772</v>
      </c>
      <c r="C555" s="12">
        <v>45775</v>
      </c>
      <c r="D555" t="s">
        <v>2228</v>
      </c>
      <c r="E555" t="s">
        <v>238</v>
      </c>
      <c r="F555" t="s">
        <v>44</v>
      </c>
      <c r="G555" t="s">
        <v>7</v>
      </c>
      <c r="H555" t="s">
        <v>300</v>
      </c>
      <c r="I555" t="s">
        <v>301</v>
      </c>
      <c r="J555" t="s">
        <v>20</v>
      </c>
      <c r="K555" t="s">
        <v>21</v>
      </c>
      <c r="M555" t="s">
        <v>36</v>
      </c>
      <c r="N555">
        <v>9</v>
      </c>
      <c r="O555">
        <v>1294.1099999999999</v>
      </c>
      <c r="P555">
        <v>0.25</v>
      </c>
      <c r="Q555">
        <v>0.25</v>
      </c>
      <c r="R555">
        <v>8735.24</v>
      </c>
      <c r="S555">
        <v>6620.07</v>
      </c>
      <c r="T555">
        <v>8735.2425000000003</v>
      </c>
      <c r="U555">
        <v>2115.1725000000001</v>
      </c>
      <c r="V555">
        <v>0.242142390437358</v>
      </c>
      <c r="W555">
        <v>3</v>
      </c>
      <c r="X555" t="s">
        <v>179</v>
      </c>
      <c r="Y555">
        <v>2025</v>
      </c>
      <c r="Z555" t="s">
        <v>129</v>
      </c>
      <c r="AA555" t="s">
        <v>130</v>
      </c>
      <c r="AB555" t="s">
        <v>131</v>
      </c>
      <c r="AC555" t="s">
        <v>131</v>
      </c>
      <c r="AD555" t="s">
        <v>131</v>
      </c>
      <c r="AE555" t="s">
        <v>131</v>
      </c>
      <c r="AF555" t="s">
        <v>131</v>
      </c>
      <c r="AG555" t="s">
        <v>131</v>
      </c>
      <c r="AH555" t="s">
        <v>132</v>
      </c>
      <c r="AI555" t="s">
        <v>133</v>
      </c>
      <c r="AJ555" t="s">
        <v>2229</v>
      </c>
      <c r="AK555" t="s">
        <v>2230</v>
      </c>
      <c r="AL555" t="s">
        <v>238</v>
      </c>
      <c r="AM555" t="s">
        <v>44</v>
      </c>
      <c r="AN555" t="s">
        <v>7</v>
      </c>
      <c r="AO555" t="s">
        <v>300</v>
      </c>
      <c r="AP555" t="s">
        <v>301</v>
      </c>
      <c r="AQ555" t="s">
        <v>20</v>
      </c>
      <c r="AR555" t="s">
        <v>21</v>
      </c>
      <c r="AS555" t="s">
        <v>36</v>
      </c>
      <c r="AT555">
        <v>0.25</v>
      </c>
      <c r="AU555" t="s">
        <v>129</v>
      </c>
      <c r="AV555" t="s">
        <v>130</v>
      </c>
    </row>
    <row r="556" spans="1:48" x14ac:dyDescent="0.3">
      <c r="A556" t="s">
        <v>2231</v>
      </c>
      <c r="B556" s="12">
        <v>45577</v>
      </c>
      <c r="C556" s="12">
        <v>45582</v>
      </c>
      <c r="D556" t="s">
        <v>2232</v>
      </c>
      <c r="E556" t="s">
        <v>154</v>
      </c>
      <c r="F556" t="s">
        <v>42</v>
      </c>
      <c r="G556" t="s">
        <v>10</v>
      </c>
      <c r="H556" t="s">
        <v>362</v>
      </c>
      <c r="I556" t="s">
        <v>363</v>
      </c>
      <c r="J556" t="s">
        <v>18</v>
      </c>
      <c r="K556" t="s">
        <v>23</v>
      </c>
      <c r="M556" t="s">
        <v>35</v>
      </c>
      <c r="N556">
        <v>4</v>
      </c>
      <c r="O556">
        <v>1071.22</v>
      </c>
      <c r="P556">
        <v>0.05</v>
      </c>
      <c r="Q556">
        <v>0.05</v>
      </c>
      <c r="R556">
        <v>4070.64</v>
      </c>
      <c r="S556">
        <v>2831.62</v>
      </c>
      <c r="T556">
        <v>4070.636</v>
      </c>
      <c r="U556">
        <v>1239.0160000000001</v>
      </c>
      <c r="V556">
        <v>0.30437897173807699</v>
      </c>
      <c r="W556">
        <v>5</v>
      </c>
      <c r="X556" t="s">
        <v>222</v>
      </c>
      <c r="Y556">
        <v>2024</v>
      </c>
      <c r="Z556" t="s">
        <v>129</v>
      </c>
      <c r="AA556" t="s">
        <v>130</v>
      </c>
      <c r="AB556" t="s">
        <v>132</v>
      </c>
      <c r="AC556" t="s">
        <v>131</v>
      </c>
      <c r="AD556" t="s">
        <v>131</v>
      </c>
      <c r="AE556" t="s">
        <v>131</v>
      </c>
      <c r="AF556" t="s">
        <v>131</v>
      </c>
      <c r="AG556" t="s">
        <v>131</v>
      </c>
      <c r="AH556" t="s">
        <v>132</v>
      </c>
      <c r="AI556" t="s">
        <v>321</v>
      </c>
      <c r="AJ556" t="s">
        <v>2233</v>
      </c>
      <c r="AK556" t="s">
        <v>2234</v>
      </c>
      <c r="AL556" t="s">
        <v>154</v>
      </c>
      <c r="AM556" t="s">
        <v>42</v>
      </c>
      <c r="AO556" t="s">
        <v>362</v>
      </c>
      <c r="AP556" t="s">
        <v>363</v>
      </c>
      <c r="AQ556" t="s">
        <v>18</v>
      </c>
      <c r="AR556" t="s">
        <v>23</v>
      </c>
      <c r="AS556" t="s">
        <v>35</v>
      </c>
      <c r="AT556">
        <v>0.05</v>
      </c>
      <c r="AU556" t="s">
        <v>129</v>
      </c>
      <c r="AV556" t="s">
        <v>130</v>
      </c>
    </row>
    <row r="557" spans="1:48" x14ac:dyDescent="0.3">
      <c r="A557" t="s">
        <v>2235</v>
      </c>
      <c r="B557" s="12">
        <v>45692</v>
      </c>
      <c r="C557" s="12">
        <v>45698</v>
      </c>
      <c r="D557" t="s">
        <v>2236</v>
      </c>
      <c r="E557" t="s">
        <v>162</v>
      </c>
      <c r="F557" t="s">
        <v>44</v>
      </c>
      <c r="G557" t="s">
        <v>6</v>
      </c>
      <c r="H557" t="s">
        <v>155</v>
      </c>
      <c r="I557" t="s">
        <v>156</v>
      </c>
      <c r="J557" t="s">
        <v>20</v>
      </c>
      <c r="K557" t="s">
        <v>21</v>
      </c>
      <c r="M557" t="s">
        <v>35</v>
      </c>
      <c r="N557">
        <v>6</v>
      </c>
      <c r="O557">
        <v>1042.8</v>
      </c>
      <c r="P557">
        <v>0.05</v>
      </c>
      <c r="Q557">
        <v>0.05</v>
      </c>
      <c r="R557">
        <v>5943.96</v>
      </c>
      <c r="S557">
        <v>3604.14</v>
      </c>
      <c r="T557">
        <v>5943.96</v>
      </c>
      <c r="U557">
        <v>2339.8200000000002</v>
      </c>
      <c r="V557">
        <v>0.39364665980255598</v>
      </c>
      <c r="W557">
        <v>6</v>
      </c>
      <c r="X557" t="s">
        <v>186</v>
      </c>
      <c r="Y557">
        <v>2025</v>
      </c>
      <c r="Z557" t="s">
        <v>129</v>
      </c>
      <c r="AA557" t="s">
        <v>130</v>
      </c>
      <c r="AB557" t="s">
        <v>131</v>
      </c>
      <c r="AC557" t="s">
        <v>131</v>
      </c>
      <c r="AD557" t="s">
        <v>131</v>
      </c>
      <c r="AE557" t="s">
        <v>131</v>
      </c>
      <c r="AF557" t="s">
        <v>131</v>
      </c>
      <c r="AG557" t="s">
        <v>131</v>
      </c>
      <c r="AH557" t="s">
        <v>132</v>
      </c>
      <c r="AI557" t="s">
        <v>133</v>
      </c>
      <c r="AJ557" t="s">
        <v>828</v>
      </c>
      <c r="AK557" t="s">
        <v>2237</v>
      </c>
      <c r="AL557" t="s">
        <v>162</v>
      </c>
      <c r="AM557" t="s">
        <v>44</v>
      </c>
      <c r="AN557" t="s">
        <v>6</v>
      </c>
      <c r="AO557" t="s">
        <v>155</v>
      </c>
      <c r="AP557" t="s">
        <v>156</v>
      </c>
      <c r="AQ557" t="s">
        <v>20</v>
      </c>
      <c r="AR557" t="s">
        <v>21</v>
      </c>
      <c r="AS557" t="s">
        <v>35</v>
      </c>
      <c r="AT557">
        <v>0.05</v>
      </c>
      <c r="AU557" t="s">
        <v>129</v>
      </c>
      <c r="AV557" t="s">
        <v>130</v>
      </c>
    </row>
    <row r="558" spans="1:48" x14ac:dyDescent="0.3">
      <c r="A558" t="s">
        <v>2238</v>
      </c>
      <c r="B558" s="12">
        <v>45466</v>
      </c>
      <c r="C558" s="12">
        <v>45472</v>
      </c>
      <c r="D558" t="s">
        <v>2239</v>
      </c>
      <c r="E558" t="s">
        <v>178</v>
      </c>
      <c r="F558" t="s">
        <v>42</v>
      </c>
      <c r="G558" t="s">
        <v>9</v>
      </c>
      <c r="H558" t="s">
        <v>372</v>
      </c>
      <c r="I558" t="s">
        <v>373</v>
      </c>
      <c r="J558" t="s">
        <v>18</v>
      </c>
      <c r="K558" t="s">
        <v>27</v>
      </c>
      <c r="M558" t="s">
        <v>36</v>
      </c>
      <c r="N558">
        <v>1</v>
      </c>
      <c r="O558">
        <v>4426.66</v>
      </c>
      <c r="P558">
        <v>0</v>
      </c>
      <c r="Q558">
        <v>0</v>
      </c>
      <c r="R558">
        <v>4426.66</v>
      </c>
      <c r="S558">
        <v>3035.2</v>
      </c>
      <c r="T558">
        <v>4426.66</v>
      </c>
      <c r="U558">
        <v>1391.46</v>
      </c>
      <c r="V558">
        <v>0.31433631677156099</v>
      </c>
      <c r="W558">
        <v>6</v>
      </c>
      <c r="X558" t="s">
        <v>148</v>
      </c>
      <c r="Y558">
        <v>2024</v>
      </c>
      <c r="Z558" t="s">
        <v>129</v>
      </c>
      <c r="AA558" t="s">
        <v>204</v>
      </c>
      <c r="AB558" t="s">
        <v>131</v>
      </c>
      <c r="AC558" t="s">
        <v>131</v>
      </c>
      <c r="AD558" t="s">
        <v>131</v>
      </c>
      <c r="AE558" t="s">
        <v>131</v>
      </c>
      <c r="AF558" t="s">
        <v>131</v>
      </c>
      <c r="AG558" t="s">
        <v>131</v>
      </c>
      <c r="AH558" t="s">
        <v>131</v>
      </c>
      <c r="AI558" t="s">
        <v>133</v>
      </c>
      <c r="AJ558" t="s">
        <v>1360</v>
      </c>
      <c r="AK558" t="s">
        <v>1783</v>
      </c>
      <c r="AL558" t="s">
        <v>178</v>
      </c>
      <c r="AM558" t="s">
        <v>42</v>
      </c>
      <c r="AN558" t="s">
        <v>9</v>
      </c>
      <c r="AO558" t="s">
        <v>372</v>
      </c>
      <c r="AP558" t="s">
        <v>373</v>
      </c>
      <c r="AQ558" t="s">
        <v>18</v>
      </c>
      <c r="AR558" t="s">
        <v>27</v>
      </c>
      <c r="AS558" t="s">
        <v>36</v>
      </c>
      <c r="AT558">
        <v>0</v>
      </c>
      <c r="AU558" t="s">
        <v>129</v>
      </c>
      <c r="AV558" t="s">
        <v>204</v>
      </c>
    </row>
    <row r="559" spans="1:48" x14ac:dyDescent="0.3">
      <c r="A559" t="s">
        <v>2240</v>
      </c>
      <c r="B559" s="12">
        <v>45420</v>
      </c>
      <c r="C559" s="12">
        <v>45426</v>
      </c>
      <c r="D559" t="s">
        <v>2241</v>
      </c>
      <c r="E559" t="s">
        <v>170</v>
      </c>
      <c r="F559" t="s">
        <v>41</v>
      </c>
      <c r="G559" t="s">
        <v>9</v>
      </c>
      <c r="H559" t="s">
        <v>372</v>
      </c>
      <c r="I559" t="s">
        <v>373</v>
      </c>
      <c r="J559" t="s">
        <v>15</v>
      </c>
      <c r="K559" t="s">
        <v>17</v>
      </c>
      <c r="M559" t="s">
        <v>36</v>
      </c>
      <c r="N559">
        <v>9</v>
      </c>
      <c r="O559">
        <v>3769.46</v>
      </c>
      <c r="P559">
        <v>0.05</v>
      </c>
      <c r="Q559">
        <v>0.05</v>
      </c>
      <c r="R559">
        <v>32228.880000000001</v>
      </c>
      <c r="S559">
        <v>24971.360000000001</v>
      </c>
      <c r="T559">
        <v>32228.883000000002</v>
      </c>
      <c r="U559">
        <v>7257.5230000000001</v>
      </c>
      <c r="V559">
        <v>0.22518692317074701</v>
      </c>
      <c r="W559">
        <v>6</v>
      </c>
      <c r="X559" t="s">
        <v>173</v>
      </c>
      <c r="Y559">
        <v>2024</v>
      </c>
      <c r="Z559" t="s">
        <v>129</v>
      </c>
      <c r="AA559" t="s">
        <v>165</v>
      </c>
      <c r="AB559" t="s">
        <v>131</v>
      </c>
      <c r="AC559" t="s">
        <v>131</v>
      </c>
      <c r="AD559" t="s">
        <v>131</v>
      </c>
      <c r="AE559" t="s">
        <v>131</v>
      </c>
      <c r="AF559" t="s">
        <v>131</v>
      </c>
      <c r="AG559" t="s">
        <v>131</v>
      </c>
      <c r="AH559" t="s">
        <v>131</v>
      </c>
      <c r="AI559" t="s">
        <v>133</v>
      </c>
      <c r="AJ559" t="s">
        <v>2242</v>
      </c>
      <c r="AK559" t="s">
        <v>2243</v>
      </c>
      <c r="AL559" t="s">
        <v>170</v>
      </c>
      <c r="AM559" t="s">
        <v>41</v>
      </c>
      <c r="AN559" t="s">
        <v>9</v>
      </c>
      <c r="AO559" t="s">
        <v>372</v>
      </c>
      <c r="AP559" t="s">
        <v>373</v>
      </c>
      <c r="AQ559" t="s">
        <v>15</v>
      </c>
      <c r="AR559" t="s">
        <v>17</v>
      </c>
      <c r="AS559" t="s">
        <v>36</v>
      </c>
      <c r="AT559">
        <v>0.05</v>
      </c>
      <c r="AU559" t="s">
        <v>129</v>
      </c>
      <c r="AV559" t="s">
        <v>165</v>
      </c>
    </row>
    <row r="560" spans="1:48" x14ac:dyDescent="0.3">
      <c r="A560" t="s">
        <v>2244</v>
      </c>
      <c r="B560" s="12">
        <v>45904</v>
      </c>
      <c r="C560" s="12">
        <v>45904</v>
      </c>
      <c r="D560" t="s">
        <v>2245</v>
      </c>
      <c r="E560" t="s">
        <v>191</v>
      </c>
      <c r="F560" t="s">
        <v>43</v>
      </c>
      <c r="G560" t="s">
        <v>9</v>
      </c>
      <c r="H560" t="s">
        <v>232</v>
      </c>
      <c r="I560" t="s">
        <v>233</v>
      </c>
      <c r="J560" t="s">
        <v>15</v>
      </c>
      <c r="K560" t="s">
        <v>25</v>
      </c>
      <c r="M560" t="s">
        <v>36</v>
      </c>
      <c r="N560">
        <v>8</v>
      </c>
      <c r="O560">
        <v>3079.95</v>
      </c>
      <c r="P560">
        <v>0.2</v>
      </c>
      <c r="Q560">
        <v>0.2</v>
      </c>
      <c r="R560">
        <v>19711.68</v>
      </c>
      <c r="S560">
        <v>14461.8</v>
      </c>
      <c r="T560">
        <v>19711.68</v>
      </c>
      <c r="U560">
        <v>5249.88</v>
      </c>
      <c r="V560">
        <v>0.266333463205572</v>
      </c>
      <c r="W560">
        <v>0</v>
      </c>
      <c r="X560" t="s">
        <v>196</v>
      </c>
      <c r="Y560">
        <v>2025</v>
      </c>
      <c r="Z560" t="s">
        <v>129</v>
      </c>
      <c r="AA560" t="s">
        <v>130</v>
      </c>
      <c r="AB560" t="s">
        <v>131</v>
      </c>
      <c r="AC560" t="s">
        <v>131</v>
      </c>
      <c r="AD560" t="s">
        <v>131</v>
      </c>
      <c r="AE560" t="s">
        <v>131</v>
      </c>
      <c r="AF560" t="s">
        <v>131</v>
      </c>
      <c r="AG560" t="s">
        <v>131</v>
      </c>
      <c r="AH560" t="s">
        <v>132</v>
      </c>
      <c r="AI560" t="s">
        <v>133</v>
      </c>
      <c r="AJ560" t="s">
        <v>2246</v>
      </c>
      <c r="AK560" t="s">
        <v>2247</v>
      </c>
      <c r="AL560" t="s">
        <v>191</v>
      </c>
      <c r="AM560" t="s">
        <v>43</v>
      </c>
      <c r="AN560" t="s">
        <v>9</v>
      </c>
      <c r="AO560" t="s">
        <v>232</v>
      </c>
      <c r="AP560" t="s">
        <v>233</v>
      </c>
      <c r="AQ560" t="s">
        <v>15</v>
      </c>
      <c r="AR560" t="s">
        <v>25</v>
      </c>
      <c r="AS560" t="s">
        <v>36</v>
      </c>
      <c r="AT560">
        <v>0.2</v>
      </c>
      <c r="AU560" t="s">
        <v>129</v>
      </c>
      <c r="AV560" t="s">
        <v>130</v>
      </c>
    </row>
    <row r="561" spans="1:48" x14ac:dyDescent="0.3">
      <c r="A561" t="s">
        <v>2248</v>
      </c>
      <c r="B561" s="12">
        <v>45930</v>
      </c>
      <c r="C561" s="12">
        <v>45937</v>
      </c>
      <c r="D561" t="s">
        <v>2249</v>
      </c>
      <c r="E561" t="s">
        <v>277</v>
      </c>
      <c r="F561" t="s">
        <v>43</v>
      </c>
      <c r="G561" t="s">
        <v>8</v>
      </c>
      <c r="H561" t="s">
        <v>259</v>
      </c>
      <c r="I561" t="s">
        <v>260</v>
      </c>
      <c r="J561" t="s">
        <v>15</v>
      </c>
      <c r="K561" t="s">
        <v>16</v>
      </c>
      <c r="M561" t="s">
        <v>37</v>
      </c>
      <c r="N561">
        <v>5</v>
      </c>
      <c r="O561">
        <v>3277.82</v>
      </c>
      <c r="P561">
        <v>0.1</v>
      </c>
      <c r="Q561">
        <v>0.1</v>
      </c>
      <c r="R561">
        <v>14750.19</v>
      </c>
      <c r="S561">
        <v>9482.58</v>
      </c>
      <c r="T561">
        <v>14750.19</v>
      </c>
      <c r="U561">
        <v>5267.61</v>
      </c>
      <c r="V561">
        <v>0.35712150148574401</v>
      </c>
      <c r="W561">
        <v>7</v>
      </c>
      <c r="X561" t="s">
        <v>196</v>
      </c>
      <c r="Y561">
        <v>2025</v>
      </c>
      <c r="Z561" t="s">
        <v>129</v>
      </c>
      <c r="AA561" t="s">
        <v>204</v>
      </c>
      <c r="AB561" t="s">
        <v>131</v>
      </c>
      <c r="AC561" t="s">
        <v>131</v>
      </c>
      <c r="AD561" t="s">
        <v>131</v>
      </c>
      <c r="AE561" t="s">
        <v>131</v>
      </c>
      <c r="AF561" t="s">
        <v>131</v>
      </c>
      <c r="AG561" t="s">
        <v>131</v>
      </c>
      <c r="AH561" t="s">
        <v>131</v>
      </c>
      <c r="AI561" t="s">
        <v>133</v>
      </c>
      <c r="AJ561" t="s">
        <v>1911</v>
      </c>
      <c r="AK561" t="s">
        <v>2250</v>
      </c>
      <c r="AL561" t="s">
        <v>277</v>
      </c>
      <c r="AM561" t="s">
        <v>43</v>
      </c>
      <c r="AN561" t="s">
        <v>8</v>
      </c>
      <c r="AO561" t="s">
        <v>259</v>
      </c>
      <c r="AP561" t="s">
        <v>260</v>
      </c>
      <c r="AQ561" t="s">
        <v>15</v>
      </c>
      <c r="AR561" t="s">
        <v>16</v>
      </c>
      <c r="AS561" t="s">
        <v>37</v>
      </c>
      <c r="AT561">
        <v>0.1</v>
      </c>
      <c r="AU561" t="s">
        <v>129</v>
      </c>
      <c r="AV561" t="s">
        <v>204</v>
      </c>
    </row>
    <row r="562" spans="1:48" x14ac:dyDescent="0.3">
      <c r="A562" t="s">
        <v>2251</v>
      </c>
      <c r="B562" s="12">
        <v>45307</v>
      </c>
      <c r="C562" s="12">
        <v>45313</v>
      </c>
      <c r="D562" t="s">
        <v>2252</v>
      </c>
      <c r="E562" t="s">
        <v>154</v>
      </c>
      <c r="F562" t="s">
        <v>42</v>
      </c>
      <c r="G562" t="s">
        <v>7</v>
      </c>
      <c r="H562" t="s">
        <v>311</v>
      </c>
      <c r="I562" t="s">
        <v>312</v>
      </c>
      <c r="J562" t="s">
        <v>20</v>
      </c>
      <c r="K562" t="s">
        <v>21</v>
      </c>
      <c r="M562" t="s">
        <v>35</v>
      </c>
      <c r="N562">
        <v>4</v>
      </c>
      <c r="O562">
        <v>282.52999999999997</v>
      </c>
      <c r="P562">
        <v>0</v>
      </c>
      <c r="Q562">
        <v>0</v>
      </c>
      <c r="R562">
        <v>1130.1199999999999</v>
      </c>
      <c r="S562">
        <v>848.62</v>
      </c>
      <c r="T562">
        <v>1130.1199999999999</v>
      </c>
      <c r="U562">
        <v>281.5</v>
      </c>
      <c r="V562">
        <v>0.249088592361873</v>
      </c>
      <c r="W562">
        <v>6</v>
      </c>
      <c r="X562" t="s">
        <v>244</v>
      </c>
      <c r="Y562">
        <v>2024</v>
      </c>
      <c r="Z562" t="s">
        <v>129</v>
      </c>
      <c r="AA562" t="s">
        <v>165</v>
      </c>
      <c r="AB562" t="s">
        <v>131</v>
      </c>
      <c r="AC562" t="s">
        <v>131</v>
      </c>
      <c r="AD562" t="s">
        <v>131</v>
      </c>
      <c r="AE562" t="s">
        <v>131</v>
      </c>
      <c r="AF562" t="s">
        <v>131</v>
      </c>
      <c r="AG562" t="s">
        <v>131</v>
      </c>
      <c r="AH562" t="s">
        <v>131</v>
      </c>
      <c r="AI562" t="s">
        <v>133</v>
      </c>
      <c r="AJ562" t="s">
        <v>2253</v>
      </c>
      <c r="AK562" t="s">
        <v>968</v>
      </c>
      <c r="AL562" t="s">
        <v>154</v>
      </c>
      <c r="AM562" t="s">
        <v>42</v>
      </c>
      <c r="AN562" t="s">
        <v>7</v>
      </c>
      <c r="AO562" t="s">
        <v>311</v>
      </c>
      <c r="AP562" t="s">
        <v>312</v>
      </c>
      <c r="AQ562" t="s">
        <v>20</v>
      </c>
      <c r="AR562" t="s">
        <v>21</v>
      </c>
      <c r="AS562" t="s">
        <v>35</v>
      </c>
      <c r="AT562">
        <v>0</v>
      </c>
      <c r="AU562" t="s">
        <v>129</v>
      </c>
      <c r="AV562" t="s">
        <v>165</v>
      </c>
    </row>
    <row r="563" spans="1:48" x14ac:dyDescent="0.3">
      <c r="A563" t="s">
        <v>2254</v>
      </c>
      <c r="B563" s="12">
        <v>45852</v>
      </c>
      <c r="C563" s="12">
        <v>45856</v>
      </c>
      <c r="D563" t="s">
        <v>2255</v>
      </c>
      <c r="E563" t="s">
        <v>191</v>
      </c>
      <c r="F563" t="s">
        <v>42</v>
      </c>
      <c r="G563" t="s">
        <v>9</v>
      </c>
      <c r="H563" t="s">
        <v>232</v>
      </c>
      <c r="I563" t="s">
        <v>233</v>
      </c>
      <c r="J563" t="s">
        <v>15</v>
      </c>
      <c r="K563" t="s">
        <v>16</v>
      </c>
      <c r="M563" t="s">
        <v>36</v>
      </c>
      <c r="N563">
        <v>4</v>
      </c>
      <c r="O563">
        <v>725.22</v>
      </c>
      <c r="P563">
        <v>0</v>
      </c>
      <c r="Q563">
        <v>0</v>
      </c>
      <c r="R563">
        <v>2900.88</v>
      </c>
      <c r="S563">
        <v>2391.85</v>
      </c>
      <c r="T563">
        <v>2900.88</v>
      </c>
      <c r="U563">
        <v>509.03</v>
      </c>
      <c r="V563">
        <v>0.17547433882132299</v>
      </c>
      <c r="W563">
        <v>4</v>
      </c>
      <c r="X563" t="s">
        <v>128</v>
      </c>
      <c r="Y563">
        <v>2025</v>
      </c>
      <c r="Z563" t="s">
        <v>215</v>
      </c>
      <c r="AA563" t="s">
        <v>204</v>
      </c>
      <c r="AB563" t="s">
        <v>131</v>
      </c>
      <c r="AC563" t="s">
        <v>131</v>
      </c>
      <c r="AD563" t="s">
        <v>131</v>
      </c>
      <c r="AE563" t="s">
        <v>131</v>
      </c>
      <c r="AF563" t="s">
        <v>131</v>
      </c>
      <c r="AG563" t="s">
        <v>131</v>
      </c>
      <c r="AH563" t="s">
        <v>131</v>
      </c>
      <c r="AI563" t="s">
        <v>133</v>
      </c>
      <c r="AJ563" t="s">
        <v>732</v>
      </c>
      <c r="AK563" t="s">
        <v>2256</v>
      </c>
      <c r="AL563" t="s">
        <v>191</v>
      </c>
      <c r="AM563" t="s">
        <v>42</v>
      </c>
      <c r="AN563" t="s">
        <v>9</v>
      </c>
      <c r="AO563" t="s">
        <v>232</v>
      </c>
      <c r="AP563" t="s">
        <v>233</v>
      </c>
      <c r="AQ563" t="s">
        <v>15</v>
      </c>
      <c r="AR563" t="s">
        <v>16</v>
      </c>
      <c r="AS563" t="s">
        <v>36</v>
      </c>
      <c r="AT563">
        <v>0</v>
      </c>
      <c r="AU563" t="s">
        <v>215</v>
      </c>
      <c r="AV563" t="s">
        <v>204</v>
      </c>
    </row>
    <row r="564" spans="1:48" x14ac:dyDescent="0.3">
      <c r="A564" t="s">
        <v>2257</v>
      </c>
      <c r="B564" s="12">
        <v>45422</v>
      </c>
      <c r="C564" s="12">
        <v>45428</v>
      </c>
      <c r="D564" t="s">
        <v>2258</v>
      </c>
      <c r="E564" t="s">
        <v>125</v>
      </c>
      <c r="F564" t="s">
        <v>42</v>
      </c>
      <c r="G564" t="s">
        <v>9</v>
      </c>
      <c r="H564" t="s">
        <v>232</v>
      </c>
      <c r="I564" t="s">
        <v>233</v>
      </c>
      <c r="J564" t="s">
        <v>20</v>
      </c>
      <c r="K564" t="s">
        <v>28</v>
      </c>
      <c r="M564" t="s">
        <v>38</v>
      </c>
      <c r="N564">
        <v>7</v>
      </c>
      <c r="O564">
        <v>121.54</v>
      </c>
      <c r="P564">
        <v>0.2</v>
      </c>
      <c r="Q564">
        <v>0.2</v>
      </c>
      <c r="R564">
        <v>680.62</v>
      </c>
      <c r="S564">
        <v>463.49</v>
      </c>
      <c r="T564">
        <v>680.62400000000002</v>
      </c>
      <c r="U564">
        <v>217.13399999999999</v>
      </c>
      <c r="V564">
        <v>0.31902195632243402</v>
      </c>
      <c r="W564">
        <v>6</v>
      </c>
      <c r="X564" t="s">
        <v>173</v>
      </c>
      <c r="Y564">
        <v>2024</v>
      </c>
      <c r="Z564" t="s">
        <v>269</v>
      </c>
      <c r="AA564" t="s">
        <v>204</v>
      </c>
      <c r="AB564" t="s">
        <v>131</v>
      </c>
      <c r="AC564" t="s">
        <v>131</v>
      </c>
      <c r="AD564" t="s">
        <v>131</v>
      </c>
      <c r="AE564" t="s">
        <v>131</v>
      </c>
      <c r="AF564" t="s">
        <v>131</v>
      </c>
      <c r="AG564" t="s">
        <v>131</v>
      </c>
      <c r="AH564" t="s">
        <v>131</v>
      </c>
      <c r="AI564" t="s">
        <v>133</v>
      </c>
      <c r="AJ564" t="s">
        <v>2259</v>
      </c>
      <c r="AK564" t="s">
        <v>2211</v>
      </c>
      <c r="AL564" t="s">
        <v>125</v>
      </c>
      <c r="AM564" t="s">
        <v>42</v>
      </c>
      <c r="AN564" t="s">
        <v>9</v>
      </c>
      <c r="AO564" t="s">
        <v>232</v>
      </c>
      <c r="AP564" t="s">
        <v>233</v>
      </c>
      <c r="AQ564" t="s">
        <v>20</v>
      </c>
      <c r="AR564" t="s">
        <v>28</v>
      </c>
      <c r="AS564" t="s">
        <v>38</v>
      </c>
      <c r="AT564">
        <v>0.2</v>
      </c>
      <c r="AU564" t="s">
        <v>269</v>
      </c>
      <c r="AV564" t="s">
        <v>204</v>
      </c>
    </row>
    <row r="565" spans="1:48" x14ac:dyDescent="0.3">
      <c r="A565" t="s">
        <v>2260</v>
      </c>
      <c r="B565" s="12">
        <v>45418</v>
      </c>
      <c r="C565" s="12">
        <v>45424</v>
      </c>
      <c r="D565" t="s">
        <v>2261</v>
      </c>
      <c r="E565" t="s">
        <v>154</v>
      </c>
      <c r="F565" t="s">
        <v>43</v>
      </c>
      <c r="G565" t="s">
        <v>7</v>
      </c>
      <c r="H565" t="s">
        <v>311</v>
      </c>
      <c r="I565" t="s">
        <v>312</v>
      </c>
      <c r="J565" t="s">
        <v>18</v>
      </c>
      <c r="K565" t="s">
        <v>27</v>
      </c>
      <c r="M565" t="s">
        <v>35</v>
      </c>
      <c r="N565">
        <v>9</v>
      </c>
      <c r="O565">
        <v>790.97</v>
      </c>
      <c r="P565">
        <v>0.2</v>
      </c>
      <c r="Q565">
        <v>0.2</v>
      </c>
      <c r="R565">
        <v>5694.98</v>
      </c>
      <c r="S565">
        <v>4618.33</v>
      </c>
      <c r="T565">
        <v>5694.9840000000004</v>
      </c>
      <c r="U565">
        <v>1076.654</v>
      </c>
      <c r="V565">
        <v>0.18905303333600201</v>
      </c>
      <c r="W565">
        <v>6</v>
      </c>
      <c r="X565" t="s">
        <v>173</v>
      </c>
      <c r="Y565">
        <v>2024</v>
      </c>
      <c r="Z565" t="s">
        <v>215</v>
      </c>
      <c r="AA565" t="s">
        <v>165</v>
      </c>
      <c r="AB565" t="s">
        <v>131</v>
      </c>
      <c r="AC565" t="s">
        <v>131</v>
      </c>
      <c r="AD565" t="s">
        <v>131</v>
      </c>
      <c r="AE565" t="s">
        <v>131</v>
      </c>
      <c r="AF565" t="s">
        <v>131</v>
      </c>
      <c r="AG565" t="s">
        <v>131</v>
      </c>
      <c r="AH565" t="s">
        <v>131</v>
      </c>
      <c r="AI565" t="s">
        <v>133</v>
      </c>
      <c r="AJ565" t="s">
        <v>2262</v>
      </c>
      <c r="AK565" t="s">
        <v>1540</v>
      </c>
      <c r="AL565" t="s">
        <v>154</v>
      </c>
      <c r="AM565" t="s">
        <v>43</v>
      </c>
      <c r="AN565" t="s">
        <v>7</v>
      </c>
      <c r="AO565" t="s">
        <v>311</v>
      </c>
      <c r="AP565" t="s">
        <v>312</v>
      </c>
      <c r="AQ565" t="s">
        <v>18</v>
      </c>
      <c r="AR565" t="s">
        <v>27</v>
      </c>
      <c r="AS565" t="s">
        <v>35</v>
      </c>
      <c r="AT565">
        <v>0.2</v>
      </c>
      <c r="AU565" t="s">
        <v>215</v>
      </c>
      <c r="AV565" t="s">
        <v>165</v>
      </c>
    </row>
    <row r="566" spans="1:48" x14ac:dyDescent="0.3">
      <c r="A566" t="s">
        <v>2263</v>
      </c>
      <c r="B566" s="12">
        <v>45606</v>
      </c>
      <c r="C566" s="12">
        <v>45610</v>
      </c>
      <c r="D566" t="s">
        <v>2264</v>
      </c>
      <c r="E566" t="s">
        <v>243</v>
      </c>
      <c r="F566" t="s">
        <v>43</v>
      </c>
      <c r="G566" t="s">
        <v>6</v>
      </c>
      <c r="H566" t="s">
        <v>184</v>
      </c>
      <c r="I566" t="s">
        <v>185</v>
      </c>
      <c r="J566" t="s">
        <v>18</v>
      </c>
      <c r="K566" t="s">
        <v>27</v>
      </c>
      <c r="M566" t="s">
        <v>36</v>
      </c>
      <c r="N566">
        <v>2</v>
      </c>
      <c r="O566">
        <v>921.34</v>
      </c>
      <c r="P566">
        <v>0.2</v>
      </c>
      <c r="Q566">
        <v>0.2</v>
      </c>
      <c r="R566">
        <v>1474.14</v>
      </c>
      <c r="S566">
        <v>968.46</v>
      </c>
      <c r="T566">
        <v>1474.144</v>
      </c>
      <c r="U566">
        <v>505.68400000000003</v>
      </c>
      <c r="V566">
        <v>0.34303568715132299</v>
      </c>
      <c r="W566">
        <v>4</v>
      </c>
      <c r="X566" t="s">
        <v>157</v>
      </c>
      <c r="Y566">
        <v>2024</v>
      </c>
      <c r="Z566" t="s">
        <v>129</v>
      </c>
      <c r="AA566" t="s">
        <v>130</v>
      </c>
      <c r="AB566" t="s">
        <v>131</v>
      </c>
      <c r="AC566" t="s">
        <v>131</v>
      </c>
      <c r="AD566" t="s">
        <v>131</v>
      </c>
      <c r="AE566" t="s">
        <v>131</v>
      </c>
      <c r="AF566" t="s">
        <v>131</v>
      </c>
      <c r="AG566" t="s">
        <v>131</v>
      </c>
      <c r="AH566" t="s">
        <v>132</v>
      </c>
      <c r="AI566" t="s">
        <v>133</v>
      </c>
      <c r="AJ566" t="s">
        <v>193</v>
      </c>
      <c r="AK566" t="s">
        <v>2265</v>
      </c>
      <c r="AL566" t="s">
        <v>243</v>
      </c>
      <c r="AM566" t="s">
        <v>43</v>
      </c>
      <c r="AN566" t="s">
        <v>6</v>
      </c>
      <c r="AO566" t="s">
        <v>184</v>
      </c>
      <c r="AP566" t="s">
        <v>185</v>
      </c>
      <c r="AQ566" t="s">
        <v>18</v>
      </c>
      <c r="AR566" t="s">
        <v>27</v>
      </c>
      <c r="AS566" t="s">
        <v>36</v>
      </c>
      <c r="AT566">
        <v>0.2</v>
      </c>
      <c r="AU566" t="s">
        <v>129</v>
      </c>
      <c r="AV566" t="s">
        <v>130</v>
      </c>
    </row>
    <row r="567" spans="1:48" x14ac:dyDescent="0.3">
      <c r="A567" t="s">
        <v>2266</v>
      </c>
      <c r="B567" s="12">
        <v>45876</v>
      </c>
      <c r="C567" s="12">
        <v>45882</v>
      </c>
      <c r="D567" t="s">
        <v>2267</v>
      </c>
      <c r="E567" t="s">
        <v>139</v>
      </c>
      <c r="F567" t="s">
        <v>43</v>
      </c>
      <c r="G567" t="s">
        <v>9</v>
      </c>
      <c r="H567" t="s">
        <v>522</v>
      </c>
      <c r="I567" t="s">
        <v>523</v>
      </c>
      <c r="J567" t="s">
        <v>15</v>
      </c>
      <c r="K567" t="s">
        <v>17</v>
      </c>
      <c r="M567" t="s">
        <v>35</v>
      </c>
      <c r="N567">
        <v>6</v>
      </c>
      <c r="O567">
        <v>1921.86</v>
      </c>
      <c r="P567">
        <v>0.2</v>
      </c>
      <c r="Q567">
        <v>0.2</v>
      </c>
      <c r="R567">
        <v>9224.93</v>
      </c>
      <c r="S567">
        <v>7005.2</v>
      </c>
      <c r="T567">
        <v>9224.9279999999999</v>
      </c>
      <c r="U567">
        <v>2219.7280000000001</v>
      </c>
      <c r="V567">
        <v>0.24062279944081999</v>
      </c>
      <c r="W567">
        <v>6</v>
      </c>
      <c r="X567" t="s">
        <v>142</v>
      </c>
      <c r="Y567">
        <v>2025</v>
      </c>
      <c r="Z567" t="s">
        <v>203</v>
      </c>
      <c r="AA567" t="s">
        <v>165</v>
      </c>
      <c r="AB567" t="s">
        <v>131</v>
      </c>
      <c r="AC567" t="s">
        <v>131</v>
      </c>
      <c r="AD567" t="s">
        <v>131</v>
      </c>
      <c r="AE567" t="s">
        <v>131</v>
      </c>
      <c r="AF567" t="s">
        <v>131</v>
      </c>
      <c r="AG567" t="s">
        <v>131</v>
      </c>
      <c r="AH567" t="s">
        <v>131</v>
      </c>
      <c r="AI567" t="s">
        <v>133</v>
      </c>
      <c r="AJ567" t="s">
        <v>2268</v>
      </c>
      <c r="AK567" t="s">
        <v>308</v>
      </c>
      <c r="AL567" t="s">
        <v>139</v>
      </c>
      <c r="AM567" t="s">
        <v>43</v>
      </c>
      <c r="AN567" t="s">
        <v>9</v>
      </c>
      <c r="AO567" t="s">
        <v>522</v>
      </c>
      <c r="AP567" t="s">
        <v>523</v>
      </c>
      <c r="AQ567" t="s">
        <v>15</v>
      </c>
      <c r="AR567" t="s">
        <v>17</v>
      </c>
      <c r="AS567" t="s">
        <v>35</v>
      </c>
      <c r="AT567">
        <v>0.2</v>
      </c>
      <c r="AU567" t="s">
        <v>203</v>
      </c>
      <c r="AV567" t="s">
        <v>165</v>
      </c>
    </row>
    <row r="568" spans="1:48" x14ac:dyDescent="0.3">
      <c r="A568" t="s">
        <v>2269</v>
      </c>
      <c r="B568" s="12">
        <v>45515</v>
      </c>
      <c r="C568" s="12">
        <v>45523</v>
      </c>
      <c r="D568" t="s">
        <v>2270</v>
      </c>
      <c r="E568" t="s">
        <v>243</v>
      </c>
      <c r="F568" t="s">
        <v>44</v>
      </c>
      <c r="G568" t="s">
        <v>7</v>
      </c>
      <c r="H568" t="s">
        <v>163</v>
      </c>
      <c r="I568" t="s">
        <v>164</v>
      </c>
      <c r="J568" t="s">
        <v>20</v>
      </c>
      <c r="K568" t="s">
        <v>24</v>
      </c>
      <c r="M568" t="s">
        <v>38</v>
      </c>
      <c r="N568">
        <v>2</v>
      </c>
      <c r="O568">
        <v>2617.89</v>
      </c>
      <c r="P568">
        <v>0.1</v>
      </c>
      <c r="Q568">
        <v>0.1</v>
      </c>
      <c r="R568">
        <v>4712.2</v>
      </c>
      <c r="S568">
        <v>3851.91</v>
      </c>
      <c r="T568">
        <v>4712.2020000000002</v>
      </c>
      <c r="U568">
        <v>860.29200000000003</v>
      </c>
      <c r="V568">
        <v>0.18256687637754099</v>
      </c>
      <c r="W568">
        <v>8</v>
      </c>
      <c r="X568" t="s">
        <v>142</v>
      </c>
      <c r="Y568">
        <v>2024</v>
      </c>
      <c r="Z568" t="s">
        <v>269</v>
      </c>
      <c r="AA568" t="s">
        <v>204</v>
      </c>
      <c r="AB568" t="s">
        <v>131</v>
      </c>
      <c r="AC568" t="s">
        <v>131</v>
      </c>
      <c r="AD568" t="s">
        <v>131</v>
      </c>
      <c r="AE568" t="s">
        <v>131</v>
      </c>
      <c r="AF568" t="s">
        <v>131</v>
      </c>
      <c r="AG568" t="s">
        <v>131</v>
      </c>
      <c r="AH568" t="s">
        <v>131</v>
      </c>
      <c r="AI568" t="s">
        <v>133</v>
      </c>
      <c r="AJ568" t="s">
        <v>2051</v>
      </c>
      <c r="AK568" t="s">
        <v>2271</v>
      </c>
      <c r="AL568" t="s">
        <v>243</v>
      </c>
      <c r="AM568" t="s">
        <v>44</v>
      </c>
      <c r="AN568" t="s">
        <v>7</v>
      </c>
      <c r="AO568" t="s">
        <v>163</v>
      </c>
      <c r="AP568" t="s">
        <v>164</v>
      </c>
      <c r="AQ568" t="s">
        <v>20</v>
      </c>
      <c r="AR568" t="s">
        <v>24</v>
      </c>
      <c r="AS568" t="s">
        <v>38</v>
      </c>
      <c r="AT568">
        <v>0.1</v>
      </c>
      <c r="AU568" t="s">
        <v>269</v>
      </c>
      <c r="AV568" t="s">
        <v>204</v>
      </c>
    </row>
    <row r="569" spans="1:48" x14ac:dyDescent="0.3">
      <c r="A569" t="s">
        <v>2272</v>
      </c>
      <c r="B569" s="12">
        <v>45328</v>
      </c>
      <c r="C569" s="12">
        <v>45332</v>
      </c>
      <c r="D569" t="s">
        <v>2273</v>
      </c>
      <c r="E569" t="s">
        <v>154</v>
      </c>
      <c r="F569" t="s">
        <v>41</v>
      </c>
      <c r="G569" t="s">
        <v>9</v>
      </c>
      <c r="H569" t="s">
        <v>249</v>
      </c>
      <c r="I569" t="s">
        <v>250</v>
      </c>
      <c r="J569" t="s">
        <v>18</v>
      </c>
      <c r="K569" t="s">
        <v>23</v>
      </c>
      <c r="M569" t="s">
        <v>38</v>
      </c>
      <c r="N569">
        <v>1</v>
      </c>
      <c r="O569">
        <v>1374.06</v>
      </c>
      <c r="P569">
        <v>0.05</v>
      </c>
      <c r="Q569">
        <v>0.05</v>
      </c>
      <c r="R569">
        <v>1305.3599999999999</v>
      </c>
      <c r="S569">
        <v>731.89</v>
      </c>
      <c r="T569">
        <v>1305.357</v>
      </c>
      <c r="U569">
        <v>573.46699999999998</v>
      </c>
      <c r="V569">
        <v>0.43931813289391303</v>
      </c>
      <c r="W569">
        <v>4</v>
      </c>
      <c r="X569" t="s">
        <v>186</v>
      </c>
      <c r="Y569">
        <v>2024</v>
      </c>
      <c r="Z569" t="s">
        <v>129</v>
      </c>
      <c r="AA569" t="s">
        <v>130</v>
      </c>
      <c r="AB569" t="s">
        <v>131</v>
      </c>
      <c r="AC569" t="s">
        <v>131</v>
      </c>
      <c r="AD569" t="s">
        <v>131</v>
      </c>
      <c r="AE569" t="s">
        <v>131</v>
      </c>
      <c r="AF569" t="s">
        <v>131</v>
      </c>
      <c r="AG569" t="s">
        <v>131</v>
      </c>
      <c r="AH569" t="s">
        <v>132</v>
      </c>
      <c r="AI569" t="s">
        <v>133</v>
      </c>
      <c r="AJ569" t="s">
        <v>2274</v>
      </c>
      <c r="AK569" t="s">
        <v>2275</v>
      </c>
      <c r="AL569" t="s">
        <v>154</v>
      </c>
      <c r="AM569" t="s">
        <v>41</v>
      </c>
      <c r="AN569" t="s">
        <v>9</v>
      </c>
      <c r="AO569" t="s">
        <v>249</v>
      </c>
      <c r="AP569" t="s">
        <v>250</v>
      </c>
      <c r="AQ569" t="s">
        <v>18</v>
      </c>
      <c r="AR569" t="s">
        <v>23</v>
      </c>
      <c r="AS569" t="s">
        <v>38</v>
      </c>
      <c r="AT569">
        <v>0.05</v>
      </c>
      <c r="AU569" t="s">
        <v>129</v>
      </c>
      <c r="AV569" t="s">
        <v>130</v>
      </c>
    </row>
    <row r="570" spans="1:48" x14ac:dyDescent="0.3">
      <c r="A570" t="s">
        <v>2276</v>
      </c>
      <c r="B570" s="12">
        <v>45312</v>
      </c>
      <c r="C570" s="12">
        <v>45315</v>
      </c>
      <c r="D570" t="s">
        <v>2277</v>
      </c>
      <c r="E570" t="s">
        <v>409</v>
      </c>
      <c r="F570" t="s">
        <v>43</v>
      </c>
      <c r="G570" t="s">
        <v>9</v>
      </c>
      <c r="H570" t="s">
        <v>232</v>
      </c>
      <c r="I570" t="s">
        <v>233</v>
      </c>
      <c r="J570" t="s">
        <v>15</v>
      </c>
      <c r="K570" t="s">
        <v>25</v>
      </c>
      <c r="M570" t="s">
        <v>38</v>
      </c>
      <c r="N570">
        <v>1</v>
      </c>
      <c r="O570">
        <v>3806.3</v>
      </c>
      <c r="P570">
        <v>0.25</v>
      </c>
      <c r="Q570">
        <v>0.25</v>
      </c>
      <c r="R570">
        <v>2854.73</v>
      </c>
      <c r="S570">
        <v>1968.12</v>
      </c>
      <c r="T570">
        <v>2854.7249999999999</v>
      </c>
      <c r="U570">
        <v>886.60500000000104</v>
      </c>
      <c r="V570">
        <v>0.310574573733022</v>
      </c>
      <c r="W570">
        <v>3</v>
      </c>
      <c r="X570" t="s">
        <v>244</v>
      </c>
      <c r="Y570">
        <v>2024</v>
      </c>
      <c r="Z570" t="s">
        <v>129</v>
      </c>
      <c r="AA570" t="s">
        <v>130</v>
      </c>
      <c r="AB570" t="s">
        <v>131</v>
      </c>
      <c r="AC570" t="s">
        <v>131</v>
      </c>
      <c r="AD570" t="s">
        <v>131</v>
      </c>
      <c r="AE570" t="s">
        <v>131</v>
      </c>
      <c r="AF570" t="s">
        <v>131</v>
      </c>
      <c r="AG570" t="s">
        <v>131</v>
      </c>
      <c r="AH570" t="s">
        <v>132</v>
      </c>
      <c r="AI570" t="s">
        <v>133</v>
      </c>
      <c r="AJ570" t="s">
        <v>1490</v>
      </c>
      <c r="AK570" t="s">
        <v>2278</v>
      </c>
      <c r="AL570" t="s">
        <v>409</v>
      </c>
      <c r="AM570" t="s">
        <v>43</v>
      </c>
      <c r="AN570" t="s">
        <v>9</v>
      </c>
      <c r="AO570" t="s">
        <v>232</v>
      </c>
      <c r="AP570" t="s">
        <v>233</v>
      </c>
      <c r="AQ570" t="s">
        <v>15</v>
      </c>
      <c r="AR570" t="s">
        <v>25</v>
      </c>
      <c r="AS570" t="s">
        <v>38</v>
      </c>
      <c r="AT570">
        <v>0.25</v>
      </c>
      <c r="AU570" t="s">
        <v>129</v>
      </c>
      <c r="AV570" t="s">
        <v>130</v>
      </c>
    </row>
    <row r="571" spans="1:48" x14ac:dyDescent="0.3">
      <c r="A571" t="s">
        <v>2279</v>
      </c>
      <c r="B571" s="12">
        <v>45908</v>
      </c>
      <c r="C571" s="12">
        <v>45910</v>
      </c>
      <c r="D571" t="s">
        <v>2280</v>
      </c>
      <c r="E571" t="s">
        <v>227</v>
      </c>
      <c r="F571" t="s">
        <v>41</v>
      </c>
      <c r="G571" t="s">
        <v>7</v>
      </c>
      <c r="H571" t="s">
        <v>163</v>
      </c>
      <c r="I571" t="s">
        <v>164</v>
      </c>
      <c r="J571" t="s">
        <v>18</v>
      </c>
      <c r="K571" t="s">
        <v>23</v>
      </c>
      <c r="M571" t="s">
        <v>35</v>
      </c>
      <c r="N571">
        <v>6</v>
      </c>
      <c r="O571">
        <v>3251.17</v>
      </c>
      <c r="P571">
        <v>0.25</v>
      </c>
      <c r="Q571">
        <v>0.25</v>
      </c>
      <c r="R571">
        <v>14630.26</v>
      </c>
      <c r="S571">
        <v>11906.36</v>
      </c>
      <c r="T571">
        <v>14630.264999999999</v>
      </c>
      <c r="U571">
        <v>2723.9050000000002</v>
      </c>
      <c r="V571">
        <v>0.186182888689986</v>
      </c>
      <c r="W571">
        <v>2</v>
      </c>
      <c r="X571" t="s">
        <v>196</v>
      </c>
      <c r="Y571">
        <v>2025</v>
      </c>
      <c r="Z571" t="s">
        <v>203</v>
      </c>
      <c r="AA571" t="s">
        <v>204</v>
      </c>
      <c r="AB571" t="s">
        <v>131</v>
      </c>
      <c r="AC571" t="s">
        <v>131</v>
      </c>
      <c r="AD571" t="s">
        <v>131</v>
      </c>
      <c r="AE571" t="s">
        <v>131</v>
      </c>
      <c r="AF571" t="s">
        <v>131</v>
      </c>
      <c r="AG571" t="s">
        <v>131</v>
      </c>
      <c r="AH571" t="s">
        <v>131</v>
      </c>
      <c r="AI571" t="s">
        <v>133</v>
      </c>
      <c r="AJ571" t="s">
        <v>2281</v>
      </c>
      <c r="AK571" t="s">
        <v>2282</v>
      </c>
      <c r="AL571" t="s">
        <v>227</v>
      </c>
      <c r="AM571" t="s">
        <v>41</v>
      </c>
      <c r="AN571" t="s">
        <v>7</v>
      </c>
      <c r="AO571" t="s">
        <v>163</v>
      </c>
      <c r="AP571" t="s">
        <v>164</v>
      </c>
      <c r="AQ571" t="s">
        <v>18</v>
      </c>
      <c r="AR571" t="s">
        <v>23</v>
      </c>
      <c r="AS571" t="s">
        <v>35</v>
      </c>
      <c r="AT571">
        <v>0.25</v>
      </c>
      <c r="AU571" t="s">
        <v>203</v>
      </c>
      <c r="AV571" t="s">
        <v>204</v>
      </c>
    </row>
    <row r="572" spans="1:48" x14ac:dyDescent="0.3">
      <c r="A572" t="s">
        <v>2283</v>
      </c>
      <c r="B572" s="12">
        <v>45887</v>
      </c>
      <c r="C572" s="12">
        <v>45891</v>
      </c>
      <c r="D572" t="s">
        <v>2284</v>
      </c>
      <c r="E572" t="s">
        <v>154</v>
      </c>
      <c r="F572" t="s">
        <v>42</v>
      </c>
      <c r="G572" t="s">
        <v>8</v>
      </c>
      <c r="H572" t="s">
        <v>362</v>
      </c>
      <c r="I572" t="s">
        <v>363</v>
      </c>
      <c r="J572" t="s">
        <v>18</v>
      </c>
      <c r="K572" t="s">
        <v>23</v>
      </c>
      <c r="M572" t="s">
        <v>37</v>
      </c>
      <c r="N572">
        <v>3</v>
      </c>
      <c r="O572">
        <v>3946.44</v>
      </c>
      <c r="P572">
        <v>0.25</v>
      </c>
      <c r="Q572">
        <v>0.25</v>
      </c>
      <c r="R572">
        <v>8879.49</v>
      </c>
      <c r="S572">
        <v>6344.57</v>
      </c>
      <c r="T572">
        <v>8879.49</v>
      </c>
      <c r="U572">
        <v>2534.92</v>
      </c>
      <c r="V572">
        <v>0.28548035979543901</v>
      </c>
      <c r="W572">
        <v>4</v>
      </c>
      <c r="X572" t="s">
        <v>142</v>
      </c>
      <c r="Y572">
        <v>2025</v>
      </c>
      <c r="Z572" t="s">
        <v>269</v>
      </c>
      <c r="AA572" t="s">
        <v>204</v>
      </c>
      <c r="AB572" t="s">
        <v>131</v>
      </c>
      <c r="AC572" t="s">
        <v>131</v>
      </c>
      <c r="AD572" t="s">
        <v>131</v>
      </c>
      <c r="AE572" t="s">
        <v>131</v>
      </c>
      <c r="AF572" t="s">
        <v>131</v>
      </c>
      <c r="AG572" t="s">
        <v>131</v>
      </c>
      <c r="AH572" t="s">
        <v>131</v>
      </c>
      <c r="AI572" t="s">
        <v>133</v>
      </c>
      <c r="AJ572" t="s">
        <v>859</v>
      </c>
      <c r="AK572" t="s">
        <v>680</v>
      </c>
      <c r="AL572" t="s">
        <v>154</v>
      </c>
      <c r="AM572" t="s">
        <v>42</v>
      </c>
      <c r="AN572" t="s">
        <v>8</v>
      </c>
      <c r="AO572" t="s">
        <v>362</v>
      </c>
      <c r="AP572" t="s">
        <v>363</v>
      </c>
      <c r="AQ572" t="s">
        <v>18</v>
      </c>
      <c r="AR572" t="s">
        <v>23</v>
      </c>
      <c r="AS572" t="s">
        <v>37</v>
      </c>
      <c r="AT572">
        <v>0.25</v>
      </c>
      <c r="AU572" t="s">
        <v>269</v>
      </c>
      <c r="AV572" t="s">
        <v>204</v>
      </c>
    </row>
    <row r="573" spans="1:48" x14ac:dyDescent="0.3">
      <c r="A573" t="s">
        <v>2285</v>
      </c>
      <c r="B573" s="12">
        <v>45698</v>
      </c>
      <c r="C573" s="12">
        <v>45702</v>
      </c>
      <c r="D573" t="s">
        <v>2286</v>
      </c>
      <c r="E573" t="s">
        <v>221</v>
      </c>
      <c r="F573" t="s">
        <v>44</v>
      </c>
      <c r="G573" t="s">
        <v>9</v>
      </c>
      <c r="H573" t="s">
        <v>249</v>
      </c>
      <c r="I573" t="s">
        <v>250</v>
      </c>
      <c r="J573" t="s">
        <v>15</v>
      </c>
      <c r="K573" t="s">
        <v>17</v>
      </c>
      <c r="M573" t="s">
        <v>10</v>
      </c>
      <c r="N573">
        <v>5</v>
      </c>
      <c r="O573">
        <v>4276.29</v>
      </c>
      <c r="P573">
        <v>0</v>
      </c>
      <c r="Q573">
        <v>0</v>
      </c>
      <c r="R573">
        <v>21381.45</v>
      </c>
      <c r="S573">
        <v>13240.21</v>
      </c>
      <c r="T573">
        <v>21381.45</v>
      </c>
      <c r="U573">
        <v>8141.24</v>
      </c>
      <c r="V573">
        <v>0.38076182859441299</v>
      </c>
      <c r="W573">
        <v>4</v>
      </c>
      <c r="X573" t="s">
        <v>186</v>
      </c>
      <c r="Y573">
        <v>2025</v>
      </c>
      <c r="Z573" t="s">
        <v>269</v>
      </c>
      <c r="AA573" t="s">
        <v>204</v>
      </c>
      <c r="AB573" t="s">
        <v>131</v>
      </c>
      <c r="AC573" t="s">
        <v>132</v>
      </c>
      <c r="AD573" t="s">
        <v>131</v>
      </c>
      <c r="AE573" t="s">
        <v>131</v>
      </c>
      <c r="AF573" t="s">
        <v>131</v>
      </c>
      <c r="AG573" t="s">
        <v>132</v>
      </c>
      <c r="AH573" t="s">
        <v>131</v>
      </c>
      <c r="AI573" t="s">
        <v>149</v>
      </c>
      <c r="AJ573" t="s">
        <v>2237</v>
      </c>
      <c r="AK573" t="s">
        <v>2287</v>
      </c>
      <c r="AL573" t="s">
        <v>221</v>
      </c>
      <c r="AM573" t="s">
        <v>44</v>
      </c>
      <c r="AN573" t="s">
        <v>9</v>
      </c>
      <c r="AO573" t="s">
        <v>249</v>
      </c>
      <c r="AP573" t="s">
        <v>250</v>
      </c>
      <c r="AQ573" t="s">
        <v>15</v>
      </c>
      <c r="AR573" t="s">
        <v>17</v>
      </c>
      <c r="AT573">
        <v>0</v>
      </c>
      <c r="AU573" t="s">
        <v>269</v>
      </c>
      <c r="AV573" t="s">
        <v>204</v>
      </c>
    </row>
    <row r="574" spans="1:48" x14ac:dyDescent="0.3">
      <c r="A574" t="s">
        <v>2288</v>
      </c>
      <c r="B574" s="12">
        <v>45293</v>
      </c>
      <c r="C574" s="12">
        <v>45300</v>
      </c>
      <c r="D574" t="s">
        <v>2289</v>
      </c>
      <c r="E574" t="s">
        <v>277</v>
      </c>
      <c r="F574" t="s">
        <v>43</v>
      </c>
      <c r="G574" t="s">
        <v>9</v>
      </c>
      <c r="H574" t="s">
        <v>522</v>
      </c>
      <c r="I574" t="s">
        <v>523</v>
      </c>
      <c r="J574" t="s">
        <v>15</v>
      </c>
      <c r="K574" t="s">
        <v>17</v>
      </c>
      <c r="M574" t="s">
        <v>35</v>
      </c>
      <c r="N574">
        <v>3</v>
      </c>
      <c r="O574">
        <v>739.56</v>
      </c>
      <c r="P574">
        <v>0.2</v>
      </c>
      <c r="Q574">
        <v>0.2</v>
      </c>
      <c r="R574">
        <v>1774.94</v>
      </c>
      <c r="S574">
        <v>1007.4</v>
      </c>
      <c r="T574">
        <v>1774.944</v>
      </c>
      <c r="U574">
        <v>767.54399999999998</v>
      </c>
      <c r="V574">
        <v>0.43243279787981997</v>
      </c>
      <c r="W574">
        <v>7</v>
      </c>
      <c r="X574" t="s">
        <v>244</v>
      </c>
      <c r="Y574">
        <v>2024</v>
      </c>
      <c r="Z574" t="s">
        <v>129</v>
      </c>
      <c r="AA574" t="s">
        <v>130</v>
      </c>
      <c r="AB574" t="s">
        <v>131</v>
      </c>
      <c r="AC574" t="s">
        <v>131</v>
      </c>
      <c r="AD574" t="s">
        <v>131</v>
      </c>
      <c r="AE574" t="s">
        <v>131</v>
      </c>
      <c r="AF574" t="s">
        <v>131</v>
      </c>
      <c r="AG574" t="s">
        <v>131</v>
      </c>
      <c r="AH574" t="s">
        <v>132</v>
      </c>
      <c r="AI574" t="s">
        <v>133</v>
      </c>
      <c r="AJ574" t="s">
        <v>2290</v>
      </c>
      <c r="AK574" t="s">
        <v>2291</v>
      </c>
      <c r="AL574" t="s">
        <v>2292</v>
      </c>
      <c r="AM574" t="s">
        <v>43</v>
      </c>
      <c r="AN574" t="s">
        <v>9</v>
      </c>
      <c r="AO574" t="s">
        <v>522</v>
      </c>
      <c r="AP574" t="s">
        <v>523</v>
      </c>
      <c r="AQ574" t="s">
        <v>15</v>
      </c>
      <c r="AR574" t="s">
        <v>17</v>
      </c>
      <c r="AS574" t="s">
        <v>35</v>
      </c>
      <c r="AT574">
        <v>0.2</v>
      </c>
      <c r="AU574" t="s">
        <v>129</v>
      </c>
      <c r="AV574" t="s">
        <v>130</v>
      </c>
    </row>
    <row r="575" spans="1:48" x14ac:dyDescent="0.3">
      <c r="A575" t="s">
        <v>2293</v>
      </c>
      <c r="B575" s="12">
        <v>45922</v>
      </c>
      <c r="C575" s="12">
        <v>45926</v>
      </c>
      <c r="D575" t="s">
        <v>2294</v>
      </c>
      <c r="E575" t="s">
        <v>147</v>
      </c>
      <c r="F575" t="s">
        <v>42</v>
      </c>
      <c r="G575" t="s">
        <v>6</v>
      </c>
      <c r="H575" t="s">
        <v>184</v>
      </c>
      <c r="I575" t="s">
        <v>185</v>
      </c>
      <c r="J575" t="s">
        <v>15</v>
      </c>
      <c r="K575" t="s">
        <v>17</v>
      </c>
      <c r="M575" t="s">
        <v>35</v>
      </c>
      <c r="N575">
        <v>1</v>
      </c>
      <c r="O575">
        <v>573.65</v>
      </c>
      <c r="P575">
        <v>0</v>
      </c>
      <c r="Q575">
        <v>0</v>
      </c>
      <c r="R575">
        <v>573.65</v>
      </c>
      <c r="S575">
        <v>322.67</v>
      </c>
      <c r="T575">
        <v>573.65</v>
      </c>
      <c r="U575">
        <v>250.98</v>
      </c>
      <c r="V575">
        <v>0.43751416368865997</v>
      </c>
      <c r="W575">
        <v>4</v>
      </c>
      <c r="X575" t="s">
        <v>196</v>
      </c>
      <c r="Y575">
        <v>2025</v>
      </c>
      <c r="Z575" t="s">
        <v>129</v>
      </c>
      <c r="AA575" t="s">
        <v>130</v>
      </c>
      <c r="AB575" t="s">
        <v>131</v>
      </c>
      <c r="AC575" t="s">
        <v>131</v>
      </c>
      <c r="AD575" t="s">
        <v>131</v>
      </c>
      <c r="AE575" t="s">
        <v>131</v>
      </c>
      <c r="AF575" t="s">
        <v>131</v>
      </c>
      <c r="AG575" t="s">
        <v>131</v>
      </c>
      <c r="AH575" t="s">
        <v>132</v>
      </c>
      <c r="AI575" t="s">
        <v>133</v>
      </c>
      <c r="AJ575" t="s">
        <v>2295</v>
      </c>
      <c r="AK575" t="s">
        <v>2296</v>
      </c>
      <c r="AL575" t="s">
        <v>147</v>
      </c>
      <c r="AM575" t="s">
        <v>42</v>
      </c>
      <c r="AN575" t="s">
        <v>6</v>
      </c>
      <c r="AO575" t="s">
        <v>184</v>
      </c>
      <c r="AP575" t="s">
        <v>185</v>
      </c>
      <c r="AQ575" t="s">
        <v>15</v>
      </c>
      <c r="AR575" t="s">
        <v>17</v>
      </c>
      <c r="AS575" t="s">
        <v>35</v>
      </c>
      <c r="AT575">
        <v>0</v>
      </c>
      <c r="AU575" t="s">
        <v>129</v>
      </c>
      <c r="AV575" t="s">
        <v>130</v>
      </c>
    </row>
    <row r="576" spans="1:48" x14ac:dyDescent="0.3">
      <c r="A576" t="s">
        <v>2297</v>
      </c>
      <c r="B576" s="12">
        <v>45342</v>
      </c>
      <c r="C576" s="12">
        <v>45347</v>
      </c>
      <c r="D576" t="s">
        <v>1100</v>
      </c>
      <c r="E576" t="s">
        <v>277</v>
      </c>
      <c r="F576" t="s">
        <v>41</v>
      </c>
      <c r="G576" t="s">
        <v>9</v>
      </c>
      <c r="H576" t="s">
        <v>232</v>
      </c>
      <c r="I576" t="s">
        <v>233</v>
      </c>
      <c r="J576" t="s">
        <v>15</v>
      </c>
      <c r="K576" t="s">
        <v>25</v>
      </c>
      <c r="M576" t="s">
        <v>35</v>
      </c>
      <c r="N576">
        <v>4</v>
      </c>
      <c r="O576">
        <v>1355.8</v>
      </c>
      <c r="P576">
        <v>0</v>
      </c>
      <c r="Q576">
        <v>0</v>
      </c>
      <c r="R576">
        <v>5423.2</v>
      </c>
      <c r="S576">
        <v>4072.44</v>
      </c>
      <c r="T576">
        <v>5423.2</v>
      </c>
      <c r="U576">
        <v>1350.76</v>
      </c>
      <c r="V576">
        <v>0.24907065938928999</v>
      </c>
      <c r="W576">
        <v>5</v>
      </c>
      <c r="X576" t="s">
        <v>186</v>
      </c>
      <c r="Y576">
        <v>2024</v>
      </c>
      <c r="Z576" t="s">
        <v>129</v>
      </c>
      <c r="AA576" t="s">
        <v>130</v>
      </c>
      <c r="AB576" t="s">
        <v>131</v>
      </c>
      <c r="AC576" t="s">
        <v>131</v>
      </c>
      <c r="AD576" t="s">
        <v>131</v>
      </c>
      <c r="AE576" t="s">
        <v>131</v>
      </c>
      <c r="AF576" t="s">
        <v>131</v>
      </c>
      <c r="AG576" t="s">
        <v>131</v>
      </c>
      <c r="AH576" t="s">
        <v>132</v>
      </c>
      <c r="AI576" t="s">
        <v>133</v>
      </c>
      <c r="AJ576" t="s">
        <v>2298</v>
      </c>
      <c r="AK576" t="s">
        <v>1432</v>
      </c>
      <c r="AL576" t="s">
        <v>277</v>
      </c>
      <c r="AM576" t="s">
        <v>41</v>
      </c>
      <c r="AN576" t="s">
        <v>9</v>
      </c>
      <c r="AO576" t="s">
        <v>232</v>
      </c>
      <c r="AP576" t="s">
        <v>233</v>
      </c>
      <c r="AQ576" t="s">
        <v>15</v>
      </c>
      <c r="AR576" t="s">
        <v>25</v>
      </c>
      <c r="AS576" t="s">
        <v>35</v>
      </c>
      <c r="AT576">
        <v>0</v>
      </c>
      <c r="AU576" t="s">
        <v>129</v>
      </c>
      <c r="AV576" t="s">
        <v>130</v>
      </c>
    </row>
    <row r="577" spans="1:48" x14ac:dyDescent="0.3">
      <c r="A577" t="s">
        <v>2299</v>
      </c>
      <c r="B577" s="12">
        <v>45727</v>
      </c>
      <c r="C577" s="12">
        <v>45730</v>
      </c>
      <c r="D577" t="s">
        <v>2300</v>
      </c>
      <c r="E577" t="s">
        <v>243</v>
      </c>
      <c r="F577" t="s">
        <v>41</v>
      </c>
      <c r="G577" t="s">
        <v>6</v>
      </c>
      <c r="H577" t="s">
        <v>305</v>
      </c>
      <c r="I577" t="s">
        <v>306</v>
      </c>
      <c r="J577" t="s">
        <v>18</v>
      </c>
      <c r="K577" t="s">
        <v>23</v>
      </c>
      <c r="M577" t="s">
        <v>38</v>
      </c>
      <c r="N577">
        <v>4</v>
      </c>
      <c r="O577">
        <v>1244.82</v>
      </c>
      <c r="P577">
        <v>0.2</v>
      </c>
      <c r="Q577">
        <v>0.2</v>
      </c>
      <c r="R577">
        <v>3983.42</v>
      </c>
      <c r="S577">
        <v>3174.91</v>
      </c>
      <c r="T577">
        <v>3983.424</v>
      </c>
      <c r="U577">
        <v>808.51400000000001</v>
      </c>
      <c r="V577">
        <v>0.202969606047461</v>
      </c>
      <c r="W577">
        <v>3</v>
      </c>
      <c r="X577" t="s">
        <v>278</v>
      </c>
      <c r="Y577">
        <v>2025</v>
      </c>
      <c r="Z577" t="s">
        <v>269</v>
      </c>
      <c r="AA577" t="s">
        <v>204</v>
      </c>
      <c r="AB577" t="s">
        <v>131</v>
      </c>
      <c r="AC577" t="s">
        <v>131</v>
      </c>
      <c r="AD577" t="s">
        <v>131</v>
      </c>
      <c r="AE577" t="s">
        <v>131</v>
      </c>
      <c r="AF577" t="s">
        <v>131</v>
      </c>
      <c r="AG577" t="s">
        <v>131</v>
      </c>
      <c r="AH577" t="s">
        <v>131</v>
      </c>
      <c r="AI577" t="s">
        <v>133</v>
      </c>
      <c r="AJ577" t="s">
        <v>2301</v>
      </c>
      <c r="AK577" t="s">
        <v>2302</v>
      </c>
      <c r="AL577" t="s">
        <v>243</v>
      </c>
      <c r="AM577" t="s">
        <v>41</v>
      </c>
      <c r="AN577" t="s">
        <v>6</v>
      </c>
      <c r="AO577" t="s">
        <v>305</v>
      </c>
      <c r="AP577" t="s">
        <v>306</v>
      </c>
      <c r="AQ577" t="s">
        <v>18</v>
      </c>
      <c r="AR577" t="s">
        <v>23</v>
      </c>
      <c r="AS577" t="s">
        <v>38</v>
      </c>
      <c r="AT577">
        <v>0.2</v>
      </c>
      <c r="AU577" t="s">
        <v>269</v>
      </c>
      <c r="AV577" t="s">
        <v>204</v>
      </c>
    </row>
    <row r="578" spans="1:48" x14ac:dyDescent="0.3">
      <c r="A578" t="s">
        <v>2303</v>
      </c>
      <c r="B578" s="12">
        <v>45339</v>
      </c>
      <c r="C578" s="12">
        <v>45345</v>
      </c>
      <c r="D578" t="s">
        <v>2304</v>
      </c>
      <c r="E578" t="s">
        <v>255</v>
      </c>
      <c r="F578" t="s">
        <v>41</v>
      </c>
      <c r="G578" t="s">
        <v>10</v>
      </c>
      <c r="H578" t="s">
        <v>259</v>
      </c>
      <c r="I578" t="s">
        <v>260</v>
      </c>
      <c r="J578" t="s">
        <v>20</v>
      </c>
      <c r="K578" t="s">
        <v>28</v>
      </c>
      <c r="M578" t="s">
        <v>35</v>
      </c>
      <c r="N578">
        <v>9</v>
      </c>
      <c r="O578">
        <v>2614.46</v>
      </c>
      <c r="P578">
        <v>0</v>
      </c>
      <c r="Q578">
        <v>0</v>
      </c>
      <c r="R578">
        <v>23530.14</v>
      </c>
      <c r="S578">
        <v>19537.79</v>
      </c>
      <c r="T578">
        <v>23530.14</v>
      </c>
      <c r="U578">
        <v>3992.35</v>
      </c>
      <c r="V578">
        <v>0.16966962372514599</v>
      </c>
      <c r="W578">
        <v>6</v>
      </c>
      <c r="X578" t="s">
        <v>186</v>
      </c>
      <c r="Y578">
        <v>2024</v>
      </c>
      <c r="Z578" t="s">
        <v>203</v>
      </c>
      <c r="AA578" t="s">
        <v>204</v>
      </c>
      <c r="AB578" t="s">
        <v>132</v>
      </c>
      <c r="AC578" t="s">
        <v>131</v>
      </c>
      <c r="AD578" t="s">
        <v>131</v>
      </c>
      <c r="AE578" t="s">
        <v>131</v>
      </c>
      <c r="AF578" t="s">
        <v>131</v>
      </c>
      <c r="AG578" t="s">
        <v>131</v>
      </c>
      <c r="AH578" t="s">
        <v>131</v>
      </c>
      <c r="AI578" t="s">
        <v>321</v>
      </c>
      <c r="AJ578" t="s">
        <v>2305</v>
      </c>
      <c r="AK578" t="s">
        <v>2306</v>
      </c>
      <c r="AL578" t="s">
        <v>255</v>
      </c>
      <c r="AM578" t="s">
        <v>41</v>
      </c>
      <c r="AO578" t="s">
        <v>259</v>
      </c>
      <c r="AP578" t="s">
        <v>260</v>
      </c>
      <c r="AQ578" t="s">
        <v>20</v>
      </c>
      <c r="AR578" t="s">
        <v>28</v>
      </c>
      <c r="AS578" t="s">
        <v>35</v>
      </c>
      <c r="AT578">
        <v>0</v>
      </c>
      <c r="AU578" t="s">
        <v>203</v>
      </c>
      <c r="AV578" t="s">
        <v>204</v>
      </c>
    </row>
    <row r="579" spans="1:48" x14ac:dyDescent="0.3">
      <c r="A579" t="s">
        <v>2307</v>
      </c>
      <c r="B579" s="12">
        <v>45897</v>
      </c>
      <c r="C579" s="12">
        <v>45903</v>
      </c>
      <c r="D579" t="s">
        <v>2308</v>
      </c>
      <c r="E579" t="s">
        <v>221</v>
      </c>
      <c r="F579" t="s">
        <v>43</v>
      </c>
      <c r="G579" t="s">
        <v>7</v>
      </c>
      <c r="H579" t="s">
        <v>171</v>
      </c>
      <c r="I579" t="s">
        <v>172</v>
      </c>
      <c r="J579" t="s">
        <v>18</v>
      </c>
      <c r="K579" t="s">
        <v>23</v>
      </c>
      <c r="M579" t="s">
        <v>35</v>
      </c>
      <c r="N579">
        <v>7</v>
      </c>
      <c r="O579">
        <v>268.45</v>
      </c>
      <c r="P579">
        <v>0</v>
      </c>
      <c r="Q579">
        <v>0</v>
      </c>
      <c r="R579">
        <v>1879.15</v>
      </c>
      <c r="S579">
        <v>1134.9000000000001</v>
      </c>
      <c r="T579">
        <v>1879.15</v>
      </c>
      <c r="U579">
        <v>744.25</v>
      </c>
      <c r="V579">
        <v>0.39605672777585599</v>
      </c>
      <c r="W579">
        <v>6</v>
      </c>
      <c r="X579" t="s">
        <v>142</v>
      </c>
      <c r="Y579">
        <v>2025</v>
      </c>
      <c r="Z579" t="s">
        <v>129</v>
      </c>
      <c r="AA579" t="s">
        <v>130</v>
      </c>
      <c r="AB579" t="s">
        <v>131</v>
      </c>
      <c r="AC579" t="s">
        <v>131</v>
      </c>
      <c r="AD579" t="s">
        <v>131</v>
      </c>
      <c r="AE579" t="s">
        <v>131</v>
      </c>
      <c r="AF579" t="s">
        <v>131</v>
      </c>
      <c r="AG579" t="s">
        <v>131</v>
      </c>
      <c r="AH579" t="s">
        <v>132</v>
      </c>
      <c r="AI579" t="s">
        <v>133</v>
      </c>
      <c r="AJ579" t="s">
        <v>466</v>
      </c>
      <c r="AK579" t="s">
        <v>2309</v>
      </c>
      <c r="AL579" t="s">
        <v>221</v>
      </c>
      <c r="AM579" t="s">
        <v>43</v>
      </c>
      <c r="AN579" t="s">
        <v>7</v>
      </c>
      <c r="AO579" t="s">
        <v>171</v>
      </c>
      <c r="AP579" t="s">
        <v>172</v>
      </c>
      <c r="AQ579" t="s">
        <v>18</v>
      </c>
      <c r="AR579" t="s">
        <v>23</v>
      </c>
      <c r="AS579" t="s">
        <v>35</v>
      </c>
      <c r="AT579">
        <v>0</v>
      </c>
      <c r="AU579" t="s">
        <v>129</v>
      </c>
      <c r="AV579" t="s">
        <v>130</v>
      </c>
    </row>
    <row r="580" spans="1:48" x14ac:dyDescent="0.3">
      <c r="A580" t="s">
        <v>2310</v>
      </c>
      <c r="B580" s="12">
        <v>45343</v>
      </c>
      <c r="C580" s="12">
        <v>45345</v>
      </c>
      <c r="D580" t="s">
        <v>449</v>
      </c>
      <c r="E580" t="s">
        <v>178</v>
      </c>
      <c r="F580" t="s">
        <v>44</v>
      </c>
      <c r="G580" t="s">
        <v>7</v>
      </c>
      <c r="H580" t="s">
        <v>300</v>
      </c>
      <c r="I580" t="s">
        <v>301</v>
      </c>
      <c r="J580" t="s">
        <v>15</v>
      </c>
      <c r="K580" t="s">
        <v>16</v>
      </c>
      <c r="M580" t="s">
        <v>36</v>
      </c>
      <c r="N580">
        <v>6</v>
      </c>
      <c r="O580">
        <v>2633.65</v>
      </c>
      <c r="P580">
        <v>0.05</v>
      </c>
      <c r="Q580">
        <v>0.05</v>
      </c>
      <c r="R580">
        <v>15011.81</v>
      </c>
      <c r="S580">
        <v>9660.36</v>
      </c>
      <c r="T580">
        <v>15011.805</v>
      </c>
      <c r="U580">
        <v>5351.4449999999997</v>
      </c>
      <c r="V580">
        <v>0.35648244831317799</v>
      </c>
      <c r="W580">
        <v>2</v>
      </c>
      <c r="X580" t="s">
        <v>186</v>
      </c>
      <c r="Y580">
        <v>2024</v>
      </c>
      <c r="Z580" t="s">
        <v>129</v>
      </c>
      <c r="AA580" t="s">
        <v>130</v>
      </c>
      <c r="AB580" t="s">
        <v>131</v>
      </c>
      <c r="AC580" t="s">
        <v>131</v>
      </c>
      <c r="AD580" t="s">
        <v>131</v>
      </c>
      <c r="AE580" t="s">
        <v>131</v>
      </c>
      <c r="AF580" t="s">
        <v>131</v>
      </c>
      <c r="AG580" t="s">
        <v>131</v>
      </c>
      <c r="AH580" t="s">
        <v>132</v>
      </c>
      <c r="AI580" t="s">
        <v>133</v>
      </c>
      <c r="AJ580" t="s">
        <v>2311</v>
      </c>
      <c r="AK580" t="s">
        <v>2312</v>
      </c>
      <c r="AL580" t="s">
        <v>178</v>
      </c>
      <c r="AM580" t="s">
        <v>44</v>
      </c>
      <c r="AN580" t="s">
        <v>7</v>
      </c>
      <c r="AO580" t="s">
        <v>300</v>
      </c>
      <c r="AP580" t="s">
        <v>301</v>
      </c>
      <c r="AQ580" t="s">
        <v>15</v>
      </c>
      <c r="AR580" t="s">
        <v>16</v>
      </c>
      <c r="AS580" t="s">
        <v>36</v>
      </c>
      <c r="AT580">
        <v>0.05</v>
      </c>
      <c r="AU580" t="s">
        <v>129</v>
      </c>
      <c r="AV580" t="s">
        <v>130</v>
      </c>
    </row>
    <row r="581" spans="1:48" x14ac:dyDescent="0.3">
      <c r="A581" t="s">
        <v>2313</v>
      </c>
      <c r="B581" s="12">
        <v>45462</v>
      </c>
      <c r="C581" s="12">
        <v>45467</v>
      </c>
      <c r="D581" t="s">
        <v>2314</v>
      </c>
      <c r="E581" t="s">
        <v>238</v>
      </c>
      <c r="F581" t="s">
        <v>44</v>
      </c>
      <c r="G581" t="s">
        <v>6</v>
      </c>
      <c r="H581" t="s">
        <v>385</v>
      </c>
      <c r="I581" t="s">
        <v>386</v>
      </c>
      <c r="J581" t="s">
        <v>20</v>
      </c>
      <c r="K581" t="s">
        <v>21</v>
      </c>
      <c r="M581" t="s">
        <v>38</v>
      </c>
      <c r="N581">
        <v>1</v>
      </c>
      <c r="O581">
        <v>3202.41</v>
      </c>
      <c r="P581">
        <v>0</v>
      </c>
      <c r="Q581">
        <v>0</v>
      </c>
      <c r="R581">
        <v>3202.41</v>
      </c>
      <c r="S581">
        <v>2608.44</v>
      </c>
      <c r="T581">
        <v>3202.41</v>
      </c>
      <c r="U581">
        <v>593.97</v>
      </c>
      <c r="V581">
        <v>0.185475938433867</v>
      </c>
      <c r="W581">
        <v>5</v>
      </c>
      <c r="X581" t="s">
        <v>148</v>
      </c>
      <c r="Y581">
        <v>2024</v>
      </c>
      <c r="Z581" t="s">
        <v>129</v>
      </c>
      <c r="AA581" t="s">
        <v>130</v>
      </c>
      <c r="AB581" t="s">
        <v>131</v>
      </c>
      <c r="AC581" t="s">
        <v>131</v>
      </c>
      <c r="AD581" t="s">
        <v>131</v>
      </c>
      <c r="AE581" t="s">
        <v>131</v>
      </c>
      <c r="AF581" t="s">
        <v>131</v>
      </c>
      <c r="AG581" t="s">
        <v>131</v>
      </c>
      <c r="AH581" t="s">
        <v>132</v>
      </c>
      <c r="AI581" t="s">
        <v>133</v>
      </c>
      <c r="AJ581" t="s">
        <v>2315</v>
      </c>
      <c r="AK581" t="s">
        <v>2316</v>
      </c>
      <c r="AL581" t="s">
        <v>238</v>
      </c>
      <c r="AM581" t="s">
        <v>44</v>
      </c>
      <c r="AN581" t="s">
        <v>6</v>
      </c>
      <c r="AO581" t="s">
        <v>385</v>
      </c>
      <c r="AP581" t="s">
        <v>386</v>
      </c>
      <c r="AQ581" t="s">
        <v>20</v>
      </c>
      <c r="AR581" t="s">
        <v>21</v>
      </c>
      <c r="AS581" t="s">
        <v>38</v>
      </c>
      <c r="AT581">
        <v>0</v>
      </c>
      <c r="AU581" t="s">
        <v>129</v>
      </c>
      <c r="AV581" t="s">
        <v>130</v>
      </c>
    </row>
    <row r="582" spans="1:48" x14ac:dyDescent="0.3">
      <c r="A582" t="s">
        <v>2317</v>
      </c>
      <c r="B582" s="12">
        <v>45722</v>
      </c>
      <c r="C582" s="12">
        <v>45729</v>
      </c>
      <c r="D582" t="s">
        <v>2318</v>
      </c>
      <c r="E582" t="s">
        <v>409</v>
      </c>
      <c r="F582" t="s">
        <v>42</v>
      </c>
      <c r="G582" t="s">
        <v>6</v>
      </c>
      <c r="H582" t="s">
        <v>305</v>
      </c>
      <c r="I582" t="s">
        <v>306</v>
      </c>
      <c r="J582" t="s">
        <v>18</v>
      </c>
      <c r="K582" t="s">
        <v>19</v>
      </c>
      <c r="M582" t="s">
        <v>35</v>
      </c>
      <c r="N582">
        <v>3</v>
      </c>
      <c r="O582">
        <v>163.72</v>
      </c>
      <c r="P582">
        <v>0.15</v>
      </c>
      <c r="Q582">
        <v>0.15</v>
      </c>
      <c r="R582">
        <v>417.49</v>
      </c>
      <c r="S582">
        <v>261.67</v>
      </c>
      <c r="T582">
        <v>417.48599999999999</v>
      </c>
      <c r="U582">
        <v>155.816</v>
      </c>
      <c r="V582">
        <v>0.37322449136018898</v>
      </c>
      <c r="W582">
        <v>7</v>
      </c>
      <c r="X582" t="s">
        <v>278</v>
      </c>
      <c r="Y582">
        <v>2025</v>
      </c>
      <c r="Z582" t="s">
        <v>269</v>
      </c>
      <c r="AA582" t="s">
        <v>204</v>
      </c>
      <c r="AB582" t="s">
        <v>131</v>
      </c>
      <c r="AC582" t="s">
        <v>131</v>
      </c>
      <c r="AD582" t="s">
        <v>131</v>
      </c>
      <c r="AE582" t="s">
        <v>131</v>
      </c>
      <c r="AF582" t="s">
        <v>131</v>
      </c>
      <c r="AG582" t="s">
        <v>131</v>
      </c>
      <c r="AH582" t="s">
        <v>131</v>
      </c>
      <c r="AI582" t="s">
        <v>133</v>
      </c>
      <c r="AJ582" t="s">
        <v>2319</v>
      </c>
      <c r="AK582" t="s">
        <v>1286</v>
      </c>
      <c r="AL582" t="s">
        <v>409</v>
      </c>
      <c r="AM582" t="s">
        <v>42</v>
      </c>
      <c r="AN582" t="s">
        <v>6</v>
      </c>
      <c r="AO582" t="s">
        <v>305</v>
      </c>
      <c r="AP582" t="s">
        <v>306</v>
      </c>
      <c r="AQ582" t="s">
        <v>18</v>
      </c>
      <c r="AR582" t="s">
        <v>19</v>
      </c>
      <c r="AS582" t="s">
        <v>35</v>
      </c>
      <c r="AT582">
        <v>0.15</v>
      </c>
      <c r="AU582" t="s">
        <v>269</v>
      </c>
      <c r="AV582" t="s">
        <v>204</v>
      </c>
    </row>
    <row r="583" spans="1:48" x14ac:dyDescent="0.3">
      <c r="A583" t="s">
        <v>2320</v>
      </c>
      <c r="B583" s="12">
        <v>45878</v>
      </c>
      <c r="C583" s="12">
        <v>45879</v>
      </c>
      <c r="D583" t="s">
        <v>2321</v>
      </c>
      <c r="E583" t="s">
        <v>178</v>
      </c>
      <c r="F583" t="s">
        <v>42</v>
      </c>
      <c r="G583" t="s">
        <v>9</v>
      </c>
      <c r="H583" t="s">
        <v>522</v>
      </c>
      <c r="I583" t="s">
        <v>523</v>
      </c>
      <c r="J583" t="s">
        <v>20</v>
      </c>
      <c r="K583" t="s">
        <v>29</v>
      </c>
      <c r="M583" t="s">
        <v>37</v>
      </c>
      <c r="N583">
        <v>4</v>
      </c>
      <c r="O583">
        <v>4080.95</v>
      </c>
      <c r="P583">
        <v>0</v>
      </c>
      <c r="Q583">
        <v>0</v>
      </c>
      <c r="R583">
        <v>16323.8</v>
      </c>
      <c r="S583">
        <v>9965.7900000000009</v>
      </c>
      <c r="T583">
        <v>16323.8</v>
      </c>
      <c r="U583">
        <v>6358.01</v>
      </c>
      <c r="V583">
        <v>0.38949325524694001</v>
      </c>
      <c r="W583">
        <v>1</v>
      </c>
      <c r="X583" t="s">
        <v>142</v>
      </c>
      <c r="Y583">
        <v>2025</v>
      </c>
      <c r="Z583" t="s">
        <v>203</v>
      </c>
      <c r="AA583" t="s">
        <v>204</v>
      </c>
      <c r="AB583" t="s">
        <v>131</v>
      </c>
      <c r="AC583" t="s">
        <v>131</v>
      </c>
      <c r="AD583" t="s">
        <v>131</v>
      </c>
      <c r="AE583" t="s">
        <v>131</v>
      </c>
      <c r="AF583" t="s">
        <v>131</v>
      </c>
      <c r="AG583" t="s">
        <v>131</v>
      </c>
      <c r="AH583" t="s">
        <v>131</v>
      </c>
      <c r="AI583" t="s">
        <v>133</v>
      </c>
      <c r="AJ583" t="s">
        <v>1194</v>
      </c>
      <c r="AK583" t="s">
        <v>2322</v>
      </c>
      <c r="AL583" t="s">
        <v>178</v>
      </c>
      <c r="AM583" t="s">
        <v>42</v>
      </c>
      <c r="AN583" t="s">
        <v>9</v>
      </c>
      <c r="AO583" t="s">
        <v>522</v>
      </c>
      <c r="AP583" t="s">
        <v>523</v>
      </c>
      <c r="AQ583" t="s">
        <v>20</v>
      </c>
      <c r="AR583" t="s">
        <v>29</v>
      </c>
      <c r="AS583" t="s">
        <v>37</v>
      </c>
      <c r="AT583">
        <v>0</v>
      </c>
      <c r="AU583" t="s">
        <v>203</v>
      </c>
      <c r="AV583" t="s">
        <v>204</v>
      </c>
    </row>
    <row r="584" spans="1:48" x14ac:dyDescent="0.3">
      <c r="A584" t="s">
        <v>2323</v>
      </c>
      <c r="B584" s="12">
        <v>45580</v>
      </c>
      <c r="C584" s="12">
        <v>45585</v>
      </c>
      <c r="D584" t="s">
        <v>2324</v>
      </c>
      <c r="E584" t="s">
        <v>162</v>
      </c>
      <c r="F584" t="s">
        <v>42</v>
      </c>
      <c r="G584" t="s">
        <v>8</v>
      </c>
      <c r="H584" t="s">
        <v>140</v>
      </c>
      <c r="I584" t="s">
        <v>141</v>
      </c>
      <c r="J584" t="s">
        <v>20</v>
      </c>
      <c r="K584" t="s">
        <v>29</v>
      </c>
      <c r="M584" t="s">
        <v>36</v>
      </c>
      <c r="N584">
        <v>5</v>
      </c>
      <c r="O584">
        <v>671.24</v>
      </c>
      <c r="P584">
        <v>0</v>
      </c>
      <c r="Q584">
        <v>0</v>
      </c>
      <c r="R584">
        <v>3356.2</v>
      </c>
      <c r="S584">
        <v>2205.7199999999998</v>
      </c>
      <c r="T584">
        <v>3356.2</v>
      </c>
      <c r="U584">
        <v>1150.48</v>
      </c>
      <c r="V584">
        <v>0.34279244383529001</v>
      </c>
      <c r="W584">
        <v>5</v>
      </c>
      <c r="X584" t="s">
        <v>222</v>
      </c>
      <c r="Y584">
        <v>2024</v>
      </c>
      <c r="Z584" t="s">
        <v>215</v>
      </c>
      <c r="AA584" t="s">
        <v>204</v>
      </c>
      <c r="AB584" t="s">
        <v>131</v>
      </c>
      <c r="AC584" t="s">
        <v>131</v>
      </c>
      <c r="AD584" t="s">
        <v>131</v>
      </c>
      <c r="AE584" t="s">
        <v>131</v>
      </c>
      <c r="AF584" t="s">
        <v>131</v>
      </c>
      <c r="AG584" t="s">
        <v>131</v>
      </c>
      <c r="AH584" t="s">
        <v>131</v>
      </c>
      <c r="AI584" t="s">
        <v>133</v>
      </c>
      <c r="AJ584" t="s">
        <v>2325</v>
      </c>
      <c r="AK584" t="s">
        <v>2326</v>
      </c>
      <c r="AL584" t="s">
        <v>162</v>
      </c>
      <c r="AM584" t="s">
        <v>42</v>
      </c>
      <c r="AN584" t="s">
        <v>8</v>
      </c>
      <c r="AO584" t="s">
        <v>140</v>
      </c>
      <c r="AP584" t="s">
        <v>141</v>
      </c>
      <c r="AQ584" t="s">
        <v>20</v>
      </c>
      <c r="AR584" t="s">
        <v>29</v>
      </c>
      <c r="AS584" t="s">
        <v>36</v>
      </c>
      <c r="AT584">
        <v>0</v>
      </c>
      <c r="AU584" t="s">
        <v>215</v>
      </c>
      <c r="AV584" t="s">
        <v>204</v>
      </c>
    </row>
    <row r="585" spans="1:48" x14ac:dyDescent="0.3">
      <c r="A585" t="s">
        <v>2327</v>
      </c>
      <c r="B585" s="12">
        <v>45350</v>
      </c>
      <c r="C585" s="12">
        <v>45350</v>
      </c>
      <c r="D585" t="s">
        <v>2328</v>
      </c>
      <c r="E585" t="s">
        <v>255</v>
      </c>
      <c r="F585" t="s">
        <v>44</v>
      </c>
      <c r="G585" t="s">
        <v>8</v>
      </c>
      <c r="H585" t="s">
        <v>201</v>
      </c>
      <c r="I585" t="s">
        <v>202</v>
      </c>
      <c r="J585" t="s">
        <v>20</v>
      </c>
      <c r="K585" t="s">
        <v>21</v>
      </c>
      <c r="M585" t="s">
        <v>36</v>
      </c>
      <c r="N585">
        <v>1</v>
      </c>
      <c r="O585">
        <v>2626.84</v>
      </c>
      <c r="P585">
        <v>0.2</v>
      </c>
      <c r="Q585">
        <v>0.2</v>
      </c>
      <c r="R585">
        <v>2101.4699999999998</v>
      </c>
      <c r="S585">
        <v>1217.83</v>
      </c>
      <c r="T585">
        <v>2101.4720000000002</v>
      </c>
      <c r="U585">
        <v>883.64200000000005</v>
      </c>
      <c r="V585">
        <v>0.420487163283641</v>
      </c>
      <c r="W585">
        <v>0</v>
      </c>
      <c r="X585" t="s">
        <v>186</v>
      </c>
      <c r="Y585">
        <v>2024</v>
      </c>
      <c r="Z585" t="s">
        <v>269</v>
      </c>
      <c r="AA585" t="s">
        <v>204</v>
      </c>
      <c r="AB585" t="s">
        <v>131</v>
      </c>
      <c r="AC585" t="s">
        <v>131</v>
      </c>
      <c r="AD585" t="s">
        <v>131</v>
      </c>
      <c r="AE585" t="s">
        <v>131</v>
      </c>
      <c r="AF585" t="s">
        <v>131</v>
      </c>
      <c r="AG585" t="s">
        <v>131</v>
      </c>
      <c r="AH585" t="s">
        <v>131</v>
      </c>
      <c r="AI585" t="s">
        <v>133</v>
      </c>
      <c r="AJ585" t="s">
        <v>621</v>
      </c>
      <c r="AK585" t="s">
        <v>2329</v>
      </c>
      <c r="AL585" t="s">
        <v>255</v>
      </c>
      <c r="AM585" t="s">
        <v>44</v>
      </c>
      <c r="AN585" t="s">
        <v>8</v>
      </c>
      <c r="AO585" t="s">
        <v>201</v>
      </c>
      <c r="AP585" t="s">
        <v>202</v>
      </c>
      <c r="AQ585" t="s">
        <v>20</v>
      </c>
      <c r="AR585" t="s">
        <v>21</v>
      </c>
      <c r="AS585" t="s">
        <v>36</v>
      </c>
      <c r="AT585">
        <v>0.2</v>
      </c>
      <c r="AU585" t="s">
        <v>269</v>
      </c>
      <c r="AV585" t="s">
        <v>204</v>
      </c>
    </row>
    <row r="586" spans="1:48" x14ac:dyDescent="0.3">
      <c r="A586" t="s">
        <v>2330</v>
      </c>
      <c r="B586" s="12">
        <v>45508</v>
      </c>
      <c r="C586" s="12">
        <v>45514</v>
      </c>
      <c r="D586" t="s">
        <v>2331</v>
      </c>
      <c r="E586" t="s">
        <v>170</v>
      </c>
      <c r="F586" t="s">
        <v>42</v>
      </c>
      <c r="G586" t="s">
        <v>8</v>
      </c>
      <c r="H586" t="s">
        <v>259</v>
      </c>
      <c r="I586" t="s">
        <v>260</v>
      </c>
      <c r="J586" t="s">
        <v>20</v>
      </c>
      <c r="K586" t="s">
        <v>29</v>
      </c>
      <c r="M586" t="s">
        <v>38</v>
      </c>
      <c r="N586">
        <v>1</v>
      </c>
      <c r="O586">
        <v>984.93</v>
      </c>
      <c r="P586">
        <v>0.15</v>
      </c>
      <c r="Q586">
        <v>0.15</v>
      </c>
      <c r="R586">
        <v>837.19</v>
      </c>
      <c r="S586">
        <v>583.79</v>
      </c>
      <c r="T586">
        <v>837.19050000000004</v>
      </c>
      <c r="U586">
        <v>253.40049999999999</v>
      </c>
      <c r="V586">
        <v>0.30267961712417901</v>
      </c>
      <c r="W586">
        <v>6</v>
      </c>
      <c r="X586" t="s">
        <v>142</v>
      </c>
      <c r="Y586">
        <v>2024</v>
      </c>
      <c r="Z586" t="s">
        <v>215</v>
      </c>
      <c r="AA586" t="s">
        <v>204</v>
      </c>
      <c r="AB586" t="s">
        <v>131</v>
      </c>
      <c r="AC586" t="s">
        <v>131</v>
      </c>
      <c r="AD586" t="s">
        <v>131</v>
      </c>
      <c r="AE586" t="s">
        <v>131</v>
      </c>
      <c r="AF586" t="s">
        <v>131</v>
      </c>
      <c r="AG586" t="s">
        <v>131</v>
      </c>
      <c r="AH586" t="s">
        <v>131</v>
      </c>
      <c r="AI586" t="s">
        <v>133</v>
      </c>
      <c r="AJ586" t="s">
        <v>2332</v>
      </c>
      <c r="AK586" t="s">
        <v>2333</v>
      </c>
      <c r="AL586" t="s">
        <v>170</v>
      </c>
      <c r="AM586" t="s">
        <v>42</v>
      </c>
      <c r="AN586" t="s">
        <v>8</v>
      </c>
      <c r="AO586" t="s">
        <v>259</v>
      </c>
      <c r="AP586" t="s">
        <v>260</v>
      </c>
      <c r="AQ586" t="s">
        <v>20</v>
      </c>
      <c r="AR586" t="s">
        <v>29</v>
      </c>
      <c r="AS586" t="s">
        <v>38</v>
      </c>
      <c r="AT586">
        <v>0.15</v>
      </c>
      <c r="AU586" t="s">
        <v>215</v>
      </c>
      <c r="AV586" t="s">
        <v>204</v>
      </c>
    </row>
    <row r="587" spans="1:48" x14ac:dyDescent="0.3">
      <c r="A587" t="s">
        <v>2334</v>
      </c>
      <c r="B587" s="12">
        <v>45830</v>
      </c>
      <c r="C587" s="12">
        <v>45833</v>
      </c>
      <c r="D587" t="s">
        <v>2335</v>
      </c>
      <c r="E587" t="s">
        <v>277</v>
      </c>
      <c r="F587" t="s">
        <v>44</v>
      </c>
      <c r="G587" t="s">
        <v>7</v>
      </c>
      <c r="H587" t="s">
        <v>163</v>
      </c>
      <c r="I587" t="s">
        <v>164</v>
      </c>
      <c r="J587" t="s">
        <v>15</v>
      </c>
      <c r="K587" t="s">
        <v>17</v>
      </c>
      <c r="M587" t="s">
        <v>36</v>
      </c>
      <c r="N587">
        <v>8</v>
      </c>
      <c r="O587">
        <v>3453.66</v>
      </c>
      <c r="P587">
        <v>0</v>
      </c>
      <c r="Q587">
        <v>0</v>
      </c>
      <c r="R587">
        <v>27629.279999999999</v>
      </c>
      <c r="S587">
        <v>22026.48</v>
      </c>
      <c r="T587">
        <v>27629.279999999999</v>
      </c>
      <c r="U587">
        <v>5602.8</v>
      </c>
      <c r="V587">
        <v>0.202784871701326</v>
      </c>
      <c r="W587">
        <v>3</v>
      </c>
      <c r="X587" t="s">
        <v>148</v>
      </c>
      <c r="Y587">
        <v>2025</v>
      </c>
      <c r="Z587" t="s">
        <v>129</v>
      </c>
      <c r="AA587" t="s">
        <v>130</v>
      </c>
      <c r="AB587" t="s">
        <v>131</v>
      </c>
      <c r="AC587" t="s">
        <v>131</v>
      </c>
      <c r="AD587" t="s">
        <v>131</v>
      </c>
      <c r="AE587" t="s">
        <v>131</v>
      </c>
      <c r="AF587" t="s">
        <v>131</v>
      </c>
      <c r="AG587" t="s">
        <v>131</v>
      </c>
      <c r="AH587" t="s">
        <v>132</v>
      </c>
      <c r="AI587" t="s">
        <v>133</v>
      </c>
      <c r="AJ587" t="s">
        <v>1466</v>
      </c>
      <c r="AK587" t="s">
        <v>2336</v>
      </c>
      <c r="AL587" t="s">
        <v>277</v>
      </c>
      <c r="AM587" t="s">
        <v>44</v>
      </c>
      <c r="AN587" t="s">
        <v>961</v>
      </c>
      <c r="AO587" t="s">
        <v>163</v>
      </c>
      <c r="AP587" t="s">
        <v>164</v>
      </c>
      <c r="AQ587" t="s">
        <v>15</v>
      </c>
      <c r="AR587" t="s">
        <v>17</v>
      </c>
      <c r="AS587" t="s">
        <v>36</v>
      </c>
      <c r="AT587">
        <v>0</v>
      </c>
      <c r="AU587" t="s">
        <v>129</v>
      </c>
      <c r="AV587" t="s">
        <v>130</v>
      </c>
    </row>
    <row r="588" spans="1:48" x14ac:dyDescent="0.3">
      <c r="A588" t="s">
        <v>2337</v>
      </c>
      <c r="B588" s="12">
        <v>45759</v>
      </c>
      <c r="C588" s="12">
        <v>45759</v>
      </c>
      <c r="D588" t="s">
        <v>2338</v>
      </c>
      <c r="E588" t="s">
        <v>139</v>
      </c>
      <c r="F588" t="s">
        <v>41</v>
      </c>
      <c r="G588" t="s">
        <v>9</v>
      </c>
      <c r="H588" t="s">
        <v>232</v>
      </c>
      <c r="I588" t="s">
        <v>233</v>
      </c>
      <c r="J588" t="s">
        <v>20</v>
      </c>
      <c r="K588" t="s">
        <v>28</v>
      </c>
      <c r="M588" t="s">
        <v>37</v>
      </c>
      <c r="N588">
        <v>7</v>
      </c>
      <c r="O588">
        <v>1334.2</v>
      </c>
      <c r="P588">
        <v>0.2</v>
      </c>
      <c r="Q588">
        <v>0.2</v>
      </c>
      <c r="R588">
        <v>7471.52</v>
      </c>
      <c r="S588">
        <v>6184.32</v>
      </c>
      <c r="T588">
        <v>7471.52</v>
      </c>
      <c r="U588">
        <v>1287.2</v>
      </c>
      <c r="V588">
        <v>0.17228087457438401</v>
      </c>
      <c r="W588">
        <v>0</v>
      </c>
      <c r="X588" t="s">
        <v>179</v>
      </c>
      <c r="Y588">
        <v>2025</v>
      </c>
      <c r="Z588" t="s">
        <v>129</v>
      </c>
      <c r="AA588" t="s">
        <v>130</v>
      </c>
      <c r="AB588" t="s">
        <v>131</v>
      </c>
      <c r="AC588" t="s">
        <v>131</v>
      </c>
      <c r="AD588" t="s">
        <v>131</v>
      </c>
      <c r="AE588" t="s">
        <v>131</v>
      </c>
      <c r="AF588" t="s">
        <v>131</v>
      </c>
      <c r="AG588" t="s">
        <v>131</v>
      </c>
      <c r="AH588" t="s">
        <v>132</v>
      </c>
      <c r="AI588" t="s">
        <v>133</v>
      </c>
      <c r="AJ588" t="s">
        <v>2339</v>
      </c>
      <c r="AK588" t="s">
        <v>2340</v>
      </c>
      <c r="AL588" t="s">
        <v>139</v>
      </c>
      <c r="AM588" t="s">
        <v>41</v>
      </c>
      <c r="AN588" t="s">
        <v>9</v>
      </c>
      <c r="AO588" t="s">
        <v>232</v>
      </c>
      <c r="AP588" t="s">
        <v>233</v>
      </c>
      <c r="AQ588" t="s">
        <v>20</v>
      </c>
      <c r="AR588" t="s">
        <v>28</v>
      </c>
      <c r="AS588" t="s">
        <v>37</v>
      </c>
      <c r="AT588">
        <v>0.2</v>
      </c>
      <c r="AU588" t="s">
        <v>129</v>
      </c>
      <c r="AV588" t="s">
        <v>130</v>
      </c>
    </row>
    <row r="589" spans="1:48" x14ac:dyDescent="0.3">
      <c r="A589" t="s">
        <v>2341</v>
      </c>
      <c r="B589" s="12">
        <v>45861</v>
      </c>
      <c r="C589" s="12">
        <v>45869</v>
      </c>
      <c r="D589" t="s">
        <v>2342</v>
      </c>
      <c r="E589" t="s">
        <v>409</v>
      </c>
      <c r="F589" t="s">
        <v>41</v>
      </c>
      <c r="G589" t="s">
        <v>7</v>
      </c>
      <c r="H589" t="s">
        <v>171</v>
      </c>
      <c r="I589" t="s">
        <v>172</v>
      </c>
      <c r="J589" t="s">
        <v>15</v>
      </c>
      <c r="K589" t="s">
        <v>22</v>
      </c>
      <c r="M589" t="s">
        <v>36</v>
      </c>
      <c r="N589">
        <v>1</v>
      </c>
      <c r="O589">
        <v>4253.84</v>
      </c>
      <c r="P589">
        <v>0.15</v>
      </c>
      <c r="Q589">
        <v>0.15</v>
      </c>
      <c r="R589">
        <v>3615.76</v>
      </c>
      <c r="S589">
        <v>2951.52</v>
      </c>
      <c r="T589">
        <v>3615.7640000000001</v>
      </c>
      <c r="U589">
        <v>664.24400000000003</v>
      </c>
      <c r="V589">
        <v>0.18370778623826101</v>
      </c>
      <c r="W589">
        <v>8</v>
      </c>
      <c r="X589" t="s">
        <v>128</v>
      </c>
      <c r="Y589">
        <v>2025</v>
      </c>
      <c r="Z589" t="s">
        <v>203</v>
      </c>
      <c r="AA589" t="s">
        <v>165</v>
      </c>
      <c r="AB589" t="s">
        <v>131</v>
      </c>
      <c r="AC589" t="s">
        <v>131</v>
      </c>
      <c r="AD589" t="s">
        <v>131</v>
      </c>
      <c r="AE589" t="s">
        <v>131</v>
      </c>
      <c r="AF589" t="s">
        <v>131</v>
      </c>
      <c r="AG589" t="s">
        <v>131</v>
      </c>
      <c r="AH589" t="s">
        <v>131</v>
      </c>
      <c r="AI589" t="s">
        <v>133</v>
      </c>
      <c r="AJ589" t="s">
        <v>2343</v>
      </c>
      <c r="AK589" t="s">
        <v>2344</v>
      </c>
      <c r="AL589" t="s">
        <v>409</v>
      </c>
      <c r="AM589" t="s">
        <v>41</v>
      </c>
      <c r="AN589" t="s">
        <v>7</v>
      </c>
      <c r="AO589" t="s">
        <v>171</v>
      </c>
      <c r="AP589" t="s">
        <v>172</v>
      </c>
      <c r="AQ589" t="s">
        <v>15</v>
      </c>
      <c r="AR589" t="s">
        <v>22</v>
      </c>
      <c r="AS589" t="s">
        <v>36</v>
      </c>
      <c r="AT589">
        <v>0.15</v>
      </c>
      <c r="AU589" t="s">
        <v>203</v>
      </c>
      <c r="AV589" t="s">
        <v>165</v>
      </c>
    </row>
    <row r="590" spans="1:48" x14ac:dyDescent="0.3">
      <c r="A590" t="s">
        <v>2345</v>
      </c>
      <c r="B590" s="12">
        <v>45727</v>
      </c>
      <c r="C590" s="12">
        <v>45731</v>
      </c>
      <c r="D590" t="s">
        <v>2346</v>
      </c>
      <c r="E590" t="s">
        <v>238</v>
      </c>
      <c r="F590" t="s">
        <v>41</v>
      </c>
      <c r="G590" t="s">
        <v>6</v>
      </c>
      <c r="H590" t="s">
        <v>294</v>
      </c>
      <c r="I590" t="s">
        <v>295</v>
      </c>
      <c r="J590" t="s">
        <v>15</v>
      </c>
      <c r="K590" t="s">
        <v>22</v>
      </c>
      <c r="M590" t="s">
        <v>37</v>
      </c>
      <c r="N590">
        <v>8</v>
      </c>
      <c r="O590">
        <v>4446.3599999999997</v>
      </c>
      <c r="P590">
        <v>0.1</v>
      </c>
      <c r="Q590">
        <v>0.1</v>
      </c>
      <c r="R590">
        <v>32013.79</v>
      </c>
      <c r="S590">
        <v>20896.88</v>
      </c>
      <c r="T590">
        <v>32013.792000000001</v>
      </c>
      <c r="U590">
        <v>11116.912</v>
      </c>
      <c r="V590">
        <v>0.347253833597719</v>
      </c>
      <c r="W590">
        <v>4</v>
      </c>
      <c r="X590" t="s">
        <v>278</v>
      </c>
      <c r="Y590">
        <v>2025</v>
      </c>
      <c r="Z590" t="s">
        <v>203</v>
      </c>
      <c r="AA590" t="s">
        <v>165</v>
      </c>
      <c r="AB590" t="s">
        <v>131</v>
      </c>
      <c r="AC590" t="s">
        <v>131</v>
      </c>
      <c r="AD590" t="s">
        <v>131</v>
      </c>
      <c r="AE590" t="s">
        <v>131</v>
      </c>
      <c r="AF590" t="s">
        <v>131</v>
      </c>
      <c r="AG590" t="s">
        <v>131</v>
      </c>
      <c r="AH590" t="s">
        <v>131</v>
      </c>
      <c r="AI590" t="s">
        <v>133</v>
      </c>
      <c r="AJ590" t="s">
        <v>2347</v>
      </c>
      <c r="AK590" t="s">
        <v>2348</v>
      </c>
      <c r="AL590" t="s">
        <v>238</v>
      </c>
      <c r="AM590" t="s">
        <v>41</v>
      </c>
      <c r="AN590" t="s">
        <v>6</v>
      </c>
      <c r="AO590" t="s">
        <v>294</v>
      </c>
      <c r="AP590" t="s">
        <v>295</v>
      </c>
      <c r="AQ590" t="s">
        <v>15</v>
      </c>
      <c r="AR590" t="s">
        <v>22</v>
      </c>
      <c r="AS590" t="s">
        <v>37</v>
      </c>
      <c r="AT590">
        <v>0.1</v>
      </c>
      <c r="AU590" t="s">
        <v>203</v>
      </c>
      <c r="AV590" t="s">
        <v>165</v>
      </c>
    </row>
    <row r="591" spans="1:48" x14ac:dyDescent="0.3">
      <c r="A591" t="s">
        <v>2349</v>
      </c>
      <c r="B591" s="12">
        <v>45632</v>
      </c>
      <c r="C591" s="12">
        <v>45638</v>
      </c>
      <c r="D591" t="s">
        <v>2350</v>
      </c>
      <c r="E591" t="s">
        <v>255</v>
      </c>
      <c r="F591" t="s">
        <v>43</v>
      </c>
      <c r="G591" t="s">
        <v>9</v>
      </c>
      <c r="H591" t="s">
        <v>249</v>
      </c>
      <c r="I591" t="s">
        <v>250</v>
      </c>
      <c r="J591" t="s">
        <v>15</v>
      </c>
      <c r="K591" t="s">
        <v>17</v>
      </c>
      <c r="M591" t="s">
        <v>36</v>
      </c>
      <c r="N591">
        <v>3</v>
      </c>
      <c r="O591">
        <v>524.75</v>
      </c>
      <c r="P591">
        <v>0</v>
      </c>
      <c r="Q591">
        <v>0</v>
      </c>
      <c r="R591">
        <v>1574.25</v>
      </c>
      <c r="S591">
        <v>1326.12</v>
      </c>
      <c r="T591">
        <v>1574.25</v>
      </c>
      <c r="U591">
        <v>248.13</v>
      </c>
      <c r="V591">
        <v>0.157617913292044</v>
      </c>
      <c r="W591">
        <v>6</v>
      </c>
      <c r="X591" t="s">
        <v>214</v>
      </c>
      <c r="Y591">
        <v>2024</v>
      </c>
      <c r="Z591" t="s">
        <v>129</v>
      </c>
      <c r="AA591" t="s">
        <v>130</v>
      </c>
      <c r="AB591" t="s">
        <v>131</v>
      </c>
      <c r="AC591" t="s">
        <v>131</v>
      </c>
      <c r="AD591" t="s">
        <v>131</v>
      </c>
      <c r="AE591" t="s">
        <v>131</v>
      </c>
      <c r="AF591" t="s">
        <v>131</v>
      </c>
      <c r="AG591" t="s">
        <v>131</v>
      </c>
      <c r="AH591" t="s">
        <v>132</v>
      </c>
      <c r="AI591" t="s">
        <v>133</v>
      </c>
      <c r="AJ591" t="s">
        <v>2351</v>
      </c>
      <c r="AK591" t="s">
        <v>2352</v>
      </c>
      <c r="AL591" t="s">
        <v>255</v>
      </c>
      <c r="AM591" t="s">
        <v>43</v>
      </c>
      <c r="AN591" t="s">
        <v>9</v>
      </c>
      <c r="AO591" t="s">
        <v>249</v>
      </c>
      <c r="AP591" t="s">
        <v>250</v>
      </c>
      <c r="AQ591" t="s">
        <v>15</v>
      </c>
      <c r="AR591" t="s">
        <v>17</v>
      </c>
      <c r="AS591" t="s">
        <v>36</v>
      </c>
      <c r="AT591">
        <v>0</v>
      </c>
      <c r="AU591" t="s">
        <v>129</v>
      </c>
      <c r="AV591" t="s">
        <v>130</v>
      </c>
    </row>
    <row r="592" spans="1:48" x14ac:dyDescent="0.3">
      <c r="A592" t="s">
        <v>2353</v>
      </c>
      <c r="B592" s="12">
        <v>45441</v>
      </c>
      <c r="C592" s="12">
        <v>45441</v>
      </c>
      <c r="D592" t="s">
        <v>2354</v>
      </c>
      <c r="E592" t="s">
        <v>238</v>
      </c>
      <c r="F592" t="s">
        <v>41</v>
      </c>
      <c r="G592" t="s">
        <v>9</v>
      </c>
      <c r="H592" t="s">
        <v>522</v>
      </c>
      <c r="I592" t="s">
        <v>523</v>
      </c>
      <c r="J592" t="s">
        <v>18</v>
      </c>
      <c r="K592" t="s">
        <v>19</v>
      </c>
      <c r="M592" t="s">
        <v>38</v>
      </c>
      <c r="N592">
        <v>6</v>
      </c>
      <c r="O592">
        <v>3430.35</v>
      </c>
      <c r="P592">
        <v>0</v>
      </c>
      <c r="Q592">
        <v>0</v>
      </c>
      <c r="R592">
        <v>20582.099999999999</v>
      </c>
      <c r="S592">
        <v>15897.65</v>
      </c>
      <c r="T592">
        <v>20582.099999999999</v>
      </c>
      <c r="U592">
        <v>4684.45</v>
      </c>
      <c r="V592">
        <v>0.227598252850778</v>
      </c>
      <c r="W592">
        <v>0</v>
      </c>
      <c r="X592" t="s">
        <v>173</v>
      </c>
      <c r="Y592">
        <v>2024</v>
      </c>
      <c r="Z592" t="s">
        <v>215</v>
      </c>
      <c r="AA592" t="s">
        <v>165</v>
      </c>
      <c r="AB592" t="s">
        <v>131</v>
      </c>
      <c r="AC592" t="s">
        <v>131</v>
      </c>
      <c r="AD592" t="s">
        <v>131</v>
      </c>
      <c r="AE592" t="s">
        <v>131</v>
      </c>
      <c r="AF592" t="s">
        <v>131</v>
      </c>
      <c r="AG592" t="s">
        <v>131</v>
      </c>
      <c r="AH592" t="s">
        <v>131</v>
      </c>
      <c r="AI592" t="s">
        <v>133</v>
      </c>
      <c r="AJ592" t="s">
        <v>334</v>
      </c>
      <c r="AK592" t="s">
        <v>2355</v>
      </c>
      <c r="AL592" t="s">
        <v>238</v>
      </c>
      <c r="AM592" t="s">
        <v>41</v>
      </c>
      <c r="AN592" t="s">
        <v>9</v>
      </c>
      <c r="AO592" t="s">
        <v>522</v>
      </c>
      <c r="AP592" t="s">
        <v>523</v>
      </c>
      <c r="AQ592" t="s">
        <v>18</v>
      </c>
      <c r="AR592" t="s">
        <v>19</v>
      </c>
      <c r="AS592" t="s">
        <v>38</v>
      </c>
      <c r="AT592">
        <v>0</v>
      </c>
      <c r="AU592" t="s">
        <v>2356</v>
      </c>
      <c r="AV592" t="s">
        <v>165</v>
      </c>
    </row>
    <row r="593" spans="1:48" x14ac:dyDescent="0.3">
      <c r="A593" t="s">
        <v>2357</v>
      </c>
      <c r="B593" s="12">
        <v>45344</v>
      </c>
      <c r="C593" s="12">
        <v>45346</v>
      </c>
      <c r="D593" t="s">
        <v>2358</v>
      </c>
      <c r="E593" t="s">
        <v>243</v>
      </c>
      <c r="F593" t="s">
        <v>42</v>
      </c>
      <c r="G593" t="s">
        <v>6</v>
      </c>
      <c r="H593" t="s">
        <v>294</v>
      </c>
      <c r="I593" t="s">
        <v>295</v>
      </c>
      <c r="J593" t="s">
        <v>15</v>
      </c>
      <c r="K593" t="s">
        <v>16</v>
      </c>
      <c r="M593" t="s">
        <v>36</v>
      </c>
      <c r="N593">
        <v>3</v>
      </c>
      <c r="O593">
        <v>3545.08</v>
      </c>
      <c r="P593">
        <v>0</v>
      </c>
      <c r="Q593">
        <v>0</v>
      </c>
      <c r="R593">
        <v>10635.24</v>
      </c>
      <c r="S593">
        <v>6031.88</v>
      </c>
      <c r="T593">
        <v>10635.24</v>
      </c>
      <c r="U593">
        <v>4603.3599999999997</v>
      </c>
      <c r="V593">
        <v>0.43284025560307099</v>
      </c>
      <c r="W593">
        <v>2</v>
      </c>
      <c r="X593" t="s">
        <v>186</v>
      </c>
      <c r="Y593">
        <v>2024</v>
      </c>
      <c r="Z593" t="s">
        <v>269</v>
      </c>
      <c r="AA593" t="s">
        <v>204</v>
      </c>
      <c r="AB593" t="s">
        <v>131</v>
      </c>
      <c r="AC593" t="s">
        <v>131</v>
      </c>
      <c r="AD593" t="s">
        <v>131</v>
      </c>
      <c r="AE593" t="s">
        <v>131</v>
      </c>
      <c r="AF593" t="s">
        <v>131</v>
      </c>
      <c r="AG593" t="s">
        <v>131</v>
      </c>
      <c r="AH593" t="s">
        <v>131</v>
      </c>
      <c r="AI593" t="s">
        <v>133</v>
      </c>
      <c r="AJ593" t="s">
        <v>2359</v>
      </c>
      <c r="AK593" t="s">
        <v>2360</v>
      </c>
      <c r="AL593" t="s">
        <v>243</v>
      </c>
      <c r="AM593" t="s">
        <v>42</v>
      </c>
      <c r="AN593" t="s">
        <v>6</v>
      </c>
      <c r="AO593" t="s">
        <v>294</v>
      </c>
      <c r="AP593" t="s">
        <v>295</v>
      </c>
      <c r="AQ593" t="s">
        <v>15</v>
      </c>
      <c r="AR593" t="s">
        <v>16</v>
      </c>
      <c r="AS593" t="s">
        <v>36</v>
      </c>
      <c r="AT593">
        <v>0</v>
      </c>
      <c r="AU593" t="s">
        <v>269</v>
      </c>
      <c r="AV593" t="s">
        <v>204</v>
      </c>
    </row>
    <row r="594" spans="1:48" x14ac:dyDescent="0.3">
      <c r="A594" t="s">
        <v>2361</v>
      </c>
      <c r="B594" s="12">
        <v>45355</v>
      </c>
      <c r="C594" s="12">
        <v>45360</v>
      </c>
      <c r="D594" t="s">
        <v>2362</v>
      </c>
      <c r="E594" t="s">
        <v>139</v>
      </c>
      <c r="F594" t="s">
        <v>42</v>
      </c>
      <c r="G594" t="s">
        <v>8</v>
      </c>
      <c r="H594" t="s">
        <v>201</v>
      </c>
      <c r="I594" t="s">
        <v>202</v>
      </c>
      <c r="J594" t="s">
        <v>15</v>
      </c>
      <c r="K594" t="s">
        <v>22</v>
      </c>
      <c r="M594" t="s">
        <v>38</v>
      </c>
      <c r="N594">
        <v>8</v>
      </c>
      <c r="O594">
        <v>4401.41</v>
      </c>
      <c r="P594">
        <v>0.15</v>
      </c>
      <c r="Q594">
        <v>0.15</v>
      </c>
      <c r="R594">
        <v>29929.59</v>
      </c>
      <c r="S594">
        <v>22436.03</v>
      </c>
      <c r="T594">
        <v>29929.588</v>
      </c>
      <c r="U594">
        <v>7493.558</v>
      </c>
      <c r="V594">
        <v>0.25037290857461902</v>
      </c>
      <c r="W594">
        <v>5</v>
      </c>
      <c r="X594" t="s">
        <v>278</v>
      </c>
      <c r="Y594">
        <v>2024</v>
      </c>
      <c r="Z594" t="s">
        <v>129</v>
      </c>
      <c r="AA594" t="s">
        <v>130</v>
      </c>
      <c r="AB594" t="s">
        <v>131</v>
      </c>
      <c r="AC594" t="s">
        <v>131</v>
      </c>
      <c r="AD594" t="s">
        <v>131</v>
      </c>
      <c r="AE594" t="s">
        <v>131</v>
      </c>
      <c r="AF594" t="s">
        <v>131</v>
      </c>
      <c r="AG594" t="s">
        <v>131</v>
      </c>
      <c r="AH594" t="s">
        <v>132</v>
      </c>
      <c r="AI594" t="s">
        <v>133</v>
      </c>
      <c r="AJ594" t="s">
        <v>794</v>
      </c>
      <c r="AK594" t="s">
        <v>840</v>
      </c>
      <c r="AL594" t="s">
        <v>139</v>
      </c>
      <c r="AM594" t="s">
        <v>42</v>
      </c>
      <c r="AN594" t="s">
        <v>8</v>
      </c>
      <c r="AO594" t="s">
        <v>201</v>
      </c>
      <c r="AP594" t="s">
        <v>202</v>
      </c>
      <c r="AQ594" t="s">
        <v>15</v>
      </c>
      <c r="AR594" t="s">
        <v>22</v>
      </c>
      <c r="AS594" t="s">
        <v>38</v>
      </c>
      <c r="AT594">
        <v>0.15</v>
      </c>
      <c r="AU594" t="s">
        <v>129</v>
      </c>
      <c r="AV594" t="s">
        <v>130</v>
      </c>
    </row>
    <row r="595" spans="1:48" x14ac:dyDescent="0.3">
      <c r="A595" t="s">
        <v>2363</v>
      </c>
      <c r="B595" s="12">
        <v>45927</v>
      </c>
      <c r="C595" s="12">
        <v>45929</v>
      </c>
      <c r="D595" t="s">
        <v>2122</v>
      </c>
      <c r="E595" t="s">
        <v>154</v>
      </c>
      <c r="F595" t="s">
        <v>41</v>
      </c>
      <c r="G595" t="s">
        <v>9</v>
      </c>
      <c r="H595" t="s">
        <v>249</v>
      </c>
      <c r="I595" t="s">
        <v>250</v>
      </c>
      <c r="J595" t="s">
        <v>18</v>
      </c>
      <c r="K595" t="s">
        <v>27</v>
      </c>
      <c r="M595" t="s">
        <v>37</v>
      </c>
      <c r="N595">
        <v>9</v>
      </c>
      <c r="O595">
        <v>4100.1099999999997</v>
      </c>
      <c r="P595">
        <v>0.25</v>
      </c>
      <c r="Q595">
        <v>0.25</v>
      </c>
      <c r="R595">
        <v>27675.74</v>
      </c>
      <c r="S595">
        <v>15571.08</v>
      </c>
      <c r="T595">
        <v>27675.7425</v>
      </c>
      <c r="U595">
        <v>12104.6625</v>
      </c>
      <c r="V595">
        <v>0.43737444442547502</v>
      </c>
      <c r="W595">
        <v>2</v>
      </c>
      <c r="X595" t="s">
        <v>196</v>
      </c>
      <c r="Y595">
        <v>2025</v>
      </c>
      <c r="Z595" t="s">
        <v>129</v>
      </c>
      <c r="AA595" t="s">
        <v>130</v>
      </c>
      <c r="AB595" t="s">
        <v>131</v>
      </c>
      <c r="AC595" t="s">
        <v>131</v>
      </c>
      <c r="AD595" t="s">
        <v>131</v>
      </c>
      <c r="AE595" t="s">
        <v>131</v>
      </c>
      <c r="AF595" t="s">
        <v>131</v>
      </c>
      <c r="AG595" t="s">
        <v>131</v>
      </c>
      <c r="AH595" t="s">
        <v>132</v>
      </c>
      <c r="AI595" t="s">
        <v>133</v>
      </c>
      <c r="AJ595" t="s">
        <v>1206</v>
      </c>
      <c r="AK595" t="s">
        <v>2364</v>
      </c>
      <c r="AL595" t="s">
        <v>154</v>
      </c>
      <c r="AM595" t="s">
        <v>41</v>
      </c>
      <c r="AN595" t="s">
        <v>9</v>
      </c>
      <c r="AO595" t="s">
        <v>249</v>
      </c>
      <c r="AP595" t="s">
        <v>250</v>
      </c>
      <c r="AQ595" t="s">
        <v>18</v>
      </c>
      <c r="AR595" t="s">
        <v>27</v>
      </c>
      <c r="AS595" t="s">
        <v>37</v>
      </c>
      <c r="AT595">
        <v>0.25</v>
      </c>
      <c r="AU595" t="s">
        <v>129</v>
      </c>
      <c r="AV595" t="s">
        <v>130</v>
      </c>
    </row>
    <row r="596" spans="1:48" x14ac:dyDescent="0.3">
      <c r="A596" t="s">
        <v>2365</v>
      </c>
      <c r="B596" s="12">
        <v>45554</v>
      </c>
      <c r="C596" s="12">
        <v>45556</v>
      </c>
      <c r="D596" t="s">
        <v>2366</v>
      </c>
      <c r="E596" t="s">
        <v>125</v>
      </c>
      <c r="F596" t="s">
        <v>44</v>
      </c>
      <c r="G596" t="s">
        <v>8</v>
      </c>
      <c r="H596" t="s">
        <v>201</v>
      </c>
      <c r="I596" t="s">
        <v>202</v>
      </c>
      <c r="J596" t="s">
        <v>18</v>
      </c>
      <c r="K596" t="s">
        <v>19</v>
      </c>
      <c r="M596" t="s">
        <v>36</v>
      </c>
      <c r="N596">
        <v>3</v>
      </c>
      <c r="O596">
        <v>3981.76</v>
      </c>
      <c r="P596">
        <v>0</v>
      </c>
      <c r="Q596">
        <v>0</v>
      </c>
      <c r="R596">
        <v>11945.28</v>
      </c>
      <c r="S596">
        <v>9700.31</v>
      </c>
      <c r="T596">
        <v>11945.28</v>
      </c>
      <c r="U596">
        <v>2244.9699999999998</v>
      </c>
      <c r="V596">
        <v>0.18793782983739199</v>
      </c>
      <c r="W596">
        <v>2</v>
      </c>
      <c r="X596" t="s">
        <v>196</v>
      </c>
      <c r="Y596">
        <v>2024</v>
      </c>
      <c r="Z596" t="s">
        <v>129</v>
      </c>
      <c r="AA596" t="s">
        <v>130</v>
      </c>
      <c r="AB596" t="s">
        <v>131</v>
      </c>
      <c r="AC596" t="s">
        <v>131</v>
      </c>
      <c r="AD596" t="s">
        <v>131</v>
      </c>
      <c r="AE596" t="s">
        <v>131</v>
      </c>
      <c r="AF596" t="s">
        <v>131</v>
      </c>
      <c r="AG596" t="s">
        <v>131</v>
      </c>
      <c r="AH596" t="s">
        <v>132</v>
      </c>
      <c r="AI596" t="s">
        <v>133</v>
      </c>
      <c r="AJ596" t="s">
        <v>2367</v>
      </c>
      <c r="AK596" t="s">
        <v>1029</v>
      </c>
      <c r="AL596" t="s">
        <v>125</v>
      </c>
      <c r="AM596" t="s">
        <v>44</v>
      </c>
      <c r="AN596" t="s">
        <v>8</v>
      </c>
      <c r="AO596" t="s">
        <v>201</v>
      </c>
      <c r="AP596" t="s">
        <v>202</v>
      </c>
      <c r="AQ596" t="s">
        <v>18</v>
      </c>
      <c r="AR596" t="s">
        <v>19</v>
      </c>
      <c r="AS596" t="s">
        <v>36</v>
      </c>
      <c r="AT596">
        <v>0</v>
      </c>
      <c r="AU596" t="s">
        <v>129</v>
      </c>
      <c r="AV596" t="s">
        <v>130</v>
      </c>
    </row>
    <row r="597" spans="1:48" x14ac:dyDescent="0.3">
      <c r="A597" t="s">
        <v>2368</v>
      </c>
      <c r="B597" s="12">
        <v>45699</v>
      </c>
      <c r="C597" s="12">
        <v>45704</v>
      </c>
      <c r="D597" t="s">
        <v>2369</v>
      </c>
      <c r="E597" t="s">
        <v>139</v>
      </c>
      <c r="F597" t="s">
        <v>43</v>
      </c>
      <c r="G597" t="s">
        <v>9</v>
      </c>
      <c r="H597" t="s">
        <v>249</v>
      </c>
      <c r="I597" t="s">
        <v>250</v>
      </c>
      <c r="J597" t="s">
        <v>15</v>
      </c>
      <c r="K597" t="s">
        <v>17</v>
      </c>
      <c r="M597" t="s">
        <v>36</v>
      </c>
      <c r="N597">
        <v>8</v>
      </c>
      <c r="O597">
        <v>1825.56</v>
      </c>
      <c r="P597">
        <v>0.1</v>
      </c>
      <c r="Q597">
        <v>0.1</v>
      </c>
      <c r="R597">
        <v>13144.03</v>
      </c>
      <c r="S597">
        <v>9764</v>
      </c>
      <c r="T597">
        <v>13144.031999999999</v>
      </c>
      <c r="U597">
        <v>3380.0320000000002</v>
      </c>
      <c r="V597">
        <v>0.25715336055177002</v>
      </c>
      <c r="W597">
        <v>5</v>
      </c>
      <c r="X597" t="s">
        <v>186</v>
      </c>
      <c r="Y597">
        <v>2025</v>
      </c>
      <c r="Z597" t="s">
        <v>129</v>
      </c>
      <c r="AA597" t="s">
        <v>130</v>
      </c>
      <c r="AB597" t="s">
        <v>131</v>
      </c>
      <c r="AC597" t="s">
        <v>131</v>
      </c>
      <c r="AD597" t="s">
        <v>131</v>
      </c>
      <c r="AE597" t="s">
        <v>131</v>
      </c>
      <c r="AF597" t="s">
        <v>131</v>
      </c>
      <c r="AG597" t="s">
        <v>131</v>
      </c>
      <c r="AH597" t="s">
        <v>132</v>
      </c>
      <c r="AI597" t="s">
        <v>133</v>
      </c>
      <c r="AJ597" t="s">
        <v>2370</v>
      </c>
      <c r="AK597" t="s">
        <v>2371</v>
      </c>
      <c r="AL597" t="s">
        <v>139</v>
      </c>
      <c r="AM597" t="s">
        <v>43</v>
      </c>
      <c r="AN597" t="s">
        <v>9</v>
      </c>
      <c r="AO597" t="s">
        <v>249</v>
      </c>
      <c r="AP597" t="s">
        <v>250</v>
      </c>
      <c r="AQ597" t="s">
        <v>15</v>
      </c>
      <c r="AR597" t="s">
        <v>17</v>
      </c>
      <c r="AS597" t="s">
        <v>36</v>
      </c>
      <c r="AT597">
        <v>0.1</v>
      </c>
      <c r="AU597" t="s">
        <v>129</v>
      </c>
      <c r="AV597" t="s">
        <v>130</v>
      </c>
    </row>
    <row r="598" spans="1:48" x14ac:dyDescent="0.3">
      <c r="A598" t="s">
        <v>2372</v>
      </c>
      <c r="B598" s="12">
        <v>45392</v>
      </c>
      <c r="C598" s="12">
        <v>45398</v>
      </c>
      <c r="D598" t="s">
        <v>2373</v>
      </c>
      <c r="E598" t="s">
        <v>191</v>
      </c>
      <c r="F598" t="s">
        <v>42</v>
      </c>
      <c r="G598" t="s">
        <v>6</v>
      </c>
      <c r="H598" t="s">
        <v>305</v>
      </c>
      <c r="I598" t="s">
        <v>306</v>
      </c>
      <c r="J598" t="s">
        <v>18</v>
      </c>
      <c r="K598" t="s">
        <v>19</v>
      </c>
      <c r="M598" t="s">
        <v>37</v>
      </c>
      <c r="N598">
        <v>9</v>
      </c>
      <c r="O598">
        <v>2723.26</v>
      </c>
      <c r="P598">
        <v>0.25</v>
      </c>
      <c r="Q598">
        <v>0.25</v>
      </c>
      <c r="R598">
        <v>18382.009999999998</v>
      </c>
      <c r="S598">
        <v>13108.2</v>
      </c>
      <c r="T598">
        <v>18382.005000000001</v>
      </c>
      <c r="U598">
        <v>5273.8050000000003</v>
      </c>
      <c r="V598">
        <v>0.28690042245119601</v>
      </c>
      <c r="W598">
        <v>6</v>
      </c>
      <c r="X598" t="s">
        <v>179</v>
      </c>
      <c r="Y598">
        <v>2024</v>
      </c>
      <c r="Z598" t="s">
        <v>129</v>
      </c>
      <c r="AA598" t="s">
        <v>130</v>
      </c>
      <c r="AB598" t="s">
        <v>131</v>
      </c>
      <c r="AC598" t="s">
        <v>131</v>
      </c>
      <c r="AD598" t="s">
        <v>131</v>
      </c>
      <c r="AE598" t="s">
        <v>131</v>
      </c>
      <c r="AF598" t="s">
        <v>131</v>
      </c>
      <c r="AG598" t="s">
        <v>131</v>
      </c>
      <c r="AH598" t="s">
        <v>132</v>
      </c>
      <c r="AI598" t="s">
        <v>133</v>
      </c>
      <c r="AJ598" t="s">
        <v>1271</v>
      </c>
      <c r="AK598" t="s">
        <v>447</v>
      </c>
      <c r="AL598" t="s">
        <v>191</v>
      </c>
      <c r="AM598" t="s">
        <v>42</v>
      </c>
      <c r="AN598" t="s">
        <v>6</v>
      </c>
      <c r="AO598" t="s">
        <v>305</v>
      </c>
      <c r="AP598" t="s">
        <v>306</v>
      </c>
      <c r="AQ598" t="s">
        <v>18</v>
      </c>
      <c r="AR598" t="s">
        <v>19</v>
      </c>
      <c r="AS598" t="s">
        <v>37</v>
      </c>
      <c r="AT598">
        <v>0.25</v>
      </c>
      <c r="AU598" t="s">
        <v>129</v>
      </c>
      <c r="AV598" t="s">
        <v>130</v>
      </c>
    </row>
    <row r="599" spans="1:48" x14ac:dyDescent="0.3">
      <c r="A599" t="s">
        <v>2374</v>
      </c>
      <c r="B599" s="12">
        <v>45846</v>
      </c>
      <c r="C599" s="12">
        <v>45846</v>
      </c>
      <c r="D599" t="s">
        <v>2375</v>
      </c>
      <c r="E599" t="s">
        <v>191</v>
      </c>
      <c r="F599" t="s">
        <v>42</v>
      </c>
      <c r="G599" t="s">
        <v>6</v>
      </c>
      <c r="H599" t="s">
        <v>155</v>
      </c>
      <c r="I599" t="s">
        <v>156</v>
      </c>
      <c r="J599" t="s">
        <v>15</v>
      </c>
      <c r="K599" t="s">
        <v>16</v>
      </c>
      <c r="M599" t="s">
        <v>38</v>
      </c>
      <c r="N599">
        <v>9</v>
      </c>
      <c r="O599">
        <v>274.88</v>
      </c>
      <c r="P599">
        <v>0.25</v>
      </c>
      <c r="Q599">
        <v>0.25</v>
      </c>
      <c r="R599">
        <v>1855.44</v>
      </c>
      <c r="S599">
        <v>1262.74</v>
      </c>
      <c r="T599">
        <v>1855.44</v>
      </c>
      <c r="U599">
        <v>592.70000000000005</v>
      </c>
      <c r="V599">
        <v>0.31943905488725099</v>
      </c>
      <c r="W599">
        <v>0</v>
      </c>
      <c r="X599" t="s">
        <v>128</v>
      </c>
      <c r="Y599">
        <v>2025</v>
      </c>
      <c r="Z599" t="s">
        <v>129</v>
      </c>
      <c r="AA599" t="s">
        <v>130</v>
      </c>
      <c r="AB599" t="s">
        <v>131</v>
      </c>
      <c r="AC599" t="s">
        <v>131</v>
      </c>
      <c r="AD599" t="s">
        <v>131</v>
      </c>
      <c r="AE599" t="s">
        <v>131</v>
      </c>
      <c r="AF599" t="s">
        <v>131</v>
      </c>
      <c r="AG599" t="s">
        <v>131</v>
      </c>
      <c r="AH599" t="s">
        <v>132</v>
      </c>
      <c r="AI599" t="s">
        <v>133</v>
      </c>
      <c r="AJ599" t="s">
        <v>2376</v>
      </c>
      <c r="AK599" t="s">
        <v>509</v>
      </c>
      <c r="AL599" t="s">
        <v>191</v>
      </c>
      <c r="AM599" t="s">
        <v>42</v>
      </c>
      <c r="AN599" t="s">
        <v>6</v>
      </c>
      <c r="AO599" t="s">
        <v>155</v>
      </c>
      <c r="AP599" t="s">
        <v>156</v>
      </c>
      <c r="AQ599" t="s">
        <v>15</v>
      </c>
      <c r="AR599" t="s">
        <v>16</v>
      </c>
      <c r="AS599" t="s">
        <v>38</v>
      </c>
      <c r="AT599">
        <v>0.25</v>
      </c>
      <c r="AU599" t="s">
        <v>129</v>
      </c>
      <c r="AV599" t="s">
        <v>130</v>
      </c>
    </row>
    <row r="600" spans="1:48" x14ac:dyDescent="0.3">
      <c r="A600" t="s">
        <v>2377</v>
      </c>
      <c r="B600" s="12">
        <v>45521</v>
      </c>
      <c r="C600" s="12">
        <v>45528</v>
      </c>
      <c r="D600" t="s">
        <v>2378</v>
      </c>
      <c r="E600" t="s">
        <v>162</v>
      </c>
      <c r="F600" t="s">
        <v>43</v>
      </c>
      <c r="G600" t="s">
        <v>8</v>
      </c>
      <c r="H600" t="s">
        <v>201</v>
      </c>
      <c r="I600" t="s">
        <v>202</v>
      </c>
      <c r="J600" t="s">
        <v>15</v>
      </c>
      <c r="K600" t="s">
        <v>16</v>
      </c>
      <c r="M600" t="s">
        <v>38</v>
      </c>
      <c r="N600">
        <v>3</v>
      </c>
      <c r="O600">
        <v>1490.69</v>
      </c>
      <c r="P600">
        <v>0.25</v>
      </c>
      <c r="Q600">
        <v>0.25</v>
      </c>
      <c r="R600">
        <v>3354.05</v>
      </c>
      <c r="S600">
        <v>2672.67</v>
      </c>
      <c r="T600">
        <v>3354.0524999999998</v>
      </c>
      <c r="U600">
        <v>681.38250000000005</v>
      </c>
      <c r="V600">
        <v>0.203152007906853</v>
      </c>
      <c r="W600">
        <v>7</v>
      </c>
      <c r="X600" t="s">
        <v>142</v>
      </c>
      <c r="Y600">
        <v>2024</v>
      </c>
      <c r="Z600" t="s">
        <v>129</v>
      </c>
      <c r="AA600" t="s">
        <v>130</v>
      </c>
      <c r="AB600" t="s">
        <v>131</v>
      </c>
      <c r="AC600" t="s">
        <v>131</v>
      </c>
      <c r="AD600" t="s">
        <v>131</v>
      </c>
      <c r="AE600" t="s">
        <v>131</v>
      </c>
      <c r="AF600" t="s">
        <v>131</v>
      </c>
      <c r="AG600" t="s">
        <v>131</v>
      </c>
      <c r="AH600" t="s">
        <v>132</v>
      </c>
      <c r="AI600" t="s">
        <v>133</v>
      </c>
      <c r="AJ600" t="s">
        <v>2052</v>
      </c>
      <c r="AK600" t="s">
        <v>2379</v>
      </c>
      <c r="AL600" t="s">
        <v>162</v>
      </c>
      <c r="AM600" t="s">
        <v>43</v>
      </c>
      <c r="AN600" t="s">
        <v>8</v>
      </c>
      <c r="AO600" t="s">
        <v>201</v>
      </c>
      <c r="AP600" t="s">
        <v>202</v>
      </c>
      <c r="AQ600" t="s">
        <v>15</v>
      </c>
      <c r="AR600" t="s">
        <v>16</v>
      </c>
      <c r="AS600" t="s">
        <v>38</v>
      </c>
      <c r="AT600">
        <v>0.25</v>
      </c>
      <c r="AU600" t="s">
        <v>129</v>
      </c>
      <c r="AV600" t="s">
        <v>130</v>
      </c>
    </row>
    <row r="601" spans="1:48" x14ac:dyDescent="0.3">
      <c r="A601" t="s">
        <v>2380</v>
      </c>
      <c r="B601" s="12">
        <v>45523</v>
      </c>
      <c r="C601" s="12">
        <v>45525</v>
      </c>
      <c r="D601" t="s">
        <v>2381</v>
      </c>
      <c r="E601" t="s">
        <v>154</v>
      </c>
      <c r="F601" t="s">
        <v>42</v>
      </c>
      <c r="G601" t="s">
        <v>9</v>
      </c>
      <c r="H601" t="s">
        <v>232</v>
      </c>
      <c r="I601" t="s">
        <v>233</v>
      </c>
      <c r="J601" t="s">
        <v>15</v>
      </c>
      <c r="K601" t="s">
        <v>17</v>
      </c>
      <c r="M601" t="s">
        <v>36</v>
      </c>
      <c r="N601">
        <v>3</v>
      </c>
      <c r="O601">
        <v>1103.54</v>
      </c>
      <c r="P601">
        <v>0.25</v>
      </c>
      <c r="Q601">
        <v>0.25</v>
      </c>
      <c r="R601">
        <v>2482.9699999999998</v>
      </c>
      <c r="S601">
        <v>1621.72</v>
      </c>
      <c r="T601">
        <v>2482.9650000000001</v>
      </c>
      <c r="U601">
        <v>861.245</v>
      </c>
      <c r="V601">
        <v>0.34686151435884099</v>
      </c>
      <c r="W601">
        <v>2</v>
      </c>
      <c r="X601" t="s">
        <v>142</v>
      </c>
      <c r="Y601">
        <v>2024</v>
      </c>
      <c r="Z601" t="s">
        <v>129</v>
      </c>
      <c r="AA601" t="s">
        <v>130</v>
      </c>
      <c r="AB601" t="s">
        <v>131</v>
      </c>
      <c r="AC601" t="s">
        <v>131</v>
      </c>
      <c r="AD601" t="s">
        <v>131</v>
      </c>
      <c r="AE601" t="s">
        <v>131</v>
      </c>
      <c r="AF601" t="s">
        <v>131</v>
      </c>
      <c r="AG601" t="s">
        <v>131</v>
      </c>
      <c r="AH601" t="s">
        <v>132</v>
      </c>
      <c r="AI601" t="s">
        <v>133</v>
      </c>
      <c r="AJ601" t="s">
        <v>2382</v>
      </c>
      <c r="AK601" t="s">
        <v>1417</v>
      </c>
      <c r="AL601" t="s">
        <v>154</v>
      </c>
      <c r="AM601" t="s">
        <v>42</v>
      </c>
      <c r="AN601" t="s">
        <v>9</v>
      </c>
      <c r="AO601" t="s">
        <v>232</v>
      </c>
      <c r="AP601" t="s">
        <v>233</v>
      </c>
      <c r="AQ601" t="s">
        <v>15</v>
      </c>
      <c r="AR601" t="s">
        <v>17</v>
      </c>
      <c r="AS601" t="s">
        <v>36</v>
      </c>
      <c r="AT601">
        <v>0.25</v>
      </c>
      <c r="AU601" t="s">
        <v>129</v>
      </c>
      <c r="AV601" t="s">
        <v>130</v>
      </c>
    </row>
    <row r="602" spans="1:48" x14ac:dyDescent="0.3">
      <c r="A602" t="s">
        <v>2383</v>
      </c>
      <c r="B602" s="12">
        <v>45721</v>
      </c>
      <c r="C602" s="12">
        <v>45728</v>
      </c>
      <c r="D602" t="s">
        <v>2384</v>
      </c>
      <c r="E602" t="s">
        <v>162</v>
      </c>
      <c r="F602" t="s">
        <v>43</v>
      </c>
      <c r="G602" t="s">
        <v>7</v>
      </c>
      <c r="H602" t="s">
        <v>171</v>
      </c>
      <c r="I602" t="s">
        <v>172</v>
      </c>
      <c r="J602" t="s">
        <v>20</v>
      </c>
      <c r="K602" t="s">
        <v>21</v>
      </c>
      <c r="M602" t="s">
        <v>38</v>
      </c>
      <c r="N602">
        <v>3</v>
      </c>
      <c r="O602">
        <v>3682.75</v>
      </c>
      <c r="Q602">
        <v>0</v>
      </c>
      <c r="R602">
        <v>11048.25</v>
      </c>
      <c r="S602">
        <v>9062.7199999999993</v>
      </c>
      <c r="T602">
        <v>11048.25</v>
      </c>
      <c r="U602">
        <v>1985.53</v>
      </c>
      <c r="V602">
        <v>0.17971443441269</v>
      </c>
      <c r="W602">
        <v>7</v>
      </c>
      <c r="X602" t="s">
        <v>278</v>
      </c>
      <c r="Y602">
        <v>2025</v>
      </c>
      <c r="Z602" t="s">
        <v>129</v>
      </c>
      <c r="AA602" t="s">
        <v>130</v>
      </c>
      <c r="AB602" t="s">
        <v>131</v>
      </c>
      <c r="AC602" t="s">
        <v>131</v>
      </c>
      <c r="AD602" t="s">
        <v>132</v>
      </c>
      <c r="AE602" t="s">
        <v>131</v>
      </c>
      <c r="AF602" t="s">
        <v>131</v>
      </c>
      <c r="AG602" t="s">
        <v>131</v>
      </c>
      <c r="AH602" t="s">
        <v>132</v>
      </c>
      <c r="AI602" t="s">
        <v>321</v>
      </c>
      <c r="AJ602" t="s">
        <v>2385</v>
      </c>
      <c r="AK602" t="s">
        <v>2386</v>
      </c>
      <c r="AL602" t="s">
        <v>162</v>
      </c>
      <c r="AM602" t="s">
        <v>43</v>
      </c>
      <c r="AN602" t="s">
        <v>7</v>
      </c>
      <c r="AO602" t="s">
        <v>171</v>
      </c>
      <c r="AP602" t="s">
        <v>172</v>
      </c>
      <c r="AQ602" t="s">
        <v>20</v>
      </c>
      <c r="AR602" t="s">
        <v>21</v>
      </c>
      <c r="AS602" t="s">
        <v>38</v>
      </c>
      <c r="AU602" t="s">
        <v>129</v>
      </c>
      <c r="AV602" t="s">
        <v>130</v>
      </c>
    </row>
    <row r="603" spans="1:48" x14ac:dyDescent="0.3">
      <c r="A603" t="s">
        <v>2387</v>
      </c>
      <c r="B603" s="12">
        <v>45317</v>
      </c>
      <c r="C603" s="12">
        <v>45322</v>
      </c>
      <c r="D603" t="s">
        <v>2388</v>
      </c>
      <c r="E603" t="s">
        <v>162</v>
      </c>
      <c r="F603" t="s">
        <v>41</v>
      </c>
      <c r="G603" t="s">
        <v>8</v>
      </c>
      <c r="H603" t="s">
        <v>201</v>
      </c>
      <c r="I603" t="s">
        <v>202</v>
      </c>
      <c r="J603" t="s">
        <v>20</v>
      </c>
      <c r="K603" t="s">
        <v>24</v>
      </c>
      <c r="M603" t="s">
        <v>37</v>
      </c>
      <c r="N603">
        <v>5</v>
      </c>
      <c r="O603">
        <v>1615.03</v>
      </c>
      <c r="P603">
        <v>0.2</v>
      </c>
      <c r="Q603">
        <v>0.2</v>
      </c>
      <c r="R603">
        <v>6460.12</v>
      </c>
      <c r="S603">
        <v>3604.03</v>
      </c>
      <c r="T603">
        <v>6460.12</v>
      </c>
      <c r="U603">
        <v>2856.09</v>
      </c>
      <c r="V603">
        <v>0.44211098245852998</v>
      </c>
      <c r="W603">
        <v>5</v>
      </c>
      <c r="X603" t="s">
        <v>244</v>
      </c>
      <c r="Y603">
        <v>2024</v>
      </c>
      <c r="Z603" t="s">
        <v>129</v>
      </c>
      <c r="AA603" t="s">
        <v>130</v>
      </c>
      <c r="AB603" t="s">
        <v>131</v>
      </c>
      <c r="AC603" t="s">
        <v>131</v>
      </c>
      <c r="AD603" t="s">
        <v>131</v>
      </c>
      <c r="AE603" t="s">
        <v>131</v>
      </c>
      <c r="AF603" t="s">
        <v>131</v>
      </c>
      <c r="AG603" t="s">
        <v>131</v>
      </c>
      <c r="AH603" t="s">
        <v>132</v>
      </c>
      <c r="AI603" t="s">
        <v>133</v>
      </c>
      <c r="AJ603" t="s">
        <v>2389</v>
      </c>
      <c r="AK603" t="s">
        <v>2390</v>
      </c>
      <c r="AL603" t="s">
        <v>162</v>
      </c>
      <c r="AM603" t="s">
        <v>41</v>
      </c>
      <c r="AN603" t="s">
        <v>8</v>
      </c>
      <c r="AO603" t="s">
        <v>201</v>
      </c>
      <c r="AP603" t="s">
        <v>202</v>
      </c>
      <c r="AQ603" t="s">
        <v>20</v>
      </c>
      <c r="AR603" t="s">
        <v>24</v>
      </c>
      <c r="AS603" t="s">
        <v>37</v>
      </c>
      <c r="AT603">
        <v>0.2</v>
      </c>
      <c r="AU603" t="s">
        <v>129</v>
      </c>
      <c r="AV603" t="s">
        <v>130</v>
      </c>
    </row>
    <row r="604" spans="1:48" x14ac:dyDescent="0.3">
      <c r="A604" t="s">
        <v>2391</v>
      </c>
      <c r="B604" s="12">
        <v>45588</v>
      </c>
      <c r="C604" s="12">
        <v>45595</v>
      </c>
      <c r="D604" t="s">
        <v>2392</v>
      </c>
      <c r="E604" t="s">
        <v>238</v>
      </c>
      <c r="F604" t="s">
        <v>42</v>
      </c>
      <c r="G604" t="s">
        <v>8</v>
      </c>
      <c r="H604" t="s">
        <v>362</v>
      </c>
      <c r="I604" t="s">
        <v>363</v>
      </c>
      <c r="J604" t="s">
        <v>15</v>
      </c>
      <c r="K604" t="s">
        <v>16</v>
      </c>
      <c r="M604" t="s">
        <v>37</v>
      </c>
      <c r="N604">
        <v>9</v>
      </c>
      <c r="O604">
        <v>3423.82</v>
      </c>
      <c r="P604">
        <v>0.15</v>
      </c>
      <c r="Q604">
        <v>0.15</v>
      </c>
      <c r="R604">
        <v>26192.22</v>
      </c>
      <c r="S604">
        <v>20795.55</v>
      </c>
      <c r="T604">
        <v>26192.223000000002</v>
      </c>
      <c r="U604">
        <v>5396.6729999999998</v>
      </c>
      <c r="V604">
        <v>0.20604104508425999</v>
      </c>
      <c r="W604">
        <v>7</v>
      </c>
      <c r="X604" t="s">
        <v>222</v>
      </c>
      <c r="Y604">
        <v>2024</v>
      </c>
      <c r="Z604" t="s">
        <v>129</v>
      </c>
      <c r="AA604" t="s">
        <v>130</v>
      </c>
      <c r="AB604" t="s">
        <v>131</v>
      </c>
      <c r="AC604" t="s">
        <v>131</v>
      </c>
      <c r="AD604" t="s">
        <v>131</v>
      </c>
      <c r="AE604" t="s">
        <v>131</v>
      </c>
      <c r="AF604" t="s">
        <v>131</v>
      </c>
      <c r="AG604" t="s">
        <v>131</v>
      </c>
      <c r="AH604" t="s">
        <v>132</v>
      </c>
      <c r="AI604" t="s">
        <v>133</v>
      </c>
      <c r="AJ604" t="s">
        <v>2393</v>
      </c>
      <c r="AK604" t="s">
        <v>2394</v>
      </c>
      <c r="AL604" t="s">
        <v>238</v>
      </c>
      <c r="AM604" t="s">
        <v>42</v>
      </c>
      <c r="AN604" t="s">
        <v>8</v>
      </c>
      <c r="AO604" t="s">
        <v>362</v>
      </c>
      <c r="AP604" t="s">
        <v>363</v>
      </c>
      <c r="AQ604" t="s">
        <v>15</v>
      </c>
      <c r="AR604" t="s">
        <v>16</v>
      </c>
      <c r="AS604" t="s">
        <v>37</v>
      </c>
      <c r="AT604">
        <v>0.15</v>
      </c>
      <c r="AU604" t="s">
        <v>129</v>
      </c>
      <c r="AV604" t="s">
        <v>130</v>
      </c>
    </row>
    <row r="605" spans="1:48" x14ac:dyDescent="0.3">
      <c r="A605" t="s">
        <v>2395</v>
      </c>
      <c r="B605" s="12">
        <v>45660</v>
      </c>
      <c r="C605" s="12">
        <v>45668</v>
      </c>
      <c r="D605" t="s">
        <v>500</v>
      </c>
      <c r="E605" t="s">
        <v>170</v>
      </c>
      <c r="F605" t="s">
        <v>43</v>
      </c>
      <c r="G605" t="s">
        <v>8</v>
      </c>
      <c r="H605" t="s">
        <v>259</v>
      </c>
      <c r="I605" t="s">
        <v>260</v>
      </c>
      <c r="J605" t="s">
        <v>15</v>
      </c>
      <c r="K605" t="s">
        <v>22</v>
      </c>
      <c r="M605" t="s">
        <v>36</v>
      </c>
      <c r="N605">
        <v>8</v>
      </c>
      <c r="O605">
        <v>2574.29</v>
      </c>
      <c r="P605">
        <v>0.05</v>
      </c>
      <c r="Q605">
        <v>0.05</v>
      </c>
      <c r="R605">
        <v>19564.599999999999</v>
      </c>
      <c r="S605">
        <v>11154.59</v>
      </c>
      <c r="T605">
        <v>19564.603999999999</v>
      </c>
      <c r="U605">
        <v>8410.0139999999992</v>
      </c>
      <c r="V605">
        <v>0.42985863654587603</v>
      </c>
      <c r="W605">
        <v>8</v>
      </c>
      <c r="X605" t="s">
        <v>244</v>
      </c>
      <c r="Y605">
        <v>2025</v>
      </c>
      <c r="Z605" t="s">
        <v>215</v>
      </c>
      <c r="AA605" t="s">
        <v>165</v>
      </c>
      <c r="AB605" t="s">
        <v>131</v>
      </c>
      <c r="AC605" t="s">
        <v>131</v>
      </c>
      <c r="AD605" t="s">
        <v>131</v>
      </c>
      <c r="AE605" t="s">
        <v>131</v>
      </c>
      <c r="AF605" t="s">
        <v>131</v>
      </c>
      <c r="AG605" t="s">
        <v>131</v>
      </c>
      <c r="AH605" t="s">
        <v>131</v>
      </c>
      <c r="AI605" t="s">
        <v>133</v>
      </c>
      <c r="AJ605" t="s">
        <v>2396</v>
      </c>
      <c r="AK605" t="s">
        <v>593</v>
      </c>
      <c r="AL605" t="s">
        <v>170</v>
      </c>
      <c r="AM605" t="s">
        <v>43</v>
      </c>
      <c r="AN605" t="s">
        <v>8</v>
      </c>
      <c r="AO605" t="s">
        <v>259</v>
      </c>
      <c r="AP605" t="s">
        <v>260</v>
      </c>
      <c r="AQ605" t="s">
        <v>541</v>
      </c>
      <c r="AR605" t="s">
        <v>22</v>
      </c>
      <c r="AS605" t="s">
        <v>36</v>
      </c>
      <c r="AT605">
        <v>0.05</v>
      </c>
      <c r="AU605" t="s">
        <v>215</v>
      </c>
      <c r="AV605" t="s">
        <v>165</v>
      </c>
    </row>
    <row r="606" spans="1:48" x14ac:dyDescent="0.3">
      <c r="A606" t="s">
        <v>2397</v>
      </c>
      <c r="B606" s="12">
        <v>45693</v>
      </c>
      <c r="C606" s="12">
        <v>45694</v>
      </c>
      <c r="D606" t="s">
        <v>2398</v>
      </c>
      <c r="E606" t="s">
        <v>162</v>
      </c>
      <c r="F606" t="s">
        <v>42</v>
      </c>
      <c r="G606" t="s">
        <v>7</v>
      </c>
      <c r="H606" t="s">
        <v>171</v>
      </c>
      <c r="I606" t="s">
        <v>172</v>
      </c>
      <c r="J606" t="s">
        <v>20</v>
      </c>
      <c r="K606" t="s">
        <v>28</v>
      </c>
      <c r="M606" t="s">
        <v>38</v>
      </c>
      <c r="N606">
        <v>3</v>
      </c>
      <c r="O606">
        <v>1076.3</v>
      </c>
      <c r="P606">
        <v>0</v>
      </c>
      <c r="Q606">
        <v>0</v>
      </c>
      <c r="R606">
        <v>3228.9</v>
      </c>
      <c r="S606">
        <v>1853.23</v>
      </c>
      <c r="T606">
        <v>3228.9</v>
      </c>
      <c r="U606">
        <v>1375.67</v>
      </c>
      <c r="V606">
        <v>0.42604911889497998</v>
      </c>
      <c r="W606">
        <v>1</v>
      </c>
      <c r="X606" t="s">
        <v>186</v>
      </c>
      <c r="Y606">
        <v>2025</v>
      </c>
      <c r="Z606" t="s">
        <v>129</v>
      </c>
      <c r="AA606" t="s">
        <v>130</v>
      </c>
      <c r="AB606" t="s">
        <v>131</v>
      </c>
      <c r="AC606" t="s">
        <v>131</v>
      </c>
      <c r="AD606" t="s">
        <v>131</v>
      </c>
      <c r="AE606" t="s">
        <v>131</v>
      </c>
      <c r="AF606" t="s">
        <v>131</v>
      </c>
      <c r="AG606" t="s">
        <v>131</v>
      </c>
      <c r="AH606" t="s">
        <v>132</v>
      </c>
      <c r="AI606" t="s">
        <v>133</v>
      </c>
      <c r="AJ606" t="s">
        <v>2399</v>
      </c>
      <c r="AK606" t="s">
        <v>2400</v>
      </c>
      <c r="AL606" t="s">
        <v>162</v>
      </c>
      <c r="AM606" t="s">
        <v>42</v>
      </c>
      <c r="AN606" t="s">
        <v>7</v>
      </c>
      <c r="AO606" t="s">
        <v>171</v>
      </c>
      <c r="AP606" t="s">
        <v>172</v>
      </c>
      <c r="AQ606" t="s">
        <v>20</v>
      </c>
      <c r="AR606" t="s">
        <v>28</v>
      </c>
      <c r="AS606" t="s">
        <v>38</v>
      </c>
      <c r="AT606">
        <v>0</v>
      </c>
      <c r="AU606" t="s">
        <v>129</v>
      </c>
      <c r="AV606" t="s">
        <v>130</v>
      </c>
    </row>
    <row r="607" spans="1:48" x14ac:dyDescent="0.3">
      <c r="A607" t="s">
        <v>2401</v>
      </c>
      <c r="B607" s="12">
        <v>45847</v>
      </c>
      <c r="C607" s="12">
        <v>45851</v>
      </c>
      <c r="D607" t="s">
        <v>2402</v>
      </c>
      <c r="E607" t="s">
        <v>409</v>
      </c>
      <c r="F607" t="s">
        <v>43</v>
      </c>
      <c r="G607" t="s">
        <v>7</v>
      </c>
      <c r="H607" t="s">
        <v>311</v>
      </c>
      <c r="I607" t="s">
        <v>312</v>
      </c>
      <c r="J607" t="s">
        <v>18</v>
      </c>
      <c r="K607" t="s">
        <v>23</v>
      </c>
      <c r="M607" t="s">
        <v>37</v>
      </c>
      <c r="N607">
        <v>5</v>
      </c>
      <c r="O607">
        <v>1680.01</v>
      </c>
      <c r="P607">
        <v>0.85</v>
      </c>
      <c r="Q607">
        <v>0</v>
      </c>
      <c r="R607">
        <v>7560.04</v>
      </c>
      <c r="S607">
        <v>6448.05</v>
      </c>
      <c r="T607">
        <v>8400.0499999999993</v>
      </c>
      <c r="U607">
        <v>1952</v>
      </c>
      <c r="V607">
        <v>0.232379569169231</v>
      </c>
      <c r="W607">
        <v>4</v>
      </c>
      <c r="X607" t="s">
        <v>128</v>
      </c>
      <c r="Y607">
        <v>2025</v>
      </c>
      <c r="Z607" t="s">
        <v>129</v>
      </c>
      <c r="AA607" t="s">
        <v>165</v>
      </c>
      <c r="AB607" t="s">
        <v>131</v>
      </c>
      <c r="AC607" t="s">
        <v>131</v>
      </c>
      <c r="AD607" t="s">
        <v>131</v>
      </c>
      <c r="AE607" t="s">
        <v>131</v>
      </c>
      <c r="AF607" t="s">
        <v>132</v>
      </c>
      <c r="AG607" t="s">
        <v>131</v>
      </c>
      <c r="AH607" t="s">
        <v>131</v>
      </c>
      <c r="AI607" t="s">
        <v>149</v>
      </c>
      <c r="AJ607" t="s">
        <v>2189</v>
      </c>
      <c r="AK607" t="s">
        <v>2403</v>
      </c>
      <c r="AL607" t="s">
        <v>409</v>
      </c>
      <c r="AM607" t="s">
        <v>43</v>
      </c>
      <c r="AN607" t="s">
        <v>7</v>
      </c>
      <c r="AO607" t="s">
        <v>311</v>
      </c>
      <c r="AP607" t="s">
        <v>312</v>
      </c>
      <c r="AQ607" t="s">
        <v>18</v>
      </c>
      <c r="AR607" t="s">
        <v>23</v>
      </c>
      <c r="AS607" t="s">
        <v>37</v>
      </c>
      <c r="AT607" t="s">
        <v>1057</v>
      </c>
      <c r="AU607" t="s">
        <v>129</v>
      </c>
      <c r="AV607" t="s">
        <v>165</v>
      </c>
    </row>
    <row r="608" spans="1:48" x14ac:dyDescent="0.3">
      <c r="A608" t="s">
        <v>2404</v>
      </c>
      <c r="B608" s="12">
        <v>45710</v>
      </c>
      <c r="C608" s="12">
        <v>45716</v>
      </c>
      <c r="D608" t="s">
        <v>2405</v>
      </c>
      <c r="E608" t="s">
        <v>227</v>
      </c>
      <c r="F608" t="s">
        <v>41</v>
      </c>
      <c r="G608" t="s">
        <v>7</v>
      </c>
      <c r="H608" t="s">
        <v>171</v>
      </c>
      <c r="I608" t="s">
        <v>172</v>
      </c>
      <c r="J608" t="s">
        <v>15</v>
      </c>
      <c r="K608" t="s">
        <v>16</v>
      </c>
      <c r="M608" t="s">
        <v>38</v>
      </c>
      <c r="N608">
        <v>3</v>
      </c>
      <c r="O608">
        <v>3890.81</v>
      </c>
      <c r="P608">
        <v>0.25</v>
      </c>
      <c r="Q608">
        <v>0.25</v>
      </c>
      <c r="R608">
        <v>8754.32</v>
      </c>
      <c r="S608">
        <v>6238.9</v>
      </c>
      <c r="T608">
        <v>8754.3225000000002</v>
      </c>
      <c r="U608">
        <v>2515.4225000000001</v>
      </c>
      <c r="V608">
        <v>0.28733491369549202</v>
      </c>
      <c r="W608">
        <v>6</v>
      </c>
      <c r="X608" t="s">
        <v>186</v>
      </c>
      <c r="Y608">
        <v>2025</v>
      </c>
      <c r="Z608" t="s">
        <v>129</v>
      </c>
      <c r="AA608" t="s">
        <v>130</v>
      </c>
      <c r="AB608" t="s">
        <v>131</v>
      </c>
      <c r="AC608" t="s">
        <v>131</v>
      </c>
      <c r="AD608" t="s">
        <v>131</v>
      </c>
      <c r="AE608" t="s">
        <v>131</v>
      </c>
      <c r="AF608" t="s">
        <v>131</v>
      </c>
      <c r="AG608" t="s">
        <v>131</v>
      </c>
      <c r="AH608" t="s">
        <v>132</v>
      </c>
      <c r="AI608" t="s">
        <v>133</v>
      </c>
      <c r="AJ608" t="s">
        <v>2406</v>
      </c>
      <c r="AK608" t="s">
        <v>2123</v>
      </c>
      <c r="AL608" t="s">
        <v>227</v>
      </c>
      <c r="AM608" t="s">
        <v>41</v>
      </c>
      <c r="AN608" t="s">
        <v>7</v>
      </c>
      <c r="AO608" t="s">
        <v>171</v>
      </c>
      <c r="AP608" t="s">
        <v>172</v>
      </c>
      <c r="AQ608" t="s">
        <v>15</v>
      </c>
      <c r="AR608" t="s">
        <v>16</v>
      </c>
      <c r="AS608" t="s">
        <v>38</v>
      </c>
      <c r="AT608">
        <v>0.25</v>
      </c>
      <c r="AU608" t="s">
        <v>129</v>
      </c>
      <c r="AV608" t="s">
        <v>130</v>
      </c>
    </row>
    <row r="609" spans="1:48" x14ac:dyDescent="0.3">
      <c r="A609" t="s">
        <v>2407</v>
      </c>
      <c r="B609" s="12">
        <v>45704</v>
      </c>
      <c r="C609" s="12">
        <v>45710</v>
      </c>
      <c r="D609" t="s">
        <v>2408</v>
      </c>
      <c r="E609" t="s">
        <v>243</v>
      </c>
      <c r="F609" t="s">
        <v>41</v>
      </c>
      <c r="G609" t="s">
        <v>8</v>
      </c>
      <c r="H609" t="s">
        <v>259</v>
      </c>
      <c r="I609" t="s">
        <v>260</v>
      </c>
      <c r="J609" t="s">
        <v>20</v>
      </c>
      <c r="K609" t="s">
        <v>21</v>
      </c>
      <c r="M609" t="s">
        <v>38</v>
      </c>
      <c r="N609">
        <v>5</v>
      </c>
      <c r="O609">
        <v>954.67</v>
      </c>
      <c r="P609">
        <v>0.15</v>
      </c>
      <c r="Q609">
        <v>0.15</v>
      </c>
      <c r="R609">
        <v>4057.35</v>
      </c>
      <c r="S609">
        <v>2862.03</v>
      </c>
      <c r="T609">
        <v>4057.3474999999999</v>
      </c>
      <c r="U609">
        <v>1195.3175000000001</v>
      </c>
      <c r="V609">
        <v>0.29460565061286997</v>
      </c>
      <c r="W609">
        <v>6</v>
      </c>
      <c r="X609" t="s">
        <v>186</v>
      </c>
      <c r="Y609">
        <v>2025</v>
      </c>
      <c r="Z609" t="s">
        <v>129</v>
      </c>
      <c r="AA609" t="s">
        <v>130</v>
      </c>
      <c r="AB609" t="s">
        <v>131</v>
      </c>
      <c r="AC609" t="s">
        <v>131</v>
      </c>
      <c r="AD609" t="s">
        <v>131</v>
      </c>
      <c r="AE609" t="s">
        <v>131</v>
      </c>
      <c r="AF609" t="s">
        <v>131</v>
      </c>
      <c r="AG609" t="s">
        <v>131</v>
      </c>
      <c r="AH609" t="s">
        <v>132</v>
      </c>
      <c r="AI609" t="s">
        <v>133</v>
      </c>
      <c r="AJ609" t="s">
        <v>2371</v>
      </c>
      <c r="AK609" t="s">
        <v>2406</v>
      </c>
      <c r="AL609" t="s">
        <v>243</v>
      </c>
      <c r="AM609" t="s">
        <v>41</v>
      </c>
      <c r="AN609" t="s">
        <v>8</v>
      </c>
      <c r="AO609" t="s">
        <v>259</v>
      </c>
      <c r="AP609" t="s">
        <v>260</v>
      </c>
      <c r="AQ609" t="s">
        <v>20</v>
      </c>
      <c r="AR609" t="s">
        <v>21</v>
      </c>
      <c r="AS609" t="s">
        <v>38</v>
      </c>
      <c r="AT609">
        <v>0.15</v>
      </c>
      <c r="AU609" t="s">
        <v>129</v>
      </c>
      <c r="AV609" t="s">
        <v>130</v>
      </c>
    </row>
    <row r="610" spans="1:48" x14ac:dyDescent="0.3">
      <c r="A610" t="s">
        <v>2409</v>
      </c>
      <c r="B610" s="12">
        <v>45464</v>
      </c>
      <c r="C610" s="12">
        <v>45466</v>
      </c>
      <c r="D610" t="s">
        <v>2158</v>
      </c>
      <c r="E610" t="s">
        <v>125</v>
      </c>
      <c r="F610" t="s">
        <v>41</v>
      </c>
      <c r="G610" t="s">
        <v>7</v>
      </c>
      <c r="H610" t="s">
        <v>311</v>
      </c>
      <c r="I610" t="s">
        <v>312</v>
      </c>
      <c r="J610" t="s">
        <v>18</v>
      </c>
      <c r="K610" t="s">
        <v>23</v>
      </c>
      <c r="M610" t="s">
        <v>37</v>
      </c>
      <c r="N610">
        <v>9</v>
      </c>
      <c r="O610">
        <v>2153.75</v>
      </c>
      <c r="P610">
        <v>0</v>
      </c>
      <c r="Q610">
        <v>0</v>
      </c>
      <c r="R610">
        <v>19383.75</v>
      </c>
      <c r="S610">
        <v>11667.43</v>
      </c>
      <c r="T610">
        <v>19383.75</v>
      </c>
      <c r="U610">
        <v>7716.32</v>
      </c>
      <c r="V610">
        <v>0.39808189849745301</v>
      </c>
      <c r="W610">
        <v>2</v>
      </c>
      <c r="X610" t="s">
        <v>148</v>
      </c>
      <c r="Y610">
        <v>2024</v>
      </c>
      <c r="Z610" t="s">
        <v>129</v>
      </c>
      <c r="AA610" t="s">
        <v>130</v>
      </c>
      <c r="AB610" t="s">
        <v>131</v>
      </c>
      <c r="AC610" t="s">
        <v>131</v>
      </c>
      <c r="AD610" t="s">
        <v>131</v>
      </c>
      <c r="AE610" t="s">
        <v>131</v>
      </c>
      <c r="AF610" t="s">
        <v>131</v>
      </c>
      <c r="AG610" t="s">
        <v>131</v>
      </c>
      <c r="AH610" t="s">
        <v>132</v>
      </c>
      <c r="AI610" t="s">
        <v>133</v>
      </c>
      <c r="AJ610" t="s">
        <v>1829</v>
      </c>
      <c r="AK610" t="s">
        <v>1360</v>
      </c>
      <c r="AL610" t="s">
        <v>125</v>
      </c>
      <c r="AM610" t="s">
        <v>41</v>
      </c>
      <c r="AN610" t="s">
        <v>7</v>
      </c>
      <c r="AO610" t="s">
        <v>311</v>
      </c>
      <c r="AP610" t="s">
        <v>312</v>
      </c>
      <c r="AQ610" t="s">
        <v>18</v>
      </c>
      <c r="AR610" t="s">
        <v>23</v>
      </c>
      <c r="AS610" t="s">
        <v>37</v>
      </c>
      <c r="AT610">
        <v>0</v>
      </c>
      <c r="AU610" t="s">
        <v>129</v>
      </c>
      <c r="AV610" t="s">
        <v>130</v>
      </c>
    </row>
    <row r="611" spans="1:48" x14ac:dyDescent="0.3">
      <c r="A611" t="s">
        <v>2410</v>
      </c>
      <c r="B611" s="12">
        <v>45665</v>
      </c>
      <c r="C611" s="12">
        <v>45669</v>
      </c>
      <c r="D611" t="s">
        <v>2411</v>
      </c>
      <c r="E611" t="s">
        <v>243</v>
      </c>
      <c r="F611" t="s">
        <v>41</v>
      </c>
      <c r="G611" t="s">
        <v>6</v>
      </c>
      <c r="H611" t="s">
        <v>294</v>
      </c>
      <c r="I611" t="s">
        <v>295</v>
      </c>
      <c r="J611" t="s">
        <v>18</v>
      </c>
      <c r="K611" t="s">
        <v>19</v>
      </c>
      <c r="M611" t="s">
        <v>35</v>
      </c>
      <c r="N611">
        <v>7</v>
      </c>
      <c r="O611">
        <v>4337.4799999999996</v>
      </c>
      <c r="P611">
        <v>0</v>
      </c>
      <c r="Q611">
        <v>0</v>
      </c>
      <c r="R611">
        <v>30362.36</v>
      </c>
      <c r="S611">
        <v>25065.4</v>
      </c>
      <c r="T611">
        <v>30362.36</v>
      </c>
      <c r="U611">
        <v>5296.96</v>
      </c>
      <c r="V611">
        <v>0.17445811195177199</v>
      </c>
      <c r="W611">
        <v>4</v>
      </c>
      <c r="X611" t="s">
        <v>244</v>
      </c>
      <c r="Y611">
        <v>2025</v>
      </c>
      <c r="Z611" t="s">
        <v>129</v>
      </c>
      <c r="AA611" t="s">
        <v>130</v>
      </c>
      <c r="AB611" t="s">
        <v>131</v>
      </c>
      <c r="AC611" t="s">
        <v>131</v>
      </c>
      <c r="AD611" t="s">
        <v>131</v>
      </c>
      <c r="AE611" t="s">
        <v>131</v>
      </c>
      <c r="AF611" t="s">
        <v>131</v>
      </c>
      <c r="AG611" t="s">
        <v>131</v>
      </c>
      <c r="AH611" t="s">
        <v>132</v>
      </c>
      <c r="AI611" t="s">
        <v>133</v>
      </c>
      <c r="AJ611" t="s">
        <v>1751</v>
      </c>
      <c r="AK611" t="s">
        <v>1063</v>
      </c>
      <c r="AL611" t="s">
        <v>243</v>
      </c>
      <c r="AM611" t="s">
        <v>41</v>
      </c>
      <c r="AN611" t="s">
        <v>6</v>
      </c>
      <c r="AO611" t="s">
        <v>294</v>
      </c>
      <c r="AP611" t="s">
        <v>295</v>
      </c>
      <c r="AQ611" t="s">
        <v>18</v>
      </c>
      <c r="AR611" t="s">
        <v>19</v>
      </c>
      <c r="AS611" t="s">
        <v>35</v>
      </c>
      <c r="AT611">
        <v>0</v>
      </c>
      <c r="AU611" t="s">
        <v>129</v>
      </c>
      <c r="AV611" t="s">
        <v>130</v>
      </c>
    </row>
    <row r="612" spans="1:48" x14ac:dyDescent="0.3">
      <c r="A612" t="s">
        <v>2412</v>
      </c>
      <c r="B612" s="12">
        <v>45432</v>
      </c>
      <c r="C612" s="12">
        <v>45432</v>
      </c>
      <c r="D612" t="s">
        <v>1768</v>
      </c>
      <c r="E612" t="s">
        <v>125</v>
      </c>
      <c r="F612" t="s">
        <v>41</v>
      </c>
      <c r="G612" t="s">
        <v>7</v>
      </c>
      <c r="H612" t="s">
        <v>171</v>
      </c>
      <c r="I612" t="s">
        <v>172</v>
      </c>
      <c r="J612" t="s">
        <v>18</v>
      </c>
      <c r="K612" t="s">
        <v>19</v>
      </c>
      <c r="M612" t="s">
        <v>35</v>
      </c>
      <c r="N612">
        <v>1</v>
      </c>
      <c r="O612">
        <v>3032.95</v>
      </c>
      <c r="P612">
        <v>0.1</v>
      </c>
      <c r="Q612">
        <v>0.1</v>
      </c>
      <c r="R612">
        <v>2729.65</v>
      </c>
      <c r="S612">
        <v>1715.36</v>
      </c>
      <c r="T612">
        <v>2729.6550000000002</v>
      </c>
      <c r="U612">
        <v>1014.295</v>
      </c>
      <c r="V612">
        <v>0.37158358840219702</v>
      </c>
      <c r="W612">
        <v>0</v>
      </c>
      <c r="X612" t="s">
        <v>173</v>
      </c>
      <c r="Y612">
        <v>2024</v>
      </c>
      <c r="Z612" t="s">
        <v>129</v>
      </c>
      <c r="AA612" t="s">
        <v>130</v>
      </c>
      <c r="AB612" t="s">
        <v>131</v>
      </c>
      <c r="AC612" t="s">
        <v>131</v>
      </c>
      <c r="AD612" t="s">
        <v>131</v>
      </c>
      <c r="AE612" t="s">
        <v>131</v>
      </c>
      <c r="AF612" t="s">
        <v>131</v>
      </c>
      <c r="AG612" t="s">
        <v>131</v>
      </c>
      <c r="AH612" t="s">
        <v>132</v>
      </c>
      <c r="AI612" t="s">
        <v>133</v>
      </c>
      <c r="AJ612" t="s">
        <v>2413</v>
      </c>
      <c r="AK612" t="s">
        <v>2414</v>
      </c>
      <c r="AL612" t="s">
        <v>125</v>
      </c>
      <c r="AM612" t="s">
        <v>41</v>
      </c>
      <c r="AN612" t="s">
        <v>7</v>
      </c>
      <c r="AO612" t="s">
        <v>171</v>
      </c>
      <c r="AP612" t="s">
        <v>172</v>
      </c>
      <c r="AQ612" t="s">
        <v>18</v>
      </c>
      <c r="AR612" t="s">
        <v>19</v>
      </c>
      <c r="AS612" t="s">
        <v>35</v>
      </c>
      <c r="AT612">
        <v>0.1</v>
      </c>
      <c r="AU612" t="s">
        <v>129</v>
      </c>
      <c r="AV612" t="s">
        <v>130</v>
      </c>
    </row>
    <row r="613" spans="1:48" x14ac:dyDescent="0.3">
      <c r="A613" t="s">
        <v>2415</v>
      </c>
      <c r="B613" s="12">
        <v>45846</v>
      </c>
      <c r="C613" s="12">
        <v>45853</v>
      </c>
      <c r="D613" t="s">
        <v>2416</v>
      </c>
      <c r="E613" t="s">
        <v>162</v>
      </c>
      <c r="F613" t="s">
        <v>44</v>
      </c>
      <c r="G613" t="s">
        <v>9</v>
      </c>
      <c r="H613" t="s">
        <v>126</v>
      </c>
      <c r="I613" t="s">
        <v>127</v>
      </c>
      <c r="J613" t="s">
        <v>20</v>
      </c>
      <c r="K613" t="s">
        <v>28</v>
      </c>
      <c r="M613" t="s">
        <v>38</v>
      </c>
      <c r="N613">
        <v>8</v>
      </c>
      <c r="O613">
        <v>655.28</v>
      </c>
      <c r="P613">
        <v>0.1</v>
      </c>
      <c r="Q613">
        <v>0.1</v>
      </c>
      <c r="R613">
        <v>4718.0200000000004</v>
      </c>
      <c r="S613">
        <v>3908.23</v>
      </c>
      <c r="T613">
        <v>4718.0159999999996</v>
      </c>
      <c r="U613">
        <v>809.78599999999994</v>
      </c>
      <c r="V613">
        <v>0.17163697622051299</v>
      </c>
      <c r="W613">
        <v>7</v>
      </c>
      <c r="X613" t="s">
        <v>128</v>
      </c>
      <c r="Y613">
        <v>2025</v>
      </c>
      <c r="Z613" t="s">
        <v>129</v>
      </c>
      <c r="AA613" t="s">
        <v>130</v>
      </c>
      <c r="AB613" t="s">
        <v>131</v>
      </c>
      <c r="AC613" t="s">
        <v>131</v>
      </c>
      <c r="AD613" t="s">
        <v>131</v>
      </c>
      <c r="AE613" t="s">
        <v>131</v>
      </c>
      <c r="AF613" t="s">
        <v>131</v>
      </c>
      <c r="AG613" t="s">
        <v>131</v>
      </c>
      <c r="AH613" t="s">
        <v>132</v>
      </c>
      <c r="AI613" t="s">
        <v>133</v>
      </c>
      <c r="AJ613" t="s">
        <v>2188</v>
      </c>
      <c r="AK613" t="s">
        <v>2417</v>
      </c>
      <c r="AL613" t="s">
        <v>162</v>
      </c>
      <c r="AM613" t="s">
        <v>674</v>
      </c>
      <c r="AN613" t="s">
        <v>9</v>
      </c>
      <c r="AO613" t="s">
        <v>126</v>
      </c>
      <c r="AP613" t="s">
        <v>127</v>
      </c>
      <c r="AQ613" t="s">
        <v>20</v>
      </c>
      <c r="AR613" t="s">
        <v>28</v>
      </c>
      <c r="AS613" t="s">
        <v>38</v>
      </c>
      <c r="AT613">
        <v>0.1</v>
      </c>
      <c r="AU613" t="s">
        <v>129</v>
      </c>
      <c r="AV613" t="s">
        <v>130</v>
      </c>
    </row>
    <row r="614" spans="1:48" x14ac:dyDescent="0.3">
      <c r="A614" t="s">
        <v>2418</v>
      </c>
      <c r="B614" s="12">
        <v>45753</v>
      </c>
      <c r="C614" s="12">
        <v>45760</v>
      </c>
      <c r="D614" t="s">
        <v>2419</v>
      </c>
      <c r="E614" t="s">
        <v>191</v>
      </c>
      <c r="F614" t="s">
        <v>42</v>
      </c>
      <c r="G614" t="s">
        <v>10</v>
      </c>
      <c r="H614" t="s">
        <v>140</v>
      </c>
      <c r="I614" t="s">
        <v>141</v>
      </c>
      <c r="J614" t="s">
        <v>15</v>
      </c>
      <c r="K614" t="s">
        <v>17</v>
      </c>
      <c r="M614" t="s">
        <v>35</v>
      </c>
      <c r="N614">
        <v>1</v>
      </c>
      <c r="O614">
        <v>3844.01</v>
      </c>
      <c r="P614">
        <v>0</v>
      </c>
      <c r="Q614">
        <v>0</v>
      </c>
      <c r="R614">
        <v>3844.01</v>
      </c>
      <c r="S614">
        <v>2195.79</v>
      </c>
      <c r="T614">
        <v>3844.01</v>
      </c>
      <c r="U614">
        <v>1648.22</v>
      </c>
      <c r="V614">
        <v>0.428776199853799</v>
      </c>
      <c r="W614">
        <v>7</v>
      </c>
      <c r="X614" t="s">
        <v>179</v>
      </c>
      <c r="Y614">
        <v>2025</v>
      </c>
      <c r="Z614" t="s">
        <v>129</v>
      </c>
      <c r="AA614" t="s">
        <v>130</v>
      </c>
      <c r="AB614" t="s">
        <v>132</v>
      </c>
      <c r="AC614" t="s">
        <v>131</v>
      </c>
      <c r="AD614" t="s">
        <v>131</v>
      </c>
      <c r="AE614" t="s">
        <v>131</v>
      </c>
      <c r="AF614" t="s">
        <v>131</v>
      </c>
      <c r="AG614" t="s">
        <v>131</v>
      </c>
      <c r="AH614" t="s">
        <v>132</v>
      </c>
      <c r="AI614" t="s">
        <v>321</v>
      </c>
      <c r="AJ614" t="s">
        <v>2420</v>
      </c>
      <c r="AK614" t="s">
        <v>2421</v>
      </c>
      <c r="AL614" t="s">
        <v>191</v>
      </c>
      <c r="AM614" t="s">
        <v>42</v>
      </c>
      <c r="AO614" t="s">
        <v>140</v>
      </c>
      <c r="AP614" t="s">
        <v>141</v>
      </c>
      <c r="AQ614" t="s">
        <v>15</v>
      </c>
      <c r="AR614" t="s">
        <v>17</v>
      </c>
      <c r="AS614" t="s">
        <v>35</v>
      </c>
      <c r="AT614">
        <v>0</v>
      </c>
      <c r="AU614" t="s">
        <v>129</v>
      </c>
      <c r="AV614" t="s">
        <v>130</v>
      </c>
    </row>
    <row r="615" spans="1:48" x14ac:dyDescent="0.3">
      <c r="A615" t="s">
        <v>2422</v>
      </c>
      <c r="B615" s="12">
        <v>45570</v>
      </c>
      <c r="C615" s="12">
        <v>45575</v>
      </c>
      <c r="D615" t="s">
        <v>2423</v>
      </c>
      <c r="E615" t="s">
        <v>277</v>
      </c>
      <c r="F615" t="s">
        <v>41</v>
      </c>
      <c r="G615" t="s">
        <v>7</v>
      </c>
      <c r="H615" t="s">
        <v>300</v>
      </c>
      <c r="I615" t="s">
        <v>301</v>
      </c>
      <c r="J615" t="s">
        <v>15</v>
      </c>
      <c r="K615" t="s">
        <v>25</v>
      </c>
      <c r="M615" t="s">
        <v>38</v>
      </c>
      <c r="N615">
        <v>9</v>
      </c>
      <c r="O615">
        <v>3361.3</v>
      </c>
      <c r="P615">
        <v>0.25</v>
      </c>
      <c r="Q615">
        <v>0.25</v>
      </c>
      <c r="R615">
        <v>22688.78</v>
      </c>
      <c r="S615">
        <v>14672.41</v>
      </c>
      <c r="T615">
        <v>22688.775000000001</v>
      </c>
      <c r="U615">
        <v>8016.3649999999998</v>
      </c>
      <c r="V615">
        <v>0.35331854628555298</v>
      </c>
      <c r="W615">
        <v>5</v>
      </c>
      <c r="X615" t="s">
        <v>222</v>
      </c>
      <c r="Y615">
        <v>2024</v>
      </c>
      <c r="Z615" t="s">
        <v>129</v>
      </c>
      <c r="AA615" t="s">
        <v>130</v>
      </c>
      <c r="AB615" t="s">
        <v>131</v>
      </c>
      <c r="AC615" t="s">
        <v>131</v>
      </c>
      <c r="AD615" t="s">
        <v>131</v>
      </c>
      <c r="AE615" t="s">
        <v>131</v>
      </c>
      <c r="AF615" t="s">
        <v>131</v>
      </c>
      <c r="AG615" t="s">
        <v>131</v>
      </c>
      <c r="AH615" t="s">
        <v>132</v>
      </c>
      <c r="AI615" t="s">
        <v>133</v>
      </c>
      <c r="AJ615" t="s">
        <v>2061</v>
      </c>
      <c r="AK615" t="s">
        <v>2424</v>
      </c>
      <c r="AL615" t="s">
        <v>277</v>
      </c>
      <c r="AM615" t="s">
        <v>41</v>
      </c>
      <c r="AN615" t="s">
        <v>7</v>
      </c>
      <c r="AO615" t="s">
        <v>300</v>
      </c>
      <c r="AP615" t="s">
        <v>301</v>
      </c>
      <c r="AQ615" t="s">
        <v>15</v>
      </c>
      <c r="AR615" t="s">
        <v>25</v>
      </c>
      <c r="AS615" t="s">
        <v>38</v>
      </c>
      <c r="AT615">
        <v>0.25</v>
      </c>
      <c r="AU615" t="s">
        <v>129</v>
      </c>
      <c r="AV615" t="s">
        <v>130</v>
      </c>
    </row>
    <row r="616" spans="1:48" x14ac:dyDescent="0.3">
      <c r="A616" t="s">
        <v>2425</v>
      </c>
      <c r="B616" s="12">
        <v>45333</v>
      </c>
      <c r="C616" s="12">
        <v>45341</v>
      </c>
      <c r="D616" t="s">
        <v>2426</v>
      </c>
      <c r="E616" t="s">
        <v>162</v>
      </c>
      <c r="F616" t="s">
        <v>41</v>
      </c>
      <c r="G616" t="s">
        <v>6</v>
      </c>
      <c r="H616" t="s">
        <v>155</v>
      </c>
      <c r="I616" t="s">
        <v>156</v>
      </c>
      <c r="J616" t="s">
        <v>18</v>
      </c>
      <c r="K616" t="s">
        <v>19</v>
      </c>
      <c r="M616" t="s">
        <v>35</v>
      </c>
      <c r="N616">
        <v>8</v>
      </c>
      <c r="O616">
        <v>3398.32</v>
      </c>
      <c r="P616">
        <v>0.25</v>
      </c>
      <c r="Q616">
        <v>0.25</v>
      </c>
      <c r="R616">
        <v>20389.919999999998</v>
      </c>
      <c r="S616">
        <v>16661.080000000002</v>
      </c>
      <c r="T616">
        <v>20389.919999999998</v>
      </c>
      <c r="U616">
        <v>3728.84</v>
      </c>
      <c r="V616">
        <v>0.182876637083422</v>
      </c>
      <c r="W616">
        <v>8</v>
      </c>
      <c r="X616" t="s">
        <v>186</v>
      </c>
      <c r="Y616">
        <v>2024</v>
      </c>
      <c r="Z616" t="s">
        <v>203</v>
      </c>
      <c r="AA616" t="s">
        <v>165</v>
      </c>
      <c r="AB616" t="s">
        <v>131</v>
      </c>
      <c r="AC616" t="s">
        <v>131</v>
      </c>
      <c r="AD616" t="s">
        <v>131</v>
      </c>
      <c r="AE616" t="s">
        <v>131</v>
      </c>
      <c r="AF616" t="s">
        <v>131</v>
      </c>
      <c r="AG616" t="s">
        <v>131</v>
      </c>
      <c r="AH616" t="s">
        <v>131</v>
      </c>
      <c r="AI616" t="s">
        <v>133</v>
      </c>
      <c r="AJ616" t="s">
        <v>1949</v>
      </c>
      <c r="AK616" t="s">
        <v>2427</v>
      </c>
      <c r="AL616" t="s">
        <v>162</v>
      </c>
      <c r="AM616" t="s">
        <v>41</v>
      </c>
      <c r="AN616" t="s">
        <v>6</v>
      </c>
      <c r="AO616" t="s">
        <v>155</v>
      </c>
      <c r="AP616" t="s">
        <v>156</v>
      </c>
      <c r="AQ616" t="s">
        <v>18</v>
      </c>
      <c r="AR616" t="s">
        <v>19</v>
      </c>
      <c r="AS616" t="s">
        <v>35</v>
      </c>
      <c r="AT616">
        <v>0.25</v>
      </c>
      <c r="AU616" t="s">
        <v>203</v>
      </c>
      <c r="AV616" t="s">
        <v>165</v>
      </c>
    </row>
    <row r="617" spans="1:48" x14ac:dyDescent="0.3">
      <c r="A617" t="s">
        <v>2428</v>
      </c>
      <c r="B617" s="12">
        <v>45569</v>
      </c>
      <c r="C617" s="12">
        <v>45572</v>
      </c>
      <c r="D617" t="s">
        <v>2429</v>
      </c>
      <c r="E617" t="s">
        <v>227</v>
      </c>
      <c r="F617" t="s">
        <v>43</v>
      </c>
      <c r="G617" t="s">
        <v>6</v>
      </c>
      <c r="H617" t="s">
        <v>305</v>
      </c>
      <c r="I617" t="s">
        <v>306</v>
      </c>
      <c r="J617" t="s">
        <v>20</v>
      </c>
      <c r="K617" t="s">
        <v>29</v>
      </c>
      <c r="M617" t="s">
        <v>37</v>
      </c>
      <c r="N617">
        <v>2</v>
      </c>
      <c r="O617">
        <v>3144.38</v>
      </c>
      <c r="P617">
        <v>0.1</v>
      </c>
      <c r="Q617">
        <v>0.1</v>
      </c>
      <c r="R617">
        <v>5904.57</v>
      </c>
      <c r="S617">
        <v>4337.79</v>
      </c>
      <c r="T617">
        <v>5659.884</v>
      </c>
      <c r="U617">
        <v>1322.0940000000001</v>
      </c>
      <c r="V617">
        <v>0.233590299730525</v>
      </c>
      <c r="W617">
        <v>3</v>
      </c>
      <c r="X617" t="s">
        <v>222</v>
      </c>
      <c r="Y617">
        <v>2024</v>
      </c>
      <c r="Z617" t="s">
        <v>129</v>
      </c>
      <c r="AA617" t="s">
        <v>130</v>
      </c>
      <c r="AB617" t="s">
        <v>131</v>
      </c>
      <c r="AC617" t="s">
        <v>131</v>
      </c>
      <c r="AD617" t="s">
        <v>131</v>
      </c>
      <c r="AE617" t="s">
        <v>131</v>
      </c>
      <c r="AF617" t="s">
        <v>131</v>
      </c>
      <c r="AG617" t="s">
        <v>131</v>
      </c>
      <c r="AH617" t="s">
        <v>132</v>
      </c>
      <c r="AI617" t="s">
        <v>133</v>
      </c>
      <c r="AJ617" t="s">
        <v>2430</v>
      </c>
      <c r="AK617" t="s">
        <v>2431</v>
      </c>
      <c r="AL617" t="s">
        <v>227</v>
      </c>
      <c r="AM617" t="s">
        <v>43</v>
      </c>
      <c r="AN617" t="s">
        <v>6</v>
      </c>
      <c r="AO617" t="s">
        <v>305</v>
      </c>
      <c r="AP617" t="s">
        <v>306</v>
      </c>
      <c r="AQ617" t="s">
        <v>20</v>
      </c>
      <c r="AR617" t="s">
        <v>29</v>
      </c>
      <c r="AS617" t="s">
        <v>37</v>
      </c>
      <c r="AT617">
        <v>0.1</v>
      </c>
      <c r="AU617" t="s">
        <v>129</v>
      </c>
      <c r="AV617" t="s">
        <v>945</v>
      </c>
    </row>
    <row r="618" spans="1:48" x14ac:dyDescent="0.3">
      <c r="A618" t="s">
        <v>2432</v>
      </c>
      <c r="B618" s="12">
        <v>45520</v>
      </c>
      <c r="C618" s="12">
        <v>45523</v>
      </c>
      <c r="D618" t="s">
        <v>2433</v>
      </c>
      <c r="E618" t="s">
        <v>409</v>
      </c>
      <c r="F618" t="s">
        <v>42</v>
      </c>
      <c r="G618" t="s">
        <v>6</v>
      </c>
      <c r="H618" t="s">
        <v>155</v>
      </c>
      <c r="I618" t="s">
        <v>156</v>
      </c>
      <c r="J618" t="s">
        <v>20</v>
      </c>
      <c r="K618" t="s">
        <v>24</v>
      </c>
      <c r="M618" t="s">
        <v>35</v>
      </c>
      <c r="N618">
        <v>6</v>
      </c>
      <c r="O618">
        <v>3925.55</v>
      </c>
      <c r="P618">
        <v>0.2</v>
      </c>
      <c r="Q618">
        <v>0.2</v>
      </c>
      <c r="R618">
        <v>18842.64</v>
      </c>
      <c r="S618">
        <v>11840.58</v>
      </c>
      <c r="T618">
        <v>18842.64</v>
      </c>
      <c r="U618">
        <v>7002.06</v>
      </c>
      <c r="V618">
        <v>0.37160716332743199</v>
      </c>
      <c r="W618">
        <v>3</v>
      </c>
      <c r="X618" t="s">
        <v>142</v>
      </c>
      <c r="Y618">
        <v>2024</v>
      </c>
      <c r="Z618" t="s">
        <v>129</v>
      </c>
      <c r="AA618" t="s">
        <v>130</v>
      </c>
      <c r="AB618" t="s">
        <v>131</v>
      </c>
      <c r="AC618" t="s">
        <v>131</v>
      </c>
      <c r="AD618" t="s">
        <v>131</v>
      </c>
      <c r="AE618" t="s">
        <v>131</v>
      </c>
      <c r="AF618" t="s">
        <v>131</v>
      </c>
      <c r="AG618" t="s">
        <v>131</v>
      </c>
      <c r="AH618" t="s">
        <v>132</v>
      </c>
      <c r="AI618" t="s">
        <v>133</v>
      </c>
      <c r="AJ618" t="s">
        <v>2434</v>
      </c>
      <c r="AK618" t="s">
        <v>2382</v>
      </c>
      <c r="AL618" t="s">
        <v>409</v>
      </c>
      <c r="AM618" t="s">
        <v>42</v>
      </c>
      <c r="AN618" t="s">
        <v>6</v>
      </c>
      <c r="AO618" t="s">
        <v>155</v>
      </c>
      <c r="AP618" t="s">
        <v>156</v>
      </c>
      <c r="AQ618" t="s">
        <v>20</v>
      </c>
      <c r="AR618" t="s">
        <v>24</v>
      </c>
      <c r="AS618" t="s">
        <v>35</v>
      </c>
      <c r="AT618">
        <v>0.2</v>
      </c>
      <c r="AU618" t="s">
        <v>129</v>
      </c>
      <c r="AV618" t="s">
        <v>130</v>
      </c>
    </row>
    <row r="619" spans="1:48" x14ac:dyDescent="0.3">
      <c r="A619" t="s">
        <v>2435</v>
      </c>
      <c r="B619" s="12">
        <v>45564</v>
      </c>
      <c r="C619" s="12">
        <v>45565</v>
      </c>
      <c r="D619" t="s">
        <v>2436</v>
      </c>
      <c r="E619" t="s">
        <v>139</v>
      </c>
      <c r="F619" t="s">
        <v>41</v>
      </c>
      <c r="G619" t="s">
        <v>6</v>
      </c>
      <c r="H619" t="s">
        <v>155</v>
      </c>
      <c r="I619" t="s">
        <v>156</v>
      </c>
      <c r="J619" t="s">
        <v>15</v>
      </c>
      <c r="K619" t="s">
        <v>17</v>
      </c>
      <c r="M619" t="s">
        <v>35</v>
      </c>
      <c r="N619">
        <v>9</v>
      </c>
      <c r="O619">
        <v>2741.91</v>
      </c>
      <c r="P619">
        <v>0</v>
      </c>
      <c r="Q619">
        <v>0</v>
      </c>
      <c r="R619">
        <v>24677.19</v>
      </c>
      <c r="S619">
        <v>20350.849999999999</v>
      </c>
      <c r="T619">
        <v>24677.19</v>
      </c>
      <c r="U619">
        <v>4326.34</v>
      </c>
      <c r="V619">
        <v>0.17531736798233499</v>
      </c>
      <c r="W619">
        <v>1</v>
      </c>
      <c r="X619" t="s">
        <v>196</v>
      </c>
      <c r="Y619">
        <v>2024</v>
      </c>
      <c r="Z619" t="s">
        <v>129</v>
      </c>
      <c r="AA619" t="s">
        <v>130</v>
      </c>
      <c r="AB619" t="s">
        <v>131</v>
      </c>
      <c r="AC619" t="s">
        <v>131</v>
      </c>
      <c r="AD619" t="s">
        <v>131</v>
      </c>
      <c r="AE619" t="s">
        <v>131</v>
      </c>
      <c r="AF619" t="s">
        <v>131</v>
      </c>
      <c r="AG619" t="s">
        <v>131</v>
      </c>
      <c r="AH619" t="s">
        <v>132</v>
      </c>
      <c r="AI619" t="s">
        <v>133</v>
      </c>
      <c r="AJ619" t="s">
        <v>2437</v>
      </c>
      <c r="AK619" t="s">
        <v>901</v>
      </c>
      <c r="AL619" t="s">
        <v>139</v>
      </c>
      <c r="AM619" t="s">
        <v>41</v>
      </c>
      <c r="AN619" t="s">
        <v>6</v>
      </c>
      <c r="AO619" t="s">
        <v>155</v>
      </c>
      <c r="AP619" t="s">
        <v>156</v>
      </c>
      <c r="AQ619" t="s">
        <v>15</v>
      </c>
      <c r="AR619" t="s">
        <v>17</v>
      </c>
      <c r="AS619" t="s">
        <v>35</v>
      </c>
      <c r="AT619">
        <v>0</v>
      </c>
      <c r="AU619" t="s">
        <v>129</v>
      </c>
      <c r="AV619" t="s">
        <v>130</v>
      </c>
    </row>
    <row r="620" spans="1:48" x14ac:dyDescent="0.3">
      <c r="A620" t="s">
        <v>2438</v>
      </c>
      <c r="B620" s="12">
        <v>45496</v>
      </c>
      <c r="C620" s="12">
        <v>45503</v>
      </c>
      <c r="D620" t="s">
        <v>2439</v>
      </c>
      <c r="E620" t="s">
        <v>409</v>
      </c>
      <c r="F620" t="s">
        <v>43</v>
      </c>
      <c r="G620" t="s">
        <v>9</v>
      </c>
      <c r="H620" t="s">
        <v>126</v>
      </c>
      <c r="I620" t="s">
        <v>127</v>
      </c>
      <c r="J620" t="s">
        <v>18</v>
      </c>
      <c r="K620" t="s">
        <v>27</v>
      </c>
      <c r="M620" t="s">
        <v>38</v>
      </c>
      <c r="N620">
        <v>9</v>
      </c>
      <c r="O620">
        <v>1870.11</v>
      </c>
      <c r="P620">
        <v>0.25</v>
      </c>
      <c r="Q620">
        <v>0.25</v>
      </c>
      <c r="R620">
        <v>12623.24</v>
      </c>
      <c r="S620">
        <v>10540.8</v>
      </c>
      <c r="T620">
        <v>12623.2425</v>
      </c>
      <c r="U620">
        <v>2082.4425000000001</v>
      </c>
      <c r="V620">
        <v>0.16496890557239899</v>
      </c>
      <c r="W620">
        <v>7</v>
      </c>
      <c r="X620" t="s">
        <v>128</v>
      </c>
      <c r="Y620">
        <v>2024</v>
      </c>
      <c r="Z620" t="s">
        <v>269</v>
      </c>
      <c r="AA620" t="s">
        <v>165</v>
      </c>
      <c r="AB620" t="s">
        <v>131</v>
      </c>
      <c r="AC620" t="s">
        <v>131</v>
      </c>
      <c r="AD620" t="s">
        <v>131</v>
      </c>
      <c r="AE620" t="s">
        <v>131</v>
      </c>
      <c r="AF620" t="s">
        <v>131</v>
      </c>
      <c r="AG620" t="s">
        <v>131</v>
      </c>
      <c r="AH620" t="s">
        <v>131</v>
      </c>
      <c r="AI620" t="s">
        <v>133</v>
      </c>
      <c r="AJ620" t="s">
        <v>2440</v>
      </c>
      <c r="AK620" t="s">
        <v>544</v>
      </c>
      <c r="AL620" t="s">
        <v>409</v>
      </c>
      <c r="AM620" t="s">
        <v>43</v>
      </c>
      <c r="AN620" t="s">
        <v>9</v>
      </c>
      <c r="AO620" t="s">
        <v>126</v>
      </c>
      <c r="AP620" t="s">
        <v>127</v>
      </c>
      <c r="AQ620" t="s">
        <v>18</v>
      </c>
      <c r="AR620" t="s">
        <v>27</v>
      </c>
      <c r="AS620" t="s">
        <v>38</v>
      </c>
      <c r="AT620">
        <v>0.25</v>
      </c>
      <c r="AU620" t="s">
        <v>269</v>
      </c>
      <c r="AV620" t="s">
        <v>165</v>
      </c>
    </row>
    <row r="621" spans="1:48" x14ac:dyDescent="0.3">
      <c r="A621" t="s">
        <v>2441</v>
      </c>
      <c r="B621" s="12">
        <v>45618</v>
      </c>
      <c r="C621" s="12">
        <v>45623</v>
      </c>
      <c r="D621" t="s">
        <v>2442</v>
      </c>
      <c r="E621" t="s">
        <v>221</v>
      </c>
      <c r="F621" t="s">
        <v>43</v>
      </c>
      <c r="G621" t="s">
        <v>6</v>
      </c>
      <c r="H621" t="s">
        <v>385</v>
      </c>
      <c r="I621" t="s">
        <v>386</v>
      </c>
      <c r="J621" t="s">
        <v>20</v>
      </c>
      <c r="K621" t="s">
        <v>28</v>
      </c>
      <c r="M621" t="s">
        <v>36</v>
      </c>
      <c r="N621">
        <v>1</v>
      </c>
      <c r="O621">
        <v>4251.26</v>
      </c>
      <c r="P621">
        <v>0.2</v>
      </c>
      <c r="Q621">
        <v>0.2</v>
      </c>
      <c r="R621">
        <v>3401.01</v>
      </c>
      <c r="S621">
        <v>2917.54</v>
      </c>
      <c r="T621">
        <v>3401.0079999999998</v>
      </c>
      <c r="U621">
        <v>483.46800000000002</v>
      </c>
      <c r="V621">
        <v>0.14215432601158301</v>
      </c>
      <c r="W621">
        <v>5</v>
      </c>
      <c r="X621" t="s">
        <v>157</v>
      </c>
      <c r="Y621">
        <v>2024</v>
      </c>
      <c r="Z621" t="s">
        <v>203</v>
      </c>
      <c r="AA621" t="s">
        <v>204</v>
      </c>
      <c r="AB621" t="s">
        <v>131</v>
      </c>
      <c r="AC621" t="s">
        <v>131</v>
      </c>
      <c r="AD621" t="s">
        <v>131</v>
      </c>
      <c r="AE621" t="s">
        <v>131</v>
      </c>
      <c r="AF621" t="s">
        <v>131</v>
      </c>
      <c r="AG621" t="s">
        <v>131</v>
      </c>
      <c r="AH621" t="s">
        <v>131</v>
      </c>
      <c r="AI621" t="s">
        <v>133</v>
      </c>
      <c r="AJ621" t="s">
        <v>851</v>
      </c>
      <c r="AK621" t="s">
        <v>2443</v>
      </c>
      <c r="AL621" t="s">
        <v>221</v>
      </c>
      <c r="AM621" t="s">
        <v>43</v>
      </c>
      <c r="AN621" t="s">
        <v>6</v>
      </c>
      <c r="AO621" t="s">
        <v>385</v>
      </c>
      <c r="AP621" t="s">
        <v>386</v>
      </c>
      <c r="AQ621" t="s">
        <v>20</v>
      </c>
      <c r="AR621" t="s">
        <v>28</v>
      </c>
      <c r="AS621" t="s">
        <v>36</v>
      </c>
      <c r="AT621">
        <v>0.2</v>
      </c>
      <c r="AU621" t="s">
        <v>203</v>
      </c>
      <c r="AV621" t="s">
        <v>204</v>
      </c>
    </row>
    <row r="622" spans="1:48" x14ac:dyDescent="0.3">
      <c r="A622" t="s">
        <v>2444</v>
      </c>
      <c r="B622" s="12">
        <v>45522</v>
      </c>
      <c r="C622" s="12">
        <v>45525</v>
      </c>
      <c r="D622" t="s">
        <v>2445</v>
      </c>
      <c r="E622" t="s">
        <v>170</v>
      </c>
      <c r="F622" t="s">
        <v>42</v>
      </c>
      <c r="G622" t="s">
        <v>9</v>
      </c>
      <c r="H622" t="s">
        <v>249</v>
      </c>
      <c r="I622" t="s">
        <v>250</v>
      </c>
      <c r="J622" t="s">
        <v>15</v>
      </c>
      <c r="K622" t="s">
        <v>25</v>
      </c>
      <c r="M622" t="s">
        <v>35</v>
      </c>
      <c r="N622">
        <v>9</v>
      </c>
      <c r="O622">
        <v>734.34</v>
      </c>
      <c r="P622">
        <v>0</v>
      </c>
      <c r="Q622">
        <v>0</v>
      </c>
      <c r="R622">
        <v>6609.06</v>
      </c>
      <c r="S622">
        <v>4946.78</v>
      </c>
      <c r="T622">
        <v>6609.06</v>
      </c>
      <c r="U622">
        <v>1662.28</v>
      </c>
      <c r="V622">
        <v>0.25151534408826698</v>
      </c>
      <c r="W622">
        <v>3</v>
      </c>
      <c r="X622" t="s">
        <v>142</v>
      </c>
      <c r="Y622">
        <v>2024</v>
      </c>
      <c r="Z622" t="s">
        <v>129</v>
      </c>
      <c r="AA622" t="s">
        <v>130</v>
      </c>
      <c r="AB622" t="s">
        <v>131</v>
      </c>
      <c r="AC622" t="s">
        <v>131</v>
      </c>
      <c r="AD622" t="s">
        <v>131</v>
      </c>
      <c r="AE622" t="s">
        <v>131</v>
      </c>
      <c r="AF622" t="s">
        <v>131</v>
      </c>
      <c r="AG622" t="s">
        <v>131</v>
      </c>
      <c r="AH622" t="s">
        <v>132</v>
      </c>
      <c r="AI622" t="s">
        <v>133</v>
      </c>
      <c r="AJ622" t="s">
        <v>2446</v>
      </c>
      <c r="AK622" t="s">
        <v>2447</v>
      </c>
      <c r="AL622" t="s">
        <v>170</v>
      </c>
      <c r="AM622" t="s">
        <v>42</v>
      </c>
      <c r="AN622" t="s">
        <v>9</v>
      </c>
      <c r="AO622" t="s">
        <v>249</v>
      </c>
      <c r="AP622" t="s">
        <v>250</v>
      </c>
      <c r="AQ622" t="s">
        <v>15</v>
      </c>
      <c r="AR622" t="s">
        <v>25</v>
      </c>
      <c r="AS622" t="s">
        <v>35</v>
      </c>
      <c r="AT622">
        <v>0</v>
      </c>
      <c r="AU622" t="s">
        <v>129</v>
      </c>
      <c r="AV622" t="s">
        <v>130</v>
      </c>
    </row>
    <row r="623" spans="1:48" x14ac:dyDescent="0.3">
      <c r="A623" t="s">
        <v>2448</v>
      </c>
      <c r="B623" s="12">
        <v>45624</v>
      </c>
      <c r="C623" s="12">
        <v>45632</v>
      </c>
      <c r="D623" t="s">
        <v>2449</v>
      </c>
      <c r="E623" t="s">
        <v>191</v>
      </c>
      <c r="F623" t="s">
        <v>42</v>
      </c>
      <c r="G623" t="s">
        <v>7</v>
      </c>
      <c r="H623" t="s">
        <v>163</v>
      </c>
      <c r="I623" t="s">
        <v>164</v>
      </c>
      <c r="J623" t="s">
        <v>18</v>
      </c>
      <c r="K623" t="s">
        <v>19</v>
      </c>
      <c r="M623" t="s">
        <v>38</v>
      </c>
      <c r="N623">
        <v>5</v>
      </c>
      <c r="O623">
        <v>1092.8399999999999</v>
      </c>
      <c r="Q623">
        <v>0</v>
      </c>
      <c r="R623">
        <v>5464.2</v>
      </c>
      <c r="S623">
        <v>3318.09</v>
      </c>
      <c r="T623">
        <v>5464.2</v>
      </c>
      <c r="U623">
        <v>2146.11</v>
      </c>
      <c r="V623">
        <v>0.39275831777753401</v>
      </c>
      <c r="W623">
        <v>8</v>
      </c>
      <c r="X623" t="s">
        <v>157</v>
      </c>
      <c r="Y623">
        <v>2024</v>
      </c>
      <c r="Z623" t="s">
        <v>129</v>
      </c>
      <c r="AA623" t="s">
        <v>130</v>
      </c>
      <c r="AB623" t="s">
        <v>131</v>
      </c>
      <c r="AC623" t="s">
        <v>131</v>
      </c>
      <c r="AD623" t="s">
        <v>132</v>
      </c>
      <c r="AE623" t="s">
        <v>131</v>
      </c>
      <c r="AF623" t="s">
        <v>131</v>
      </c>
      <c r="AG623" t="s">
        <v>131</v>
      </c>
      <c r="AH623" t="s">
        <v>132</v>
      </c>
      <c r="AI623" t="s">
        <v>321</v>
      </c>
      <c r="AJ623" t="s">
        <v>158</v>
      </c>
      <c r="AK623" t="s">
        <v>2450</v>
      </c>
      <c r="AL623" t="s">
        <v>191</v>
      </c>
      <c r="AM623" t="s">
        <v>42</v>
      </c>
      <c r="AN623" t="s">
        <v>7</v>
      </c>
      <c r="AO623" t="s">
        <v>163</v>
      </c>
      <c r="AP623" t="s">
        <v>164</v>
      </c>
      <c r="AQ623" t="s">
        <v>18</v>
      </c>
      <c r="AR623" t="s">
        <v>19</v>
      </c>
      <c r="AS623" t="s">
        <v>38</v>
      </c>
      <c r="AU623" t="s">
        <v>129</v>
      </c>
      <c r="AV623" t="s">
        <v>130</v>
      </c>
    </row>
    <row r="624" spans="1:48" x14ac:dyDescent="0.3">
      <c r="A624" t="s">
        <v>2451</v>
      </c>
      <c r="B624" s="12">
        <v>45686</v>
      </c>
      <c r="C624" s="12">
        <v>45694</v>
      </c>
      <c r="D624" t="s">
        <v>2452</v>
      </c>
      <c r="E624" t="s">
        <v>170</v>
      </c>
      <c r="F624" t="s">
        <v>42</v>
      </c>
      <c r="G624" t="s">
        <v>8</v>
      </c>
      <c r="H624" t="s">
        <v>259</v>
      </c>
      <c r="I624" t="s">
        <v>260</v>
      </c>
      <c r="J624" t="s">
        <v>20</v>
      </c>
      <c r="K624" t="s">
        <v>21</v>
      </c>
      <c r="M624" t="s">
        <v>35</v>
      </c>
      <c r="N624">
        <v>4</v>
      </c>
      <c r="O624">
        <v>2759.01</v>
      </c>
      <c r="P624">
        <v>0.05</v>
      </c>
      <c r="Q624">
        <v>0.05</v>
      </c>
      <c r="R624">
        <v>10484.24</v>
      </c>
      <c r="S624">
        <v>6680.15</v>
      </c>
      <c r="T624">
        <v>10484.237999999999</v>
      </c>
      <c r="U624">
        <v>3804.0880000000002</v>
      </c>
      <c r="V624">
        <v>0.36283876806306797</v>
      </c>
      <c r="W624">
        <v>8</v>
      </c>
      <c r="X624" t="s">
        <v>244</v>
      </c>
      <c r="Y624">
        <v>2025</v>
      </c>
      <c r="Z624" t="s">
        <v>129</v>
      </c>
      <c r="AA624" t="s">
        <v>130</v>
      </c>
      <c r="AB624" t="s">
        <v>131</v>
      </c>
      <c r="AC624" t="s">
        <v>131</v>
      </c>
      <c r="AD624" t="s">
        <v>131</v>
      </c>
      <c r="AE624" t="s">
        <v>131</v>
      </c>
      <c r="AF624" t="s">
        <v>131</v>
      </c>
      <c r="AG624" t="s">
        <v>131</v>
      </c>
      <c r="AH624" t="s">
        <v>132</v>
      </c>
      <c r="AI624" t="s">
        <v>133</v>
      </c>
      <c r="AJ624" t="s">
        <v>2453</v>
      </c>
      <c r="AK624" t="s">
        <v>2454</v>
      </c>
      <c r="AL624" t="s">
        <v>170</v>
      </c>
      <c r="AM624" t="s">
        <v>42</v>
      </c>
      <c r="AN624" t="s">
        <v>8</v>
      </c>
      <c r="AO624" t="s">
        <v>259</v>
      </c>
      <c r="AP624" t="s">
        <v>260</v>
      </c>
      <c r="AQ624" t="s">
        <v>20</v>
      </c>
      <c r="AR624" t="s">
        <v>21</v>
      </c>
      <c r="AS624" t="s">
        <v>35</v>
      </c>
      <c r="AT624">
        <v>0.05</v>
      </c>
      <c r="AU624" t="s">
        <v>129</v>
      </c>
      <c r="AV624" t="s">
        <v>130</v>
      </c>
    </row>
    <row r="625" spans="1:48" x14ac:dyDescent="0.3">
      <c r="A625" t="s">
        <v>2455</v>
      </c>
      <c r="B625" s="12">
        <v>45512</v>
      </c>
      <c r="C625" s="12">
        <v>45518</v>
      </c>
      <c r="D625" t="s">
        <v>2456</v>
      </c>
      <c r="E625" t="s">
        <v>170</v>
      </c>
      <c r="F625" t="s">
        <v>41</v>
      </c>
      <c r="G625" t="s">
        <v>9</v>
      </c>
      <c r="H625" t="s">
        <v>232</v>
      </c>
      <c r="I625" t="s">
        <v>233</v>
      </c>
      <c r="J625" t="s">
        <v>20</v>
      </c>
      <c r="K625" t="s">
        <v>21</v>
      </c>
      <c r="M625" t="s">
        <v>37</v>
      </c>
      <c r="N625">
        <v>8</v>
      </c>
      <c r="O625">
        <v>1359.19</v>
      </c>
      <c r="P625">
        <v>0.05</v>
      </c>
      <c r="Q625">
        <v>0.05</v>
      </c>
      <c r="R625">
        <v>10329.84</v>
      </c>
      <c r="S625">
        <v>7512.22</v>
      </c>
      <c r="T625">
        <v>10329.843999999999</v>
      </c>
      <c r="U625">
        <v>2817.6239999999998</v>
      </c>
      <c r="V625">
        <v>0.272765397037942</v>
      </c>
      <c r="W625">
        <v>6</v>
      </c>
      <c r="X625" t="s">
        <v>142</v>
      </c>
      <c r="Y625">
        <v>2024</v>
      </c>
      <c r="Z625" t="s">
        <v>129</v>
      </c>
      <c r="AA625" t="s">
        <v>130</v>
      </c>
      <c r="AB625" t="s">
        <v>131</v>
      </c>
      <c r="AC625" t="s">
        <v>131</v>
      </c>
      <c r="AD625" t="s">
        <v>131</v>
      </c>
      <c r="AE625" t="s">
        <v>131</v>
      </c>
      <c r="AF625" t="s">
        <v>131</v>
      </c>
      <c r="AG625" t="s">
        <v>131</v>
      </c>
      <c r="AH625" t="s">
        <v>132</v>
      </c>
      <c r="AI625" t="s">
        <v>133</v>
      </c>
      <c r="AJ625" t="s">
        <v>2457</v>
      </c>
      <c r="AK625" t="s">
        <v>2458</v>
      </c>
      <c r="AL625" t="s">
        <v>170</v>
      </c>
      <c r="AM625" t="s">
        <v>41</v>
      </c>
      <c r="AN625" t="s">
        <v>9</v>
      </c>
      <c r="AO625" t="s">
        <v>232</v>
      </c>
      <c r="AP625" t="s">
        <v>233</v>
      </c>
      <c r="AQ625" t="s">
        <v>20</v>
      </c>
      <c r="AR625" t="s">
        <v>21</v>
      </c>
      <c r="AS625" t="s">
        <v>37</v>
      </c>
      <c r="AT625">
        <v>0.05</v>
      </c>
      <c r="AU625" t="s">
        <v>129</v>
      </c>
      <c r="AV625" t="s">
        <v>130</v>
      </c>
    </row>
    <row r="626" spans="1:48" x14ac:dyDescent="0.3">
      <c r="A626" t="s">
        <v>2459</v>
      </c>
      <c r="B626" s="12">
        <v>45321</v>
      </c>
      <c r="C626" s="12">
        <v>45323</v>
      </c>
      <c r="D626" t="s">
        <v>2460</v>
      </c>
      <c r="E626" t="s">
        <v>178</v>
      </c>
      <c r="F626" t="s">
        <v>41</v>
      </c>
      <c r="G626" t="s">
        <v>8</v>
      </c>
      <c r="H626" t="s">
        <v>283</v>
      </c>
      <c r="I626" t="s">
        <v>284</v>
      </c>
      <c r="J626" t="s">
        <v>18</v>
      </c>
      <c r="K626" t="s">
        <v>19</v>
      </c>
      <c r="M626" t="s">
        <v>36</v>
      </c>
      <c r="N626">
        <v>2</v>
      </c>
      <c r="O626">
        <v>4451.03</v>
      </c>
      <c r="P626">
        <v>0.05</v>
      </c>
      <c r="Q626">
        <v>0.05</v>
      </c>
      <c r="R626">
        <v>8456.9599999999991</v>
      </c>
      <c r="S626">
        <v>5462.85</v>
      </c>
      <c r="T626">
        <v>8456.9570000000003</v>
      </c>
      <c r="U626">
        <v>2994.107</v>
      </c>
      <c r="V626">
        <v>0.35404070282017502</v>
      </c>
      <c r="W626">
        <v>2</v>
      </c>
      <c r="X626" t="s">
        <v>244</v>
      </c>
      <c r="Y626">
        <v>2024</v>
      </c>
      <c r="Z626" t="s">
        <v>129</v>
      </c>
      <c r="AA626" t="s">
        <v>130</v>
      </c>
      <c r="AB626" t="s">
        <v>131</v>
      </c>
      <c r="AC626" t="s">
        <v>131</v>
      </c>
      <c r="AD626" t="s">
        <v>131</v>
      </c>
      <c r="AE626" t="s">
        <v>131</v>
      </c>
      <c r="AF626" t="s">
        <v>131</v>
      </c>
      <c r="AG626" t="s">
        <v>131</v>
      </c>
      <c r="AH626" t="s">
        <v>132</v>
      </c>
      <c r="AI626" t="s">
        <v>133</v>
      </c>
      <c r="AJ626" t="s">
        <v>2461</v>
      </c>
      <c r="AK626" t="s">
        <v>2462</v>
      </c>
      <c r="AL626" t="s">
        <v>178</v>
      </c>
      <c r="AM626" t="s">
        <v>41</v>
      </c>
      <c r="AN626" t="s">
        <v>8</v>
      </c>
      <c r="AO626" t="s">
        <v>283</v>
      </c>
      <c r="AP626" t="s">
        <v>284</v>
      </c>
      <c r="AQ626" t="s">
        <v>18</v>
      </c>
      <c r="AR626" t="s">
        <v>19</v>
      </c>
      <c r="AS626" t="s">
        <v>36</v>
      </c>
      <c r="AT626">
        <v>0.05</v>
      </c>
      <c r="AU626" t="s">
        <v>129</v>
      </c>
      <c r="AV626" t="s">
        <v>130</v>
      </c>
    </row>
    <row r="627" spans="1:48" x14ac:dyDescent="0.3">
      <c r="A627" t="s">
        <v>2463</v>
      </c>
      <c r="B627" s="12">
        <v>45641</v>
      </c>
      <c r="C627" s="12">
        <v>45647</v>
      </c>
      <c r="D627" t="s">
        <v>2464</v>
      </c>
      <c r="E627" t="s">
        <v>277</v>
      </c>
      <c r="F627" t="s">
        <v>43</v>
      </c>
      <c r="G627" t="s">
        <v>7</v>
      </c>
      <c r="H627" t="s">
        <v>126</v>
      </c>
      <c r="I627" t="s">
        <v>213</v>
      </c>
      <c r="J627" t="s">
        <v>18</v>
      </c>
      <c r="K627" t="s">
        <v>19</v>
      </c>
      <c r="M627" t="s">
        <v>38</v>
      </c>
      <c r="N627">
        <v>3</v>
      </c>
      <c r="O627">
        <v>527.66999999999996</v>
      </c>
      <c r="P627">
        <v>0.2</v>
      </c>
      <c r="Q627">
        <v>0.2</v>
      </c>
      <c r="R627">
        <v>1266.4100000000001</v>
      </c>
      <c r="S627">
        <v>983.92</v>
      </c>
      <c r="T627">
        <v>1266.4079999999999</v>
      </c>
      <c r="U627">
        <v>282.488</v>
      </c>
      <c r="V627">
        <v>0.223062393794101</v>
      </c>
      <c r="W627">
        <v>6</v>
      </c>
      <c r="X627" t="s">
        <v>214</v>
      </c>
      <c r="Y627">
        <v>2024</v>
      </c>
      <c r="Z627" t="s">
        <v>129</v>
      </c>
      <c r="AA627" t="s">
        <v>130</v>
      </c>
      <c r="AB627" t="s">
        <v>131</v>
      </c>
      <c r="AC627" t="s">
        <v>131</v>
      </c>
      <c r="AD627" t="s">
        <v>131</v>
      </c>
      <c r="AE627" t="s">
        <v>131</v>
      </c>
      <c r="AF627" t="s">
        <v>131</v>
      </c>
      <c r="AG627" t="s">
        <v>131</v>
      </c>
      <c r="AH627" t="s">
        <v>132</v>
      </c>
      <c r="AI627" t="s">
        <v>133</v>
      </c>
      <c r="AJ627" t="s">
        <v>2465</v>
      </c>
      <c r="AK627" t="s">
        <v>1242</v>
      </c>
      <c r="AL627" t="s">
        <v>277</v>
      </c>
      <c r="AM627" t="s">
        <v>43</v>
      </c>
      <c r="AN627" t="s">
        <v>7</v>
      </c>
      <c r="AO627" t="s">
        <v>126</v>
      </c>
      <c r="AP627" t="s">
        <v>213</v>
      </c>
      <c r="AQ627" t="s">
        <v>18</v>
      </c>
      <c r="AR627" t="s">
        <v>19</v>
      </c>
      <c r="AS627" t="s">
        <v>38</v>
      </c>
      <c r="AT627">
        <v>0.2</v>
      </c>
      <c r="AU627" t="s">
        <v>129</v>
      </c>
      <c r="AV627" t="s">
        <v>130</v>
      </c>
    </row>
    <row r="628" spans="1:48" x14ac:dyDescent="0.3">
      <c r="A628" t="s">
        <v>2466</v>
      </c>
      <c r="B628" s="12">
        <v>45812</v>
      </c>
      <c r="C628" s="12">
        <v>45815</v>
      </c>
      <c r="D628" t="s">
        <v>2467</v>
      </c>
      <c r="E628" t="s">
        <v>243</v>
      </c>
      <c r="F628" t="s">
        <v>41</v>
      </c>
      <c r="G628" t="s">
        <v>8</v>
      </c>
      <c r="H628" t="s">
        <v>283</v>
      </c>
      <c r="I628" t="s">
        <v>284</v>
      </c>
      <c r="J628" t="s">
        <v>15</v>
      </c>
      <c r="K628" t="s">
        <v>25</v>
      </c>
      <c r="M628" t="s">
        <v>35</v>
      </c>
      <c r="N628">
        <v>8</v>
      </c>
      <c r="O628">
        <v>1434.13</v>
      </c>
      <c r="P628">
        <v>0</v>
      </c>
      <c r="Q628">
        <v>0</v>
      </c>
      <c r="R628">
        <v>11473.04</v>
      </c>
      <c r="S628">
        <v>8931.33</v>
      </c>
      <c r="T628">
        <v>11473.04</v>
      </c>
      <c r="U628">
        <v>2541.71</v>
      </c>
      <c r="V628">
        <v>0.221537622112361</v>
      </c>
      <c r="W628">
        <v>3</v>
      </c>
      <c r="X628" t="s">
        <v>148</v>
      </c>
      <c r="Y628">
        <v>2025</v>
      </c>
      <c r="Z628" t="s">
        <v>215</v>
      </c>
      <c r="AA628" t="s">
        <v>204</v>
      </c>
      <c r="AB628" t="s">
        <v>131</v>
      </c>
      <c r="AC628" t="s">
        <v>131</v>
      </c>
      <c r="AD628" t="s">
        <v>131</v>
      </c>
      <c r="AE628" t="s">
        <v>131</v>
      </c>
      <c r="AF628" t="s">
        <v>131</v>
      </c>
      <c r="AG628" t="s">
        <v>131</v>
      </c>
      <c r="AH628" t="s">
        <v>131</v>
      </c>
      <c r="AI628" t="s">
        <v>133</v>
      </c>
      <c r="AJ628" t="s">
        <v>1231</v>
      </c>
      <c r="AK628" t="s">
        <v>2468</v>
      </c>
      <c r="AL628" t="s">
        <v>243</v>
      </c>
      <c r="AM628" t="s">
        <v>41</v>
      </c>
      <c r="AN628" t="s">
        <v>8</v>
      </c>
      <c r="AO628" t="s">
        <v>283</v>
      </c>
      <c r="AP628" t="s">
        <v>284</v>
      </c>
      <c r="AQ628" t="s">
        <v>2469</v>
      </c>
      <c r="AR628" t="s">
        <v>25</v>
      </c>
      <c r="AS628" t="s">
        <v>35</v>
      </c>
      <c r="AT628">
        <v>0</v>
      </c>
      <c r="AU628" t="s">
        <v>215</v>
      </c>
      <c r="AV628" t="s">
        <v>204</v>
      </c>
    </row>
    <row r="629" spans="1:48" x14ac:dyDescent="0.3">
      <c r="A629" t="s">
        <v>2470</v>
      </c>
      <c r="B629" s="12">
        <v>45701</v>
      </c>
      <c r="C629" s="12">
        <v>45709</v>
      </c>
      <c r="D629" t="s">
        <v>2471</v>
      </c>
      <c r="E629" t="s">
        <v>125</v>
      </c>
      <c r="F629" t="s">
        <v>44</v>
      </c>
      <c r="G629" t="s">
        <v>6</v>
      </c>
      <c r="H629" t="s">
        <v>305</v>
      </c>
      <c r="I629" t="s">
        <v>306</v>
      </c>
      <c r="J629" t="s">
        <v>15</v>
      </c>
      <c r="K629" t="s">
        <v>17</v>
      </c>
      <c r="M629" t="s">
        <v>37</v>
      </c>
      <c r="N629">
        <v>2</v>
      </c>
      <c r="O629">
        <v>2360.02</v>
      </c>
      <c r="P629">
        <v>0.15</v>
      </c>
      <c r="Q629">
        <v>0.15</v>
      </c>
      <c r="R629">
        <v>4012.03</v>
      </c>
      <c r="S629">
        <v>3142.92</v>
      </c>
      <c r="T629">
        <v>4012.0340000000001</v>
      </c>
      <c r="U629">
        <v>869.11400000000003</v>
      </c>
      <c r="V629">
        <v>0.21662677833737201</v>
      </c>
      <c r="W629">
        <v>8</v>
      </c>
      <c r="X629" t="s">
        <v>186</v>
      </c>
      <c r="Y629">
        <v>2025</v>
      </c>
      <c r="Z629" t="s">
        <v>215</v>
      </c>
      <c r="AA629" t="s">
        <v>165</v>
      </c>
      <c r="AB629" t="s">
        <v>131</v>
      </c>
      <c r="AC629" t="s">
        <v>131</v>
      </c>
      <c r="AD629" t="s">
        <v>131</v>
      </c>
      <c r="AE629" t="s">
        <v>131</v>
      </c>
      <c r="AF629" t="s">
        <v>131</v>
      </c>
      <c r="AG629" t="s">
        <v>131</v>
      </c>
      <c r="AH629" t="s">
        <v>131</v>
      </c>
      <c r="AI629" t="s">
        <v>133</v>
      </c>
      <c r="AJ629" t="s">
        <v>1250</v>
      </c>
      <c r="AK629" t="s">
        <v>1533</v>
      </c>
      <c r="AL629" t="s">
        <v>125</v>
      </c>
      <c r="AM629" t="s">
        <v>44</v>
      </c>
      <c r="AN629" t="s">
        <v>6</v>
      </c>
      <c r="AO629" t="s">
        <v>305</v>
      </c>
      <c r="AP629" t="s">
        <v>306</v>
      </c>
      <c r="AQ629" t="s">
        <v>15</v>
      </c>
      <c r="AR629" t="s">
        <v>17</v>
      </c>
      <c r="AS629" t="s">
        <v>37</v>
      </c>
      <c r="AT629">
        <v>0.15</v>
      </c>
      <c r="AU629" t="s">
        <v>215</v>
      </c>
      <c r="AV629" t="s">
        <v>165</v>
      </c>
    </row>
    <row r="630" spans="1:48" x14ac:dyDescent="0.3">
      <c r="A630" t="s">
        <v>2472</v>
      </c>
      <c r="B630" s="12">
        <v>45935</v>
      </c>
      <c r="C630" s="12">
        <v>45942</v>
      </c>
      <c r="D630" t="s">
        <v>2473</v>
      </c>
      <c r="E630" t="s">
        <v>162</v>
      </c>
      <c r="F630" t="s">
        <v>41</v>
      </c>
      <c r="G630" t="s">
        <v>8</v>
      </c>
      <c r="H630" t="s">
        <v>362</v>
      </c>
      <c r="I630" t="s">
        <v>363</v>
      </c>
      <c r="J630" t="s">
        <v>15</v>
      </c>
      <c r="K630" t="s">
        <v>22</v>
      </c>
      <c r="M630" t="s">
        <v>38</v>
      </c>
      <c r="N630">
        <v>7</v>
      </c>
      <c r="O630">
        <v>806.67</v>
      </c>
      <c r="P630">
        <v>0.05</v>
      </c>
      <c r="Q630">
        <v>0.05</v>
      </c>
      <c r="R630">
        <v>5364.36</v>
      </c>
      <c r="S630">
        <v>4391.29</v>
      </c>
      <c r="T630">
        <v>5364.3554999999997</v>
      </c>
      <c r="U630">
        <v>973.06550000000004</v>
      </c>
      <c r="V630">
        <v>0.18139467080434901</v>
      </c>
      <c r="W630">
        <v>7</v>
      </c>
      <c r="X630" t="s">
        <v>222</v>
      </c>
      <c r="Y630">
        <v>2025</v>
      </c>
      <c r="Z630" t="s">
        <v>129</v>
      </c>
      <c r="AA630" t="s">
        <v>130</v>
      </c>
      <c r="AB630" t="s">
        <v>131</v>
      </c>
      <c r="AC630" t="s">
        <v>131</v>
      </c>
      <c r="AD630" t="s">
        <v>131</v>
      </c>
      <c r="AE630" t="s">
        <v>131</v>
      </c>
      <c r="AF630" t="s">
        <v>131</v>
      </c>
      <c r="AG630" t="s">
        <v>131</v>
      </c>
      <c r="AH630" t="s">
        <v>132</v>
      </c>
      <c r="AI630" t="s">
        <v>133</v>
      </c>
      <c r="AJ630" t="s">
        <v>2143</v>
      </c>
      <c r="AK630" t="s">
        <v>2474</v>
      </c>
      <c r="AL630" t="s">
        <v>162</v>
      </c>
      <c r="AM630" t="s">
        <v>41</v>
      </c>
      <c r="AN630" t="s">
        <v>8</v>
      </c>
      <c r="AO630" t="s">
        <v>362</v>
      </c>
      <c r="AP630" t="s">
        <v>363</v>
      </c>
      <c r="AQ630" t="s">
        <v>15</v>
      </c>
      <c r="AR630" t="s">
        <v>22</v>
      </c>
      <c r="AS630" t="s">
        <v>38</v>
      </c>
      <c r="AT630">
        <v>0.05</v>
      </c>
      <c r="AU630" t="s">
        <v>129</v>
      </c>
      <c r="AV630" t="s">
        <v>130</v>
      </c>
    </row>
    <row r="631" spans="1:48" x14ac:dyDescent="0.3">
      <c r="A631" t="s">
        <v>2475</v>
      </c>
      <c r="B631" s="12">
        <v>45910</v>
      </c>
      <c r="C631" s="12">
        <v>45914</v>
      </c>
      <c r="D631" t="s">
        <v>2476</v>
      </c>
      <c r="E631" t="s">
        <v>154</v>
      </c>
      <c r="F631" t="s">
        <v>41</v>
      </c>
      <c r="G631" t="s">
        <v>7</v>
      </c>
      <c r="H631" t="s">
        <v>300</v>
      </c>
      <c r="I631" t="s">
        <v>301</v>
      </c>
      <c r="J631" t="s">
        <v>18</v>
      </c>
      <c r="K631" t="s">
        <v>27</v>
      </c>
      <c r="M631" t="s">
        <v>38</v>
      </c>
      <c r="N631">
        <v>3</v>
      </c>
      <c r="O631">
        <v>4198.46</v>
      </c>
      <c r="P631">
        <v>0.15</v>
      </c>
      <c r="Q631">
        <v>0.15</v>
      </c>
      <c r="R631">
        <v>10706.07</v>
      </c>
      <c r="S631">
        <v>5927.1</v>
      </c>
      <c r="T631">
        <v>10706.073</v>
      </c>
      <c r="U631">
        <v>4778.973</v>
      </c>
      <c r="V631">
        <v>0.44637963892082599</v>
      </c>
      <c r="W631">
        <v>4</v>
      </c>
      <c r="X631" t="s">
        <v>196</v>
      </c>
      <c r="Y631">
        <v>2025</v>
      </c>
      <c r="Z631" t="s">
        <v>129</v>
      </c>
      <c r="AA631" t="s">
        <v>130</v>
      </c>
      <c r="AB631" t="s">
        <v>131</v>
      </c>
      <c r="AC631" t="s">
        <v>131</v>
      </c>
      <c r="AD631" t="s">
        <v>131</v>
      </c>
      <c r="AE631" t="s">
        <v>131</v>
      </c>
      <c r="AF631" t="s">
        <v>131</v>
      </c>
      <c r="AG631" t="s">
        <v>131</v>
      </c>
      <c r="AH631" t="s">
        <v>132</v>
      </c>
      <c r="AI631" t="s">
        <v>133</v>
      </c>
      <c r="AJ631" t="s">
        <v>578</v>
      </c>
      <c r="AK631" t="s">
        <v>2477</v>
      </c>
      <c r="AL631" t="s">
        <v>154</v>
      </c>
      <c r="AM631" t="s">
        <v>41</v>
      </c>
      <c r="AN631" t="s">
        <v>7</v>
      </c>
      <c r="AO631" t="s">
        <v>300</v>
      </c>
      <c r="AP631" t="s">
        <v>301</v>
      </c>
      <c r="AQ631" t="s">
        <v>18</v>
      </c>
      <c r="AR631" t="s">
        <v>27</v>
      </c>
      <c r="AS631" t="s">
        <v>38</v>
      </c>
      <c r="AT631">
        <v>0.15</v>
      </c>
      <c r="AU631" t="s">
        <v>129</v>
      </c>
      <c r="AV631" t="s">
        <v>130</v>
      </c>
    </row>
    <row r="632" spans="1:48" x14ac:dyDescent="0.3">
      <c r="A632" t="s">
        <v>2478</v>
      </c>
      <c r="B632" s="12">
        <v>45391</v>
      </c>
      <c r="C632" s="12">
        <v>45392</v>
      </c>
      <c r="D632" t="s">
        <v>2479</v>
      </c>
      <c r="E632" t="s">
        <v>221</v>
      </c>
      <c r="F632" t="s">
        <v>43</v>
      </c>
      <c r="G632" t="s">
        <v>8</v>
      </c>
      <c r="H632" t="s">
        <v>283</v>
      </c>
      <c r="I632" t="s">
        <v>284</v>
      </c>
      <c r="J632" t="s">
        <v>20</v>
      </c>
      <c r="K632" t="s">
        <v>24</v>
      </c>
      <c r="M632" t="s">
        <v>35</v>
      </c>
      <c r="N632">
        <v>4</v>
      </c>
      <c r="O632">
        <v>3047.05</v>
      </c>
      <c r="P632">
        <v>0.1</v>
      </c>
      <c r="Q632">
        <v>0.1</v>
      </c>
      <c r="R632">
        <v>10969.38</v>
      </c>
      <c r="S632">
        <v>9254.4599999999991</v>
      </c>
      <c r="T632">
        <v>10969.38</v>
      </c>
      <c r="U632">
        <v>1714.92</v>
      </c>
      <c r="V632">
        <v>0.156337003549882</v>
      </c>
      <c r="W632">
        <v>1</v>
      </c>
      <c r="X632" t="s">
        <v>179</v>
      </c>
      <c r="Y632">
        <v>2024</v>
      </c>
      <c r="Z632" t="s">
        <v>129</v>
      </c>
      <c r="AA632" t="s">
        <v>130</v>
      </c>
      <c r="AB632" t="s">
        <v>131</v>
      </c>
      <c r="AC632" t="s">
        <v>131</v>
      </c>
      <c r="AD632" t="s">
        <v>131</v>
      </c>
      <c r="AE632" t="s">
        <v>131</v>
      </c>
      <c r="AF632" t="s">
        <v>131</v>
      </c>
      <c r="AG632" t="s">
        <v>131</v>
      </c>
      <c r="AH632" t="s">
        <v>132</v>
      </c>
      <c r="AI632" t="s">
        <v>133</v>
      </c>
      <c r="AJ632" t="s">
        <v>2056</v>
      </c>
      <c r="AK632" t="s">
        <v>1316</v>
      </c>
      <c r="AL632" t="s">
        <v>221</v>
      </c>
      <c r="AM632" t="s">
        <v>43</v>
      </c>
      <c r="AN632" t="s">
        <v>8</v>
      </c>
      <c r="AO632" t="s">
        <v>283</v>
      </c>
      <c r="AP632" t="s">
        <v>284</v>
      </c>
      <c r="AQ632" t="s">
        <v>20</v>
      </c>
      <c r="AR632" t="s">
        <v>24</v>
      </c>
      <c r="AS632" t="s">
        <v>35</v>
      </c>
      <c r="AT632">
        <v>0.1</v>
      </c>
      <c r="AU632" t="s">
        <v>129</v>
      </c>
      <c r="AV632" t="s">
        <v>130</v>
      </c>
    </row>
    <row r="633" spans="1:48" x14ac:dyDescent="0.3">
      <c r="A633" t="s">
        <v>2480</v>
      </c>
      <c r="B633" s="12">
        <v>45392</v>
      </c>
      <c r="C633" s="12">
        <v>45397</v>
      </c>
      <c r="D633" t="s">
        <v>2481</v>
      </c>
      <c r="E633" t="s">
        <v>238</v>
      </c>
      <c r="F633" t="s">
        <v>41</v>
      </c>
      <c r="G633" t="s">
        <v>7</v>
      </c>
      <c r="H633" t="s">
        <v>126</v>
      </c>
      <c r="I633" t="s">
        <v>213</v>
      </c>
      <c r="J633" t="s">
        <v>18</v>
      </c>
      <c r="K633" t="s">
        <v>19</v>
      </c>
      <c r="M633" t="s">
        <v>35</v>
      </c>
      <c r="N633">
        <v>8</v>
      </c>
      <c r="O633">
        <v>4362.4799999999996</v>
      </c>
      <c r="P633">
        <v>0.1</v>
      </c>
      <c r="Q633">
        <v>0.1</v>
      </c>
      <c r="R633">
        <v>31409.86</v>
      </c>
      <c r="S633">
        <v>22523.54</v>
      </c>
      <c r="T633">
        <v>31409.856</v>
      </c>
      <c r="U633">
        <v>8886.3160000000007</v>
      </c>
      <c r="V633">
        <v>0.28291489142770998</v>
      </c>
      <c r="W633">
        <v>5</v>
      </c>
      <c r="X633" t="s">
        <v>179</v>
      </c>
      <c r="Y633">
        <v>2024</v>
      </c>
      <c r="Z633" t="s">
        <v>129</v>
      </c>
      <c r="AA633" t="s">
        <v>130</v>
      </c>
      <c r="AB633" t="s">
        <v>131</v>
      </c>
      <c r="AC633" t="s">
        <v>131</v>
      </c>
      <c r="AD633" t="s">
        <v>131</v>
      </c>
      <c r="AE633" t="s">
        <v>131</v>
      </c>
      <c r="AF633" t="s">
        <v>131</v>
      </c>
      <c r="AG633" t="s">
        <v>131</v>
      </c>
      <c r="AH633" t="s">
        <v>132</v>
      </c>
      <c r="AI633" t="s">
        <v>133</v>
      </c>
      <c r="AJ633" t="s">
        <v>1271</v>
      </c>
      <c r="AK633" t="s">
        <v>1350</v>
      </c>
      <c r="AL633" t="s">
        <v>238</v>
      </c>
      <c r="AM633" t="s">
        <v>41</v>
      </c>
      <c r="AN633" t="s">
        <v>7</v>
      </c>
      <c r="AO633" t="s">
        <v>126</v>
      </c>
      <c r="AP633" t="s">
        <v>213</v>
      </c>
      <c r="AQ633" t="s">
        <v>18</v>
      </c>
      <c r="AR633" t="s">
        <v>19</v>
      </c>
      <c r="AS633" t="s">
        <v>35</v>
      </c>
      <c r="AT633">
        <v>0.1</v>
      </c>
      <c r="AU633" t="s">
        <v>129</v>
      </c>
      <c r="AV633" t="s">
        <v>130</v>
      </c>
    </row>
    <row r="634" spans="1:48" x14ac:dyDescent="0.3">
      <c r="A634" t="s">
        <v>2482</v>
      </c>
      <c r="B634" s="12">
        <v>45762</v>
      </c>
      <c r="C634" s="12">
        <v>45763</v>
      </c>
      <c r="D634" t="s">
        <v>2483</v>
      </c>
      <c r="E634" t="s">
        <v>243</v>
      </c>
      <c r="F634" t="s">
        <v>44</v>
      </c>
      <c r="G634" t="s">
        <v>6</v>
      </c>
      <c r="H634" t="s">
        <v>294</v>
      </c>
      <c r="I634" t="s">
        <v>295</v>
      </c>
      <c r="J634" t="s">
        <v>18</v>
      </c>
      <c r="K634" t="s">
        <v>23</v>
      </c>
      <c r="M634" t="s">
        <v>36</v>
      </c>
      <c r="N634">
        <v>5</v>
      </c>
      <c r="O634">
        <v>2850.53</v>
      </c>
      <c r="P634">
        <v>0</v>
      </c>
      <c r="Q634">
        <v>0</v>
      </c>
      <c r="R634">
        <v>14252.65</v>
      </c>
      <c r="S634">
        <v>11558.31</v>
      </c>
      <c r="T634">
        <v>14252.65</v>
      </c>
      <c r="U634">
        <v>2694.34</v>
      </c>
      <c r="V634">
        <v>0.18904133617257199</v>
      </c>
      <c r="W634">
        <v>1</v>
      </c>
      <c r="X634" t="s">
        <v>179</v>
      </c>
      <c r="Y634">
        <v>2025</v>
      </c>
      <c r="Z634" t="s">
        <v>129</v>
      </c>
      <c r="AA634" t="s">
        <v>130</v>
      </c>
      <c r="AB634" t="s">
        <v>131</v>
      </c>
      <c r="AC634" t="s">
        <v>131</v>
      </c>
      <c r="AD634" t="s">
        <v>131</v>
      </c>
      <c r="AE634" t="s">
        <v>131</v>
      </c>
      <c r="AF634" t="s">
        <v>131</v>
      </c>
      <c r="AG634" t="s">
        <v>131</v>
      </c>
      <c r="AH634" t="s">
        <v>132</v>
      </c>
      <c r="AI634" t="s">
        <v>133</v>
      </c>
      <c r="AJ634" t="s">
        <v>2484</v>
      </c>
      <c r="AK634" t="s">
        <v>2485</v>
      </c>
      <c r="AL634" t="s">
        <v>243</v>
      </c>
      <c r="AM634" t="s">
        <v>44</v>
      </c>
      <c r="AN634" t="s">
        <v>6</v>
      </c>
      <c r="AO634" t="s">
        <v>294</v>
      </c>
      <c r="AP634" t="s">
        <v>295</v>
      </c>
      <c r="AQ634" t="s">
        <v>18</v>
      </c>
      <c r="AR634" t="s">
        <v>23</v>
      </c>
      <c r="AS634" t="s">
        <v>36</v>
      </c>
      <c r="AT634">
        <v>0</v>
      </c>
      <c r="AU634" t="s">
        <v>129</v>
      </c>
      <c r="AV634" t="s">
        <v>130</v>
      </c>
    </row>
    <row r="635" spans="1:48" x14ac:dyDescent="0.3">
      <c r="A635" t="s">
        <v>2486</v>
      </c>
      <c r="B635" s="12">
        <v>45765</v>
      </c>
      <c r="C635" s="12">
        <v>45767</v>
      </c>
      <c r="D635" t="s">
        <v>2487</v>
      </c>
      <c r="E635" t="s">
        <v>238</v>
      </c>
      <c r="F635" t="s">
        <v>44</v>
      </c>
      <c r="G635" t="s">
        <v>6</v>
      </c>
      <c r="H635" t="s">
        <v>385</v>
      </c>
      <c r="I635" t="s">
        <v>386</v>
      </c>
      <c r="J635" t="s">
        <v>15</v>
      </c>
      <c r="K635" t="s">
        <v>22</v>
      </c>
      <c r="M635" t="s">
        <v>37</v>
      </c>
      <c r="N635">
        <v>1</v>
      </c>
      <c r="O635">
        <v>1626.08</v>
      </c>
      <c r="P635">
        <v>0.15</v>
      </c>
      <c r="Q635">
        <v>0.15</v>
      </c>
      <c r="R635">
        <v>1382.17</v>
      </c>
      <c r="S635">
        <v>810.03</v>
      </c>
      <c r="T635">
        <v>1382.1679999999999</v>
      </c>
      <c r="U635">
        <v>572.13800000000003</v>
      </c>
      <c r="V635">
        <v>0.41394244404442898</v>
      </c>
      <c r="W635">
        <v>2</v>
      </c>
      <c r="X635" t="s">
        <v>179</v>
      </c>
      <c r="Y635">
        <v>2025</v>
      </c>
      <c r="Z635" t="s">
        <v>129</v>
      </c>
      <c r="AA635" t="s">
        <v>130</v>
      </c>
      <c r="AB635" t="s">
        <v>131</v>
      </c>
      <c r="AC635" t="s">
        <v>131</v>
      </c>
      <c r="AD635" t="s">
        <v>131</v>
      </c>
      <c r="AE635" t="s">
        <v>131</v>
      </c>
      <c r="AF635" t="s">
        <v>131</v>
      </c>
      <c r="AG635" t="s">
        <v>131</v>
      </c>
      <c r="AH635" t="s">
        <v>132</v>
      </c>
      <c r="AI635" t="s">
        <v>133</v>
      </c>
      <c r="AJ635" t="s">
        <v>2488</v>
      </c>
      <c r="AK635" t="s">
        <v>2489</v>
      </c>
      <c r="AL635" t="s">
        <v>238</v>
      </c>
      <c r="AM635" t="s">
        <v>44</v>
      </c>
      <c r="AN635" t="s">
        <v>6</v>
      </c>
      <c r="AO635" t="s">
        <v>385</v>
      </c>
      <c r="AP635" t="s">
        <v>386</v>
      </c>
      <c r="AQ635" t="s">
        <v>15</v>
      </c>
      <c r="AR635" t="s">
        <v>22</v>
      </c>
      <c r="AS635" t="s">
        <v>37</v>
      </c>
      <c r="AT635">
        <v>0.15</v>
      </c>
      <c r="AU635" t="s">
        <v>129</v>
      </c>
      <c r="AV635" t="s">
        <v>130</v>
      </c>
    </row>
    <row r="636" spans="1:48" x14ac:dyDescent="0.3">
      <c r="A636" t="s">
        <v>2490</v>
      </c>
      <c r="B636" s="12">
        <v>45668</v>
      </c>
      <c r="C636" s="12">
        <v>45669</v>
      </c>
      <c r="D636" t="s">
        <v>2491</v>
      </c>
      <c r="E636" t="s">
        <v>191</v>
      </c>
      <c r="F636" t="s">
        <v>42</v>
      </c>
      <c r="G636" t="s">
        <v>6</v>
      </c>
      <c r="H636" t="s">
        <v>155</v>
      </c>
      <c r="I636" t="s">
        <v>156</v>
      </c>
      <c r="J636" t="s">
        <v>18</v>
      </c>
      <c r="K636" t="s">
        <v>19</v>
      </c>
      <c r="M636" t="s">
        <v>37</v>
      </c>
      <c r="N636">
        <v>4</v>
      </c>
      <c r="O636">
        <v>2427.15</v>
      </c>
      <c r="P636">
        <v>0.05</v>
      </c>
      <c r="Q636">
        <v>0.05</v>
      </c>
      <c r="R636">
        <v>9223.17</v>
      </c>
      <c r="S636">
        <v>5103.7</v>
      </c>
      <c r="T636">
        <v>9223.17</v>
      </c>
      <c r="U636">
        <v>4119.47</v>
      </c>
      <c r="V636">
        <v>0.44664361602355801</v>
      </c>
      <c r="W636">
        <v>1</v>
      </c>
      <c r="X636" t="s">
        <v>244</v>
      </c>
      <c r="Y636">
        <v>2025</v>
      </c>
      <c r="Z636" t="s">
        <v>129</v>
      </c>
      <c r="AA636" t="s">
        <v>130</v>
      </c>
      <c r="AB636" t="s">
        <v>131</v>
      </c>
      <c r="AC636" t="s">
        <v>131</v>
      </c>
      <c r="AD636" t="s">
        <v>131</v>
      </c>
      <c r="AE636" t="s">
        <v>131</v>
      </c>
      <c r="AF636" t="s">
        <v>131</v>
      </c>
      <c r="AG636" t="s">
        <v>131</v>
      </c>
      <c r="AH636" t="s">
        <v>132</v>
      </c>
      <c r="AI636" t="s">
        <v>133</v>
      </c>
      <c r="AJ636" t="s">
        <v>2492</v>
      </c>
      <c r="AK636" t="s">
        <v>1850</v>
      </c>
      <c r="AL636" t="s">
        <v>191</v>
      </c>
      <c r="AM636" t="s">
        <v>42</v>
      </c>
      <c r="AN636" t="s">
        <v>6</v>
      </c>
      <c r="AO636" t="s">
        <v>155</v>
      </c>
      <c r="AP636" t="s">
        <v>156</v>
      </c>
      <c r="AQ636" t="s">
        <v>18</v>
      </c>
      <c r="AR636" t="s">
        <v>19</v>
      </c>
      <c r="AS636" t="s">
        <v>37</v>
      </c>
      <c r="AT636">
        <v>0.05</v>
      </c>
      <c r="AU636" t="s">
        <v>129</v>
      </c>
      <c r="AV636" t="s">
        <v>130</v>
      </c>
    </row>
    <row r="637" spans="1:48" x14ac:dyDescent="0.3">
      <c r="A637" t="s">
        <v>2493</v>
      </c>
      <c r="B637" s="12">
        <v>45432</v>
      </c>
      <c r="C637" s="12">
        <v>45437</v>
      </c>
      <c r="D637" t="s">
        <v>2494</v>
      </c>
      <c r="E637" t="s">
        <v>139</v>
      </c>
      <c r="F637" t="s">
        <v>43</v>
      </c>
      <c r="G637" t="s">
        <v>6</v>
      </c>
      <c r="H637" t="s">
        <v>184</v>
      </c>
      <c r="I637" t="s">
        <v>185</v>
      </c>
      <c r="J637" t="s">
        <v>18</v>
      </c>
      <c r="K637" t="s">
        <v>19</v>
      </c>
      <c r="M637" t="s">
        <v>38</v>
      </c>
      <c r="N637">
        <v>7</v>
      </c>
      <c r="O637">
        <v>3122.85</v>
      </c>
      <c r="P637">
        <v>0.25</v>
      </c>
      <c r="Q637">
        <v>0.25</v>
      </c>
      <c r="R637">
        <v>16394.96</v>
      </c>
      <c r="S637">
        <v>10404.17</v>
      </c>
      <c r="T637">
        <v>16394.962500000001</v>
      </c>
      <c r="U637">
        <v>5990.7924999999996</v>
      </c>
      <c r="V637">
        <v>0.365404464938544</v>
      </c>
      <c r="W637">
        <v>5</v>
      </c>
      <c r="X637" t="s">
        <v>173</v>
      </c>
      <c r="Y637">
        <v>2024</v>
      </c>
      <c r="Z637" t="s">
        <v>129</v>
      </c>
      <c r="AA637" t="s">
        <v>130</v>
      </c>
      <c r="AB637" t="s">
        <v>131</v>
      </c>
      <c r="AC637" t="s">
        <v>131</v>
      </c>
      <c r="AD637" t="s">
        <v>131</v>
      </c>
      <c r="AE637" t="s">
        <v>131</v>
      </c>
      <c r="AF637" t="s">
        <v>131</v>
      </c>
      <c r="AG637" t="s">
        <v>131</v>
      </c>
      <c r="AH637" t="s">
        <v>132</v>
      </c>
      <c r="AI637" t="s">
        <v>133</v>
      </c>
      <c r="AJ637" t="s">
        <v>2413</v>
      </c>
      <c r="AK637" t="s">
        <v>2495</v>
      </c>
      <c r="AL637" t="s">
        <v>139</v>
      </c>
      <c r="AM637" t="s">
        <v>43</v>
      </c>
      <c r="AN637" t="s">
        <v>6</v>
      </c>
      <c r="AO637" t="s">
        <v>184</v>
      </c>
      <c r="AP637" t="s">
        <v>185</v>
      </c>
      <c r="AQ637" t="s">
        <v>18</v>
      </c>
      <c r="AR637" t="s">
        <v>19</v>
      </c>
      <c r="AS637" t="s">
        <v>38</v>
      </c>
      <c r="AT637">
        <v>0.25</v>
      </c>
      <c r="AU637" t="s">
        <v>129</v>
      </c>
      <c r="AV637" t="s">
        <v>130</v>
      </c>
    </row>
    <row r="638" spans="1:48" x14ac:dyDescent="0.3">
      <c r="A638" t="s">
        <v>2496</v>
      </c>
      <c r="B638" s="12">
        <v>45567</v>
      </c>
      <c r="C638" s="12">
        <v>45574</v>
      </c>
      <c r="D638" t="s">
        <v>2497</v>
      </c>
      <c r="E638" t="s">
        <v>162</v>
      </c>
      <c r="F638" t="s">
        <v>42</v>
      </c>
      <c r="G638" t="s">
        <v>6</v>
      </c>
      <c r="H638" t="s">
        <v>385</v>
      </c>
      <c r="I638" t="s">
        <v>386</v>
      </c>
      <c r="J638" t="s">
        <v>20</v>
      </c>
      <c r="K638" t="s">
        <v>24</v>
      </c>
      <c r="M638" t="s">
        <v>35</v>
      </c>
      <c r="N638">
        <v>8</v>
      </c>
      <c r="O638">
        <v>1910.31</v>
      </c>
      <c r="P638">
        <v>0.15</v>
      </c>
      <c r="Q638">
        <v>0.15</v>
      </c>
      <c r="R638">
        <v>12990.11</v>
      </c>
      <c r="S638">
        <v>10200.799999999999</v>
      </c>
      <c r="T638">
        <v>12990.108</v>
      </c>
      <c r="U638">
        <v>2789.308</v>
      </c>
      <c r="V638">
        <v>0.21472554346738301</v>
      </c>
      <c r="W638">
        <v>7</v>
      </c>
      <c r="X638" t="s">
        <v>222</v>
      </c>
      <c r="Y638">
        <v>2024</v>
      </c>
      <c r="Z638" t="s">
        <v>129</v>
      </c>
      <c r="AA638" t="s">
        <v>130</v>
      </c>
      <c r="AB638" t="s">
        <v>131</v>
      </c>
      <c r="AC638" t="s">
        <v>131</v>
      </c>
      <c r="AD638" t="s">
        <v>131</v>
      </c>
      <c r="AE638" t="s">
        <v>131</v>
      </c>
      <c r="AF638" t="s">
        <v>131</v>
      </c>
      <c r="AG638" t="s">
        <v>131</v>
      </c>
      <c r="AH638" t="s">
        <v>132</v>
      </c>
      <c r="AI638" t="s">
        <v>133</v>
      </c>
      <c r="AJ638" t="s">
        <v>2498</v>
      </c>
      <c r="AK638" t="s">
        <v>2499</v>
      </c>
      <c r="AL638" t="s">
        <v>162</v>
      </c>
      <c r="AM638" t="s">
        <v>42</v>
      </c>
      <c r="AN638" t="s">
        <v>6</v>
      </c>
      <c r="AO638" t="s">
        <v>385</v>
      </c>
      <c r="AP638" t="s">
        <v>386</v>
      </c>
      <c r="AQ638" t="s">
        <v>20</v>
      </c>
      <c r="AR638" t="s">
        <v>24</v>
      </c>
      <c r="AS638" t="s">
        <v>35</v>
      </c>
      <c r="AT638">
        <v>0.15</v>
      </c>
      <c r="AU638" t="s">
        <v>129</v>
      </c>
      <c r="AV638" t="s">
        <v>130</v>
      </c>
    </row>
    <row r="639" spans="1:48" x14ac:dyDescent="0.3">
      <c r="A639" t="s">
        <v>2500</v>
      </c>
      <c r="B639" s="12">
        <v>45438</v>
      </c>
      <c r="C639" s="12">
        <v>45438</v>
      </c>
      <c r="D639" t="s">
        <v>2501</v>
      </c>
      <c r="E639" t="s">
        <v>227</v>
      </c>
      <c r="F639" t="s">
        <v>44</v>
      </c>
      <c r="G639" t="s">
        <v>7</v>
      </c>
      <c r="H639" t="s">
        <v>311</v>
      </c>
      <c r="I639" t="s">
        <v>312</v>
      </c>
      <c r="J639" t="s">
        <v>15</v>
      </c>
      <c r="K639" t="s">
        <v>16</v>
      </c>
      <c r="M639" t="s">
        <v>36</v>
      </c>
      <c r="N639">
        <v>2</v>
      </c>
      <c r="O639">
        <v>3192.47</v>
      </c>
      <c r="P639">
        <v>0.2</v>
      </c>
      <c r="Q639">
        <v>0.2</v>
      </c>
      <c r="R639">
        <v>5107.95</v>
      </c>
      <c r="S639">
        <v>3133.08</v>
      </c>
      <c r="T639">
        <v>5107.9520000000002</v>
      </c>
      <c r="U639">
        <v>1974.8720000000001</v>
      </c>
      <c r="V639">
        <v>0.38662696908663202</v>
      </c>
      <c r="W639">
        <v>0</v>
      </c>
      <c r="X639" t="s">
        <v>173</v>
      </c>
      <c r="Y639">
        <v>2024</v>
      </c>
      <c r="Z639" t="s">
        <v>129</v>
      </c>
      <c r="AA639" t="s">
        <v>130</v>
      </c>
      <c r="AB639" t="s">
        <v>131</v>
      </c>
      <c r="AC639" t="s">
        <v>131</v>
      </c>
      <c r="AD639" t="s">
        <v>131</v>
      </c>
      <c r="AE639" t="s">
        <v>131</v>
      </c>
      <c r="AF639" t="s">
        <v>131</v>
      </c>
      <c r="AG639" t="s">
        <v>131</v>
      </c>
      <c r="AH639" t="s">
        <v>132</v>
      </c>
      <c r="AI639" t="s">
        <v>133</v>
      </c>
      <c r="AJ639" t="s">
        <v>2502</v>
      </c>
      <c r="AK639" t="s">
        <v>2503</v>
      </c>
      <c r="AL639" t="s">
        <v>227</v>
      </c>
      <c r="AM639" t="s">
        <v>44</v>
      </c>
      <c r="AN639" t="s">
        <v>7</v>
      </c>
      <c r="AO639" t="s">
        <v>311</v>
      </c>
      <c r="AP639" t="s">
        <v>312</v>
      </c>
      <c r="AQ639" t="s">
        <v>15</v>
      </c>
      <c r="AR639" t="s">
        <v>16</v>
      </c>
      <c r="AS639" t="s">
        <v>36</v>
      </c>
      <c r="AT639">
        <v>0.2</v>
      </c>
      <c r="AU639" t="s">
        <v>129</v>
      </c>
      <c r="AV639" t="s">
        <v>130</v>
      </c>
    </row>
    <row r="640" spans="1:48" x14ac:dyDescent="0.3">
      <c r="A640" t="s">
        <v>2504</v>
      </c>
      <c r="B640" s="12">
        <v>45317</v>
      </c>
      <c r="C640" s="12">
        <v>45322</v>
      </c>
      <c r="D640" t="s">
        <v>2505</v>
      </c>
      <c r="E640" t="s">
        <v>125</v>
      </c>
      <c r="F640" t="s">
        <v>43</v>
      </c>
      <c r="G640" t="s">
        <v>6</v>
      </c>
      <c r="H640" t="s">
        <v>305</v>
      </c>
      <c r="I640" t="s">
        <v>306</v>
      </c>
      <c r="J640" t="s">
        <v>20</v>
      </c>
      <c r="K640" t="s">
        <v>21</v>
      </c>
      <c r="M640" t="s">
        <v>37</v>
      </c>
      <c r="N640">
        <v>3</v>
      </c>
      <c r="O640">
        <v>3224.32</v>
      </c>
      <c r="P640">
        <v>0.2</v>
      </c>
      <c r="Q640">
        <v>0.2</v>
      </c>
      <c r="R640">
        <v>7738.37</v>
      </c>
      <c r="S640">
        <v>4626.8500000000004</v>
      </c>
      <c r="T640">
        <v>7738.3680000000004</v>
      </c>
      <c r="U640">
        <v>3111.518</v>
      </c>
      <c r="V640">
        <v>0.40208969126306698</v>
      </c>
      <c r="W640">
        <v>5</v>
      </c>
      <c r="X640" t="s">
        <v>244</v>
      </c>
      <c r="Y640">
        <v>2024</v>
      </c>
      <c r="Z640" t="s">
        <v>269</v>
      </c>
      <c r="AA640" t="s">
        <v>204</v>
      </c>
      <c r="AB640" t="s">
        <v>131</v>
      </c>
      <c r="AC640" t="s">
        <v>131</v>
      </c>
      <c r="AD640" t="s">
        <v>131</v>
      </c>
      <c r="AE640" t="s">
        <v>131</v>
      </c>
      <c r="AF640" t="s">
        <v>131</v>
      </c>
      <c r="AG640" t="s">
        <v>131</v>
      </c>
      <c r="AH640" t="s">
        <v>131</v>
      </c>
      <c r="AI640" t="s">
        <v>133</v>
      </c>
      <c r="AJ640" t="s">
        <v>2389</v>
      </c>
      <c r="AK640" t="s">
        <v>2506</v>
      </c>
      <c r="AL640" t="s">
        <v>125</v>
      </c>
      <c r="AM640" t="s">
        <v>43</v>
      </c>
      <c r="AN640" t="s">
        <v>6</v>
      </c>
      <c r="AO640" t="s">
        <v>305</v>
      </c>
      <c r="AP640" t="s">
        <v>306</v>
      </c>
      <c r="AQ640" t="s">
        <v>20</v>
      </c>
      <c r="AR640" t="s">
        <v>21</v>
      </c>
      <c r="AS640" t="s">
        <v>37</v>
      </c>
      <c r="AT640">
        <v>0.2</v>
      </c>
      <c r="AU640" t="s">
        <v>269</v>
      </c>
      <c r="AV640" t="s">
        <v>204</v>
      </c>
    </row>
    <row r="641" spans="1:48" x14ac:dyDescent="0.3">
      <c r="A641" t="s">
        <v>2507</v>
      </c>
      <c r="B641" s="12">
        <v>45653</v>
      </c>
      <c r="C641" s="12">
        <v>45657</v>
      </c>
      <c r="D641" t="s">
        <v>2508</v>
      </c>
      <c r="E641" t="s">
        <v>147</v>
      </c>
      <c r="F641" t="s">
        <v>44</v>
      </c>
      <c r="G641" t="s">
        <v>8</v>
      </c>
      <c r="H641" t="s">
        <v>140</v>
      </c>
      <c r="I641" t="s">
        <v>141</v>
      </c>
      <c r="J641" t="s">
        <v>18</v>
      </c>
      <c r="K641" t="s">
        <v>19</v>
      </c>
      <c r="M641" t="s">
        <v>37</v>
      </c>
      <c r="N641">
        <v>1</v>
      </c>
      <c r="O641">
        <v>1594.7</v>
      </c>
      <c r="P641">
        <v>0.05</v>
      </c>
      <c r="Q641">
        <v>0.05</v>
      </c>
      <c r="R641">
        <v>1514.96</v>
      </c>
      <c r="S641">
        <v>1046.17</v>
      </c>
      <c r="T641">
        <v>1514.9649999999999</v>
      </c>
      <c r="U641">
        <v>468.79500000000002</v>
      </c>
      <c r="V641">
        <v>0.30944279240774503</v>
      </c>
      <c r="W641">
        <v>4</v>
      </c>
      <c r="X641" t="s">
        <v>214</v>
      </c>
      <c r="Y641">
        <v>2024</v>
      </c>
      <c r="Z641" t="s">
        <v>129</v>
      </c>
      <c r="AA641" t="s">
        <v>130</v>
      </c>
      <c r="AB641" t="s">
        <v>131</v>
      </c>
      <c r="AC641" t="s">
        <v>131</v>
      </c>
      <c r="AD641" t="s">
        <v>131</v>
      </c>
      <c r="AE641" t="s">
        <v>131</v>
      </c>
      <c r="AF641" t="s">
        <v>131</v>
      </c>
      <c r="AG641" t="s">
        <v>131</v>
      </c>
      <c r="AH641" t="s">
        <v>132</v>
      </c>
      <c r="AI641" t="s">
        <v>133</v>
      </c>
      <c r="AJ641" t="s">
        <v>2509</v>
      </c>
      <c r="AK641" t="s">
        <v>1607</v>
      </c>
      <c r="AL641" t="s">
        <v>147</v>
      </c>
      <c r="AM641" t="s">
        <v>44</v>
      </c>
      <c r="AN641" t="s">
        <v>8</v>
      </c>
      <c r="AO641" t="s">
        <v>140</v>
      </c>
      <c r="AP641" t="s">
        <v>141</v>
      </c>
      <c r="AQ641" t="s">
        <v>18</v>
      </c>
      <c r="AR641" t="s">
        <v>19</v>
      </c>
      <c r="AS641" t="s">
        <v>37</v>
      </c>
      <c r="AT641">
        <v>0.05</v>
      </c>
      <c r="AU641" t="s">
        <v>129</v>
      </c>
      <c r="AV641" t="s">
        <v>130</v>
      </c>
    </row>
    <row r="642" spans="1:48" x14ac:dyDescent="0.3">
      <c r="A642" t="s">
        <v>2510</v>
      </c>
      <c r="B642" s="12">
        <v>45671</v>
      </c>
      <c r="C642" s="12">
        <v>45674</v>
      </c>
      <c r="D642" t="s">
        <v>2511</v>
      </c>
      <c r="E642" t="s">
        <v>170</v>
      </c>
      <c r="F642" t="s">
        <v>42</v>
      </c>
      <c r="G642" t="s">
        <v>7</v>
      </c>
      <c r="H642" t="s">
        <v>311</v>
      </c>
      <c r="I642" t="s">
        <v>312</v>
      </c>
      <c r="J642" t="s">
        <v>20</v>
      </c>
      <c r="K642" t="s">
        <v>21</v>
      </c>
      <c r="M642" t="s">
        <v>36</v>
      </c>
      <c r="N642">
        <v>1</v>
      </c>
      <c r="O642">
        <v>1584.12</v>
      </c>
      <c r="P642">
        <v>0.2</v>
      </c>
      <c r="Q642">
        <v>0.2</v>
      </c>
      <c r="R642">
        <v>1267.3</v>
      </c>
      <c r="S642">
        <v>923.53</v>
      </c>
      <c r="T642">
        <v>1267.296</v>
      </c>
      <c r="U642">
        <v>343.76600000000002</v>
      </c>
      <c r="V642">
        <v>0.271259437416357</v>
      </c>
      <c r="W642">
        <v>3</v>
      </c>
      <c r="X642" t="s">
        <v>244</v>
      </c>
      <c r="Y642">
        <v>2025</v>
      </c>
      <c r="Z642" t="s">
        <v>129</v>
      </c>
      <c r="AA642" t="s">
        <v>130</v>
      </c>
      <c r="AB642" t="s">
        <v>131</v>
      </c>
      <c r="AC642" t="s">
        <v>131</v>
      </c>
      <c r="AD642" t="s">
        <v>131</v>
      </c>
      <c r="AE642" t="s">
        <v>131</v>
      </c>
      <c r="AF642" t="s">
        <v>131</v>
      </c>
      <c r="AG642" t="s">
        <v>131</v>
      </c>
      <c r="AH642" t="s">
        <v>132</v>
      </c>
      <c r="AI642" t="s">
        <v>133</v>
      </c>
      <c r="AJ642" t="s">
        <v>2512</v>
      </c>
      <c r="AK642" t="s">
        <v>2513</v>
      </c>
      <c r="AL642" t="s">
        <v>170</v>
      </c>
      <c r="AM642" t="s">
        <v>42</v>
      </c>
      <c r="AN642" t="s">
        <v>7</v>
      </c>
      <c r="AO642" t="s">
        <v>311</v>
      </c>
      <c r="AP642" t="s">
        <v>312</v>
      </c>
      <c r="AQ642" t="s">
        <v>20</v>
      </c>
      <c r="AR642" t="s">
        <v>21</v>
      </c>
      <c r="AS642" t="s">
        <v>36</v>
      </c>
      <c r="AT642">
        <v>0.2</v>
      </c>
      <c r="AU642" t="s">
        <v>129</v>
      </c>
      <c r="AV642" t="s">
        <v>130</v>
      </c>
    </row>
    <row r="643" spans="1:48" x14ac:dyDescent="0.3">
      <c r="A643" t="s">
        <v>2514</v>
      </c>
      <c r="B643" s="12">
        <v>45756</v>
      </c>
      <c r="C643" s="12">
        <v>45761</v>
      </c>
      <c r="D643" t="s">
        <v>2515</v>
      </c>
      <c r="E643" t="s">
        <v>125</v>
      </c>
      <c r="F643" t="s">
        <v>42</v>
      </c>
      <c r="G643" t="s">
        <v>9</v>
      </c>
      <c r="H643" t="s">
        <v>522</v>
      </c>
      <c r="I643" t="s">
        <v>523</v>
      </c>
      <c r="J643" t="s">
        <v>18</v>
      </c>
      <c r="K643" t="s">
        <v>23</v>
      </c>
      <c r="M643" t="s">
        <v>38</v>
      </c>
      <c r="N643">
        <v>2</v>
      </c>
      <c r="O643">
        <v>3202.87</v>
      </c>
      <c r="P643">
        <v>0</v>
      </c>
      <c r="Q643">
        <v>0</v>
      </c>
      <c r="R643">
        <v>6405.74</v>
      </c>
      <c r="S643">
        <v>3561.87</v>
      </c>
      <c r="T643">
        <v>6405.74</v>
      </c>
      <c r="U643">
        <v>2843.87</v>
      </c>
      <c r="V643">
        <v>0.44395651400150499</v>
      </c>
      <c r="W643">
        <v>5</v>
      </c>
      <c r="X643" t="s">
        <v>179</v>
      </c>
      <c r="Y643">
        <v>2025</v>
      </c>
      <c r="Z643" t="s">
        <v>129</v>
      </c>
      <c r="AA643" t="s">
        <v>130</v>
      </c>
      <c r="AB643" t="s">
        <v>131</v>
      </c>
      <c r="AC643" t="s">
        <v>131</v>
      </c>
      <c r="AD643" t="s">
        <v>131</v>
      </c>
      <c r="AE643" t="s">
        <v>131</v>
      </c>
      <c r="AF643" t="s">
        <v>131</v>
      </c>
      <c r="AG643" t="s">
        <v>131</v>
      </c>
      <c r="AH643" t="s">
        <v>132</v>
      </c>
      <c r="AI643" t="s">
        <v>133</v>
      </c>
      <c r="AJ643" t="s">
        <v>2516</v>
      </c>
      <c r="AK643" t="s">
        <v>1677</v>
      </c>
      <c r="AL643" t="s">
        <v>125</v>
      </c>
      <c r="AM643" t="s">
        <v>42</v>
      </c>
      <c r="AN643" t="s">
        <v>9</v>
      </c>
      <c r="AO643" t="s">
        <v>522</v>
      </c>
      <c r="AP643" t="s">
        <v>523</v>
      </c>
      <c r="AQ643" t="s">
        <v>18</v>
      </c>
      <c r="AR643" t="s">
        <v>23</v>
      </c>
      <c r="AS643" t="s">
        <v>38</v>
      </c>
      <c r="AT643">
        <v>0</v>
      </c>
      <c r="AU643" t="s">
        <v>129</v>
      </c>
      <c r="AV643" t="s">
        <v>130</v>
      </c>
    </row>
    <row r="644" spans="1:48" x14ac:dyDescent="0.3">
      <c r="A644" t="s">
        <v>2517</v>
      </c>
      <c r="B644" s="12">
        <v>45533</v>
      </c>
      <c r="C644" s="12">
        <v>45535</v>
      </c>
      <c r="D644" t="s">
        <v>2518</v>
      </c>
      <c r="E644" t="s">
        <v>147</v>
      </c>
      <c r="F644" t="s">
        <v>41</v>
      </c>
      <c r="G644" t="s">
        <v>8</v>
      </c>
      <c r="H644" t="s">
        <v>283</v>
      </c>
      <c r="I644" t="s">
        <v>284</v>
      </c>
      <c r="J644" t="s">
        <v>20</v>
      </c>
      <c r="K644" t="s">
        <v>28</v>
      </c>
      <c r="M644" t="s">
        <v>37</v>
      </c>
      <c r="N644">
        <v>9</v>
      </c>
      <c r="O644">
        <v>1275.21</v>
      </c>
      <c r="P644">
        <v>0.25</v>
      </c>
      <c r="Q644">
        <v>0.25</v>
      </c>
      <c r="R644">
        <v>8607.67</v>
      </c>
      <c r="S644">
        <v>5337.64</v>
      </c>
      <c r="T644">
        <v>8607.6674999999996</v>
      </c>
      <c r="U644">
        <v>3270.0275000000001</v>
      </c>
      <c r="V644">
        <v>0.379897051088463</v>
      </c>
      <c r="W644">
        <v>2</v>
      </c>
      <c r="X644" t="s">
        <v>142</v>
      </c>
      <c r="Y644">
        <v>2024</v>
      </c>
      <c r="Z644" t="s">
        <v>269</v>
      </c>
      <c r="AA644" t="s">
        <v>204</v>
      </c>
      <c r="AB644" t="s">
        <v>131</v>
      </c>
      <c r="AC644" t="s">
        <v>131</v>
      </c>
      <c r="AD644" t="s">
        <v>131</v>
      </c>
      <c r="AE644" t="s">
        <v>131</v>
      </c>
      <c r="AF644" t="s">
        <v>131</v>
      </c>
      <c r="AG644" t="s">
        <v>131</v>
      </c>
      <c r="AH644" t="s">
        <v>131</v>
      </c>
      <c r="AI644" t="s">
        <v>133</v>
      </c>
      <c r="AJ644" t="s">
        <v>1668</v>
      </c>
      <c r="AK644" t="s">
        <v>143</v>
      </c>
      <c r="AL644" t="s">
        <v>147</v>
      </c>
      <c r="AM644" t="s">
        <v>41</v>
      </c>
      <c r="AN644" t="s">
        <v>8</v>
      </c>
      <c r="AO644" t="s">
        <v>283</v>
      </c>
      <c r="AP644" t="s">
        <v>284</v>
      </c>
      <c r="AQ644" t="s">
        <v>20</v>
      </c>
      <c r="AR644" t="s">
        <v>2519</v>
      </c>
      <c r="AS644" t="s">
        <v>37</v>
      </c>
      <c r="AT644">
        <v>0.25</v>
      </c>
      <c r="AU644" t="s">
        <v>269</v>
      </c>
      <c r="AV644" t="s">
        <v>204</v>
      </c>
    </row>
    <row r="645" spans="1:48" x14ac:dyDescent="0.3">
      <c r="A645" t="s">
        <v>2520</v>
      </c>
      <c r="B645" s="12">
        <v>45327</v>
      </c>
      <c r="C645" s="12">
        <v>45335</v>
      </c>
      <c r="D645" t="s">
        <v>995</v>
      </c>
      <c r="E645" t="s">
        <v>238</v>
      </c>
      <c r="F645" t="s">
        <v>41</v>
      </c>
      <c r="G645" t="s">
        <v>9</v>
      </c>
      <c r="H645" t="s">
        <v>249</v>
      </c>
      <c r="I645" t="s">
        <v>250</v>
      </c>
      <c r="J645" t="s">
        <v>20</v>
      </c>
      <c r="K645" t="s">
        <v>30</v>
      </c>
      <c r="M645" t="s">
        <v>35</v>
      </c>
      <c r="N645">
        <v>8</v>
      </c>
      <c r="O645">
        <v>3871.18</v>
      </c>
      <c r="P645">
        <v>0.15</v>
      </c>
      <c r="Q645">
        <v>0.15</v>
      </c>
      <c r="R645">
        <v>26324.02</v>
      </c>
      <c r="S645">
        <v>16277.96</v>
      </c>
      <c r="T645">
        <v>26324.024000000001</v>
      </c>
      <c r="U645">
        <v>10046.064</v>
      </c>
      <c r="V645">
        <v>0.38163101507581099</v>
      </c>
      <c r="W645">
        <v>8</v>
      </c>
      <c r="X645" t="s">
        <v>186</v>
      </c>
      <c r="Y645">
        <v>2024</v>
      </c>
      <c r="Z645" t="s">
        <v>269</v>
      </c>
      <c r="AA645" t="s">
        <v>204</v>
      </c>
      <c r="AB645" t="s">
        <v>131</v>
      </c>
      <c r="AC645" t="s">
        <v>131</v>
      </c>
      <c r="AD645" t="s">
        <v>131</v>
      </c>
      <c r="AE645" t="s">
        <v>131</v>
      </c>
      <c r="AF645" t="s">
        <v>131</v>
      </c>
      <c r="AG645" t="s">
        <v>131</v>
      </c>
      <c r="AH645" t="s">
        <v>131</v>
      </c>
      <c r="AI645" t="s">
        <v>133</v>
      </c>
      <c r="AJ645" t="s">
        <v>2521</v>
      </c>
      <c r="AK645" t="s">
        <v>2522</v>
      </c>
      <c r="AL645" t="s">
        <v>238</v>
      </c>
      <c r="AM645" t="s">
        <v>41</v>
      </c>
      <c r="AN645" t="s">
        <v>9</v>
      </c>
      <c r="AO645" t="s">
        <v>249</v>
      </c>
      <c r="AP645" t="s">
        <v>250</v>
      </c>
      <c r="AQ645" t="s">
        <v>20</v>
      </c>
      <c r="AR645" t="s">
        <v>30</v>
      </c>
      <c r="AS645" t="s">
        <v>35</v>
      </c>
      <c r="AT645">
        <v>0.15</v>
      </c>
      <c r="AU645" t="s">
        <v>269</v>
      </c>
      <c r="AV645" t="s">
        <v>204</v>
      </c>
    </row>
    <row r="646" spans="1:48" x14ac:dyDescent="0.3">
      <c r="A646" t="s">
        <v>2523</v>
      </c>
      <c r="B646" s="12">
        <v>45757</v>
      </c>
      <c r="C646" s="12">
        <v>45764</v>
      </c>
      <c r="D646" t="s">
        <v>2524</v>
      </c>
      <c r="E646" t="s">
        <v>170</v>
      </c>
      <c r="F646" t="s">
        <v>42</v>
      </c>
      <c r="G646" t="s">
        <v>8</v>
      </c>
      <c r="H646" t="s">
        <v>201</v>
      </c>
      <c r="I646" t="s">
        <v>202</v>
      </c>
      <c r="J646" t="s">
        <v>18</v>
      </c>
      <c r="K646" t="s">
        <v>19</v>
      </c>
      <c r="M646" t="s">
        <v>35</v>
      </c>
      <c r="N646">
        <v>4</v>
      </c>
      <c r="O646">
        <v>3750.02</v>
      </c>
      <c r="P646">
        <v>0.05</v>
      </c>
      <c r="Q646">
        <v>0.05</v>
      </c>
      <c r="R646">
        <v>14250.08</v>
      </c>
      <c r="S646">
        <v>10914.92</v>
      </c>
      <c r="T646">
        <v>14250.075999999999</v>
      </c>
      <c r="U646">
        <v>3335.1559999999999</v>
      </c>
      <c r="V646">
        <v>0.23404478684885599</v>
      </c>
      <c r="W646">
        <v>7</v>
      </c>
      <c r="X646" t="s">
        <v>179</v>
      </c>
      <c r="Y646">
        <v>2025</v>
      </c>
      <c r="Z646" t="s">
        <v>129</v>
      </c>
      <c r="AA646" t="s">
        <v>130</v>
      </c>
      <c r="AB646" t="s">
        <v>131</v>
      </c>
      <c r="AC646" t="s">
        <v>131</v>
      </c>
      <c r="AD646" t="s">
        <v>131</v>
      </c>
      <c r="AE646" t="s">
        <v>131</v>
      </c>
      <c r="AF646" t="s">
        <v>131</v>
      </c>
      <c r="AG646" t="s">
        <v>131</v>
      </c>
      <c r="AH646" t="s">
        <v>132</v>
      </c>
      <c r="AI646" t="s">
        <v>133</v>
      </c>
      <c r="AJ646" t="s">
        <v>2172</v>
      </c>
      <c r="AK646" t="s">
        <v>2525</v>
      </c>
      <c r="AL646" t="s">
        <v>170</v>
      </c>
      <c r="AM646" t="s">
        <v>42</v>
      </c>
      <c r="AN646" t="s">
        <v>8</v>
      </c>
      <c r="AO646" t="s">
        <v>201</v>
      </c>
      <c r="AP646" t="s">
        <v>202</v>
      </c>
      <c r="AQ646" t="s">
        <v>18</v>
      </c>
      <c r="AR646" t="s">
        <v>19</v>
      </c>
      <c r="AS646" t="s">
        <v>35</v>
      </c>
      <c r="AT646">
        <v>0.05</v>
      </c>
      <c r="AU646" t="s">
        <v>129</v>
      </c>
      <c r="AV646" t="s">
        <v>130</v>
      </c>
    </row>
    <row r="647" spans="1:48" x14ac:dyDescent="0.3">
      <c r="A647" t="s">
        <v>2526</v>
      </c>
      <c r="B647" s="12">
        <v>45295</v>
      </c>
      <c r="C647" s="12">
        <v>45300</v>
      </c>
      <c r="D647" t="s">
        <v>2527</v>
      </c>
      <c r="E647" t="s">
        <v>409</v>
      </c>
      <c r="F647" t="s">
        <v>42</v>
      </c>
      <c r="G647" t="s">
        <v>8</v>
      </c>
      <c r="H647" t="s">
        <v>259</v>
      </c>
      <c r="I647" t="s">
        <v>260</v>
      </c>
      <c r="J647" t="s">
        <v>18</v>
      </c>
      <c r="K647" t="s">
        <v>19</v>
      </c>
      <c r="M647" t="s">
        <v>37</v>
      </c>
      <c r="N647">
        <v>6</v>
      </c>
      <c r="O647">
        <v>2423.61</v>
      </c>
      <c r="P647">
        <v>0.1</v>
      </c>
      <c r="Q647">
        <v>0.1</v>
      </c>
      <c r="R647">
        <v>13087.49</v>
      </c>
      <c r="S647">
        <v>7608.89</v>
      </c>
      <c r="T647">
        <v>13087.494000000001</v>
      </c>
      <c r="U647">
        <v>5478.6040000000003</v>
      </c>
      <c r="V647">
        <v>0.41861367806548799</v>
      </c>
      <c r="W647">
        <v>5</v>
      </c>
      <c r="X647" t="s">
        <v>244</v>
      </c>
      <c r="Y647">
        <v>2024</v>
      </c>
      <c r="Z647" t="s">
        <v>129</v>
      </c>
      <c r="AA647" t="s">
        <v>130</v>
      </c>
      <c r="AB647" t="s">
        <v>131</v>
      </c>
      <c r="AC647" t="s">
        <v>131</v>
      </c>
      <c r="AD647" t="s">
        <v>131</v>
      </c>
      <c r="AE647" t="s">
        <v>131</v>
      </c>
      <c r="AF647" t="s">
        <v>131</v>
      </c>
      <c r="AG647" t="s">
        <v>131</v>
      </c>
      <c r="AH647" t="s">
        <v>132</v>
      </c>
      <c r="AI647" t="s">
        <v>133</v>
      </c>
      <c r="AJ647" t="s">
        <v>2528</v>
      </c>
      <c r="AK647" t="s">
        <v>2291</v>
      </c>
      <c r="AL647" t="s">
        <v>409</v>
      </c>
      <c r="AM647" t="s">
        <v>42</v>
      </c>
      <c r="AN647" t="s">
        <v>8</v>
      </c>
      <c r="AO647" t="s">
        <v>259</v>
      </c>
      <c r="AP647" t="s">
        <v>260</v>
      </c>
      <c r="AQ647" t="s">
        <v>18</v>
      </c>
      <c r="AR647" t="s">
        <v>19</v>
      </c>
      <c r="AS647" t="s">
        <v>37</v>
      </c>
      <c r="AT647">
        <v>0.1</v>
      </c>
      <c r="AU647" t="s">
        <v>129</v>
      </c>
      <c r="AV647" t="s">
        <v>130</v>
      </c>
    </row>
    <row r="648" spans="1:48" x14ac:dyDescent="0.3">
      <c r="A648" t="s">
        <v>2529</v>
      </c>
      <c r="B648" s="12">
        <v>45553</v>
      </c>
      <c r="C648" s="12">
        <v>45559</v>
      </c>
      <c r="D648" t="s">
        <v>2530</v>
      </c>
      <c r="E648" t="s">
        <v>170</v>
      </c>
      <c r="F648" t="s">
        <v>44</v>
      </c>
      <c r="G648" t="s">
        <v>8</v>
      </c>
      <c r="H648" t="s">
        <v>362</v>
      </c>
      <c r="I648" t="s">
        <v>363</v>
      </c>
      <c r="J648" t="s">
        <v>15</v>
      </c>
      <c r="K648" t="s">
        <v>25</v>
      </c>
      <c r="M648" t="s">
        <v>36</v>
      </c>
      <c r="N648">
        <v>3</v>
      </c>
      <c r="O648">
        <v>729.14</v>
      </c>
      <c r="P648">
        <v>0.25</v>
      </c>
      <c r="Q648">
        <v>0.25</v>
      </c>
      <c r="R648">
        <v>1640.57</v>
      </c>
      <c r="S648">
        <v>1136.98</v>
      </c>
      <c r="T648">
        <v>1640.5650000000001</v>
      </c>
      <c r="U648">
        <v>503.58499999999998</v>
      </c>
      <c r="V648">
        <v>0.30695827352162203</v>
      </c>
      <c r="W648">
        <v>6</v>
      </c>
      <c r="X648" t="s">
        <v>196</v>
      </c>
      <c r="Y648">
        <v>2024</v>
      </c>
      <c r="Z648" t="s">
        <v>129</v>
      </c>
      <c r="AA648" t="s">
        <v>130</v>
      </c>
      <c r="AB648" t="s">
        <v>131</v>
      </c>
      <c r="AC648" t="s">
        <v>131</v>
      </c>
      <c r="AD648" t="s">
        <v>131</v>
      </c>
      <c r="AE648" t="s">
        <v>131</v>
      </c>
      <c r="AF648" t="s">
        <v>131</v>
      </c>
      <c r="AG648" t="s">
        <v>131</v>
      </c>
      <c r="AH648" t="s">
        <v>132</v>
      </c>
      <c r="AI648" t="s">
        <v>133</v>
      </c>
      <c r="AJ648" t="s">
        <v>2531</v>
      </c>
      <c r="AK648" t="s">
        <v>2532</v>
      </c>
      <c r="AL648" t="s">
        <v>170</v>
      </c>
      <c r="AM648" t="s">
        <v>44</v>
      </c>
      <c r="AN648" t="s">
        <v>8</v>
      </c>
      <c r="AO648" t="s">
        <v>362</v>
      </c>
      <c r="AP648" t="s">
        <v>363</v>
      </c>
      <c r="AQ648" t="s">
        <v>15</v>
      </c>
      <c r="AR648" t="s">
        <v>25</v>
      </c>
      <c r="AS648" t="s">
        <v>36</v>
      </c>
      <c r="AT648">
        <v>0.25</v>
      </c>
      <c r="AU648" t="s">
        <v>129</v>
      </c>
      <c r="AV648" t="s">
        <v>130</v>
      </c>
    </row>
    <row r="649" spans="1:48" x14ac:dyDescent="0.3">
      <c r="A649" t="s">
        <v>2533</v>
      </c>
      <c r="B649" s="12">
        <v>45658</v>
      </c>
      <c r="C649" s="12">
        <v>45666</v>
      </c>
      <c r="D649" t="s">
        <v>2534</v>
      </c>
      <c r="E649" t="s">
        <v>255</v>
      </c>
      <c r="F649" t="s">
        <v>44</v>
      </c>
      <c r="G649" t="s">
        <v>9</v>
      </c>
      <c r="H649" t="s">
        <v>232</v>
      </c>
      <c r="I649" t="s">
        <v>233</v>
      </c>
      <c r="J649" t="s">
        <v>20</v>
      </c>
      <c r="K649" t="s">
        <v>29</v>
      </c>
      <c r="M649" t="s">
        <v>36</v>
      </c>
      <c r="N649">
        <v>8</v>
      </c>
      <c r="O649">
        <v>2123.81</v>
      </c>
      <c r="P649">
        <v>0.15</v>
      </c>
      <c r="Q649">
        <v>0.15</v>
      </c>
      <c r="R649">
        <v>14441.91</v>
      </c>
      <c r="S649">
        <v>10872.89</v>
      </c>
      <c r="T649">
        <v>14441.907999999999</v>
      </c>
      <c r="U649">
        <v>3569.018</v>
      </c>
      <c r="V649">
        <v>0.24712925743606701</v>
      </c>
      <c r="W649">
        <v>8</v>
      </c>
      <c r="X649" t="s">
        <v>244</v>
      </c>
      <c r="Y649">
        <v>2025</v>
      </c>
      <c r="Z649" t="s">
        <v>129</v>
      </c>
      <c r="AA649" t="s">
        <v>130</v>
      </c>
      <c r="AB649" t="s">
        <v>131</v>
      </c>
      <c r="AC649" t="s">
        <v>131</v>
      </c>
      <c r="AD649" t="s">
        <v>131</v>
      </c>
      <c r="AE649" t="s">
        <v>131</v>
      </c>
      <c r="AF649" t="s">
        <v>131</v>
      </c>
      <c r="AG649" t="s">
        <v>131</v>
      </c>
      <c r="AH649" t="s">
        <v>132</v>
      </c>
      <c r="AI649" t="s">
        <v>133</v>
      </c>
      <c r="AJ649" t="s">
        <v>1183</v>
      </c>
      <c r="AK649" t="s">
        <v>2535</v>
      </c>
      <c r="AL649" t="s">
        <v>2536</v>
      </c>
      <c r="AM649" t="s">
        <v>44</v>
      </c>
      <c r="AN649" t="s">
        <v>9</v>
      </c>
      <c r="AO649" t="s">
        <v>232</v>
      </c>
      <c r="AP649" t="s">
        <v>233</v>
      </c>
      <c r="AQ649" t="s">
        <v>20</v>
      </c>
      <c r="AR649" t="s">
        <v>29</v>
      </c>
      <c r="AS649" t="s">
        <v>36</v>
      </c>
      <c r="AT649">
        <v>0.15</v>
      </c>
      <c r="AU649" t="s">
        <v>129</v>
      </c>
      <c r="AV649" t="s">
        <v>130</v>
      </c>
    </row>
    <row r="650" spans="1:48" x14ac:dyDescent="0.3">
      <c r="A650" t="s">
        <v>2537</v>
      </c>
      <c r="B650" s="12">
        <v>45403</v>
      </c>
      <c r="C650" s="12">
        <v>45406</v>
      </c>
      <c r="D650" t="s">
        <v>2538</v>
      </c>
      <c r="E650" t="s">
        <v>178</v>
      </c>
      <c r="F650" t="s">
        <v>44</v>
      </c>
      <c r="G650" t="s">
        <v>6</v>
      </c>
      <c r="H650" t="s">
        <v>184</v>
      </c>
      <c r="I650" t="s">
        <v>185</v>
      </c>
      <c r="J650" t="s">
        <v>20</v>
      </c>
      <c r="K650" t="s">
        <v>29</v>
      </c>
      <c r="M650" t="s">
        <v>38</v>
      </c>
      <c r="N650">
        <v>9</v>
      </c>
      <c r="O650">
        <v>703.59</v>
      </c>
      <c r="P650">
        <v>0.2</v>
      </c>
      <c r="Q650">
        <v>0.2</v>
      </c>
      <c r="R650">
        <v>5065.8500000000004</v>
      </c>
      <c r="S650">
        <v>3517.23</v>
      </c>
      <c r="T650">
        <v>5065.848</v>
      </c>
      <c r="U650">
        <v>1548.6179999999999</v>
      </c>
      <c r="V650">
        <v>0.30569768378364298</v>
      </c>
      <c r="W650">
        <v>3</v>
      </c>
      <c r="X650" t="s">
        <v>179</v>
      </c>
      <c r="Y650">
        <v>2024</v>
      </c>
      <c r="Z650" t="s">
        <v>269</v>
      </c>
      <c r="AA650" t="s">
        <v>204</v>
      </c>
      <c r="AB650" t="s">
        <v>131</v>
      </c>
      <c r="AC650" t="s">
        <v>131</v>
      </c>
      <c r="AD650" t="s">
        <v>131</v>
      </c>
      <c r="AE650" t="s">
        <v>131</v>
      </c>
      <c r="AF650" t="s">
        <v>131</v>
      </c>
      <c r="AG650" t="s">
        <v>131</v>
      </c>
      <c r="AH650" t="s">
        <v>131</v>
      </c>
      <c r="AI650" t="s">
        <v>133</v>
      </c>
      <c r="AJ650" t="s">
        <v>2539</v>
      </c>
      <c r="AK650" t="s">
        <v>404</v>
      </c>
      <c r="AL650" t="s">
        <v>178</v>
      </c>
      <c r="AM650" t="s">
        <v>44</v>
      </c>
      <c r="AN650" t="s">
        <v>6</v>
      </c>
      <c r="AO650" t="s">
        <v>184</v>
      </c>
      <c r="AP650" t="s">
        <v>185</v>
      </c>
      <c r="AQ650" t="s">
        <v>20</v>
      </c>
      <c r="AR650" t="s">
        <v>29</v>
      </c>
      <c r="AS650" t="s">
        <v>38</v>
      </c>
      <c r="AT650">
        <v>0.2</v>
      </c>
      <c r="AU650" t="s">
        <v>269</v>
      </c>
      <c r="AV650" t="s">
        <v>204</v>
      </c>
    </row>
    <row r="651" spans="1:48" x14ac:dyDescent="0.3">
      <c r="A651" t="s">
        <v>2540</v>
      </c>
      <c r="B651" s="12">
        <v>45880</v>
      </c>
      <c r="C651" s="12">
        <v>45888</v>
      </c>
      <c r="D651" t="s">
        <v>2541</v>
      </c>
      <c r="E651" t="s">
        <v>409</v>
      </c>
      <c r="F651" t="s">
        <v>44</v>
      </c>
      <c r="G651" t="s">
        <v>6</v>
      </c>
      <c r="H651" t="s">
        <v>305</v>
      </c>
      <c r="I651" t="s">
        <v>306</v>
      </c>
      <c r="J651" t="s">
        <v>15</v>
      </c>
      <c r="K651" t="s">
        <v>22</v>
      </c>
      <c r="M651" t="s">
        <v>35</v>
      </c>
      <c r="N651">
        <v>4</v>
      </c>
      <c r="O651">
        <v>2258.96</v>
      </c>
      <c r="P651">
        <v>0.25</v>
      </c>
      <c r="Q651">
        <v>0.25</v>
      </c>
      <c r="R651">
        <v>6776.88</v>
      </c>
      <c r="S651">
        <v>3836.24</v>
      </c>
      <c r="T651">
        <v>6776.88</v>
      </c>
      <c r="U651">
        <v>2940.64</v>
      </c>
      <c r="V651">
        <v>0.43392239496641499</v>
      </c>
      <c r="W651">
        <v>8</v>
      </c>
      <c r="X651" t="s">
        <v>142</v>
      </c>
      <c r="Y651">
        <v>2025</v>
      </c>
      <c r="Z651" t="s">
        <v>129</v>
      </c>
      <c r="AA651" t="s">
        <v>130</v>
      </c>
      <c r="AB651" t="s">
        <v>131</v>
      </c>
      <c r="AC651" t="s">
        <v>131</v>
      </c>
      <c r="AD651" t="s">
        <v>131</v>
      </c>
      <c r="AE651" t="s">
        <v>131</v>
      </c>
      <c r="AF651" t="s">
        <v>131</v>
      </c>
      <c r="AG651" t="s">
        <v>131</v>
      </c>
      <c r="AH651" t="s">
        <v>132</v>
      </c>
      <c r="AI651" t="s">
        <v>133</v>
      </c>
      <c r="AJ651" t="s">
        <v>2542</v>
      </c>
      <c r="AK651" t="s">
        <v>2543</v>
      </c>
      <c r="AL651" t="s">
        <v>409</v>
      </c>
      <c r="AM651" t="s">
        <v>44</v>
      </c>
      <c r="AN651" t="s">
        <v>6</v>
      </c>
      <c r="AO651" t="s">
        <v>305</v>
      </c>
      <c r="AP651" t="s">
        <v>306</v>
      </c>
      <c r="AQ651" t="s">
        <v>15</v>
      </c>
      <c r="AR651" t="s">
        <v>22</v>
      </c>
      <c r="AS651" t="s">
        <v>35</v>
      </c>
      <c r="AT651">
        <v>0.25</v>
      </c>
      <c r="AU651" t="s">
        <v>129</v>
      </c>
      <c r="AV651" t="s">
        <v>130</v>
      </c>
    </row>
    <row r="652" spans="1:48" x14ac:dyDescent="0.3">
      <c r="A652" t="s">
        <v>2544</v>
      </c>
      <c r="B652" s="12">
        <v>45395</v>
      </c>
      <c r="C652" s="12">
        <v>45403</v>
      </c>
      <c r="D652" t="s">
        <v>557</v>
      </c>
      <c r="E652" t="s">
        <v>238</v>
      </c>
      <c r="F652" t="s">
        <v>41</v>
      </c>
      <c r="G652" t="s">
        <v>8</v>
      </c>
      <c r="H652" t="s">
        <v>259</v>
      </c>
      <c r="I652" t="s">
        <v>260</v>
      </c>
      <c r="J652" t="s">
        <v>15</v>
      </c>
      <c r="K652" t="s">
        <v>22</v>
      </c>
      <c r="M652" t="s">
        <v>38</v>
      </c>
      <c r="N652">
        <v>7</v>
      </c>
      <c r="O652">
        <v>2648.76</v>
      </c>
      <c r="P652">
        <v>0.15</v>
      </c>
      <c r="Q652">
        <v>0.15</v>
      </c>
      <c r="R652">
        <v>15760.12</v>
      </c>
      <c r="S652">
        <v>9931.5300000000007</v>
      </c>
      <c r="T652">
        <v>15760.121999999999</v>
      </c>
      <c r="U652">
        <v>5828.5919999999996</v>
      </c>
      <c r="V652">
        <v>0.36983165485647901</v>
      </c>
      <c r="W652">
        <v>8</v>
      </c>
      <c r="X652" t="s">
        <v>179</v>
      </c>
      <c r="Y652">
        <v>2024</v>
      </c>
      <c r="Z652" t="s">
        <v>269</v>
      </c>
      <c r="AA652" t="s">
        <v>204</v>
      </c>
      <c r="AB652" t="s">
        <v>131</v>
      </c>
      <c r="AC652" t="s">
        <v>131</v>
      </c>
      <c r="AD652" t="s">
        <v>131</v>
      </c>
      <c r="AE652" t="s">
        <v>131</v>
      </c>
      <c r="AF652" t="s">
        <v>131</v>
      </c>
      <c r="AG652" t="s">
        <v>131</v>
      </c>
      <c r="AH652" t="s">
        <v>131</v>
      </c>
      <c r="AI652" t="s">
        <v>133</v>
      </c>
      <c r="AJ652" t="s">
        <v>2545</v>
      </c>
      <c r="AK652" t="s">
        <v>2546</v>
      </c>
      <c r="AL652" t="s">
        <v>238</v>
      </c>
      <c r="AM652" t="s">
        <v>41</v>
      </c>
      <c r="AN652" t="s">
        <v>8</v>
      </c>
      <c r="AO652" t="s">
        <v>259</v>
      </c>
      <c r="AP652" t="s">
        <v>260</v>
      </c>
      <c r="AQ652" t="s">
        <v>15</v>
      </c>
      <c r="AR652" t="s">
        <v>22</v>
      </c>
      <c r="AS652" t="s">
        <v>38</v>
      </c>
      <c r="AT652">
        <v>0.15</v>
      </c>
      <c r="AU652" t="s">
        <v>269</v>
      </c>
      <c r="AV652" t="s">
        <v>204</v>
      </c>
    </row>
    <row r="653" spans="1:48" x14ac:dyDescent="0.3">
      <c r="A653" t="s">
        <v>2547</v>
      </c>
      <c r="B653" s="12">
        <v>45875</v>
      </c>
      <c r="C653" s="12">
        <v>45878</v>
      </c>
      <c r="D653" t="s">
        <v>2548</v>
      </c>
      <c r="E653" t="s">
        <v>139</v>
      </c>
      <c r="F653" t="s">
        <v>44</v>
      </c>
      <c r="G653" t="s">
        <v>6</v>
      </c>
      <c r="H653" t="s">
        <v>184</v>
      </c>
      <c r="I653" t="s">
        <v>185</v>
      </c>
      <c r="J653" t="s">
        <v>20</v>
      </c>
      <c r="K653" t="s">
        <v>24</v>
      </c>
      <c r="M653" t="s">
        <v>37</v>
      </c>
      <c r="N653">
        <v>3</v>
      </c>
      <c r="O653">
        <v>598.54999999999995</v>
      </c>
      <c r="P653">
        <v>0</v>
      </c>
      <c r="Q653">
        <v>0</v>
      </c>
      <c r="R653">
        <v>1795.65</v>
      </c>
      <c r="S653">
        <v>996.72</v>
      </c>
      <c r="T653">
        <v>1795.65</v>
      </c>
      <c r="U653">
        <v>798.93</v>
      </c>
      <c r="V653">
        <v>0.44492523598696798</v>
      </c>
      <c r="W653">
        <v>3</v>
      </c>
      <c r="X653" t="s">
        <v>142</v>
      </c>
      <c r="Y653">
        <v>2025</v>
      </c>
      <c r="Z653" t="s">
        <v>129</v>
      </c>
      <c r="AA653" t="s">
        <v>130</v>
      </c>
      <c r="AB653" t="s">
        <v>131</v>
      </c>
      <c r="AC653" t="s">
        <v>131</v>
      </c>
      <c r="AD653" t="s">
        <v>131</v>
      </c>
      <c r="AE653" t="s">
        <v>131</v>
      </c>
      <c r="AF653" t="s">
        <v>131</v>
      </c>
      <c r="AG653" t="s">
        <v>131</v>
      </c>
      <c r="AH653" t="s">
        <v>132</v>
      </c>
      <c r="AI653" t="s">
        <v>133</v>
      </c>
      <c r="AJ653" t="s">
        <v>1216</v>
      </c>
      <c r="AK653" t="s">
        <v>2549</v>
      </c>
      <c r="AL653" t="s">
        <v>139</v>
      </c>
      <c r="AM653" t="s">
        <v>44</v>
      </c>
      <c r="AN653" t="s">
        <v>6</v>
      </c>
      <c r="AO653" t="s">
        <v>184</v>
      </c>
      <c r="AP653" t="s">
        <v>185</v>
      </c>
      <c r="AQ653" t="s">
        <v>20</v>
      </c>
      <c r="AR653" t="s">
        <v>24</v>
      </c>
      <c r="AS653" t="s">
        <v>37</v>
      </c>
      <c r="AT653">
        <v>0</v>
      </c>
      <c r="AU653" t="s">
        <v>129</v>
      </c>
      <c r="AV653" t="s">
        <v>130</v>
      </c>
    </row>
    <row r="654" spans="1:48" x14ac:dyDescent="0.3">
      <c r="A654" t="s">
        <v>2550</v>
      </c>
      <c r="B654" s="12">
        <v>45733</v>
      </c>
      <c r="C654" s="12">
        <v>45737</v>
      </c>
      <c r="D654" t="s">
        <v>2151</v>
      </c>
      <c r="E654" t="s">
        <v>243</v>
      </c>
      <c r="F654" t="s">
        <v>42</v>
      </c>
      <c r="G654" t="s">
        <v>9</v>
      </c>
      <c r="H654" t="s">
        <v>249</v>
      </c>
      <c r="I654" t="s">
        <v>250</v>
      </c>
      <c r="J654" t="s">
        <v>20</v>
      </c>
      <c r="K654" t="s">
        <v>28</v>
      </c>
      <c r="M654" t="s">
        <v>35</v>
      </c>
      <c r="N654">
        <v>5</v>
      </c>
      <c r="O654">
        <v>4320.59</v>
      </c>
      <c r="P654">
        <v>0.15</v>
      </c>
      <c r="Q654">
        <v>0.15</v>
      </c>
      <c r="R654">
        <v>18362.509999999998</v>
      </c>
      <c r="S654">
        <v>11133.97</v>
      </c>
      <c r="T654">
        <v>18362.5075</v>
      </c>
      <c r="U654">
        <v>7228.5375000000004</v>
      </c>
      <c r="V654">
        <v>0.39365742941153298</v>
      </c>
      <c r="W654">
        <v>4</v>
      </c>
      <c r="X654" t="s">
        <v>278</v>
      </c>
      <c r="Y654">
        <v>2025</v>
      </c>
      <c r="Z654" t="s">
        <v>129</v>
      </c>
      <c r="AA654" t="s">
        <v>130</v>
      </c>
      <c r="AB654" t="s">
        <v>131</v>
      </c>
      <c r="AC654" t="s">
        <v>131</v>
      </c>
      <c r="AD654" t="s">
        <v>131</v>
      </c>
      <c r="AE654" t="s">
        <v>131</v>
      </c>
      <c r="AF654" t="s">
        <v>131</v>
      </c>
      <c r="AG654" t="s">
        <v>131</v>
      </c>
      <c r="AH654" t="s">
        <v>132</v>
      </c>
      <c r="AI654" t="s">
        <v>133</v>
      </c>
      <c r="AJ654" t="s">
        <v>2551</v>
      </c>
      <c r="AK654" t="s">
        <v>2552</v>
      </c>
      <c r="AL654" t="s">
        <v>243</v>
      </c>
      <c r="AM654" t="s">
        <v>42</v>
      </c>
      <c r="AN654" t="s">
        <v>9</v>
      </c>
      <c r="AO654" t="s">
        <v>249</v>
      </c>
      <c r="AP654" t="s">
        <v>250</v>
      </c>
      <c r="AQ654" t="s">
        <v>20</v>
      </c>
      <c r="AR654" t="s">
        <v>28</v>
      </c>
      <c r="AS654" t="s">
        <v>35</v>
      </c>
      <c r="AT654">
        <v>0.15</v>
      </c>
      <c r="AU654" t="s">
        <v>129</v>
      </c>
      <c r="AV654" t="s">
        <v>130</v>
      </c>
    </row>
    <row r="655" spans="1:48" x14ac:dyDescent="0.3">
      <c r="A655" t="s">
        <v>2553</v>
      </c>
      <c r="B655" s="12">
        <v>45751</v>
      </c>
      <c r="C655" s="12">
        <v>45754</v>
      </c>
      <c r="D655" t="s">
        <v>2554</v>
      </c>
      <c r="E655" t="s">
        <v>221</v>
      </c>
      <c r="F655" t="s">
        <v>44</v>
      </c>
      <c r="G655" t="s">
        <v>6</v>
      </c>
      <c r="H655" t="s">
        <v>385</v>
      </c>
      <c r="I655" t="s">
        <v>386</v>
      </c>
      <c r="J655" t="s">
        <v>15</v>
      </c>
      <c r="K655" t="s">
        <v>16</v>
      </c>
      <c r="M655" t="s">
        <v>37</v>
      </c>
      <c r="N655">
        <v>7</v>
      </c>
      <c r="O655">
        <v>4457.93</v>
      </c>
      <c r="P655">
        <v>0.15</v>
      </c>
      <c r="Q655">
        <v>0.15</v>
      </c>
      <c r="R655">
        <v>26524.68</v>
      </c>
      <c r="S655">
        <v>20574.3</v>
      </c>
      <c r="T655">
        <v>26524.683499999999</v>
      </c>
      <c r="U655">
        <v>5950.3834999999999</v>
      </c>
      <c r="V655">
        <v>0.224333817215953</v>
      </c>
      <c r="W655">
        <v>3</v>
      </c>
      <c r="X655" t="s">
        <v>179</v>
      </c>
      <c r="Y655">
        <v>2025</v>
      </c>
      <c r="Z655" t="s">
        <v>129</v>
      </c>
      <c r="AA655" t="s">
        <v>130</v>
      </c>
      <c r="AB655" t="s">
        <v>131</v>
      </c>
      <c r="AC655" t="s">
        <v>131</v>
      </c>
      <c r="AD655" t="s">
        <v>131</v>
      </c>
      <c r="AE655" t="s">
        <v>131</v>
      </c>
      <c r="AF655" t="s">
        <v>131</v>
      </c>
      <c r="AG655" t="s">
        <v>131</v>
      </c>
      <c r="AH655" t="s">
        <v>132</v>
      </c>
      <c r="AI655" t="s">
        <v>133</v>
      </c>
      <c r="AJ655" t="s">
        <v>2555</v>
      </c>
      <c r="AK655" t="s">
        <v>2556</v>
      </c>
      <c r="AL655" t="s">
        <v>221</v>
      </c>
      <c r="AM655" t="s">
        <v>44</v>
      </c>
      <c r="AN655" t="s">
        <v>6</v>
      </c>
      <c r="AO655" t="s">
        <v>385</v>
      </c>
      <c r="AP655" t="s">
        <v>386</v>
      </c>
      <c r="AQ655" t="s">
        <v>15</v>
      </c>
      <c r="AR655" t="s">
        <v>16</v>
      </c>
      <c r="AS655" t="s">
        <v>37</v>
      </c>
      <c r="AT655">
        <v>0.15</v>
      </c>
      <c r="AU655" t="s">
        <v>129</v>
      </c>
      <c r="AV655" t="s">
        <v>130</v>
      </c>
    </row>
    <row r="656" spans="1:48" x14ac:dyDescent="0.3">
      <c r="A656" t="s">
        <v>2557</v>
      </c>
      <c r="B656" s="12">
        <v>45942</v>
      </c>
      <c r="C656" s="12">
        <v>45946</v>
      </c>
      <c r="D656" t="s">
        <v>1249</v>
      </c>
      <c r="E656" t="s">
        <v>277</v>
      </c>
      <c r="F656" t="s">
        <v>43</v>
      </c>
      <c r="G656" t="s">
        <v>8</v>
      </c>
      <c r="H656" t="s">
        <v>259</v>
      </c>
      <c r="I656" t="s">
        <v>260</v>
      </c>
      <c r="J656" t="s">
        <v>15</v>
      </c>
      <c r="K656" t="s">
        <v>25</v>
      </c>
      <c r="M656" t="s">
        <v>38</v>
      </c>
      <c r="N656">
        <v>1</v>
      </c>
      <c r="O656">
        <v>2570.06</v>
      </c>
      <c r="P656">
        <v>0.2</v>
      </c>
      <c r="Q656">
        <v>0.2</v>
      </c>
      <c r="R656">
        <v>2056.0500000000002</v>
      </c>
      <c r="S656">
        <v>1662.39</v>
      </c>
      <c r="T656">
        <v>2056.0479999999998</v>
      </c>
      <c r="U656">
        <v>393.65800000000002</v>
      </c>
      <c r="V656">
        <v>0.19146342886936499</v>
      </c>
      <c r="W656">
        <v>4</v>
      </c>
      <c r="X656" t="s">
        <v>222</v>
      </c>
      <c r="Y656">
        <v>2025</v>
      </c>
      <c r="Z656" t="s">
        <v>129</v>
      </c>
      <c r="AA656" t="s">
        <v>130</v>
      </c>
      <c r="AB656" t="s">
        <v>131</v>
      </c>
      <c r="AC656" t="s">
        <v>131</v>
      </c>
      <c r="AD656" t="s">
        <v>131</v>
      </c>
      <c r="AE656" t="s">
        <v>131</v>
      </c>
      <c r="AF656" t="s">
        <v>131</v>
      </c>
      <c r="AG656" t="s">
        <v>131</v>
      </c>
      <c r="AH656" t="s">
        <v>132</v>
      </c>
      <c r="AI656" t="s">
        <v>133</v>
      </c>
      <c r="AJ656" t="s">
        <v>2558</v>
      </c>
      <c r="AK656" t="s">
        <v>224</v>
      </c>
      <c r="AL656" t="s">
        <v>277</v>
      </c>
      <c r="AM656" t="s">
        <v>43</v>
      </c>
      <c r="AN656" t="s">
        <v>8</v>
      </c>
      <c r="AO656" t="s">
        <v>259</v>
      </c>
      <c r="AP656" t="s">
        <v>260</v>
      </c>
      <c r="AQ656" t="s">
        <v>15</v>
      </c>
      <c r="AR656" t="s">
        <v>25</v>
      </c>
      <c r="AS656" t="s">
        <v>38</v>
      </c>
      <c r="AT656">
        <v>0.2</v>
      </c>
      <c r="AU656" t="s">
        <v>129</v>
      </c>
      <c r="AV656" t="s">
        <v>130</v>
      </c>
    </row>
    <row r="657" spans="1:48" x14ac:dyDescent="0.3">
      <c r="A657" t="s">
        <v>2559</v>
      </c>
      <c r="B657" s="12">
        <v>45895</v>
      </c>
      <c r="C657" s="12">
        <v>45895</v>
      </c>
      <c r="D657" t="s">
        <v>2560</v>
      </c>
      <c r="E657" t="s">
        <v>178</v>
      </c>
      <c r="F657" t="s">
        <v>41</v>
      </c>
      <c r="G657" t="s">
        <v>8</v>
      </c>
      <c r="H657" t="s">
        <v>201</v>
      </c>
      <c r="I657" t="s">
        <v>202</v>
      </c>
      <c r="J657" t="s">
        <v>18</v>
      </c>
      <c r="K657" t="s">
        <v>23</v>
      </c>
      <c r="M657" t="s">
        <v>35</v>
      </c>
      <c r="N657">
        <v>4</v>
      </c>
      <c r="O657">
        <v>2151.8200000000002</v>
      </c>
      <c r="P657">
        <v>0</v>
      </c>
      <c r="Q657">
        <v>0</v>
      </c>
      <c r="R657">
        <v>8607.2800000000007</v>
      </c>
      <c r="S657">
        <v>5124.01</v>
      </c>
      <c r="T657">
        <v>8607.2800000000007</v>
      </c>
      <c r="U657">
        <v>3483.27</v>
      </c>
      <c r="V657">
        <v>0.40468882155570601</v>
      </c>
      <c r="W657">
        <v>0</v>
      </c>
      <c r="X657" t="s">
        <v>142</v>
      </c>
      <c r="Y657">
        <v>2025</v>
      </c>
      <c r="Z657" t="s">
        <v>129</v>
      </c>
      <c r="AA657" t="s">
        <v>130</v>
      </c>
      <c r="AB657" t="s">
        <v>131</v>
      </c>
      <c r="AC657" t="s">
        <v>131</v>
      </c>
      <c r="AD657" t="s">
        <v>131</v>
      </c>
      <c r="AE657" t="s">
        <v>131</v>
      </c>
      <c r="AF657" t="s">
        <v>131</v>
      </c>
      <c r="AG657" t="s">
        <v>131</v>
      </c>
      <c r="AH657" t="s">
        <v>132</v>
      </c>
      <c r="AI657" t="s">
        <v>133</v>
      </c>
      <c r="AJ657" t="s">
        <v>681</v>
      </c>
      <c r="AK657" t="s">
        <v>681</v>
      </c>
      <c r="AL657" t="s">
        <v>178</v>
      </c>
      <c r="AM657" t="s">
        <v>41</v>
      </c>
      <c r="AN657" t="s">
        <v>8</v>
      </c>
      <c r="AO657" t="s">
        <v>201</v>
      </c>
      <c r="AP657" t="s">
        <v>202</v>
      </c>
      <c r="AQ657" t="s">
        <v>18</v>
      </c>
      <c r="AR657" t="s">
        <v>23</v>
      </c>
      <c r="AS657" t="s">
        <v>35</v>
      </c>
      <c r="AT657">
        <v>0</v>
      </c>
      <c r="AU657" t="s">
        <v>129</v>
      </c>
      <c r="AV657" t="s">
        <v>130</v>
      </c>
    </row>
    <row r="658" spans="1:48" x14ac:dyDescent="0.3">
      <c r="A658" t="s">
        <v>2561</v>
      </c>
      <c r="B658" s="12">
        <v>45419</v>
      </c>
      <c r="C658" s="12">
        <v>45426</v>
      </c>
      <c r="D658" t="s">
        <v>2562</v>
      </c>
      <c r="E658" t="s">
        <v>178</v>
      </c>
      <c r="F658" t="s">
        <v>44</v>
      </c>
      <c r="G658" t="s">
        <v>9</v>
      </c>
      <c r="H658" t="s">
        <v>372</v>
      </c>
      <c r="I658" t="s">
        <v>373</v>
      </c>
      <c r="J658" t="s">
        <v>15</v>
      </c>
      <c r="K658" t="s">
        <v>25</v>
      </c>
      <c r="M658" t="s">
        <v>38</v>
      </c>
      <c r="N658">
        <v>4</v>
      </c>
      <c r="O658">
        <v>2751.1</v>
      </c>
      <c r="P658">
        <v>-0.05</v>
      </c>
      <c r="Q658">
        <v>0</v>
      </c>
      <c r="R658">
        <v>9903.9599999999991</v>
      </c>
      <c r="S658">
        <v>7696.28</v>
      </c>
      <c r="T658">
        <v>11004.4</v>
      </c>
      <c r="U658">
        <v>3308.12</v>
      </c>
      <c r="V658">
        <v>0.30061793464432401</v>
      </c>
      <c r="W658">
        <v>7</v>
      </c>
      <c r="X658" t="s">
        <v>173</v>
      </c>
      <c r="Y658">
        <v>2024</v>
      </c>
      <c r="Z658" t="s">
        <v>129</v>
      </c>
      <c r="AA658" t="s">
        <v>130</v>
      </c>
      <c r="AB658" t="s">
        <v>131</v>
      </c>
      <c r="AC658" t="s">
        <v>131</v>
      </c>
      <c r="AD658" t="s">
        <v>131</v>
      </c>
      <c r="AE658" t="s">
        <v>131</v>
      </c>
      <c r="AF658" t="s">
        <v>132</v>
      </c>
      <c r="AG658" t="s">
        <v>131</v>
      </c>
      <c r="AH658" t="s">
        <v>132</v>
      </c>
      <c r="AI658" t="s">
        <v>149</v>
      </c>
      <c r="AJ658" t="s">
        <v>2563</v>
      </c>
      <c r="AK658" t="s">
        <v>1967</v>
      </c>
      <c r="AL658" t="s">
        <v>178</v>
      </c>
      <c r="AM658" t="s">
        <v>44</v>
      </c>
      <c r="AN658" t="s">
        <v>9</v>
      </c>
      <c r="AO658" t="s">
        <v>372</v>
      </c>
      <c r="AP658" t="s">
        <v>373</v>
      </c>
      <c r="AQ658" t="s">
        <v>15</v>
      </c>
      <c r="AR658" t="s">
        <v>25</v>
      </c>
      <c r="AS658" t="s">
        <v>38</v>
      </c>
      <c r="AT658">
        <v>-0.05</v>
      </c>
      <c r="AU658" t="s">
        <v>129</v>
      </c>
      <c r="AV658" t="s">
        <v>130</v>
      </c>
    </row>
    <row r="659" spans="1:48" x14ac:dyDescent="0.3">
      <c r="A659" t="s">
        <v>2564</v>
      </c>
      <c r="B659" s="12">
        <v>45876</v>
      </c>
      <c r="C659" s="12">
        <v>45879</v>
      </c>
      <c r="D659" t="s">
        <v>2565</v>
      </c>
      <c r="E659" t="s">
        <v>191</v>
      </c>
      <c r="F659" t="s">
        <v>41</v>
      </c>
      <c r="G659" t="s">
        <v>8</v>
      </c>
      <c r="H659" t="s">
        <v>259</v>
      </c>
      <c r="I659" t="s">
        <v>260</v>
      </c>
      <c r="J659" t="s">
        <v>20</v>
      </c>
      <c r="K659" t="s">
        <v>21</v>
      </c>
      <c r="M659" t="s">
        <v>37</v>
      </c>
      <c r="N659">
        <v>1</v>
      </c>
      <c r="O659">
        <v>2541.25</v>
      </c>
      <c r="P659">
        <v>0.2</v>
      </c>
      <c r="Q659">
        <v>0.2</v>
      </c>
      <c r="R659">
        <v>2033</v>
      </c>
      <c r="S659">
        <v>1291.4100000000001</v>
      </c>
      <c r="T659">
        <v>2033</v>
      </c>
      <c r="U659">
        <v>741.59</v>
      </c>
      <c r="V659">
        <v>0.36477619281849499</v>
      </c>
      <c r="W659">
        <v>3</v>
      </c>
      <c r="X659" t="s">
        <v>142</v>
      </c>
      <c r="Y659">
        <v>2025</v>
      </c>
      <c r="Z659" t="s">
        <v>129</v>
      </c>
      <c r="AA659" t="s">
        <v>130</v>
      </c>
      <c r="AB659" t="s">
        <v>131</v>
      </c>
      <c r="AC659" t="s">
        <v>131</v>
      </c>
      <c r="AD659" t="s">
        <v>131</v>
      </c>
      <c r="AE659" t="s">
        <v>131</v>
      </c>
      <c r="AF659" t="s">
        <v>131</v>
      </c>
      <c r="AG659" t="s">
        <v>131</v>
      </c>
      <c r="AH659" t="s">
        <v>132</v>
      </c>
      <c r="AI659" t="s">
        <v>133</v>
      </c>
      <c r="AJ659" t="s">
        <v>2566</v>
      </c>
      <c r="AK659" t="s">
        <v>2567</v>
      </c>
      <c r="AL659" t="s">
        <v>191</v>
      </c>
      <c r="AM659" t="s">
        <v>41</v>
      </c>
      <c r="AN659" t="s">
        <v>8</v>
      </c>
      <c r="AO659" t="s">
        <v>259</v>
      </c>
      <c r="AP659" t="s">
        <v>260</v>
      </c>
      <c r="AQ659" t="s">
        <v>20</v>
      </c>
      <c r="AR659" t="s">
        <v>21</v>
      </c>
      <c r="AS659" t="s">
        <v>37</v>
      </c>
      <c r="AT659">
        <v>0.2</v>
      </c>
      <c r="AU659" t="s">
        <v>129</v>
      </c>
      <c r="AV659" t="s">
        <v>130</v>
      </c>
    </row>
    <row r="660" spans="1:48" x14ac:dyDescent="0.3">
      <c r="A660" t="s">
        <v>2568</v>
      </c>
      <c r="B660" s="12">
        <v>45817</v>
      </c>
      <c r="C660" s="12">
        <v>45820</v>
      </c>
      <c r="D660" t="s">
        <v>2569</v>
      </c>
      <c r="E660" t="s">
        <v>243</v>
      </c>
      <c r="F660" t="s">
        <v>42</v>
      </c>
      <c r="G660" t="s">
        <v>10</v>
      </c>
      <c r="H660" t="s">
        <v>259</v>
      </c>
      <c r="I660" t="s">
        <v>260</v>
      </c>
      <c r="J660" t="s">
        <v>20</v>
      </c>
      <c r="K660" t="s">
        <v>29</v>
      </c>
      <c r="M660" t="s">
        <v>36</v>
      </c>
      <c r="N660">
        <v>7</v>
      </c>
      <c r="O660">
        <v>2852.42</v>
      </c>
      <c r="P660">
        <v>0</v>
      </c>
      <c r="Q660">
        <v>0</v>
      </c>
      <c r="R660">
        <v>19966.939999999999</v>
      </c>
      <c r="S660">
        <v>12690.83</v>
      </c>
      <c r="T660">
        <v>19966.939999999999</v>
      </c>
      <c r="U660">
        <v>7276.11</v>
      </c>
      <c r="V660">
        <v>0.364407866202833</v>
      </c>
      <c r="W660">
        <v>3</v>
      </c>
      <c r="X660" t="s">
        <v>148</v>
      </c>
      <c r="Y660">
        <v>2025</v>
      </c>
      <c r="Z660" t="s">
        <v>203</v>
      </c>
      <c r="AA660" t="s">
        <v>165</v>
      </c>
      <c r="AB660" t="s">
        <v>132</v>
      </c>
      <c r="AC660" t="s">
        <v>131</v>
      </c>
      <c r="AD660" t="s">
        <v>131</v>
      </c>
      <c r="AE660" t="s">
        <v>131</v>
      </c>
      <c r="AF660" t="s">
        <v>131</v>
      </c>
      <c r="AG660" t="s">
        <v>131</v>
      </c>
      <c r="AH660" t="s">
        <v>131</v>
      </c>
      <c r="AI660" t="s">
        <v>321</v>
      </c>
      <c r="AJ660" t="s">
        <v>2570</v>
      </c>
      <c r="AK660" t="s">
        <v>1877</v>
      </c>
      <c r="AL660" t="s">
        <v>243</v>
      </c>
      <c r="AM660" t="s">
        <v>42</v>
      </c>
      <c r="AO660" t="s">
        <v>259</v>
      </c>
      <c r="AP660" t="s">
        <v>260</v>
      </c>
      <c r="AQ660" t="s">
        <v>20</v>
      </c>
      <c r="AR660" t="s">
        <v>29</v>
      </c>
      <c r="AS660" t="s">
        <v>36</v>
      </c>
      <c r="AT660">
        <v>0</v>
      </c>
      <c r="AU660" t="s">
        <v>203</v>
      </c>
      <c r="AV660" t="s">
        <v>165</v>
      </c>
    </row>
    <row r="661" spans="1:48" x14ac:dyDescent="0.3">
      <c r="A661" t="s">
        <v>2571</v>
      </c>
      <c r="B661" s="12">
        <v>45678</v>
      </c>
      <c r="C661" s="12">
        <v>45679</v>
      </c>
      <c r="D661" t="s">
        <v>2572</v>
      </c>
      <c r="E661" t="s">
        <v>277</v>
      </c>
      <c r="F661" t="s">
        <v>43</v>
      </c>
      <c r="G661" t="s">
        <v>6</v>
      </c>
      <c r="H661" t="s">
        <v>294</v>
      </c>
      <c r="I661" t="s">
        <v>295</v>
      </c>
      <c r="J661" t="s">
        <v>15</v>
      </c>
      <c r="K661" t="s">
        <v>17</v>
      </c>
      <c r="M661" t="s">
        <v>37</v>
      </c>
      <c r="N661">
        <v>2</v>
      </c>
      <c r="O661">
        <v>444.31</v>
      </c>
      <c r="P661">
        <v>0.2</v>
      </c>
      <c r="Q661">
        <v>0.2</v>
      </c>
      <c r="R661">
        <v>710.9</v>
      </c>
      <c r="S661">
        <v>513.88</v>
      </c>
      <c r="T661">
        <v>710.89599999999996</v>
      </c>
      <c r="U661">
        <v>197.01599999999999</v>
      </c>
      <c r="V661">
        <v>0.27713758411919598</v>
      </c>
      <c r="W661">
        <v>1</v>
      </c>
      <c r="X661" t="s">
        <v>244</v>
      </c>
      <c r="Y661">
        <v>2025</v>
      </c>
      <c r="Z661" t="s">
        <v>203</v>
      </c>
      <c r="AA661" t="s">
        <v>165</v>
      </c>
      <c r="AB661" t="s">
        <v>131</v>
      </c>
      <c r="AC661" t="s">
        <v>131</v>
      </c>
      <c r="AD661" t="s">
        <v>131</v>
      </c>
      <c r="AE661" t="s">
        <v>131</v>
      </c>
      <c r="AF661" t="s">
        <v>131</v>
      </c>
      <c r="AG661" t="s">
        <v>131</v>
      </c>
      <c r="AH661" t="s">
        <v>131</v>
      </c>
      <c r="AI661" t="s">
        <v>133</v>
      </c>
      <c r="AJ661" t="s">
        <v>261</v>
      </c>
      <c r="AK661" t="s">
        <v>1582</v>
      </c>
      <c r="AL661" t="s">
        <v>277</v>
      </c>
      <c r="AM661" t="s">
        <v>43</v>
      </c>
      <c r="AN661" t="s">
        <v>6</v>
      </c>
      <c r="AO661" t="s">
        <v>294</v>
      </c>
      <c r="AP661" t="s">
        <v>295</v>
      </c>
      <c r="AQ661" t="s">
        <v>15</v>
      </c>
      <c r="AR661" t="s">
        <v>17</v>
      </c>
      <c r="AS661" t="s">
        <v>37</v>
      </c>
      <c r="AT661">
        <v>0.2</v>
      </c>
      <c r="AU661" t="s">
        <v>203</v>
      </c>
      <c r="AV661" t="s">
        <v>165</v>
      </c>
    </row>
    <row r="662" spans="1:48" x14ac:dyDescent="0.3">
      <c r="A662" t="s">
        <v>2573</v>
      </c>
      <c r="B662" s="12">
        <v>45853</v>
      </c>
      <c r="C662" s="12">
        <v>45853</v>
      </c>
      <c r="D662" t="s">
        <v>2574</v>
      </c>
      <c r="E662" t="s">
        <v>154</v>
      </c>
      <c r="F662" t="s">
        <v>44</v>
      </c>
      <c r="G662" t="s">
        <v>8</v>
      </c>
      <c r="H662" t="s">
        <v>362</v>
      </c>
      <c r="I662" t="s">
        <v>363</v>
      </c>
      <c r="J662" t="s">
        <v>15</v>
      </c>
      <c r="K662" t="s">
        <v>17</v>
      </c>
      <c r="M662" t="s">
        <v>38</v>
      </c>
      <c r="N662">
        <v>4</v>
      </c>
      <c r="O662">
        <v>4442.91</v>
      </c>
      <c r="P662">
        <v>0.1</v>
      </c>
      <c r="Q662">
        <v>0.1</v>
      </c>
      <c r="R662">
        <v>15994.48</v>
      </c>
      <c r="S662">
        <v>9224.2800000000007</v>
      </c>
      <c r="T662">
        <v>15994.476000000001</v>
      </c>
      <c r="U662">
        <v>6770.1959999999999</v>
      </c>
      <c r="V662">
        <v>0.42328338858991099</v>
      </c>
      <c r="W662">
        <v>0</v>
      </c>
      <c r="X662" t="s">
        <v>128</v>
      </c>
      <c r="Y662">
        <v>2025</v>
      </c>
      <c r="Z662" t="s">
        <v>129</v>
      </c>
      <c r="AA662" t="s">
        <v>130</v>
      </c>
      <c r="AB662" t="s">
        <v>131</v>
      </c>
      <c r="AC662" t="s">
        <v>131</v>
      </c>
      <c r="AD662" t="s">
        <v>131</v>
      </c>
      <c r="AE662" t="s">
        <v>131</v>
      </c>
      <c r="AF662" t="s">
        <v>131</v>
      </c>
      <c r="AG662" t="s">
        <v>131</v>
      </c>
      <c r="AH662" t="s">
        <v>132</v>
      </c>
      <c r="AI662" t="s">
        <v>133</v>
      </c>
      <c r="AJ662" t="s">
        <v>251</v>
      </c>
      <c r="AK662" t="s">
        <v>2575</v>
      </c>
      <c r="AL662" t="s">
        <v>154</v>
      </c>
      <c r="AM662" t="s">
        <v>44</v>
      </c>
      <c r="AN662" t="s">
        <v>8</v>
      </c>
      <c r="AO662" t="s">
        <v>362</v>
      </c>
      <c r="AP662" t="s">
        <v>363</v>
      </c>
      <c r="AQ662" t="s">
        <v>15</v>
      </c>
      <c r="AR662" t="s">
        <v>17</v>
      </c>
      <c r="AS662" t="s">
        <v>38</v>
      </c>
      <c r="AT662">
        <v>0.1</v>
      </c>
      <c r="AU662" t="s">
        <v>129</v>
      </c>
      <c r="AV662" t="s">
        <v>130</v>
      </c>
    </row>
    <row r="663" spans="1:48" x14ac:dyDescent="0.3">
      <c r="A663" t="s">
        <v>2576</v>
      </c>
      <c r="B663" s="12">
        <v>45429</v>
      </c>
      <c r="C663" s="12">
        <v>45434</v>
      </c>
      <c r="D663" t="s">
        <v>2577</v>
      </c>
      <c r="E663" t="s">
        <v>243</v>
      </c>
      <c r="F663" t="s">
        <v>42</v>
      </c>
      <c r="G663" t="s">
        <v>6</v>
      </c>
      <c r="H663" t="s">
        <v>184</v>
      </c>
      <c r="I663" t="s">
        <v>185</v>
      </c>
      <c r="J663" t="s">
        <v>15</v>
      </c>
      <c r="K663" t="s">
        <v>25</v>
      </c>
      <c r="M663" t="s">
        <v>37</v>
      </c>
      <c r="N663">
        <v>7</v>
      </c>
      <c r="O663">
        <v>232.5</v>
      </c>
      <c r="P663">
        <v>0</v>
      </c>
      <c r="Q663">
        <v>0</v>
      </c>
      <c r="R663">
        <v>1627.5</v>
      </c>
      <c r="S663">
        <v>939.9</v>
      </c>
      <c r="T663">
        <v>1627.5</v>
      </c>
      <c r="U663">
        <v>687.6</v>
      </c>
      <c r="V663">
        <v>0.42248847926267302</v>
      </c>
      <c r="W663">
        <v>5</v>
      </c>
      <c r="X663" t="s">
        <v>173</v>
      </c>
      <c r="Y663">
        <v>2024</v>
      </c>
      <c r="Z663" t="s">
        <v>129</v>
      </c>
      <c r="AA663" t="s">
        <v>130</v>
      </c>
      <c r="AB663" t="s">
        <v>131</v>
      </c>
      <c r="AC663" t="s">
        <v>131</v>
      </c>
      <c r="AD663" t="s">
        <v>131</v>
      </c>
      <c r="AE663" t="s">
        <v>131</v>
      </c>
      <c r="AF663" t="s">
        <v>131</v>
      </c>
      <c r="AG663" t="s">
        <v>131</v>
      </c>
      <c r="AH663" t="s">
        <v>132</v>
      </c>
      <c r="AI663" t="s">
        <v>133</v>
      </c>
      <c r="AJ663" t="s">
        <v>2578</v>
      </c>
      <c r="AK663" t="s">
        <v>2579</v>
      </c>
      <c r="AL663" t="s">
        <v>243</v>
      </c>
      <c r="AM663" t="s">
        <v>42</v>
      </c>
      <c r="AN663" t="s">
        <v>6</v>
      </c>
      <c r="AO663" t="s">
        <v>184</v>
      </c>
      <c r="AP663" t="s">
        <v>185</v>
      </c>
      <c r="AQ663" t="s">
        <v>15</v>
      </c>
      <c r="AR663" t="s">
        <v>25</v>
      </c>
      <c r="AS663" t="s">
        <v>37</v>
      </c>
      <c r="AT663">
        <v>0</v>
      </c>
      <c r="AU663" t="s">
        <v>129</v>
      </c>
      <c r="AV663" t="s">
        <v>130</v>
      </c>
    </row>
    <row r="664" spans="1:48" x14ac:dyDescent="0.3">
      <c r="A664" t="s">
        <v>2580</v>
      </c>
      <c r="B664" s="12">
        <v>45305</v>
      </c>
      <c r="C664" s="12">
        <v>45309</v>
      </c>
      <c r="D664" t="s">
        <v>2581</v>
      </c>
      <c r="E664" t="s">
        <v>139</v>
      </c>
      <c r="F664" t="s">
        <v>41</v>
      </c>
      <c r="G664" t="s">
        <v>7</v>
      </c>
      <c r="H664" t="s">
        <v>126</v>
      </c>
      <c r="I664" t="s">
        <v>213</v>
      </c>
      <c r="J664" t="s">
        <v>15</v>
      </c>
      <c r="K664" t="s">
        <v>25</v>
      </c>
      <c r="M664" t="s">
        <v>38</v>
      </c>
      <c r="N664">
        <v>6</v>
      </c>
      <c r="O664">
        <v>1784.8</v>
      </c>
      <c r="P664">
        <v>0.1</v>
      </c>
      <c r="Q664">
        <v>0.1</v>
      </c>
      <c r="R664">
        <v>9637.92</v>
      </c>
      <c r="S664">
        <v>7329.29</v>
      </c>
      <c r="T664">
        <v>9637.92</v>
      </c>
      <c r="U664">
        <v>2308.63</v>
      </c>
      <c r="V664">
        <v>0.239536123976958</v>
      </c>
      <c r="W664">
        <v>4</v>
      </c>
      <c r="X664" t="s">
        <v>244</v>
      </c>
      <c r="Y664">
        <v>2024</v>
      </c>
      <c r="Z664" t="s">
        <v>129</v>
      </c>
      <c r="AA664" t="s">
        <v>130</v>
      </c>
      <c r="AB664" t="s">
        <v>131</v>
      </c>
      <c r="AC664" t="s">
        <v>131</v>
      </c>
      <c r="AD664" t="s">
        <v>131</v>
      </c>
      <c r="AE664" t="s">
        <v>131</v>
      </c>
      <c r="AF664" t="s">
        <v>131</v>
      </c>
      <c r="AG664" t="s">
        <v>131</v>
      </c>
      <c r="AH664" t="s">
        <v>132</v>
      </c>
      <c r="AI664" t="s">
        <v>133</v>
      </c>
      <c r="AJ664" t="s">
        <v>2582</v>
      </c>
      <c r="AK664" t="s">
        <v>2583</v>
      </c>
      <c r="AL664" t="s">
        <v>139</v>
      </c>
      <c r="AM664" t="s">
        <v>41</v>
      </c>
      <c r="AN664" t="s">
        <v>7</v>
      </c>
      <c r="AO664" t="s">
        <v>126</v>
      </c>
      <c r="AP664" t="s">
        <v>213</v>
      </c>
      <c r="AQ664" t="s">
        <v>15</v>
      </c>
      <c r="AR664" t="s">
        <v>25</v>
      </c>
      <c r="AS664" t="s">
        <v>38</v>
      </c>
      <c r="AT664">
        <v>0.1</v>
      </c>
      <c r="AU664" t="s">
        <v>129</v>
      </c>
      <c r="AV664" t="s">
        <v>130</v>
      </c>
    </row>
    <row r="665" spans="1:48" x14ac:dyDescent="0.3">
      <c r="A665" t="s">
        <v>2584</v>
      </c>
      <c r="B665" s="12">
        <v>45414</v>
      </c>
      <c r="C665" s="12">
        <v>45420</v>
      </c>
      <c r="D665" t="s">
        <v>2585</v>
      </c>
      <c r="E665" t="s">
        <v>227</v>
      </c>
      <c r="F665" t="s">
        <v>41</v>
      </c>
      <c r="G665" t="s">
        <v>8</v>
      </c>
      <c r="H665" t="s">
        <v>362</v>
      </c>
      <c r="I665" t="s">
        <v>363</v>
      </c>
      <c r="J665" t="s">
        <v>15</v>
      </c>
      <c r="K665" t="s">
        <v>16</v>
      </c>
      <c r="M665" t="s">
        <v>37</v>
      </c>
      <c r="N665">
        <v>2</v>
      </c>
      <c r="O665">
        <v>3185.01</v>
      </c>
      <c r="P665">
        <v>-0.24</v>
      </c>
      <c r="Q665">
        <v>0</v>
      </c>
      <c r="R665">
        <v>4777.5200000000004</v>
      </c>
      <c r="S665">
        <v>3152.98</v>
      </c>
      <c r="T665">
        <v>6370.02</v>
      </c>
      <c r="U665">
        <v>3217.04</v>
      </c>
      <c r="V665">
        <v>0.50502824166957105</v>
      </c>
      <c r="W665">
        <v>6</v>
      </c>
      <c r="X665" t="s">
        <v>173</v>
      </c>
      <c r="Y665">
        <v>2024</v>
      </c>
      <c r="Z665" t="s">
        <v>129</v>
      </c>
      <c r="AA665" t="s">
        <v>130</v>
      </c>
      <c r="AB665" t="s">
        <v>131</v>
      </c>
      <c r="AC665" t="s">
        <v>131</v>
      </c>
      <c r="AD665" t="s">
        <v>131</v>
      </c>
      <c r="AE665" t="s">
        <v>131</v>
      </c>
      <c r="AF665" t="s">
        <v>132</v>
      </c>
      <c r="AG665" t="s">
        <v>131</v>
      </c>
      <c r="AH665" t="s">
        <v>132</v>
      </c>
      <c r="AI665" t="s">
        <v>149</v>
      </c>
      <c r="AJ665" t="s">
        <v>1102</v>
      </c>
      <c r="AK665" t="s">
        <v>2242</v>
      </c>
      <c r="AL665" t="s">
        <v>227</v>
      </c>
      <c r="AM665" t="s">
        <v>41</v>
      </c>
      <c r="AN665" t="s">
        <v>8</v>
      </c>
      <c r="AO665" t="s">
        <v>362</v>
      </c>
      <c r="AP665" t="s">
        <v>363</v>
      </c>
      <c r="AQ665" t="s">
        <v>15</v>
      </c>
      <c r="AR665" t="s">
        <v>16</v>
      </c>
      <c r="AS665" t="s">
        <v>37</v>
      </c>
      <c r="AT665">
        <v>-0.24</v>
      </c>
      <c r="AU665" t="s">
        <v>129</v>
      </c>
      <c r="AV665" t="s">
        <v>130</v>
      </c>
    </row>
    <row r="666" spans="1:48" x14ac:dyDescent="0.3">
      <c r="A666" t="s">
        <v>2586</v>
      </c>
      <c r="B666" s="12">
        <v>45633</v>
      </c>
      <c r="C666" s="12">
        <v>45636</v>
      </c>
      <c r="D666" t="s">
        <v>2587</v>
      </c>
      <c r="E666" t="s">
        <v>139</v>
      </c>
      <c r="F666" t="s">
        <v>41</v>
      </c>
      <c r="G666" t="s">
        <v>6</v>
      </c>
      <c r="H666" t="s">
        <v>155</v>
      </c>
      <c r="I666" t="s">
        <v>156</v>
      </c>
      <c r="J666" t="s">
        <v>15</v>
      </c>
      <c r="K666" t="s">
        <v>22</v>
      </c>
      <c r="M666" t="s">
        <v>35</v>
      </c>
      <c r="N666">
        <v>1</v>
      </c>
      <c r="O666">
        <v>1908.83</v>
      </c>
      <c r="P666">
        <v>0.2</v>
      </c>
      <c r="Q666">
        <v>0.2</v>
      </c>
      <c r="R666">
        <v>1527.06</v>
      </c>
      <c r="S666">
        <v>1055.8900000000001</v>
      </c>
      <c r="T666">
        <v>1527.0640000000001</v>
      </c>
      <c r="U666">
        <v>471.17399999999998</v>
      </c>
      <c r="V666">
        <v>0.30854895407134197</v>
      </c>
      <c r="W666">
        <v>3</v>
      </c>
      <c r="X666" t="s">
        <v>214</v>
      </c>
      <c r="Y666">
        <v>2024</v>
      </c>
      <c r="Z666" t="s">
        <v>129</v>
      </c>
      <c r="AA666" t="s">
        <v>130</v>
      </c>
      <c r="AB666" t="s">
        <v>131</v>
      </c>
      <c r="AC666" t="s">
        <v>131</v>
      </c>
      <c r="AD666" t="s">
        <v>131</v>
      </c>
      <c r="AE666" t="s">
        <v>131</v>
      </c>
      <c r="AF666" t="s">
        <v>131</v>
      </c>
      <c r="AG666" t="s">
        <v>131</v>
      </c>
      <c r="AH666" t="s">
        <v>132</v>
      </c>
      <c r="AI666" t="s">
        <v>133</v>
      </c>
      <c r="AJ666" t="s">
        <v>2588</v>
      </c>
      <c r="AK666" t="s">
        <v>2589</v>
      </c>
      <c r="AL666" t="s">
        <v>139</v>
      </c>
      <c r="AM666" t="s">
        <v>41</v>
      </c>
      <c r="AN666" t="s">
        <v>6</v>
      </c>
      <c r="AO666" t="s">
        <v>155</v>
      </c>
      <c r="AP666" t="s">
        <v>156</v>
      </c>
      <c r="AQ666" t="s">
        <v>15</v>
      </c>
      <c r="AR666" t="s">
        <v>22</v>
      </c>
      <c r="AS666" t="s">
        <v>35</v>
      </c>
      <c r="AT666">
        <v>0.2</v>
      </c>
      <c r="AU666" t="s">
        <v>129</v>
      </c>
      <c r="AV666" t="s">
        <v>130</v>
      </c>
    </row>
    <row r="667" spans="1:48" x14ac:dyDescent="0.3">
      <c r="A667" t="s">
        <v>2590</v>
      </c>
      <c r="B667" s="12">
        <v>45670</v>
      </c>
      <c r="C667" s="12">
        <v>45670</v>
      </c>
      <c r="D667" t="s">
        <v>2591</v>
      </c>
      <c r="E667" t="s">
        <v>227</v>
      </c>
      <c r="F667" t="s">
        <v>41</v>
      </c>
      <c r="G667" t="s">
        <v>7</v>
      </c>
      <c r="H667" t="s">
        <v>300</v>
      </c>
      <c r="I667" t="s">
        <v>301</v>
      </c>
      <c r="J667" t="s">
        <v>20</v>
      </c>
      <c r="K667" t="s">
        <v>29</v>
      </c>
      <c r="M667" t="s">
        <v>35</v>
      </c>
      <c r="N667">
        <v>3</v>
      </c>
      <c r="O667">
        <v>2110.52</v>
      </c>
      <c r="P667">
        <v>0.1</v>
      </c>
      <c r="Q667">
        <v>0.1</v>
      </c>
      <c r="R667">
        <v>5698.4</v>
      </c>
      <c r="S667">
        <v>3640.89</v>
      </c>
      <c r="T667">
        <v>5698.4040000000005</v>
      </c>
      <c r="U667">
        <v>2057.5140000000001</v>
      </c>
      <c r="V667">
        <v>0.36106846759197803</v>
      </c>
      <c r="W667">
        <v>0</v>
      </c>
      <c r="X667" t="s">
        <v>244</v>
      </c>
      <c r="Y667">
        <v>2025</v>
      </c>
      <c r="Z667" t="s">
        <v>269</v>
      </c>
      <c r="AA667" t="s">
        <v>165</v>
      </c>
      <c r="AB667" t="s">
        <v>131</v>
      </c>
      <c r="AC667" t="s">
        <v>131</v>
      </c>
      <c r="AD667" t="s">
        <v>131</v>
      </c>
      <c r="AE667" t="s">
        <v>131</v>
      </c>
      <c r="AF667" t="s">
        <v>131</v>
      </c>
      <c r="AG667" t="s">
        <v>131</v>
      </c>
      <c r="AH667" t="s">
        <v>131</v>
      </c>
      <c r="AI667" t="s">
        <v>133</v>
      </c>
      <c r="AJ667" t="s">
        <v>2592</v>
      </c>
      <c r="AK667" t="s">
        <v>2593</v>
      </c>
      <c r="AL667" t="s">
        <v>2594</v>
      </c>
      <c r="AM667" t="s">
        <v>41</v>
      </c>
      <c r="AN667" t="s">
        <v>7</v>
      </c>
      <c r="AO667" t="s">
        <v>300</v>
      </c>
      <c r="AP667" t="s">
        <v>301</v>
      </c>
      <c r="AQ667" t="s">
        <v>20</v>
      </c>
      <c r="AR667" t="s">
        <v>29</v>
      </c>
      <c r="AS667" t="s">
        <v>35</v>
      </c>
      <c r="AT667">
        <v>0.1</v>
      </c>
      <c r="AU667" t="s">
        <v>269</v>
      </c>
      <c r="AV667" t="s">
        <v>165</v>
      </c>
    </row>
    <row r="668" spans="1:48" x14ac:dyDescent="0.3">
      <c r="A668" t="s">
        <v>2595</v>
      </c>
      <c r="B668" s="12">
        <v>45464</v>
      </c>
      <c r="C668" s="12">
        <v>45469</v>
      </c>
      <c r="D668" t="s">
        <v>2596</v>
      </c>
      <c r="E668" t="s">
        <v>255</v>
      </c>
      <c r="F668" t="s">
        <v>44</v>
      </c>
      <c r="G668" t="s">
        <v>9</v>
      </c>
      <c r="H668" t="s">
        <v>232</v>
      </c>
      <c r="I668" t="s">
        <v>233</v>
      </c>
      <c r="J668" t="s">
        <v>15</v>
      </c>
      <c r="K668" t="s">
        <v>16</v>
      </c>
      <c r="M668" t="s">
        <v>38</v>
      </c>
      <c r="N668">
        <v>1</v>
      </c>
      <c r="O668">
        <v>279.83</v>
      </c>
      <c r="P668">
        <v>0.05</v>
      </c>
      <c r="Q668">
        <v>0.05</v>
      </c>
      <c r="R668">
        <v>265.83999999999997</v>
      </c>
      <c r="S668">
        <v>223.49</v>
      </c>
      <c r="T668">
        <v>265.83850000000001</v>
      </c>
      <c r="U668">
        <v>42.348499999999902</v>
      </c>
      <c r="V668">
        <v>0.15930160605029001</v>
      </c>
      <c r="W668">
        <v>5</v>
      </c>
      <c r="X668" t="s">
        <v>148</v>
      </c>
      <c r="Y668">
        <v>2024</v>
      </c>
      <c r="Z668" t="s">
        <v>129</v>
      </c>
      <c r="AA668" t="s">
        <v>130</v>
      </c>
      <c r="AB668" t="s">
        <v>131</v>
      </c>
      <c r="AC668" t="s">
        <v>131</v>
      </c>
      <c r="AD668" t="s">
        <v>131</v>
      </c>
      <c r="AE668" t="s">
        <v>131</v>
      </c>
      <c r="AF668" t="s">
        <v>131</v>
      </c>
      <c r="AG668" t="s">
        <v>131</v>
      </c>
      <c r="AH668" t="s">
        <v>132</v>
      </c>
      <c r="AI668" t="s">
        <v>133</v>
      </c>
      <c r="AJ668" t="s">
        <v>1829</v>
      </c>
      <c r="AK668" t="s">
        <v>1782</v>
      </c>
      <c r="AL668" t="s">
        <v>255</v>
      </c>
      <c r="AM668" t="s">
        <v>44</v>
      </c>
      <c r="AN668" t="s">
        <v>9</v>
      </c>
      <c r="AO668" t="s">
        <v>232</v>
      </c>
      <c r="AP668" t="s">
        <v>233</v>
      </c>
      <c r="AQ668" t="s">
        <v>15</v>
      </c>
      <c r="AR668" t="s">
        <v>16</v>
      </c>
      <c r="AS668" t="s">
        <v>38</v>
      </c>
      <c r="AT668">
        <v>0.05</v>
      </c>
      <c r="AU668" t="s">
        <v>129</v>
      </c>
      <c r="AV668" t="s">
        <v>130</v>
      </c>
    </row>
    <row r="669" spans="1:48" x14ac:dyDescent="0.3">
      <c r="A669" t="s">
        <v>2597</v>
      </c>
      <c r="B669" s="12">
        <v>45797</v>
      </c>
      <c r="C669" s="12">
        <v>45804</v>
      </c>
      <c r="D669" t="s">
        <v>2598</v>
      </c>
      <c r="E669" t="s">
        <v>277</v>
      </c>
      <c r="F669" t="s">
        <v>44</v>
      </c>
      <c r="G669" t="s">
        <v>8</v>
      </c>
      <c r="H669" t="s">
        <v>259</v>
      </c>
      <c r="I669" t="s">
        <v>260</v>
      </c>
      <c r="J669" t="s">
        <v>15</v>
      </c>
      <c r="K669" t="s">
        <v>25</v>
      </c>
      <c r="M669" t="s">
        <v>35</v>
      </c>
      <c r="N669">
        <v>1</v>
      </c>
      <c r="O669">
        <v>3959.14</v>
      </c>
      <c r="P669">
        <v>0</v>
      </c>
      <c r="Q669">
        <v>0</v>
      </c>
      <c r="R669">
        <v>3959.14</v>
      </c>
      <c r="S669">
        <v>3239.53</v>
      </c>
      <c r="T669">
        <v>3959.14</v>
      </c>
      <c r="U669">
        <v>719.61</v>
      </c>
      <c r="V669">
        <v>0.18175916992074001</v>
      </c>
      <c r="W669">
        <v>7</v>
      </c>
      <c r="X669" t="s">
        <v>173</v>
      </c>
      <c r="Y669">
        <v>2025</v>
      </c>
      <c r="Z669" t="s">
        <v>215</v>
      </c>
      <c r="AA669" t="s">
        <v>204</v>
      </c>
      <c r="AB669" t="s">
        <v>131</v>
      </c>
      <c r="AC669" t="s">
        <v>131</v>
      </c>
      <c r="AD669" t="s">
        <v>131</v>
      </c>
      <c r="AE669" t="s">
        <v>131</v>
      </c>
      <c r="AF669" t="s">
        <v>131</v>
      </c>
      <c r="AG669" t="s">
        <v>131</v>
      </c>
      <c r="AH669" t="s">
        <v>131</v>
      </c>
      <c r="AI669" t="s">
        <v>133</v>
      </c>
      <c r="AJ669" t="s">
        <v>2599</v>
      </c>
      <c r="AK669" t="s">
        <v>2600</v>
      </c>
      <c r="AL669" t="s">
        <v>277</v>
      </c>
      <c r="AM669" t="s">
        <v>44</v>
      </c>
      <c r="AN669" t="s">
        <v>8</v>
      </c>
      <c r="AO669" t="s">
        <v>259</v>
      </c>
      <c r="AP669" t="s">
        <v>260</v>
      </c>
      <c r="AQ669" t="s">
        <v>15</v>
      </c>
      <c r="AR669" t="s">
        <v>25</v>
      </c>
      <c r="AS669" t="s">
        <v>35</v>
      </c>
      <c r="AT669">
        <v>0</v>
      </c>
      <c r="AU669" t="s">
        <v>215</v>
      </c>
      <c r="AV669" t="s">
        <v>204</v>
      </c>
    </row>
    <row r="670" spans="1:48" x14ac:dyDescent="0.3">
      <c r="A670" t="s">
        <v>2601</v>
      </c>
      <c r="B670" s="12">
        <v>45617</v>
      </c>
      <c r="C670" s="12">
        <v>45619</v>
      </c>
      <c r="D670" t="s">
        <v>2602</v>
      </c>
      <c r="E670" t="s">
        <v>139</v>
      </c>
      <c r="F670" t="s">
        <v>43</v>
      </c>
      <c r="G670" t="s">
        <v>7</v>
      </c>
      <c r="H670" t="s">
        <v>300</v>
      </c>
      <c r="I670" t="s">
        <v>301</v>
      </c>
      <c r="J670" t="s">
        <v>20</v>
      </c>
      <c r="K670" t="s">
        <v>24</v>
      </c>
      <c r="M670" t="s">
        <v>37</v>
      </c>
      <c r="N670">
        <v>5</v>
      </c>
      <c r="O670">
        <v>600.46</v>
      </c>
      <c r="P670">
        <v>0.2</v>
      </c>
      <c r="Q670">
        <v>0.2</v>
      </c>
      <c r="R670">
        <v>2401.84</v>
      </c>
      <c r="S670">
        <v>1873.11</v>
      </c>
      <c r="T670">
        <v>2401.84</v>
      </c>
      <c r="U670">
        <v>528.73</v>
      </c>
      <c r="V670">
        <v>0.22013539619625</v>
      </c>
      <c r="W670">
        <v>2</v>
      </c>
      <c r="X670" t="s">
        <v>157</v>
      </c>
      <c r="Y670">
        <v>2024</v>
      </c>
      <c r="Z670" t="s">
        <v>129</v>
      </c>
      <c r="AA670" t="s">
        <v>130</v>
      </c>
      <c r="AB670" t="s">
        <v>131</v>
      </c>
      <c r="AC670" t="s">
        <v>131</v>
      </c>
      <c r="AD670" t="s">
        <v>131</v>
      </c>
      <c r="AE670" t="s">
        <v>131</v>
      </c>
      <c r="AF670" t="s">
        <v>131</v>
      </c>
      <c r="AG670" t="s">
        <v>131</v>
      </c>
      <c r="AH670" t="s">
        <v>132</v>
      </c>
      <c r="AI670" t="s">
        <v>133</v>
      </c>
      <c r="AJ670" t="s">
        <v>2603</v>
      </c>
      <c r="AK670" t="s">
        <v>290</v>
      </c>
      <c r="AL670" t="s">
        <v>139</v>
      </c>
      <c r="AM670" t="s">
        <v>43</v>
      </c>
      <c r="AN670" t="s">
        <v>7</v>
      </c>
      <c r="AO670" t="s">
        <v>300</v>
      </c>
      <c r="AP670" t="s">
        <v>301</v>
      </c>
      <c r="AQ670" t="s">
        <v>20</v>
      </c>
      <c r="AR670" t="s">
        <v>24</v>
      </c>
      <c r="AS670" t="s">
        <v>37</v>
      </c>
      <c r="AT670">
        <v>0.2</v>
      </c>
      <c r="AU670" t="s">
        <v>129</v>
      </c>
      <c r="AV670" t="s">
        <v>130</v>
      </c>
    </row>
    <row r="671" spans="1:48" x14ac:dyDescent="0.3">
      <c r="A671" t="s">
        <v>2604</v>
      </c>
      <c r="B671" s="12">
        <v>45375</v>
      </c>
      <c r="C671" s="12">
        <v>45383</v>
      </c>
      <c r="D671" t="s">
        <v>2605</v>
      </c>
      <c r="E671" t="s">
        <v>162</v>
      </c>
      <c r="F671" t="s">
        <v>41</v>
      </c>
      <c r="G671" t="s">
        <v>7</v>
      </c>
      <c r="H671" t="s">
        <v>163</v>
      </c>
      <c r="I671" t="s">
        <v>164</v>
      </c>
      <c r="J671" t="s">
        <v>18</v>
      </c>
      <c r="K671" t="s">
        <v>27</v>
      </c>
      <c r="M671" t="s">
        <v>37</v>
      </c>
      <c r="N671">
        <v>4</v>
      </c>
      <c r="O671">
        <v>1700.72</v>
      </c>
      <c r="P671">
        <v>0.25</v>
      </c>
      <c r="Q671">
        <v>0.25</v>
      </c>
      <c r="R671">
        <v>5102.16</v>
      </c>
      <c r="S671">
        <v>3226.45</v>
      </c>
      <c r="T671">
        <v>5102.16</v>
      </c>
      <c r="U671">
        <v>1875.71</v>
      </c>
      <c r="V671">
        <v>0.36763057214983502</v>
      </c>
      <c r="W671">
        <v>8</v>
      </c>
      <c r="X671" t="s">
        <v>278</v>
      </c>
      <c r="Y671">
        <v>2024</v>
      </c>
      <c r="Z671" t="s">
        <v>129</v>
      </c>
      <c r="AA671" t="s">
        <v>130</v>
      </c>
      <c r="AB671" t="s">
        <v>131</v>
      </c>
      <c r="AC671" t="s">
        <v>131</v>
      </c>
      <c r="AD671" t="s">
        <v>131</v>
      </c>
      <c r="AE671" t="s">
        <v>131</v>
      </c>
      <c r="AF671" t="s">
        <v>131</v>
      </c>
      <c r="AG671" t="s">
        <v>131</v>
      </c>
      <c r="AH671" t="s">
        <v>132</v>
      </c>
      <c r="AI671" t="s">
        <v>133</v>
      </c>
      <c r="AJ671" t="s">
        <v>2606</v>
      </c>
      <c r="AK671" t="s">
        <v>2607</v>
      </c>
      <c r="AL671" t="s">
        <v>162</v>
      </c>
      <c r="AM671" t="s">
        <v>41</v>
      </c>
      <c r="AN671" t="s">
        <v>7</v>
      </c>
      <c r="AO671" t="s">
        <v>163</v>
      </c>
      <c r="AP671" t="s">
        <v>164</v>
      </c>
      <c r="AQ671" t="s">
        <v>18</v>
      </c>
      <c r="AR671" t="s">
        <v>27</v>
      </c>
      <c r="AS671" t="s">
        <v>37</v>
      </c>
      <c r="AT671">
        <v>0.25</v>
      </c>
      <c r="AU671" t="s">
        <v>129</v>
      </c>
      <c r="AV671" t="s">
        <v>130</v>
      </c>
    </row>
    <row r="672" spans="1:48" x14ac:dyDescent="0.3">
      <c r="A672" t="s">
        <v>2608</v>
      </c>
      <c r="B672" s="12">
        <v>45690</v>
      </c>
      <c r="C672" s="12">
        <v>45694</v>
      </c>
      <c r="D672" t="s">
        <v>2045</v>
      </c>
      <c r="E672" t="s">
        <v>243</v>
      </c>
      <c r="F672" t="s">
        <v>43</v>
      </c>
      <c r="G672" t="s">
        <v>9</v>
      </c>
      <c r="H672" t="s">
        <v>249</v>
      </c>
      <c r="I672" t="s">
        <v>250</v>
      </c>
      <c r="J672" t="s">
        <v>18</v>
      </c>
      <c r="K672" t="s">
        <v>27</v>
      </c>
      <c r="M672" t="s">
        <v>35</v>
      </c>
      <c r="N672">
        <v>8</v>
      </c>
      <c r="O672">
        <v>857.86</v>
      </c>
      <c r="P672">
        <v>0.1</v>
      </c>
      <c r="Q672">
        <v>0.1</v>
      </c>
      <c r="R672">
        <v>6176.59</v>
      </c>
      <c r="S672">
        <v>3560.96</v>
      </c>
      <c r="T672">
        <v>6176.5919999999996</v>
      </c>
      <c r="U672">
        <v>2615.6320000000001</v>
      </c>
      <c r="V672">
        <v>0.423474951882851</v>
      </c>
      <c r="W672">
        <v>4</v>
      </c>
      <c r="X672" t="s">
        <v>186</v>
      </c>
      <c r="Y672">
        <v>2025</v>
      </c>
      <c r="Z672" t="s">
        <v>129</v>
      </c>
      <c r="AA672" t="s">
        <v>130</v>
      </c>
      <c r="AB672" t="s">
        <v>131</v>
      </c>
      <c r="AC672" t="s">
        <v>131</v>
      </c>
      <c r="AD672" t="s">
        <v>131</v>
      </c>
      <c r="AE672" t="s">
        <v>131</v>
      </c>
      <c r="AF672" t="s">
        <v>131</v>
      </c>
      <c r="AG672" t="s">
        <v>131</v>
      </c>
      <c r="AH672" t="s">
        <v>132</v>
      </c>
      <c r="AI672" t="s">
        <v>133</v>
      </c>
      <c r="AJ672" t="s">
        <v>2609</v>
      </c>
      <c r="AK672" t="s">
        <v>2454</v>
      </c>
      <c r="AL672" t="s">
        <v>243</v>
      </c>
      <c r="AM672" t="s">
        <v>218</v>
      </c>
      <c r="AN672" t="s">
        <v>9</v>
      </c>
      <c r="AO672" t="s">
        <v>249</v>
      </c>
      <c r="AP672" t="s">
        <v>250</v>
      </c>
      <c r="AQ672" t="s">
        <v>18</v>
      </c>
      <c r="AR672" t="s">
        <v>27</v>
      </c>
      <c r="AS672" t="s">
        <v>35</v>
      </c>
      <c r="AT672">
        <v>0.1</v>
      </c>
      <c r="AU672" t="s">
        <v>129</v>
      </c>
      <c r="AV672" t="s">
        <v>130</v>
      </c>
    </row>
    <row r="673" spans="1:48" x14ac:dyDescent="0.3">
      <c r="A673" t="s">
        <v>2610</v>
      </c>
      <c r="B673" s="12">
        <v>45373</v>
      </c>
      <c r="C673" s="12">
        <v>45378</v>
      </c>
      <c r="D673" t="s">
        <v>2611</v>
      </c>
      <c r="E673" t="s">
        <v>191</v>
      </c>
      <c r="F673" t="s">
        <v>41</v>
      </c>
      <c r="G673" t="s">
        <v>7</v>
      </c>
      <c r="H673" t="s">
        <v>311</v>
      </c>
      <c r="I673" t="s">
        <v>312</v>
      </c>
      <c r="J673" t="s">
        <v>15</v>
      </c>
      <c r="K673" t="s">
        <v>16</v>
      </c>
      <c r="M673" t="s">
        <v>37</v>
      </c>
      <c r="N673">
        <v>9</v>
      </c>
      <c r="O673">
        <v>3649.51</v>
      </c>
      <c r="P673">
        <v>0.05</v>
      </c>
      <c r="Q673">
        <v>0.05</v>
      </c>
      <c r="R673">
        <v>31203.31</v>
      </c>
      <c r="S673">
        <v>17738.13</v>
      </c>
      <c r="T673">
        <v>31203.3105</v>
      </c>
      <c r="U673">
        <v>13465.1805</v>
      </c>
      <c r="V673">
        <v>0.43153051020019201</v>
      </c>
      <c r="W673">
        <v>5</v>
      </c>
      <c r="X673" t="s">
        <v>278</v>
      </c>
      <c r="Y673">
        <v>2024</v>
      </c>
      <c r="Z673" t="s">
        <v>129</v>
      </c>
      <c r="AA673" t="s">
        <v>130</v>
      </c>
      <c r="AB673" t="s">
        <v>131</v>
      </c>
      <c r="AC673" t="s">
        <v>131</v>
      </c>
      <c r="AD673" t="s">
        <v>131</v>
      </c>
      <c r="AE673" t="s">
        <v>131</v>
      </c>
      <c r="AF673" t="s">
        <v>131</v>
      </c>
      <c r="AG673" t="s">
        <v>131</v>
      </c>
      <c r="AH673" t="s">
        <v>132</v>
      </c>
      <c r="AI673" t="s">
        <v>133</v>
      </c>
      <c r="AJ673" t="s">
        <v>2612</v>
      </c>
      <c r="AK673" t="s">
        <v>2613</v>
      </c>
      <c r="AL673" t="s">
        <v>191</v>
      </c>
      <c r="AM673" t="s">
        <v>41</v>
      </c>
      <c r="AN673" t="s">
        <v>7</v>
      </c>
      <c r="AO673" t="s">
        <v>311</v>
      </c>
      <c r="AP673" t="s">
        <v>312</v>
      </c>
      <c r="AQ673" t="s">
        <v>15</v>
      </c>
      <c r="AR673" t="s">
        <v>2614</v>
      </c>
      <c r="AS673" t="s">
        <v>37</v>
      </c>
      <c r="AT673">
        <v>0.05</v>
      </c>
      <c r="AU673" t="s">
        <v>129</v>
      </c>
      <c r="AV673" t="s">
        <v>130</v>
      </c>
    </row>
    <row r="674" spans="1:48" x14ac:dyDescent="0.3">
      <c r="A674" t="s">
        <v>2615</v>
      </c>
      <c r="B674" s="12">
        <v>45539</v>
      </c>
      <c r="C674" s="12">
        <v>45540</v>
      </c>
      <c r="D674" t="s">
        <v>2616</v>
      </c>
      <c r="E674" t="s">
        <v>191</v>
      </c>
      <c r="F674" t="s">
        <v>43</v>
      </c>
      <c r="G674" t="s">
        <v>7</v>
      </c>
      <c r="H674" t="s">
        <v>171</v>
      </c>
      <c r="I674" t="s">
        <v>172</v>
      </c>
      <c r="J674" t="s">
        <v>18</v>
      </c>
      <c r="K674" t="s">
        <v>19</v>
      </c>
      <c r="M674" t="s">
        <v>35</v>
      </c>
      <c r="N674">
        <v>5</v>
      </c>
      <c r="O674">
        <v>2528.5300000000002</v>
      </c>
      <c r="P674">
        <v>0.05</v>
      </c>
      <c r="Q674">
        <v>0.05</v>
      </c>
      <c r="R674">
        <v>12010.52</v>
      </c>
      <c r="S674">
        <v>7864.61</v>
      </c>
      <c r="T674">
        <v>12010.5175</v>
      </c>
      <c r="U674">
        <v>4145.9075000000003</v>
      </c>
      <c r="V674">
        <v>0.34518974723612</v>
      </c>
      <c r="W674">
        <v>1</v>
      </c>
      <c r="X674" t="s">
        <v>196</v>
      </c>
      <c r="Y674">
        <v>2024</v>
      </c>
      <c r="Z674" t="s">
        <v>129</v>
      </c>
      <c r="AA674" t="s">
        <v>204</v>
      </c>
      <c r="AB674" t="s">
        <v>131</v>
      </c>
      <c r="AC674" t="s">
        <v>131</v>
      </c>
      <c r="AD674" t="s">
        <v>131</v>
      </c>
      <c r="AE674" t="s">
        <v>131</v>
      </c>
      <c r="AF674" t="s">
        <v>131</v>
      </c>
      <c r="AG674" t="s">
        <v>131</v>
      </c>
      <c r="AH674" t="s">
        <v>131</v>
      </c>
      <c r="AI674" t="s">
        <v>133</v>
      </c>
      <c r="AJ674" t="s">
        <v>2617</v>
      </c>
      <c r="AK674" t="s">
        <v>2618</v>
      </c>
      <c r="AL674" t="s">
        <v>191</v>
      </c>
      <c r="AM674" t="s">
        <v>43</v>
      </c>
      <c r="AN674" t="s">
        <v>7</v>
      </c>
      <c r="AO674" t="s">
        <v>171</v>
      </c>
      <c r="AP674" t="s">
        <v>172</v>
      </c>
      <c r="AQ674" t="s">
        <v>18</v>
      </c>
      <c r="AR674" t="s">
        <v>19</v>
      </c>
      <c r="AS674" t="s">
        <v>35</v>
      </c>
      <c r="AT674">
        <v>0.05</v>
      </c>
      <c r="AU674" t="s">
        <v>129</v>
      </c>
      <c r="AV674" t="s">
        <v>204</v>
      </c>
    </row>
    <row r="675" spans="1:48" x14ac:dyDescent="0.3">
      <c r="A675" t="s">
        <v>2619</v>
      </c>
      <c r="B675" s="12">
        <v>45701</v>
      </c>
      <c r="C675" s="12">
        <v>45704</v>
      </c>
      <c r="D675" t="s">
        <v>2620</v>
      </c>
      <c r="E675" t="s">
        <v>154</v>
      </c>
      <c r="F675" t="s">
        <v>44</v>
      </c>
      <c r="G675" t="s">
        <v>7</v>
      </c>
      <c r="H675" t="s">
        <v>126</v>
      </c>
      <c r="I675" t="s">
        <v>213</v>
      </c>
      <c r="J675" t="s">
        <v>18</v>
      </c>
      <c r="K675" t="s">
        <v>26</v>
      </c>
      <c r="M675" t="s">
        <v>37</v>
      </c>
      <c r="N675">
        <v>4</v>
      </c>
      <c r="O675">
        <v>4072.9</v>
      </c>
      <c r="P675">
        <v>0.15</v>
      </c>
      <c r="Q675">
        <v>0.15</v>
      </c>
      <c r="R675">
        <v>13847.86</v>
      </c>
      <c r="S675">
        <v>8471.7800000000007</v>
      </c>
      <c r="T675">
        <v>13847.86</v>
      </c>
      <c r="U675">
        <v>5376.08</v>
      </c>
      <c r="V675">
        <v>0.38822460654570501</v>
      </c>
      <c r="W675">
        <v>3</v>
      </c>
      <c r="X675" t="s">
        <v>186</v>
      </c>
      <c r="Y675">
        <v>2025</v>
      </c>
      <c r="Z675" t="s">
        <v>129</v>
      </c>
      <c r="AA675" t="s">
        <v>130</v>
      </c>
      <c r="AB675" t="s">
        <v>131</v>
      </c>
      <c r="AC675" t="s">
        <v>131</v>
      </c>
      <c r="AD675" t="s">
        <v>131</v>
      </c>
      <c r="AE675" t="s">
        <v>131</v>
      </c>
      <c r="AF675" t="s">
        <v>131</v>
      </c>
      <c r="AG675" t="s">
        <v>131</v>
      </c>
      <c r="AH675" t="s">
        <v>132</v>
      </c>
      <c r="AI675" t="s">
        <v>133</v>
      </c>
      <c r="AJ675" t="s">
        <v>2023</v>
      </c>
      <c r="AK675" t="s">
        <v>2621</v>
      </c>
      <c r="AL675" t="s">
        <v>154</v>
      </c>
      <c r="AM675" t="s">
        <v>44</v>
      </c>
      <c r="AN675" t="s">
        <v>7</v>
      </c>
      <c r="AO675" t="s">
        <v>126</v>
      </c>
      <c r="AP675" t="s">
        <v>213</v>
      </c>
      <c r="AQ675" t="s">
        <v>18</v>
      </c>
      <c r="AR675" t="s">
        <v>26</v>
      </c>
      <c r="AS675" t="s">
        <v>37</v>
      </c>
      <c r="AT675">
        <v>0.15</v>
      </c>
      <c r="AU675" t="s">
        <v>129</v>
      </c>
      <c r="AV675" t="s">
        <v>130</v>
      </c>
    </row>
    <row r="676" spans="1:48" x14ac:dyDescent="0.3">
      <c r="A676" t="s">
        <v>2622</v>
      </c>
      <c r="B676" s="12">
        <v>45430</v>
      </c>
      <c r="C676" s="12">
        <v>45433</v>
      </c>
      <c r="D676" t="s">
        <v>2623</v>
      </c>
      <c r="E676" t="s">
        <v>170</v>
      </c>
      <c r="F676" t="s">
        <v>43</v>
      </c>
      <c r="G676" t="s">
        <v>8</v>
      </c>
      <c r="H676" t="s">
        <v>362</v>
      </c>
      <c r="I676" t="s">
        <v>363</v>
      </c>
      <c r="J676" t="s">
        <v>15</v>
      </c>
      <c r="K676" t="s">
        <v>22</v>
      </c>
      <c r="M676" t="s">
        <v>37</v>
      </c>
      <c r="N676">
        <v>1</v>
      </c>
      <c r="O676">
        <v>1033.71</v>
      </c>
      <c r="P676">
        <v>0</v>
      </c>
      <c r="Q676">
        <v>0</v>
      </c>
      <c r="R676">
        <v>1033.71</v>
      </c>
      <c r="S676">
        <v>630.82000000000005</v>
      </c>
      <c r="T676">
        <v>1033.71</v>
      </c>
      <c r="U676">
        <v>402.89</v>
      </c>
      <c r="V676">
        <v>0.389751477687166</v>
      </c>
      <c r="W676">
        <v>3</v>
      </c>
      <c r="X676" t="s">
        <v>173</v>
      </c>
      <c r="Y676">
        <v>2024</v>
      </c>
      <c r="Z676" t="s">
        <v>215</v>
      </c>
      <c r="AA676" t="s">
        <v>204</v>
      </c>
      <c r="AB676" t="s">
        <v>131</v>
      </c>
      <c r="AC676" t="s">
        <v>131</v>
      </c>
      <c r="AD676" t="s">
        <v>131</v>
      </c>
      <c r="AE676" t="s">
        <v>131</v>
      </c>
      <c r="AF676" t="s">
        <v>131</v>
      </c>
      <c r="AG676" t="s">
        <v>131</v>
      </c>
      <c r="AH676" t="s">
        <v>131</v>
      </c>
      <c r="AI676" t="s">
        <v>133</v>
      </c>
      <c r="AJ676" t="s">
        <v>2624</v>
      </c>
      <c r="AK676" t="s">
        <v>2625</v>
      </c>
      <c r="AL676" t="s">
        <v>170</v>
      </c>
      <c r="AM676" t="s">
        <v>43</v>
      </c>
      <c r="AN676" t="s">
        <v>8</v>
      </c>
      <c r="AO676" t="s">
        <v>362</v>
      </c>
      <c r="AP676" t="s">
        <v>363</v>
      </c>
      <c r="AQ676" t="s">
        <v>15</v>
      </c>
      <c r="AR676" t="s">
        <v>22</v>
      </c>
      <c r="AS676" t="s">
        <v>37</v>
      </c>
      <c r="AT676">
        <v>0</v>
      </c>
      <c r="AU676" t="s">
        <v>215</v>
      </c>
      <c r="AV676" t="s">
        <v>204</v>
      </c>
    </row>
    <row r="677" spans="1:48" x14ac:dyDescent="0.3">
      <c r="A677" t="s">
        <v>2626</v>
      </c>
      <c r="B677" s="12">
        <v>45815</v>
      </c>
      <c r="C677" s="12">
        <v>45818</v>
      </c>
      <c r="D677" t="s">
        <v>2511</v>
      </c>
      <c r="E677" t="s">
        <v>238</v>
      </c>
      <c r="F677" t="s">
        <v>42</v>
      </c>
      <c r="G677" t="s">
        <v>9</v>
      </c>
      <c r="H677" t="s">
        <v>126</v>
      </c>
      <c r="I677" t="s">
        <v>127</v>
      </c>
      <c r="J677" t="s">
        <v>18</v>
      </c>
      <c r="K677" t="s">
        <v>23</v>
      </c>
      <c r="M677" t="s">
        <v>38</v>
      </c>
      <c r="N677">
        <v>3</v>
      </c>
      <c r="O677">
        <v>963.26</v>
      </c>
      <c r="P677">
        <v>0</v>
      </c>
      <c r="Q677">
        <v>0</v>
      </c>
      <c r="R677">
        <v>2889.78</v>
      </c>
      <c r="S677">
        <v>1811.23</v>
      </c>
      <c r="T677">
        <v>2889.78</v>
      </c>
      <c r="U677">
        <v>1078.55</v>
      </c>
      <c r="V677">
        <v>0.37322910394562903</v>
      </c>
      <c r="W677">
        <v>3</v>
      </c>
      <c r="X677" t="s">
        <v>148</v>
      </c>
      <c r="Y677">
        <v>2025</v>
      </c>
      <c r="Z677" t="s">
        <v>129</v>
      </c>
      <c r="AA677" t="s">
        <v>130</v>
      </c>
      <c r="AB677" t="s">
        <v>131</v>
      </c>
      <c r="AC677" t="s">
        <v>131</v>
      </c>
      <c r="AD677" t="s">
        <v>131</v>
      </c>
      <c r="AE677" t="s">
        <v>131</v>
      </c>
      <c r="AF677" t="s">
        <v>131</v>
      </c>
      <c r="AG677" t="s">
        <v>131</v>
      </c>
      <c r="AH677" t="s">
        <v>132</v>
      </c>
      <c r="AI677" t="s">
        <v>133</v>
      </c>
      <c r="AJ677" t="s">
        <v>2627</v>
      </c>
      <c r="AK677" t="s">
        <v>2628</v>
      </c>
      <c r="AL677" t="s">
        <v>238</v>
      </c>
      <c r="AM677" t="s">
        <v>42</v>
      </c>
      <c r="AN677" t="s">
        <v>9</v>
      </c>
      <c r="AO677" t="s">
        <v>126</v>
      </c>
      <c r="AP677" t="s">
        <v>127</v>
      </c>
      <c r="AQ677" t="s">
        <v>18</v>
      </c>
      <c r="AR677" t="s">
        <v>23</v>
      </c>
      <c r="AS677" t="s">
        <v>38</v>
      </c>
      <c r="AT677">
        <v>0</v>
      </c>
      <c r="AU677" t="s">
        <v>129</v>
      </c>
      <c r="AV677" t="s">
        <v>130</v>
      </c>
    </row>
    <row r="678" spans="1:48" x14ac:dyDescent="0.3">
      <c r="A678" t="s">
        <v>2629</v>
      </c>
      <c r="B678" s="12">
        <v>45911</v>
      </c>
      <c r="C678" s="12">
        <v>45918</v>
      </c>
      <c r="D678" t="s">
        <v>2630</v>
      </c>
      <c r="E678" t="s">
        <v>227</v>
      </c>
      <c r="F678" t="s">
        <v>44</v>
      </c>
      <c r="G678" t="s">
        <v>9</v>
      </c>
      <c r="H678" t="s">
        <v>522</v>
      </c>
      <c r="I678" t="s">
        <v>523</v>
      </c>
      <c r="J678" t="s">
        <v>15</v>
      </c>
      <c r="K678" t="s">
        <v>17</v>
      </c>
      <c r="M678" t="s">
        <v>38</v>
      </c>
      <c r="N678">
        <v>7</v>
      </c>
      <c r="O678">
        <v>3411.21</v>
      </c>
      <c r="P678">
        <v>0.15</v>
      </c>
      <c r="Q678">
        <v>0.15</v>
      </c>
      <c r="R678">
        <v>20296.7</v>
      </c>
      <c r="S678">
        <v>14920.87</v>
      </c>
      <c r="T678">
        <v>20296.699499999999</v>
      </c>
      <c r="U678">
        <v>5375.8294999999998</v>
      </c>
      <c r="V678">
        <v>0.26486225014071901</v>
      </c>
      <c r="W678">
        <v>7</v>
      </c>
      <c r="X678" t="s">
        <v>196</v>
      </c>
      <c r="Y678">
        <v>2025</v>
      </c>
      <c r="Z678" t="s">
        <v>129</v>
      </c>
      <c r="AA678" t="s">
        <v>130</v>
      </c>
      <c r="AB678" t="s">
        <v>131</v>
      </c>
      <c r="AC678" t="s">
        <v>131</v>
      </c>
      <c r="AD678" t="s">
        <v>131</v>
      </c>
      <c r="AE678" t="s">
        <v>131</v>
      </c>
      <c r="AF678" t="s">
        <v>131</v>
      </c>
      <c r="AG678" t="s">
        <v>131</v>
      </c>
      <c r="AH678" t="s">
        <v>132</v>
      </c>
      <c r="AI678" t="s">
        <v>133</v>
      </c>
      <c r="AJ678" t="s">
        <v>2631</v>
      </c>
      <c r="AK678" t="s">
        <v>2632</v>
      </c>
      <c r="AL678" t="s">
        <v>227</v>
      </c>
      <c r="AM678" t="s">
        <v>44</v>
      </c>
      <c r="AN678" t="s">
        <v>9</v>
      </c>
      <c r="AO678" t="s">
        <v>522</v>
      </c>
      <c r="AP678" t="s">
        <v>523</v>
      </c>
      <c r="AQ678" t="s">
        <v>15</v>
      </c>
      <c r="AR678" t="s">
        <v>17</v>
      </c>
      <c r="AS678" t="s">
        <v>38</v>
      </c>
      <c r="AT678">
        <v>0.15</v>
      </c>
      <c r="AU678" t="s">
        <v>129</v>
      </c>
      <c r="AV678" t="s">
        <v>130</v>
      </c>
    </row>
    <row r="679" spans="1:48" x14ac:dyDescent="0.3">
      <c r="A679" t="s">
        <v>2633</v>
      </c>
      <c r="B679" s="12">
        <v>45465</v>
      </c>
      <c r="C679" s="12">
        <v>45470</v>
      </c>
      <c r="D679" t="s">
        <v>124</v>
      </c>
      <c r="E679" t="s">
        <v>147</v>
      </c>
      <c r="F679" t="s">
        <v>41</v>
      </c>
      <c r="G679" t="s">
        <v>6</v>
      </c>
      <c r="H679" t="s">
        <v>294</v>
      </c>
      <c r="I679" t="s">
        <v>295</v>
      </c>
      <c r="J679" t="s">
        <v>18</v>
      </c>
      <c r="K679" t="s">
        <v>19</v>
      </c>
      <c r="M679" t="s">
        <v>38</v>
      </c>
      <c r="N679">
        <v>7</v>
      </c>
      <c r="O679">
        <v>2623.48</v>
      </c>
      <c r="P679">
        <v>0</v>
      </c>
      <c r="Q679">
        <v>0</v>
      </c>
      <c r="R679">
        <v>18364.36</v>
      </c>
      <c r="S679">
        <v>15445.81</v>
      </c>
      <c r="T679">
        <v>18364.36</v>
      </c>
      <c r="U679">
        <v>2918.55</v>
      </c>
      <c r="V679">
        <v>0.15892467801763899</v>
      </c>
      <c r="W679">
        <v>5</v>
      </c>
      <c r="X679" t="s">
        <v>148</v>
      </c>
      <c r="Y679">
        <v>2024</v>
      </c>
      <c r="Z679" t="s">
        <v>129</v>
      </c>
      <c r="AA679" t="s">
        <v>130</v>
      </c>
      <c r="AB679" t="s">
        <v>131</v>
      </c>
      <c r="AC679" t="s">
        <v>131</v>
      </c>
      <c r="AD679" t="s">
        <v>131</v>
      </c>
      <c r="AE679" t="s">
        <v>131</v>
      </c>
      <c r="AF679" t="s">
        <v>131</v>
      </c>
      <c r="AG679" t="s">
        <v>131</v>
      </c>
      <c r="AH679" t="s">
        <v>132</v>
      </c>
      <c r="AI679" t="s">
        <v>133</v>
      </c>
      <c r="AJ679" t="s">
        <v>2634</v>
      </c>
      <c r="AK679" t="s">
        <v>2635</v>
      </c>
      <c r="AL679" t="s">
        <v>147</v>
      </c>
      <c r="AM679" t="s">
        <v>41</v>
      </c>
      <c r="AN679" t="s">
        <v>6</v>
      </c>
      <c r="AO679" t="s">
        <v>294</v>
      </c>
      <c r="AP679" t="s">
        <v>295</v>
      </c>
      <c r="AQ679" t="s">
        <v>18</v>
      </c>
      <c r="AR679" t="s">
        <v>19</v>
      </c>
      <c r="AS679" t="s">
        <v>38</v>
      </c>
      <c r="AT679">
        <v>0</v>
      </c>
      <c r="AU679" t="s">
        <v>129</v>
      </c>
      <c r="AV679" t="s">
        <v>130</v>
      </c>
    </row>
    <row r="680" spans="1:48" x14ac:dyDescent="0.3">
      <c r="A680" t="s">
        <v>2636</v>
      </c>
      <c r="B680" s="12">
        <v>45620</v>
      </c>
      <c r="C680" s="12">
        <v>45627</v>
      </c>
      <c r="D680" t="s">
        <v>2637</v>
      </c>
      <c r="E680" t="s">
        <v>409</v>
      </c>
      <c r="F680" t="s">
        <v>43</v>
      </c>
      <c r="G680" t="s">
        <v>6</v>
      </c>
      <c r="H680" t="s">
        <v>294</v>
      </c>
      <c r="I680" t="s">
        <v>295</v>
      </c>
      <c r="J680" t="s">
        <v>18</v>
      </c>
      <c r="K680" t="s">
        <v>27</v>
      </c>
      <c r="M680" t="s">
        <v>37</v>
      </c>
      <c r="N680">
        <v>9</v>
      </c>
      <c r="O680">
        <v>2763.61</v>
      </c>
      <c r="P680">
        <v>0.15</v>
      </c>
      <c r="Q680">
        <v>0.15</v>
      </c>
      <c r="R680">
        <v>21141.62</v>
      </c>
      <c r="S680">
        <v>11676.33</v>
      </c>
      <c r="T680">
        <v>21141.6165</v>
      </c>
      <c r="U680">
        <v>9465.2865000000002</v>
      </c>
      <c r="V680">
        <v>0.447708740719992</v>
      </c>
      <c r="W680">
        <v>7</v>
      </c>
      <c r="X680" t="s">
        <v>157</v>
      </c>
      <c r="Y680">
        <v>2024</v>
      </c>
      <c r="Z680" t="s">
        <v>129</v>
      </c>
      <c r="AA680" t="s">
        <v>130</v>
      </c>
      <c r="AB680" t="s">
        <v>131</v>
      </c>
      <c r="AC680" t="s">
        <v>131</v>
      </c>
      <c r="AD680" t="s">
        <v>131</v>
      </c>
      <c r="AE680" t="s">
        <v>131</v>
      </c>
      <c r="AF680" t="s">
        <v>131</v>
      </c>
      <c r="AG680" t="s">
        <v>131</v>
      </c>
      <c r="AH680" t="s">
        <v>132</v>
      </c>
      <c r="AI680" t="s">
        <v>133</v>
      </c>
      <c r="AJ680" t="s">
        <v>2638</v>
      </c>
      <c r="AK680" t="s">
        <v>2639</v>
      </c>
      <c r="AL680" t="s">
        <v>409</v>
      </c>
      <c r="AM680" t="s">
        <v>43</v>
      </c>
      <c r="AN680" t="s">
        <v>6</v>
      </c>
      <c r="AO680" t="s">
        <v>294</v>
      </c>
      <c r="AP680" t="s">
        <v>295</v>
      </c>
      <c r="AQ680" t="s">
        <v>18</v>
      </c>
      <c r="AR680" t="s">
        <v>27</v>
      </c>
      <c r="AS680" t="s">
        <v>37</v>
      </c>
      <c r="AT680">
        <v>0.15</v>
      </c>
      <c r="AU680" t="s">
        <v>129</v>
      </c>
      <c r="AV680" t="s">
        <v>130</v>
      </c>
    </row>
    <row r="681" spans="1:48" x14ac:dyDescent="0.3">
      <c r="A681" t="s">
        <v>2640</v>
      </c>
      <c r="B681" s="12">
        <v>45885</v>
      </c>
      <c r="C681" s="12">
        <v>45892</v>
      </c>
      <c r="D681" t="s">
        <v>2641</v>
      </c>
      <c r="E681" t="s">
        <v>255</v>
      </c>
      <c r="F681" t="s">
        <v>43</v>
      </c>
      <c r="G681" t="s">
        <v>9</v>
      </c>
      <c r="H681" t="s">
        <v>232</v>
      </c>
      <c r="I681" t="s">
        <v>233</v>
      </c>
      <c r="J681" t="s">
        <v>15</v>
      </c>
      <c r="K681" t="s">
        <v>16</v>
      </c>
      <c r="M681" t="s">
        <v>38</v>
      </c>
      <c r="N681">
        <v>4</v>
      </c>
      <c r="O681">
        <v>1410.57</v>
      </c>
      <c r="P681">
        <v>0.7</v>
      </c>
      <c r="Q681">
        <v>0</v>
      </c>
      <c r="R681">
        <v>5360.17</v>
      </c>
      <c r="S681">
        <v>3881.51</v>
      </c>
      <c r="T681">
        <v>5642.28</v>
      </c>
      <c r="U681">
        <v>1760.77</v>
      </c>
      <c r="V681">
        <v>0.31206710762315898</v>
      </c>
      <c r="W681">
        <v>7</v>
      </c>
      <c r="X681" t="s">
        <v>142</v>
      </c>
      <c r="Y681">
        <v>2025</v>
      </c>
      <c r="Z681" t="s">
        <v>203</v>
      </c>
      <c r="AA681" t="s">
        <v>165</v>
      </c>
      <c r="AB681" t="s">
        <v>131</v>
      </c>
      <c r="AC681" t="s">
        <v>131</v>
      </c>
      <c r="AD681" t="s">
        <v>131</v>
      </c>
      <c r="AE681" t="s">
        <v>131</v>
      </c>
      <c r="AF681" t="s">
        <v>132</v>
      </c>
      <c r="AG681" t="s">
        <v>131</v>
      </c>
      <c r="AH681" t="s">
        <v>131</v>
      </c>
      <c r="AI681" t="s">
        <v>149</v>
      </c>
      <c r="AJ681" t="s">
        <v>2642</v>
      </c>
      <c r="AK681" t="s">
        <v>632</v>
      </c>
      <c r="AL681" t="s">
        <v>255</v>
      </c>
      <c r="AM681" t="s">
        <v>43</v>
      </c>
      <c r="AN681" t="s">
        <v>9</v>
      </c>
      <c r="AO681" t="s">
        <v>232</v>
      </c>
      <c r="AP681" t="s">
        <v>233</v>
      </c>
      <c r="AQ681" t="s">
        <v>15</v>
      </c>
      <c r="AR681" t="s">
        <v>16</v>
      </c>
      <c r="AS681" t="s">
        <v>38</v>
      </c>
      <c r="AT681" t="s">
        <v>664</v>
      </c>
      <c r="AU681" t="s">
        <v>203</v>
      </c>
      <c r="AV681" t="s">
        <v>165</v>
      </c>
    </row>
    <row r="682" spans="1:48" x14ac:dyDescent="0.3">
      <c r="A682" t="s">
        <v>2643</v>
      </c>
      <c r="B682" s="12">
        <v>45441</v>
      </c>
      <c r="C682" s="12">
        <v>45448</v>
      </c>
      <c r="D682" t="s">
        <v>2644</v>
      </c>
      <c r="E682" t="s">
        <v>409</v>
      </c>
      <c r="F682" t="s">
        <v>43</v>
      </c>
      <c r="G682" t="s">
        <v>6</v>
      </c>
      <c r="H682" t="s">
        <v>385</v>
      </c>
      <c r="I682" t="s">
        <v>386</v>
      </c>
      <c r="J682" t="s">
        <v>15</v>
      </c>
      <c r="K682" t="s">
        <v>22</v>
      </c>
      <c r="M682" t="s">
        <v>36</v>
      </c>
      <c r="N682">
        <v>4</v>
      </c>
      <c r="O682">
        <v>3700.24</v>
      </c>
      <c r="P682">
        <v>0</v>
      </c>
      <c r="Q682">
        <v>0</v>
      </c>
      <c r="R682">
        <v>14800.96</v>
      </c>
      <c r="S682">
        <v>12048.39</v>
      </c>
      <c r="T682">
        <v>14800.96</v>
      </c>
      <c r="U682">
        <v>2752.57</v>
      </c>
      <c r="V682">
        <v>0.18597239638509899</v>
      </c>
      <c r="W682">
        <v>7</v>
      </c>
      <c r="X682" t="s">
        <v>173</v>
      </c>
      <c r="Y682">
        <v>2024</v>
      </c>
      <c r="Z682" t="s">
        <v>129</v>
      </c>
      <c r="AA682" t="s">
        <v>130</v>
      </c>
      <c r="AB682" t="s">
        <v>131</v>
      </c>
      <c r="AC682" t="s">
        <v>131</v>
      </c>
      <c r="AD682" t="s">
        <v>131</v>
      </c>
      <c r="AE682" t="s">
        <v>131</v>
      </c>
      <c r="AF682" t="s">
        <v>131</v>
      </c>
      <c r="AG682" t="s">
        <v>131</v>
      </c>
      <c r="AH682" t="s">
        <v>132</v>
      </c>
      <c r="AI682" t="s">
        <v>133</v>
      </c>
      <c r="AJ682" t="s">
        <v>335</v>
      </c>
      <c r="AK682" t="s">
        <v>581</v>
      </c>
      <c r="AL682" t="s">
        <v>409</v>
      </c>
      <c r="AM682" t="s">
        <v>43</v>
      </c>
      <c r="AN682" t="s">
        <v>6</v>
      </c>
      <c r="AO682" t="s">
        <v>385</v>
      </c>
      <c r="AP682" t="s">
        <v>386</v>
      </c>
      <c r="AQ682" t="s">
        <v>15</v>
      </c>
      <c r="AR682" t="s">
        <v>22</v>
      </c>
      <c r="AS682" t="s">
        <v>36</v>
      </c>
      <c r="AT682">
        <v>0</v>
      </c>
      <c r="AU682" t="s">
        <v>129</v>
      </c>
      <c r="AV682" t="s">
        <v>130</v>
      </c>
    </row>
    <row r="683" spans="1:48" x14ac:dyDescent="0.3">
      <c r="A683" t="s">
        <v>2645</v>
      </c>
      <c r="B683" s="12">
        <v>45477</v>
      </c>
      <c r="C683" s="12">
        <v>45483</v>
      </c>
      <c r="D683" t="s">
        <v>2646</v>
      </c>
      <c r="E683" t="s">
        <v>170</v>
      </c>
      <c r="F683" t="s">
        <v>43</v>
      </c>
      <c r="G683" t="s">
        <v>9</v>
      </c>
      <c r="H683" t="s">
        <v>522</v>
      </c>
      <c r="I683" t="s">
        <v>523</v>
      </c>
      <c r="J683" t="s">
        <v>18</v>
      </c>
      <c r="K683" t="s">
        <v>27</v>
      </c>
      <c r="M683" t="s">
        <v>37</v>
      </c>
      <c r="N683">
        <v>5</v>
      </c>
      <c r="O683">
        <v>1200.27</v>
      </c>
      <c r="P683">
        <v>0</v>
      </c>
      <c r="Q683">
        <v>0</v>
      </c>
      <c r="R683">
        <v>6001.35</v>
      </c>
      <c r="S683">
        <v>4182.99</v>
      </c>
      <c r="T683">
        <v>6001.35</v>
      </c>
      <c r="U683">
        <v>1818.36</v>
      </c>
      <c r="V683">
        <v>0.30299182683896098</v>
      </c>
      <c r="W683">
        <v>6</v>
      </c>
      <c r="X683" t="s">
        <v>128</v>
      </c>
      <c r="Y683">
        <v>2024</v>
      </c>
      <c r="Z683" t="s">
        <v>129</v>
      </c>
      <c r="AA683" t="s">
        <v>165</v>
      </c>
      <c r="AB683" t="s">
        <v>131</v>
      </c>
      <c r="AC683" t="s">
        <v>131</v>
      </c>
      <c r="AD683" t="s">
        <v>131</v>
      </c>
      <c r="AE683" t="s">
        <v>131</v>
      </c>
      <c r="AF683" t="s">
        <v>131</v>
      </c>
      <c r="AG683" t="s">
        <v>131</v>
      </c>
      <c r="AH683" t="s">
        <v>131</v>
      </c>
      <c r="AI683" t="s">
        <v>133</v>
      </c>
      <c r="AJ683" t="s">
        <v>2647</v>
      </c>
      <c r="AK683" t="s">
        <v>2648</v>
      </c>
      <c r="AL683" t="s">
        <v>170</v>
      </c>
      <c r="AM683" t="s">
        <v>43</v>
      </c>
      <c r="AN683" t="s">
        <v>9</v>
      </c>
      <c r="AO683" t="s">
        <v>522</v>
      </c>
      <c r="AP683" t="s">
        <v>523</v>
      </c>
      <c r="AQ683" t="s">
        <v>18</v>
      </c>
      <c r="AR683" t="s">
        <v>27</v>
      </c>
      <c r="AS683" t="s">
        <v>37</v>
      </c>
      <c r="AT683">
        <v>0</v>
      </c>
      <c r="AU683" t="s">
        <v>129</v>
      </c>
      <c r="AV683" t="s">
        <v>165</v>
      </c>
    </row>
    <row r="684" spans="1:48" x14ac:dyDescent="0.3">
      <c r="A684" t="s">
        <v>2649</v>
      </c>
      <c r="B684" s="12">
        <v>45693</v>
      </c>
      <c r="C684" s="12">
        <v>45693</v>
      </c>
      <c r="D684" t="s">
        <v>2650</v>
      </c>
      <c r="E684" t="s">
        <v>162</v>
      </c>
      <c r="F684" t="s">
        <v>43</v>
      </c>
      <c r="G684" t="s">
        <v>9</v>
      </c>
      <c r="H684" t="s">
        <v>372</v>
      </c>
      <c r="I684" t="s">
        <v>373</v>
      </c>
      <c r="J684" t="s">
        <v>20</v>
      </c>
      <c r="K684" t="s">
        <v>21</v>
      </c>
      <c r="M684" t="s">
        <v>38</v>
      </c>
      <c r="N684">
        <v>3</v>
      </c>
      <c r="O684">
        <v>2590.7800000000002</v>
      </c>
      <c r="Q684">
        <v>0</v>
      </c>
      <c r="R684">
        <v>7383.72</v>
      </c>
      <c r="S684">
        <v>4113.66</v>
      </c>
      <c r="T684">
        <v>7772.34</v>
      </c>
      <c r="U684">
        <v>3658.68</v>
      </c>
      <c r="V684">
        <v>0.47073082237781699</v>
      </c>
      <c r="W684">
        <v>0</v>
      </c>
      <c r="X684" t="s">
        <v>186</v>
      </c>
      <c r="Y684">
        <v>2025</v>
      </c>
      <c r="Z684" t="s">
        <v>129</v>
      </c>
      <c r="AA684" t="s">
        <v>130</v>
      </c>
      <c r="AB684" t="s">
        <v>131</v>
      </c>
      <c r="AC684" t="s">
        <v>131</v>
      </c>
      <c r="AD684" t="s">
        <v>132</v>
      </c>
      <c r="AE684" t="s">
        <v>131</v>
      </c>
      <c r="AF684" t="s">
        <v>131</v>
      </c>
      <c r="AG684" t="s">
        <v>131</v>
      </c>
      <c r="AH684" t="s">
        <v>132</v>
      </c>
      <c r="AI684" t="s">
        <v>321</v>
      </c>
      <c r="AJ684" t="s">
        <v>392</v>
      </c>
      <c r="AK684" t="s">
        <v>2399</v>
      </c>
      <c r="AL684" t="s">
        <v>2651</v>
      </c>
      <c r="AM684" t="s">
        <v>43</v>
      </c>
      <c r="AN684" t="s">
        <v>9</v>
      </c>
      <c r="AO684" t="s">
        <v>372</v>
      </c>
      <c r="AP684" t="s">
        <v>373</v>
      </c>
      <c r="AQ684" t="s">
        <v>20</v>
      </c>
      <c r="AR684" t="s">
        <v>21</v>
      </c>
      <c r="AS684" t="s">
        <v>38</v>
      </c>
      <c r="AU684" t="s">
        <v>129</v>
      </c>
      <c r="AV684" t="s">
        <v>130</v>
      </c>
    </row>
    <row r="685" spans="1:48" x14ac:dyDescent="0.3">
      <c r="A685" t="s">
        <v>2652</v>
      </c>
      <c r="B685" s="12">
        <v>45858</v>
      </c>
      <c r="C685" s="12">
        <v>45862</v>
      </c>
      <c r="D685" t="s">
        <v>2653</v>
      </c>
      <c r="E685" t="s">
        <v>154</v>
      </c>
      <c r="F685" t="s">
        <v>44</v>
      </c>
      <c r="G685" t="s">
        <v>6</v>
      </c>
      <c r="H685" t="s">
        <v>155</v>
      </c>
      <c r="I685" t="s">
        <v>156</v>
      </c>
      <c r="J685" t="s">
        <v>18</v>
      </c>
      <c r="K685" t="s">
        <v>23</v>
      </c>
      <c r="M685" t="s">
        <v>37</v>
      </c>
      <c r="N685">
        <v>6</v>
      </c>
      <c r="O685">
        <v>1646.45</v>
      </c>
      <c r="P685">
        <v>0.2</v>
      </c>
      <c r="Q685">
        <v>0.2</v>
      </c>
      <c r="R685">
        <v>7902.96</v>
      </c>
      <c r="S685">
        <v>5512.03</v>
      </c>
      <c r="T685">
        <v>7902.96</v>
      </c>
      <c r="U685">
        <v>2390.9299999999998</v>
      </c>
      <c r="V685">
        <v>0.30253601182341799</v>
      </c>
      <c r="W685">
        <v>4</v>
      </c>
      <c r="X685" t="s">
        <v>128</v>
      </c>
      <c r="Y685">
        <v>2025</v>
      </c>
      <c r="Z685" t="s">
        <v>203</v>
      </c>
      <c r="AA685" t="s">
        <v>165</v>
      </c>
      <c r="AB685" t="s">
        <v>131</v>
      </c>
      <c r="AC685" t="s">
        <v>131</v>
      </c>
      <c r="AD685" t="s">
        <v>131</v>
      </c>
      <c r="AE685" t="s">
        <v>131</v>
      </c>
      <c r="AF685" t="s">
        <v>131</v>
      </c>
      <c r="AG685" t="s">
        <v>131</v>
      </c>
      <c r="AH685" t="s">
        <v>131</v>
      </c>
      <c r="AI685" t="s">
        <v>133</v>
      </c>
      <c r="AJ685" t="s">
        <v>2654</v>
      </c>
      <c r="AK685" t="s">
        <v>1498</v>
      </c>
      <c r="AL685" t="s">
        <v>154</v>
      </c>
      <c r="AM685" t="s">
        <v>44</v>
      </c>
      <c r="AN685" t="s">
        <v>6</v>
      </c>
      <c r="AO685" t="s">
        <v>155</v>
      </c>
      <c r="AP685" t="s">
        <v>156</v>
      </c>
      <c r="AQ685" t="s">
        <v>18</v>
      </c>
      <c r="AR685" t="s">
        <v>23</v>
      </c>
      <c r="AS685" t="s">
        <v>37</v>
      </c>
      <c r="AT685">
        <v>0.2</v>
      </c>
      <c r="AU685" t="s">
        <v>203</v>
      </c>
      <c r="AV685" t="s">
        <v>165</v>
      </c>
    </row>
    <row r="686" spans="1:48" x14ac:dyDescent="0.3">
      <c r="A686" t="s">
        <v>2655</v>
      </c>
      <c r="B686" s="12">
        <v>45859</v>
      </c>
      <c r="C686" s="12">
        <v>45859</v>
      </c>
      <c r="D686" t="s">
        <v>2656</v>
      </c>
      <c r="E686" t="s">
        <v>147</v>
      </c>
      <c r="F686" t="s">
        <v>41</v>
      </c>
      <c r="G686" t="s">
        <v>6</v>
      </c>
      <c r="H686" t="s">
        <v>385</v>
      </c>
      <c r="I686" t="s">
        <v>386</v>
      </c>
      <c r="J686" t="s">
        <v>18</v>
      </c>
      <c r="K686" t="s">
        <v>26</v>
      </c>
      <c r="M686" t="s">
        <v>36</v>
      </c>
      <c r="N686">
        <v>7</v>
      </c>
      <c r="O686">
        <v>4396.6499999999996</v>
      </c>
      <c r="P686">
        <v>0.2</v>
      </c>
      <c r="Q686">
        <v>0.2</v>
      </c>
      <c r="R686">
        <v>24621.24</v>
      </c>
      <c r="S686">
        <v>17155.48</v>
      </c>
      <c r="T686">
        <v>24621.24</v>
      </c>
      <c r="U686">
        <v>7465.76</v>
      </c>
      <c r="V686">
        <v>0.30322437050286699</v>
      </c>
      <c r="W686">
        <v>0</v>
      </c>
      <c r="X686" t="s">
        <v>128</v>
      </c>
      <c r="Y686">
        <v>2025</v>
      </c>
      <c r="Z686" t="s">
        <v>203</v>
      </c>
      <c r="AA686" t="s">
        <v>165</v>
      </c>
      <c r="AB686" t="s">
        <v>131</v>
      </c>
      <c r="AC686" t="s">
        <v>131</v>
      </c>
      <c r="AD686" t="s">
        <v>131</v>
      </c>
      <c r="AE686" t="s">
        <v>131</v>
      </c>
      <c r="AF686" t="s">
        <v>131</v>
      </c>
      <c r="AG686" t="s">
        <v>131</v>
      </c>
      <c r="AH686" t="s">
        <v>131</v>
      </c>
      <c r="AI686" t="s">
        <v>133</v>
      </c>
      <c r="AJ686" t="s">
        <v>2657</v>
      </c>
      <c r="AK686" t="s">
        <v>514</v>
      </c>
      <c r="AL686" t="s">
        <v>147</v>
      </c>
      <c r="AM686" t="s">
        <v>41</v>
      </c>
      <c r="AN686" t="s">
        <v>6</v>
      </c>
      <c r="AO686" t="s">
        <v>385</v>
      </c>
      <c r="AP686" t="s">
        <v>386</v>
      </c>
      <c r="AQ686" t="s">
        <v>18</v>
      </c>
      <c r="AR686" t="s">
        <v>26</v>
      </c>
      <c r="AS686" t="s">
        <v>36</v>
      </c>
      <c r="AT686">
        <v>0.2</v>
      </c>
      <c r="AU686" t="s">
        <v>203</v>
      </c>
      <c r="AV686" t="s">
        <v>165</v>
      </c>
    </row>
    <row r="687" spans="1:48" x14ac:dyDescent="0.3">
      <c r="A687" t="s">
        <v>2658</v>
      </c>
      <c r="B687" s="12">
        <v>45931</v>
      </c>
      <c r="C687" s="12">
        <v>45933</v>
      </c>
      <c r="D687" t="s">
        <v>2280</v>
      </c>
      <c r="E687" t="s">
        <v>178</v>
      </c>
      <c r="F687" t="s">
        <v>43</v>
      </c>
      <c r="G687" t="s">
        <v>7</v>
      </c>
      <c r="H687" t="s">
        <v>311</v>
      </c>
      <c r="I687" t="s">
        <v>312</v>
      </c>
      <c r="J687" t="s">
        <v>20</v>
      </c>
      <c r="K687" t="s">
        <v>29</v>
      </c>
      <c r="M687" t="s">
        <v>35</v>
      </c>
      <c r="N687">
        <v>9</v>
      </c>
      <c r="O687">
        <v>818.15</v>
      </c>
      <c r="P687">
        <v>0.55000000000000004</v>
      </c>
      <c r="Q687">
        <v>0</v>
      </c>
      <c r="R687">
        <v>6627.01</v>
      </c>
      <c r="S687">
        <v>5606.79</v>
      </c>
      <c r="T687">
        <v>7363.35</v>
      </c>
      <c r="U687">
        <v>1756.56</v>
      </c>
      <c r="V687">
        <v>0.23855446230316399</v>
      </c>
      <c r="W687">
        <v>2</v>
      </c>
      <c r="X687" t="s">
        <v>222</v>
      </c>
      <c r="Y687">
        <v>2025</v>
      </c>
      <c r="Z687" t="s">
        <v>269</v>
      </c>
      <c r="AA687" t="s">
        <v>165</v>
      </c>
      <c r="AB687" t="s">
        <v>131</v>
      </c>
      <c r="AC687" t="s">
        <v>131</v>
      </c>
      <c r="AD687" t="s">
        <v>131</v>
      </c>
      <c r="AE687" t="s">
        <v>131</v>
      </c>
      <c r="AF687" t="s">
        <v>132</v>
      </c>
      <c r="AG687" t="s">
        <v>131</v>
      </c>
      <c r="AH687" t="s">
        <v>131</v>
      </c>
      <c r="AI687" t="s">
        <v>149</v>
      </c>
      <c r="AJ687" t="s">
        <v>2659</v>
      </c>
      <c r="AK687" t="s">
        <v>518</v>
      </c>
      <c r="AL687" t="s">
        <v>178</v>
      </c>
      <c r="AM687" t="s">
        <v>43</v>
      </c>
      <c r="AN687" t="s">
        <v>7</v>
      </c>
      <c r="AO687" t="s">
        <v>311</v>
      </c>
      <c r="AP687" t="s">
        <v>312</v>
      </c>
      <c r="AQ687" t="s">
        <v>20</v>
      </c>
      <c r="AR687" t="s">
        <v>29</v>
      </c>
      <c r="AS687" t="s">
        <v>35</v>
      </c>
      <c r="AT687">
        <v>0.55000000000000004</v>
      </c>
      <c r="AU687" t="s">
        <v>269</v>
      </c>
      <c r="AV687" t="s">
        <v>165</v>
      </c>
    </row>
    <row r="688" spans="1:48" x14ac:dyDescent="0.3">
      <c r="A688" t="s">
        <v>2660</v>
      </c>
      <c r="B688" s="12">
        <v>45376</v>
      </c>
      <c r="C688" s="12">
        <v>45384</v>
      </c>
      <c r="D688" t="s">
        <v>2661</v>
      </c>
      <c r="E688" t="s">
        <v>243</v>
      </c>
      <c r="F688" t="s">
        <v>41</v>
      </c>
      <c r="G688" t="s">
        <v>6</v>
      </c>
      <c r="H688" t="s">
        <v>385</v>
      </c>
      <c r="I688" t="s">
        <v>386</v>
      </c>
      <c r="J688" t="s">
        <v>15</v>
      </c>
      <c r="K688" t="s">
        <v>16</v>
      </c>
      <c r="M688" t="s">
        <v>35</v>
      </c>
      <c r="N688">
        <v>2</v>
      </c>
      <c r="O688">
        <v>2349.13</v>
      </c>
      <c r="P688">
        <v>0</v>
      </c>
      <c r="Q688">
        <v>0</v>
      </c>
      <c r="R688">
        <v>4698.26</v>
      </c>
      <c r="S688">
        <v>2654.92</v>
      </c>
      <c r="T688">
        <v>4698.26</v>
      </c>
      <c r="U688">
        <v>2043.34</v>
      </c>
      <c r="V688">
        <v>0.43491420227914201</v>
      </c>
      <c r="W688">
        <v>8</v>
      </c>
      <c r="X688" t="s">
        <v>278</v>
      </c>
      <c r="Y688">
        <v>2024</v>
      </c>
      <c r="Z688" t="s">
        <v>129</v>
      </c>
      <c r="AA688" t="s">
        <v>130</v>
      </c>
      <c r="AB688" t="s">
        <v>131</v>
      </c>
      <c r="AC688" t="s">
        <v>131</v>
      </c>
      <c r="AD688" t="s">
        <v>131</v>
      </c>
      <c r="AE688" t="s">
        <v>131</v>
      </c>
      <c r="AF688" t="s">
        <v>131</v>
      </c>
      <c r="AG688" t="s">
        <v>131</v>
      </c>
      <c r="AH688" t="s">
        <v>132</v>
      </c>
      <c r="AI688" t="s">
        <v>133</v>
      </c>
      <c r="AJ688" t="s">
        <v>2662</v>
      </c>
      <c r="AK688" t="s">
        <v>1843</v>
      </c>
      <c r="AL688" t="s">
        <v>243</v>
      </c>
      <c r="AM688" t="s">
        <v>41</v>
      </c>
      <c r="AN688" t="s">
        <v>6</v>
      </c>
      <c r="AO688" t="s">
        <v>385</v>
      </c>
      <c r="AP688" t="s">
        <v>386</v>
      </c>
      <c r="AQ688" t="s">
        <v>15</v>
      </c>
      <c r="AR688" t="s">
        <v>16</v>
      </c>
      <c r="AS688" t="s">
        <v>35</v>
      </c>
      <c r="AT688">
        <v>0</v>
      </c>
      <c r="AU688" t="s">
        <v>129</v>
      </c>
      <c r="AV688" t="s">
        <v>130</v>
      </c>
    </row>
    <row r="689" spans="1:48" x14ac:dyDescent="0.3">
      <c r="A689" t="s">
        <v>2663</v>
      </c>
      <c r="B689" s="12">
        <v>45938</v>
      </c>
      <c r="C689" s="12">
        <v>45943</v>
      </c>
      <c r="D689" t="s">
        <v>2664</v>
      </c>
      <c r="E689" t="s">
        <v>139</v>
      </c>
      <c r="F689" t="s">
        <v>41</v>
      </c>
      <c r="G689" t="s">
        <v>9</v>
      </c>
      <c r="H689" t="s">
        <v>232</v>
      </c>
      <c r="I689" t="s">
        <v>233</v>
      </c>
      <c r="J689" t="s">
        <v>18</v>
      </c>
      <c r="K689" t="s">
        <v>27</v>
      </c>
      <c r="M689" t="s">
        <v>36</v>
      </c>
      <c r="N689">
        <v>4</v>
      </c>
      <c r="O689">
        <v>172.05</v>
      </c>
      <c r="P689">
        <v>0</v>
      </c>
      <c r="Q689">
        <v>0</v>
      </c>
      <c r="R689">
        <v>688.2</v>
      </c>
      <c r="S689">
        <v>497.68</v>
      </c>
      <c r="T689">
        <v>688.2</v>
      </c>
      <c r="U689">
        <v>190.52</v>
      </c>
      <c r="V689">
        <v>0.27683812845103201</v>
      </c>
      <c r="W689">
        <v>5</v>
      </c>
      <c r="X689" t="s">
        <v>222</v>
      </c>
      <c r="Y689">
        <v>2025</v>
      </c>
      <c r="Z689" t="s">
        <v>269</v>
      </c>
      <c r="AA689" t="s">
        <v>165</v>
      </c>
      <c r="AB689" t="s">
        <v>131</v>
      </c>
      <c r="AC689" t="s">
        <v>131</v>
      </c>
      <c r="AD689" t="s">
        <v>131</v>
      </c>
      <c r="AE689" t="s">
        <v>131</v>
      </c>
      <c r="AF689" t="s">
        <v>131</v>
      </c>
      <c r="AG689" t="s">
        <v>131</v>
      </c>
      <c r="AH689" t="s">
        <v>131</v>
      </c>
      <c r="AI689" t="s">
        <v>133</v>
      </c>
      <c r="AJ689" t="s">
        <v>1075</v>
      </c>
      <c r="AK689" t="s">
        <v>2665</v>
      </c>
      <c r="AL689" t="s">
        <v>139</v>
      </c>
      <c r="AM689" t="s">
        <v>41</v>
      </c>
      <c r="AN689" t="s">
        <v>9</v>
      </c>
      <c r="AO689" t="s">
        <v>232</v>
      </c>
      <c r="AP689" t="s">
        <v>233</v>
      </c>
      <c r="AQ689" t="s">
        <v>18</v>
      </c>
      <c r="AR689" t="s">
        <v>27</v>
      </c>
      <c r="AS689" t="s">
        <v>36</v>
      </c>
      <c r="AT689">
        <v>0</v>
      </c>
      <c r="AU689" t="s">
        <v>269</v>
      </c>
      <c r="AV689" t="s">
        <v>165</v>
      </c>
    </row>
    <row r="690" spans="1:48" x14ac:dyDescent="0.3">
      <c r="A690" t="s">
        <v>2666</v>
      </c>
      <c r="B690" s="12">
        <v>45714</v>
      </c>
      <c r="C690" s="12">
        <v>45715</v>
      </c>
      <c r="D690" t="s">
        <v>2667</v>
      </c>
      <c r="E690" t="s">
        <v>178</v>
      </c>
      <c r="F690" t="s">
        <v>41</v>
      </c>
      <c r="G690" t="s">
        <v>9</v>
      </c>
      <c r="H690" t="s">
        <v>372</v>
      </c>
      <c r="I690" t="s">
        <v>373</v>
      </c>
      <c r="J690" t="s">
        <v>20</v>
      </c>
      <c r="K690" t="s">
        <v>29</v>
      </c>
      <c r="M690" t="s">
        <v>37</v>
      </c>
      <c r="N690">
        <v>6</v>
      </c>
      <c r="O690">
        <v>3037.66</v>
      </c>
      <c r="P690">
        <v>0.15</v>
      </c>
      <c r="Q690">
        <v>0.15</v>
      </c>
      <c r="R690">
        <v>15492.07</v>
      </c>
      <c r="S690">
        <v>12581.23</v>
      </c>
      <c r="T690">
        <v>15492.066000000001</v>
      </c>
      <c r="U690">
        <v>2910.8359999999998</v>
      </c>
      <c r="V690">
        <v>0.18789204745190199</v>
      </c>
      <c r="W690">
        <v>1</v>
      </c>
      <c r="X690" t="s">
        <v>186</v>
      </c>
      <c r="Y690">
        <v>2025</v>
      </c>
      <c r="Z690" t="s">
        <v>129</v>
      </c>
      <c r="AA690" t="s">
        <v>130</v>
      </c>
      <c r="AB690" t="s">
        <v>131</v>
      </c>
      <c r="AC690" t="s">
        <v>131</v>
      </c>
      <c r="AD690" t="s">
        <v>131</v>
      </c>
      <c r="AE690" t="s">
        <v>131</v>
      </c>
      <c r="AF690" t="s">
        <v>131</v>
      </c>
      <c r="AG690" t="s">
        <v>131</v>
      </c>
      <c r="AH690" t="s">
        <v>132</v>
      </c>
      <c r="AI690" t="s">
        <v>133</v>
      </c>
      <c r="AJ690" t="s">
        <v>1052</v>
      </c>
      <c r="AK690" t="s">
        <v>2668</v>
      </c>
      <c r="AL690" t="s">
        <v>178</v>
      </c>
      <c r="AM690" t="s">
        <v>41</v>
      </c>
      <c r="AN690" t="s">
        <v>9</v>
      </c>
      <c r="AO690" t="s">
        <v>372</v>
      </c>
      <c r="AP690" t="s">
        <v>373</v>
      </c>
      <c r="AQ690" t="s">
        <v>20</v>
      </c>
      <c r="AR690" t="s">
        <v>29</v>
      </c>
      <c r="AS690" t="s">
        <v>37</v>
      </c>
      <c r="AT690">
        <v>0.15</v>
      </c>
      <c r="AU690" t="s">
        <v>129</v>
      </c>
      <c r="AV690" t="s">
        <v>130</v>
      </c>
    </row>
    <row r="691" spans="1:48" x14ac:dyDescent="0.3">
      <c r="A691" t="s">
        <v>2669</v>
      </c>
      <c r="B691" s="12">
        <v>45570</v>
      </c>
      <c r="C691" s="12">
        <v>45571</v>
      </c>
      <c r="D691" t="s">
        <v>2670</v>
      </c>
      <c r="E691" t="s">
        <v>255</v>
      </c>
      <c r="F691" t="s">
        <v>44</v>
      </c>
      <c r="G691" t="s">
        <v>9</v>
      </c>
      <c r="H691" t="s">
        <v>232</v>
      </c>
      <c r="I691" t="s">
        <v>233</v>
      </c>
      <c r="J691" t="s">
        <v>18</v>
      </c>
      <c r="K691" t="s">
        <v>27</v>
      </c>
      <c r="M691" t="s">
        <v>35</v>
      </c>
      <c r="N691">
        <v>9</v>
      </c>
      <c r="O691">
        <v>489.58</v>
      </c>
      <c r="P691">
        <v>0.15</v>
      </c>
      <c r="Q691">
        <v>0.15</v>
      </c>
      <c r="R691">
        <v>3745.29</v>
      </c>
      <c r="S691">
        <v>2302.65</v>
      </c>
      <c r="T691">
        <v>3745.2869999999998</v>
      </c>
      <c r="U691">
        <v>1442.6369999999999</v>
      </c>
      <c r="V691">
        <v>0.38518730340291701</v>
      </c>
      <c r="W691">
        <v>1</v>
      </c>
      <c r="X691" t="s">
        <v>222</v>
      </c>
      <c r="Y691">
        <v>2024</v>
      </c>
      <c r="Z691" t="s">
        <v>269</v>
      </c>
      <c r="AA691" t="s">
        <v>165</v>
      </c>
      <c r="AB691" t="s">
        <v>131</v>
      </c>
      <c r="AC691" t="s">
        <v>131</v>
      </c>
      <c r="AD691" t="s">
        <v>131</v>
      </c>
      <c r="AE691" t="s">
        <v>131</v>
      </c>
      <c r="AF691" t="s">
        <v>131</v>
      </c>
      <c r="AG691" t="s">
        <v>131</v>
      </c>
      <c r="AH691" t="s">
        <v>131</v>
      </c>
      <c r="AI691" t="s">
        <v>133</v>
      </c>
      <c r="AJ691" t="s">
        <v>2671</v>
      </c>
      <c r="AK691" t="s">
        <v>2672</v>
      </c>
      <c r="AL691" t="s">
        <v>255</v>
      </c>
      <c r="AM691" t="s">
        <v>44</v>
      </c>
      <c r="AN691" t="s">
        <v>9</v>
      </c>
      <c r="AO691" t="s">
        <v>232</v>
      </c>
      <c r="AP691" t="s">
        <v>233</v>
      </c>
      <c r="AQ691" t="s">
        <v>18</v>
      </c>
      <c r="AR691" t="s">
        <v>27</v>
      </c>
      <c r="AS691" t="s">
        <v>35</v>
      </c>
      <c r="AT691">
        <v>0.15</v>
      </c>
      <c r="AU691" t="s">
        <v>269</v>
      </c>
      <c r="AV691" t="s">
        <v>165</v>
      </c>
    </row>
    <row r="692" spans="1:48" x14ac:dyDescent="0.3">
      <c r="A692" t="s">
        <v>2673</v>
      </c>
      <c r="B692" s="12">
        <v>45546</v>
      </c>
      <c r="C692" s="12">
        <v>45550</v>
      </c>
      <c r="D692" t="s">
        <v>2674</v>
      </c>
      <c r="E692" t="s">
        <v>243</v>
      </c>
      <c r="F692" t="s">
        <v>43</v>
      </c>
      <c r="G692" t="s">
        <v>6</v>
      </c>
      <c r="H692" t="s">
        <v>385</v>
      </c>
      <c r="I692" t="s">
        <v>386</v>
      </c>
      <c r="J692" t="s">
        <v>20</v>
      </c>
      <c r="K692" t="s">
        <v>29</v>
      </c>
      <c r="M692" t="s">
        <v>35</v>
      </c>
      <c r="N692">
        <v>4</v>
      </c>
      <c r="O692">
        <v>865.63</v>
      </c>
      <c r="P692">
        <v>0</v>
      </c>
      <c r="Q692">
        <v>0</v>
      </c>
      <c r="R692">
        <v>3462.52</v>
      </c>
      <c r="S692">
        <v>2797.29</v>
      </c>
      <c r="T692">
        <v>3462.52</v>
      </c>
      <c r="U692">
        <v>665.23</v>
      </c>
      <c r="V692">
        <v>0.192123077989441</v>
      </c>
      <c r="W692">
        <v>4</v>
      </c>
      <c r="X692" t="s">
        <v>196</v>
      </c>
      <c r="Y692">
        <v>2024</v>
      </c>
      <c r="Z692" t="s">
        <v>269</v>
      </c>
      <c r="AA692" t="s">
        <v>204</v>
      </c>
      <c r="AB692" t="s">
        <v>131</v>
      </c>
      <c r="AC692" t="s">
        <v>131</v>
      </c>
      <c r="AD692" t="s">
        <v>131</v>
      </c>
      <c r="AE692" t="s">
        <v>131</v>
      </c>
      <c r="AF692" t="s">
        <v>131</v>
      </c>
      <c r="AG692" t="s">
        <v>131</v>
      </c>
      <c r="AH692" t="s">
        <v>131</v>
      </c>
      <c r="AI692" t="s">
        <v>133</v>
      </c>
      <c r="AJ692" t="s">
        <v>824</v>
      </c>
      <c r="AK692" t="s">
        <v>2675</v>
      </c>
      <c r="AL692" t="s">
        <v>243</v>
      </c>
      <c r="AM692" t="s">
        <v>43</v>
      </c>
      <c r="AN692" t="s">
        <v>6</v>
      </c>
      <c r="AO692" t="s">
        <v>385</v>
      </c>
      <c r="AP692" t="s">
        <v>386</v>
      </c>
      <c r="AQ692" t="s">
        <v>20</v>
      </c>
      <c r="AR692" t="s">
        <v>29</v>
      </c>
      <c r="AS692" t="s">
        <v>35</v>
      </c>
      <c r="AT692">
        <v>0</v>
      </c>
      <c r="AU692" t="s">
        <v>269</v>
      </c>
      <c r="AV692" t="s">
        <v>204</v>
      </c>
    </row>
    <row r="693" spans="1:48" x14ac:dyDescent="0.3">
      <c r="A693" t="s">
        <v>2676</v>
      </c>
      <c r="B693" s="12">
        <v>45641</v>
      </c>
      <c r="C693" s="12">
        <v>45642</v>
      </c>
      <c r="D693" t="s">
        <v>2677</v>
      </c>
      <c r="E693" t="s">
        <v>255</v>
      </c>
      <c r="F693" t="s">
        <v>42</v>
      </c>
      <c r="G693" t="s">
        <v>8</v>
      </c>
      <c r="H693" t="s">
        <v>140</v>
      </c>
      <c r="I693" t="s">
        <v>141</v>
      </c>
      <c r="J693" t="s">
        <v>15</v>
      </c>
      <c r="K693" t="s">
        <v>16</v>
      </c>
      <c r="M693" t="s">
        <v>37</v>
      </c>
      <c r="N693">
        <v>6</v>
      </c>
      <c r="O693">
        <v>1538.1</v>
      </c>
      <c r="P693">
        <v>0.05</v>
      </c>
      <c r="Q693">
        <v>0.05</v>
      </c>
      <c r="R693">
        <v>8767.17</v>
      </c>
      <c r="S693">
        <v>5098.2</v>
      </c>
      <c r="T693">
        <v>8767.17</v>
      </c>
      <c r="U693">
        <v>3668.97</v>
      </c>
      <c r="V693">
        <v>0.41848966085977601</v>
      </c>
      <c r="W693">
        <v>1</v>
      </c>
      <c r="X693" t="s">
        <v>214</v>
      </c>
      <c r="Y693">
        <v>2024</v>
      </c>
      <c r="Z693" t="s">
        <v>129</v>
      </c>
      <c r="AA693" t="s">
        <v>130</v>
      </c>
      <c r="AB693" t="s">
        <v>131</v>
      </c>
      <c r="AC693" t="s">
        <v>131</v>
      </c>
      <c r="AD693" t="s">
        <v>131</v>
      </c>
      <c r="AE693" t="s">
        <v>131</v>
      </c>
      <c r="AF693" t="s">
        <v>131</v>
      </c>
      <c r="AG693" t="s">
        <v>131</v>
      </c>
      <c r="AH693" t="s">
        <v>132</v>
      </c>
      <c r="AI693" t="s">
        <v>133</v>
      </c>
      <c r="AJ693" t="s">
        <v>2071</v>
      </c>
      <c r="AK693" t="s">
        <v>2678</v>
      </c>
      <c r="AL693" t="s">
        <v>255</v>
      </c>
      <c r="AM693" t="s">
        <v>42</v>
      </c>
      <c r="AN693" t="s">
        <v>8</v>
      </c>
      <c r="AO693" t="s">
        <v>140</v>
      </c>
      <c r="AP693" t="s">
        <v>141</v>
      </c>
      <c r="AQ693" t="s">
        <v>15</v>
      </c>
      <c r="AR693" t="s">
        <v>16</v>
      </c>
      <c r="AS693" t="s">
        <v>37</v>
      </c>
      <c r="AT693">
        <v>0.05</v>
      </c>
      <c r="AU693" t="s">
        <v>129</v>
      </c>
      <c r="AV693" t="s">
        <v>130</v>
      </c>
    </row>
    <row r="694" spans="1:48" x14ac:dyDescent="0.3">
      <c r="A694" t="s">
        <v>2679</v>
      </c>
      <c r="B694" s="12">
        <v>45935</v>
      </c>
      <c r="C694" s="12">
        <v>45940</v>
      </c>
      <c r="D694" t="s">
        <v>2680</v>
      </c>
      <c r="E694" t="s">
        <v>147</v>
      </c>
      <c r="F694" t="s">
        <v>43</v>
      </c>
      <c r="G694" t="s">
        <v>6</v>
      </c>
      <c r="H694" t="s">
        <v>294</v>
      </c>
      <c r="I694" t="s">
        <v>295</v>
      </c>
      <c r="J694" t="s">
        <v>18</v>
      </c>
      <c r="K694" t="s">
        <v>23</v>
      </c>
      <c r="M694" t="s">
        <v>37</v>
      </c>
      <c r="N694">
        <v>4</v>
      </c>
      <c r="O694">
        <v>2365.6799999999998</v>
      </c>
      <c r="P694">
        <v>0.1</v>
      </c>
      <c r="Q694">
        <v>0.1</v>
      </c>
      <c r="R694">
        <v>8516.4500000000007</v>
      </c>
      <c r="S694">
        <v>5903.81</v>
      </c>
      <c r="T694">
        <v>8516.4480000000003</v>
      </c>
      <c r="U694">
        <v>2612.6379999999999</v>
      </c>
      <c r="V694">
        <v>0.30677554774009103</v>
      </c>
      <c r="W694">
        <v>5</v>
      </c>
      <c r="X694" t="s">
        <v>222</v>
      </c>
      <c r="Y694">
        <v>2025</v>
      </c>
      <c r="Z694" t="s">
        <v>129</v>
      </c>
      <c r="AA694" t="s">
        <v>130</v>
      </c>
      <c r="AB694" t="s">
        <v>131</v>
      </c>
      <c r="AC694" t="s">
        <v>131</v>
      </c>
      <c r="AD694" t="s">
        <v>131</v>
      </c>
      <c r="AE694" t="s">
        <v>131</v>
      </c>
      <c r="AF694" t="s">
        <v>131</v>
      </c>
      <c r="AG694" t="s">
        <v>131</v>
      </c>
      <c r="AH694" t="s">
        <v>132</v>
      </c>
      <c r="AI694" t="s">
        <v>133</v>
      </c>
      <c r="AJ694" t="s">
        <v>297</v>
      </c>
      <c r="AK694" t="s">
        <v>2681</v>
      </c>
      <c r="AL694" t="s">
        <v>147</v>
      </c>
      <c r="AM694" t="s">
        <v>1537</v>
      </c>
      <c r="AN694" t="s">
        <v>6</v>
      </c>
      <c r="AO694" t="s">
        <v>294</v>
      </c>
      <c r="AP694" t="s">
        <v>295</v>
      </c>
      <c r="AQ694" t="s">
        <v>18</v>
      </c>
      <c r="AR694" t="s">
        <v>23</v>
      </c>
      <c r="AS694" t="s">
        <v>37</v>
      </c>
      <c r="AT694">
        <v>0.1</v>
      </c>
      <c r="AU694" t="s">
        <v>129</v>
      </c>
      <c r="AV694" t="s">
        <v>130</v>
      </c>
    </row>
    <row r="695" spans="1:48" x14ac:dyDescent="0.3">
      <c r="A695" t="s">
        <v>2682</v>
      </c>
      <c r="B695" s="12">
        <v>45750</v>
      </c>
      <c r="C695" s="12">
        <v>45758</v>
      </c>
      <c r="D695" t="s">
        <v>2683</v>
      </c>
      <c r="E695" t="s">
        <v>154</v>
      </c>
      <c r="F695" t="s">
        <v>42</v>
      </c>
      <c r="G695" t="s">
        <v>6</v>
      </c>
      <c r="H695" t="s">
        <v>385</v>
      </c>
      <c r="I695" t="s">
        <v>386</v>
      </c>
      <c r="J695" t="s">
        <v>18</v>
      </c>
      <c r="K695" t="s">
        <v>26</v>
      </c>
      <c r="M695" t="s">
        <v>37</v>
      </c>
      <c r="N695">
        <v>3</v>
      </c>
      <c r="O695">
        <v>4149.7700000000004</v>
      </c>
      <c r="P695">
        <v>0.05</v>
      </c>
      <c r="Q695">
        <v>0.05</v>
      </c>
      <c r="R695">
        <v>11826.84</v>
      </c>
      <c r="S695">
        <v>8035.96</v>
      </c>
      <c r="T695">
        <v>11826.844499999999</v>
      </c>
      <c r="U695">
        <v>3790.8845000000001</v>
      </c>
      <c r="V695">
        <v>0.32053220112938802</v>
      </c>
      <c r="W695">
        <v>8</v>
      </c>
      <c r="X695" t="s">
        <v>179</v>
      </c>
      <c r="Y695">
        <v>2025</v>
      </c>
      <c r="Z695" t="s">
        <v>129</v>
      </c>
      <c r="AA695" t="s">
        <v>130</v>
      </c>
      <c r="AB695" t="s">
        <v>131</v>
      </c>
      <c r="AC695" t="s">
        <v>131</v>
      </c>
      <c r="AD695" t="s">
        <v>131</v>
      </c>
      <c r="AE695" t="s">
        <v>131</v>
      </c>
      <c r="AF695" t="s">
        <v>131</v>
      </c>
      <c r="AG695" t="s">
        <v>131</v>
      </c>
      <c r="AH695" t="s">
        <v>132</v>
      </c>
      <c r="AI695" t="s">
        <v>133</v>
      </c>
      <c r="AJ695" t="s">
        <v>2684</v>
      </c>
      <c r="AK695" t="s">
        <v>2100</v>
      </c>
      <c r="AL695" t="s">
        <v>154</v>
      </c>
      <c r="AM695" t="s">
        <v>42</v>
      </c>
      <c r="AN695" t="s">
        <v>6</v>
      </c>
      <c r="AO695" t="s">
        <v>385</v>
      </c>
      <c r="AP695" t="s">
        <v>386</v>
      </c>
      <c r="AQ695" t="s">
        <v>18</v>
      </c>
      <c r="AR695" t="s">
        <v>26</v>
      </c>
      <c r="AS695" t="s">
        <v>37</v>
      </c>
      <c r="AT695">
        <v>0.05</v>
      </c>
      <c r="AU695" t="s">
        <v>129</v>
      </c>
      <c r="AV695" t="s">
        <v>130</v>
      </c>
    </row>
    <row r="696" spans="1:48" x14ac:dyDescent="0.3">
      <c r="A696" t="s">
        <v>2685</v>
      </c>
      <c r="B696" s="12">
        <v>45870</v>
      </c>
      <c r="C696" s="12">
        <v>45878</v>
      </c>
      <c r="D696" t="s">
        <v>1504</v>
      </c>
      <c r="E696" t="s">
        <v>147</v>
      </c>
      <c r="F696" t="s">
        <v>42</v>
      </c>
      <c r="G696" t="s">
        <v>6</v>
      </c>
      <c r="H696" t="s">
        <v>184</v>
      </c>
      <c r="I696" t="s">
        <v>185</v>
      </c>
      <c r="J696" t="s">
        <v>20</v>
      </c>
      <c r="K696" t="s">
        <v>21</v>
      </c>
      <c r="M696" t="s">
        <v>36</v>
      </c>
      <c r="N696">
        <v>5</v>
      </c>
      <c r="O696">
        <v>2736.24</v>
      </c>
      <c r="P696">
        <v>0.15</v>
      </c>
      <c r="Q696">
        <v>0.15</v>
      </c>
      <c r="R696">
        <v>11629.02</v>
      </c>
      <c r="S696">
        <v>9627.2099999999991</v>
      </c>
      <c r="T696">
        <v>11629.02</v>
      </c>
      <c r="U696">
        <v>2001.81</v>
      </c>
      <c r="V696">
        <v>0.172139182837419</v>
      </c>
      <c r="W696">
        <v>8</v>
      </c>
      <c r="X696" t="s">
        <v>142</v>
      </c>
      <c r="Y696">
        <v>2025</v>
      </c>
      <c r="Z696" t="s">
        <v>129</v>
      </c>
      <c r="AA696" t="s">
        <v>130</v>
      </c>
      <c r="AB696" t="s">
        <v>131</v>
      </c>
      <c r="AC696" t="s">
        <v>131</v>
      </c>
      <c r="AD696" t="s">
        <v>131</v>
      </c>
      <c r="AE696" t="s">
        <v>131</v>
      </c>
      <c r="AF696" t="s">
        <v>131</v>
      </c>
      <c r="AG696" t="s">
        <v>131</v>
      </c>
      <c r="AH696" t="s">
        <v>132</v>
      </c>
      <c r="AI696" t="s">
        <v>133</v>
      </c>
      <c r="AJ696" t="s">
        <v>1499</v>
      </c>
      <c r="AK696" t="s">
        <v>2549</v>
      </c>
      <c r="AL696" t="s">
        <v>147</v>
      </c>
      <c r="AM696" t="s">
        <v>42</v>
      </c>
      <c r="AN696" t="s">
        <v>6</v>
      </c>
      <c r="AO696" t="s">
        <v>184</v>
      </c>
      <c r="AP696" t="s">
        <v>185</v>
      </c>
      <c r="AQ696" t="s">
        <v>20</v>
      </c>
      <c r="AR696" t="s">
        <v>21</v>
      </c>
      <c r="AS696" t="s">
        <v>36</v>
      </c>
      <c r="AT696">
        <v>0.15</v>
      </c>
      <c r="AU696" t="s">
        <v>129</v>
      </c>
      <c r="AV696" t="s">
        <v>130</v>
      </c>
    </row>
    <row r="697" spans="1:48" x14ac:dyDescent="0.3">
      <c r="A697" t="s">
        <v>2686</v>
      </c>
      <c r="B697" s="12">
        <v>45474</v>
      </c>
      <c r="C697" s="12">
        <v>45474</v>
      </c>
      <c r="D697" t="s">
        <v>2687</v>
      </c>
      <c r="E697" t="s">
        <v>238</v>
      </c>
      <c r="F697" t="s">
        <v>42</v>
      </c>
      <c r="G697" t="s">
        <v>7</v>
      </c>
      <c r="H697" t="s">
        <v>171</v>
      </c>
      <c r="I697" t="s">
        <v>172</v>
      </c>
      <c r="J697" t="s">
        <v>15</v>
      </c>
      <c r="K697" t="s">
        <v>25</v>
      </c>
      <c r="M697" t="s">
        <v>35</v>
      </c>
      <c r="N697">
        <v>4</v>
      </c>
      <c r="O697">
        <v>257.39</v>
      </c>
      <c r="P697">
        <v>0</v>
      </c>
      <c r="Q697">
        <v>0</v>
      </c>
      <c r="R697">
        <v>1029.56</v>
      </c>
      <c r="S697">
        <v>626.33000000000004</v>
      </c>
      <c r="T697">
        <v>1029.56</v>
      </c>
      <c r="U697">
        <v>403.23</v>
      </c>
      <c r="V697">
        <v>0.39165274486188301</v>
      </c>
      <c r="W697">
        <v>0</v>
      </c>
      <c r="X697" t="s">
        <v>128</v>
      </c>
      <c r="Y697">
        <v>2024</v>
      </c>
      <c r="Z697" t="s">
        <v>129</v>
      </c>
      <c r="AA697" t="s">
        <v>130</v>
      </c>
      <c r="AB697" t="s">
        <v>131</v>
      </c>
      <c r="AC697" t="s">
        <v>131</v>
      </c>
      <c r="AD697" t="s">
        <v>131</v>
      </c>
      <c r="AE697" t="s">
        <v>131</v>
      </c>
      <c r="AF697" t="s">
        <v>131</v>
      </c>
      <c r="AG697" t="s">
        <v>131</v>
      </c>
      <c r="AH697" t="s">
        <v>132</v>
      </c>
      <c r="AI697" t="s">
        <v>133</v>
      </c>
      <c r="AJ697" t="s">
        <v>2688</v>
      </c>
      <c r="AK697" t="s">
        <v>1791</v>
      </c>
      <c r="AL697" t="s">
        <v>238</v>
      </c>
      <c r="AM697" t="s">
        <v>42</v>
      </c>
      <c r="AN697" t="s">
        <v>7</v>
      </c>
      <c r="AO697" t="s">
        <v>171</v>
      </c>
      <c r="AP697" t="s">
        <v>172</v>
      </c>
      <c r="AQ697" t="s">
        <v>15</v>
      </c>
      <c r="AR697" t="s">
        <v>2689</v>
      </c>
      <c r="AS697" t="s">
        <v>35</v>
      </c>
      <c r="AT697">
        <v>0</v>
      </c>
      <c r="AU697" t="s">
        <v>129</v>
      </c>
      <c r="AV697" t="s">
        <v>130</v>
      </c>
    </row>
    <row r="698" spans="1:48" x14ac:dyDescent="0.3">
      <c r="A698" t="s">
        <v>2690</v>
      </c>
      <c r="B698" s="12">
        <v>45922</v>
      </c>
      <c r="C698" s="12">
        <v>45925</v>
      </c>
      <c r="D698" t="s">
        <v>2691</v>
      </c>
      <c r="E698" t="s">
        <v>147</v>
      </c>
      <c r="F698" t="s">
        <v>44</v>
      </c>
      <c r="G698" t="s">
        <v>6</v>
      </c>
      <c r="H698" t="s">
        <v>305</v>
      </c>
      <c r="I698" t="s">
        <v>306</v>
      </c>
      <c r="J698" t="s">
        <v>15</v>
      </c>
      <c r="K698" t="s">
        <v>17</v>
      </c>
      <c r="M698" t="s">
        <v>10</v>
      </c>
      <c r="N698">
        <v>4</v>
      </c>
      <c r="O698">
        <v>1178.8399999999999</v>
      </c>
      <c r="P698">
        <v>0.25</v>
      </c>
      <c r="Q698">
        <v>0.25</v>
      </c>
      <c r="R698">
        <v>3536.52</v>
      </c>
      <c r="S698">
        <v>2102.41</v>
      </c>
      <c r="T698">
        <v>3536.52</v>
      </c>
      <c r="U698">
        <v>1434.11</v>
      </c>
      <c r="V698">
        <v>0.405514460543133</v>
      </c>
      <c r="W698">
        <v>3</v>
      </c>
      <c r="X698" t="s">
        <v>196</v>
      </c>
      <c r="Y698">
        <v>2025</v>
      </c>
      <c r="Z698" t="s">
        <v>129</v>
      </c>
      <c r="AA698" t="s">
        <v>130</v>
      </c>
      <c r="AB698" t="s">
        <v>131</v>
      </c>
      <c r="AC698" t="s">
        <v>132</v>
      </c>
      <c r="AD698" t="s">
        <v>131</v>
      </c>
      <c r="AE698" t="s">
        <v>131</v>
      </c>
      <c r="AF698" t="s">
        <v>131</v>
      </c>
      <c r="AG698" t="s">
        <v>131</v>
      </c>
      <c r="AH698" t="s">
        <v>132</v>
      </c>
      <c r="AI698" t="s">
        <v>321</v>
      </c>
      <c r="AJ698" t="s">
        <v>2692</v>
      </c>
      <c r="AK698" t="s">
        <v>2693</v>
      </c>
      <c r="AL698" t="s">
        <v>147</v>
      </c>
      <c r="AM698" t="s">
        <v>44</v>
      </c>
      <c r="AN698" t="s">
        <v>6</v>
      </c>
      <c r="AO698" t="s">
        <v>305</v>
      </c>
      <c r="AP698" t="s">
        <v>306</v>
      </c>
      <c r="AQ698" t="s">
        <v>15</v>
      </c>
      <c r="AR698" t="s">
        <v>17</v>
      </c>
      <c r="AT698">
        <v>0.25</v>
      </c>
      <c r="AU698" t="s">
        <v>129</v>
      </c>
      <c r="AV698" t="s">
        <v>130</v>
      </c>
    </row>
    <row r="699" spans="1:48" x14ac:dyDescent="0.3">
      <c r="A699" t="s">
        <v>2694</v>
      </c>
      <c r="B699" s="12">
        <v>45717</v>
      </c>
      <c r="C699" s="12">
        <v>45723</v>
      </c>
      <c r="D699" t="s">
        <v>2695</v>
      </c>
      <c r="E699" t="s">
        <v>154</v>
      </c>
      <c r="F699" t="s">
        <v>43</v>
      </c>
      <c r="G699" t="s">
        <v>6</v>
      </c>
      <c r="H699" t="s">
        <v>184</v>
      </c>
      <c r="I699" t="s">
        <v>185</v>
      </c>
      <c r="J699" t="s">
        <v>20</v>
      </c>
      <c r="K699" t="s">
        <v>30</v>
      </c>
      <c r="M699" t="s">
        <v>36</v>
      </c>
      <c r="N699">
        <v>7</v>
      </c>
      <c r="O699">
        <v>567.15</v>
      </c>
      <c r="Q699">
        <v>0</v>
      </c>
      <c r="R699">
        <v>2977.54</v>
      </c>
      <c r="S699">
        <v>1849.3</v>
      </c>
      <c r="T699">
        <v>3970.05</v>
      </c>
      <c r="U699">
        <v>2120.75</v>
      </c>
      <c r="V699">
        <v>0.53418722686112297</v>
      </c>
      <c r="W699">
        <v>6</v>
      </c>
      <c r="X699" t="s">
        <v>278</v>
      </c>
      <c r="Y699">
        <v>2025</v>
      </c>
      <c r="Z699" t="s">
        <v>203</v>
      </c>
      <c r="AA699" t="s">
        <v>204</v>
      </c>
      <c r="AB699" t="s">
        <v>131</v>
      </c>
      <c r="AC699" t="s">
        <v>131</v>
      </c>
      <c r="AD699" t="s">
        <v>132</v>
      </c>
      <c r="AE699" t="s">
        <v>131</v>
      </c>
      <c r="AF699" t="s">
        <v>131</v>
      </c>
      <c r="AG699" t="s">
        <v>131</v>
      </c>
      <c r="AH699" t="s">
        <v>131</v>
      </c>
      <c r="AI699" t="s">
        <v>321</v>
      </c>
      <c r="AJ699" t="s">
        <v>1962</v>
      </c>
      <c r="AK699" t="s">
        <v>753</v>
      </c>
      <c r="AL699" t="s">
        <v>154</v>
      </c>
      <c r="AM699" t="s">
        <v>43</v>
      </c>
      <c r="AN699" t="s">
        <v>6</v>
      </c>
      <c r="AO699" t="s">
        <v>184</v>
      </c>
      <c r="AP699" t="s">
        <v>185</v>
      </c>
      <c r="AQ699" t="s">
        <v>20</v>
      </c>
      <c r="AR699" t="s">
        <v>30</v>
      </c>
      <c r="AS699" t="s">
        <v>36</v>
      </c>
      <c r="AU699" t="s">
        <v>203</v>
      </c>
      <c r="AV699" t="s">
        <v>204</v>
      </c>
    </row>
    <row r="700" spans="1:48" x14ac:dyDescent="0.3">
      <c r="A700" t="s">
        <v>2696</v>
      </c>
      <c r="B700" s="12">
        <v>45549</v>
      </c>
      <c r="C700" s="12">
        <v>45549</v>
      </c>
      <c r="D700" t="s">
        <v>2697</v>
      </c>
      <c r="E700" t="s">
        <v>139</v>
      </c>
      <c r="F700" t="s">
        <v>43</v>
      </c>
      <c r="G700" t="s">
        <v>9</v>
      </c>
      <c r="H700" t="s">
        <v>126</v>
      </c>
      <c r="I700" t="s">
        <v>127</v>
      </c>
      <c r="J700" t="s">
        <v>15</v>
      </c>
      <c r="K700" t="s">
        <v>25</v>
      </c>
      <c r="M700" t="s">
        <v>35</v>
      </c>
      <c r="N700">
        <v>8</v>
      </c>
      <c r="O700">
        <v>4081.66</v>
      </c>
      <c r="P700">
        <v>0.15</v>
      </c>
      <c r="Q700">
        <v>0.15</v>
      </c>
      <c r="R700">
        <v>28208.1</v>
      </c>
      <c r="S700">
        <v>23751.91</v>
      </c>
      <c r="T700">
        <v>27755.288</v>
      </c>
      <c r="U700">
        <v>4003.3780000000002</v>
      </c>
      <c r="V700">
        <v>0.14423838801456501</v>
      </c>
      <c r="W700">
        <v>0</v>
      </c>
      <c r="X700" t="s">
        <v>196</v>
      </c>
      <c r="Y700">
        <v>2024</v>
      </c>
      <c r="Z700" t="s">
        <v>129</v>
      </c>
      <c r="AA700" t="s">
        <v>204</v>
      </c>
      <c r="AB700" t="s">
        <v>131</v>
      </c>
      <c r="AC700" t="s">
        <v>131</v>
      </c>
      <c r="AD700" t="s">
        <v>131</v>
      </c>
      <c r="AE700" t="s">
        <v>131</v>
      </c>
      <c r="AF700" t="s">
        <v>131</v>
      </c>
      <c r="AG700" t="s">
        <v>131</v>
      </c>
      <c r="AH700" t="s">
        <v>131</v>
      </c>
      <c r="AI700" t="s">
        <v>133</v>
      </c>
      <c r="AJ700" t="s">
        <v>2698</v>
      </c>
      <c r="AK700" t="s">
        <v>1507</v>
      </c>
      <c r="AL700" t="s">
        <v>139</v>
      </c>
      <c r="AM700" t="s">
        <v>43</v>
      </c>
      <c r="AN700" t="s">
        <v>9</v>
      </c>
      <c r="AO700" t="s">
        <v>126</v>
      </c>
      <c r="AP700" t="s">
        <v>127</v>
      </c>
      <c r="AQ700" t="s">
        <v>15</v>
      </c>
      <c r="AR700" t="s">
        <v>25</v>
      </c>
      <c r="AS700" t="s">
        <v>35</v>
      </c>
      <c r="AT700">
        <v>0.15</v>
      </c>
      <c r="AU700" t="s">
        <v>129</v>
      </c>
      <c r="AV700" t="s">
        <v>204</v>
      </c>
    </row>
    <row r="701" spans="1:48" x14ac:dyDescent="0.3">
      <c r="A701" t="s">
        <v>2699</v>
      </c>
      <c r="B701" s="12">
        <v>45454</v>
      </c>
      <c r="C701" s="12">
        <v>45454</v>
      </c>
      <c r="D701" t="s">
        <v>2700</v>
      </c>
      <c r="E701" t="s">
        <v>154</v>
      </c>
      <c r="F701" t="s">
        <v>44</v>
      </c>
      <c r="G701" t="s">
        <v>6</v>
      </c>
      <c r="H701" t="s">
        <v>294</v>
      </c>
      <c r="I701" t="s">
        <v>295</v>
      </c>
      <c r="J701" t="s">
        <v>18</v>
      </c>
      <c r="K701" t="s">
        <v>26</v>
      </c>
      <c r="M701" t="s">
        <v>35</v>
      </c>
      <c r="N701">
        <v>9</v>
      </c>
      <c r="O701">
        <v>1400.11</v>
      </c>
      <c r="P701">
        <v>0.25</v>
      </c>
      <c r="Q701">
        <v>0.25</v>
      </c>
      <c r="R701">
        <v>9450.74</v>
      </c>
      <c r="S701">
        <v>7798.56</v>
      </c>
      <c r="T701">
        <v>9450.7425000000003</v>
      </c>
      <c r="U701">
        <v>1652.1824999999999</v>
      </c>
      <c r="V701">
        <v>0.174820391096255</v>
      </c>
      <c r="W701">
        <v>0</v>
      </c>
      <c r="X701" t="s">
        <v>148</v>
      </c>
      <c r="Y701">
        <v>2024</v>
      </c>
      <c r="Z701" t="s">
        <v>129</v>
      </c>
      <c r="AA701" t="s">
        <v>130</v>
      </c>
      <c r="AB701" t="s">
        <v>131</v>
      </c>
      <c r="AC701" t="s">
        <v>131</v>
      </c>
      <c r="AD701" t="s">
        <v>131</v>
      </c>
      <c r="AE701" t="s">
        <v>131</v>
      </c>
      <c r="AF701" t="s">
        <v>131</v>
      </c>
      <c r="AG701" t="s">
        <v>131</v>
      </c>
      <c r="AH701" t="s">
        <v>132</v>
      </c>
      <c r="AI701" t="s">
        <v>133</v>
      </c>
      <c r="AJ701" t="s">
        <v>2701</v>
      </c>
      <c r="AK701" t="s">
        <v>2702</v>
      </c>
      <c r="AL701" t="s">
        <v>154</v>
      </c>
      <c r="AM701" t="s">
        <v>44</v>
      </c>
      <c r="AN701" t="s">
        <v>6</v>
      </c>
      <c r="AO701" t="s">
        <v>294</v>
      </c>
      <c r="AP701" t="s">
        <v>295</v>
      </c>
      <c r="AQ701" t="s">
        <v>18</v>
      </c>
      <c r="AR701" t="s">
        <v>26</v>
      </c>
      <c r="AS701" t="s">
        <v>35</v>
      </c>
      <c r="AT701">
        <v>0.25</v>
      </c>
      <c r="AU701" t="s">
        <v>129</v>
      </c>
      <c r="AV701" t="s">
        <v>130</v>
      </c>
    </row>
    <row r="702" spans="1:48" x14ac:dyDescent="0.3">
      <c r="A702" t="s">
        <v>2703</v>
      </c>
      <c r="B702" s="12">
        <v>45553</v>
      </c>
      <c r="C702" s="12">
        <v>45556</v>
      </c>
      <c r="D702" t="s">
        <v>2704</v>
      </c>
      <c r="E702" t="s">
        <v>178</v>
      </c>
      <c r="F702" t="s">
        <v>43</v>
      </c>
      <c r="G702" t="s">
        <v>8</v>
      </c>
      <c r="H702" t="s">
        <v>201</v>
      </c>
      <c r="I702" t="s">
        <v>202</v>
      </c>
      <c r="J702" t="s">
        <v>15</v>
      </c>
      <c r="K702" t="s">
        <v>25</v>
      </c>
      <c r="M702" t="s">
        <v>35</v>
      </c>
      <c r="N702">
        <v>3</v>
      </c>
      <c r="O702">
        <v>3055.9</v>
      </c>
      <c r="P702">
        <v>0.15</v>
      </c>
      <c r="Q702">
        <v>0.15</v>
      </c>
      <c r="R702">
        <v>7792.55</v>
      </c>
      <c r="S702">
        <v>4691.7299999999996</v>
      </c>
      <c r="T702">
        <v>7792.5450000000001</v>
      </c>
      <c r="U702">
        <v>3100.8150000000001</v>
      </c>
      <c r="V702">
        <v>0.39792070498149201</v>
      </c>
      <c r="W702">
        <v>3</v>
      </c>
      <c r="X702" t="s">
        <v>196</v>
      </c>
      <c r="Y702">
        <v>2024</v>
      </c>
      <c r="Z702" t="s">
        <v>129</v>
      </c>
      <c r="AA702" t="s">
        <v>130</v>
      </c>
      <c r="AB702" t="s">
        <v>131</v>
      </c>
      <c r="AC702" t="s">
        <v>131</v>
      </c>
      <c r="AD702" t="s">
        <v>131</v>
      </c>
      <c r="AE702" t="s">
        <v>131</v>
      </c>
      <c r="AF702" t="s">
        <v>131</v>
      </c>
      <c r="AG702" t="s">
        <v>131</v>
      </c>
      <c r="AH702" t="s">
        <v>132</v>
      </c>
      <c r="AI702" t="s">
        <v>133</v>
      </c>
      <c r="AJ702" t="s">
        <v>2705</v>
      </c>
      <c r="AK702" t="s">
        <v>1028</v>
      </c>
      <c r="AL702" t="s">
        <v>178</v>
      </c>
      <c r="AM702" t="s">
        <v>43</v>
      </c>
      <c r="AN702" t="s">
        <v>8</v>
      </c>
      <c r="AO702" t="s">
        <v>201</v>
      </c>
      <c r="AP702" t="s">
        <v>202</v>
      </c>
      <c r="AQ702" t="s">
        <v>15</v>
      </c>
      <c r="AR702" t="s">
        <v>25</v>
      </c>
      <c r="AS702" t="s">
        <v>35</v>
      </c>
      <c r="AT702">
        <v>0.15</v>
      </c>
      <c r="AU702" t="s">
        <v>129</v>
      </c>
      <c r="AV702" t="s">
        <v>130</v>
      </c>
    </row>
    <row r="703" spans="1:48" x14ac:dyDescent="0.3">
      <c r="A703" t="s">
        <v>2706</v>
      </c>
      <c r="B703" s="12">
        <v>45412</v>
      </c>
      <c r="C703" s="12">
        <v>45416</v>
      </c>
      <c r="D703" t="s">
        <v>2707</v>
      </c>
      <c r="E703" t="s">
        <v>255</v>
      </c>
      <c r="F703" t="s">
        <v>44</v>
      </c>
      <c r="G703" t="s">
        <v>7</v>
      </c>
      <c r="H703" t="s">
        <v>300</v>
      </c>
      <c r="I703" t="s">
        <v>301</v>
      </c>
      <c r="J703" t="s">
        <v>20</v>
      </c>
      <c r="K703" t="s">
        <v>29</v>
      </c>
      <c r="M703" t="s">
        <v>38</v>
      </c>
      <c r="N703">
        <v>7</v>
      </c>
      <c r="O703">
        <v>1224.94</v>
      </c>
      <c r="P703">
        <v>0</v>
      </c>
      <c r="Q703">
        <v>0</v>
      </c>
      <c r="R703">
        <v>8574.58</v>
      </c>
      <c r="S703">
        <v>6685.81</v>
      </c>
      <c r="T703">
        <v>8574.58</v>
      </c>
      <c r="U703">
        <v>1888.77</v>
      </c>
      <c r="V703">
        <v>0.22027551203674101</v>
      </c>
      <c r="W703">
        <v>4</v>
      </c>
      <c r="X703" t="s">
        <v>179</v>
      </c>
      <c r="Y703">
        <v>2024</v>
      </c>
      <c r="Z703" t="s">
        <v>129</v>
      </c>
      <c r="AA703" t="s">
        <v>204</v>
      </c>
      <c r="AB703" t="s">
        <v>131</v>
      </c>
      <c r="AC703" t="s">
        <v>131</v>
      </c>
      <c r="AD703" t="s">
        <v>131</v>
      </c>
      <c r="AE703" t="s">
        <v>131</v>
      </c>
      <c r="AF703" t="s">
        <v>131</v>
      </c>
      <c r="AG703" t="s">
        <v>131</v>
      </c>
      <c r="AH703" t="s">
        <v>131</v>
      </c>
      <c r="AI703" t="s">
        <v>133</v>
      </c>
      <c r="AJ703" t="s">
        <v>1414</v>
      </c>
      <c r="AK703" t="s">
        <v>1155</v>
      </c>
      <c r="AL703" t="s">
        <v>255</v>
      </c>
      <c r="AM703" t="s">
        <v>44</v>
      </c>
      <c r="AN703" t="s">
        <v>7</v>
      </c>
      <c r="AO703" t="s">
        <v>300</v>
      </c>
      <c r="AP703" t="s">
        <v>301</v>
      </c>
      <c r="AQ703" t="s">
        <v>20</v>
      </c>
      <c r="AR703" t="s">
        <v>29</v>
      </c>
      <c r="AS703" t="s">
        <v>38</v>
      </c>
      <c r="AT703">
        <v>0</v>
      </c>
      <c r="AU703" t="s">
        <v>129</v>
      </c>
      <c r="AV703" t="s">
        <v>204</v>
      </c>
    </row>
    <row r="704" spans="1:48" x14ac:dyDescent="0.3">
      <c r="A704" t="s">
        <v>2708</v>
      </c>
      <c r="B704" s="12">
        <v>45690</v>
      </c>
      <c r="C704" s="12">
        <v>45694</v>
      </c>
      <c r="D704" t="s">
        <v>2709</v>
      </c>
      <c r="E704" t="s">
        <v>125</v>
      </c>
      <c r="F704" t="s">
        <v>44</v>
      </c>
      <c r="G704" t="s">
        <v>7</v>
      </c>
      <c r="H704" t="s">
        <v>126</v>
      </c>
      <c r="I704" t="s">
        <v>213</v>
      </c>
      <c r="J704" t="s">
        <v>18</v>
      </c>
      <c r="K704" t="s">
        <v>27</v>
      </c>
      <c r="M704" t="s">
        <v>37</v>
      </c>
      <c r="N704">
        <v>3</v>
      </c>
      <c r="O704">
        <v>997.34</v>
      </c>
      <c r="P704">
        <v>0.1</v>
      </c>
      <c r="Q704">
        <v>0.1</v>
      </c>
      <c r="R704">
        <v>2692.82</v>
      </c>
      <c r="S704">
        <v>1820.08</v>
      </c>
      <c r="T704">
        <v>2692.8180000000002</v>
      </c>
      <c r="U704">
        <v>872.73800000000006</v>
      </c>
      <c r="V704">
        <v>0.32409839803507001</v>
      </c>
      <c r="W704">
        <v>4</v>
      </c>
      <c r="X704" t="s">
        <v>186</v>
      </c>
      <c r="Y704">
        <v>2025</v>
      </c>
      <c r="Z704" t="s">
        <v>129</v>
      </c>
      <c r="AA704" t="s">
        <v>130</v>
      </c>
      <c r="AB704" t="s">
        <v>131</v>
      </c>
      <c r="AC704" t="s">
        <v>131</v>
      </c>
      <c r="AD704" t="s">
        <v>131</v>
      </c>
      <c r="AE704" t="s">
        <v>131</v>
      </c>
      <c r="AF704" t="s">
        <v>131</v>
      </c>
      <c r="AG704" t="s">
        <v>131</v>
      </c>
      <c r="AH704" t="s">
        <v>132</v>
      </c>
      <c r="AI704" t="s">
        <v>133</v>
      </c>
      <c r="AJ704" t="s">
        <v>2710</v>
      </c>
      <c r="AK704" t="s">
        <v>2400</v>
      </c>
      <c r="AL704" t="s">
        <v>125</v>
      </c>
      <c r="AM704" t="s">
        <v>44</v>
      </c>
      <c r="AN704" t="s">
        <v>7</v>
      </c>
      <c r="AO704" t="s">
        <v>126</v>
      </c>
      <c r="AP704" t="s">
        <v>213</v>
      </c>
      <c r="AQ704" t="s">
        <v>18</v>
      </c>
      <c r="AR704" t="s">
        <v>27</v>
      </c>
      <c r="AS704" t="s">
        <v>37</v>
      </c>
      <c r="AT704">
        <v>0.1</v>
      </c>
      <c r="AU704" t="s">
        <v>129</v>
      </c>
      <c r="AV704" t="s">
        <v>130</v>
      </c>
    </row>
    <row r="705" spans="1:48" x14ac:dyDescent="0.3">
      <c r="A705" t="s">
        <v>2711</v>
      </c>
      <c r="B705" s="12">
        <v>45584</v>
      </c>
      <c r="C705" s="12">
        <v>45585</v>
      </c>
      <c r="D705" t="s">
        <v>2712</v>
      </c>
      <c r="E705" t="s">
        <v>191</v>
      </c>
      <c r="F705" t="s">
        <v>43</v>
      </c>
      <c r="G705" t="s">
        <v>9</v>
      </c>
      <c r="H705" t="s">
        <v>126</v>
      </c>
      <c r="I705" t="s">
        <v>127</v>
      </c>
      <c r="J705" t="s">
        <v>18</v>
      </c>
      <c r="K705" t="s">
        <v>27</v>
      </c>
      <c r="M705" t="s">
        <v>36</v>
      </c>
      <c r="N705">
        <v>1</v>
      </c>
      <c r="O705">
        <v>1150.03</v>
      </c>
      <c r="P705">
        <v>0.1</v>
      </c>
      <c r="Q705">
        <v>0.1</v>
      </c>
      <c r="R705">
        <v>1035.03</v>
      </c>
      <c r="S705">
        <v>854.35</v>
      </c>
      <c r="T705">
        <v>1035.027</v>
      </c>
      <c r="U705">
        <v>180.67699999999999</v>
      </c>
      <c r="V705">
        <v>0.17456259595160301</v>
      </c>
      <c r="W705">
        <v>1</v>
      </c>
      <c r="X705" t="s">
        <v>222</v>
      </c>
      <c r="Y705">
        <v>2024</v>
      </c>
      <c r="Z705" t="s">
        <v>129</v>
      </c>
      <c r="AA705" t="s">
        <v>130</v>
      </c>
      <c r="AB705" t="s">
        <v>131</v>
      </c>
      <c r="AC705" t="s">
        <v>131</v>
      </c>
      <c r="AD705" t="s">
        <v>131</v>
      </c>
      <c r="AE705" t="s">
        <v>131</v>
      </c>
      <c r="AF705" t="s">
        <v>131</v>
      </c>
      <c r="AG705" t="s">
        <v>131</v>
      </c>
      <c r="AH705" t="s">
        <v>132</v>
      </c>
      <c r="AI705" t="s">
        <v>133</v>
      </c>
      <c r="AJ705" t="s">
        <v>2713</v>
      </c>
      <c r="AK705" t="s">
        <v>2006</v>
      </c>
      <c r="AL705" t="s">
        <v>191</v>
      </c>
      <c r="AM705" t="s">
        <v>43</v>
      </c>
      <c r="AN705" t="s">
        <v>9</v>
      </c>
      <c r="AO705" t="s">
        <v>126</v>
      </c>
      <c r="AP705" t="s">
        <v>127</v>
      </c>
      <c r="AQ705" t="s">
        <v>18</v>
      </c>
      <c r="AR705" t="s">
        <v>27</v>
      </c>
      <c r="AS705" t="s">
        <v>36</v>
      </c>
      <c r="AT705">
        <v>0.1</v>
      </c>
      <c r="AU705" t="s">
        <v>129</v>
      </c>
      <c r="AV705" t="s">
        <v>130</v>
      </c>
    </row>
    <row r="706" spans="1:48" x14ac:dyDescent="0.3">
      <c r="A706" t="s">
        <v>2714</v>
      </c>
      <c r="B706" s="12">
        <v>45364</v>
      </c>
      <c r="C706" s="12">
        <v>45371</v>
      </c>
      <c r="D706" t="s">
        <v>2715</v>
      </c>
      <c r="E706" t="s">
        <v>221</v>
      </c>
      <c r="F706" t="s">
        <v>41</v>
      </c>
      <c r="G706" t="s">
        <v>6</v>
      </c>
      <c r="H706" t="s">
        <v>385</v>
      </c>
      <c r="I706" t="s">
        <v>386</v>
      </c>
      <c r="J706" t="s">
        <v>18</v>
      </c>
      <c r="K706" t="s">
        <v>26</v>
      </c>
      <c r="M706" t="s">
        <v>10</v>
      </c>
      <c r="N706">
        <v>1</v>
      </c>
      <c r="O706">
        <v>2825.63</v>
      </c>
      <c r="P706">
        <v>0.15</v>
      </c>
      <c r="Q706">
        <v>0.15</v>
      </c>
      <c r="R706">
        <v>2401.79</v>
      </c>
      <c r="S706">
        <v>1820.34</v>
      </c>
      <c r="T706">
        <v>2401.7855</v>
      </c>
      <c r="U706">
        <v>581.44550000000004</v>
      </c>
      <c r="V706">
        <v>0.24208885431276</v>
      </c>
      <c r="W706">
        <v>7</v>
      </c>
      <c r="X706" t="s">
        <v>278</v>
      </c>
      <c r="Y706">
        <v>2024</v>
      </c>
      <c r="Z706" t="s">
        <v>129</v>
      </c>
      <c r="AA706" t="s">
        <v>130</v>
      </c>
      <c r="AB706" t="s">
        <v>131</v>
      </c>
      <c r="AC706" t="s">
        <v>132</v>
      </c>
      <c r="AD706" t="s">
        <v>131</v>
      </c>
      <c r="AE706" t="s">
        <v>131</v>
      </c>
      <c r="AF706" t="s">
        <v>131</v>
      </c>
      <c r="AG706" t="s">
        <v>131</v>
      </c>
      <c r="AH706" t="s">
        <v>132</v>
      </c>
      <c r="AI706" t="s">
        <v>321</v>
      </c>
      <c r="AJ706" t="s">
        <v>1364</v>
      </c>
      <c r="AK706" t="s">
        <v>2716</v>
      </c>
      <c r="AL706" t="s">
        <v>221</v>
      </c>
      <c r="AM706" t="s">
        <v>41</v>
      </c>
      <c r="AN706" t="s">
        <v>6</v>
      </c>
      <c r="AO706" t="s">
        <v>385</v>
      </c>
      <c r="AP706" t="s">
        <v>386</v>
      </c>
      <c r="AQ706" t="s">
        <v>18</v>
      </c>
      <c r="AR706" t="s">
        <v>26</v>
      </c>
      <c r="AT706">
        <v>0.15</v>
      </c>
      <c r="AU706" t="s">
        <v>129</v>
      </c>
      <c r="AV706" t="s">
        <v>130</v>
      </c>
    </row>
    <row r="707" spans="1:48" x14ac:dyDescent="0.3">
      <c r="A707" t="s">
        <v>2717</v>
      </c>
      <c r="B707" s="12">
        <v>45543</v>
      </c>
      <c r="C707" s="12">
        <v>45549</v>
      </c>
      <c r="D707" t="s">
        <v>2718</v>
      </c>
      <c r="E707" t="s">
        <v>255</v>
      </c>
      <c r="F707" t="s">
        <v>42</v>
      </c>
      <c r="G707" t="s">
        <v>9</v>
      </c>
      <c r="H707" t="s">
        <v>126</v>
      </c>
      <c r="I707" t="s">
        <v>127</v>
      </c>
      <c r="J707" t="s">
        <v>20</v>
      </c>
      <c r="K707" t="s">
        <v>28</v>
      </c>
      <c r="M707" t="s">
        <v>35</v>
      </c>
      <c r="N707">
        <v>5</v>
      </c>
      <c r="O707">
        <v>3371.75</v>
      </c>
      <c r="P707">
        <v>0.05</v>
      </c>
      <c r="Q707">
        <v>0.05</v>
      </c>
      <c r="R707">
        <v>16015.81</v>
      </c>
      <c r="S707">
        <v>11352.38</v>
      </c>
      <c r="T707">
        <v>16015.8125</v>
      </c>
      <c r="U707">
        <v>4663.4324999999999</v>
      </c>
      <c r="V707">
        <v>0.29117676671102399</v>
      </c>
      <c r="W707">
        <v>6</v>
      </c>
      <c r="X707" t="s">
        <v>196</v>
      </c>
      <c r="Y707">
        <v>2024</v>
      </c>
      <c r="Z707" t="s">
        <v>129</v>
      </c>
      <c r="AA707" t="s">
        <v>130</v>
      </c>
      <c r="AB707" t="s">
        <v>131</v>
      </c>
      <c r="AC707" t="s">
        <v>131</v>
      </c>
      <c r="AD707" t="s">
        <v>131</v>
      </c>
      <c r="AE707" t="s">
        <v>131</v>
      </c>
      <c r="AF707" t="s">
        <v>131</v>
      </c>
      <c r="AG707" t="s">
        <v>131</v>
      </c>
      <c r="AH707" t="s">
        <v>132</v>
      </c>
      <c r="AI707" t="s">
        <v>133</v>
      </c>
      <c r="AJ707" t="s">
        <v>2719</v>
      </c>
      <c r="AK707" t="s">
        <v>2720</v>
      </c>
      <c r="AL707" t="s">
        <v>255</v>
      </c>
      <c r="AM707" t="s">
        <v>42</v>
      </c>
      <c r="AN707" t="s">
        <v>9</v>
      </c>
      <c r="AO707" t="s">
        <v>126</v>
      </c>
      <c r="AP707" t="s">
        <v>127</v>
      </c>
      <c r="AQ707" t="s">
        <v>20</v>
      </c>
      <c r="AR707" t="s">
        <v>28</v>
      </c>
      <c r="AS707" t="s">
        <v>35</v>
      </c>
      <c r="AT707">
        <v>0.05</v>
      </c>
      <c r="AU707" t="s">
        <v>129</v>
      </c>
      <c r="AV707" t="s">
        <v>130</v>
      </c>
    </row>
    <row r="708" spans="1:48" x14ac:dyDescent="0.3">
      <c r="A708" t="s">
        <v>2721</v>
      </c>
      <c r="B708" s="12">
        <v>45467</v>
      </c>
      <c r="C708" s="12">
        <v>45471</v>
      </c>
      <c r="D708" t="s">
        <v>2722</v>
      </c>
      <c r="E708" t="s">
        <v>147</v>
      </c>
      <c r="F708" t="s">
        <v>44</v>
      </c>
      <c r="G708" t="s">
        <v>8</v>
      </c>
      <c r="H708" t="s">
        <v>140</v>
      </c>
      <c r="I708" t="s">
        <v>141</v>
      </c>
      <c r="J708" t="s">
        <v>20</v>
      </c>
      <c r="K708" t="s">
        <v>24</v>
      </c>
      <c r="M708" t="s">
        <v>38</v>
      </c>
      <c r="N708">
        <v>1</v>
      </c>
      <c r="O708">
        <v>2112.75</v>
      </c>
      <c r="P708">
        <v>0.1</v>
      </c>
      <c r="Q708">
        <v>0.1</v>
      </c>
      <c r="R708">
        <v>1901.48</v>
      </c>
      <c r="S708">
        <v>1354.28</v>
      </c>
      <c r="T708">
        <v>1901.4749999999999</v>
      </c>
      <c r="U708">
        <v>547.19500000000005</v>
      </c>
      <c r="V708">
        <v>0.28777396494826402</v>
      </c>
      <c r="W708">
        <v>4</v>
      </c>
      <c r="X708" t="s">
        <v>148</v>
      </c>
      <c r="Y708">
        <v>2024</v>
      </c>
      <c r="Z708" t="s">
        <v>129</v>
      </c>
      <c r="AA708" t="s">
        <v>130</v>
      </c>
      <c r="AB708" t="s">
        <v>131</v>
      </c>
      <c r="AC708" t="s">
        <v>131</v>
      </c>
      <c r="AD708" t="s">
        <v>131</v>
      </c>
      <c r="AE708" t="s">
        <v>131</v>
      </c>
      <c r="AF708" t="s">
        <v>131</v>
      </c>
      <c r="AG708" t="s">
        <v>131</v>
      </c>
      <c r="AH708" t="s">
        <v>132</v>
      </c>
      <c r="AI708" t="s">
        <v>133</v>
      </c>
      <c r="AJ708" t="s">
        <v>2723</v>
      </c>
      <c r="AK708" t="s">
        <v>956</v>
      </c>
      <c r="AL708" t="s">
        <v>147</v>
      </c>
      <c r="AM708" t="s">
        <v>44</v>
      </c>
      <c r="AN708" t="s">
        <v>8</v>
      </c>
      <c r="AO708" t="s">
        <v>140</v>
      </c>
      <c r="AP708" t="s">
        <v>141</v>
      </c>
      <c r="AQ708" t="s">
        <v>20</v>
      </c>
      <c r="AR708" t="s">
        <v>24</v>
      </c>
      <c r="AS708" t="s">
        <v>38</v>
      </c>
      <c r="AT708">
        <v>0.1</v>
      </c>
      <c r="AU708" t="s">
        <v>129</v>
      </c>
      <c r="AV708" t="s">
        <v>130</v>
      </c>
    </row>
    <row r="709" spans="1:48" x14ac:dyDescent="0.3">
      <c r="A709" t="s">
        <v>2724</v>
      </c>
      <c r="B709" s="12">
        <v>45832</v>
      </c>
      <c r="C709" s="12">
        <v>45834</v>
      </c>
      <c r="D709" t="s">
        <v>2725</v>
      </c>
      <c r="E709" t="s">
        <v>170</v>
      </c>
      <c r="F709" t="s">
        <v>42</v>
      </c>
      <c r="G709" t="s">
        <v>9</v>
      </c>
      <c r="H709" t="s">
        <v>126</v>
      </c>
      <c r="I709" t="s">
        <v>127</v>
      </c>
      <c r="J709" t="s">
        <v>15</v>
      </c>
      <c r="K709" t="s">
        <v>22</v>
      </c>
      <c r="M709" t="s">
        <v>38</v>
      </c>
      <c r="N709">
        <v>5</v>
      </c>
      <c r="O709">
        <v>3722.66</v>
      </c>
      <c r="P709">
        <v>0.55000000000000004</v>
      </c>
      <c r="Q709">
        <v>0</v>
      </c>
      <c r="R709">
        <v>16751.97</v>
      </c>
      <c r="S709">
        <v>11678.32</v>
      </c>
      <c r="T709">
        <v>18613.3</v>
      </c>
      <c r="U709">
        <v>6934.98</v>
      </c>
      <c r="V709">
        <v>0.37258197095625201</v>
      </c>
      <c r="W709">
        <v>2</v>
      </c>
      <c r="X709" t="s">
        <v>148</v>
      </c>
      <c r="Y709">
        <v>2025</v>
      </c>
      <c r="Z709" t="s">
        <v>129</v>
      </c>
      <c r="AA709" t="s">
        <v>130</v>
      </c>
      <c r="AB709" t="s">
        <v>131</v>
      </c>
      <c r="AC709" t="s">
        <v>131</v>
      </c>
      <c r="AD709" t="s">
        <v>131</v>
      </c>
      <c r="AE709" t="s">
        <v>131</v>
      </c>
      <c r="AF709" t="s">
        <v>132</v>
      </c>
      <c r="AG709" t="s">
        <v>131</v>
      </c>
      <c r="AH709" t="s">
        <v>132</v>
      </c>
      <c r="AI709" t="s">
        <v>149</v>
      </c>
      <c r="AJ709" t="s">
        <v>2726</v>
      </c>
      <c r="AK709" t="s">
        <v>1999</v>
      </c>
      <c r="AL709" t="s">
        <v>170</v>
      </c>
      <c r="AM709" t="s">
        <v>42</v>
      </c>
      <c r="AN709" t="s">
        <v>9</v>
      </c>
      <c r="AO709" t="s">
        <v>126</v>
      </c>
      <c r="AP709" t="s">
        <v>127</v>
      </c>
      <c r="AQ709" t="s">
        <v>15</v>
      </c>
      <c r="AR709" t="s">
        <v>1834</v>
      </c>
      <c r="AS709" t="s">
        <v>38</v>
      </c>
      <c r="AT709">
        <v>0.55000000000000004</v>
      </c>
      <c r="AU709" t="s">
        <v>129</v>
      </c>
      <c r="AV709" t="s">
        <v>130</v>
      </c>
    </row>
    <row r="710" spans="1:48" x14ac:dyDescent="0.3">
      <c r="A710" t="s">
        <v>2727</v>
      </c>
      <c r="B710" s="12">
        <v>45736</v>
      </c>
      <c r="C710" s="12">
        <v>45742</v>
      </c>
      <c r="D710" t="s">
        <v>2728</v>
      </c>
      <c r="E710" t="s">
        <v>243</v>
      </c>
      <c r="F710" t="s">
        <v>42</v>
      </c>
      <c r="G710" t="s">
        <v>8</v>
      </c>
      <c r="H710" t="s">
        <v>283</v>
      </c>
      <c r="I710" t="s">
        <v>284</v>
      </c>
      <c r="J710" t="s">
        <v>18</v>
      </c>
      <c r="K710" t="s">
        <v>26</v>
      </c>
      <c r="M710" t="s">
        <v>36</v>
      </c>
      <c r="N710">
        <v>4</v>
      </c>
      <c r="O710">
        <v>4357.66</v>
      </c>
      <c r="P710">
        <v>0.05</v>
      </c>
      <c r="Q710">
        <v>0.05</v>
      </c>
      <c r="R710">
        <v>16559.11</v>
      </c>
      <c r="S710">
        <v>13233.79</v>
      </c>
      <c r="T710">
        <v>16559.108</v>
      </c>
      <c r="U710">
        <v>3325.3180000000002</v>
      </c>
      <c r="V710">
        <v>0.20081504390212301</v>
      </c>
      <c r="W710">
        <v>6</v>
      </c>
      <c r="X710" t="s">
        <v>278</v>
      </c>
      <c r="Y710">
        <v>2025</v>
      </c>
      <c r="Z710" t="s">
        <v>129</v>
      </c>
      <c r="AA710" t="s">
        <v>130</v>
      </c>
      <c r="AB710" t="s">
        <v>131</v>
      </c>
      <c r="AC710" t="s">
        <v>131</v>
      </c>
      <c r="AD710" t="s">
        <v>131</v>
      </c>
      <c r="AE710" t="s">
        <v>131</v>
      </c>
      <c r="AF710" t="s">
        <v>131</v>
      </c>
      <c r="AG710" t="s">
        <v>131</v>
      </c>
      <c r="AH710" t="s">
        <v>132</v>
      </c>
      <c r="AI710" t="s">
        <v>133</v>
      </c>
      <c r="AJ710" t="s">
        <v>2729</v>
      </c>
      <c r="AK710" t="s">
        <v>2730</v>
      </c>
      <c r="AL710" t="s">
        <v>243</v>
      </c>
      <c r="AM710" t="s">
        <v>42</v>
      </c>
      <c r="AN710" t="s">
        <v>8</v>
      </c>
      <c r="AO710" t="s">
        <v>283</v>
      </c>
      <c r="AP710" t="s">
        <v>284</v>
      </c>
      <c r="AQ710" t="s">
        <v>18</v>
      </c>
      <c r="AR710" t="s">
        <v>26</v>
      </c>
      <c r="AS710" t="s">
        <v>36</v>
      </c>
      <c r="AT710">
        <v>0.05</v>
      </c>
      <c r="AU710" t="s">
        <v>129</v>
      </c>
      <c r="AV710" t="s">
        <v>130</v>
      </c>
    </row>
    <row r="711" spans="1:48" x14ac:dyDescent="0.3">
      <c r="A711" t="s">
        <v>2731</v>
      </c>
      <c r="B711" s="12">
        <v>45676</v>
      </c>
      <c r="C711" s="12">
        <v>45680</v>
      </c>
      <c r="D711" t="s">
        <v>2732</v>
      </c>
      <c r="E711" t="s">
        <v>409</v>
      </c>
      <c r="F711" t="s">
        <v>41</v>
      </c>
      <c r="G711" t="s">
        <v>9</v>
      </c>
      <c r="H711" t="s">
        <v>232</v>
      </c>
      <c r="I711" t="s">
        <v>233</v>
      </c>
      <c r="J711" t="s">
        <v>15</v>
      </c>
      <c r="K711" t="s">
        <v>17</v>
      </c>
      <c r="M711" t="s">
        <v>38</v>
      </c>
      <c r="N711">
        <v>7</v>
      </c>
      <c r="O711">
        <v>1363.04</v>
      </c>
      <c r="P711">
        <v>0.15</v>
      </c>
      <c r="Q711">
        <v>0.15</v>
      </c>
      <c r="R711">
        <v>8110.09</v>
      </c>
      <c r="S711">
        <v>6417.32</v>
      </c>
      <c r="T711">
        <v>8110.0879999999997</v>
      </c>
      <c r="U711">
        <v>1692.768</v>
      </c>
      <c r="V711">
        <v>0.208723752442637</v>
      </c>
      <c r="W711">
        <v>4</v>
      </c>
      <c r="X711" t="s">
        <v>244</v>
      </c>
      <c r="Y711">
        <v>2025</v>
      </c>
      <c r="Z711" t="s">
        <v>129</v>
      </c>
      <c r="AA711" t="s">
        <v>165</v>
      </c>
      <c r="AB711" t="s">
        <v>131</v>
      </c>
      <c r="AC711" t="s">
        <v>131</v>
      </c>
      <c r="AD711" t="s">
        <v>131</v>
      </c>
      <c r="AE711" t="s">
        <v>131</v>
      </c>
      <c r="AF711" t="s">
        <v>131</v>
      </c>
      <c r="AG711" t="s">
        <v>131</v>
      </c>
      <c r="AH711" t="s">
        <v>131</v>
      </c>
      <c r="AI711" t="s">
        <v>133</v>
      </c>
      <c r="AJ711" t="s">
        <v>270</v>
      </c>
      <c r="AK711" t="s">
        <v>262</v>
      </c>
      <c r="AL711" t="s">
        <v>409</v>
      </c>
      <c r="AM711" t="s">
        <v>41</v>
      </c>
      <c r="AN711" t="s">
        <v>9</v>
      </c>
      <c r="AO711" t="s">
        <v>232</v>
      </c>
      <c r="AP711" t="s">
        <v>233</v>
      </c>
      <c r="AQ711" t="s">
        <v>15</v>
      </c>
      <c r="AR711" t="s">
        <v>17</v>
      </c>
      <c r="AS711" t="s">
        <v>38</v>
      </c>
      <c r="AT711">
        <v>0.15</v>
      </c>
      <c r="AU711" t="s">
        <v>129</v>
      </c>
      <c r="AV711" t="s">
        <v>165</v>
      </c>
    </row>
    <row r="712" spans="1:48" x14ac:dyDescent="0.3">
      <c r="A712" t="s">
        <v>2733</v>
      </c>
      <c r="B712" s="12">
        <v>45485</v>
      </c>
      <c r="C712" s="12">
        <v>45492</v>
      </c>
      <c r="D712" t="s">
        <v>2734</v>
      </c>
      <c r="E712" t="s">
        <v>170</v>
      </c>
      <c r="F712" t="s">
        <v>43</v>
      </c>
      <c r="G712" t="s">
        <v>9</v>
      </c>
      <c r="H712" t="s">
        <v>232</v>
      </c>
      <c r="I712" t="s">
        <v>233</v>
      </c>
      <c r="J712" t="s">
        <v>20</v>
      </c>
      <c r="K712" t="s">
        <v>29</v>
      </c>
      <c r="M712" t="s">
        <v>37</v>
      </c>
      <c r="N712">
        <v>5</v>
      </c>
      <c r="O712">
        <v>1559.16</v>
      </c>
      <c r="P712">
        <v>0.05</v>
      </c>
      <c r="Q712">
        <v>0.05</v>
      </c>
      <c r="R712">
        <v>7406.01</v>
      </c>
      <c r="S712">
        <v>5941.74</v>
      </c>
      <c r="T712">
        <v>7406.01</v>
      </c>
      <c r="U712">
        <v>1464.27</v>
      </c>
      <c r="V712">
        <v>0.19771374869869199</v>
      </c>
      <c r="W712">
        <v>7</v>
      </c>
      <c r="X712" t="s">
        <v>128</v>
      </c>
      <c r="Y712">
        <v>2024</v>
      </c>
      <c r="Z712" t="s">
        <v>129</v>
      </c>
      <c r="AA712" t="s">
        <v>130</v>
      </c>
      <c r="AB712" t="s">
        <v>131</v>
      </c>
      <c r="AC712" t="s">
        <v>131</v>
      </c>
      <c r="AD712" t="s">
        <v>131</v>
      </c>
      <c r="AE712" t="s">
        <v>131</v>
      </c>
      <c r="AF712" t="s">
        <v>131</v>
      </c>
      <c r="AG712" t="s">
        <v>131</v>
      </c>
      <c r="AH712" t="s">
        <v>132</v>
      </c>
      <c r="AI712" t="s">
        <v>133</v>
      </c>
      <c r="AJ712" t="s">
        <v>2735</v>
      </c>
      <c r="AK712" t="s">
        <v>2736</v>
      </c>
      <c r="AL712" t="s">
        <v>170</v>
      </c>
      <c r="AM712" t="s">
        <v>43</v>
      </c>
      <c r="AN712" t="s">
        <v>9</v>
      </c>
      <c r="AO712" t="s">
        <v>232</v>
      </c>
      <c r="AP712" t="s">
        <v>233</v>
      </c>
      <c r="AQ712" t="s">
        <v>20</v>
      </c>
      <c r="AR712" t="s">
        <v>29</v>
      </c>
      <c r="AS712" t="s">
        <v>37</v>
      </c>
      <c r="AT712">
        <v>0.05</v>
      </c>
      <c r="AU712" t="s">
        <v>129</v>
      </c>
      <c r="AV712" t="s">
        <v>130</v>
      </c>
    </row>
    <row r="713" spans="1:48" x14ac:dyDescent="0.3">
      <c r="A713" t="s">
        <v>2737</v>
      </c>
      <c r="B713" s="12">
        <v>45690</v>
      </c>
      <c r="C713" s="12">
        <v>45690</v>
      </c>
      <c r="D713" t="s">
        <v>2738</v>
      </c>
      <c r="E713" t="s">
        <v>409</v>
      </c>
      <c r="F713" t="s">
        <v>43</v>
      </c>
      <c r="G713" t="s">
        <v>8</v>
      </c>
      <c r="H713" t="s">
        <v>201</v>
      </c>
      <c r="I713" t="s">
        <v>202</v>
      </c>
      <c r="J713" t="s">
        <v>15</v>
      </c>
      <c r="K713" t="s">
        <v>25</v>
      </c>
      <c r="M713" t="s">
        <v>36</v>
      </c>
      <c r="N713">
        <v>1</v>
      </c>
      <c r="O713">
        <v>4326.75</v>
      </c>
      <c r="P713">
        <v>0.05</v>
      </c>
      <c r="Q713">
        <v>0.05</v>
      </c>
      <c r="R713">
        <v>4110.41</v>
      </c>
      <c r="S713">
        <v>2394.14</v>
      </c>
      <c r="T713">
        <v>4110.4125000000004</v>
      </c>
      <c r="U713">
        <v>1716.2725</v>
      </c>
      <c r="V713">
        <v>0.417542643226197</v>
      </c>
      <c r="W713">
        <v>0</v>
      </c>
      <c r="X713" t="s">
        <v>186</v>
      </c>
      <c r="Y713">
        <v>2025</v>
      </c>
      <c r="Z713" t="s">
        <v>215</v>
      </c>
      <c r="AA713" t="s">
        <v>204</v>
      </c>
      <c r="AB713" t="s">
        <v>131</v>
      </c>
      <c r="AC713" t="s">
        <v>131</v>
      </c>
      <c r="AD713" t="s">
        <v>131</v>
      </c>
      <c r="AE713" t="s">
        <v>131</v>
      </c>
      <c r="AF713" t="s">
        <v>131</v>
      </c>
      <c r="AG713" t="s">
        <v>131</v>
      </c>
      <c r="AH713" t="s">
        <v>131</v>
      </c>
      <c r="AI713" t="s">
        <v>133</v>
      </c>
      <c r="AJ713" t="s">
        <v>2739</v>
      </c>
      <c r="AK713" t="s">
        <v>2710</v>
      </c>
      <c r="AL713" t="s">
        <v>409</v>
      </c>
      <c r="AM713" t="s">
        <v>43</v>
      </c>
      <c r="AN713" t="s">
        <v>8</v>
      </c>
      <c r="AO713" t="s">
        <v>201</v>
      </c>
      <c r="AP713" t="s">
        <v>202</v>
      </c>
      <c r="AQ713" t="s">
        <v>15</v>
      </c>
      <c r="AR713" t="s">
        <v>25</v>
      </c>
      <c r="AS713" t="s">
        <v>36</v>
      </c>
      <c r="AT713">
        <v>0.05</v>
      </c>
      <c r="AU713" t="s">
        <v>215</v>
      </c>
      <c r="AV713" t="s">
        <v>204</v>
      </c>
    </row>
    <row r="714" spans="1:48" x14ac:dyDescent="0.3">
      <c r="A714" t="s">
        <v>2740</v>
      </c>
      <c r="B714" s="12">
        <v>45332</v>
      </c>
      <c r="C714" s="12">
        <v>45340</v>
      </c>
      <c r="D714" t="s">
        <v>2741</v>
      </c>
      <c r="E714" t="s">
        <v>147</v>
      </c>
      <c r="F714" t="s">
        <v>41</v>
      </c>
      <c r="G714" t="s">
        <v>7</v>
      </c>
      <c r="H714" t="s">
        <v>171</v>
      </c>
      <c r="I714" t="s">
        <v>172</v>
      </c>
      <c r="J714" t="s">
        <v>18</v>
      </c>
      <c r="K714" t="s">
        <v>19</v>
      </c>
      <c r="M714" t="s">
        <v>36</v>
      </c>
      <c r="N714">
        <v>7</v>
      </c>
      <c r="O714">
        <v>1382.86</v>
      </c>
      <c r="P714">
        <v>0</v>
      </c>
      <c r="Q714">
        <v>0</v>
      </c>
      <c r="R714">
        <v>9680.02</v>
      </c>
      <c r="S714">
        <v>6876.66</v>
      </c>
      <c r="T714">
        <v>9680.02</v>
      </c>
      <c r="U714">
        <v>2803.36</v>
      </c>
      <c r="V714">
        <v>0.289602707432423</v>
      </c>
      <c r="W714">
        <v>8</v>
      </c>
      <c r="X714" t="s">
        <v>186</v>
      </c>
      <c r="Y714">
        <v>2024</v>
      </c>
      <c r="Z714" t="s">
        <v>129</v>
      </c>
      <c r="AA714" t="s">
        <v>130</v>
      </c>
      <c r="AB714" t="s">
        <v>131</v>
      </c>
      <c r="AC714" t="s">
        <v>131</v>
      </c>
      <c r="AD714" t="s">
        <v>131</v>
      </c>
      <c r="AE714" t="s">
        <v>131</v>
      </c>
      <c r="AF714" t="s">
        <v>131</v>
      </c>
      <c r="AG714" t="s">
        <v>131</v>
      </c>
      <c r="AH714" t="s">
        <v>132</v>
      </c>
      <c r="AI714" t="s">
        <v>133</v>
      </c>
      <c r="AJ714" t="s">
        <v>1811</v>
      </c>
      <c r="AK714" t="s">
        <v>2742</v>
      </c>
      <c r="AL714" t="s">
        <v>147</v>
      </c>
      <c r="AM714" t="s">
        <v>41</v>
      </c>
      <c r="AN714" t="s">
        <v>7</v>
      </c>
      <c r="AO714" t="s">
        <v>171</v>
      </c>
      <c r="AP714" t="s">
        <v>172</v>
      </c>
      <c r="AQ714" t="s">
        <v>18</v>
      </c>
      <c r="AR714" t="s">
        <v>19</v>
      </c>
      <c r="AS714" t="s">
        <v>36</v>
      </c>
      <c r="AT714">
        <v>0</v>
      </c>
      <c r="AU714" t="s">
        <v>129</v>
      </c>
      <c r="AV714" t="s">
        <v>130</v>
      </c>
    </row>
    <row r="715" spans="1:48" x14ac:dyDescent="0.3">
      <c r="A715" t="s">
        <v>2743</v>
      </c>
      <c r="B715" s="12">
        <v>45814</v>
      </c>
      <c r="C715" s="12">
        <v>45818</v>
      </c>
      <c r="D715" t="s">
        <v>843</v>
      </c>
      <c r="E715" t="s">
        <v>139</v>
      </c>
      <c r="F715" t="s">
        <v>42</v>
      </c>
      <c r="G715" t="s">
        <v>7</v>
      </c>
      <c r="H715" t="s">
        <v>126</v>
      </c>
      <c r="I715" t="s">
        <v>213</v>
      </c>
      <c r="J715" t="s">
        <v>15</v>
      </c>
      <c r="K715" t="s">
        <v>25</v>
      </c>
      <c r="M715" t="s">
        <v>37</v>
      </c>
      <c r="N715">
        <v>1</v>
      </c>
      <c r="O715">
        <v>289.97000000000003</v>
      </c>
      <c r="P715">
        <v>0.25</v>
      </c>
      <c r="Q715">
        <v>0.25</v>
      </c>
      <c r="R715">
        <v>217.48</v>
      </c>
      <c r="S715">
        <v>132.13</v>
      </c>
      <c r="T715">
        <v>217.47749999999999</v>
      </c>
      <c r="U715">
        <v>85.347499999999997</v>
      </c>
      <c r="V715">
        <v>0.39244289639158098</v>
      </c>
      <c r="W715">
        <v>4</v>
      </c>
      <c r="X715" t="s">
        <v>148</v>
      </c>
      <c r="Y715">
        <v>2025</v>
      </c>
      <c r="Z715" t="s">
        <v>129</v>
      </c>
      <c r="AA715" t="s">
        <v>130</v>
      </c>
      <c r="AB715" t="s">
        <v>131</v>
      </c>
      <c r="AC715" t="s">
        <v>131</v>
      </c>
      <c r="AD715" t="s">
        <v>131</v>
      </c>
      <c r="AE715" t="s">
        <v>131</v>
      </c>
      <c r="AF715" t="s">
        <v>131</v>
      </c>
      <c r="AG715" t="s">
        <v>131</v>
      </c>
      <c r="AH715" t="s">
        <v>132</v>
      </c>
      <c r="AI715" t="s">
        <v>133</v>
      </c>
      <c r="AJ715" t="s">
        <v>2744</v>
      </c>
      <c r="AK715" t="s">
        <v>2628</v>
      </c>
      <c r="AL715" t="s">
        <v>139</v>
      </c>
      <c r="AM715" t="s">
        <v>42</v>
      </c>
      <c r="AN715" t="s">
        <v>7</v>
      </c>
      <c r="AO715" t="s">
        <v>126</v>
      </c>
      <c r="AP715" t="s">
        <v>213</v>
      </c>
      <c r="AQ715" t="s">
        <v>15</v>
      </c>
      <c r="AR715" t="s">
        <v>25</v>
      </c>
      <c r="AS715" t="s">
        <v>37</v>
      </c>
      <c r="AT715">
        <v>0.25</v>
      </c>
      <c r="AU715" t="s">
        <v>129</v>
      </c>
      <c r="AV715" t="s">
        <v>130</v>
      </c>
    </row>
    <row r="716" spans="1:48" x14ac:dyDescent="0.3">
      <c r="A716" t="s">
        <v>2745</v>
      </c>
      <c r="B716" s="12">
        <v>45738</v>
      </c>
      <c r="C716" s="12">
        <v>45739</v>
      </c>
      <c r="D716" t="s">
        <v>2746</v>
      </c>
      <c r="E716" t="s">
        <v>125</v>
      </c>
      <c r="F716" t="s">
        <v>41</v>
      </c>
      <c r="G716" t="s">
        <v>9</v>
      </c>
      <c r="H716" t="s">
        <v>522</v>
      </c>
      <c r="I716" t="s">
        <v>523</v>
      </c>
      <c r="J716" t="s">
        <v>15</v>
      </c>
      <c r="K716" t="s">
        <v>16</v>
      </c>
      <c r="M716" t="s">
        <v>35</v>
      </c>
      <c r="N716">
        <v>9</v>
      </c>
      <c r="O716">
        <v>2075.02</v>
      </c>
      <c r="P716">
        <v>0</v>
      </c>
      <c r="Q716">
        <v>0</v>
      </c>
      <c r="R716">
        <v>18675.18</v>
      </c>
      <c r="S716">
        <v>13974.7</v>
      </c>
      <c r="T716">
        <v>18675.18</v>
      </c>
      <c r="U716">
        <v>4700.4799999999996</v>
      </c>
      <c r="V716">
        <v>0.251696636926659</v>
      </c>
      <c r="W716">
        <v>1</v>
      </c>
      <c r="X716" t="s">
        <v>278</v>
      </c>
      <c r="Y716">
        <v>2025</v>
      </c>
      <c r="Z716" t="s">
        <v>129</v>
      </c>
      <c r="AA716" t="s">
        <v>130</v>
      </c>
      <c r="AB716" t="s">
        <v>131</v>
      </c>
      <c r="AC716" t="s">
        <v>131</v>
      </c>
      <c r="AD716" t="s">
        <v>131</v>
      </c>
      <c r="AE716" t="s">
        <v>131</v>
      </c>
      <c r="AF716" t="s">
        <v>131</v>
      </c>
      <c r="AG716" t="s">
        <v>131</v>
      </c>
      <c r="AH716" t="s">
        <v>132</v>
      </c>
      <c r="AI716" t="s">
        <v>133</v>
      </c>
      <c r="AJ716" t="s">
        <v>1799</v>
      </c>
      <c r="AK716" t="s">
        <v>1891</v>
      </c>
      <c r="AL716" t="s">
        <v>125</v>
      </c>
      <c r="AM716" t="s">
        <v>41</v>
      </c>
      <c r="AN716" t="s">
        <v>9</v>
      </c>
      <c r="AO716" t="s">
        <v>522</v>
      </c>
      <c r="AP716" t="s">
        <v>523</v>
      </c>
      <c r="AQ716" t="s">
        <v>15</v>
      </c>
      <c r="AR716" t="s">
        <v>16</v>
      </c>
      <c r="AS716" t="s">
        <v>35</v>
      </c>
      <c r="AT716">
        <v>0</v>
      </c>
      <c r="AU716" t="s">
        <v>129</v>
      </c>
      <c r="AV716" t="s">
        <v>130</v>
      </c>
    </row>
    <row r="717" spans="1:48" x14ac:dyDescent="0.3">
      <c r="A717" t="s">
        <v>2747</v>
      </c>
      <c r="B717" s="12">
        <v>45891</v>
      </c>
      <c r="C717" s="12">
        <v>45896</v>
      </c>
      <c r="D717" t="s">
        <v>2748</v>
      </c>
      <c r="E717" t="s">
        <v>221</v>
      </c>
      <c r="F717" t="s">
        <v>42</v>
      </c>
      <c r="G717" t="s">
        <v>9</v>
      </c>
      <c r="H717" t="s">
        <v>372</v>
      </c>
      <c r="I717" t="s">
        <v>373</v>
      </c>
      <c r="J717" t="s">
        <v>18</v>
      </c>
      <c r="K717" t="s">
        <v>19</v>
      </c>
      <c r="M717" t="s">
        <v>37</v>
      </c>
      <c r="N717">
        <v>7</v>
      </c>
      <c r="O717">
        <v>2843.09</v>
      </c>
      <c r="P717">
        <v>0</v>
      </c>
      <c r="Q717">
        <v>0</v>
      </c>
      <c r="R717">
        <v>19901.63</v>
      </c>
      <c r="S717">
        <v>15492.03</v>
      </c>
      <c r="T717">
        <v>19901.63</v>
      </c>
      <c r="U717">
        <v>4409.6000000000004</v>
      </c>
      <c r="V717">
        <v>0.22156979101711799</v>
      </c>
      <c r="W717">
        <v>5</v>
      </c>
      <c r="X717" t="s">
        <v>142</v>
      </c>
      <c r="Y717">
        <v>2025</v>
      </c>
      <c r="Z717" t="s">
        <v>203</v>
      </c>
      <c r="AA717" t="s">
        <v>165</v>
      </c>
      <c r="AB717" t="s">
        <v>131</v>
      </c>
      <c r="AC717" t="s">
        <v>131</v>
      </c>
      <c r="AD717" t="s">
        <v>131</v>
      </c>
      <c r="AE717" t="s">
        <v>131</v>
      </c>
      <c r="AF717" t="s">
        <v>131</v>
      </c>
      <c r="AG717" t="s">
        <v>131</v>
      </c>
      <c r="AH717" t="s">
        <v>131</v>
      </c>
      <c r="AI717" t="s">
        <v>133</v>
      </c>
      <c r="AJ717" t="s">
        <v>481</v>
      </c>
      <c r="AK717" t="s">
        <v>482</v>
      </c>
      <c r="AL717" t="s">
        <v>221</v>
      </c>
      <c r="AM717" t="s">
        <v>42</v>
      </c>
      <c r="AN717" t="s">
        <v>9</v>
      </c>
      <c r="AO717" t="s">
        <v>372</v>
      </c>
      <c r="AP717" t="s">
        <v>373</v>
      </c>
      <c r="AQ717" t="s">
        <v>18</v>
      </c>
      <c r="AR717" t="s">
        <v>19</v>
      </c>
      <c r="AS717" t="s">
        <v>37</v>
      </c>
      <c r="AT717">
        <v>0</v>
      </c>
      <c r="AU717" t="s">
        <v>203</v>
      </c>
      <c r="AV717" t="s">
        <v>165</v>
      </c>
    </row>
    <row r="718" spans="1:48" x14ac:dyDescent="0.3">
      <c r="A718" t="s">
        <v>2749</v>
      </c>
      <c r="B718" s="12">
        <v>45895</v>
      </c>
      <c r="C718" s="12">
        <v>45900</v>
      </c>
      <c r="D718" t="s">
        <v>2750</v>
      </c>
      <c r="E718" t="s">
        <v>277</v>
      </c>
      <c r="F718" t="s">
        <v>44</v>
      </c>
      <c r="G718" t="s">
        <v>9</v>
      </c>
      <c r="H718" t="s">
        <v>372</v>
      </c>
      <c r="I718" t="s">
        <v>373</v>
      </c>
      <c r="J718" t="s">
        <v>15</v>
      </c>
      <c r="K718" t="s">
        <v>17</v>
      </c>
      <c r="M718" t="s">
        <v>36</v>
      </c>
      <c r="N718">
        <v>1</v>
      </c>
      <c r="O718">
        <v>3388.02</v>
      </c>
      <c r="P718">
        <v>0.15</v>
      </c>
      <c r="Q718">
        <v>0.15</v>
      </c>
      <c r="R718">
        <v>2879.82</v>
      </c>
      <c r="S718">
        <v>1824.88</v>
      </c>
      <c r="T718">
        <v>2879.817</v>
      </c>
      <c r="U718">
        <v>1054.9369999999999</v>
      </c>
      <c r="V718">
        <v>0.36632084608153898</v>
      </c>
      <c r="W718">
        <v>5</v>
      </c>
      <c r="X718" t="s">
        <v>142</v>
      </c>
      <c r="Y718">
        <v>2025</v>
      </c>
      <c r="Z718" t="s">
        <v>129</v>
      </c>
      <c r="AA718" t="s">
        <v>130</v>
      </c>
      <c r="AB718" t="s">
        <v>131</v>
      </c>
      <c r="AC718" t="s">
        <v>131</v>
      </c>
      <c r="AD718" t="s">
        <v>131</v>
      </c>
      <c r="AE718" t="s">
        <v>131</v>
      </c>
      <c r="AF718" t="s">
        <v>131</v>
      </c>
      <c r="AG718" t="s">
        <v>131</v>
      </c>
      <c r="AH718" t="s">
        <v>132</v>
      </c>
      <c r="AI718" t="s">
        <v>133</v>
      </c>
      <c r="AJ718" t="s">
        <v>2751</v>
      </c>
      <c r="AK718" t="s">
        <v>274</v>
      </c>
      <c r="AL718" t="s">
        <v>277</v>
      </c>
      <c r="AM718" t="s">
        <v>44</v>
      </c>
      <c r="AN718" t="s">
        <v>9</v>
      </c>
      <c r="AO718" t="s">
        <v>372</v>
      </c>
      <c r="AP718" t="s">
        <v>373</v>
      </c>
      <c r="AQ718" t="s">
        <v>15</v>
      </c>
      <c r="AR718" t="s">
        <v>17</v>
      </c>
      <c r="AS718" t="s">
        <v>36</v>
      </c>
      <c r="AT718">
        <v>0.15</v>
      </c>
      <c r="AU718" t="s">
        <v>129</v>
      </c>
      <c r="AV718" t="s">
        <v>130</v>
      </c>
    </row>
    <row r="719" spans="1:48" x14ac:dyDescent="0.3">
      <c r="A719" t="s">
        <v>2752</v>
      </c>
      <c r="B719" s="12">
        <v>45942</v>
      </c>
      <c r="C719" s="12">
        <v>45945</v>
      </c>
      <c r="D719" t="s">
        <v>2753</v>
      </c>
      <c r="E719" t="s">
        <v>409</v>
      </c>
      <c r="F719" t="s">
        <v>44</v>
      </c>
      <c r="G719" t="s">
        <v>9</v>
      </c>
      <c r="H719" t="s">
        <v>372</v>
      </c>
      <c r="I719" t="s">
        <v>373</v>
      </c>
      <c r="J719" t="s">
        <v>15</v>
      </c>
      <c r="K719" t="s">
        <v>25</v>
      </c>
      <c r="M719" t="s">
        <v>35</v>
      </c>
      <c r="N719">
        <v>9</v>
      </c>
      <c r="O719">
        <v>2598.92</v>
      </c>
      <c r="P719">
        <v>0.2</v>
      </c>
      <c r="Q719">
        <v>0.2</v>
      </c>
      <c r="R719">
        <v>18712.22</v>
      </c>
      <c r="S719">
        <v>11852.22</v>
      </c>
      <c r="T719">
        <v>18712.223999999998</v>
      </c>
      <c r="U719">
        <v>6860.0039999999999</v>
      </c>
      <c r="V719">
        <v>0.36660548740759002</v>
      </c>
      <c r="W719">
        <v>3</v>
      </c>
      <c r="X719" t="s">
        <v>222</v>
      </c>
      <c r="Y719">
        <v>2025</v>
      </c>
      <c r="Z719" t="s">
        <v>215</v>
      </c>
      <c r="AA719" t="s">
        <v>165</v>
      </c>
      <c r="AB719" t="s">
        <v>131</v>
      </c>
      <c r="AC719" t="s">
        <v>131</v>
      </c>
      <c r="AD719" t="s">
        <v>131</v>
      </c>
      <c r="AE719" t="s">
        <v>131</v>
      </c>
      <c r="AF719" t="s">
        <v>131</v>
      </c>
      <c r="AG719" t="s">
        <v>131</v>
      </c>
      <c r="AH719" t="s">
        <v>131</v>
      </c>
      <c r="AI719" t="s">
        <v>133</v>
      </c>
      <c r="AJ719" t="s">
        <v>2754</v>
      </c>
      <c r="AK719" t="s">
        <v>365</v>
      </c>
      <c r="AL719" t="s">
        <v>409</v>
      </c>
      <c r="AM719" t="s">
        <v>44</v>
      </c>
      <c r="AN719" t="s">
        <v>9</v>
      </c>
      <c r="AO719" t="s">
        <v>372</v>
      </c>
      <c r="AP719" t="s">
        <v>373</v>
      </c>
      <c r="AQ719" t="s">
        <v>15</v>
      </c>
      <c r="AR719" t="s">
        <v>25</v>
      </c>
      <c r="AS719" t="s">
        <v>35</v>
      </c>
      <c r="AT719">
        <v>0.2</v>
      </c>
      <c r="AU719" t="s">
        <v>215</v>
      </c>
      <c r="AV719" t="s">
        <v>165</v>
      </c>
    </row>
    <row r="720" spans="1:48" x14ac:dyDescent="0.3">
      <c r="A720" t="s">
        <v>2755</v>
      </c>
      <c r="B720" s="12">
        <v>45541</v>
      </c>
      <c r="C720" s="12">
        <v>45544</v>
      </c>
      <c r="D720" t="s">
        <v>2756</v>
      </c>
      <c r="E720" t="s">
        <v>139</v>
      </c>
      <c r="F720" t="s">
        <v>42</v>
      </c>
      <c r="G720" t="s">
        <v>7</v>
      </c>
      <c r="H720" t="s">
        <v>163</v>
      </c>
      <c r="I720" t="s">
        <v>164</v>
      </c>
      <c r="J720" t="s">
        <v>20</v>
      </c>
      <c r="K720" t="s">
        <v>29</v>
      </c>
      <c r="M720" t="s">
        <v>38</v>
      </c>
      <c r="N720">
        <v>3</v>
      </c>
      <c r="O720">
        <v>1972.27</v>
      </c>
      <c r="P720">
        <v>0.2</v>
      </c>
      <c r="Q720">
        <v>0.2</v>
      </c>
      <c r="R720">
        <v>4733.45</v>
      </c>
      <c r="S720">
        <v>3672.32</v>
      </c>
      <c r="T720">
        <v>4733.4480000000003</v>
      </c>
      <c r="U720">
        <v>1061.1279999999999</v>
      </c>
      <c r="V720">
        <v>0.22417654107534299</v>
      </c>
      <c r="W720">
        <v>3</v>
      </c>
      <c r="X720" t="s">
        <v>196</v>
      </c>
      <c r="Y720">
        <v>2024</v>
      </c>
      <c r="Z720" t="s">
        <v>129</v>
      </c>
      <c r="AA720" t="s">
        <v>130</v>
      </c>
      <c r="AB720" t="s">
        <v>131</v>
      </c>
      <c r="AC720" t="s">
        <v>131</v>
      </c>
      <c r="AD720" t="s">
        <v>131</v>
      </c>
      <c r="AE720" t="s">
        <v>131</v>
      </c>
      <c r="AF720" t="s">
        <v>131</v>
      </c>
      <c r="AG720" t="s">
        <v>131</v>
      </c>
      <c r="AH720" t="s">
        <v>132</v>
      </c>
      <c r="AI720" t="s">
        <v>133</v>
      </c>
      <c r="AJ720" t="s">
        <v>2757</v>
      </c>
      <c r="AK720" t="s">
        <v>823</v>
      </c>
      <c r="AL720" t="s">
        <v>139</v>
      </c>
      <c r="AM720" t="s">
        <v>42</v>
      </c>
      <c r="AN720" t="s">
        <v>7</v>
      </c>
      <c r="AO720" t="s">
        <v>163</v>
      </c>
      <c r="AP720" t="s">
        <v>164</v>
      </c>
      <c r="AQ720" t="s">
        <v>20</v>
      </c>
      <c r="AR720" t="s">
        <v>29</v>
      </c>
      <c r="AS720" t="s">
        <v>38</v>
      </c>
      <c r="AT720">
        <v>0.2</v>
      </c>
      <c r="AU720" t="s">
        <v>129</v>
      </c>
      <c r="AV720" t="s">
        <v>130</v>
      </c>
    </row>
    <row r="721" spans="1:48" x14ac:dyDescent="0.3">
      <c r="A721" t="s">
        <v>2758</v>
      </c>
      <c r="B721" s="12">
        <v>45908</v>
      </c>
      <c r="C721" s="12">
        <v>45909</v>
      </c>
      <c r="D721" t="s">
        <v>258</v>
      </c>
      <c r="E721" t="s">
        <v>409</v>
      </c>
      <c r="F721" t="s">
        <v>43</v>
      </c>
      <c r="G721" t="s">
        <v>7</v>
      </c>
      <c r="H721" t="s">
        <v>300</v>
      </c>
      <c r="I721" t="s">
        <v>301</v>
      </c>
      <c r="J721" t="s">
        <v>20</v>
      </c>
      <c r="K721" t="s">
        <v>29</v>
      </c>
      <c r="M721" t="s">
        <v>38</v>
      </c>
      <c r="N721">
        <v>2</v>
      </c>
      <c r="O721">
        <v>2372.41</v>
      </c>
      <c r="P721">
        <v>0.2</v>
      </c>
      <c r="Q721">
        <v>0.2</v>
      </c>
      <c r="R721">
        <v>3795.86</v>
      </c>
      <c r="S721">
        <v>2264.92</v>
      </c>
      <c r="T721">
        <v>3795.8560000000002</v>
      </c>
      <c r="U721">
        <v>1530.9359999999999</v>
      </c>
      <c r="V721">
        <v>0.40331772332775501</v>
      </c>
      <c r="W721">
        <v>1</v>
      </c>
      <c r="X721" t="s">
        <v>196</v>
      </c>
      <c r="Y721">
        <v>2025</v>
      </c>
      <c r="Z721" t="s">
        <v>129</v>
      </c>
      <c r="AA721" t="s">
        <v>130</v>
      </c>
      <c r="AB721" t="s">
        <v>131</v>
      </c>
      <c r="AC721" t="s">
        <v>131</v>
      </c>
      <c r="AD721" t="s">
        <v>131</v>
      </c>
      <c r="AE721" t="s">
        <v>131</v>
      </c>
      <c r="AF721" t="s">
        <v>131</v>
      </c>
      <c r="AG721" t="s">
        <v>131</v>
      </c>
      <c r="AH721" t="s">
        <v>132</v>
      </c>
      <c r="AI721" t="s">
        <v>133</v>
      </c>
      <c r="AJ721" t="s">
        <v>1494</v>
      </c>
      <c r="AK721" t="s">
        <v>1495</v>
      </c>
      <c r="AL721" t="s">
        <v>409</v>
      </c>
      <c r="AM721" t="s">
        <v>43</v>
      </c>
      <c r="AN721" t="s">
        <v>7</v>
      </c>
      <c r="AO721" t="s">
        <v>300</v>
      </c>
      <c r="AP721" t="s">
        <v>301</v>
      </c>
      <c r="AQ721" t="s">
        <v>20</v>
      </c>
      <c r="AR721" t="s">
        <v>29</v>
      </c>
      <c r="AS721" t="s">
        <v>38</v>
      </c>
      <c r="AT721">
        <v>0.2</v>
      </c>
      <c r="AU721" t="s">
        <v>129</v>
      </c>
      <c r="AV721" t="s">
        <v>130</v>
      </c>
    </row>
    <row r="722" spans="1:48" x14ac:dyDescent="0.3">
      <c r="A722" t="s">
        <v>2759</v>
      </c>
      <c r="B722" s="12">
        <v>45489</v>
      </c>
      <c r="C722" s="12">
        <v>45489</v>
      </c>
      <c r="D722" t="s">
        <v>2760</v>
      </c>
      <c r="E722" t="s">
        <v>191</v>
      </c>
      <c r="F722" t="s">
        <v>41</v>
      </c>
      <c r="G722" t="s">
        <v>7</v>
      </c>
      <c r="H722" t="s">
        <v>171</v>
      </c>
      <c r="I722" t="s">
        <v>172</v>
      </c>
      <c r="J722" t="s">
        <v>15</v>
      </c>
      <c r="K722" t="s">
        <v>16</v>
      </c>
      <c r="M722" t="s">
        <v>38</v>
      </c>
      <c r="N722">
        <v>4</v>
      </c>
      <c r="O722">
        <v>4479.92</v>
      </c>
      <c r="P722">
        <v>0.15</v>
      </c>
      <c r="Q722">
        <v>0.15</v>
      </c>
      <c r="R722">
        <v>15231.73</v>
      </c>
      <c r="S722">
        <v>12451.46</v>
      </c>
      <c r="T722">
        <v>15231.727999999999</v>
      </c>
      <c r="U722">
        <v>2780.268</v>
      </c>
      <c r="V722">
        <v>0.18253135822803601</v>
      </c>
      <c r="W722">
        <v>0</v>
      </c>
      <c r="X722" t="s">
        <v>128</v>
      </c>
      <c r="Y722">
        <v>2024</v>
      </c>
      <c r="Z722" t="s">
        <v>129</v>
      </c>
      <c r="AA722" t="s">
        <v>130</v>
      </c>
      <c r="AB722" t="s">
        <v>131</v>
      </c>
      <c r="AC722" t="s">
        <v>131</v>
      </c>
      <c r="AD722" t="s">
        <v>131</v>
      </c>
      <c r="AE722" t="s">
        <v>131</v>
      </c>
      <c r="AF722" t="s">
        <v>131</v>
      </c>
      <c r="AG722" t="s">
        <v>131</v>
      </c>
      <c r="AH722" t="s">
        <v>132</v>
      </c>
      <c r="AI722" t="s">
        <v>133</v>
      </c>
      <c r="AJ722" t="s">
        <v>1008</v>
      </c>
      <c r="AK722" t="s">
        <v>2761</v>
      </c>
      <c r="AL722" t="s">
        <v>191</v>
      </c>
      <c r="AM722" t="s">
        <v>41</v>
      </c>
      <c r="AN722" t="s">
        <v>7</v>
      </c>
      <c r="AO722" t="s">
        <v>171</v>
      </c>
      <c r="AP722" t="s">
        <v>172</v>
      </c>
      <c r="AQ722" t="s">
        <v>15</v>
      </c>
      <c r="AR722" t="s">
        <v>16</v>
      </c>
      <c r="AS722" t="s">
        <v>38</v>
      </c>
      <c r="AT722">
        <v>0.15</v>
      </c>
      <c r="AU722" t="s">
        <v>129</v>
      </c>
      <c r="AV722" t="s">
        <v>130</v>
      </c>
    </row>
    <row r="723" spans="1:48" x14ac:dyDescent="0.3">
      <c r="A723" t="s">
        <v>2762</v>
      </c>
      <c r="B723" s="12">
        <v>45827</v>
      </c>
      <c r="C723" s="12">
        <v>45831</v>
      </c>
      <c r="D723" t="s">
        <v>2763</v>
      </c>
      <c r="E723" t="s">
        <v>243</v>
      </c>
      <c r="F723" t="s">
        <v>42</v>
      </c>
      <c r="G723" t="s">
        <v>6</v>
      </c>
      <c r="H723" t="s">
        <v>294</v>
      </c>
      <c r="I723" t="s">
        <v>295</v>
      </c>
      <c r="J723" t="s">
        <v>15</v>
      </c>
      <c r="K723" t="s">
        <v>16</v>
      </c>
      <c r="M723" t="s">
        <v>36</v>
      </c>
      <c r="N723">
        <v>5</v>
      </c>
      <c r="O723">
        <v>2729.95</v>
      </c>
      <c r="P723">
        <v>0</v>
      </c>
      <c r="Q723">
        <v>0</v>
      </c>
      <c r="R723">
        <v>13649.75</v>
      </c>
      <c r="S723">
        <v>10288.030000000001</v>
      </c>
      <c r="T723">
        <v>13649.75</v>
      </c>
      <c r="U723">
        <v>3361.72</v>
      </c>
      <c r="V723">
        <v>0.246284364182494</v>
      </c>
      <c r="W723">
        <v>4</v>
      </c>
      <c r="X723" t="s">
        <v>148</v>
      </c>
      <c r="Y723">
        <v>2025</v>
      </c>
      <c r="Z723" t="s">
        <v>129</v>
      </c>
      <c r="AA723" t="s">
        <v>130</v>
      </c>
      <c r="AB723" t="s">
        <v>131</v>
      </c>
      <c r="AC723" t="s">
        <v>131</v>
      </c>
      <c r="AD723" t="s">
        <v>131</v>
      </c>
      <c r="AE723" t="s">
        <v>131</v>
      </c>
      <c r="AF723" t="s">
        <v>131</v>
      </c>
      <c r="AG723" t="s">
        <v>131</v>
      </c>
      <c r="AH723" t="s">
        <v>132</v>
      </c>
      <c r="AI723" t="s">
        <v>133</v>
      </c>
      <c r="AJ723" t="s">
        <v>318</v>
      </c>
      <c r="AK723" t="s">
        <v>2764</v>
      </c>
      <c r="AL723" t="s">
        <v>243</v>
      </c>
      <c r="AM723" t="s">
        <v>42</v>
      </c>
      <c r="AN723" t="s">
        <v>6</v>
      </c>
      <c r="AO723" t="s">
        <v>294</v>
      </c>
      <c r="AP723" t="s">
        <v>295</v>
      </c>
      <c r="AQ723" t="s">
        <v>15</v>
      </c>
      <c r="AR723" t="s">
        <v>16</v>
      </c>
      <c r="AS723" t="s">
        <v>36</v>
      </c>
      <c r="AT723">
        <v>0</v>
      </c>
      <c r="AU723" t="s">
        <v>129</v>
      </c>
      <c r="AV723" t="s">
        <v>130</v>
      </c>
    </row>
    <row r="724" spans="1:48" x14ac:dyDescent="0.3">
      <c r="A724" t="s">
        <v>2765</v>
      </c>
      <c r="B724" s="12">
        <v>45572</v>
      </c>
      <c r="C724" s="12">
        <v>45575</v>
      </c>
      <c r="D724" t="s">
        <v>2766</v>
      </c>
      <c r="E724" t="s">
        <v>170</v>
      </c>
      <c r="F724" t="s">
        <v>42</v>
      </c>
      <c r="G724" t="s">
        <v>8</v>
      </c>
      <c r="H724" t="s">
        <v>201</v>
      </c>
      <c r="I724" t="s">
        <v>202</v>
      </c>
      <c r="J724" t="s">
        <v>18</v>
      </c>
      <c r="K724" t="s">
        <v>19</v>
      </c>
      <c r="M724" t="s">
        <v>37</v>
      </c>
      <c r="N724">
        <v>9</v>
      </c>
      <c r="O724">
        <v>481.51</v>
      </c>
      <c r="Q724">
        <v>0</v>
      </c>
      <c r="R724">
        <v>4333.59</v>
      </c>
      <c r="S724">
        <v>2533.59</v>
      </c>
      <c r="T724">
        <v>4333.59</v>
      </c>
      <c r="U724">
        <v>1800</v>
      </c>
      <c r="V724">
        <v>0.41536001329152</v>
      </c>
      <c r="W724">
        <v>3</v>
      </c>
      <c r="X724" t="s">
        <v>222</v>
      </c>
      <c r="Y724">
        <v>2024</v>
      </c>
      <c r="Z724" t="s">
        <v>203</v>
      </c>
      <c r="AA724" t="s">
        <v>165</v>
      </c>
      <c r="AB724" t="s">
        <v>131</v>
      </c>
      <c r="AC724" t="s">
        <v>131</v>
      </c>
      <c r="AD724" t="s">
        <v>132</v>
      </c>
      <c r="AE724" t="s">
        <v>131</v>
      </c>
      <c r="AF724" t="s">
        <v>131</v>
      </c>
      <c r="AG724" t="s">
        <v>131</v>
      </c>
      <c r="AH724" t="s">
        <v>131</v>
      </c>
      <c r="AI724" t="s">
        <v>321</v>
      </c>
      <c r="AJ724" t="s">
        <v>2146</v>
      </c>
      <c r="AK724" t="s">
        <v>2767</v>
      </c>
      <c r="AL724" t="s">
        <v>170</v>
      </c>
      <c r="AM724" t="s">
        <v>42</v>
      </c>
      <c r="AN724" t="s">
        <v>8</v>
      </c>
      <c r="AO724" t="s">
        <v>201</v>
      </c>
      <c r="AP724" t="s">
        <v>202</v>
      </c>
      <c r="AQ724" t="s">
        <v>18</v>
      </c>
      <c r="AR724" t="s">
        <v>19</v>
      </c>
      <c r="AS724" t="s">
        <v>37</v>
      </c>
      <c r="AU724" t="s">
        <v>203</v>
      </c>
      <c r="AV724" t="s">
        <v>165</v>
      </c>
    </row>
    <row r="725" spans="1:48" x14ac:dyDescent="0.3">
      <c r="A725" t="s">
        <v>2768</v>
      </c>
      <c r="B725" s="12">
        <v>45936</v>
      </c>
      <c r="C725" s="12">
        <v>45943</v>
      </c>
      <c r="D725" t="s">
        <v>2769</v>
      </c>
      <c r="E725" t="s">
        <v>409</v>
      </c>
      <c r="F725" t="s">
        <v>41</v>
      </c>
      <c r="G725" t="s">
        <v>8</v>
      </c>
      <c r="H725" t="s">
        <v>362</v>
      </c>
      <c r="I725" t="s">
        <v>363</v>
      </c>
      <c r="J725" t="s">
        <v>15</v>
      </c>
      <c r="K725" t="s">
        <v>22</v>
      </c>
      <c r="M725" t="s">
        <v>35</v>
      </c>
      <c r="N725">
        <v>6</v>
      </c>
      <c r="O725">
        <v>2391.9299999999998</v>
      </c>
      <c r="P725">
        <v>0.05</v>
      </c>
      <c r="Q725">
        <v>0.05</v>
      </c>
      <c r="R725">
        <v>13634</v>
      </c>
      <c r="S725">
        <v>9589.81</v>
      </c>
      <c r="T725">
        <v>13634.001</v>
      </c>
      <c r="U725">
        <v>4044.1909999999998</v>
      </c>
      <c r="V725">
        <v>0.29662539998346799</v>
      </c>
      <c r="W725">
        <v>7</v>
      </c>
      <c r="X725" t="s">
        <v>222</v>
      </c>
      <c r="Y725">
        <v>2025</v>
      </c>
      <c r="Z725" t="s">
        <v>269</v>
      </c>
      <c r="AA725" t="s">
        <v>204</v>
      </c>
      <c r="AB725" t="s">
        <v>131</v>
      </c>
      <c r="AC725" t="s">
        <v>131</v>
      </c>
      <c r="AD725" t="s">
        <v>131</v>
      </c>
      <c r="AE725" t="s">
        <v>131</v>
      </c>
      <c r="AF725" t="s">
        <v>131</v>
      </c>
      <c r="AG725" t="s">
        <v>131</v>
      </c>
      <c r="AH725" t="s">
        <v>131</v>
      </c>
      <c r="AI725" t="s">
        <v>133</v>
      </c>
      <c r="AJ725" t="s">
        <v>832</v>
      </c>
      <c r="AK725" t="s">
        <v>2770</v>
      </c>
      <c r="AL725" t="s">
        <v>409</v>
      </c>
      <c r="AM725" t="s">
        <v>41</v>
      </c>
      <c r="AN725" t="s">
        <v>8</v>
      </c>
      <c r="AO725" t="s">
        <v>362</v>
      </c>
      <c r="AP725" t="s">
        <v>363</v>
      </c>
      <c r="AQ725" t="s">
        <v>15</v>
      </c>
      <c r="AR725" t="s">
        <v>22</v>
      </c>
      <c r="AS725" t="s">
        <v>35</v>
      </c>
      <c r="AT725">
        <v>0.05</v>
      </c>
      <c r="AU725" t="s">
        <v>269</v>
      </c>
      <c r="AV725" t="s">
        <v>204</v>
      </c>
    </row>
    <row r="726" spans="1:48" x14ac:dyDescent="0.3">
      <c r="A726" t="s">
        <v>2771</v>
      </c>
      <c r="B726" s="12">
        <v>45332</v>
      </c>
      <c r="C726" s="12">
        <v>45338</v>
      </c>
      <c r="D726" t="s">
        <v>2772</v>
      </c>
      <c r="E726" t="s">
        <v>125</v>
      </c>
      <c r="F726" t="s">
        <v>42</v>
      </c>
      <c r="G726" t="s">
        <v>7</v>
      </c>
      <c r="H726" t="s">
        <v>311</v>
      </c>
      <c r="I726" t="s">
        <v>312</v>
      </c>
      <c r="J726" t="s">
        <v>18</v>
      </c>
      <c r="K726" t="s">
        <v>23</v>
      </c>
      <c r="M726" t="s">
        <v>37</v>
      </c>
      <c r="N726">
        <v>3</v>
      </c>
      <c r="O726">
        <v>253.43</v>
      </c>
      <c r="P726">
        <v>0</v>
      </c>
      <c r="Q726">
        <v>0</v>
      </c>
      <c r="R726">
        <v>760.29</v>
      </c>
      <c r="S726">
        <v>497.77</v>
      </c>
      <c r="T726">
        <v>760.29</v>
      </c>
      <c r="U726">
        <v>262.52</v>
      </c>
      <c r="V726">
        <v>0.34528929750489901</v>
      </c>
      <c r="W726">
        <v>6</v>
      </c>
      <c r="X726" t="s">
        <v>186</v>
      </c>
      <c r="Y726">
        <v>2024</v>
      </c>
      <c r="Z726" t="s">
        <v>129</v>
      </c>
      <c r="AA726" t="s">
        <v>130</v>
      </c>
      <c r="AB726" t="s">
        <v>131</v>
      </c>
      <c r="AC726" t="s">
        <v>131</v>
      </c>
      <c r="AD726" t="s">
        <v>131</v>
      </c>
      <c r="AE726" t="s">
        <v>131</v>
      </c>
      <c r="AF726" t="s">
        <v>131</v>
      </c>
      <c r="AG726" t="s">
        <v>131</v>
      </c>
      <c r="AH726" t="s">
        <v>132</v>
      </c>
      <c r="AI726" t="s">
        <v>133</v>
      </c>
      <c r="AJ726" t="s">
        <v>2773</v>
      </c>
      <c r="AK726" t="s">
        <v>1405</v>
      </c>
      <c r="AL726" t="s">
        <v>125</v>
      </c>
      <c r="AM726" t="s">
        <v>42</v>
      </c>
      <c r="AN726" t="s">
        <v>7</v>
      </c>
      <c r="AO726" t="s">
        <v>311</v>
      </c>
      <c r="AP726" t="s">
        <v>312</v>
      </c>
      <c r="AQ726" t="s">
        <v>18</v>
      </c>
      <c r="AR726" t="s">
        <v>23</v>
      </c>
      <c r="AS726" t="s">
        <v>37</v>
      </c>
      <c r="AT726">
        <v>0</v>
      </c>
      <c r="AU726" t="s">
        <v>129</v>
      </c>
      <c r="AV726" t="s">
        <v>130</v>
      </c>
    </row>
    <row r="727" spans="1:48" x14ac:dyDescent="0.3">
      <c r="A727" t="s">
        <v>2774</v>
      </c>
      <c r="B727" s="12">
        <v>45935</v>
      </c>
      <c r="C727" s="12">
        <v>45942</v>
      </c>
      <c r="D727" t="s">
        <v>2775</v>
      </c>
      <c r="E727" t="s">
        <v>221</v>
      </c>
      <c r="F727" t="s">
        <v>43</v>
      </c>
      <c r="G727" t="s">
        <v>6</v>
      </c>
      <c r="H727" t="s">
        <v>294</v>
      </c>
      <c r="I727" t="s">
        <v>295</v>
      </c>
      <c r="J727" t="s">
        <v>18</v>
      </c>
      <c r="K727" t="s">
        <v>27</v>
      </c>
      <c r="M727" t="s">
        <v>37</v>
      </c>
      <c r="N727">
        <v>7</v>
      </c>
      <c r="O727">
        <v>2134.73</v>
      </c>
      <c r="P727">
        <v>0</v>
      </c>
      <c r="Q727">
        <v>0</v>
      </c>
      <c r="R727">
        <v>14943.11</v>
      </c>
      <c r="S727">
        <v>8521.5</v>
      </c>
      <c r="T727">
        <v>14943.11</v>
      </c>
      <c r="U727">
        <v>6421.61</v>
      </c>
      <c r="V727">
        <v>0.42973718322357302</v>
      </c>
      <c r="W727">
        <v>7</v>
      </c>
      <c r="X727" t="s">
        <v>222</v>
      </c>
      <c r="Y727">
        <v>2025</v>
      </c>
      <c r="Z727" t="s">
        <v>129</v>
      </c>
      <c r="AA727" t="s">
        <v>130</v>
      </c>
      <c r="AB727" t="s">
        <v>131</v>
      </c>
      <c r="AC727" t="s">
        <v>131</v>
      </c>
      <c r="AD727" t="s">
        <v>131</v>
      </c>
      <c r="AE727" t="s">
        <v>131</v>
      </c>
      <c r="AF727" t="s">
        <v>131</v>
      </c>
      <c r="AG727" t="s">
        <v>131</v>
      </c>
      <c r="AH727" t="s">
        <v>132</v>
      </c>
      <c r="AI727" t="s">
        <v>133</v>
      </c>
      <c r="AJ727" t="s">
        <v>2776</v>
      </c>
      <c r="AK727" t="s">
        <v>223</v>
      </c>
      <c r="AL727" t="s">
        <v>221</v>
      </c>
      <c r="AM727" t="s">
        <v>43</v>
      </c>
      <c r="AN727" t="s">
        <v>6</v>
      </c>
      <c r="AO727" t="s">
        <v>294</v>
      </c>
      <c r="AP727" t="s">
        <v>295</v>
      </c>
      <c r="AQ727" t="s">
        <v>18</v>
      </c>
      <c r="AR727" t="s">
        <v>27</v>
      </c>
      <c r="AS727" t="s">
        <v>37</v>
      </c>
      <c r="AT727">
        <v>0</v>
      </c>
      <c r="AU727" t="s">
        <v>129</v>
      </c>
      <c r="AV727" t="s">
        <v>130</v>
      </c>
    </row>
    <row r="728" spans="1:48" x14ac:dyDescent="0.3">
      <c r="A728" t="s">
        <v>2777</v>
      </c>
      <c r="B728" s="12">
        <v>45308</v>
      </c>
      <c r="C728" s="12">
        <v>45314</v>
      </c>
      <c r="D728" t="s">
        <v>2778</v>
      </c>
      <c r="E728" t="s">
        <v>409</v>
      </c>
      <c r="F728" t="s">
        <v>41</v>
      </c>
      <c r="G728" t="s">
        <v>7</v>
      </c>
      <c r="H728" t="s">
        <v>300</v>
      </c>
      <c r="I728" t="s">
        <v>301</v>
      </c>
      <c r="J728" t="s">
        <v>15</v>
      </c>
      <c r="K728" t="s">
        <v>17</v>
      </c>
      <c r="M728" t="s">
        <v>35</v>
      </c>
      <c r="N728">
        <v>5</v>
      </c>
      <c r="O728">
        <v>2018</v>
      </c>
      <c r="P728">
        <v>0.2</v>
      </c>
      <c r="Q728">
        <v>0.2</v>
      </c>
      <c r="R728">
        <v>8072</v>
      </c>
      <c r="S728">
        <v>5379.22</v>
      </c>
      <c r="T728">
        <v>8072</v>
      </c>
      <c r="U728">
        <v>2692.78</v>
      </c>
      <c r="V728">
        <v>0.33359514370664001</v>
      </c>
      <c r="W728">
        <v>6</v>
      </c>
      <c r="X728" t="s">
        <v>244</v>
      </c>
      <c r="Y728">
        <v>2024</v>
      </c>
      <c r="Z728" t="s">
        <v>215</v>
      </c>
      <c r="AA728" t="s">
        <v>204</v>
      </c>
      <c r="AB728" t="s">
        <v>131</v>
      </c>
      <c r="AC728" t="s">
        <v>131</v>
      </c>
      <c r="AD728" t="s">
        <v>131</v>
      </c>
      <c r="AE728" t="s">
        <v>131</v>
      </c>
      <c r="AF728" t="s">
        <v>131</v>
      </c>
      <c r="AG728" t="s">
        <v>131</v>
      </c>
      <c r="AH728" t="s">
        <v>131</v>
      </c>
      <c r="AI728" t="s">
        <v>133</v>
      </c>
      <c r="AJ728" t="s">
        <v>2779</v>
      </c>
      <c r="AK728" t="s">
        <v>2780</v>
      </c>
      <c r="AL728" t="s">
        <v>409</v>
      </c>
      <c r="AM728" t="s">
        <v>41</v>
      </c>
      <c r="AN728" t="s">
        <v>7</v>
      </c>
      <c r="AO728" t="s">
        <v>300</v>
      </c>
      <c r="AP728" t="s">
        <v>301</v>
      </c>
      <c r="AQ728" t="s">
        <v>15</v>
      </c>
      <c r="AR728" t="s">
        <v>17</v>
      </c>
      <c r="AS728" t="s">
        <v>35</v>
      </c>
      <c r="AT728">
        <v>0.2</v>
      </c>
      <c r="AU728" t="s">
        <v>215</v>
      </c>
      <c r="AV728" t="s">
        <v>204</v>
      </c>
    </row>
    <row r="729" spans="1:48" x14ac:dyDescent="0.3">
      <c r="A729" t="s">
        <v>2781</v>
      </c>
      <c r="B729" s="12">
        <v>45578</v>
      </c>
      <c r="C729" s="12">
        <v>45578</v>
      </c>
      <c r="D729" t="s">
        <v>2782</v>
      </c>
      <c r="E729" t="s">
        <v>238</v>
      </c>
      <c r="F729" t="s">
        <v>44</v>
      </c>
      <c r="G729" t="s">
        <v>8</v>
      </c>
      <c r="H729" t="s">
        <v>283</v>
      </c>
      <c r="I729" t="s">
        <v>284</v>
      </c>
      <c r="J729" t="s">
        <v>15</v>
      </c>
      <c r="K729" t="s">
        <v>22</v>
      </c>
      <c r="M729" t="s">
        <v>37</v>
      </c>
      <c r="N729">
        <v>8</v>
      </c>
      <c r="O729">
        <v>3730.66</v>
      </c>
      <c r="P729">
        <v>0.05</v>
      </c>
      <c r="Q729">
        <v>0.05</v>
      </c>
      <c r="R729">
        <v>28353.02</v>
      </c>
      <c r="S729">
        <v>19257.849999999999</v>
      </c>
      <c r="T729">
        <v>28353.016</v>
      </c>
      <c r="U729">
        <v>9095.1659999999993</v>
      </c>
      <c r="V729">
        <v>0.32078301652282798</v>
      </c>
      <c r="W729">
        <v>0</v>
      </c>
      <c r="X729" t="s">
        <v>222</v>
      </c>
      <c r="Y729">
        <v>2024</v>
      </c>
      <c r="Z729" t="s">
        <v>129</v>
      </c>
      <c r="AA729" t="s">
        <v>130</v>
      </c>
      <c r="AB729" t="s">
        <v>131</v>
      </c>
      <c r="AC729" t="s">
        <v>131</v>
      </c>
      <c r="AD729" t="s">
        <v>131</v>
      </c>
      <c r="AE729" t="s">
        <v>131</v>
      </c>
      <c r="AF729" t="s">
        <v>131</v>
      </c>
      <c r="AG729" t="s">
        <v>131</v>
      </c>
      <c r="AH729" t="s">
        <v>132</v>
      </c>
      <c r="AI729" t="s">
        <v>133</v>
      </c>
      <c r="AJ729" t="s">
        <v>2783</v>
      </c>
      <c r="AK729" t="s">
        <v>2783</v>
      </c>
      <c r="AL729" t="s">
        <v>238</v>
      </c>
      <c r="AM729" t="s">
        <v>44</v>
      </c>
      <c r="AN729" t="s">
        <v>8</v>
      </c>
      <c r="AO729" t="s">
        <v>283</v>
      </c>
      <c r="AP729" t="s">
        <v>284</v>
      </c>
      <c r="AQ729" t="s">
        <v>15</v>
      </c>
      <c r="AR729" t="s">
        <v>22</v>
      </c>
      <c r="AS729" t="s">
        <v>37</v>
      </c>
      <c r="AT729">
        <v>0.05</v>
      </c>
      <c r="AU729" t="s">
        <v>129</v>
      </c>
      <c r="AV729" t="s">
        <v>130</v>
      </c>
    </row>
    <row r="730" spans="1:48" x14ac:dyDescent="0.3">
      <c r="A730" t="s">
        <v>2784</v>
      </c>
      <c r="B730" s="12">
        <v>45295</v>
      </c>
      <c r="C730" s="12">
        <v>45298</v>
      </c>
      <c r="D730" t="s">
        <v>2785</v>
      </c>
      <c r="E730" t="s">
        <v>243</v>
      </c>
      <c r="F730" t="s">
        <v>44</v>
      </c>
      <c r="G730" t="s">
        <v>6</v>
      </c>
      <c r="H730" t="s">
        <v>294</v>
      </c>
      <c r="I730" t="s">
        <v>295</v>
      </c>
      <c r="J730" t="s">
        <v>15</v>
      </c>
      <c r="K730" t="s">
        <v>25</v>
      </c>
      <c r="M730" t="s">
        <v>36</v>
      </c>
      <c r="N730">
        <v>1</v>
      </c>
      <c r="O730">
        <v>2363.02</v>
      </c>
      <c r="P730">
        <v>0.15</v>
      </c>
      <c r="Q730">
        <v>0.15</v>
      </c>
      <c r="R730">
        <v>2008.57</v>
      </c>
      <c r="S730">
        <v>1194.83</v>
      </c>
      <c r="T730">
        <v>2008.567</v>
      </c>
      <c r="U730">
        <v>813.73699999999997</v>
      </c>
      <c r="V730">
        <v>0.40513311231340599</v>
      </c>
      <c r="W730">
        <v>3</v>
      </c>
      <c r="X730" t="s">
        <v>244</v>
      </c>
      <c r="Y730">
        <v>2024</v>
      </c>
      <c r="Z730" t="s">
        <v>129</v>
      </c>
      <c r="AA730" t="s">
        <v>130</v>
      </c>
      <c r="AB730" t="s">
        <v>131</v>
      </c>
      <c r="AC730" t="s">
        <v>131</v>
      </c>
      <c r="AD730" t="s">
        <v>131</v>
      </c>
      <c r="AE730" t="s">
        <v>131</v>
      </c>
      <c r="AF730" t="s">
        <v>131</v>
      </c>
      <c r="AG730" t="s">
        <v>131</v>
      </c>
      <c r="AH730" t="s">
        <v>132</v>
      </c>
      <c r="AI730" t="s">
        <v>133</v>
      </c>
      <c r="AJ730" t="s">
        <v>2528</v>
      </c>
      <c r="AK730" t="s">
        <v>1523</v>
      </c>
      <c r="AL730" t="s">
        <v>243</v>
      </c>
      <c r="AM730" t="s">
        <v>44</v>
      </c>
      <c r="AN730" t="s">
        <v>6</v>
      </c>
      <c r="AO730" t="s">
        <v>294</v>
      </c>
      <c r="AP730" t="s">
        <v>295</v>
      </c>
      <c r="AQ730" t="s">
        <v>15</v>
      </c>
      <c r="AR730" t="s">
        <v>25</v>
      </c>
      <c r="AS730" t="s">
        <v>36</v>
      </c>
      <c r="AT730">
        <v>0.15</v>
      </c>
      <c r="AU730" t="s">
        <v>129</v>
      </c>
      <c r="AV730" t="s">
        <v>130</v>
      </c>
    </row>
    <row r="731" spans="1:48" x14ac:dyDescent="0.3">
      <c r="A731" t="s">
        <v>2786</v>
      </c>
      <c r="B731" s="12">
        <v>45794</v>
      </c>
      <c r="C731" s="12">
        <v>45802</v>
      </c>
      <c r="D731" t="s">
        <v>2787</v>
      </c>
      <c r="E731" t="s">
        <v>162</v>
      </c>
      <c r="F731" t="s">
        <v>43</v>
      </c>
      <c r="G731" t="s">
        <v>6</v>
      </c>
      <c r="H731" t="s">
        <v>385</v>
      </c>
      <c r="I731" t="s">
        <v>386</v>
      </c>
      <c r="J731" t="s">
        <v>15</v>
      </c>
      <c r="K731" t="s">
        <v>25</v>
      </c>
      <c r="M731" t="s">
        <v>38</v>
      </c>
      <c r="N731">
        <v>6</v>
      </c>
      <c r="O731">
        <v>1810.63</v>
      </c>
      <c r="P731">
        <v>0.15</v>
      </c>
      <c r="Q731">
        <v>0.15</v>
      </c>
      <c r="R731">
        <v>9234.2099999999991</v>
      </c>
      <c r="S731">
        <v>5516.52</v>
      </c>
      <c r="T731">
        <v>9234.2129999999997</v>
      </c>
      <c r="U731">
        <v>3717.6930000000002</v>
      </c>
      <c r="V731">
        <v>0.40259987505161499</v>
      </c>
      <c r="W731">
        <v>8</v>
      </c>
      <c r="X731" t="s">
        <v>173</v>
      </c>
      <c r="Y731">
        <v>2025</v>
      </c>
      <c r="Z731" t="s">
        <v>129</v>
      </c>
      <c r="AA731" t="s">
        <v>130</v>
      </c>
      <c r="AB731" t="s">
        <v>131</v>
      </c>
      <c r="AC731" t="s">
        <v>131</v>
      </c>
      <c r="AD731" t="s">
        <v>131</v>
      </c>
      <c r="AE731" t="s">
        <v>131</v>
      </c>
      <c r="AF731" t="s">
        <v>131</v>
      </c>
      <c r="AG731" t="s">
        <v>131</v>
      </c>
      <c r="AH731" t="s">
        <v>132</v>
      </c>
      <c r="AI731" t="s">
        <v>133</v>
      </c>
      <c r="AJ731" t="s">
        <v>2788</v>
      </c>
      <c r="AK731" t="s">
        <v>2789</v>
      </c>
      <c r="AL731" t="s">
        <v>162</v>
      </c>
      <c r="AM731" t="s">
        <v>43</v>
      </c>
      <c r="AN731" t="s">
        <v>6</v>
      </c>
      <c r="AO731" t="s">
        <v>385</v>
      </c>
      <c r="AP731" t="s">
        <v>386</v>
      </c>
      <c r="AQ731" t="s">
        <v>15</v>
      </c>
      <c r="AR731" t="s">
        <v>25</v>
      </c>
      <c r="AS731" t="s">
        <v>38</v>
      </c>
      <c r="AT731">
        <v>0.15</v>
      </c>
      <c r="AU731" t="s">
        <v>129</v>
      </c>
      <c r="AV731" t="s">
        <v>130</v>
      </c>
    </row>
    <row r="732" spans="1:48" x14ac:dyDescent="0.3">
      <c r="A732" t="s">
        <v>2790</v>
      </c>
      <c r="B732" s="12">
        <v>45827</v>
      </c>
      <c r="C732" s="12">
        <v>45832</v>
      </c>
      <c r="D732" t="s">
        <v>2791</v>
      </c>
      <c r="E732" t="s">
        <v>154</v>
      </c>
      <c r="F732" t="s">
        <v>42</v>
      </c>
      <c r="G732" t="s">
        <v>8</v>
      </c>
      <c r="H732" t="s">
        <v>201</v>
      </c>
      <c r="I732" t="s">
        <v>202</v>
      </c>
      <c r="J732" t="s">
        <v>20</v>
      </c>
      <c r="K732" t="s">
        <v>29</v>
      </c>
      <c r="M732" t="s">
        <v>37</v>
      </c>
      <c r="N732">
        <v>4</v>
      </c>
      <c r="O732">
        <v>782.01</v>
      </c>
      <c r="P732">
        <v>0.15</v>
      </c>
      <c r="Q732">
        <v>0.15</v>
      </c>
      <c r="R732">
        <v>2658.83</v>
      </c>
      <c r="S732">
        <v>2226.9699999999998</v>
      </c>
      <c r="T732">
        <v>2658.8339999999998</v>
      </c>
      <c r="U732">
        <v>431.86399999999998</v>
      </c>
      <c r="V732">
        <v>0.16242608602116601</v>
      </c>
      <c r="W732">
        <v>5</v>
      </c>
      <c r="X732" t="s">
        <v>148</v>
      </c>
      <c r="Y732">
        <v>2025</v>
      </c>
      <c r="Z732" t="s">
        <v>203</v>
      </c>
      <c r="AA732" t="s">
        <v>204</v>
      </c>
      <c r="AB732" t="s">
        <v>131</v>
      </c>
      <c r="AC732" t="s">
        <v>131</v>
      </c>
      <c r="AD732" t="s">
        <v>131</v>
      </c>
      <c r="AE732" t="s">
        <v>131</v>
      </c>
      <c r="AF732" t="s">
        <v>131</v>
      </c>
      <c r="AG732" t="s">
        <v>131</v>
      </c>
      <c r="AH732" t="s">
        <v>131</v>
      </c>
      <c r="AI732" t="s">
        <v>133</v>
      </c>
      <c r="AJ732" t="s">
        <v>2792</v>
      </c>
      <c r="AK732" t="s">
        <v>2726</v>
      </c>
      <c r="AL732" t="s">
        <v>154</v>
      </c>
      <c r="AM732" t="s">
        <v>42</v>
      </c>
      <c r="AN732" t="s">
        <v>8</v>
      </c>
      <c r="AO732" t="s">
        <v>201</v>
      </c>
      <c r="AP732" t="s">
        <v>202</v>
      </c>
      <c r="AQ732" t="s">
        <v>20</v>
      </c>
      <c r="AR732" t="s">
        <v>29</v>
      </c>
      <c r="AS732" t="s">
        <v>37</v>
      </c>
      <c r="AT732">
        <v>0.15</v>
      </c>
      <c r="AU732" t="s">
        <v>203</v>
      </c>
      <c r="AV732" t="s">
        <v>204</v>
      </c>
    </row>
    <row r="733" spans="1:48" x14ac:dyDescent="0.3">
      <c r="A733" t="s">
        <v>2793</v>
      </c>
      <c r="B733" s="12">
        <v>45368</v>
      </c>
      <c r="C733" s="12">
        <v>45370</v>
      </c>
      <c r="D733" t="s">
        <v>2794</v>
      </c>
      <c r="E733" t="s">
        <v>162</v>
      </c>
      <c r="F733" t="s">
        <v>43</v>
      </c>
      <c r="G733" t="s">
        <v>8</v>
      </c>
      <c r="H733" t="s">
        <v>140</v>
      </c>
      <c r="I733" t="s">
        <v>141</v>
      </c>
      <c r="J733" t="s">
        <v>20</v>
      </c>
      <c r="K733" t="s">
        <v>28</v>
      </c>
      <c r="M733" t="s">
        <v>36</v>
      </c>
      <c r="N733">
        <v>4</v>
      </c>
      <c r="O733">
        <v>4376.68</v>
      </c>
      <c r="P733">
        <v>0.1</v>
      </c>
      <c r="Q733">
        <v>0.1</v>
      </c>
      <c r="R733">
        <v>15756.05</v>
      </c>
      <c r="S733">
        <v>10245.44</v>
      </c>
      <c r="T733">
        <v>15756.048000000001</v>
      </c>
      <c r="U733">
        <v>5510.6080000000002</v>
      </c>
      <c r="V733">
        <v>0.34974557071671802</v>
      </c>
      <c r="W733">
        <v>2</v>
      </c>
      <c r="X733" t="s">
        <v>278</v>
      </c>
      <c r="Y733">
        <v>2024</v>
      </c>
      <c r="Z733" t="s">
        <v>129</v>
      </c>
      <c r="AA733" t="s">
        <v>130</v>
      </c>
      <c r="AB733" t="s">
        <v>131</v>
      </c>
      <c r="AC733" t="s">
        <v>131</v>
      </c>
      <c r="AD733" t="s">
        <v>131</v>
      </c>
      <c r="AE733" t="s">
        <v>131</v>
      </c>
      <c r="AF733" t="s">
        <v>131</v>
      </c>
      <c r="AG733" t="s">
        <v>131</v>
      </c>
      <c r="AH733" t="s">
        <v>132</v>
      </c>
      <c r="AI733" t="s">
        <v>133</v>
      </c>
      <c r="AJ733" t="s">
        <v>2795</v>
      </c>
      <c r="AK733" t="s">
        <v>2796</v>
      </c>
      <c r="AL733" t="s">
        <v>162</v>
      </c>
      <c r="AM733" t="s">
        <v>43</v>
      </c>
      <c r="AN733" t="s">
        <v>8</v>
      </c>
      <c r="AO733" t="s">
        <v>140</v>
      </c>
      <c r="AP733" t="s">
        <v>141</v>
      </c>
      <c r="AQ733" t="s">
        <v>20</v>
      </c>
      <c r="AR733" t="s">
        <v>28</v>
      </c>
      <c r="AS733" t="s">
        <v>36</v>
      </c>
      <c r="AT733">
        <v>0.1</v>
      </c>
      <c r="AU733" t="s">
        <v>129</v>
      </c>
      <c r="AV733" t="s">
        <v>130</v>
      </c>
    </row>
    <row r="734" spans="1:48" x14ac:dyDescent="0.3">
      <c r="A734" t="s">
        <v>2797</v>
      </c>
      <c r="B734" s="12">
        <v>45624</v>
      </c>
      <c r="C734" s="12">
        <v>45632</v>
      </c>
      <c r="D734" t="s">
        <v>2798</v>
      </c>
      <c r="E734" t="s">
        <v>154</v>
      </c>
      <c r="F734" t="s">
        <v>44</v>
      </c>
      <c r="G734" t="s">
        <v>9</v>
      </c>
      <c r="H734" t="s">
        <v>232</v>
      </c>
      <c r="I734" t="s">
        <v>233</v>
      </c>
      <c r="J734" t="s">
        <v>15</v>
      </c>
      <c r="K734" t="s">
        <v>17</v>
      </c>
      <c r="M734" t="s">
        <v>35</v>
      </c>
      <c r="N734">
        <v>6</v>
      </c>
      <c r="O734">
        <v>2464.63</v>
      </c>
      <c r="P734">
        <v>0</v>
      </c>
      <c r="Q734">
        <v>0</v>
      </c>
      <c r="R734">
        <v>14787.78</v>
      </c>
      <c r="S734">
        <v>8596.65</v>
      </c>
      <c r="T734">
        <v>14787.78</v>
      </c>
      <c r="U734">
        <v>6191.13</v>
      </c>
      <c r="V734">
        <v>0.41866527632951001</v>
      </c>
      <c r="W734">
        <v>8</v>
      </c>
      <c r="X734" t="s">
        <v>157</v>
      </c>
      <c r="Y734">
        <v>2024</v>
      </c>
      <c r="Z734" t="s">
        <v>129</v>
      </c>
      <c r="AA734" t="s">
        <v>130</v>
      </c>
      <c r="AB734" t="s">
        <v>131</v>
      </c>
      <c r="AC734" t="s">
        <v>131</v>
      </c>
      <c r="AD734" t="s">
        <v>131</v>
      </c>
      <c r="AE734" t="s">
        <v>131</v>
      </c>
      <c r="AF734" t="s">
        <v>131</v>
      </c>
      <c r="AG734" t="s">
        <v>131</v>
      </c>
      <c r="AH734" t="s">
        <v>132</v>
      </c>
      <c r="AI734" t="s">
        <v>133</v>
      </c>
      <c r="AJ734" t="s">
        <v>2799</v>
      </c>
      <c r="AK734" t="s">
        <v>2351</v>
      </c>
      <c r="AL734" t="s">
        <v>154</v>
      </c>
      <c r="AM734" t="s">
        <v>44</v>
      </c>
      <c r="AN734" t="s">
        <v>9</v>
      </c>
      <c r="AO734" t="s">
        <v>232</v>
      </c>
      <c r="AP734" t="s">
        <v>233</v>
      </c>
      <c r="AQ734" t="s">
        <v>15</v>
      </c>
      <c r="AR734" t="s">
        <v>17</v>
      </c>
      <c r="AS734" t="s">
        <v>35</v>
      </c>
      <c r="AT734">
        <v>0</v>
      </c>
      <c r="AU734" t="s">
        <v>129</v>
      </c>
      <c r="AV734" t="s">
        <v>130</v>
      </c>
    </row>
    <row r="735" spans="1:48" x14ac:dyDescent="0.3">
      <c r="A735" t="s">
        <v>2800</v>
      </c>
      <c r="B735" s="12">
        <v>45464</v>
      </c>
      <c r="C735" s="12">
        <v>45471</v>
      </c>
      <c r="D735" t="s">
        <v>2801</v>
      </c>
      <c r="E735" t="s">
        <v>238</v>
      </c>
      <c r="F735" t="s">
        <v>41</v>
      </c>
      <c r="G735" t="s">
        <v>9</v>
      </c>
      <c r="H735" t="s">
        <v>126</v>
      </c>
      <c r="I735" t="s">
        <v>127</v>
      </c>
      <c r="J735" t="s">
        <v>18</v>
      </c>
      <c r="K735" t="s">
        <v>23</v>
      </c>
      <c r="M735" t="s">
        <v>36</v>
      </c>
      <c r="N735">
        <v>9</v>
      </c>
      <c r="O735">
        <v>2797.96</v>
      </c>
      <c r="P735">
        <v>0</v>
      </c>
      <c r="Q735">
        <v>0</v>
      </c>
      <c r="R735">
        <v>25181.64</v>
      </c>
      <c r="S735">
        <v>15337.9</v>
      </c>
      <c r="T735">
        <v>25181.64</v>
      </c>
      <c r="U735">
        <v>9843.74</v>
      </c>
      <c r="V735">
        <v>0.39090940860086998</v>
      </c>
      <c r="W735">
        <v>7</v>
      </c>
      <c r="X735" t="s">
        <v>148</v>
      </c>
      <c r="Y735">
        <v>2024</v>
      </c>
      <c r="Z735" t="s">
        <v>129</v>
      </c>
      <c r="AA735" t="s">
        <v>130</v>
      </c>
      <c r="AB735" t="s">
        <v>131</v>
      </c>
      <c r="AC735" t="s">
        <v>131</v>
      </c>
      <c r="AD735" t="s">
        <v>131</v>
      </c>
      <c r="AE735" t="s">
        <v>131</v>
      </c>
      <c r="AF735" t="s">
        <v>131</v>
      </c>
      <c r="AG735" t="s">
        <v>131</v>
      </c>
      <c r="AH735" t="s">
        <v>132</v>
      </c>
      <c r="AI735" t="s">
        <v>133</v>
      </c>
      <c r="AJ735" t="s">
        <v>1578</v>
      </c>
      <c r="AK735" t="s">
        <v>2802</v>
      </c>
      <c r="AL735" t="s">
        <v>238</v>
      </c>
      <c r="AM735" t="s">
        <v>41</v>
      </c>
      <c r="AN735" t="s">
        <v>9</v>
      </c>
      <c r="AO735" t="s">
        <v>126</v>
      </c>
      <c r="AP735" t="s">
        <v>127</v>
      </c>
      <c r="AQ735" t="s">
        <v>18</v>
      </c>
      <c r="AR735" t="s">
        <v>23</v>
      </c>
      <c r="AS735" t="s">
        <v>36</v>
      </c>
      <c r="AT735">
        <v>0</v>
      </c>
      <c r="AU735" t="s">
        <v>129</v>
      </c>
      <c r="AV735" t="s">
        <v>130</v>
      </c>
    </row>
    <row r="736" spans="1:48" x14ac:dyDescent="0.3">
      <c r="A736" t="s">
        <v>2803</v>
      </c>
      <c r="B736" s="12">
        <v>45528</v>
      </c>
      <c r="C736" s="12">
        <v>45528</v>
      </c>
      <c r="D736" t="s">
        <v>2804</v>
      </c>
      <c r="E736" t="s">
        <v>162</v>
      </c>
      <c r="F736" t="s">
        <v>44</v>
      </c>
      <c r="G736" t="s">
        <v>9</v>
      </c>
      <c r="H736" t="s">
        <v>126</v>
      </c>
      <c r="I736" t="s">
        <v>127</v>
      </c>
      <c r="J736" t="s">
        <v>15</v>
      </c>
      <c r="K736" t="s">
        <v>22</v>
      </c>
      <c r="M736" t="s">
        <v>36</v>
      </c>
      <c r="N736">
        <v>4</v>
      </c>
      <c r="O736">
        <v>2761.86</v>
      </c>
      <c r="P736">
        <v>0.2</v>
      </c>
      <c r="Q736">
        <v>0.2</v>
      </c>
      <c r="R736">
        <v>8837.9500000000007</v>
      </c>
      <c r="S736">
        <v>6157.27</v>
      </c>
      <c r="T736">
        <v>8837.9519999999993</v>
      </c>
      <c r="U736">
        <v>2680.6819999999998</v>
      </c>
      <c r="V736">
        <v>0.30331484036120598</v>
      </c>
      <c r="W736">
        <v>0</v>
      </c>
      <c r="X736" t="s">
        <v>142</v>
      </c>
      <c r="Y736">
        <v>2024</v>
      </c>
      <c r="Z736" t="s">
        <v>129</v>
      </c>
      <c r="AA736" t="s">
        <v>130</v>
      </c>
      <c r="AB736" t="s">
        <v>131</v>
      </c>
      <c r="AC736" t="s">
        <v>131</v>
      </c>
      <c r="AD736" t="s">
        <v>131</v>
      </c>
      <c r="AE736" t="s">
        <v>131</v>
      </c>
      <c r="AF736" t="s">
        <v>131</v>
      </c>
      <c r="AG736" t="s">
        <v>131</v>
      </c>
      <c r="AH736" t="s">
        <v>132</v>
      </c>
      <c r="AI736" t="s">
        <v>133</v>
      </c>
      <c r="AJ736" t="s">
        <v>2805</v>
      </c>
      <c r="AK736" t="s">
        <v>2805</v>
      </c>
      <c r="AL736" t="s">
        <v>162</v>
      </c>
      <c r="AM736" t="s">
        <v>44</v>
      </c>
      <c r="AN736" t="s">
        <v>9</v>
      </c>
      <c r="AO736" t="s">
        <v>126</v>
      </c>
      <c r="AP736" t="s">
        <v>127</v>
      </c>
      <c r="AQ736" t="s">
        <v>15</v>
      </c>
      <c r="AR736" t="s">
        <v>22</v>
      </c>
      <c r="AS736" t="s">
        <v>36</v>
      </c>
      <c r="AT736">
        <v>0.2</v>
      </c>
      <c r="AU736" t="s">
        <v>129</v>
      </c>
      <c r="AV736" t="s">
        <v>130</v>
      </c>
    </row>
    <row r="737" spans="1:48" x14ac:dyDescent="0.3">
      <c r="A737" t="s">
        <v>2806</v>
      </c>
      <c r="B737" s="12">
        <v>45515</v>
      </c>
      <c r="C737" s="12">
        <v>45523</v>
      </c>
      <c r="D737" t="s">
        <v>2807</v>
      </c>
      <c r="E737" t="s">
        <v>139</v>
      </c>
      <c r="F737" t="s">
        <v>42</v>
      </c>
      <c r="G737" t="s">
        <v>7</v>
      </c>
      <c r="H737" t="s">
        <v>163</v>
      </c>
      <c r="I737" t="s">
        <v>164</v>
      </c>
      <c r="J737" t="s">
        <v>18</v>
      </c>
      <c r="K737" t="s">
        <v>27</v>
      </c>
      <c r="M737" t="s">
        <v>35</v>
      </c>
      <c r="N737">
        <v>6</v>
      </c>
      <c r="O737">
        <v>1515.79</v>
      </c>
      <c r="P737">
        <v>0.2</v>
      </c>
      <c r="Q737">
        <v>0.2</v>
      </c>
      <c r="R737">
        <v>7275.79</v>
      </c>
      <c r="S737">
        <v>6152.87</v>
      </c>
      <c r="T737">
        <v>7275.7920000000004</v>
      </c>
      <c r="U737">
        <v>1122.922</v>
      </c>
      <c r="V737">
        <v>0.15433673749881799</v>
      </c>
      <c r="W737">
        <v>8</v>
      </c>
      <c r="X737" t="s">
        <v>142</v>
      </c>
      <c r="Y737">
        <v>2024</v>
      </c>
      <c r="Z737" t="s">
        <v>129</v>
      </c>
      <c r="AA737" t="s">
        <v>130</v>
      </c>
      <c r="AB737" t="s">
        <v>131</v>
      </c>
      <c r="AC737" t="s">
        <v>131</v>
      </c>
      <c r="AD737" t="s">
        <v>131</v>
      </c>
      <c r="AE737" t="s">
        <v>131</v>
      </c>
      <c r="AF737" t="s">
        <v>131</v>
      </c>
      <c r="AG737" t="s">
        <v>131</v>
      </c>
      <c r="AH737" t="s">
        <v>132</v>
      </c>
      <c r="AI737" t="s">
        <v>133</v>
      </c>
      <c r="AJ737" t="s">
        <v>2808</v>
      </c>
      <c r="AK737" t="s">
        <v>2382</v>
      </c>
      <c r="AL737" t="s">
        <v>139</v>
      </c>
      <c r="AM737" t="s">
        <v>42</v>
      </c>
      <c r="AN737" t="s">
        <v>7</v>
      </c>
      <c r="AO737" t="s">
        <v>163</v>
      </c>
      <c r="AP737" t="s">
        <v>164</v>
      </c>
      <c r="AQ737" t="s">
        <v>18</v>
      </c>
      <c r="AR737" t="s">
        <v>27</v>
      </c>
      <c r="AS737" t="s">
        <v>35</v>
      </c>
      <c r="AT737">
        <v>0.2</v>
      </c>
      <c r="AU737" t="s">
        <v>129</v>
      </c>
      <c r="AV737" t="s">
        <v>130</v>
      </c>
    </row>
    <row r="738" spans="1:48" x14ac:dyDescent="0.3">
      <c r="A738" t="s">
        <v>2809</v>
      </c>
      <c r="B738" s="12">
        <v>45632</v>
      </c>
      <c r="C738" s="12">
        <v>45635</v>
      </c>
      <c r="D738" t="s">
        <v>2810</v>
      </c>
      <c r="E738" t="s">
        <v>191</v>
      </c>
      <c r="F738" t="s">
        <v>42</v>
      </c>
      <c r="G738" t="s">
        <v>7</v>
      </c>
      <c r="H738" t="s">
        <v>163</v>
      </c>
      <c r="I738" t="s">
        <v>164</v>
      </c>
      <c r="J738" t="s">
        <v>18</v>
      </c>
      <c r="K738" t="s">
        <v>19</v>
      </c>
      <c r="M738" t="s">
        <v>37</v>
      </c>
      <c r="N738">
        <v>9</v>
      </c>
      <c r="O738">
        <v>290.75</v>
      </c>
      <c r="P738">
        <v>0.1</v>
      </c>
      <c r="Q738">
        <v>0.1</v>
      </c>
      <c r="R738">
        <v>2355.08</v>
      </c>
      <c r="S738">
        <v>1350.03</v>
      </c>
      <c r="T738">
        <v>2355.0749999999998</v>
      </c>
      <c r="U738">
        <v>1005.045</v>
      </c>
      <c r="V738">
        <v>0.42675710964619001</v>
      </c>
      <c r="W738">
        <v>3</v>
      </c>
      <c r="X738" t="s">
        <v>214</v>
      </c>
      <c r="Y738">
        <v>2024</v>
      </c>
      <c r="Z738" t="s">
        <v>129</v>
      </c>
      <c r="AA738" t="s">
        <v>130</v>
      </c>
      <c r="AB738" t="s">
        <v>131</v>
      </c>
      <c r="AC738" t="s">
        <v>131</v>
      </c>
      <c r="AD738" t="s">
        <v>131</v>
      </c>
      <c r="AE738" t="s">
        <v>131</v>
      </c>
      <c r="AF738" t="s">
        <v>131</v>
      </c>
      <c r="AG738" t="s">
        <v>131</v>
      </c>
      <c r="AH738" t="s">
        <v>132</v>
      </c>
      <c r="AI738" t="s">
        <v>133</v>
      </c>
      <c r="AJ738" t="s">
        <v>2351</v>
      </c>
      <c r="AK738" t="s">
        <v>2811</v>
      </c>
      <c r="AL738" t="s">
        <v>191</v>
      </c>
      <c r="AM738" t="s">
        <v>42</v>
      </c>
      <c r="AN738" t="s">
        <v>7</v>
      </c>
      <c r="AO738" t="s">
        <v>163</v>
      </c>
      <c r="AP738" t="s">
        <v>164</v>
      </c>
      <c r="AQ738" t="s">
        <v>18</v>
      </c>
      <c r="AR738" t="s">
        <v>19</v>
      </c>
      <c r="AS738" t="s">
        <v>37</v>
      </c>
      <c r="AT738">
        <v>0.1</v>
      </c>
      <c r="AU738" t="s">
        <v>129</v>
      </c>
      <c r="AV738" t="s">
        <v>130</v>
      </c>
    </row>
    <row r="739" spans="1:48" x14ac:dyDescent="0.3">
      <c r="A739" t="s">
        <v>2812</v>
      </c>
      <c r="B739" s="12">
        <v>45332</v>
      </c>
      <c r="C739" s="12">
        <v>45332</v>
      </c>
      <c r="D739" t="s">
        <v>2813</v>
      </c>
      <c r="E739" t="s">
        <v>147</v>
      </c>
      <c r="F739" t="s">
        <v>41</v>
      </c>
      <c r="G739" t="s">
        <v>7</v>
      </c>
      <c r="H739" t="s">
        <v>163</v>
      </c>
      <c r="I739" t="s">
        <v>164</v>
      </c>
      <c r="J739" t="s">
        <v>18</v>
      </c>
      <c r="K739" t="s">
        <v>19</v>
      </c>
      <c r="M739" t="s">
        <v>38</v>
      </c>
      <c r="N739">
        <v>6</v>
      </c>
      <c r="O739">
        <v>601.52</v>
      </c>
      <c r="P739">
        <v>0</v>
      </c>
      <c r="Q739">
        <v>0</v>
      </c>
      <c r="R739">
        <v>3609.12</v>
      </c>
      <c r="S739">
        <v>2645.5</v>
      </c>
      <c r="T739">
        <v>3609.12</v>
      </c>
      <c r="U739">
        <v>963.62</v>
      </c>
      <c r="V739">
        <v>0.26699583277918199</v>
      </c>
      <c r="W739">
        <v>0</v>
      </c>
      <c r="X739" t="s">
        <v>186</v>
      </c>
      <c r="Y739">
        <v>2024</v>
      </c>
      <c r="Z739" t="s">
        <v>129</v>
      </c>
      <c r="AA739" t="s">
        <v>130</v>
      </c>
      <c r="AB739" t="s">
        <v>131</v>
      </c>
      <c r="AC739" t="s">
        <v>131</v>
      </c>
      <c r="AD739" t="s">
        <v>131</v>
      </c>
      <c r="AE739" t="s">
        <v>131</v>
      </c>
      <c r="AF739" t="s">
        <v>131</v>
      </c>
      <c r="AG739" t="s">
        <v>131</v>
      </c>
      <c r="AH739" t="s">
        <v>132</v>
      </c>
      <c r="AI739" t="s">
        <v>133</v>
      </c>
      <c r="AJ739" t="s">
        <v>1905</v>
      </c>
      <c r="AK739" t="s">
        <v>1811</v>
      </c>
      <c r="AL739" t="s">
        <v>147</v>
      </c>
      <c r="AM739" t="s">
        <v>2814</v>
      </c>
      <c r="AN739" t="s">
        <v>7</v>
      </c>
      <c r="AO739" t="s">
        <v>163</v>
      </c>
      <c r="AP739" t="s">
        <v>164</v>
      </c>
      <c r="AQ739" t="s">
        <v>18</v>
      </c>
      <c r="AR739" t="s">
        <v>19</v>
      </c>
      <c r="AS739" t="s">
        <v>38</v>
      </c>
      <c r="AT739">
        <v>0</v>
      </c>
      <c r="AU739" t="s">
        <v>129</v>
      </c>
      <c r="AV739" t="s">
        <v>130</v>
      </c>
    </row>
    <row r="740" spans="1:48" x14ac:dyDescent="0.3">
      <c r="A740" t="s">
        <v>2815</v>
      </c>
      <c r="B740" s="12">
        <v>45708</v>
      </c>
      <c r="C740" s="12">
        <v>45710</v>
      </c>
      <c r="D740" t="s">
        <v>2816</v>
      </c>
      <c r="E740" t="s">
        <v>221</v>
      </c>
      <c r="F740" t="s">
        <v>43</v>
      </c>
      <c r="G740" t="s">
        <v>6</v>
      </c>
      <c r="H740" t="s">
        <v>305</v>
      </c>
      <c r="I740" t="s">
        <v>306</v>
      </c>
      <c r="J740" t="s">
        <v>20</v>
      </c>
      <c r="K740" t="s">
        <v>24</v>
      </c>
      <c r="M740" t="s">
        <v>36</v>
      </c>
      <c r="N740">
        <v>1</v>
      </c>
      <c r="O740">
        <v>2188.19</v>
      </c>
      <c r="P740">
        <v>0</v>
      </c>
      <c r="Q740">
        <v>0</v>
      </c>
      <c r="R740">
        <v>2188.19</v>
      </c>
      <c r="S740">
        <v>1298.8399999999999</v>
      </c>
      <c r="T740">
        <v>2188.19</v>
      </c>
      <c r="U740">
        <v>889.35</v>
      </c>
      <c r="V740">
        <v>0.40643179979800698</v>
      </c>
      <c r="W740">
        <v>2</v>
      </c>
      <c r="X740" t="s">
        <v>186</v>
      </c>
      <c r="Y740">
        <v>2025</v>
      </c>
      <c r="Z740" t="s">
        <v>129</v>
      </c>
      <c r="AA740" t="s">
        <v>130</v>
      </c>
      <c r="AB740" t="s">
        <v>131</v>
      </c>
      <c r="AC740" t="s">
        <v>131</v>
      </c>
      <c r="AD740" t="s">
        <v>131</v>
      </c>
      <c r="AE740" t="s">
        <v>131</v>
      </c>
      <c r="AF740" t="s">
        <v>131</v>
      </c>
      <c r="AG740" t="s">
        <v>131</v>
      </c>
      <c r="AH740" t="s">
        <v>132</v>
      </c>
      <c r="AI740" t="s">
        <v>133</v>
      </c>
      <c r="AJ740" t="s">
        <v>1370</v>
      </c>
      <c r="AK740" t="s">
        <v>2817</v>
      </c>
      <c r="AL740" t="s">
        <v>221</v>
      </c>
      <c r="AM740" t="s">
        <v>43</v>
      </c>
      <c r="AN740" t="s">
        <v>6</v>
      </c>
      <c r="AO740" t="s">
        <v>305</v>
      </c>
      <c r="AP740" t="s">
        <v>306</v>
      </c>
      <c r="AQ740" t="s">
        <v>20</v>
      </c>
      <c r="AR740" t="s">
        <v>24</v>
      </c>
      <c r="AS740" t="s">
        <v>36</v>
      </c>
      <c r="AT740">
        <v>0</v>
      </c>
      <c r="AU740" t="s">
        <v>129</v>
      </c>
      <c r="AV740" t="s">
        <v>130</v>
      </c>
    </row>
    <row r="741" spans="1:48" x14ac:dyDescent="0.3">
      <c r="A741" t="s">
        <v>2818</v>
      </c>
      <c r="B741" s="12">
        <v>45629</v>
      </c>
      <c r="C741" s="12">
        <v>45636</v>
      </c>
      <c r="D741" t="s">
        <v>2819</v>
      </c>
      <c r="E741" t="s">
        <v>178</v>
      </c>
      <c r="F741" t="s">
        <v>43</v>
      </c>
      <c r="G741" t="s">
        <v>9</v>
      </c>
      <c r="H741" t="s">
        <v>126</v>
      </c>
      <c r="I741" t="s">
        <v>127</v>
      </c>
      <c r="J741" t="s">
        <v>15</v>
      </c>
      <c r="K741" t="s">
        <v>17</v>
      </c>
      <c r="M741" t="s">
        <v>35</v>
      </c>
      <c r="N741">
        <v>5</v>
      </c>
      <c r="O741">
        <v>2393.86</v>
      </c>
      <c r="P741">
        <v>0.05</v>
      </c>
      <c r="Q741">
        <v>0.05</v>
      </c>
      <c r="R741">
        <v>11370.84</v>
      </c>
      <c r="S741">
        <v>7469.58</v>
      </c>
      <c r="T741">
        <v>11370.834999999999</v>
      </c>
      <c r="U741">
        <v>3901.2550000000001</v>
      </c>
      <c r="V741">
        <v>0.34309309738466898</v>
      </c>
      <c r="W741">
        <v>7</v>
      </c>
      <c r="X741" t="s">
        <v>214</v>
      </c>
      <c r="Y741">
        <v>2024</v>
      </c>
      <c r="Z741" t="s">
        <v>129</v>
      </c>
      <c r="AA741" t="s">
        <v>130</v>
      </c>
      <c r="AB741" t="s">
        <v>131</v>
      </c>
      <c r="AC741" t="s">
        <v>131</v>
      </c>
      <c r="AD741" t="s">
        <v>131</v>
      </c>
      <c r="AE741" t="s">
        <v>131</v>
      </c>
      <c r="AF741" t="s">
        <v>131</v>
      </c>
      <c r="AG741" t="s">
        <v>131</v>
      </c>
      <c r="AH741" t="s">
        <v>132</v>
      </c>
      <c r="AI741" t="s">
        <v>133</v>
      </c>
      <c r="AJ741" t="s">
        <v>2820</v>
      </c>
      <c r="AK741" t="s">
        <v>2821</v>
      </c>
      <c r="AL741" t="s">
        <v>178</v>
      </c>
      <c r="AM741" t="s">
        <v>43</v>
      </c>
      <c r="AN741" t="s">
        <v>9</v>
      </c>
      <c r="AO741" t="s">
        <v>126</v>
      </c>
      <c r="AP741" t="s">
        <v>127</v>
      </c>
      <c r="AQ741" t="s">
        <v>15</v>
      </c>
      <c r="AR741" t="s">
        <v>17</v>
      </c>
      <c r="AS741" t="s">
        <v>35</v>
      </c>
      <c r="AT741">
        <v>0.05</v>
      </c>
      <c r="AU741" t="s">
        <v>129</v>
      </c>
      <c r="AV741" t="s">
        <v>130</v>
      </c>
    </row>
    <row r="742" spans="1:48" x14ac:dyDescent="0.3">
      <c r="A742" t="s">
        <v>2822</v>
      </c>
      <c r="B742" s="12">
        <v>45384</v>
      </c>
      <c r="C742" s="12">
        <v>45384</v>
      </c>
      <c r="D742" t="s">
        <v>743</v>
      </c>
      <c r="E742" t="s">
        <v>243</v>
      </c>
      <c r="F742" t="s">
        <v>44</v>
      </c>
      <c r="G742" t="s">
        <v>7</v>
      </c>
      <c r="H742" t="s">
        <v>163</v>
      </c>
      <c r="I742" t="s">
        <v>164</v>
      </c>
      <c r="J742" t="s">
        <v>18</v>
      </c>
      <c r="K742" t="s">
        <v>19</v>
      </c>
      <c r="M742" t="s">
        <v>36</v>
      </c>
      <c r="N742">
        <v>4</v>
      </c>
      <c r="O742">
        <v>2583</v>
      </c>
      <c r="P742">
        <v>0.1</v>
      </c>
      <c r="Q742">
        <v>0.1</v>
      </c>
      <c r="R742">
        <v>9298.7999999999993</v>
      </c>
      <c r="S742">
        <v>6548.5</v>
      </c>
      <c r="T742">
        <v>9298.7999999999993</v>
      </c>
      <c r="U742">
        <v>2750.3</v>
      </c>
      <c r="V742">
        <v>0.29576934658235499</v>
      </c>
      <c r="W742">
        <v>0</v>
      </c>
      <c r="X742" t="s">
        <v>179</v>
      </c>
      <c r="Y742">
        <v>2024</v>
      </c>
      <c r="Z742" t="s">
        <v>129</v>
      </c>
      <c r="AA742" t="s">
        <v>130</v>
      </c>
      <c r="AB742" t="s">
        <v>131</v>
      </c>
      <c r="AC742" t="s">
        <v>131</v>
      </c>
      <c r="AD742" t="s">
        <v>131</v>
      </c>
      <c r="AE742" t="s">
        <v>131</v>
      </c>
      <c r="AF742" t="s">
        <v>131</v>
      </c>
      <c r="AG742" t="s">
        <v>131</v>
      </c>
      <c r="AH742" t="s">
        <v>132</v>
      </c>
      <c r="AI742" t="s">
        <v>133</v>
      </c>
      <c r="AJ742" t="s">
        <v>2823</v>
      </c>
      <c r="AK742" t="s">
        <v>1843</v>
      </c>
      <c r="AL742" t="s">
        <v>243</v>
      </c>
      <c r="AM742" t="s">
        <v>44</v>
      </c>
      <c r="AN742" t="s">
        <v>7</v>
      </c>
      <c r="AO742" t="s">
        <v>163</v>
      </c>
      <c r="AP742" t="s">
        <v>164</v>
      </c>
      <c r="AQ742" t="s">
        <v>18</v>
      </c>
      <c r="AR742" t="s">
        <v>19</v>
      </c>
      <c r="AS742" t="s">
        <v>36</v>
      </c>
      <c r="AT742">
        <v>0.1</v>
      </c>
      <c r="AU742" t="s">
        <v>129</v>
      </c>
      <c r="AV742" t="s">
        <v>130</v>
      </c>
    </row>
    <row r="743" spans="1:48" x14ac:dyDescent="0.3">
      <c r="A743" t="s">
        <v>2824</v>
      </c>
      <c r="B743" s="12">
        <v>45770</v>
      </c>
      <c r="C743" s="12">
        <v>45772</v>
      </c>
      <c r="D743" t="s">
        <v>2825</v>
      </c>
      <c r="E743" t="s">
        <v>147</v>
      </c>
      <c r="F743" t="s">
        <v>41</v>
      </c>
      <c r="G743" t="s">
        <v>6</v>
      </c>
      <c r="H743" t="s">
        <v>385</v>
      </c>
      <c r="I743" t="s">
        <v>386</v>
      </c>
      <c r="J743" t="s">
        <v>18</v>
      </c>
      <c r="K743" t="s">
        <v>19</v>
      </c>
      <c r="M743" t="s">
        <v>37</v>
      </c>
      <c r="N743">
        <v>3</v>
      </c>
      <c r="O743">
        <v>2951.12</v>
      </c>
      <c r="Q743">
        <v>0</v>
      </c>
      <c r="R743">
        <v>7082.69</v>
      </c>
      <c r="S743">
        <v>5596.34</v>
      </c>
      <c r="T743">
        <v>8853.36</v>
      </c>
      <c r="U743">
        <v>3257.02</v>
      </c>
      <c r="V743">
        <v>0.36788518709280998</v>
      </c>
      <c r="W743">
        <v>2</v>
      </c>
      <c r="X743" t="s">
        <v>179</v>
      </c>
      <c r="Y743">
        <v>2025</v>
      </c>
      <c r="Z743" t="s">
        <v>129</v>
      </c>
      <c r="AA743" t="s">
        <v>165</v>
      </c>
      <c r="AB743" t="s">
        <v>131</v>
      </c>
      <c r="AC743" t="s">
        <v>131</v>
      </c>
      <c r="AD743" t="s">
        <v>132</v>
      </c>
      <c r="AE743" t="s">
        <v>131</v>
      </c>
      <c r="AF743" t="s">
        <v>131</v>
      </c>
      <c r="AG743" t="s">
        <v>131</v>
      </c>
      <c r="AH743" t="s">
        <v>131</v>
      </c>
      <c r="AI743" t="s">
        <v>321</v>
      </c>
      <c r="AJ743" t="s">
        <v>2826</v>
      </c>
      <c r="AK743" t="s">
        <v>2827</v>
      </c>
      <c r="AL743" t="s">
        <v>147</v>
      </c>
      <c r="AM743" t="s">
        <v>41</v>
      </c>
      <c r="AN743" t="s">
        <v>6</v>
      </c>
      <c r="AO743" t="s">
        <v>385</v>
      </c>
      <c r="AP743" t="s">
        <v>386</v>
      </c>
      <c r="AQ743" t="s">
        <v>18</v>
      </c>
      <c r="AR743" t="s">
        <v>19</v>
      </c>
      <c r="AS743" t="s">
        <v>37</v>
      </c>
      <c r="AU743" t="s">
        <v>129</v>
      </c>
      <c r="AV743" t="s">
        <v>165</v>
      </c>
    </row>
    <row r="744" spans="1:48" x14ac:dyDescent="0.3">
      <c r="A744" t="s">
        <v>2828</v>
      </c>
      <c r="B744" s="12">
        <v>45580</v>
      </c>
      <c r="C744" s="12">
        <v>45587</v>
      </c>
      <c r="D744" t="s">
        <v>2829</v>
      </c>
      <c r="E744" t="s">
        <v>125</v>
      </c>
      <c r="F744" t="s">
        <v>43</v>
      </c>
      <c r="G744" t="s">
        <v>8</v>
      </c>
      <c r="H744" t="s">
        <v>140</v>
      </c>
      <c r="I744" t="s">
        <v>141</v>
      </c>
      <c r="J744" t="s">
        <v>20</v>
      </c>
      <c r="K744" t="s">
        <v>24</v>
      </c>
      <c r="M744" t="s">
        <v>35</v>
      </c>
      <c r="N744">
        <v>4</v>
      </c>
      <c r="O744">
        <v>2260.9499999999998</v>
      </c>
      <c r="P744">
        <v>0</v>
      </c>
      <c r="Q744">
        <v>0</v>
      </c>
      <c r="R744">
        <v>9043.7999999999993</v>
      </c>
      <c r="S744">
        <v>5913.38</v>
      </c>
      <c r="T744">
        <v>9043.7999999999993</v>
      </c>
      <c r="U744">
        <v>3130.42</v>
      </c>
      <c r="V744">
        <v>0.34613989694597402</v>
      </c>
      <c r="W744">
        <v>7</v>
      </c>
      <c r="X744" t="s">
        <v>222</v>
      </c>
      <c r="Y744">
        <v>2024</v>
      </c>
      <c r="Z744" t="s">
        <v>129</v>
      </c>
      <c r="AA744" t="s">
        <v>130</v>
      </c>
      <c r="AB744" t="s">
        <v>131</v>
      </c>
      <c r="AC744" t="s">
        <v>131</v>
      </c>
      <c r="AD744" t="s">
        <v>131</v>
      </c>
      <c r="AE744" t="s">
        <v>131</v>
      </c>
      <c r="AF744" t="s">
        <v>131</v>
      </c>
      <c r="AG744" t="s">
        <v>131</v>
      </c>
      <c r="AH744" t="s">
        <v>132</v>
      </c>
      <c r="AI744" t="s">
        <v>133</v>
      </c>
      <c r="AJ744" t="s">
        <v>2830</v>
      </c>
      <c r="AK744" t="s">
        <v>2831</v>
      </c>
      <c r="AL744" t="s">
        <v>125</v>
      </c>
      <c r="AM744" t="s">
        <v>43</v>
      </c>
      <c r="AN744" t="s">
        <v>2832</v>
      </c>
      <c r="AO744" t="s">
        <v>140</v>
      </c>
      <c r="AP744" t="s">
        <v>141</v>
      </c>
      <c r="AQ744" t="s">
        <v>20</v>
      </c>
      <c r="AR744" t="s">
        <v>24</v>
      </c>
      <c r="AS744" t="s">
        <v>35</v>
      </c>
      <c r="AT744">
        <v>0</v>
      </c>
      <c r="AU744" t="s">
        <v>129</v>
      </c>
      <c r="AV744" t="s">
        <v>130</v>
      </c>
    </row>
    <row r="745" spans="1:48" x14ac:dyDescent="0.3">
      <c r="A745" t="s">
        <v>2833</v>
      </c>
      <c r="B745" s="12">
        <v>45700</v>
      </c>
      <c r="C745" s="12">
        <v>45702</v>
      </c>
      <c r="D745" t="s">
        <v>2834</v>
      </c>
      <c r="E745" t="s">
        <v>243</v>
      </c>
      <c r="F745" t="s">
        <v>42</v>
      </c>
      <c r="G745" t="s">
        <v>9</v>
      </c>
      <c r="H745" t="s">
        <v>249</v>
      </c>
      <c r="I745" t="s">
        <v>250</v>
      </c>
      <c r="J745" t="s">
        <v>20</v>
      </c>
      <c r="K745" t="s">
        <v>29</v>
      </c>
      <c r="M745" t="s">
        <v>35</v>
      </c>
      <c r="N745">
        <v>6</v>
      </c>
      <c r="O745">
        <v>491.4</v>
      </c>
      <c r="P745">
        <v>0.25</v>
      </c>
      <c r="Q745">
        <v>0.25</v>
      </c>
      <c r="R745">
        <v>2211.3000000000002</v>
      </c>
      <c r="S745">
        <v>1735.64</v>
      </c>
      <c r="T745">
        <v>2211.3000000000002</v>
      </c>
      <c r="U745">
        <v>475.66</v>
      </c>
      <c r="V745">
        <v>0.215104237326459</v>
      </c>
      <c r="W745">
        <v>2</v>
      </c>
      <c r="X745" t="s">
        <v>186</v>
      </c>
      <c r="Y745">
        <v>2025</v>
      </c>
      <c r="Z745" t="s">
        <v>129</v>
      </c>
      <c r="AA745" t="s">
        <v>130</v>
      </c>
      <c r="AB745" t="s">
        <v>131</v>
      </c>
      <c r="AC745" t="s">
        <v>131</v>
      </c>
      <c r="AD745" t="s">
        <v>131</v>
      </c>
      <c r="AE745" t="s">
        <v>131</v>
      </c>
      <c r="AF745" t="s">
        <v>131</v>
      </c>
      <c r="AG745" t="s">
        <v>131</v>
      </c>
      <c r="AH745" t="s">
        <v>132</v>
      </c>
      <c r="AI745" t="s">
        <v>133</v>
      </c>
      <c r="AJ745" t="s">
        <v>1237</v>
      </c>
      <c r="AK745" t="s">
        <v>1660</v>
      </c>
      <c r="AL745" t="s">
        <v>243</v>
      </c>
      <c r="AM745" t="s">
        <v>42</v>
      </c>
      <c r="AN745" t="s">
        <v>9</v>
      </c>
      <c r="AO745" t="s">
        <v>249</v>
      </c>
      <c r="AP745" t="s">
        <v>250</v>
      </c>
      <c r="AQ745" t="s">
        <v>20</v>
      </c>
      <c r="AR745" t="s">
        <v>29</v>
      </c>
      <c r="AS745" t="s">
        <v>35</v>
      </c>
      <c r="AT745">
        <v>0.25</v>
      </c>
      <c r="AU745" t="s">
        <v>129</v>
      </c>
      <c r="AV745" t="s">
        <v>130</v>
      </c>
    </row>
    <row r="746" spans="1:48" x14ac:dyDescent="0.3">
      <c r="A746" t="s">
        <v>2835</v>
      </c>
      <c r="B746" s="12">
        <v>45886</v>
      </c>
      <c r="C746" s="12">
        <v>45889</v>
      </c>
      <c r="D746" t="s">
        <v>2836</v>
      </c>
      <c r="E746" t="s">
        <v>139</v>
      </c>
      <c r="F746" t="s">
        <v>41</v>
      </c>
      <c r="G746" t="s">
        <v>9</v>
      </c>
      <c r="H746" t="s">
        <v>232</v>
      </c>
      <c r="I746" t="s">
        <v>233</v>
      </c>
      <c r="J746" t="s">
        <v>20</v>
      </c>
      <c r="K746" t="s">
        <v>28</v>
      </c>
      <c r="M746" t="s">
        <v>36</v>
      </c>
      <c r="N746">
        <v>5</v>
      </c>
      <c r="O746">
        <v>2701.89</v>
      </c>
      <c r="P746">
        <v>0.1</v>
      </c>
      <c r="Q746">
        <v>0.1</v>
      </c>
      <c r="R746">
        <v>12158.5</v>
      </c>
      <c r="S746">
        <v>10260.07</v>
      </c>
      <c r="T746">
        <v>12158.504999999999</v>
      </c>
      <c r="U746">
        <v>1898.4349999999999</v>
      </c>
      <c r="V746">
        <v>0.15614049589155901</v>
      </c>
      <c r="W746">
        <v>3</v>
      </c>
      <c r="X746" t="s">
        <v>142</v>
      </c>
      <c r="Y746">
        <v>2025</v>
      </c>
      <c r="Z746" t="s">
        <v>129</v>
      </c>
      <c r="AA746" t="s">
        <v>165</v>
      </c>
      <c r="AB746" t="s">
        <v>131</v>
      </c>
      <c r="AC746" t="s">
        <v>131</v>
      </c>
      <c r="AD746" t="s">
        <v>131</v>
      </c>
      <c r="AE746" t="s">
        <v>131</v>
      </c>
      <c r="AF746" t="s">
        <v>131</v>
      </c>
      <c r="AG746" t="s">
        <v>131</v>
      </c>
      <c r="AH746" t="s">
        <v>131</v>
      </c>
      <c r="AI746" t="s">
        <v>133</v>
      </c>
      <c r="AJ746" t="s">
        <v>2837</v>
      </c>
      <c r="AK746" t="s">
        <v>1295</v>
      </c>
      <c r="AL746" t="s">
        <v>139</v>
      </c>
      <c r="AM746" t="s">
        <v>41</v>
      </c>
      <c r="AN746" t="s">
        <v>9</v>
      </c>
      <c r="AO746" t="s">
        <v>232</v>
      </c>
      <c r="AP746" t="s">
        <v>233</v>
      </c>
      <c r="AQ746" t="s">
        <v>20</v>
      </c>
      <c r="AR746" t="s">
        <v>28</v>
      </c>
      <c r="AS746" t="s">
        <v>36</v>
      </c>
      <c r="AT746">
        <v>0.1</v>
      </c>
      <c r="AU746" t="s">
        <v>129</v>
      </c>
      <c r="AV746" t="s">
        <v>165</v>
      </c>
    </row>
    <row r="747" spans="1:48" x14ac:dyDescent="0.3">
      <c r="A747" t="s">
        <v>2838</v>
      </c>
      <c r="B747" s="12">
        <v>45589</v>
      </c>
      <c r="C747" s="12">
        <v>45593</v>
      </c>
      <c r="D747" t="s">
        <v>2839</v>
      </c>
      <c r="E747" t="s">
        <v>139</v>
      </c>
      <c r="F747" t="s">
        <v>44</v>
      </c>
      <c r="G747" t="s">
        <v>8</v>
      </c>
      <c r="H747" t="s">
        <v>283</v>
      </c>
      <c r="I747" t="s">
        <v>284</v>
      </c>
      <c r="J747" t="s">
        <v>15</v>
      </c>
      <c r="K747" t="s">
        <v>16</v>
      </c>
      <c r="M747" t="s">
        <v>35</v>
      </c>
      <c r="N747">
        <v>3</v>
      </c>
      <c r="O747">
        <v>723.59</v>
      </c>
      <c r="P747">
        <v>0.2</v>
      </c>
      <c r="Q747">
        <v>0.2</v>
      </c>
      <c r="R747">
        <v>1736.62</v>
      </c>
      <c r="S747">
        <v>1059.52</v>
      </c>
      <c r="T747">
        <v>1736.616</v>
      </c>
      <c r="U747">
        <v>677.096</v>
      </c>
      <c r="V747">
        <v>0.38989390861307299</v>
      </c>
      <c r="W747">
        <v>4</v>
      </c>
      <c r="X747" t="s">
        <v>222</v>
      </c>
      <c r="Y747">
        <v>2024</v>
      </c>
      <c r="Z747" t="s">
        <v>129</v>
      </c>
      <c r="AA747" t="s">
        <v>130</v>
      </c>
      <c r="AB747" t="s">
        <v>131</v>
      </c>
      <c r="AC747" t="s">
        <v>131</v>
      </c>
      <c r="AD747" t="s">
        <v>131</v>
      </c>
      <c r="AE747" t="s">
        <v>131</v>
      </c>
      <c r="AF747" t="s">
        <v>131</v>
      </c>
      <c r="AG747" t="s">
        <v>131</v>
      </c>
      <c r="AH747" t="s">
        <v>132</v>
      </c>
      <c r="AI747" t="s">
        <v>133</v>
      </c>
      <c r="AJ747" t="s">
        <v>2840</v>
      </c>
      <c r="AK747" t="s">
        <v>2841</v>
      </c>
      <c r="AL747" t="s">
        <v>139</v>
      </c>
      <c r="AM747" t="s">
        <v>44</v>
      </c>
      <c r="AN747" t="s">
        <v>8</v>
      </c>
      <c r="AO747" t="s">
        <v>283</v>
      </c>
      <c r="AP747" t="s">
        <v>284</v>
      </c>
      <c r="AQ747" t="s">
        <v>15</v>
      </c>
      <c r="AR747" t="s">
        <v>16</v>
      </c>
      <c r="AS747" t="s">
        <v>35</v>
      </c>
      <c r="AT747">
        <v>0.2</v>
      </c>
      <c r="AU747" t="s">
        <v>129</v>
      </c>
      <c r="AV747" t="s">
        <v>130</v>
      </c>
    </row>
    <row r="748" spans="1:48" x14ac:dyDescent="0.3">
      <c r="A748" t="s">
        <v>2842</v>
      </c>
      <c r="B748" s="12">
        <v>45661</v>
      </c>
      <c r="C748" s="12">
        <v>45667</v>
      </c>
      <c r="D748" t="s">
        <v>2527</v>
      </c>
      <c r="E748" t="s">
        <v>238</v>
      </c>
      <c r="F748" t="s">
        <v>41</v>
      </c>
      <c r="G748" t="s">
        <v>8</v>
      </c>
      <c r="H748" t="s">
        <v>201</v>
      </c>
      <c r="I748" t="s">
        <v>202</v>
      </c>
      <c r="J748" t="s">
        <v>20</v>
      </c>
      <c r="K748" t="s">
        <v>24</v>
      </c>
      <c r="M748" t="s">
        <v>35</v>
      </c>
      <c r="N748">
        <v>4</v>
      </c>
      <c r="O748">
        <v>2583.19</v>
      </c>
      <c r="P748">
        <v>0.2</v>
      </c>
      <c r="Q748">
        <v>0.2</v>
      </c>
      <c r="R748">
        <v>8266.2099999999991</v>
      </c>
      <c r="S748">
        <v>6236.32</v>
      </c>
      <c r="T748">
        <v>8266.2080000000005</v>
      </c>
      <c r="U748">
        <v>2029.8879999999999</v>
      </c>
      <c r="V748">
        <v>0.245564592616107</v>
      </c>
      <c r="W748">
        <v>6</v>
      </c>
      <c r="X748" t="s">
        <v>244</v>
      </c>
      <c r="Y748">
        <v>2025</v>
      </c>
      <c r="Z748" t="s">
        <v>129</v>
      </c>
      <c r="AA748" t="s">
        <v>130</v>
      </c>
      <c r="AB748" t="s">
        <v>131</v>
      </c>
      <c r="AC748" t="s">
        <v>131</v>
      </c>
      <c r="AD748" t="s">
        <v>131</v>
      </c>
      <c r="AE748" t="s">
        <v>131</v>
      </c>
      <c r="AF748" t="s">
        <v>131</v>
      </c>
      <c r="AG748" t="s">
        <v>131</v>
      </c>
      <c r="AH748" t="s">
        <v>132</v>
      </c>
      <c r="AI748" t="s">
        <v>133</v>
      </c>
      <c r="AJ748" t="s">
        <v>1198</v>
      </c>
      <c r="AK748" t="s">
        <v>2843</v>
      </c>
      <c r="AL748" t="s">
        <v>238</v>
      </c>
      <c r="AM748" t="s">
        <v>41</v>
      </c>
      <c r="AN748" t="s">
        <v>8</v>
      </c>
      <c r="AO748" t="s">
        <v>201</v>
      </c>
      <c r="AP748" t="s">
        <v>202</v>
      </c>
      <c r="AQ748" t="s">
        <v>20</v>
      </c>
      <c r="AR748" t="s">
        <v>24</v>
      </c>
      <c r="AS748" t="s">
        <v>35</v>
      </c>
      <c r="AT748">
        <v>0.2</v>
      </c>
      <c r="AU748" t="s">
        <v>129</v>
      </c>
      <c r="AV748" t="s">
        <v>130</v>
      </c>
    </row>
    <row r="749" spans="1:48" x14ac:dyDescent="0.3">
      <c r="A749" t="s">
        <v>2844</v>
      </c>
      <c r="B749" s="12">
        <v>45413</v>
      </c>
      <c r="C749" s="12">
        <v>45419</v>
      </c>
      <c r="D749" t="s">
        <v>2845</v>
      </c>
      <c r="E749" t="s">
        <v>147</v>
      </c>
      <c r="F749" t="s">
        <v>41</v>
      </c>
      <c r="G749" t="s">
        <v>8</v>
      </c>
      <c r="H749" t="s">
        <v>140</v>
      </c>
      <c r="I749" t="s">
        <v>141</v>
      </c>
      <c r="J749" t="s">
        <v>20</v>
      </c>
      <c r="K749" t="s">
        <v>24</v>
      </c>
      <c r="M749" t="s">
        <v>38</v>
      </c>
      <c r="N749">
        <v>8</v>
      </c>
      <c r="O749">
        <v>1473.83</v>
      </c>
      <c r="P749">
        <v>0.15</v>
      </c>
      <c r="Q749">
        <v>0.15</v>
      </c>
      <c r="R749">
        <v>10022.040000000001</v>
      </c>
      <c r="S749">
        <v>5576.98</v>
      </c>
      <c r="T749">
        <v>10022.044</v>
      </c>
      <c r="U749">
        <v>4445.0640000000003</v>
      </c>
      <c r="V749">
        <v>0.443528685365979</v>
      </c>
      <c r="W749">
        <v>6</v>
      </c>
      <c r="X749" t="s">
        <v>173</v>
      </c>
      <c r="Y749">
        <v>2024</v>
      </c>
      <c r="Z749" t="s">
        <v>129</v>
      </c>
      <c r="AA749" t="s">
        <v>130</v>
      </c>
      <c r="AB749" t="s">
        <v>131</v>
      </c>
      <c r="AC749" t="s">
        <v>131</v>
      </c>
      <c r="AD749" t="s">
        <v>131</v>
      </c>
      <c r="AE749" t="s">
        <v>131</v>
      </c>
      <c r="AF749" t="s">
        <v>131</v>
      </c>
      <c r="AG749" t="s">
        <v>131</v>
      </c>
      <c r="AH749" t="s">
        <v>132</v>
      </c>
      <c r="AI749" t="s">
        <v>133</v>
      </c>
      <c r="AJ749" t="s">
        <v>2846</v>
      </c>
      <c r="AK749" t="s">
        <v>2847</v>
      </c>
      <c r="AL749" t="s">
        <v>147</v>
      </c>
      <c r="AM749" t="s">
        <v>41</v>
      </c>
      <c r="AN749" t="s">
        <v>8</v>
      </c>
      <c r="AO749" t="s">
        <v>140</v>
      </c>
      <c r="AP749" t="s">
        <v>141</v>
      </c>
      <c r="AQ749" t="s">
        <v>20</v>
      </c>
      <c r="AR749" t="s">
        <v>24</v>
      </c>
      <c r="AS749" t="s">
        <v>38</v>
      </c>
      <c r="AT749">
        <v>0.15</v>
      </c>
      <c r="AU749" t="s">
        <v>129</v>
      </c>
      <c r="AV749" t="s">
        <v>130</v>
      </c>
    </row>
    <row r="750" spans="1:48" x14ac:dyDescent="0.3">
      <c r="A750" t="s">
        <v>2848</v>
      </c>
      <c r="B750" s="12">
        <v>45442</v>
      </c>
      <c r="C750" s="12">
        <v>45442</v>
      </c>
      <c r="D750" t="s">
        <v>2849</v>
      </c>
      <c r="E750" t="s">
        <v>277</v>
      </c>
      <c r="F750" t="s">
        <v>41</v>
      </c>
      <c r="G750" t="s">
        <v>9</v>
      </c>
      <c r="H750" t="s">
        <v>372</v>
      </c>
      <c r="I750" t="s">
        <v>373</v>
      </c>
      <c r="J750" t="s">
        <v>15</v>
      </c>
      <c r="K750" t="s">
        <v>17</v>
      </c>
      <c r="M750" t="s">
        <v>37</v>
      </c>
      <c r="N750">
        <v>1</v>
      </c>
      <c r="O750">
        <v>3848.04</v>
      </c>
      <c r="P750">
        <v>0.25</v>
      </c>
      <c r="Q750">
        <v>0.25</v>
      </c>
      <c r="R750">
        <v>2886.03</v>
      </c>
      <c r="S750">
        <v>2064.83</v>
      </c>
      <c r="T750">
        <v>2886.03</v>
      </c>
      <c r="U750">
        <v>821.2</v>
      </c>
      <c r="V750">
        <v>0.28454312671732401</v>
      </c>
      <c r="W750">
        <v>0</v>
      </c>
      <c r="X750" t="s">
        <v>173</v>
      </c>
      <c r="Y750">
        <v>2024</v>
      </c>
      <c r="Z750" t="s">
        <v>129</v>
      </c>
      <c r="AA750" t="s">
        <v>130</v>
      </c>
      <c r="AB750" t="s">
        <v>131</v>
      </c>
      <c r="AC750" t="s">
        <v>131</v>
      </c>
      <c r="AD750" t="s">
        <v>131</v>
      </c>
      <c r="AE750" t="s">
        <v>131</v>
      </c>
      <c r="AF750" t="s">
        <v>131</v>
      </c>
      <c r="AG750" t="s">
        <v>131</v>
      </c>
      <c r="AH750" t="s">
        <v>132</v>
      </c>
      <c r="AI750" t="s">
        <v>133</v>
      </c>
      <c r="AJ750" t="s">
        <v>2850</v>
      </c>
      <c r="AK750" t="s">
        <v>2851</v>
      </c>
      <c r="AL750" t="s">
        <v>277</v>
      </c>
      <c r="AM750" t="s">
        <v>41</v>
      </c>
      <c r="AN750" t="s">
        <v>9</v>
      </c>
      <c r="AO750" t="s">
        <v>372</v>
      </c>
      <c r="AP750" t="s">
        <v>373</v>
      </c>
      <c r="AQ750" t="s">
        <v>15</v>
      </c>
      <c r="AR750" t="s">
        <v>17</v>
      </c>
      <c r="AS750" t="s">
        <v>37</v>
      </c>
      <c r="AT750">
        <v>0.25</v>
      </c>
      <c r="AU750" t="s">
        <v>129</v>
      </c>
      <c r="AV750" t="s">
        <v>130</v>
      </c>
    </row>
    <row r="751" spans="1:48" x14ac:dyDescent="0.3">
      <c r="A751" t="s">
        <v>2852</v>
      </c>
      <c r="B751" s="12">
        <v>45372</v>
      </c>
      <c r="C751" s="12">
        <v>45376</v>
      </c>
      <c r="D751" t="s">
        <v>2853</v>
      </c>
      <c r="E751" t="s">
        <v>191</v>
      </c>
      <c r="F751" t="s">
        <v>41</v>
      </c>
      <c r="G751" t="s">
        <v>8</v>
      </c>
      <c r="H751" t="s">
        <v>283</v>
      </c>
      <c r="I751" t="s">
        <v>284</v>
      </c>
      <c r="J751" t="s">
        <v>15</v>
      </c>
      <c r="K751" t="s">
        <v>25</v>
      </c>
      <c r="M751" t="s">
        <v>35</v>
      </c>
      <c r="N751">
        <v>1</v>
      </c>
      <c r="O751">
        <v>1716.7</v>
      </c>
      <c r="P751">
        <v>0.15</v>
      </c>
      <c r="Q751">
        <v>0.15</v>
      </c>
      <c r="R751">
        <v>1459.19</v>
      </c>
      <c r="S751">
        <v>1055.79</v>
      </c>
      <c r="T751">
        <v>1459.1949999999999</v>
      </c>
      <c r="U751">
        <v>403.40499999999997</v>
      </c>
      <c r="V751">
        <v>0.27645722470266099</v>
      </c>
      <c r="W751">
        <v>4</v>
      </c>
      <c r="X751" t="s">
        <v>278</v>
      </c>
      <c r="Y751">
        <v>2024</v>
      </c>
      <c r="Z751" t="s">
        <v>129</v>
      </c>
      <c r="AA751" t="s">
        <v>130</v>
      </c>
      <c r="AB751" t="s">
        <v>131</v>
      </c>
      <c r="AC751" t="s">
        <v>131</v>
      </c>
      <c r="AD751" t="s">
        <v>131</v>
      </c>
      <c r="AE751" t="s">
        <v>131</v>
      </c>
      <c r="AF751" t="s">
        <v>131</v>
      </c>
      <c r="AG751" t="s">
        <v>131</v>
      </c>
      <c r="AH751" t="s">
        <v>132</v>
      </c>
      <c r="AI751" t="s">
        <v>133</v>
      </c>
      <c r="AJ751" t="s">
        <v>2854</v>
      </c>
      <c r="AK751" t="s">
        <v>2855</v>
      </c>
      <c r="AL751" t="s">
        <v>191</v>
      </c>
      <c r="AM751" t="s">
        <v>41</v>
      </c>
      <c r="AN751" t="s">
        <v>8</v>
      </c>
      <c r="AO751" t="s">
        <v>283</v>
      </c>
      <c r="AP751" t="s">
        <v>284</v>
      </c>
      <c r="AQ751" t="s">
        <v>15</v>
      </c>
      <c r="AR751" t="s">
        <v>25</v>
      </c>
      <c r="AS751" t="s">
        <v>35</v>
      </c>
      <c r="AT751">
        <v>0.15</v>
      </c>
      <c r="AU751" t="s">
        <v>129</v>
      </c>
      <c r="AV751" t="s">
        <v>130</v>
      </c>
    </row>
    <row r="752" spans="1:48" x14ac:dyDescent="0.3">
      <c r="A752" t="s">
        <v>2856</v>
      </c>
      <c r="B752" s="12">
        <v>45810</v>
      </c>
      <c r="C752" s="12">
        <v>45810</v>
      </c>
      <c r="D752" t="s">
        <v>2857</v>
      </c>
      <c r="E752" t="s">
        <v>238</v>
      </c>
      <c r="F752" t="s">
        <v>41</v>
      </c>
      <c r="G752" t="s">
        <v>6</v>
      </c>
      <c r="H752" t="s">
        <v>155</v>
      </c>
      <c r="I752" t="s">
        <v>156</v>
      </c>
      <c r="J752" t="s">
        <v>15</v>
      </c>
      <c r="K752" t="s">
        <v>22</v>
      </c>
      <c r="M752" t="s">
        <v>36</v>
      </c>
      <c r="N752">
        <v>8</v>
      </c>
      <c r="O752">
        <v>3925.93</v>
      </c>
      <c r="P752">
        <v>0.15</v>
      </c>
      <c r="Q752">
        <v>0.15</v>
      </c>
      <c r="R752">
        <v>26696.32</v>
      </c>
      <c r="S752">
        <v>22724.52</v>
      </c>
      <c r="T752">
        <v>26696.324000000001</v>
      </c>
      <c r="U752">
        <v>3971.8040000000001</v>
      </c>
      <c r="V752">
        <v>0.14877718745097601</v>
      </c>
      <c r="W752">
        <v>0</v>
      </c>
      <c r="X752" t="s">
        <v>148</v>
      </c>
      <c r="Y752">
        <v>2025</v>
      </c>
      <c r="Z752" t="s">
        <v>129</v>
      </c>
      <c r="AA752" t="s">
        <v>130</v>
      </c>
      <c r="AB752" t="s">
        <v>131</v>
      </c>
      <c r="AC752" t="s">
        <v>131</v>
      </c>
      <c r="AD752" t="s">
        <v>131</v>
      </c>
      <c r="AE752" t="s">
        <v>131</v>
      </c>
      <c r="AF752" t="s">
        <v>131</v>
      </c>
      <c r="AG752" t="s">
        <v>131</v>
      </c>
      <c r="AH752" t="s">
        <v>132</v>
      </c>
      <c r="AI752" t="s">
        <v>133</v>
      </c>
      <c r="AJ752" t="s">
        <v>2858</v>
      </c>
      <c r="AK752" t="s">
        <v>419</v>
      </c>
      <c r="AL752" t="s">
        <v>238</v>
      </c>
      <c r="AM752" t="s">
        <v>41</v>
      </c>
      <c r="AN752" t="s">
        <v>6</v>
      </c>
      <c r="AO752" t="s">
        <v>155</v>
      </c>
      <c r="AP752" t="s">
        <v>156</v>
      </c>
      <c r="AQ752" t="s">
        <v>15</v>
      </c>
      <c r="AR752" t="s">
        <v>22</v>
      </c>
      <c r="AS752" t="s">
        <v>36</v>
      </c>
      <c r="AT752">
        <v>0.15</v>
      </c>
      <c r="AU752" t="s">
        <v>129</v>
      </c>
      <c r="AV752" t="s">
        <v>130</v>
      </c>
    </row>
    <row r="753" spans="1:48" x14ac:dyDescent="0.3">
      <c r="A753" t="s">
        <v>2859</v>
      </c>
      <c r="B753" s="12">
        <v>45856</v>
      </c>
      <c r="C753" s="12">
        <v>45857</v>
      </c>
      <c r="D753" t="s">
        <v>2860</v>
      </c>
      <c r="E753" t="s">
        <v>221</v>
      </c>
      <c r="F753" t="s">
        <v>41</v>
      </c>
      <c r="G753" t="s">
        <v>10</v>
      </c>
      <c r="H753" t="s">
        <v>249</v>
      </c>
      <c r="I753" t="s">
        <v>250</v>
      </c>
      <c r="J753" t="s">
        <v>15</v>
      </c>
      <c r="K753" t="s">
        <v>25</v>
      </c>
      <c r="M753" t="s">
        <v>10</v>
      </c>
      <c r="N753">
        <v>3</v>
      </c>
      <c r="O753">
        <v>2963.25</v>
      </c>
      <c r="P753">
        <v>0.05</v>
      </c>
      <c r="Q753">
        <v>0.05</v>
      </c>
      <c r="R753">
        <v>8445.26</v>
      </c>
      <c r="S753">
        <v>6937.6</v>
      </c>
      <c r="T753">
        <v>8445.2625000000007</v>
      </c>
      <c r="U753">
        <v>1507.6624999999999</v>
      </c>
      <c r="V753">
        <v>0.17852168597482901</v>
      </c>
      <c r="W753">
        <v>1</v>
      </c>
      <c r="X753" t="s">
        <v>128</v>
      </c>
      <c r="Y753">
        <v>2025</v>
      </c>
      <c r="Z753" t="s">
        <v>129</v>
      </c>
      <c r="AA753" t="s">
        <v>130</v>
      </c>
      <c r="AB753" t="s">
        <v>132</v>
      </c>
      <c r="AC753" t="s">
        <v>132</v>
      </c>
      <c r="AD753" t="s">
        <v>131</v>
      </c>
      <c r="AE753" t="s">
        <v>131</v>
      </c>
      <c r="AF753" t="s">
        <v>131</v>
      </c>
      <c r="AG753" t="s">
        <v>131</v>
      </c>
      <c r="AH753" t="s">
        <v>132</v>
      </c>
      <c r="AI753" t="s">
        <v>321</v>
      </c>
      <c r="AJ753" t="s">
        <v>699</v>
      </c>
      <c r="AK753" t="s">
        <v>2861</v>
      </c>
      <c r="AL753" t="s">
        <v>221</v>
      </c>
      <c r="AM753" t="s">
        <v>41</v>
      </c>
      <c r="AO753" t="s">
        <v>249</v>
      </c>
      <c r="AP753" t="s">
        <v>250</v>
      </c>
      <c r="AQ753" t="s">
        <v>15</v>
      </c>
      <c r="AR753" t="s">
        <v>25</v>
      </c>
      <c r="AT753">
        <v>0.05</v>
      </c>
      <c r="AU753" t="s">
        <v>129</v>
      </c>
      <c r="AV753" t="s">
        <v>130</v>
      </c>
    </row>
    <row r="754" spans="1:48" x14ac:dyDescent="0.3">
      <c r="A754" t="s">
        <v>2862</v>
      </c>
      <c r="B754" s="12">
        <v>45375</v>
      </c>
      <c r="C754" s="12">
        <v>45378</v>
      </c>
      <c r="D754" t="s">
        <v>2863</v>
      </c>
      <c r="E754" t="s">
        <v>191</v>
      </c>
      <c r="F754" t="s">
        <v>43</v>
      </c>
      <c r="G754" t="s">
        <v>7</v>
      </c>
      <c r="H754" t="s">
        <v>300</v>
      </c>
      <c r="I754" t="s">
        <v>301</v>
      </c>
      <c r="J754" t="s">
        <v>20</v>
      </c>
      <c r="K754" t="s">
        <v>21</v>
      </c>
      <c r="M754" t="s">
        <v>36</v>
      </c>
      <c r="N754">
        <v>5</v>
      </c>
      <c r="O754">
        <v>2465.2199999999998</v>
      </c>
      <c r="P754">
        <v>0.05</v>
      </c>
      <c r="Q754">
        <v>0.05</v>
      </c>
      <c r="R754">
        <v>11709.79</v>
      </c>
      <c r="S754">
        <v>8372.2900000000009</v>
      </c>
      <c r="T754">
        <v>11709.795</v>
      </c>
      <c r="U754">
        <v>3337.5050000000001</v>
      </c>
      <c r="V754">
        <v>0.28501822619439499</v>
      </c>
      <c r="W754">
        <v>3</v>
      </c>
      <c r="X754" t="s">
        <v>278</v>
      </c>
      <c r="Y754">
        <v>2024</v>
      </c>
      <c r="Z754" t="s">
        <v>129</v>
      </c>
      <c r="AA754" t="s">
        <v>130</v>
      </c>
      <c r="AB754" t="s">
        <v>131</v>
      </c>
      <c r="AC754" t="s">
        <v>131</v>
      </c>
      <c r="AD754" t="s">
        <v>131</v>
      </c>
      <c r="AE754" t="s">
        <v>131</v>
      </c>
      <c r="AF754" t="s">
        <v>131</v>
      </c>
      <c r="AG754" t="s">
        <v>131</v>
      </c>
      <c r="AH754" t="s">
        <v>132</v>
      </c>
      <c r="AI754" t="s">
        <v>133</v>
      </c>
      <c r="AJ754" t="s">
        <v>1880</v>
      </c>
      <c r="AK754" t="s">
        <v>2613</v>
      </c>
      <c r="AL754" t="s">
        <v>191</v>
      </c>
      <c r="AM754" t="s">
        <v>43</v>
      </c>
      <c r="AN754" t="s">
        <v>2864</v>
      </c>
      <c r="AO754" t="s">
        <v>300</v>
      </c>
      <c r="AP754" t="s">
        <v>301</v>
      </c>
      <c r="AQ754" t="s">
        <v>20</v>
      </c>
      <c r="AR754" t="s">
        <v>21</v>
      </c>
      <c r="AS754" t="s">
        <v>36</v>
      </c>
      <c r="AT754">
        <v>0.05</v>
      </c>
      <c r="AU754" t="s">
        <v>129</v>
      </c>
      <c r="AV754" t="s">
        <v>130</v>
      </c>
    </row>
    <row r="755" spans="1:48" x14ac:dyDescent="0.3">
      <c r="A755" t="s">
        <v>2865</v>
      </c>
      <c r="B755" s="12">
        <v>45515</v>
      </c>
      <c r="C755" s="12">
        <v>45514</v>
      </c>
      <c r="D755" t="s">
        <v>2866</v>
      </c>
      <c r="E755" t="s">
        <v>191</v>
      </c>
      <c r="F755" t="s">
        <v>43</v>
      </c>
      <c r="G755" t="s">
        <v>9</v>
      </c>
      <c r="H755" t="s">
        <v>522</v>
      </c>
      <c r="I755" t="s">
        <v>523</v>
      </c>
      <c r="J755" t="s">
        <v>18</v>
      </c>
      <c r="K755" t="s">
        <v>23</v>
      </c>
      <c r="M755" t="s">
        <v>37</v>
      </c>
      <c r="N755">
        <v>3</v>
      </c>
      <c r="O755">
        <v>1017.22</v>
      </c>
      <c r="P755">
        <v>0.15</v>
      </c>
      <c r="Q755">
        <v>0.15</v>
      </c>
      <c r="R755">
        <v>2593.91</v>
      </c>
      <c r="S755">
        <v>1848.48</v>
      </c>
      <c r="T755">
        <v>2593.9110000000001</v>
      </c>
      <c r="U755">
        <v>745.43100000000004</v>
      </c>
      <c r="V755">
        <v>0.28737724617382798</v>
      </c>
      <c r="W755">
        <v>-1</v>
      </c>
      <c r="X755" t="s">
        <v>142</v>
      </c>
      <c r="Y755">
        <v>2024</v>
      </c>
      <c r="Z755" t="s">
        <v>269</v>
      </c>
      <c r="AA755" t="s">
        <v>204</v>
      </c>
      <c r="AB755" t="s">
        <v>131</v>
      </c>
      <c r="AC755" t="s">
        <v>131</v>
      </c>
      <c r="AD755" t="s">
        <v>131</v>
      </c>
      <c r="AE755" t="s">
        <v>132</v>
      </c>
      <c r="AF755" t="s">
        <v>131</v>
      </c>
      <c r="AG755" t="s">
        <v>131</v>
      </c>
      <c r="AH755" t="s">
        <v>131</v>
      </c>
      <c r="AI755" t="s">
        <v>149</v>
      </c>
      <c r="AJ755" t="s">
        <v>2051</v>
      </c>
      <c r="AK755" t="s">
        <v>2333</v>
      </c>
      <c r="AL755" t="s">
        <v>191</v>
      </c>
      <c r="AM755" t="s">
        <v>43</v>
      </c>
      <c r="AN755" t="s">
        <v>9</v>
      </c>
      <c r="AO755" t="s">
        <v>522</v>
      </c>
      <c r="AP755" t="s">
        <v>523</v>
      </c>
      <c r="AQ755" t="s">
        <v>519</v>
      </c>
      <c r="AR755" t="s">
        <v>23</v>
      </c>
      <c r="AS755" t="s">
        <v>37</v>
      </c>
      <c r="AT755">
        <v>0.15</v>
      </c>
      <c r="AU755" t="s">
        <v>269</v>
      </c>
      <c r="AV755" t="s">
        <v>204</v>
      </c>
    </row>
    <row r="756" spans="1:48" x14ac:dyDescent="0.3">
      <c r="A756" t="s">
        <v>2867</v>
      </c>
      <c r="B756" s="12">
        <v>45812</v>
      </c>
      <c r="C756" s="12">
        <v>45812</v>
      </c>
      <c r="D756" t="s">
        <v>2868</v>
      </c>
      <c r="E756" t="s">
        <v>178</v>
      </c>
      <c r="F756" t="s">
        <v>43</v>
      </c>
      <c r="G756" t="s">
        <v>6</v>
      </c>
      <c r="H756" t="s">
        <v>305</v>
      </c>
      <c r="I756" t="s">
        <v>306</v>
      </c>
      <c r="J756" t="s">
        <v>20</v>
      </c>
      <c r="K756" t="s">
        <v>21</v>
      </c>
      <c r="M756" t="s">
        <v>35</v>
      </c>
      <c r="N756">
        <v>4</v>
      </c>
      <c r="O756">
        <v>891.34</v>
      </c>
      <c r="P756">
        <v>0.25</v>
      </c>
      <c r="Q756">
        <v>0.25</v>
      </c>
      <c r="R756">
        <v>2674.02</v>
      </c>
      <c r="S756">
        <v>2207.5700000000002</v>
      </c>
      <c r="T756">
        <v>2674.02</v>
      </c>
      <c r="U756">
        <v>466.45</v>
      </c>
      <c r="V756">
        <v>0.17443773793763701</v>
      </c>
      <c r="W756">
        <v>0</v>
      </c>
      <c r="X756" t="s">
        <v>148</v>
      </c>
      <c r="Y756">
        <v>2025</v>
      </c>
      <c r="Z756" t="s">
        <v>129</v>
      </c>
      <c r="AA756" t="s">
        <v>130</v>
      </c>
      <c r="AB756" t="s">
        <v>131</v>
      </c>
      <c r="AC756" t="s">
        <v>131</v>
      </c>
      <c r="AD756" t="s">
        <v>131</v>
      </c>
      <c r="AE756" t="s">
        <v>131</v>
      </c>
      <c r="AF756" t="s">
        <v>131</v>
      </c>
      <c r="AG756" t="s">
        <v>131</v>
      </c>
      <c r="AH756" t="s">
        <v>132</v>
      </c>
      <c r="AI756" t="s">
        <v>133</v>
      </c>
      <c r="AJ756" t="s">
        <v>2869</v>
      </c>
      <c r="AK756" t="s">
        <v>2869</v>
      </c>
      <c r="AL756" t="s">
        <v>178</v>
      </c>
      <c r="AM756" t="s">
        <v>43</v>
      </c>
      <c r="AN756" t="s">
        <v>6</v>
      </c>
      <c r="AO756" t="s">
        <v>305</v>
      </c>
      <c r="AP756" t="s">
        <v>306</v>
      </c>
      <c r="AQ756" t="s">
        <v>20</v>
      </c>
      <c r="AR756" t="s">
        <v>21</v>
      </c>
      <c r="AS756" t="s">
        <v>35</v>
      </c>
      <c r="AT756">
        <v>0.25</v>
      </c>
      <c r="AU756" t="s">
        <v>129</v>
      </c>
      <c r="AV756" t="s">
        <v>130</v>
      </c>
    </row>
    <row r="757" spans="1:48" x14ac:dyDescent="0.3">
      <c r="A757" t="s">
        <v>2870</v>
      </c>
      <c r="B757" s="12">
        <v>45858</v>
      </c>
      <c r="C757" s="12">
        <v>45862</v>
      </c>
      <c r="D757" t="s">
        <v>2871</v>
      </c>
      <c r="E757" t="s">
        <v>221</v>
      </c>
      <c r="F757" t="s">
        <v>41</v>
      </c>
      <c r="G757" t="s">
        <v>7</v>
      </c>
      <c r="H757" t="s">
        <v>171</v>
      </c>
      <c r="I757" t="s">
        <v>172</v>
      </c>
      <c r="J757" t="s">
        <v>20</v>
      </c>
      <c r="K757" t="s">
        <v>21</v>
      </c>
      <c r="M757" t="s">
        <v>37</v>
      </c>
      <c r="N757">
        <v>5</v>
      </c>
      <c r="O757">
        <v>2481.7399999999998</v>
      </c>
      <c r="P757">
        <v>0.2</v>
      </c>
      <c r="Q757">
        <v>0.2</v>
      </c>
      <c r="R757">
        <v>9926.9599999999991</v>
      </c>
      <c r="S757">
        <v>7994.98</v>
      </c>
      <c r="T757">
        <v>9926.9599999999991</v>
      </c>
      <c r="U757">
        <v>1931.98</v>
      </c>
      <c r="V757">
        <v>0.19461950083409199</v>
      </c>
      <c r="W757">
        <v>4</v>
      </c>
      <c r="X757" t="s">
        <v>128</v>
      </c>
      <c r="Y757">
        <v>2025</v>
      </c>
      <c r="Z757" t="s">
        <v>129</v>
      </c>
      <c r="AA757" t="s">
        <v>130</v>
      </c>
      <c r="AB757" t="s">
        <v>131</v>
      </c>
      <c r="AC757" t="s">
        <v>131</v>
      </c>
      <c r="AD757" t="s">
        <v>131</v>
      </c>
      <c r="AE757" t="s">
        <v>131</v>
      </c>
      <c r="AF757" t="s">
        <v>131</v>
      </c>
      <c r="AG757" t="s">
        <v>131</v>
      </c>
      <c r="AH757" t="s">
        <v>132</v>
      </c>
      <c r="AI757" t="s">
        <v>133</v>
      </c>
      <c r="AJ757" t="s">
        <v>996</v>
      </c>
      <c r="AK757" t="s">
        <v>1498</v>
      </c>
      <c r="AL757" t="s">
        <v>221</v>
      </c>
      <c r="AM757" t="s">
        <v>41</v>
      </c>
      <c r="AN757" t="s">
        <v>7</v>
      </c>
      <c r="AO757" t="s">
        <v>171</v>
      </c>
      <c r="AP757" t="s">
        <v>172</v>
      </c>
      <c r="AQ757" t="s">
        <v>20</v>
      </c>
      <c r="AR757" t="s">
        <v>21</v>
      </c>
      <c r="AS757" t="s">
        <v>37</v>
      </c>
      <c r="AT757">
        <v>0.2</v>
      </c>
      <c r="AU757" t="s">
        <v>129</v>
      </c>
      <c r="AV757" t="s">
        <v>130</v>
      </c>
    </row>
    <row r="758" spans="1:48" x14ac:dyDescent="0.3">
      <c r="A758" t="s">
        <v>2872</v>
      </c>
      <c r="B758" s="12">
        <v>45592</v>
      </c>
      <c r="C758" s="12">
        <v>45597</v>
      </c>
      <c r="D758" t="s">
        <v>2873</v>
      </c>
      <c r="E758" t="s">
        <v>255</v>
      </c>
      <c r="F758" t="s">
        <v>42</v>
      </c>
      <c r="G758" t="s">
        <v>9</v>
      </c>
      <c r="H758" t="s">
        <v>126</v>
      </c>
      <c r="I758" t="s">
        <v>127</v>
      </c>
      <c r="J758" t="s">
        <v>15</v>
      </c>
      <c r="K758" t="s">
        <v>22</v>
      </c>
      <c r="M758" t="s">
        <v>38</v>
      </c>
      <c r="N758">
        <v>7</v>
      </c>
      <c r="O758">
        <v>2177.1</v>
      </c>
      <c r="P758">
        <v>0.2</v>
      </c>
      <c r="Q758">
        <v>0.2</v>
      </c>
      <c r="R758">
        <v>12191.76</v>
      </c>
      <c r="S758">
        <v>10457.49</v>
      </c>
      <c r="T758">
        <v>12191.76</v>
      </c>
      <c r="U758">
        <v>1734.27</v>
      </c>
      <c r="V758">
        <v>0.14224935530227001</v>
      </c>
      <c r="W758">
        <v>5</v>
      </c>
      <c r="X758" t="s">
        <v>222</v>
      </c>
      <c r="Y758">
        <v>2024</v>
      </c>
      <c r="Z758" t="s">
        <v>129</v>
      </c>
      <c r="AA758" t="s">
        <v>204</v>
      </c>
      <c r="AB758" t="s">
        <v>131</v>
      </c>
      <c r="AC758" t="s">
        <v>131</v>
      </c>
      <c r="AD758" t="s">
        <v>131</v>
      </c>
      <c r="AE758" t="s">
        <v>131</v>
      </c>
      <c r="AF758" t="s">
        <v>131</v>
      </c>
      <c r="AG758" t="s">
        <v>131</v>
      </c>
      <c r="AH758" t="s">
        <v>131</v>
      </c>
      <c r="AI758" t="s">
        <v>133</v>
      </c>
      <c r="AJ758" t="s">
        <v>2874</v>
      </c>
      <c r="AK758" t="s">
        <v>2875</v>
      </c>
      <c r="AL758" t="s">
        <v>255</v>
      </c>
      <c r="AM758" t="s">
        <v>42</v>
      </c>
      <c r="AN758" t="s">
        <v>9</v>
      </c>
      <c r="AO758" t="s">
        <v>126</v>
      </c>
      <c r="AP758" t="s">
        <v>127</v>
      </c>
      <c r="AQ758" t="s">
        <v>15</v>
      </c>
      <c r="AR758" t="s">
        <v>22</v>
      </c>
      <c r="AS758" t="s">
        <v>38</v>
      </c>
      <c r="AT758">
        <v>0.2</v>
      </c>
      <c r="AU758" t="s">
        <v>129</v>
      </c>
      <c r="AV758" t="s">
        <v>204</v>
      </c>
    </row>
    <row r="759" spans="1:48" x14ac:dyDescent="0.3">
      <c r="A759" t="s">
        <v>2876</v>
      </c>
      <c r="B759" s="12">
        <v>45870</v>
      </c>
      <c r="C759" s="12">
        <v>45872</v>
      </c>
      <c r="D759" t="s">
        <v>2877</v>
      </c>
      <c r="E759" t="s">
        <v>191</v>
      </c>
      <c r="F759" t="s">
        <v>44</v>
      </c>
      <c r="G759" t="s">
        <v>6</v>
      </c>
      <c r="H759" t="s">
        <v>305</v>
      </c>
      <c r="I759" t="s">
        <v>306</v>
      </c>
      <c r="J759" t="s">
        <v>18</v>
      </c>
      <c r="K759" t="s">
        <v>26</v>
      </c>
      <c r="M759" t="s">
        <v>35</v>
      </c>
      <c r="N759">
        <v>3</v>
      </c>
      <c r="O759">
        <v>1904.78</v>
      </c>
      <c r="P759">
        <v>0.25</v>
      </c>
      <c r="Q759">
        <v>0.25</v>
      </c>
      <c r="R759">
        <v>4285.76</v>
      </c>
      <c r="S759">
        <v>2386.33</v>
      </c>
      <c r="T759">
        <v>4285.7550000000001</v>
      </c>
      <c r="U759">
        <v>1899.425</v>
      </c>
      <c r="V759">
        <v>0.443194956314582</v>
      </c>
      <c r="W759">
        <v>2</v>
      </c>
      <c r="X759" t="s">
        <v>142</v>
      </c>
      <c r="Y759">
        <v>2025</v>
      </c>
      <c r="Z759" t="s">
        <v>269</v>
      </c>
      <c r="AA759" t="s">
        <v>165</v>
      </c>
      <c r="AB759" t="s">
        <v>131</v>
      </c>
      <c r="AC759" t="s">
        <v>131</v>
      </c>
      <c r="AD759" t="s">
        <v>131</v>
      </c>
      <c r="AE759" t="s">
        <v>131</v>
      </c>
      <c r="AF759" t="s">
        <v>131</v>
      </c>
      <c r="AG759" t="s">
        <v>131</v>
      </c>
      <c r="AH759" t="s">
        <v>131</v>
      </c>
      <c r="AI759" t="s">
        <v>133</v>
      </c>
      <c r="AJ759" t="s">
        <v>2878</v>
      </c>
      <c r="AK759" t="s">
        <v>2879</v>
      </c>
      <c r="AL759" t="s">
        <v>191</v>
      </c>
      <c r="AM759" t="s">
        <v>44</v>
      </c>
      <c r="AN759" t="s">
        <v>6</v>
      </c>
      <c r="AO759" t="s">
        <v>305</v>
      </c>
      <c r="AP759" t="s">
        <v>306</v>
      </c>
      <c r="AQ759" t="s">
        <v>18</v>
      </c>
      <c r="AR759" t="s">
        <v>26</v>
      </c>
      <c r="AS759" t="s">
        <v>35</v>
      </c>
      <c r="AT759">
        <v>0.25</v>
      </c>
      <c r="AU759" t="s">
        <v>269</v>
      </c>
      <c r="AV759" t="s">
        <v>165</v>
      </c>
    </row>
    <row r="760" spans="1:48" x14ac:dyDescent="0.3">
      <c r="A760" t="s">
        <v>2880</v>
      </c>
      <c r="B760" s="12">
        <v>45414</v>
      </c>
      <c r="C760" s="12">
        <v>45422</v>
      </c>
      <c r="D760" t="s">
        <v>2881</v>
      </c>
      <c r="E760" t="s">
        <v>238</v>
      </c>
      <c r="F760" t="s">
        <v>44</v>
      </c>
      <c r="G760" t="s">
        <v>6</v>
      </c>
      <c r="H760" t="s">
        <v>294</v>
      </c>
      <c r="I760" t="s">
        <v>295</v>
      </c>
      <c r="J760" t="s">
        <v>18</v>
      </c>
      <c r="K760" t="s">
        <v>19</v>
      </c>
      <c r="M760" t="s">
        <v>35</v>
      </c>
      <c r="N760">
        <v>1</v>
      </c>
      <c r="O760">
        <v>4166.91</v>
      </c>
      <c r="P760">
        <v>0</v>
      </c>
      <c r="Q760">
        <v>0</v>
      </c>
      <c r="R760">
        <v>4166.91</v>
      </c>
      <c r="S760">
        <v>3412.63</v>
      </c>
      <c r="T760">
        <v>4166.91</v>
      </c>
      <c r="U760">
        <v>754.28</v>
      </c>
      <c r="V760">
        <v>0.18101662862888801</v>
      </c>
      <c r="W760">
        <v>8</v>
      </c>
      <c r="X760" t="s">
        <v>173</v>
      </c>
      <c r="Y760">
        <v>2024</v>
      </c>
      <c r="Z760" t="s">
        <v>129</v>
      </c>
      <c r="AA760" t="s">
        <v>130</v>
      </c>
      <c r="AB760" t="s">
        <v>131</v>
      </c>
      <c r="AC760" t="s">
        <v>131</v>
      </c>
      <c r="AD760" t="s">
        <v>131</v>
      </c>
      <c r="AE760" t="s">
        <v>131</v>
      </c>
      <c r="AF760" t="s">
        <v>131</v>
      </c>
      <c r="AG760" t="s">
        <v>131</v>
      </c>
      <c r="AH760" t="s">
        <v>132</v>
      </c>
      <c r="AI760" t="s">
        <v>133</v>
      </c>
      <c r="AJ760" t="s">
        <v>2882</v>
      </c>
      <c r="AK760" t="s">
        <v>2259</v>
      </c>
      <c r="AL760" t="s">
        <v>238</v>
      </c>
      <c r="AM760" t="s">
        <v>44</v>
      </c>
      <c r="AN760" t="s">
        <v>6</v>
      </c>
      <c r="AO760" t="s">
        <v>294</v>
      </c>
      <c r="AP760" t="s">
        <v>295</v>
      </c>
      <c r="AQ760" t="s">
        <v>18</v>
      </c>
      <c r="AR760" t="s">
        <v>19</v>
      </c>
      <c r="AS760" t="s">
        <v>35</v>
      </c>
      <c r="AT760">
        <v>0</v>
      </c>
      <c r="AU760" t="s">
        <v>129</v>
      </c>
      <c r="AV760" t="s">
        <v>130</v>
      </c>
    </row>
    <row r="761" spans="1:48" x14ac:dyDescent="0.3">
      <c r="A761" t="s">
        <v>2883</v>
      </c>
      <c r="B761" s="12">
        <v>45492</v>
      </c>
      <c r="C761" s="12">
        <v>45499</v>
      </c>
      <c r="D761" t="s">
        <v>2884</v>
      </c>
      <c r="E761" t="s">
        <v>154</v>
      </c>
      <c r="F761" t="s">
        <v>41</v>
      </c>
      <c r="G761" t="s">
        <v>6</v>
      </c>
      <c r="H761" t="s">
        <v>294</v>
      </c>
      <c r="I761" t="s">
        <v>295</v>
      </c>
      <c r="J761" t="s">
        <v>18</v>
      </c>
      <c r="K761" t="s">
        <v>27</v>
      </c>
      <c r="M761" t="s">
        <v>37</v>
      </c>
      <c r="N761">
        <v>5</v>
      </c>
      <c r="O761">
        <v>3986.01</v>
      </c>
      <c r="P761">
        <v>0.25</v>
      </c>
      <c r="Q761">
        <v>0.25</v>
      </c>
      <c r="R761">
        <v>14947.54</v>
      </c>
      <c r="S761">
        <v>9438.4599999999991</v>
      </c>
      <c r="T761">
        <v>14947.5375</v>
      </c>
      <c r="U761">
        <v>5509.0775000000003</v>
      </c>
      <c r="V761">
        <v>0.368560874993624</v>
      </c>
      <c r="W761">
        <v>7</v>
      </c>
      <c r="X761" t="s">
        <v>128</v>
      </c>
      <c r="Y761">
        <v>2024</v>
      </c>
      <c r="Z761" t="s">
        <v>129</v>
      </c>
      <c r="AA761" t="s">
        <v>130</v>
      </c>
      <c r="AB761" t="s">
        <v>131</v>
      </c>
      <c r="AC761" t="s">
        <v>131</v>
      </c>
      <c r="AD761" t="s">
        <v>131</v>
      </c>
      <c r="AE761" t="s">
        <v>131</v>
      </c>
      <c r="AF761" t="s">
        <v>131</v>
      </c>
      <c r="AG761" t="s">
        <v>131</v>
      </c>
      <c r="AH761" t="s">
        <v>132</v>
      </c>
      <c r="AI761" t="s">
        <v>133</v>
      </c>
      <c r="AJ761" t="s">
        <v>443</v>
      </c>
      <c r="AK761" t="s">
        <v>2885</v>
      </c>
      <c r="AL761" t="s">
        <v>154</v>
      </c>
      <c r="AM761" t="s">
        <v>41</v>
      </c>
      <c r="AN761" t="s">
        <v>2886</v>
      </c>
      <c r="AO761" t="s">
        <v>294</v>
      </c>
      <c r="AP761" t="s">
        <v>295</v>
      </c>
      <c r="AQ761" t="s">
        <v>18</v>
      </c>
      <c r="AR761" t="s">
        <v>27</v>
      </c>
      <c r="AS761" t="s">
        <v>37</v>
      </c>
      <c r="AT761">
        <v>0.25</v>
      </c>
      <c r="AU761" t="s">
        <v>129</v>
      </c>
      <c r="AV761" t="s">
        <v>130</v>
      </c>
    </row>
    <row r="762" spans="1:48" x14ac:dyDescent="0.3">
      <c r="A762" t="s">
        <v>2887</v>
      </c>
      <c r="B762" s="12">
        <v>45532</v>
      </c>
      <c r="C762" s="12">
        <v>45537</v>
      </c>
      <c r="D762" t="s">
        <v>2888</v>
      </c>
      <c r="E762" t="s">
        <v>191</v>
      </c>
      <c r="F762" t="s">
        <v>41</v>
      </c>
      <c r="G762" t="s">
        <v>8</v>
      </c>
      <c r="H762" t="s">
        <v>283</v>
      </c>
      <c r="I762" t="s">
        <v>284</v>
      </c>
      <c r="J762" t="s">
        <v>20</v>
      </c>
      <c r="K762" t="s">
        <v>29</v>
      </c>
      <c r="M762" t="s">
        <v>37</v>
      </c>
      <c r="N762">
        <v>4</v>
      </c>
      <c r="O762">
        <v>3365.53</v>
      </c>
      <c r="P762">
        <v>0</v>
      </c>
      <c r="Q762">
        <v>0</v>
      </c>
      <c r="R762">
        <v>13462.12</v>
      </c>
      <c r="S762">
        <v>7600.63</v>
      </c>
      <c r="T762">
        <v>13462.12</v>
      </c>
      <c r="U762">
        <v>5861.49</v>
      </c>
      <c r="V762">
        <v>0.43540616188237802</v>
      </c>
      <c r="W762">
        <v>5</v>
      </c>
      <c r="X762" t="s">
        <v>142</v>
      </c>
      <c r="Y762">
        <v>2024</v>
      </c>
      <c r="Z762" t="s">
        <v>215</v>
      </c>
      <c r="AA762" t="s">
        <v>204</v>
      </c>
      <c r="AB762" t="s">
        <v>131</v>
      </c>
      <c r="AC762" t="s">
        <v>131</v>
      </c>
      <c r="AD762" t="s">
        <v>131</v>
      </c>
      <c r="AE762" t="s">
        <v>131</v>
      </c>
      <c r="AF762" t="s">
        <v>131</v>
      </c>
      <c r="AG762" t="s">
        <v>131</v>
      </c>
      <c r="AH762" t="s">
        <v>131</v>
      </c>
      <c r="AI762" t="s">
        <v>133</v>
      </c>
      <c r="AJ762" t="s">
        <v>2889</v>
      </c>
      <c r="AK762" t="s">
        <v>1078</v>
      </c>
      <c r="AL762" t="s">
        <v>191</v>
      </c>
      <c r="AM762" t="s">
        <v>41</v>
      </c>
      <c r="AN762" t="s">
        <v>8</v>
      </c>
      <c r="AO762" t="s">
        <v>283</v>
      </c>
      <c r="AP762" t="s">
        <v>284</v>
      </c>
      <c r="AQ762" t="s">
        <v>20</v>
      </c>
      <c r="AR762" t="s">
        <v>29</v>
      </c>
      <c r="AS762" t="s">
        <v>37</v>
      </c>
      <c r="AT762">
        <v>0</v>
      </c>
      <c r="AU762" t="s">
        <v>215</v>
      </c>
      <c r="AV762" t="s">
        <v>204</v>
      </c>
    </row>
    <row r="763" spans="1:48" x14ac:dyDescent="0.3">
      <c r="A763" t="s">
        <v>2890</v>
      </c>
      <c r="B763" s="12">
        <v>45896</v>
      </c>
      <c r="C763" s="12">
        <v>45900</v>
      </c>
      <c r="D763" t="s">
        <v>2891</v>
      </c>
      <c r="E763" t="s">
        <v>147</v>
      </c>
      <c r="F763" t="s">
        <v>42</v>
      </c>
      <c r="G763" t="s">
        <v>6</v>
      </c>
      <c r="H763" t="s">
        <v>294</v>
      </c>
      <c r="I763" t="s">
        <v>295</v>
      </c>
      <c r="J763" t="s">
        <v>15</v>
      </c>
      <c r="K763" t="s">
        <v>25</v>
      </c>
      <c r="M763" t="s">
        <v>36</v>
      </c>
      <c r="N763">
        <v>3</v>
      </c>
      <c r="O763">
        <v>2489.12</v>
      </c>
      <c r="P763">
        <v>0</v>
      </c>
      <c r="Q763">
        <v>0</v>
      </c>
      <c r="R763">
        <v>7467.36</v>
      </c>
      <c r="S763">
        <v>5010.6099999999997</v>
      </c>
      <c r="T763">
        <v>7467.36</v>
      </c>
      <c r="U763">
        <v>2456.75</v>
      </c>
      <c r="V763">
        <v>0.32899846799940002</v>
      </c>
      <c r="W763">
        <v>4</v>
      </c>
      <c r="X763" t="s">
        <v>142</v>
      </c>
      <c r="Y763">
        <v>2025</v>
      </c>
      <c r="Z763" t="s">
        <v>129</v>
      </c>
      <c r="AA763" t="s">
        <v>130</v>
      </c>
      <c r="AB763" t="s">
        <v>131</v>
      </c>
      <c r="AC763" t="s">
        <v>131</v>
      </c>
      <c r="AD763" t="s">
        <v>131</v>
      </c>
      <c r="AE763" t="s">
        <v>131</v>
      </c>
      <c r="AF763" t="s">
        <v>131</v>
      </c>
      <c r="AG763" t="s">
        <v>131</v>
      </c>
      <c r="AH763" t="s">
        <v>132</v>
      </c>
      <c r="AI763" t="s">
        <v>133</v>
      </c>
      <c r="AJ763" t="s">
        <v>482</v>
      </c>
      <c r="AK763" t="s">
        <v>2892</v>
      </c>
      <c r="AL763" t="s">
        <v>147</v>
      </c>
      <c r="AM763" t="s">
        <v>42</v>
      </c>
      <c r="AN763" t="s">
        <v>6</v>
      </c>
      <c r="AO763" t="s">
        <v>294</v>
      </c>
      <c r="AP763" t="s">
        <v>295</v>
      </c>
      <c r="AQ763" t="s">
        <v>15</v>
      </c>
      <c r="AR763" t="s">
        <v>25</v>
      </c>
      <c r="AS763" t="s">
        <v>36</v>
      </c>
      <c r="AT763">
        <v>0</v>
      </c>
      <c r="AU763" t="s">
        <v>129</v>
      </c>
      <c r="AV763" t="s">
        <v>130</v>
      </c>
    </row>
    <row r="764" spans="1:48" x14ac:dyDescent="0.3">
      <c r="A764" t="s">
        <v>2893</v>
      </c>
      <c r="B764" s="12">
        <v>45292</v>
      </c>
      <c r="C764" s="12">
        <v>45296</v>
      </c>
      <c r="D764" t="s">
        <v>2894</v>
      </c>
      <c r="E764" t="s">
        <v>277</v>
      </c>
      <c r="F764" t="s">
        <v>43</v>
      </c>
      <c r="G764" t="s">
        <v>7</v>
      </c>
      <c r="H764" t="s">
        <v>171</v>
      </c>
      <c r="I764" t="s">
        <v>172</v>
      </c>
      <c r="J764" t="s">
        <v>15</v>
      </c>
      <c r="K764" t="s">
        <v>25</v>
      </c>
      <c r="M764" t="s">
        <v>37</v>
      </c>
      <c r="N764">
        <v>2</v>
      </c>
      <c r="O764">
        <v>3694.12</v>
      </c>
      <c r="P764">
        <v>0.2</v>
      </c>
      <c r="Q764">
        <v>0.2</v>
      </c>
      <c r="R764">
        <v>5910.59</v>
      </c>
      <c r="S764">
        <v>4775.4399999999996</v>
      </c>
      <c r="T764">
        <v>5910.5919999999996</v>
      </c>
      <c r="U764">
        <v>1135.152</v>
      </c>
      <c r="V764">
        <v>0.192053858564421</v>
      </c>
      <c r="W764">
        <v>4</v>
      </c>
      <c r="X764" t="s">
        <v>244</v>
      </c>
      <c r="Y764">
        <v>2024</v>
      </c>
      <c r="Z764" t="s">
        <v>203</v>
      </c>
      <c r="AA764" t="s">
        <v>204</v>
      </c>
      <c r="AB764" t="s">
        <v>131</v>
      </c>
      <c r="AC764" t="s">
        <v>131</v>
      </c>
      <c r="AD764" t="s">
        <v>131</v>
      </c>
      <c r="AE764" t="s">
        <v>131</v>
      </c>
      <c r="AF764" t="s">
        <v>131</v>
      </c>
      <c r="AG764" t="s">
        <v>131</v>
      </c>
      <c r="AH764" t="s">
        <v>131</v>
      </c>
      <c r="AI764" t="s">
        <v>133</v>
      </c>
      <c r="AJ764" t="s">
        <v>2895</v>
      </c>
      <c r="AK764" t="s">
        <v>2896</v>
      </c>
      <c r="AL764" t="s">
        <v>277</v>
      </c>
      <c r="AM764" t="s">
        <v>43</v>
      </c>
      <c r="AN764" t="s">
        <v>7</v>
      </c>
      <c r="AO764" t="s">
        <v>171</v>
      </c>
      <c r="AP764" t="s">
        <v>172</v>
      </c>
      <c r="AQ764" t="s">
        <v>15</v>
      </c>
      <c r="AR764" t="s">
        <v>25</v>
      </c>
      <c r="AS764" t="s">
        <v>37</v>
      </c>
      <c r="AT764">
        <v>0.2</v>
      </c>
      <c r="AU764" t="s">
        <v>203</v>
      </c>
      <c r="AV764" t="s">
        <v>204</v>
      </c>
    </row>
    <row r="765" spans="1:48" x14ac:dyDescent="0.3">
      <c r="A765" t="s">
        <v>2897</v>
      </c>
      <c r="B765" s="12">
        <v>45892</v>
      </c>
      <c r="C765" s="12">
        <v>45894</v>
      </c>
      <c r="D765" t="s">
        <v>2898</v>
      </c>
      <c r="E765" t="s">
        <v>277</v>
      </c>
      <c r="F765" t="s">
        <v>42</v>
      </c>
      <c r="G765" t="s">
        <v>9</v>
      </c>
      <c r="H765" t="s">
        <v>126</v>
      </c>
      <c r="I765" t="s">
        <v>127</v>
      </c>
      <c r="J765" t="s">
        <v>18</v>
      </c>
      <c r="K765" t="s">
        <v>23</v>
      </c>
      <c r="M765" t="s">
        <v>38</v>
      </c>
      <c r="N765">
        <v>6</v>
      </c>
      <c r="O765">
        <v>2742.48</v>
      </c>
      <c r="P765">
        <v>0</v>
      </c>
      <c r="Q765">
        <v>0</v>
      </c>
      <c r="R765">
        <v>16454.88</v>
      </c>
      <c r="S765">
        <v>12081.54</v>
      </c>
      <c r="T765">
        <v>16454.88</v>
      </c>
      <c r="U765">
        <v>4373.34</v>
      </c>
      <c r="V765">
        <v>0.26577769026574499</v>
      </c>
      <c r="W765">
        <v>2</v>
      </c>
      <c r="X765" t="s">
        <v>142</v>
      </c>
      <c r="Y765">
        <v>2025</v>
      </c>
      <c r="Z765" t="s">
        <v>129</v>
      </c>
      <c r="AA765" t="s">
        <v>130</v>
      </c>
      <c r="AB765" t="s">
        <v>131</v>
      </c>
      <c r="AC765" t="s">
        <v>131</v>
      </c>
      <c r="AD765" t="s">
        <v>131</v>
      </c>
      <c r="AE765" t="s">
        <v>131</v>
      </c>
      <c r="AF765" t="s">
        <v>131</v>
      </c>
      <c r="AG765" t="s">
        <v>131</v>
      </c>
      <c r="AH765" t="s">
        <v>132</v>
      </c>
      <c r="AI765" t="s">
        <v>133</v>
      </c>
      <c r="AJ765" t="s">
        <v>2899</v>
      </c>
      <c r="AK765" t="s">
        <v>2900</v>
      </c>
      <c r="AL765" t="s">
        <v>277</v>
      </c>
      <c r="AM765" t="s">
        <v>42</v>
      </c>
      <c r="AN765" t="s">
        <v>9</v>
      </c>
      <c r="AO765" t="s">
        <v>126</v>
      </c>
      <c r="AP765" t="s">
        <v>127</v>
      </c>
      <c r="AQ765" t="s">
        <v>18</v>
      </c>
      <c r="AR765" t="s">
        <v>23</v>
      </c>
      <c r="AS765" t="s">
        <v>38</v>
      </c>
      <c r="AT765">
        <v>0</v>
      </c>
      <c r="AU765" t="s">
        <v>129</v>
      </c>
      <c r="AV765" t="s">
        <v>130</v>
      </c>
    </row>
    <row r="766" spans="1:48" x14ac:dyDescent="0.3">
      <c r="A766" t="s">
        <v>2901</v>
      </c>
      <c r="B766" s="12">
        <v>45760</v>
      </c>
      <c r="C766" s="12">
        <v>45760</v>
      </c>
      <c r="D766" t="s">
        <v>1200</v>
      </c>
      <c r="E766" t="s">
        <v>221</v>
      </c>
      <c r="F766" t="s">
        <v>43</v>
      </c>
      <c r="G766" t="s">
        <v>6</v>
      </c>
      <c r="H766" t="s">
        <v>305</v>
      </c>
      <c r="I766" t="s">
        <v>306</v>
      </c>
      <c r="J766" t="s">
        <v>18</v>
      </c>
      <c r="K766" t="s">
        <v>26</v>
      </c>
      <c r="M766" t="s">
        <v>36</v>
      </c>
      <c r="N766">
        <v>6</v>
      </c>
      <c r="O766">
        <v>4414</v>
      </c>
      <c r="P766">
        <v>0.05</v>
      </c>
      <c r="Q766">
        <v>0.05</v>
      </c>
      <c r="R766">
        <v>25159.8</v>
      </c>
      <c r="S766">
        <v>21606.83</v>
      </c>
      <c r="T766">
        <v>25159.8</v>
      </c>
      <c r="U766">
        <v>3552.97</v>
      </c>
      <c r="V766">
        <v>0.14121614639226099</v>
      </c>
      <c r="W766">
        <v>0</v>
      </c>
      <c r="X766" t="s">
        <v>179</v>
      </c>
      <c r="Y766">
        <v>2025</v>
      </c>
      <c r="Z766" t="s">
        <v>129</v>
      </c>
      <c r="AA766" t="s">
        <v>130</v>
      </c>
      <c r="AB766" t="s">
        <v>131</v>
      </c>
      <c r="AC766" t="s">
        <v>131</v>
      </c>
      <c r="AD766" t="s">
        <v>131</v>
      </c>
      <c r="AE766" t="s">
        <v>131</v>
      </c>
      <c r="AF766" t="s">
        <v>131</v>
      </c>
      <c r="AG766" t="s">
        <v>131</v>
      </c>
      <c r="AH766" t="s">
        <v>132</v>
      </c>
      <c r="AI766" t="s">
        <v>133</v>
      </c>
      <c r="AJ766" t="s">
        <v>1600</v>
      </c>
      <c r="AK766" t="s">
        <v>2421</v>
      </c>
      <c r="AL766" t="s">
        <v>221</v>
      </c>
      <c r="AM766" t="s">
        <v>43</v>
      </c>
      <c r="AN766" t="s">
        <v>6</v>
      </c>
      <c r="AO766" t="s">
        <v>305</v>
      </c>
      <c r="AP766" t="s">
        <v>306</v>
      </c>
      <c r="AQ766" t="s">
        <v>18</v>
      </c>
      <c r="AR766" t="s">
        <v>26</v>
      </c>
      <c r="AS766" t="s">
        <v>36</v>
      </c>
      <c r="AT766">
        <v>0.05</v>
      </c>
      <c r="AU766" t="s">
        <v>129</v>
      </c>
      <c r="AV766" t="s">
        <v>130</v>
      </c>
    </row>
    <row r="767" spans="1:48" x14ac:dyDescent="0.3">
      <c r="A767" t="s">
        <v>2902</v>
      </c>
      <c r="B767" s="12">
        <v>45837</v>
      </c>
      <c r="C767" s="12">
        <v>45841</v>
      </c>
      <c r="D767" t="s">
        <v>2903</v>
      </c>
      <c r="E767" t="s">
        <v>170</v>
      </c>
      <c r="F767" t="s">
        <v>43</v>
      </c>
      <c r="G767" t="s">
        <v>8</v>
      </c>
      <c r="H767" t="s">
        <v>362</v>
      </c>
      <c r="I767" t="s">
        <v>363</v>
      </c>
      <c r="J767" t="s">
        <v>20</v>
      </c>
      <c r="K767" t="s">
        <v>30</v>
      </c>
      <c r="M767" t="s">
        <v>36</v>
      </c>
      <c r="N767">
        <v>3</v>
      </c>
      <c r="O767">
        <v>608.14</v>
      </c>
      <c r="P767">
        <v>0</v>
      </c>
      <c r="Q767">
        <v>0</v>
      </c>
      <c r="R767">
        <v>1824.42</v>
      </c>
      <c r="S767">
        <v>1214.8699999999999</v>
      </c>
      <c r="T767">
        <v>1824.42</v>
      </c>
      <c r="U767">
        <v>609.54999999999995</v>
      </c>
      <c r="V767">
        <v>0.33410618169062001</v>
      </c>
      <c r="W767">
        <v>4</v>
      </c>
      <c r="X767" t="s">
        <v>148</v>
      </c>
      <c r="Y767">
        <v>2025</v>
      </c>
      <c r="Z767" t="s">
        <v>129</v>
      </c>
      <c r="AA767" t="s">
        <v>130</v>
      </c>
      <c r="AB767" t="s">
        <v>131</v>
      </c>
      <c r="AC767" t="s">
        <v>131</v>
      </c>
      <c r="AD767" t="s">
        <v>131</v>
      </c>
      <c r="AE767" t="s">
        <v>131</v>
      </c>
      <c r="AF767" t="s">
        <v>131</v>
      </c>
      <c r="AG767" t="s">
        <v>131</v>
      </c>
      <c r="AH767" t="s">
        <v>132</v>
      </c>
      <c r="AI767" t="s">
        <v>133</v>
      </c>
      <c r="AJ767" t="s">
        <v>2904</v>
      </c>
      <c r="AK767" t="s">
        <v>2905</v>
      </c>
      <c r="AL767" t="s">
        <v>170</v>
      </c>
      <c r="AM767" t="s">
        <v>43</v>
      </c>
      <c r="AN767" t="s">
        <v>8</v>
      </c>
      <c r="AO767" t="s">
        <v>362</v>
      </c>
      <c r="AP767" t="s">
        <v>363</v>
      </c>
      <c r="AQ767" t="s">
        <v>20</v>
      </c>
      <c r="AR767" t="s">
        <v>30</v>
      </c>
      <c r="AS767" t="s">
        <v>36</v>
      </c>
      <c r="AT767">
        <v>0</v>
      </c>
      <c r="AU767" t="s">
        <v>129</v>
      </c>
      <c r="AV767" t="s">
        <v>130</v>
      </c>
    </row>
    <row r="768" spans="1:48" x14ac:dyDescent="0.3">
      <c r="A768" t="s">
        <v>2906</v>
      </c>
      <c r="B768" s="12">
        <v>45552</v>
      </c>
      <c r="C768" s="12">
        <v>45559</v>
      </c>
      <c r="D768" t="s">
        <v>2907</v>
      </c>
      <c r="E768" t="s">
        <v>139</v>
      </c>
      <c r="F768" t="s">
        <v>43</v>
      </c>
      <c r="G768" t="s">
        <v>7</v>
      </c>
      <c r="H768" t="s">
        <v>300</v>
      </c>
      <c r="I768" t="s">
        <v>301</v>
      </c>
      <c r="J768" t="s">
        <v>20</v>
      </c>
      <c r="K768" t="s">
        <v>29</v>
      </c>
      <c r="M768" t="s">
        <v>37</v>
      </c>
      <c r="N768">
        <v>9</v>
      </c>
      <c r="O768">
        <v>2307.96</v>
      </c>
      <c r="P768">
        <v>0.2</v>
      </c>
      <c r="Q768">
        <v>0.2</v>
      </c>
      <c r="R768">
        <v>16617.310000000001</v>
      </c>
      <c r="S768">
        <v>9195.73</v>
      </c>
      <c r="T768">
        <v>16617.312000000002</v>
      </c>
      <c r="U768">
        <v>7421.5820000000003</v>
      </c>
      <c r="V768">
        <v>0.44661747940942598</v>
      </c>
      <c r="W768">
        <v>7</v>
      </c>
      <c r="X768" t="s">
        <v>196</v>
      </c>
      <c r="Y768">
        <v>2024</v>
      </c>
      <c r="Z768" t="s">
        <v>129</v>
      </c>
      <c r="AA768" t="s">
        <v>165</v>
      </c>
      <c r="AB768" t="s">
        <v>131</v>
      </c>
      <c r="AC768" t="s">
        <v>131</v>
      </c>
      <c r="AD768" t="s">
        <v>131</v>
      </c>
      <c r="AE768" t="s">
        <v>131</v>
      </c>
      <c r="AF768" t="s">
        <v>131</v>
      </c>
      <c r="AG768" t="s">
        <v>131</v>
      </c>
      <c r="AH768" t="s">
        <v>131</v>
      </c>
      <c r="AI768" t="s">
        <v>133</v>
      </c>
      <c r="AJ768" t="s">
        <v>2908</v>
      </c>
      <c r="AK768" t="s">
        <v>1716</v>
      </c>
      <c r="AL768" t="s">
        <v>139</v>
      </c>
      <c r="AM768" t="s">
        <v>43</v>
      </c>
      <c r="AN768" t="s">
        <v>7</v>
      </c>
      <c r="AO768" t="s">
        <v>300</v>
      </c>
      <c r="AP768" t="s">
        <v>301</v>
      </c>
      <c r="AQ768" t="s">
        <v>20</v>
      </c>
      <c r="AR768" t="s">
        <v>29</v>
      </c>
      <c r="AS768" t="s">
        <v>37</v>
      </c>
      <c r="AT768">
        <v>0.2</v>
      </c>
      <c r="AU768" t="s">
        <v>129</v>
      </c>
      <c r="AV768" t="s">
        <v>165</v>
      </c>
    </row>
    <row r="769" spans="1:48" x14ac:dyDescent="0.3">
      <c r="A769" t="s">
        <v>2909</v>
      </c>
      <c r="B769" s="12">
        <v>45415</v>
      </c>
      <c r="C769" s="12">
        <v>45418</v>
      </c>
      <c r="D769" t="s">
        <v>2910</v>
      </c>
      <c r="E769" t="s">
        <v>162</v>
      </c>
      <c r="F769" t="s">
        <v>41</v>
      </c>
      <c r="G769" t="s">
        <v>9</v>
      </c>
      <c r="H769" t="s">
        <v>249</v>
      </c>
      <c r="I769" t="s">
        <v>250</v>
      </c>
      <c r="J769" t="s">
        <v>20</v>
      </c>
      <c r="K769" t="s">
        <v>28</v>
      </c>
      <c r="M769" t="s">
        <v>35</v>
      </c>
      <c r="N769">
        <v>1</v>
      </c>
      <c r="O769">
        <v>1244.58</v>
      </c>
      <c r="P769">
        <v>0.25</v>
      </c>
      <c r="Q769">
        <v>0.25</v>
      </c>
      <c r="R769">
        <v>933.43</v>
      </c>
      <c r="S769">
        <v>583.09</v>
      </c>
      <c r="T769">
        <v>933.43499999999995</v>
      </c>
      <c r="U769">
        <v>350.34500000000003</v>
      </c>
      <c r="V769">
        <v>0.37532875883162697</v>
      </c>
      <c r="W769">
        <v>3</v>
      </c>
      <c r="X769" t="s">
        <v>173</v>
      </c>
      <c r="Y769">
        <v>2024</v>
      </c>
      <c r="Z769" t="s">
        <v>129</v>
      </c>
      <c r="AA769" t="s">
        <v>130</v>
      </c>
      <c r="AB769" t="s">
        <v>131</v>
      </c>
      <c r="AC769" t="s">
        <v>131</v>
      </c>
      <c r="AD769" t="s">
        <v>131</v>
      </c>
      <c r="AE769" t="s">
        <v>131</v>
      </c>
      <c r="AF769" t="s">
        <v>131</v>
      </c>
      <c r="AG769" t="s">
        <v>131</v>
      </c>
      <c r="AH769" t="s">
        <v>132</v>
      </c>
      <c r="AI769" t="s">
        <v>133</v>
      </c>
      <c r="AJ769" t="s">
        <v>2911</v>
      </c>
      <c r="AK769" t="s">
        <v>2262</v>
      </c>
      <c r="AL769" t="s">
        <v>162</v>
      </c>
      <c r="AM769" t="s">
        <v>41</v>
      </c>
      <c r="AN769" t="s">
        <v>9</v>
      </c>
      <c r="AO769" t="s">
        <v>249</v>
      </c>
      <c r="AP769" t="s">
        <v>250</v>
      </c>
      <c r="AQ769" t="s">
        <v>856</v>
      </c>
      <c r="AR769" t="s">
        <v>28</v>
      </c>
      <c r="AS769" t="s">
        <v>35</v>
      </c>
      <c r="AT769">
        <v>0.25</v>
      </c>
      <c r="AU769" t="s">
        <v>129</v>
      </c>
      <c r="AV769" t="s">
        <v>130</v>
      </c>
    </row>
    <row r="770" spans="1:48" x14ac:dyDescent="0.3">
      <c r="A770" t="s">
        <v>2912</v>
      </c>
      <c r="B770" s="12">
        <v>45749</v>
      </c>
      <c r="C770" s="12">
        <v>45751</v>
      </c>
      <c r="D770" t="s">
        <v>2913</v>
      </c>
      <c r="E770" t="s">
        <v>243</v>
      </c>
      <c r="F770" t="s">
        <v>41</v>
      </c>
      <c r="G770" t="s">
        <v>8</v>
      </c>
      <c r="H770" t="s">
        <v>362</v>
      </c>
      <c r="I770" t="s">
        <v>363</v>
      </c>
      <c r="J770" t="s">
        <v>20</v>
      </c>
      <c r="K770" t="s">
        <v>24</v>
      </c>
      <c r="M770" t="s">
        <v>38</v>
      </c>
      <c r="N770">
        <v>5</v>
      </c>
      <c r="O770">
        <v>3234.24</v>
      </c>
      <c r="P770">
        <v>0.1</v>
      </c>
      <c r="Q770">
        <v>0.1</v>
      </c>
      <c r="R770">
        <v>14554.08</v>
      </c>
      <c r="S770">
        <v>11166.84</v>
      </c>
      <c r="T770">
        <v>14554.08</v>
      </c>
      <c r="U770">
        <v>3387.24</v>
      </c>
      <c r="V770">
        <v>0.23273473830018801</v>
      </c>
      <c r="W770">
        <v>2</v>
      </c>
      <c r="X770" t="s">
        <v>179</v>
      </c>
      <c r="Y770">
        <v>2025</v>
      </c>
      <c r="Z770" t="s">
        <v>129</v>
      </c>
      <c r="AA770" t="s">
        <v>130</v>
      </c>
      <c r="AB770" t="s">
        <v>131</v>
      </c>
      <c r="AC770" t="s">
        <v>131</v>
      </c>
      <c r="AD770" t="s">
        <v>131</v>
      </c>
      <c r="AE770" t="s">
        <v>131</v>
      </c>
      <c r="AF770" t="s">
        <v>131</v>
      </c>
      <c r="AG770" t="s">
        <v>131</v>
      </c>
      <c r="AH770" t="s">
        <v>132</v>
      </c>
      <c r="AI770" t="s">
        <v>133</v>
      </c>
      <c r="AJ770" t="s">
        <v>1562</v>
      </c>
      <c r="AK770" t="s">
        <v>2914</v>
      </c>
      <c r="AL770" t="s">
        <v>243</v>
      </c>
      <c r="AM770" t="s">
        <v>41</v>
      </c>
      <c r="AN770" t="s">
        <v>8</v>
      </c>
      <c r="AO770" t="s">
        <v>362</v>
      </c>
      <c r="AP770" t="s">
        <v>363</v>
      </c>
      <c r="AQ770" t="s">
        <v>20</v>
      </c>
      <c r="AR770" t="s">
        <v>24</v>
      </c>
      <c r="AS770" t="s">
        <v>38</v>
      </c>
      <c r="AT770">
        <v>0.1</v>
      </c>
      <c r="AU770" t="s">
        <v>129</v>
      </c>
      <c r="AV770" t="s">
        <v>130</v>
      </c>
    </row>
    <row r="771" spans="1:48" x14ac:dyDescent="0.3">
      <c r="A771" t="s">
        <v>2915</v>
      </c>
      <c r="B771" s="12">
        <v>45423</v>
      </c>
      <c r="C771" s="12">
        <v>45425</v>
      </c>
      <c r="D771" t="s">
        <v>2916</v>
      </c>
      <c r="E771" t="s">
        <v>221</v>
      </c>
      <c r="F771" t="s">
        <v>41</v>
      </c>
      <c r="G771" t="s">
        <v>7</v>
      </c>
      <c r="H771" t="s">
        <v>311</v>
      </c>
      <c r="I771" t="s">
        <v>312</v>
      </c>
      <c r="J771" t="s">
        <v>18</v>
      </c>
      <c r="K771" t="s">
        <v>26</v>
      </c>
      <c r="M771" t="s">
        <v>38</v>
      </c>
      <c r="N771">
        <v>3</v>
      </c>
      <c r="O771">
        <v>3612.75</v>
      </c>
      <c r="P771">
        <v>0.25</v>
      </c>
      <c r="Q771">
        <v>0.25</v>
      </c>
      <c r="R771">
        <v>8128.69</v>
      </c>
      <c r="S771">
        <v>5071.66</v>
      </c>
      <c r="T771">
        <v>8128.6875</v>
      </c>
      <c r="U771">
        <v>3057.0275000000001</v>
      </c>
      <c r="V771">
        <v>0.376078856518965</v>
      </c>
      <c r="W771">
        <v>2</v>
      </c>
      <c r="X771" t="s">
        <v>173</v>
      </c>
      <c r="Y771">
        <v>2024</v>
      </c>
      <c r="Z771" t="s">
        <v>129</v>
      </c>
      <c r="AA771" t="s">
        <v>130</v>
      </c>
      <c r="AB771" t="s">
        <v>131</v>
      </c>
      <c r="AC771" t="s">
        <v>131</v>
      </c>
      <c r="AD771" t="s">
        <v>131</v>
      </c>
      <c r="AE771" t="s">
        <v>131</v>
      </c>
      <c r="AF771" t="s">
        <v>131</v>
      </c>
      <c r="AG771" t="s">
        <v>131</v>
      </c>
      <c r="AH771" t="s">
        <v>132</v>
      </c>
      <c r="AI771" t="s">
        <v>133</v>
      </c>
      <c r="AJ771" t="s">
        <v>2917</v>
      </c>
      <c r="AK771" t="s">
        <v>1723</v>
      </c>
      <c r="AL771" t="s">
        <v>221</v>
      </c>
      <c r="AM771" t="s">
        <v>41</v>
      </c>
      <c r="AN771" t="s">
        <v>7</v>
      </c>
      <c r="AO771" t="s">
        <v>311</v>
      </c>
      <c r="AP771" t="s">
        <v>312</v>
      </c>
      <c r="AQ771" t="s">
        <v>18</v>
      </c>
      <c r="AR771" t="s">
        <v>26</v>
      </c>
      <c r="AS771" t="s">
        <v>38</v>
      </c>
      <c r="AT771">
        <v>0.25</v>
      </c>
      <c r="AU771" t="s">
        <v>129</v>
      </c>
      <c r="AV771" t="s">
        <v>130</v>
      </c>
    </row>
    <row r="772" spans="1:48" x14ac:dyDescent="0.3">
      <c r="A772" t="s">
        <v>2918</v>
      </c>
      <c r="B772" s="12">
        <v>45337</v>
      </c>
      <c r="C772" s="12">
        <v>45339</v>
      </c>
      <c r="D772" t="s">
        <v>2919</v>
      </c>
      <c r="E772" t="s">
        <v>178</v>
      </c>
      <c r="F772" t="s">
        <v>42</v>
      </c>
      <c r="G772" t="s">
        <v>9</v>
      </c>
      <c r="H772" t="s">
        <v>249</v>
      </c>
      <c r="I772" t="s">
        <v>250</v>
      </c>
      <c r="J772" t="s">
        <v>15</v>
      </c>
      <c r="K772" t="s">
        <v>16</v>
      </c>
      <c r="M772" t="s">
        <v>36</v>
      </c>
      <c r="N772">
        <v>4</v>
      </c>
      <c r="O772">
        <v>863</v>
      </c>
      <c r="Q772">
        <v>0</v>
      </c>
      <c r="R772">
        <v>3106.8</v>
      </c>
      <c r="S772">
        <v>2376.62</v>
      </c>
      <c r="T772">
        <v>3452</v>
      </c>
      <c r="U772">
        <v>1075.3800000000001</v>
      </c>
      <c r="V772">
        <v>0.31152375434530699</v>
      </c>
      <c r="W772">
        <v>2</v>
      </c>
      <c r="X772" t="s">
        <v>186</v>
      </c>
      <c r="Y772">
        <v>2024</v>
      </c>
      <c r="Z772" t="s">
        <v>129</v>
      </c>
      <c r="AA772" t="s">
        <v>130</v>
      </c>
      <c r="AB772" t="s">
        <v>131</v>
      </c>
      <c r="AC772" t="s">
        <v>131</v>
      </c>
      <c r="AD772" t="s">
        <v>132</v>
      </c>
      <c r="AE772" t="s">
        <v>131</v>
      </c>
      <c r="AF772" t="s">
        <v>131</v>
      </c>
      <c r="AG772" t="s">
        <v>131</v>
      </c>
      <c r="AH772" t="s">
        <v>132</v>
      </c>
      <c r="AI772" t="s">
        <v>321</v>
      </c>
      <c r="AJ772" t="s">
        <v>1950</v>
      </c>
      <c r="AK772" t="s">
        <v>2305</v>
      </c>
      <c r="AL772" t="s">
        <v>178</v>
      </c>
      <c r="AM772" t="s">
        <v>42</v>
      </c>
      <c r="AN772" t="s">
        <v>9</v>
      </c>
      <c r="AO772" t="s">
        <v>249</v>
      </c>
      <c r="AP772" t="s">
        <v>250</v>
      </c>
      <c r="AQ772" t="s">
        <v>15</v>
      </c>
      <c r="AR772" t="s">
        <v>16</v>
      </c>
      <c r="AS772" t="s">
        <v>36</v>
      </c>
      <c r="AU772" t="s">
        <v>129</v>
      </c>
      <c r="AV772" t="s">
        <v>130</v>
      </c>
    </row>
    <row r="773" spans="1:48" x14ac:dyDescent="0.3">
      <c r="A773" t="s">
        <v>2920</v>
      </c>
      <c r="B773" s="12">
        <v>45485</v>
      </c>
      <c r="C773" s="12">
        <v>45487</v>
      </c>
      <c r="D773" t="s">
        <v>671</v>
      </c>
      <c r="E773" t="s">
        <v>162</v>
      </c>
      <c r="F773" t="s">
        <v>42</v>
      </c>
      <c r="G773" t="s">
        <v>9</v>
      </c>
      <c r="H773" t="s">
        <v>372</v>
      </c>
      <c r="I773" t="s">
        <v>373</v>
      </c>
      <c r="J773" t="s">
        <v>15</v>
      </c>
      <c r="K773" t="s">
        <v>25</v>
      </c>
      <c r="M773" t="s">
        <v>37</v>
      </c>
      <c r="N773">
        <v>4</v>
      </c>
      <c r="O773">
        <v>2131.41</v>
      </c>
      <c r="Q773">
        <v>0</v>
      </c>
      <c r="R773">
        <v>6394.23</v>
      </c>
      <c r="S773">
        <v>3520.69</v>
      </c>
      <c r="T773">
        <v>8525.64</v>
      </c>
      <c r="U773">
        <v>5004.95</v>
      </c>
      <c r="V773">
        <v>0.58704683753946896</v>
      </c>
      <c r="W773">
        <v>2</v>
      </c>
      <c r="X773" t="s">
        <v>128</v>
      </c>
      <c r="Y773">
        <v>2024</v>
      </c>
      <c r="Z773" t="s">
        <v>129</v>
      </c>
      <c r="AA773" t="s">
        <v>130</v>
      </c>
      <c r="AB773" t="s">
        <v>131</v>
      </c>
      <c r="AC773" t="s">
        <v>131</v>
      </c>
      <c r="AD773" t="s">
        <v>132</v>
      </c>
      <c r="AE773" t="s">
        <v>131</v>
      </c>
      <c r="AF773" t="s">
        <v>131</v>
      </c>
      <c r="AG773" t="s">
        <v>131</v>
      </c>
      <c r="AH773" t="s">
        <v>132</v>
      </c>
      <c r="AI773" t="s">
        <v>321</v>
      </c>
      <c r="AJ773" t="s">
        <v>2921</v>
      </c>
      <c r="AK773" t="s">
        <v>2197</v>
      </c>
      <c r="AL773" t="s">
        <v>162</v>
      </c>
      <c r="AM773" t="s">
        <v>42</v>
      </c>
      <c r="AN773" t="s">
        <v>9</v>
      </c>
      <c r="AO773" t="s">
        <v>372</v>
      </c>
      <c r="AP773" t="s">
        <v>373</v>
      </c>
      <c r="AQ773" t="s">
        <v>15</v>
      </c>
      <c r="AR773" t="s">
        <v>25</v>
      </c>
      <c r="AS773" t="s">
        <v>37</v>
      </c>
      <c r="AU773" t="s">
        <v>129</v>
      </c>
      <c r="AV773" t="s">
        <v>130</v>
      </c>
    </row>
    <row r="774" spans="1:48" x14ac:dyDescent="0.3">
      <c r="A774" t="s">
        <v>2922</v>
      </c>
      <c r="B774" s="12">
        <v>45853</v>
      </c>
      <c r="C774" s="12">
        <v>45857</v>
      </c>
      <c r="D774" t="s">
        <v>2923</v>
      </c>
      <c r="E774" t="s">
        <v>277</v>
      </c>
      <c r="F774" t="s">
        <v>42</v>
      </c>
      <c r="G774" t="s">
        <v>6</v>
      </c>
      <c r="H774" t="s">
        <v>385</v>
      </c>
      <c r="I774" t="s">
        <v>386</v>
      </c>
      <c r="J774" t="s">
        <v>18</v>
      </c>
      <c r="K774" t="s">
        <v>19</v>
      </c>
      <c r="M774" t="s">
        <v>38</v>
      </c>
      <c r="N774">
        <v>1</v>
      </c>
      <c r="O774">
        <v>3903.22</v>
      </c>
      <c r="P774">
        <v>0.05</v>
      </c>
      <c r="Q774">
        <v>0.05</v>
      </c>
      <c r="R774">
        <v>3708.06</v>
      </c>
      <c r="S774">
        <v>2760.29</v>
      </c>
      <c r="T774">
        <v>3708.0590000000002</v>
      </c>
      <c r="U774">
        <v>947.76900000000001</v>
      </c>
      <c r="V774">
        <v>0.25559706574248098</v>
      </c>
      <c r="W774">
        <v>4</v>
      </c>
      <c r="X774" t="s">
        <v>128</v>
      </c>
      <c r="Y774">
        <v>2025</v>
      </c>
      <c r="Z774" t="s">
        <v>215</v>
      </c>
      <c r="AA774" t="s">
        <v>165</v>
      </c>
      <c r="AB774" t="s">
        <v>131</v>
      </c>
      <c r="AC774" t="s">
        <v>131</v>
      </c>
      <c r="AD774" t="s">
        <v>131</v>
      </c>
      <c r="AE774" t="s">
        <v>131</v>
      </c>
      <c r="AF774" t="s">
        <v>131</v>
      </c>
      <c r="AG774" t="s">
        <v>131</v>
      </c>
      <c r="AH774" t="s">
        <v>131</v>
      </c>
      <c r="AI774" t="s">
        <v>133</v>
      </c>
      <c r="AJ774" t="s">
        <v>251</v>
      </c>
      <c r="AK774" t="s">
        <v>1374</v>
      </c>
      <c r="AL774" t="s">
        <v>277</v>
      </c>
      <c r="AM774" t="s">
        <v>42</v>
      </c>
      <c r="AN774" t="s">
        <v>6</v>
      </c>
      <c r="AO774" t="s">
        <v>385</v>
      </c>
      <c r="AP774" t="s">
        <v>386</v>
      </c>
      <c r="AQ774" t="s">
        <v>18</v>
      </c>
      <c r="AR774" t="s">
        <v>19</v>
      </c>
      <c r="AS774" t="s">
        <v>38</v>
      </c>
      <c r="AT774">
        <v>0.05</v>
      </c>
      <c r="AU774" t="s">
        <v>215</v>
      </c>
      <c r="AV774" t="s">
        <v>165</v>
      </c>
    </row>
    <row r="775" spans="1:48" x14ac:dyDescent="0.3">
      <c r="A775" t="s">
        <v>2924</v>
      </c>
      <c r="B775" s="12">
        <v>45709</v>
      </c>
      <c r="C775" s="12">
        <v>45709</v>
      </c>
      <c r="D775" t="s">
        <v>2925</v>
      </c>
      <c r="E775" t="s">
        <v>125</v>
      </c>
      <c r="F775" t="s">
        <v>41</v>
      </c>
      <c r="G775" t="s">
        <v>7</v>
      </c>
      <c r="H775" t="s">
        <v>300</v>
      </c>
      <c r="I775" t="s">
        <v>301</v>
      </c>
      <c r="J775" t="s">
        <v>15</v>
      </c>
      <c r="K775" t="s">
        <v>17</v>
      </c>
      <c r="M775" t="s">
        <v>10</v>
      </c>
      <c r="N775">
        <v>4</v>
      </c>
      <c r="O775">
        <v>2945.07</v>
      </c>
      <c r="P775">
        <v>0.2</v>
      </c>
      <c r="Q775">
        <v>0.2</v>
      </c>
      <c r="R775">
        <v>9424.2199999999993</v>
      </c>
      <c r="S775">
        <v>6178.92</v>
      </c>
      <c r="T775">
        <v>9424.2240000000002</v>
      </c>
      <c r="U775">
        <v>3245.3040000000001</v>
      </c>
      <c r="V775">
        <v>0.34435768929091698</v>
      </c>
      <c r="W775">
        <v>0</v>
      </c>
      <c r="X775" t="s">
        <v>186</v>
      </c>
      <c r="Y775">
        <v>2025</v>
      </c>
      <c r="Z775" t="s">
        <v>129</v>
      </c>
      <c r="AA775" t="s">
        <v>130</v>
      </c>
      <c r="AB775" t="s">
        <v>131</v>
      </c>
      <c r="AC775" t="s">
        <v>132</v>
      </c>
      <c r="AD775" t="s">
        <v>131</v>
      </c>
      <c r="AE775" t="s">
        <v>131</v>
      </c>
      <c r="AF775" t="s">
        <v>131</v>
      </c>
      <c r="AG775" t="s">
        <v>131</v>
      </c>
      <c r="AH775" t="s">
        <v>132</v>
      </c>
      <c r="AI775" t="s">
        <v>321</v>
      </c>
      <c r="AJ775" t="s">
        <v>2926</v>
      </c>
      <c r="AK775" t="s">
        <v>2927</v>
      </c>
      <c r="AL775" t="s">
        <v>125</v>
      </c>
      <c r="AM775" t="s">
        <v>41</v>
      </c>
      <c r="AN775" t="s">
        <v>7</v>
      </c>
      <c r="AO775" t="s">
        <v>300</v>
      </c>
      <c r="AP775" t="s">
        <v>301</v>
      </c>
      <c r="AQ775" t="s">
        <v>15</v>
      </c>
      <c r="AR775" t="s">
        <v>17</v>
      </c>
      <c r="AT775">
        <v>0.2</v>
      </c>
      <c r="AU775" t="s">
        <v>129</v>
      </c>
      <c r="AV775" t="s">
        <v>130</v>
      </c>
    </row>
    <row r="776" spans="1:48" x14ac:dyDescent="0.3">
      <c r="A776" t="s">
        <v>2928</v>
      </c>
      <c r="B776" s="12">
        <v>45876</v>
      </c>
      <c r="C776" s="12">
        <v>45876</v>
      </c>
      <c r="D776" t="s">
        <v>2929</v>
      </c>
      <c r="E776" t="s">
        <v>409</v>
      </c>
      <c r="F776" t="s">
        <v>42</v>
      </c>
      <c r="G776" t="s">
        <v>7</v>
      </c>
      <c r="H776" t="s">
        <v>126</v>
      </c>
      <c r="I776" t="s">
        <v>213</v>
      </c>
      <c r="J776" t="s">
        <v>15</v>
      </c>
      <c r="K776" t="s">
        <v>25</v>
      </c>
      <c r="M776" t="s">
        <v>10</v>
      </c>
      <c r="N776">
        <v>9</v>
      </c>
      <c r="O776">
        <v>1076.75</v>
      </c>
      <c r="P776">
        <v>0.2</v>
      </c>
      <c r="Q776">
        <v>0.2</v>
      </c>
      <c r="R776">
        <v>7752.6</v>
      </c>
      <c r="S776">
        <v>4689.3</v>
      </c>
      <c r="T776">
        <v>7752.6</v>
      </c>
      <c r="U776">
        <v>3063.3</v>
      </c>
      <c r="V776">
        <v>0.39513195573098098</v>
      </c>
      <c r="W776">
        <v>0</v>
      </c>
      <c r="X776" t="s">
        <v>142</v>
      </c>
      <c r="Y776">
        <v>2025</v>
      </c>
      <c r="Z776" t="s">
        <v>129</v>
      </c>
      <c r="AA776" t="s">
        <v>130</v>
      </c>
      <c r="AB776" t="s">
        <v>131</v>
      </c>
      <c r="AC776" t="s">
        <v>132</v>
      </c>
      <c r="AD776" t="s">
        <v>131</v>
      </c>
      <c r="AE776" t="s">
        <v>131</v>
      </c>
      <c r="AF776" t="s">
        <v>131</v>
      </c>
      <c r="AG776" t="s">
        <v>131</v>
      </c>
      <c r="AH776" t="s">
        <v>132</v>
      </c>
      <c r="AI776" t="s">
        <v>321</v>
      </c>
      <c r="AJ776" t="s">
        <v>2930</v>
      </c>
      <c r="AK776" t="s">
        <v>1552</v>
      </c>
      <c r="AL776" t="s">
        <v>409</v>
      </c>
      <c r="AM776" t="s">
        <v>42</v>
      </c>
      <c r="AN776" t="s">
        <v>7</v>
      </c>
      <c r="AO776" t="s">
        <v>126</v>
      </c>
      <c r="AP776" t="s">
        <v>213</v>
      </c>
      <c r="AQ776" t="s">
        <v>15</v>
      </c>
      <c r="AR776" t="s">
        <v>25</v>
      </c>
      <c r="AT776">
        <v>0.2</v>
      </c>
      <c r="AU776" t="s">
        <v>129</v>
      </c>
      <c r="AV776" t="s">
        <v>130</v>
      </c>
    </row>
    <row r="777" spans="1:48" x14ac:dyDescent="0.3">
      <c r="A777" t="s">
        <v>2931</v>
      </c>
      <c r="B777" s="12">
        <v>45396</v>
      </c>
      <c r="C777" s="12">
        <v>45404</v>
      </c>
      <c r="D777" t="s">
        <v>2932</v>
      </c>
      <c r="E777" t="s">
        <v>154</v>
      </c>
      <c r="F777" t="s">
        <v>42</v>
      </c>
      <c r="G777" t="s">
        <v>9</v>
      </c>
      <c r="H777" t="s">
        <v>372</v>
      </c>
      <c r="I777" t="s">
        <v>373</v>
      </c>
      <c r="J777" t="s">
        <v>15</v>
      </c>
      <c r="K777" t="s">
        <v>22</v>
      </c>
      <c r="M777" t="s">
        <v>35</v>
      </c>
      <c r="N777">
        <v>8</v>
      </c>
      <c r="O777">
        <v>3956.12</v>
      </c>
      <c r="P777">
        <v>0.25</v>
      </c>
      <c r="Q777">
        <v>0.25</v>
      </c>
      <c r="R777">
        <v>23736.720000000001</v>
      </c>
      <c r="S777">
        <v>13890.9</v>
      </c>
      <c r="T777">
        <v>23736.720000000001</v>
      </c>
      <c r="U777">
        <v>9845.82</v>
      </c>
      <c r="V777">
        <v>0.41479277676106902</v>
      </c>
      <c r="W777">
        <v>8</v>
      </c>
      <c r="X777" t="s">
        <v>179</v>
      </c>
      <c r="Y777">
        <v>2024</v>
      </c>
      <c r="Z777" t="s">
        <v>129</v>
      </c>
      <c r="AA777" t="s">
        <v>130</v>
      </c>
      <c r="AB777" t="s">
        <v>131</v>
      </c>
      <c r="AC777" t="s">
        <v>131</v>
      </c>
      <c r="AD777" t="s">
        <v>131</v>
      </c>
      <c r="AE777" t="s">
        <v>131</v>
      </c>
      <c r="AF777" t="s">
        <v>131</v>
      </c>
      <c r="AG777" t="s">
        <v>131</v>
      </c>
      <c r="AH777" t="s">
        <v>132</v>
      </c>
      <c r="AI777" t="s">
        <v>133</v>
      </c>
      <c r="AJ777" t="s">
        <v>2933</v>
      </c>
      <c r="AK777" t="s">
        <v>2934</v>
      </c>
      <c r="AL777" t="s">
        <v>154</v>
      </c>
      <c r="AM777" t="s">
        <v>42</v>
      </c>
      <c r="AN777" t="s">
        <v>9</v>
      </c>
      <c r="AO777" t="s">
        <v>372</v>
      </c>
      <c r="AP777" t="s">
        <v>373</v>
      </c>
      <c r="AQ777" t="s">
        <v>15</v>
      </c>
      <c r="AR777" t="s">
        <v>22</v>
      </c>
      <c r="AS777" t="s">
        <v>35</v>
      </c>
      <c r="AT777">
        <v>0.25</v>
      </c>
      <c r="AU777" t="s">
        <v>129</v>
      </c>
      <c r="AV777" t="s">
        <v>130</v>
      </c>
    </row>
    <row r="778" spans="1:48" x14ac:dyDescent="0.3">
      <c r="A778" t="s">
        <v>2935</v>
      </c>
      <c r="B778" s="12">
        <v>45816</v>
      </c>
      <c r="C778" s="12">
        <v>45821</v>
      </c>
      <c r="D778" t="s">
        <v>2936</v>
      </c>
      <c r="E778" t="s">
        <v>191</v>
      </c>
      <c r="F778" t="s">
        <v>44</v>
      </c>
      <c r="G778" t="s">
        <v>9</v>
      </c>
      <c r="H778" t="s">
        <v>126</v>
      </c>
      <c r="I778" t="s">
        <v>127</v>
      </c>
      <c r="J778" t="s">
        <v>15</v>
      </c>
      <c r="K778" t="s">
        <v>16</v>
      </c>
      <c r="M778" t="s">
        <v>37</v>
      </c>
      <c r="N778">
        <v>7</v>
      </c>
      <c r="O778">
        <v>3857.13</v>
      </c>
      <c r="P778">
        <v>0</v>
      </c>
      <c r="Q778">
        <v>0</v>
      </c>
      <c r="R778">
        <v>26999.91</v>
      </c>
      <c r="S778">
        <v>17815.98</v>
      </c>
      <c r="T778">
        <v>26999.91</v>
      </c>
      <c r="U778">
        <v>9183.93</v>
      </c>
      <c r="V778">
        <v>0.34014668937785397</v>
      </c>
      <c r="W778">
        <v>5</v>
      </c>
      <c r="X778" t="s">
        <v>148</v>
      </c>
      <c r="Y778">
        <v>2025</v>
      </c>
      <c r="Z778" t="s">
        <v>129</v>
      </c>
      <c r="AA778" t="s">
        <v>130</v>
      </c>
      <c r="AB778" t="s">
        <v>131</v>
      </c>
      <c r="AC778" t="s">
        <v>131</v>
      </c>
      <c r="AD778" t="s">
        <v>131</v>
      </c>
      <c r="AE778" t="s">
        <v>131</v>
      </c>
      <c r="AF778" t="s">
        <v>131</v>
      </c>
      <c r="AG778" t="s">
        <v>131</v>
      </c>
      <c r="AH778" t="s">
        <v>132</v>
      </c>
      <c r="AI778" t="s">
        <v>133</v>
      </c>
      <c r="AJ778" t="s">
        <v>2937</v>
      </c>
      <c r="AK778" t="s">
        <v>1984</v>
      </c>
      <c r="AL778" t="s">
        <v>191</v>
      </c>
      <c r="AM778" t="s">
        <v>44</v>
      </c>
      <c r="AN778" t="s">
        <v>9</v>
      </c>
      <c r="AO778" t="s">
        <v>126</v>
      </c>
      <c r="AP778" t="s">
        <v>127</v>
      </c>
      <c r="AQ778" t="s">
        <v>15</v>
      </c>
      <c r="AR778" t="s">
        <v>16</v>
      </c>
      <c r="AS778" t="s">
        <v>37</v>
      </c>
      <c r="AT778">
        <v>0</v>
      </c>
      <c r="AU778" t="s">
        <v>129</v>
      </c>
      <c r="AV778" t="s">
        <v>130</v>
      </c>
    </row>
    <row r="779" spans="1:48" x14ac:dyDescent="0.3">
      <c r="A779" t="s">
        <v>2938</v>
      </c>
      <c r="B779" s="12">
        <v>45326</v>
      </c>
      <c r="C779" s="12">
        <v>45328</v>
      </c>
      <c r="D779" t="s">
        <v>2939</v>
      </c>
      <c r="E779" t="s">
        <v>409</v>
      </c>
      <c r="F779" t="s">
        <v>44</v>
      </c>
      <c r="G779" t="s">
        <v>7</v>
      </c>
      <c r="H779" t="s">
        <v>171</v>
      </c>
      <c r="I779" t="s">
        <v>172</v>
      </c>
      <c r="J779" t="s">
        <v>15</v>
      </c>
      <c r="K779" t="s">
        <v>22</v>
      </c>
      <c r="M779" t="s">
        <v>37</v>
      </c>
      <c r="N779">
        <v>4</v>
      </c>
      <c r="O779">
        <v>1489.74</v>
      </c>
      <c r="P779">
        <v>0.15</v>
      </c>
      <c r="Q779">
        <v>0.15</v>
      </c>
      <c r="R779">
        <v>5065.12</v>
      </c>
      <c r="S779">
        <v>3530.12</v>
      </c>
      <c r="T779">
        <v>5065.116</v>
      </c>
      <c r="U779">
        <v>1534.9960000000001</v>
      </c>
      <c r="V779">
        <v>0.30305248685321301</v>
      </c>
      <c r="W779">
        <v>2</v>
      </c>
      <c r="X779" t="s">
        <v>186</v>
      </c>
      <c r="Y779">
        <v>2024</v>
      </c>
      <c r="Z779" t="s">
        <v>269</v>
      </c>
      <c r="AA779" t="s">
        <v>165</v>
      </c>
      <c r="AB779" t="s">
        <v>131</v>
      </c>
      <c r="AC779" t="s">
        <v>131</v>
      </c>
      <c r="AD779" t="s">
        <v>131</v>
      </c>
      <c r="AE779" t="s">
        <v>131</v>
      </c>
      <c r="AF779" t="s">
        <v>131</v>
      </c>
      <c r="AG779" t="s">
        <v>131</v>
      </c>
      <c r="AH779" t="s">
        <v>131</v>
      </c>
      <c r="AI779" t="s">
        <v>133</v>
      </c>
      <c r="AJ779" t="s">
        <v>2940</v>
      </c>
      <c r="AK779" t="s">
        <v>1929</v>
      </c>
      <c r="AL779" t="s">
        <v>409</v>
      </c>
      <c r="AM779" t="s">
        <v>44</v>
      </c>
      <c r="AN779" t="s">
        <v>7</v>
      </c>
      <c r="AO779" t="s">
        <v>171</v>
      </c>
      <c r="AP779" t="s">
        <v>172</v>
      </c>
      <c r="AQ779" t="s">
        <v>15</v>
      </c>
      <c r="AR779" t="s">
        <v>22</v>
      </c>
      <c r="AS779" t="s">
        <v>37</v>
      </c>
      <c r="AT779">
        <v>0.15</v>
      </c>
      <c r="AU779" t="s">
        <v>269</v>
      </c>
      <c r="AV779" t="s">
        <v>165</v>
      </c>
    </row>
    <row r="780" spans="1:48" x14ac:dyDescent="0.3">
      <c r="A780" t="s">
        <v>2941</v>
      </c>
      <c r="B780" s="12">
        <v>45497</v>
      </c>
      <c r="C780" s="12">
        <v>45497</v>
      </c>
      <c r="D780" t="s">
        <v>2942</v>
      </c>
      <c r="E780" t="s">
        <v>125</v>
      </c>
      <c r="F780" t="s">
        <v>44</v>
      </c>
      <c r="G780" t="s">
        <v>9</v>
      </c>
      <c r="H780" t="s">
        <v>372</v>
      </c>
      <c r="I780" t="s">
        <v>373</v>
      </c>
      <c r="J780" t="s">
        <v>15</v>
      </c>
      <c r="K780" t="s">
        <v>16</v>
      </c>
      <c r="M780" t="s">
        <v>37</v>
      </c>
      <c r="N780">
        <v>4</v>
      </c>
      <c r="O780">
        <v>1676.88</v>
      </c>
      <c r="P780">
        <v>0</v>
      </c>
      <c r="Q780">
        <v>0</v>
      </c>
      <c r="R780">
        <v>6707.52</v>
      </c>
      <c r="S780">
        <v>5672.57</v>
      </c>
      <c r="T780">
        <v>6707.52</v>
      </c>
      <c r="U780">
        <v>1034.95</v>
      </c>
      <c r="V780">
        <v>0.15429696817899899</v>
      </c>
      <c r="W780">
        <v>0</v>
      </c>
      <c r="X780" t="s">
        <v>128</v>
      </c>
      <c r="Y780">
        <v>2024</v>
      </c>
      <c r="Z780" t="s">
        <v>129</v>
      </c>
      <c r="AA780" t="s">
        <v>130</v>
      </c>
      <c r="AB780" t="s">
        <v>131</v>
      </c>
      <c r="AC780" t="s">
        <v>131</v>
      </c>
      <c r="AD780" t="s">
        <v>131</v>
      </c>
      <c r="AE780" t="s">
        <v>131</v>
      </c>
      <c r="AF780" t="s">
        <v>131</v>
      </c>
      <c r="AG780" t="s">
        <v>131</v>
      </c>
      <c r="AH780" t="s">
        <v>132</v>
      </c>
      <c r="AI780" t="s">
        <v>133</v>
      </c>
      <c r="AJ780" t="s">
        <v>694</v>
      </c>
      <c r="AK780" t="s">
        <v>2943</v>
      </c>
      <c r="AL780" t="s">
        <v>125</v>
      </c>
      <c r="AM780" t="s">
        <v>44</v>
      </c>
      <c r="AN780" t="s">
        <v>9</v>
      </c>
      <c r="AO780" t="s">
        <v>372</v>
      </c>
      <c r="AP780" t="s">
        <v>373</v>
      </c>
      <c r="AQ780" t="s">
        <v>15</v>
      </c>
      <c r="AR780" t="s">
        <v>16</v>
      </c>
      <c r="AS780" t="s">
        <v>37</v>
      </c>
      <c r="AT780">
        <v>0</v>
      </c>
      <c r="AU780" t="s">
        <v>129</v>
      </c>
      <c r="AV780" t="s">
        <v>130</v>
      </c>
    </row>
    <row r="781" spans="1:48" x14ac:dyDescent="0.3">
      <c r="A781" t="s">
        <v>2944</v>
      </c>
      <c r="B781" s="12">
        <v>45306</v>
      </c>
      <c r="C781" s="12">
        <v>45311</v>
      </c>
      <c r="D781" t="s">
        <v>2945</v>
      </c>
      <c r="E781" t="s">
        <v>221</v>
      </c>
      <c r="F781" t="s">
        <v>44</v>
      </c>
      <c r="G781" t="s">
        <v>6</v>
      </c>
      <c r="H781" t="s">
        <v>184</v>
      </c>
      <c r="I781" t="s">
        <v>185</v>
      </c>
      <c r="J781" t="s">
        <v>18</v>
      </c>
      <c r="K781" t="s">
        <v>19</v>
      </c>
      <c r="M781" t="s">
        <v>35</v>
      </c>
      <c r="N781">
        <v>4</v>
      </c>
      <c r="O781">
        <v>3153.54</v>
      </c>
      <c r="P781">
        <v>0.05</v>
      </c>
      <c r="Q781">
        <v>0.05</v>
      </c>
      <c r="R781">
        <v>11983.45</v>
      </c>
      <c r="S781">
        <v>8572.9</v>
      </c>
      <c r="T781">
        <v>11983.451999999999</v>
      </c>
      <c r="U781">
        <v>3410.5520000000001</v>
      </c>
      <c r="V781">
        <v>0.28460513715079799</v>
      </c>
      <c r="W781">
        <v>5</v>
      </c>
      <c r="X781" t="s">
        <v>244</v>
      </c>
      <c r="Y781">
        <v>2024</v>
      </c>
      <c r="Z781" t="s">
        <v>129</v>
      </c>
      <c r="AA781" t="s">
        <v>130</v>
      </c>
      <c r="AB781" t="s">
        <v>131</v>
      </c>
      <c r="AC781" t="s">
        <v>131</v>
      </c>
      <c r="AD781" t="s">
        <v>131</v>
      </c>
      <c r="AE781" t="s">
        <v>131</v>
      </c>
      <c r="AF781" t="s">
        <v>131</v>
      </c>
      <c r="AG781" t="s">
        <v>131</v>
      </c>
      <c r="AH781" t="s">
        <v>132</v>
      </c>
      <c r="AI781" t="s">
        <v>133</v>
      </c>
      <c r="AJ781" t="s">
        <v>1871</v>
      </c>
      <c r="AK781" t="s">
        <v>2946</v>
      </c>
      <c r="AL781" t="s">
        <v>221</v>
      </c>
      <c r="AM781" t="s">
        <v>44</v>
      </c>
      <c r="AN781" t="s">
        <v>6</v>
      </c>
      <c r="AO781" t="s">
        <v>184</v>
      </c>
      <c r="AP781" t="s">
        <v>185</v>
      </c>
      <c r="AQ781" t="s">
        <v>18</v>
      </c>
      <c r="AR781" t="s">
        <v>19</v>
      </c>
      <c r="AS781" t="s">
        <v>35</v>
      </c>
      <c r="AT781">
        <v>0.05</v>
      </c>
      <c r="AU781" t="s">
        <v>129</v>
      </c>
      <c r="AV781" t="s">
        <v>130</v>
      </c>
    </row>
    <row r="782" spans="1:48" x14ac:dyDescent="0.3">
      <c r="A782" t="s">
        <v>2947</v>
      </c>
      <c r="B782" s="12">
        <v>45508</v>
      </c>
      <c r="C782" s="12">
        <v>45514</v>
      </c>
      <c r="D782" t="s">
        <v>2948</v>
      </c>
      <c r="E782" t="s">
        <v>277</v>
      </c>
      <c r="F782" t="s">
        <v>44</v>
      </c>
      <c r="G782" t="s">
        <v>7</v>
      </c>
      <c r="H782" t="s">
        <v>126</v>
      </c>
      <c r="I782" t="s">
        <v>213</v>
      </c>
      <c r="J782" t="s">
        <v>18</v>
      </c>
      <c r="K782" t="s">
        <v>19</v>
      </c>
      <c r="M782" t="s">
        <v>38</v>
      </c>
      <c r="N782">
        <v>4</v>
      </c>
      <c r="O782">
        <v>426.43</v>
      </c>
      <c r="P782">
        <v>0.2</v>
      </c>
      <c r="Q782">
        <v>0.2</v>
      </c>
      <c r="R782">
        <v>1364.58</v>
      </c>
      <c r="S782">
        <v>978.16</v>
      </c>
      <c r="T782">
        <v>1364.576</v>
      </c>
      <c r="U782">
        <v>386.416</v>
      </c>
      <c r="V782">
        <v>0.283176605773515</v>
      </c>
      <c r="W782">
        <v>6</v>
      </c>
      <c r="X782" t="s">
        <v>142</v>
      </c>
      <c r="Y782">
        <v>2024</v>
      </c>
      <c r="Z782" t="s">
        <v>129</v>
      </c>
      <c r="AA782" t="s">
        <v>130</v>
      </c>
      <c r="AB782" t="s">
        <v>131</v>
      </c>
      <c r="AC782" t="s">
        <v>131</v>
      </c>
      <c r="AD782" t="s">
        <v>131</v>
      </c>
      <c r="AE782" t="s">
        <v>131</v>
      </c>
      <c r="AF782" t="s">
        <v>131</v>
      </c>
      <c r="AG782" t="s">
        <v>131</v>
      </c>
      <c r="AH782" t="s">
        <v>132</v>
      </c>
      <c r="AI782" t="s">
        <v>133</v>
      </c>
      <c r="AJ782" t="s">
        <v>2949</v>
      </c>
      <c r="AK782" t="s">
        <v>2221</v>
      </c>
      <c r="AL782" t="s">
        <v>277</v>
      </c>
      <c r="AM782" t="s">
        <v>44</v>
      </c>
      <c r="AN782" t="s">
        <v>7</v>
      </c>
      <c r="AO782" t="s">
        <v>126</v>
      </c>
      <c r="AP782" t="s">
        <v>213</v>
      </c>
      <c r="AQ782" t="s">
        <v>18</v>
      </c>
      <c r="AR782" t="s">
        <v>19</v>
      </c>
      <c r="AS782" t="s">
        <v>38</v>
      </c>
      <c r="AT782">
        <v>0.2</v>
      </c>
      <c r="AU782" t="s">
        <v>129</v>
      </c>
      <c r="AV782" t="s">
        <v>130</v>
      </c>
    </row>
    <row r="783" spans="1:48" x14ac:dyDescent="0.3">
      <c r="A783" t="s">
        <v>2950</v>
      </c>
      <c r="B783" s="12">
        <v>45324</v>
      </c>
      <c r="C783" s="12">
        <v>45332</v>
      </c>
      <c r="D783" t="s">
        <v>2951</v>
      </c>
      <c r="E783" t="s">
        <v>125</v>
      </c>
      <c r="F783" t="s">
        <v>41</v>
      </c>
      <c r="G783" t="s">
        <v>7</v>
      </c>
      <c r="H783" t="s">
        <v>126</v>
      </c>
      <c r="I783" t="s">
        <v>213</v>
      </c>
      <c r="J783" t="s">
        <v>20</v>
      </c>
      <c r="K783" t="s">
        <v>30</v>
      </c>
      <c r="M783" t="s">
        <v>36</v>
      </c>
      <c r="N783">
        <v>3</v>
      </c>
      <c r="O783">
        <v>383.4</v>
      </c>
      <c r="P783">
        <v>0.25</v>
      </c>
      <c r="Q783">
        <v>0.25</v>
      </c>
      <c r="R783">
        <v>862.65</v>
      </c>
      <c r="S783">
        <v>603.73</v>
      </c>
      <c r="T783">
        <v>862.65</v>
      </c>
      <c r="U783">
        <v>258.92</v>
      </c>
      <c r="V783">
        <v>0.30014490233582602</v>
      </c>
      <c r="W783">
        <v>8</v>
      </c>
      <c r="X783" t="s">
        <v>186</v>
      </c>
      <c r="Y783">
        <v>2024</v>
      </c>
      <c r="Z783" t="s">
        <v>215</v>
      </c>
      <c r="AA783" t="s">
        <v>204</v>
      </c>
      <c r="AB783" t="s">
        <v>131</v>
      </c>
      <c r="AC783" t="s">
        <v>131</v>
      </c>
      <c r="AD783" t="s">
        <v>131</v>
      </c>
      <c r="AE783" t="s">
        <v>131</v>
      </c>
      <c r="AF783" t="s">
        <v>131</v>
      </c>
      <c r="AG783" t="s">
        <v>131</v>
      </c>
      <c r="AH783" t="s">
        <v>131</v>
      </c>
      <c r="AI783" t="s">
        <v>133</v>
      </c>
      <c r="AJ783" t="s">
        <v>2952</v>
      </c>
      <c r="AK783" t="s">
        <v>1811</v>
      </c>
      <c r="AL783" t="s">
        <v>125</v>
      </c>
      <c r="AM783" t="s">
        <v>41</v>
      </c>
      <c r="AN783" t="s">
        <v>7</v>
      </c>
      <c r="AO783" t="s">
        <v>126</v>
      </c>
      <c r="AP783" t="s">
        <v>213</v>
      </c>
      <c r="AQ783" t="s">
        <v>20</v>
      </c>
      <c r="AR783" t="s">
        <v>30</v>
      </c>
      <c r="AS783" t="s">
        <v>36</v>
      </c>
      <c r="AT783">
        <v>0.25</v>
      </c>
      <c r="AU783" t="s">
        <v>215</v>
      </c>
      <c r="AV783" t="s">
        <v>204</v>
      </c>
    </row>
    <row r="784" spans="1:48" x14ac:dyDescent="0.3">
      <c r="A784" t="s">
        <v>2953</v>
      </c>
      <c r="B784" s="12">
        <v>45730</v>
      </c>
      <c r="C784" s="12">
        <v>45738</v>
      </c>
      <c r="D784" t="s">
        <v>2954</v>
      </c>
      <c r="E784" t="s">
        <v>139</v>
      </c>
      <c r="F784" t="s">
        <v>43</v>
      </c>
      <c r="G784" t="s">
        <v>8</v>
      </c>
      <c r="H784" t="s">
        <v>201</v>
      </c>
      <c r="I784" t="s">
        <v>202</v>
      </c>
      <c r="J784" t="s">
        <v>15</v>
      </c>
      <c r="K784" t="s">
        <v>16</v>
      </c>
      <c r="M784" t="s">
        <v>35</v>
      </c>
      <c r="N784">
        <v>2</v>
      </c>
      <c r="O784">
        <v>669.63</v>
      </c>
      <c r="P784">
        <v>0.15</v>
      </c>
      <c r="Q784">
        <v>0.15</v>
      </c>
      <c r="R784">
        <v>1138.3699999999999</v>
      </c>
      <c r="S784">
        <v>797.34</v>
      </c>
      <c r="T784">
        <v>1138.3710000000001</v>
      </c>
      <c r="U784">
        <v>341.03100000000001</v>
      </c>
      <c r="V784">
        <v>0.299578081310926</v>
      </c>
      <c r="W784">
        <v>8</v>
      </c>
      <c r="X784" t="s">
        <v>278</v>
      </c>
      <c r="Y784">
        <v>2025</v>
      </c>
      <c r="Z784" t="s">
        <v>129</v>
      </c>
      <c r="AA784" t="s">
        <v>130</v>
      </c>
      <c r="AB784" t="s">
        <v>131</v>
      </c>
      <c r="AC784" t="s">
        <v>131</v>
      </c>
      <c r="AD784" t="s">
        <v>131</v>
      </c>
      <c r="AE784" t="s">
        <v>131</v>
      </c>
      <c r="AF784" t="s">
        <v>131</v>
      </c>
      <c r="AG784" t="s">
        <v>131</v>
      </c>
      <c r="AH784" t="s">
        <v>132</v>
      </c>
      <c r="AI784" t="s">
        <v>133</v>
      </c>
      <c r="AJ784" t="s">
        <v>1266</v>
      </c>
      <c r="AK784" t="s">
        <v>2955</v>
      </c>
      <c r="AL784" t="s">
        <v>139</v>
      </c>
      <c r="AM784" t="s">
        <v>43</v>
      </c>
      <c r="AN784" t="s">
        <v>8</v>
      </c>
      <c r="AO784" t="s">
        <v>201</v>
      </c>
      <c r="AP784" t="s">
        <v>202</v>
      </c>
      <c r="AQ784" t="s">
        <v>15</v>
      </c>
      <c r="AR784" t="s">
        <v>16</v>
      </c>
      <c r="AS784" t="s">
        <v>35</v>
      </c>
      <c r="AT784">
        <v>0.15</v>
      </c>
      <c r="AU784" t="s">
        <v>129</v>
      </c>
      <c r="AV784" t="s">
        <v>130</v>
      </c>
    </row>
    <row r="785" spans="1:48" x14ac:dyDescent="0.3">
      <c r="A785" t="s">
        <v>2956</v>
      </c>
      <c r="B785" s="12">
        <v>45450</v>
      </c>
      <c r="C785" s="12">
        <v>45450</v>
      </c>
      <c r="D785" t="s">
        <v>2957</v>
      </c>
      <c r="E785" t="s">
        <v>238</v>
      </c>
      <c r="F785" t="s">
        <v>44</v>
      </c>
      <c r="G785" t="s">
        <v>8</v>
      </c>
      <c r="H785" t="s">
        <v>259</v>
      </c>
      <c r="I785" t="s">
        <v>260</v>
      </c>
      <c r="J785" t="s">
        <v>20</v>
      </c>
      <c r="K785" t="s">
        <v>29</v>
      </c>
      <c r="M785" t="s">
        <v>37</v>
      </c>
      <c r="N785">
        <v>1</v>
      </c>
      <c r="O785">
        <v>2581.9299999999998</v>
      </c>
      <c r="P785">
        <v>0.05</v>
      </c>
      <c r="Q785">
        <v>0.05</v>
      </c>
      <c r="R785">
        <v>2452.83</v>
      </c>
      <c r="S785">
        <v>1906.7</v>
      </c>
      <c r="T785">
        <v>2452.8335000000002</v>
      </c>
      <c r="U785">
        <v>546.13350000000003</v>
      </c>
      <c r="V785">
        <v>0.222654126340006</v>
      </c>
      <c r="W785">
        <v>0</v>
      </c>
      <c r="X785" t="s">
        <v>148</v>
      </c>
      <c r="Y785">
        <v>2024</v>
      </c>
      <c r="Z785" t="s">
        <v>129</v>
      </c>
      <c r="AA785" t="s">
        <v>130</v>
      </c>
      <c r="AB785" t="s">
        <v>131</v>
      </c>
      <c r="AC785" t="s">
        <v>131</v>
      </c>
      <c r="AD785" t="s">
        <v>131</v>
      </c>
      <c r="AE785" t="s">
        <v>131</v>
      </c>
      <c r="AF785" t="s">
        <v>131</v>
      </c>
      <c r="AG785" t="s">
        <v>131</v>
      </c>
      <c r="AH785" t="s">
        <v>132</v>
      </c>
      <c r="AI785" t="s">
        <v>133</v>
      </c>
      <c r="AJ785" t="s">
        <v>2958</v>
      </c>
      <c r="AK785" t="s">
        <v>2959</v>
      </c>
      <c r="AL785" t="s">
        <v>238</v>
      </c>
      <c r="AM785" t="s">
        <v>44</v>
      </c>
      <c r="AN785" t="s">
        <v>8</v>
      </c>
      <c r="AO785" t="s">
        <v>259</v>
      </c>
      <c r="AP785" t="s">
        <v>260</v>
      </c>
      <c r="AQ785" t="s">
        <v>20</v>
      </c>
      <c r="AR785" t="s">
        <v>29</v>
      </c>
      <c r="AS785" t="s">
        <v>37</v>
      </c>
      <c r="AT785">
        <v>0.05</v>
      </c>
      <c r="AU785" t="s">
        <v>129</v>
      </c>
      <c r="AV785" t="s">
        <v>130</v>
      </c>
    </row>
    <row r="786" spans="1:48" x14ac:dyDescent="0.3">
      <c r="A786" t="s">
        <v>2960</v>
      </c>
      <c r="B786" s="12">
        <v>45934</v>
      </c>
      <c r="C786" s="12">
        <v>45935</v>
      </c>
      <c r="D786" t="s">
        <v>2961</v>
      </c>
      <c r="E786" t="s">
        <v>221</v>
      </c>
      <c r="F786" t="s">
        <v>43</v>
      </c>
      <c r="G786" t="s">
        <v>9</v>
      </c>
      <c r="H786" t="s">
        <v>232</v>
      </c>
      <c r="I786" t="s">
        <v>233</v>
      </c>
      <c r="J786" t="s">
        <v>15</v>
      </c>
      <c r="K786" t="s">
        <v>16</v>
      </c>
      <c r="M786" t="s">
        <v>36</v>
      </c>
      <c r="N786">
        <v>4</v>
      </c>
      <c r="O786">
        <v>418.18</v>
      </c>
      <c r="P786">
        <v>0.05</v>
      </c>
      <c r="Q786">
        <v>0.05</v>
      </c>
      <c r="R786">
        <v>1589.08</v>
      </c>
      <c r="S786">
        <v>1084.6600000000001</v>
      </c>
      <c r="T786">
        <v>1589.0840000000001</v>
      </c>
      <c r="U786">
        <v>504.42399999999998</v>
      </c>
      <c r="V786">
        <v>0.31743067075120002</v>
      </c>
      <c r="W786">
        <v>1</v>
      </c>
      <c r="X786" t="s">
        <v>222</v>
      </c>
      <c r="Y786">
        <v>2025</v>
      </c>
      <c r="Z786" t="s">
        <v>129</v>
      </c>
      <c r="AA786" t="s">
        <v>130</v>
      </c>
      <c r="AB786" t="s">
        <v>131</v>
      </c>
      <c r="AC786" t="s">
        <v>131</v>
      </c>
      <c r="AD786" t="s">
        <v>131</v>
      </c>
      <c r="AE786" t="s">
        <v>131</v>
      </c>
      <c r="AF786" t="s">
        <v>131</v>
      </c>
      <c r="AG786" t="s">
        <v>131</v>
      </c>
      <c r="AH786" t="s">
        <v>132</v>
      </c>
      <c r="AI786" t="s">
        <v>133</v>
      </c>
      <c r="AJ786" t="s">
        <v>2962</v>
      </c>
      <c r="AK786" t="s">
        <v>2143</v>
      </c>
      <c r="AL786" t="s">
        <v>221</v>
      </c>
      <c r="AM786" t="s">
        <v>43</v>
      </c>
      <c r="AN786" t="s">
        <v>2963</v>
      </c>
      <c r="AO786" t="s">
        <v>232</v>
      </c>
      <c r="AP786" t="s">
        <v>233</v>
      </c>
      <c r="AQ786" t="s">
        <v>15</v>
      </c>
      <c r="AR786" t="s">
        <v>16</v>
      </c>
      <c r="AS786" t="s">
        <v>36</v>
      </c>
      <c r="AT786">
        <v>0.05</v>
      </c>
      <c r="AU786" t="s">
        <v>129</v>
      </c>
      <c r="AV786" t="s">
        <v>130</v>
      </c>
    </row>
    <row r="787" spans="1:48" x14ac:dyDescent="0.3">
      <c r="A787" t="s">
        <v>2964</v>
      </c>
      <c r="B787" s="12">
        <v>45435</v>
      </c>
      <c r="C787" s="12">
        <v>45441</v>
      </c>
      <c r="D787" t="s">
        <v>2965</v>
      </c>
      <c r="E787" t="s">
        <v>277</v>
      </c>
      <c r="F787" t="s">
        <v>44</v>
      </c>
      <c r="G787" t="s">
        <v>9</v>
      </c>
      <c r="H787" t="s">
        <v>372</v>
      </c>
      <c r="I787" t="s">
        <v>373</v>
      </c>
      <c r="J787" t="s">
        <v>20</v>
      </c>
      <c r="K787" t="s">
        <v>21</v>
      </c>
      <c r="M787" t="s">
        <v>38</v>
      </c>
      <c r="N787">
        <v>2</v>
      </c>
      <c r="O787">
        <v>3012.94</v>
      </c>
      <c r="P787">
        <v>0.25</v>
      </c>
      <c r="Q787">
        <v>0.25</v>
      </c>
      <c r="R787">
        <v>4519.41</v>
      </c>
      <c r="S787">
        <v>3504.16</v>
      </c>
      <c r="T787">
        <v>4519.41</v>
      </c>
      <c r="U787">
        <v>1015.25</v>
      </c>
      <c r="V787">
        <v>0.22464215461752801</v>
      </c>
      <c r="W787">
        <v>6</v>
      </c>
      <c r="X787" t="s">
        <v>173</v>
      </c>
      <c r="Y787">
        <v>2024</v>
      </c>
      <c r="Z787" t="s">
        <v>269</v>
      </c>
      <c r="AA787" t="s">
        <v>165</v>
      </c>
      <c r="AB787" t="s">
        <v>131</v>
      </c>
      <c r="AC787" t="s">
        <v>131</v>
      </c>
      <c r="AD787" t="s">
        <v>131</v>
      </c>
      <c r="AE787" t="s">
        <v>131</v>
      </c>
      <c r="AF787" t="s">
        <v>131</v>
      </c>
      <c r="AG787" t="s">
        <v>131</v>
      </c>
      <c r="AH787" t="s">
        <v>131</v>
      </c>
      <c r="AI787" t="s">
        <v>133</v>
      </c>
      <c r="AJ787" t="s">
        <v>2966</v>
      </c>
      <c r="AK787" t="s">
        <v>334</v>
      </c>
      <c r="AL787" t="s">
        <v>277</v>
      </c>
      <c r="AM787" t="s">
        <v>44</v>
      </c>
      <c r="AN787" t="s">
        <v>9</v>
      </c>
      <c r="AO787" t="s">
        <v>372</v>
      </c>
      <c r="AP787" t="s">
        <v>373</v>
      </c>
      <c r="AQ787" t="s">
        <v>20</v>
      </c>
      <c r="AR787" t="s">
        <v>21</v>
      </c>
      <c r="AS787" t="s">
        <v>38</v>
      </c>
      <c r="AT787">
        <v>0.25</v>
      </c>
      <c r="AU787" t="s">
        <v>269</v>
      </c>
      <c r="AV787" t="s">
        <v>165</v>
      </c>
    </row>
    <row r="788" spans="1:48" x14ac:dyDescent="0.3">
      <c r="A788" t="s">
        <v>2967</v>
      </c>
      <c r="B788" s="12">
        <v>45844</v>
      </c>
      <c r="C788" s="12">
        <v>45846</v>
      </c>
      <c r="D788" t="s">
        <v>2968</v>
      </c>
      <c r="E788" t="s">
        <v>162</v>
      </c>
      <c r="F788" t="s">
        <v>43</v>
      </c>
      <c r="G788" t="s">
        <v>9</v>
      </c>
      <c r="H788" t="s">
        <v>126</v>
      </c>
      <c r="I788" t="s">
        <v>127</v>
      </c>
      <c r="J788" t="s">
        <v>18</v>
      </c>
      <c r="K788" t="s">
        <v>23</v>
      </c>
      <c r="M788" t="s">
        <v>10</v>
      </c>
      <c r="N788">
        <v>4</v>
      </c>
      <c r="O788">
        <v>715.45</v>
      </c>
      <c r="P788">
        <v>0.05</v>
      </c>
      <c r="Q788">
        <v>0.05</v>
      </c>
      <c r="R788">
        <v>2718.71</v>
      </c>
      <c r="S788">
        <v>2065.0500000000002</v>
      </c>
      <c r="T788">
        <v>2718.71</v>
      </c>
      <c r="U788">
        <v>653.66</v>
      </c>
      <c r="V788">
        <v>0.24043020403058801</v>
      </c>
      <c r="W788">
        <v>2</v>
      </c>
      <c r="X788" t="s">
        <v>128</v>
      </c>
      <c r="Y788">
        <v>2025</v>
      </c>
      <c r="Z788" t="s">
        <v>203</v>
      </c>
      <c r="AA788" t="s">
        <v>204</v>
      </c>
      <c r="AB788" t="s">
        <v>131</v>
      </c>
      <c r="AC788" t="s">
        <v>132</v>
      </c>
      <c r="AD788" t="s">
        <v>131</v>
      </c>
      <c r="AE788" t="s">
        <v>131</v>
      </c>
      <c r="AF788" t="s">
        <v>131</v>
      </c>
      <c r="AG788" t="s">
        <v>131</v>
      </c>
      <c r="AH788" t="s">
        <v>131</v>
      </c>
      <c r="AI788" t="s">
        <v>321</v>
      </c>
      <c r="AJ788" t="s">
        <v>1138</v>
      </c>
      <c r="AK788" t="s">
        <v>2376</v>
      </c>
      <c r="AL788" t="s">
        <v>162</v>
      </c>
      <c r="AM788" t="s">
        <v>43</v>
      </c>
      <c r="AN788" t="s">
        <v>9</v>
      </c>
      <c r="AO788" t="s">
        <v>126</v>
      </c>
      <c r="AP788" t="s">
        <v>127</v>
      </c>
      <c r="AQ788" t="s">
        <v>18</v>
      </c>
      <c r="AR788" t="s">
        <v>23</v>
      </c>
      <c r="AT788">
        <v>0.05</v>
      </c>
      <c r="AU788" t="s">
        <v>203</v>
      </c>
      <c r="AV788" t="s">
        <v>204</v>
      </c>
    </row>
    <row r="789" spans="1:48" x14ac:dyDescent="0.3">
      <c r="A789" t="s">
        <v>2969</v>
      </c>
      <c r="B789" s="12">
        <v>45547</v>
      </c>
      <c r="C789" s="12">
        <v>45553</v>
      </c>
      <c r="D789" t="s">
        <v>2970</v>
      </c>
      <c r="E789" t="s">
        <v>162</v>
      </c>
      <c r="F789" t="s">
        <v>41</v>
      </c>
      <c r="G789" t="s">
        <v>8</v>
      </c>
      <c r="H789" t="s">
        <v>259</v>
      </c>
      <c r="I789" t="s">
        <v>260</v>
      </c>
      <c r="J789" t="s">
        <v>20</v>
      </c>
      <c r="K789" t="s">
        <v>24</v>
      </c>
      <c r="M789" t="s">
        <v>37</v>
      </c>
      <c r="N789">
        <v>2</v>
      </c>
      <c r="O789">
        <v>3718.77</v>
      </c>
      <c r="P789">
        <v>0.05</v>
      </c>
      <c r="Q789">
        <v>0.05</v>
      </c>
      <c r="R789">
        <v>7065.66</v>
      </c>
      <c r="S789">
        <v>4915.2700000000004</v>
      </c>
      <c r="T789">
        <v>7065.6629999999996</v>
      </c>
      <c r="U789">
        <v>2150.393</v>
      </c>
      <c r="V789">
        <v>0.30434412170521002</v>
      </c>
      <c r="W789">
        <v>6</v>
      </c>
      <c r="X789" t="s">
        <v>196</v>
      </c>
      <c r="Y789">
        <v>2024</v>
      </c>
      <c r="Z789" t="s">
        <v>129</v>
      </c>
      <c r="AA789" t="s">
        <v>130</v>
      </c>
      <c r="AB789" t="s">
        <v>131</v>
      </c>
      <c r="AC789" t="s">
        <v>131</v>
      </c>
      <c r="AD789" t="s">
        <v>131</v>
      </c>
      <c r="AE789" t="s">
        <v>131</v>
      </c>
      <c r="AF789" t="s">
        <v>131</v>
      </c>
      <c r="AG789" t="s">
        <v>131</v>
      </c>
      <c r="AH789" t="s">
        <v>132</v>
      </c>
      <c r="AI789" t="s">
        <v>133</v>
      </c>
      <c r="AJ789" t="s">
        <v>1179</v>
      </c>
      <c r="AK789" t="s">
        <v>2971</v>
      </c>
      <c r="AL789" t="s">
        <v>162</v>
      </c>
      <c r="AM789" t="s">
        <v>41</v>
      </c>
      <c r="AN789" t="s">
        <v>8</v>
      </c>
      <c r="AO789" t="s">
        <v>259</v>
      </c>
      <c r="AP789" t="s">
        <v>260</v>
      </c>
      <c r="AQ789" t="s">
        <v>20</v>
      </c>
      <c r="AR789" t="s">
        <v>24</v>
      </c>
      <c r="AS789" t="s">
        <v>37</v>
      </c>
      <c r="AT789">
        <v>0.05</v>
      </c>
      <c r="AU789" t="s">
        <v>291</v>
      </c>
      <c r="AV789" t="s">
        <v>130</v>
      </c>
    </row>
    <row r="790" spans="1:48" x14ac:dyDescent="0.3">
      <c r="A790" t="s">
        <v>2972</v>
      </c>
      <c r="B790" s="12">
        <v>45505</v>
      </c>
      <c r="C790" s="12">
        <v>45506</v>
      </c>
      <c r="D790" t="s">
        <v>2973</v>
      </c>
      <c r="E790" t="s">
        <v>147</v>
      </c>
      <c r="F790" t="s">
        <v>43</v>
      </c>
      <c r="G790" t="s">
        <v>9</v>
      </c>
      <c r="H790" t="s">
        <v>249</v>
      </c>
      <c r="I790" t="s">
        <v>250</v>
      </c>
      <c r="J790" t="s">
        <v>18</v>
      </c>
      <c r="K790" t="s">
        <v>19</v>
      </c>
      <c r="M790" t="s">
        <v>35</v>
      </c>
      <c r="N790">
        <v>8</v>
      </c>
      <c r="O790">
        <v>2487.64</v>
      </c>
      <c r="P790">
        <v>0.1</v>
      </c>
      <c r="Q790">
        <v>0.1</v>
      </c>
      <c r="R790">
        <v>17911.009999999998</v>
      </c>
      <c r="S790">
        <v>11546.05</v>
      </c>
      <c r="T790">
        <v>17911.008000000002</v>
      </c>
      <c r="U790">
        <v>6364.9579999999996</v>
      </c>
      <c r="V790">
        <v>0.35536570582738802</v>
      </c>
      <c r="W790">
        <v>1</v>
      </c>
      <c r="X790" t="s">
        <v>142</v>
      </c>
      <c r="Y790">
        <v>2024</v>
      </c>
      <c r="Z790" t="s">
        <v>269</v>
      </c>
      <c r="AA790" t="s">
        <v>204</v>
      </c>
      <c r="AB790" t="s">
        <v>131</v>
      </c>
      <c r="AC790" t="s">
        <v>131</v>
      </c>
      <c r="AD790" t="s">
        <v>131</v>
      </c>
      <c r="AE790" t="s">
        <v>131</v>
      </c>
      <c r="AF790" t="s">
        <v>131</v>
      </c>
      <c r="AG790" t="s">
        <v>131</v>
      </c>
      <c r="AH790" t="s">
        <v>131</v>
      </c>
      <c r="AI790" t="s">
        <v>133</v>
      </c>
      <c r="AJ790" t="s">
        <v>1160</v>
      </c>
      <c r="AK790" t="s">
        <v>551</v>
      </c>
      <c r="AL790" t="s">
        <v>147</v>
      </c>
      <c r="AM790" t="s">
        <v>43</v>
      </c>
      <c r="AN790" t="s">
        <v>9</v>
      </c>
      <c r="AO790" t="s">
        <v>249</v>
      </c>
      <c r="AP790" t="s">
        <v>250</v>
      </c>
      <c r="AQ790" t="s">
        <v>18</v>
      </c>
      <c r="AR790" t="s">
        <v>19</v>
      </c>
      <c r="AS790" t="s">
        <v>35</v>
      </c>
      <c r="AT790">
        <v>0.1</v>
      </c>
      <c r="AU790" t="s">
        <v>269</v>
      </c>
      <c r="AV790" t="s">
        <v>204</v>
      </c>
    </row>
    <row r="791" spans="1:48" x14ac:dyDescent="0.3">
      <c r="A791" t="s">
        <v>2974</v>
      </c>
      <c r="B791" s="12">
        <v>45723</v>
      </c>
      <c r="C791" s="12">
        <v>45724</v>
      </c>
      <c r="D791" t="s">
        <v>2975</v>
      </c>
      <c r="E791" t="s">
        <v>221</v>
      </c>
      <c r="F791" t="s">
        <v>41</v>
      </c>
      <c r="G791" t="s">
        <v>10</v>
      </c>
      <c r="H791" t="s">
        <v>126</v>
      </c>
      <c r="I791" t="s">
        <v>213</v>
      </c>
      <c r="J791" t="s">
        <v>15</v>
      </c>
      <c r="K791" t="s">
        <v>16</v>
      </c>
      <c r="M791" t="s">
        <v>38</v>
      </c>
      <c r="N791">
        <v>4</v>
      </c>
      <c r="O791">
        <v>3537.48</v>
      </c>
      <c r="P791">
        <v>0</v>
      </c>
      <c r="Q791">
        <v>0</v>
      </c>
      <c r="R791">
        <v>14149.92</v>
      </c>
      <c r="S791">
        <v>9466.51</v>
      </c>
      <c r="T791">
        <v>14149.92</v>
      </c>
      <c r="U791">
        <v>4683.41</v>
      </c>
      <c r="V791">
        <v>0.33098491016203602</v>
      </c>
      <c r="W791">
        <v>1</v>
      </c>
      <c r="X791" t="s">
        <v>278</v>
      </c>
      <c r="Y791">
        <v>2025</v>
      </c>
      <c r="Z791" t="s">
        <v>129</v>
      </c>
      <c r="AA791" t="s">
        <v>130</v>
      </c>
      <c r="AB791" t="s">
        <v>132</v>
      </c>
      <c r="AC791" t="s">
        <v>131</v>
      </c>
      <c r="AD791" t="s">
        <v>131</v>
      </c>
      <c r="AE791" t="s">
        <v>131</v>
      </c>
      <c r="AF791" t="s">
        <v>131</v>
      </c>
      <c r="AG791" t="s">
        <v>131</v>
      </c>
      <c r="AH791" t="s">
        <v>132</v>
      </c>
      <c r="AI791" t="s">
        <v>321</v>
      </c>
      <c r="AJ791" t="s">
        <v>2976</v>
      </c>
      <c r="AK791" t="s">
        <v>1963</v>
      </c>
      <c r="AL791" t="s">
        <v>221</v>
      </c>
      <c r="AM791" t="s">
        <v>41</v>
      </c>
      <c r="AO791" t="s">
        <v>126</v>
      </c>
      <c r="AP791" t="s">
        <v>213</v>
      </c>
      <c r="AQ791" t="s">
        <v>15</v>
      </c>
      <c r="AR791" t="s">
        <v>16</v>
      </c>
      <c r="AS791" t="s">
        <v>38</v>
      </c>
      <c r="AT791">
        <v>0</v>
      </c>
      <c r="AU791" t="s">
        <v>129</v>
      </c>
      <c r="AV791" t="s">
        <v>130</v>
      </c>
    </row>
    <row r="792" spans="1:48" x14ac:dyDescent="0.3">
      <c r="A792" t="s">
        <v>2977</v>
      </c>
      <c r="B792" s="12">
        <v>45443</v>
      </c>
      <c r="C792" s="12">
        <v>45445</v>
      </c>
      <c r="D792" t="s">
        <v>2978</v>
      </c>
      <c r="E792" t="s">
        <v>227</v>
      </c>
      <c r="F792" t="s">
        <v>43</v>
      </c>
      <c r="G792" t="s">
        <v>6</v>
      </c>
      <c r="H792" t="s">
        <v>184</v>
      </c>
      <c r="I792" t="s">
        <v>185</v>
      </c>
      <c r="J792" t="s">
        <v>20</v>
      </c>
      <c r="K792" t="s">
        <v>29</v>
      </c>
      <c r="M792" t="s">
        <v>35</v>
      </c>
      <c r="N792">
        <v>8</v>
      </c>
      <c r="O792">
        <v>667.59</v>
      </c>
      <c r="P792">
        <v>0.2</v>
      </c>
      <c r="Q792">
        <v>0.2</v>
      </c>
      <c r="R792">
        <v>4272.58</v>
      </c>
      <c r="S792">
        <v>3328.92</v>
      </c>
      <c r="T792">
        <v>4272.576</v>
      </c>
      <c r="U792">
        <v>943.65599999999995</v>
      </c>
      <c r="V792">
        <v>0.220863479081472</v>
      </c>
      <c r="W792">
        <v>2</v>
      </c>
      <c r="X792" t="s">
        <v>173</v>
      </c>
      <c r="Y792">
        <v>2024</v>
      </c>
      <c r="Z792" t="s">
        <v>129</v>
      </c>
      <c r="AA792" t="s">
        <v>130</v>
      </c>
      <c r="AB792" t="s">
        <v>131</v>
      </c>
      <c r="AC792" t="s">
        <v>131</v>
      </c>
      <c r="AD792" t="s">
        <v>131</v>
      </c>
      <c r="AE792" t="s">
        <v>131</v>
      </c>
      <c r="AF792" t="s">
        <v>131</v>
      </c>
      <c r="AG792" t="s">
        <v>131</v>
      </c>
      <c r="AH792" t="s">
        <v>132</v>
      </c>
      <c r="AI792" t="s">
        <v>133</v>
      </c>
      <c r="AJ792" t="s">
        <v>2979</v>
      </c>
      <c r="AK792" t="s">
        <v>2980</v>
      </c>
      <c r="AL792" t="s">
        <v>227</v>
      </c>
      <c r="AM792" t="s">
        <v>43</v>
      </c>
      <c r="AN792" t="s">
        <v>6</v>
      </c>
      <c r="AO792" t="s">
        <v>184</v>
      </c>
      <c r="AP792" t="s">
        <v>185</v>
      </c>
      <c r="AQ792" t="s">
        <v>20</v>
      </c>
      <c r="AR792" t="s">
        <v>29</v>
      </c>
      <c r="AS792" t="s">
        <v>35</v>
      </c>
      <c r="AT792">
        <v>0.2</v>
      </c>
      <c r="AU792" t="s">
        <v>129</v>
      </c>
      <c r="AV792" t="s">
        <v>130</v>
      </c>
    </row>
    <row r="793" spans="1:48" x14ac:dyDescent="0.3">
      <c r="A793" t="s">
        <v>2981</v>
      </c>
      <c r="B793" s="12">
        <v>45567</v>
      </c>
      <c r="C793" s="12">
        <v>45571</v>
      </c>
      <c r="D793" t="s">
        <v>2982</v>
      </c>
      <c r="E793" t="s">
        <v>227</v>
      </c>
      <c r="F793" t="s">
        <v>41</v>
      </c>
      <c r="G793" t="s">
        <v>6</v>
      </c>
      <c r="H793" t="s">
        <v>294</v>
      </c>
      <c r="I793" t="s">
        <v>295</v>
      </c>
      <c r="J793" t="s">
        <v>18</v>
      </c>
      <c r="K793" t="s">
        <v>26</v>
      </c>
      <c r="M793" t="s">
        <v>38</v>
      </c>
      <c r="N793">
        <v>8</v>
      </c>
      <c r="O793">
        <v>1558.77</v>
      </c>
      <c r="P793">
        <v>0.25</v>
      </c>
      <c r="Q793">
        <v>0.25</v>
      </c>
      <c r="R793">
        <v>9352.6200000000008</v>
      </c>
      <c r="S793">
        <v>5269.41</v>
      </c>
      <c r="T793">
        <v>9352.6200000000008</v>
      </c>
      <c r="U793">
        <v>4083.21</v>
      </c>
      <c r="V793">
        <v>0.43658461479243199</v>
      </c>
      <c r="W793">
        <v>4</v>
      </c>
      <c r="X793" t="s">
        <v>222</v>
      </c>
      <c r="Y793">
        <v>2024</v>
      </c>
      <c r="Z793" t="s">
        <v>129</v>
      </c>
      <c r="AA793" t="s">
        <v>130</v>
      </c>
      <c r="AB793" t="s">
        <v>131</v>
      </c>
      <c r="AC793" t="s">
        <v>131</v>
      </c>
      <c r="AD793" t="s">
        <v>131</v>
      </c>
      <c r="AE793" t="s">
        <v>131</v>
      </c>
      <c r="AF793" t="s">
        <v>131</v>
      </c>
      <c r="AG793" t="s">
        <v>131</v>
      </c>
      <c r="AH793" t="s">
        <v>132</v>
      </c>
      <c r="AI793" t="s">
        <v>133</v>
      </c>
      <c r="AJ793" t="s">
        <v>2498</v>
      </c>
      <c r="AK793" t="s">
        <v>2983</v>
      </c>
      <c r="AL793" t="s">
        <v>227</v>
      </c>
      <c r="AM793" t="s">
        <v>41</v>
      </c>
      <c r="AN793" t="s">
        <v>6</v>
      </c>
      <c r="AO793" t="s">
        <v>294</v>
      </c>
      <c r="AP793" t="s">
        <v>295</v>
      </c>
      <c r="AQ793" t="s">
        <v>18</v>
      </c>
      <c r="AR793" t="s">
        <v>26</v>
      </c>
      <c r="AS793" t="s">
        <v>38</v>
      </c>
      <c r="AT793">
        <v>0.25</v>
      </c>
      <c r="AU793" t="s">
        <v>129</v>
      </c>
      <c r="AV793" t="s">
        <v>130</v>
      </c>
    </row>
    <row r="794" spans="1:48" x14ac:dyDescent="0.3">
      <c r="A794" t="s">
        <v>2984</v>
      </c>
      <c r="B794" s="12">
        <v>45812</v>
      </c>
      <c r="C794" s="12">
        <v>45816</v>
      </c>
      <c r="D794" t="s">
        <v>2985</v>
      </c>
      <c r="E794" t="s">
        <v>154</v>
      </c>
      <c r="F794" t="s">
        <v>44</v>
      </c>
      <c r="G794" t="s">
        <v>8</v>
      </c>
      <c r="H794" t="s">
        <v>283</v>
      </c>
      <c r="I794" t="s">
        <v>284</v>
      </c>
      <c r="J794" t="s">
        <v>18</v>
      </c>
      <c r="K794" t="s">
        <v>23</v>
      </c>
      <c r="M794" t="s">
        <v>37</v>
      </c>
      <c r="N794">
        <v>1</v>
      </c>
      <c r="O794">
        <v>3501.12</v>
      </c>
      <c r="P794">
        <v>0.2</v>
      </c>
      <c r="Q794">
        <v>0.2</v>
      </c>
      <c r="R794">
        <v>2800.9</v>
      </c>
      <c r="S794">
        <v>1735.98</v>
      </c>
      <c r="T794">
        <v>2800.8960000000002</v>
      </c>
      <c r="U794">
        <v>1064.9159999999999</v>
      </c>
      <c r="V794">
        <v>0.380205477104469</v>
      </c>
      <c r="W794">
        <v>4</v>
      </c>
      <c r="X794" t="s">
        <v>148</v>
      </c>
      <c r="Y794">
        <v>2025</v>
      </c>
      <c r="Z794" t="s">
        <v>129</v>
      </c>
      <c r="AA794" t="s">
        <v>204</v>
      </c>
      <c r="AB794" t="s">
        <v>131</v>
      </c>
      <c r="AC794" t="s">
        <v>131</v>
      </c>
      <c r="AD794" t="s">
        <v>131</v>
      </c>
      <c r="AE794" t="s">
        <v>131</v>
      </c>
      <c r="AF794" t="s">
        <v>131</v>
      </c>
      <c r="AG794" t="s">
        <v>131</v>
      </c>
      <c r="AH794" t="s">
        <v>131</v>
      </c>
      <c r="AI794" t="s">
        <v>133</v>
      </c>
      <c r="AJ794" t="s">
        <v>1106</v>
      </c>
      <c r="AK794" t="s">
        <v>2986</v>
      </c>
      <c r="AL794" t="s">
        <v>154</v>
      </c>
      <c r="AM794" t="s">
        <v>44</v>
      </c>
      <c r="AN794" t="s">
        <v>8</v>
      </c>
      <c r="AO794" t="s">
        <v>283</v>
      </c>
      <c r="AP794" t="s">
        <v>284</v>
      </c>
      <c r="AQ794" t="s">
        <v>18</v>
      </c>
      <c r="AR794" t="s">
        <v>23</v>
      </c>
      <c r="AS794" t="s">
        <v>37</v>
      </c>
      <c r="AT794">
        <v>0.2</v>
      </c>
      <c r="AU794" t="s">
        <v>129</v>
      </c>
      <c r="AV794" t="s">
        <v>204</v>
      </c>
    </row>
    <row r="795" spans="1:48" x14ac:dyDescent="0.3">
      <c r="A795" t="s">
        <v>2987</v>
      </c>
      <c r="B795" s="12">
        <v>45440</v>
      </c>
      <c r="C795" s="12">
        <v>45446</v>
      </c>
      <c r="D795" t="s">
        <v>2988</v>
      </c>
      <c r="E795" t="s">
        <v>170</v>
      </c>
      <c r="F795" t="s">
        <v>43</v>
      </c>
      <c r="G795" t="s">
        <v>9</v>
      </c>
      <c r="H795" t="s">
        <v>126</v>
      </c>
      <c r="I795" t="s">
        <v>127</v>
      </c>
      <c r="J795" t="s">
        <v>15</v>
      </c>
      <c r="K795" t="s">
        <v>16</v>
      </c>
      <c r="M795" t="s">
        <v>37</v>
      </c>
      <c r="N795">
        <v>5</v>
      </c>
      <c r="O795">
        <v>4302.32</v>
      </c>
      <c r="P795">
        <v>0</v>
      </c>
      <c r="Q795">
        <v>0</v>
      </c>
      <c r="R795">
        <v>21511.599999999999</v>
      </c>
      <c r="S795">
        <v>15408.47</v>
      </c>
      <c r="T795">
        <v>21511.599999999999</v>
      </c>
      <c r="U795">
        <v>6103.13</v>
      </c>
      <c r="V795">
        <v>0.28371343833094698</v>
      </c>
      <c r="W795">
        <v>6</v>
      </c>
      <c r="X795" t="s">
        <v>173</v>
      </c>
      <c r="Y795">
        <v>2024</v>
      </c>
      <c r="Z795" t="s">
        <v>129</v>
      </c>
      <c r="AA795" t="s">
        <v>130</v>
      </c>
      <c r="AB795" t="s">
        <v>131</v>
      </c>
      <c r="AC795" t="s">
        <v>131</v>
      </c>
      <c r="AD795" t="s">
        <v>131</v>
      </c>
      <c r="AE795" t="s">
        <v>131</v>
      </c>
      <c r="AF795" t="s">
        <v>131</v>
      </c>
      <c r="AG795" t="s">
        <v>131</v>
      </c>
      <c r="AH795" t="s">
        <v>132</v>
      </c>
      <c r="AI795" t="s">
        <v>133</v>
      </c>
      <c r="AJ795" t="s">
        <v>175</v>
      </c>
      <c r="AK795" t="s">
        <v>2989</v>
      </c>
      <c r="AL795" t="s">
        <v>170</v>
      </c>
      <c r="AM795" t="s">
        <v>43</v>
      </c>
      <c r="AN795" t="s">
        <v>9</v>
      </c>
      <c r="AO795" t="s">
        <v>126</v>
      </c>
      <c r="AP795" t="s">
        <v>127</v>
      </c>
      <c r="AQ795" t="s">
        <v>15</v>
      </c>
      <c r="AR795" t="s">
        <v>16</v>
      </c>
      <c r="AS795" t="s">
        <v>37</v>
      </c>
      <c r="AT795">
        <v>0</v>
      </c>
      <c r="AU795" t="s">
        <v>129</v>
      </c>
      <c r="AV795" t="s">
        <v>130</v>
      </c>
    </row>
    <row r="796" spans="1:48" x14ac:dyDescent="0.3">
      <c r="A796" t="s">
        <v>2990</v>
      </c>
      <c r="B796" s="12">
        <v>45830</v>
      </c>
      <c r="C796" s="12">
        <v>45832</v>
      </c>
      <c r="D796" t="s">
        <v>2991</v>
      </c>
      <c r="E796" t="s">
        <v>243</v>
      </c>
      <c r="F796" t="s">
        <v>43</v>
      </c>
      <c r="G796" t="s">
        <v>8</v>
      </c>
      <c r="H796" t="s">
        <v>283</v>
      </c>
      <c r="I796" t="s">
        <v>284</v>
      </c>
      <c r="J796" t="s">
        <v>20</v>
      </c>
      <c r="K796" t="s">
        <v>24</v>
      </c>
      <c r="M796" t="s">
        <v>35</v>
      </c>
      <c r="N796">
        <v>9</v>
      </c>
      <c r="O796">
        <v>951.55</v>
      </c>
      <c r="P796">
        <v>0.15</v>
      </c>
      <c r="Q796">
        <v>0.15</v>
      </c>
      <c r="R796">
        <v>7279.36</v>
      </c>
      <c r="S796">
        <v>4870.3900000000003</v>
      </c>
      <c r="T796">
        <v>7279.3575000000001</v>
      </c>
      <c r="U796">
        <v>2408.9675000000002</v>
      </c>
      <c r="V796">
        <v>0.33093133562955201</v>
      </c>
      <c r="W796">
        <v>2</v>
      </c>
      <c r="X796" t="s">
        <v>148</v>
      </c>
      <c r="Y796">
        <v>2025</v>
      </c>
      <c r="Z796" t="s">
        <v>129</v>
      </c>
      <c r="AA796" t="s">
        <v>130</v>
      </c>
      <c r="AB796" t="s">
        <v>131</v>
      </c>
      <c r="AC796" t="s">
        <v>131</v>
      </c>
      <c r="AD796" t="s">
        <v>131</v>
      </c>
      <c r="AE796" t="s">
        <v>131</v>
      </c>
      <c r="AF796" t="s">
        <v>131</v>
      </c>
      <c r="AG796" t="s">
        <v>131</v>
      </c>
      <c r="AH796" t="s">
        <v>132</v>
      </c>
      <c r="AI796" t="s">
        <v>133</v>
      </c>
      <c r="AJ796" t="s">
        <v>2992</v>
      </c>
      <c r="AK796" t="s">
        <v>918</v>
      </c>
      <c r="AL796" t="s">
        <v>243</v>
      </c>
      <c r="AM796" t="s">
        <v>43</v>
      </c>
      <c r="AN796" t="s">
        <v>8</v>
      </c>
      <c r="AO796" t="s">
        <v>283</v>
      </c>
      <c r="AP796" t="s">
        <v>284</v>
      </c>
      <c r="AQ796" t="s">
        <v>20</v>
      </c>
      <c r="AR796" t="s">
        <v>24</v>
      </c>
      <c r="AS796" t="s">
        <v>35</v>
      </c>
      <c r="AT796">
        <v>0.15</v>
      </c>
      <c r="AU796" t="s">
        <v>129</v>
      </c>
      <c r="AV796" t="s">
        <v>130</v>
      </c>
    </row>
    <row r="797" spans="1:48" x14ac:dyDescent="0.3">
      <c r="A797" t="s">
        <v>2993</v>
      </c>
      <c r="B797" s="12">
        <v>45503</v>
      </c>
      <c r="C797" s="12">
        <v>45503</v>
      </c>
      <c r="D797" t="s">
        <v>2994</v>
      </c>
      <c r="E797" t="s">
        <v>277</v>
      </c>
      <c r="F797" t="s">
        <v>41</v>
      </c>
      <c r="G797" t="s">
        <v>8</v>
      </c>
      <c r="H797" t="s">
        <v>140</v>
      </c>
      <c r="I797" t="s">
        <v>141</v>
      </c>
      <c r="J797" t="s">
        <v>15</v>
      </c>
      <c r="K797" t="s">
        <v>16</v>
      </c>
      <c r="M797" t="s">
        <v>38</v>
      </c>
      <c r="N797">
        <v>9</v>
      </c>
      <c r="O797">
        <v>2894.66</v>
      </c>
      <c r="P797">
        <v>0</v>
      </c>
      <c r="Q797">
        <v>0</v>
      </c>
      <c r="R797">
        <v>26051.94</v>
      </c>
      <c r="S797">
        <v>16883.59</v>
      </c>
      <c r="T797">
        <v>26051.94</v>
      </c>
      <c r="U797">
        <v>9168.35</v>
      </c>
      <c r="V797">
        <v>0.35192580667696899</v>
      </c>
      <c r="W797">
        <v>0</v>
      </c>
      <c r="X797" t="s">
        <v>128</v>
      </c>
      <c r="Y797">
        <v>2024</v>
      </c>
      <c r="Z797" t="s">
        <v>203</v>
      </c>
      <c r="AA797" t="s">
        <v>165</v>
      </c>
      <c r="AB797" t="s">
        <v>131</v>
      </c>
      <c r="AC797" t="s">
        <v>131</v>
      </c>
      <c r="AD797" t="s">
        <v>131</v>
      </c>
      <c r="AE797" t="s">
        <v>131</v>
      </c>
      <c r="AF797" t="s">
        <v>131</v>
      </c>
      <c r="AG797" t="s">
        <v>131</v>
      </c>
      <c r="AH797" t="s">
        <v>131</v>
      </c>
      <c r="AI797" t="s">
        <v>133</v>
      </c>
      <c r="AJ797" t="s">
        <v>2995</v>
      </c>
      <c r="AK797" t="s">
        <v>544</v>
      </c>
      <c r="AL797" t="s">
        <v>277</v>
      </c>
      <c r="AM797" t="s">
        <v>41</v>
      </c>
      <c r="AN797" t="s">
        <v>8</v>
      </c>
      <c r="AO797" t="s">
        <v>140</v>
      </c>
      <c r="AP797" t="s">
        <v>141</v>
      </c>
      <c r="AQ797" t="s">
        <v>15</v>
      </c>
      <c r="AR797" t="s">
        <v>16</v>
      </c>
      <c r="AS797" t="s">
        <v>38</v>
      </c>
      <c r="AT797">
        <v>0</v>
      </c>
      <c r="AU797" t="s">
        <v>203</v>
      </c>
      <c r="AV797" t="s">
        <v>165</v>
      </c>
    </row>
    <row r="798" spans="1:48" x14ac:dyDescent="0.3">
      <c r="A798" t="s">
        <v>2996</v>
      </c>
      <c r="B798" s="12">
        <v>45374</v>
      </c>
      <c r="C798" s="12">
        <v>45381</v>
      </c>
      <c r="D798" t="s">
        <v>2997</v>
      </c>
      <c r="E798" t="s">
        <v>255</v>
      </c>
      <c r="F798" t="s">
        <v>44</v>
      </c>
      <c r="G798" t="s">
        <v>6</v>
      </c>
      <c r="H798" t="s">
        <v>184</v>
      </c>
      <c r="I798" t="s">
        <v>185</v>
      </c>
      <c r="J798" t="s">
        <v>15</v>
      </c>
      <c r="K798" t="s">
        <v>25</v>
      </c>
      <c r="M798" t="s">
        <v>36</v>
      </c>
      <c r="N798">
        <v>6</v>
      </c>
      <c r="O798">
        <v>1894.44</v>
      </c>
      <c r="P798">
        <v>0.15</v>
      </c>
      <c r="Q798">
        <v>0.15</v>
      </c>
      <c r="R798">
        <v>9661.64</v>
      </c>
      <c r="S798">
        <v>6303.77</v>
      </c>
      <c r="T798">
        <v>9661.6440000000002</v>
      </c>
      <c r="U798">
        <v>3357.8739999999998</v>
      </c>
      <c r="V798">
        <v>0.34754685641491201</v>
      </c>
      <c r="W798">
        <v>7</v>
      </c>
      <c r="X798" t="s">
        <v>278</v>
      </c>
      <c r="Y798">
        <v>2024</v>
      </c>
      <c r="Z798" t="s">
        <v>129</v>
      </c>
      <c r="AA798" t="s">
        <v>130</v>
      </c>
      <c r="AB798" t="s">
        <v>131</v>
      </c>
      <c r="AC798" t="s">
        <v>131</v>
      </c>
      <c r="AD798" t="s">
        <v>131</v>
      </c>
      <c r="AE798" t="s">
        <v>131</v>
      </c>
      <c r="AF798" t="s">
        <v>131</v>
      </c>
      <c r="AG798" t="s">
        <v>131</v>
      </c>
      <c r="AH798" t="s">
        <v>132</v>
      </c>
      <c r="AI798" t="s">
        <v>133</v>
      </c>
      <c r="AJ798" t="s">
        <v>760</v>
      </c>
      <c r="AK798" t="s">
        <v>2998</v>
      </c>
      <c r="AL798" t="s">
        <v>255</v>
      </c>
      <c r="AM798" t="s">
        <v>44</v>
      </c>
      <c r="AN798" t="s">
        <v>6</v>
      </c>
      <c r="AO798" t="s">
        <v>184</v>
      </c>
      <c r="AP798" t="s">
        <v>185</v>
      </c>
      <c r="AQ798" t="s">
        <v>15</v>
      </c>
      <c r="AR798" t="s">
        <v>25</v>
      </c>
      <c r="AS798" t="s">
        <v>36</v>
      </c>
      <c r="AT798">
        <v>0.15</v>
      </c>
      <c r="AU798" t="s">
        <v>129</v>
      </c>
      <c r="AV798" t="s">
        <v>130</v>
      </c>
    </row>
    <row r="799" spans="1:48" x14ac:dyDescent="0.3">
      <c r="A799" t="s">
        <v>2999</v>
      </c>
      <c r="B799" s="12">
        <v>45400</v>
      </c>
      <c r="C799" s="12">
        <v>45404</v>
      </c>
      <c r="D799" t="s">
        <v>3000</v>
      </c>
      <c r="E799" t="s">
        <v>238</v>
      </c>
      <c r="F799" t="s">
        <v>42</v>
      </c>
      <c r="G799" t="s">
        <v>8</v>
      </c>
      <c r="H799" t="s">
        <v>140</v>
      </c>
      <c r="I799" t="s">
        <v>141</v>
      </c>
      <c r="J799" t="s">
        <v>20</v>
      </c>
      <c r="K799" t="s">
        <v>28</v>
      </c>
      <c r="M799" t="s">
        <v>36</v>
      </c>
      <c r="N799">
        <v>8</v>
      </c>
      <c r="O799">
        <v>1714.37</v>
      </c>
      <c r="P799">
        <v>0</v>
      </c>
      <c r="Q799">
        <v>0</v>
      </c>
      <c r="R799">
        <v>13714.96</v>
      </c>
      <c r="S799">
        <v>10550.47</v>
      </c>
      <c r="T799">
        <v>13714.96</v>
      </c>
      <c r="U799">
        <v>3164.49</v>
      </c>
      <c r="V799">
        <v>0.23073271814135801</v>
      </c>
      <c r="W799">
        <v>4</v>
      </c>
      <c r="X799" t="s">
        <v>179</v>
      </c>
      <c r="Y799">
        <v>2024</v>
      </c>
      <c r="Z799" t="s">
        <v>269</v>
      </c>
      <c r="AA799" t="s">
        <v>165</v>
      </c>
      <c r="AB799" t="s">
        <v>131</v>
      </c>
      <c r="AC799" t="s">
        <v>131</v>
      </c>
      <c r="AD799" t="s">
        <v>131</v>
      </c>
      <c r="AE799" t="s">
        <v>131</v>
      </c>
      <c r="AF799" t="s">
        <v>131</v>
      </c>
      <c r="AG799" t="s">
        <v>131</v>
      </c>
      <c r="AH799" t="s">
        <v>131</v>
      </c>
      <c r="AI799" t="s">
        <v>133</v>
      </c>
      <c r="AJ799" t="s">
        <v>3001</v>
      </c>
      <c r="AK799" t="s">
        <v>2934</v>
      </c>
      <c r="AL799" t="s">
        <v>238</v>
      </c>
      <c r="AM799" t="s">
        <v>42</v>
      </c>
      <c r="AN799" t="s">
        <v>8</v>
      </c>
      <c r="AO799" t="s">
        <v>140</v>
      </c>
      <c r="AP799" t="s">
        <v>141</v>
      </c>
      <c r="AQ799" t="s">
        <v>20</v>
      </c>
      <c r="AR799" t="s">
        <v>28</v>
      </c>
      <c r="AS799" t="s">
        <v>36</v>
      </c>
      <c r="AT799">
        <v>0</v>
      </c>
      <c r="AU799" t="s">
        <v>269</v>
      </c>
      <c r="AV799" t="s">
        <v>165</v>
      </c>
    </row>
    <row r="800" spans="1:48" x14ac:dyDescent="0.3">
      <c r="A800" t="s">
        <v>3002</v>
      </c>
      <c r="B800" s="12">
        <v>45849</v>
      </c>
      <c r="C800" s="12">
        <v>45847</v>
      </c>
      <c r="D800" t="s">
        <v>3003</v>
      </c>
      <c r="E800" t="s">
        <v>191</v>
      </c>
      <c r="F800" t="s">
        <v>43</v>
      </c>
      <c r="G800" t="s">
        <v>9</v>
      </c>
      <c r="H800" t="s">
        <v>522</v>
      </c>
      <c r="I800" t="s">
        <v>523</v>
      </c>
      <c r="J800" t="s">
        <v>18</v>
      </c>
      <c r="K800" t="s">
        <v>23</v>
      </c>
      <c r="M800" t="s">
        <v>35</v>
      </c>
      <c r="N800">
        <v>9</v>
      </c>
      <c r="O800">
        <v>1706.05</v>
      </c>
      <c r="P800">
        <v>0</v>
      </c>
      <c r="Q800">
        <v>0</v>
      </c>
      <c r="R800">
        <v>15354.45</v>
      </c>
      <c r="S800">
        <v>9656.5</v>
      </c>
      <c r="T800">
        <v>15354.45</v>
      </c>
      <c r="U800">
        <v>5697.95</v>
      </c>
      <c r="V800">
        <v>0.371094373292433</v>
      </c>
      <c r="W800">
        <v>-2</v>
      </c>
      <c r="X800" t="s">
        <v>128</v>
      </c>
      <c r="Y800">
        <v>2025</v>
      </c>
      <c r="Z800" t="s">
        <v>129</v>
      </c>
      <c r="AA800" t="s">
        <v>130</v>
      </c>
      <c r="AB800" t="s">
        <v>131</v>
      </c>
      <c r="AC800" t="s">
        <v>131</v>
      </c>
      <c r="AD800" t="s">
        <v>131</v>
      </c>
      <c r="AE800" t="s">
        <v>132</v>
      </c>
      <c r="AF800" t="s">
        <v>131</v>
      </c>
      <c r="AG800" t="s">
        <v>131</v>
      </c>
      <c r="AH800" t="s">
        <v>132</v>
      </c>
      <c r="AI800" t="s">
        <v>149</v>
      </c>
      <c r="AJ800" t="s">
        <v>3004</v>
      </c>
      <c r="AK800" t="s">
        <v>3005</v>
      </c>
      <c r="AL800" t="s">
        <v>191</v>
      </c>
      <c r="AM800" t="s">
        <v>43</v>
      </c>
      <c r="AN800" t="s">
        <v>9</v>
      </c>
      <c r="AO800" t="s">
        <v>522</v>
      </c>
      <c r="AP800" t="s">
        <v>523</v>
      </c>
      <c r="AQ800" t="s">
        <v>18</v>
      </c>
      <c r="AR800" t="s">
        <v>23</v>
      </c>
      <c r="AS800" t="s">
        <v>35</v>
      </c>
      <c r="AT800">
        <v>0</v>
      </c>
      <c r="AU800" t="s">
        <v>129</v>
      </c>
      <c r="AV800" t="s">
        <v>130</v>
      </c>
    </row>
    <row r="801" spans="1:48" x14ac:dyDescent="0.3">
      <c r="A801" t="s">
        <v>3006</v>
      </c>
      <c r="B801" s="12">
        <v>45575</v>
      </c>
      <c r="C801" s="12">
        <v>45582</v>
      </c>
      <c r="D801" t="s">
        <v>3007</v>
      </c>
      <c r="E801" t="s">
        <v>147</v>
      </c>
      <c r="F801" t="s">
        <v>41</v>
      </c>
      <c r="G801" t="s">
        <v>9</v>
      </c>
      <c r="H801" t="s">
        <v>372</v>
      </c>
      <c r="I801" t="s">
        <v>373</v>
      </c>
      <c r="J801" t="s">
        <v>15</v>
      </c>
      <c r="K801" t="s">
        <v>22</v>
      </c>
      <c r="M801" t="s">
        <v>10</v>
      </c>
      <c r="N801">
        <v>5</v>
      </c>
      <c r="O801">
        <v>967.41</v>
      </c>
      <c r="P801">
        <v>0.05</v>
      </c>
      <c r="Q801">
        <v>0.05</v>
      </c>
      <c r="R801">
        <v>4595.2</v>
      </c>
      <c r="S801">
        <v>3887.41</v>
      </c>
      <c r="T801">
        <v>4595.1975000000002</v>
      </c>
      <c r="U801">
        <v>707.78750000000002</v>
      </c>
      <c r="V801">
        <v>0.15402765604742799</v>
      </c>
      <c r="W801">
        <v>7</v>
      </c>
      <c r="X801" t="s">
        <v>222</v>
      </c>
      <c r="Y801">
        <v>2024</v>
      </c>
      <c r="Z801" t="s">
        <v>129</v>
      </c>
      <c r="AA801" t="s">
        <v>204</v>
      </c>
      <c r="AB801" t="s">
        <v>131</v>
      </c>
      <c r="AC801" t="s">
        <v>132</v>
      </c>
      <c r="AD801" t="s">
        <v>131</v>
      </c>
      <c r="AE801" t="s">
        <v>131</v>
      </c>
      <c r="AF801" t="s">
        <v>131</v>
      </c>
      <c r="AG801" t="s">
        <v>131</v>
      </c>
      <c r="AH801" t="s">
        <v>131</v>
      </c>
      <c r="AI801" t="s">
        <v>321</v>
      </c>
      <c r="AJ801" t="s">
        <v>2767</v>
      </c>
      <c r="AK801" t="s">
        <v>2135</v>
      </c>
      <c r="AL801" t="s">
        <v>147</v>
      </c>
      <c r="AM801" t="s">
        <v>41</v>
      </c>
      <c r="AN801" t="s">
        <v>9</v>
      </c>
      <c r="AO801" t="s">
        <v>372</v>
      </c>
      <c r="AP801" t="s">
        <v>373</v>
      </c>
      <c r="AQ801" t="s">
        <v>15</v>
      </c>
      <c r="AR801" t="s">
        <v>22</v>
      </c>
      <c r="AT801">
        <v>0.05</v>
      </c>
      <c r="AU801" t="s">
        <v>129</v>
      </c>
      <c r="AV801" t="s">
        <v>204</v>
      </c>
    </row>
    <row r="802" spans="1:48" x14ac:dyDescent="0.3">
      <c r="A802" t="s">
        <v>3008</v>
      </c>
      <c r="B802" s="12">
        <v>45352</v>
      </c>
      <c r="C802" s="12">
        <v>45358</v>
      </c>
      <c r="D802" t="s">
        <v>3009</v>
      </c>
      <c r="E802" t="s">
        <v>170</v>
      </c>
      <c r="F802" t="s">
        <v>44</v>
      </c>
      <c r="G802" t="s">
        <v>7</v>
      </c>
      <c r="H802" t="s">
        <v>163</v>
      </c>
      <c r="I802" t="s">
        <v>164</v>
      </c>
      <c r="J802" t="s">
        <v>20</v>
      </c>
      <c r="K802" t="s">
        <v>21</v>
      </c>
      <c r="M802" t="s">
        <v>37</v>
      </c>
      <c r="N802">
        <v>6</v>
      </c>
      <c r="O802">
        <v>4163.72</v>
      </c>
      <c r="P802">
        <v>0.15</v>
      </c>
      <c r="Q802">
        <v>0.15</v>
      </c>
      <c r="R802">
        <v>21234.97</v>
      </c>
      <c r="S802">
        <v>16736.09</v>
      </c>
      <c r="T802">
        <v>21234.972000000002</v>
      </c>
      <c r="U802">
        <v>4498.8819999999996</v>
      </c>
      <c r="V802">
        <v>0.21186192286950001</v>
      </c>
      <c r="W802">
        <v>6</v>
      </c>
      <c r="X802" t="s">
        <v>278</v>
      </c>
      <c r="Y802">
        <v>2024</v>
      </c>
      <c r="Z802" t="s">
        <v>129</v>
      </c>
      <c r="AA802" t="s">
        <v>130</v>
      </c>
      <c r="AB802" t="s">
        <v>131</v>
      </c>
      <c r="AC802" t="s">
        <v>131</v>
      </c>
      <c r="AD802" t="s">
        <v>131</v>
      </c>
      <c r="AE802" t="s">
        <v>131</v>
      </c>
      <c r="AF802" t="s">
        <v>131</v>
      </c>
      <c r="AG802" t="s">
        <v>131</v>
      </c>
      <c r="AH802" t="s">
        <v>132</v>
      </c>
      <c r="AI802" t="s">
        <v>133</v>
      </c>
      <c r="AJ802" t="s">
        <v>3010</v>
      </c>
      <c r="AK802" t="s">
        <v>3011</v>
      </c>
      <c r="AL802" t="s">
        <v>170</v>
      </c>
      <c r="AM802" t="s">
        <v>44</v>
      </c>
      <c r="AN802" t="s">
        <v>7</v>
      </c>
      <c r="AO802" t="s">
        <v>163</v>
      </c>
      <c r="AP802" t="s">
        <v>164</v>
      </c>
      <c r="AQ802" t="s">
        <v>20</v>
      </c>
      <c r="AR802" t="s">
        <v>21</v>
      </c>
      <c r="AS802" t="s">
        <v>37</v>
      </c>
      <c r="AT802">
        <v>0.15</v>
      </c>
      <c r="AU802" t="s">
        <v>129</v>
      </c>
      <c r="AV802" t="s">
        <v>130</v>
      </c>
    </row>
    <row r="803" spans="1:48" x14ac:dyDescent="0.3">
      <c r="A803" t="s">
        <v>3012</v>
      </c>
      <c r="B803" s="12">
        <v>45938</v>
      </c>
      <c r="C803" s="12">
        <v>45945</v>
      </c>
      <c r="D803" t="s">
        <v>3013</v>
      </c>
      <c r="E803" t="s">
        <v>238</v>
      </c>
      <c r="F803" t="s">
        <v>41</v>
      </c>
      <c r="G803" t="s">
        <v>8</v>
      </c>
      <c r="H803" t="s">
        <v>140</v>
      </c>
      <c r="I803" t="s">
        <v>141</v>
      </c>
      <c r="J803" t="s">
        <v>15</v>
      </c>
      <c r="K803" t="s">
        <v>22</v>
      </c>
      <c r="M803" t="s">
        <v>37</v>
      </c>
      <c r="N803">
        <v>3</v>
      </c>
      <c r="O803">
        <v>3372.21</v>
      </c>
      <c r="P803">
        <v>0.2</v>
      </c>
      <c r="Q803">
        <v>0.2</v>
      </c>
      <c r="R803">
        <v>8093.3</v>
      </c>
      <c r="S803">
        <v>6052.43</v>
      </c>
      <c r="T803">
        <v>8093.3040000000001</v>
      </c>
      <c r="U803">
        <v>2040.874</v>
      </c>
      <c r="V803">
        <v>0.25216821214179003</v>
      </c>
      <c r="W803">
        <v>7</v>
      </c>
      <c r="X803" t="s">
        <v>222</v>
      </c>
      <c r="Y803">
        <v>2025</v>
      </c>
      <c r="Z803" t="s">
        <v>215</v>
      </c>
      <c r="AA803" t="s">
        <v>165</v>
      </c>
      <c r="AB803" t="s">
        <v>131</v>
      </c>
      <c r="AC803" t="s">
        <v>131</v>
      </c>
      <c r="AD803" t="s">
        <v>131</v>
      </c>
      <c r="AE803" t="s">
        <v>131</v>
      </c>
      <c r="AF803" t="s">
        <v>131</v>
      </c>
      <c r="AG803" t="s">
        <v>131</v>
      </c>
      <c r="AH803" t="s">
        <v>131</v>
      </c>
      <c r="AI803" t="s">
        <v>133</v>
      </c>
      <c r="AJ803" t="s">
        <v>3014</v>
      </c>
      <c r="AK803" t="s">
        <v>365</v>
      </c>
      <c r="AL803" t="s">
        <v>238</v>
      </c>
      <c r="AM803" t="s">
        <v>41</v>
      </c>
      <c r="AN803" t="s">
        <v>8</v>
      </c>
      <c r="AO803" t="s">
        <v>140</v>
      </c>
      <c r="AP803" t="s">
        <v>141</v>
      </c>
      <c r="AQ803" t="s">
        <v>15</v>
      </c>
      <c r="AR803" t="s">
        <v>22</v>
      </c>
      <c r="AS803" t="s">
        <v>37</v>
      </c>
      <c r="AT803">
        <v>0.2</v>
      </c>
      <c r="AU803" t="s">
        <v>215</v>
      </c>
      <c r="AV803" t="s">
        <v>165</v>
      </c>
    </row>
    <row r="804" spans="1:48" x14ac:dyDescent="0.3">
      <c r="A804" t="s">
        <v>3015</v>
      </c>
      <c r="B804" s="12">
        <v>45704</v>
      </c>
      <c r="C804" s="12">
        <v>45704</v>
      </c>
      <c r="D804" t="s">
        <v>3016</v>
      </c>
      <c r="E804" t="s">
        <v>255</v>
      </c>
      <c r="F804" t="s">
        <v>44</v>
      </c>
      <c r="G804" t="s">
        <v>8</v>
      </c>
      <c r="H804" t="s">
        <v>283</v>
      </c>
      <c r="I804" t="s">
        <v>284</v>
      </c>
      <c r="J804" t="s">
        <v>18</v>
      </c>
      <c r="K804" t="s">
        <v>23</v>
      </c>
      <c r="M804" t="s">
        <v>37</v>
      </c>
      <c r="N804">
        <v>6</v>
      </c>
      <c r="O804">
        <v>1441.91</v>
      </c>
      <c r="P804">
        <v>0</v>
      </c>
      <c r="Q804">
        <v>0</v>
      </c>
      <c r="R804">
        <v>8651.4599999999991</v>
      </c>
      <c r="S804">
        <v>5254.62</v>
      </c>
      <c r="T804">
        <v>8651.4599999999991</v>
      </c>
      <c r="U804">
        <v>3396.84</v>
      </c>
      <c r="V804">
        <v>0.392631995062105</v>
      </c>
      <c r="W804">
        <v>0</v>
      </c>
      <c r="X804" t="s">
        <v>186</v>
      </c>
      <c r="Y804">
        <v>2025</v>
      </c>
      <c r="Z804" t="s">
        <v>269</v>
      </c>
      <c r="AA804" t="s">
        <v>204</v>
      </c>
      <c r="AB804" t="s">
        <v>131</v>
      </c>
      <c r="AC804" t="s">
        <v>131</v>
      </c>
      <c r="AD804" t="s">
        <v>131</v>
      </c>
      <c r="AE804" t="s">
        <v>131</v>
      </c>
      <c r="AF804" t="s">
        <v>131</v>
      </c>
      <c r="AG804" t="s">
        <v>131</v>
      </c>
      <c r="AH804" t="s">
        <v>131</v>
      </c>
      <c r="AI804" t="s">
        <v>133</v>
      </c>
      <c r="AJ804" t="s">
        <v>2621</v>
      </c>
      <c r="AK804" t="s">
        <v>3017</v>
      </c>
      <c r="AL804" t="s">
        <v>255</v>
      </c>
      <c r="AM804" t="s">
        <v>44</v>
      </c>
      <c r="AN804" t="s">
        <v>8</v>
      </c>
      <c r="AO804" t="s">
        <v>283</v>
      </c>
      <c r="AP804" t="s">
        <v>284</v>
      </c>
      <c r="AQ804" t="s">
        <v>18</v>
      </c>
      <c r="AR804" t="s">
        <v>23</v>
      </c>
      <c r="AS804" t="s">
        <v>37</v>
      </c>
      <c r="AT804">
        <v>0</v>
      </c>
      <c r="AU804" t="s">
        <v>3018</v>
      </c>
      <c r="AV804" t="s">
        <v>204</v>
      </c>
    </row>
    <row r="805" spans="1:48" x14ac:dyDescent="0.3">
      <c r="A805" t="s">
        <v>3019</v>
      </c>
      <c r="B805" s="12">
        <v>45635</v>
      </c>
      <c r="C805" s="12">
        <v>45639</v>
      </c>
      <c r="D805" t="s">
        <v>3020</v>
      </c>
      <c r="E805" t="s">
        <v>255</v>
      </c>
      <c r="F805" t="s">
        <v>42</v>
      </c>
      <c r="G805" t="s">
        <v>10</v>
      </c>
      <c r="H805" t="s">
        <v>362</v>
      </c>
      <c r="I805" t="s">
        <v>363</v>
      </c>
      <c r="J805" t="s">
        <v>20</v>
      </c>
      <c r="K805" t="s">
        <v>30</v>
      </c>
      <c r="M805" t="s">
        <v>36</v>
      </c>
      <c r="N805">
        <v>1</v>
      </c>
      <c r="O805">
        <v>4306.6499999999996</v>
      </c>
      <c r="P805">
        <v>0</v>
      </c>
      <c r="Q805">
        <v>0</v>
      </c>
      <c r="R805">
        <v>4306.6499999999996</v>
      </c>
      <c r="S805">
        <v>2568.8200000000002</v>
      </c>
      <c r="T805">
        <v>4306.6499999999996</v>
      </c>
      <c r="U805">
        <v>1737.83</v>
      </c>
      <c r="V805">
        <v>0.40352245945224202</v>
      </c>
      <c r="W805">
        <v>4</v>
      </c>
      <c r="X805" t="s">
        <v>214</v>
      </c>
      <c r="Y805">
        <v>2024</v>
      </c>
      <c r="Z805" t="s">
        <v>129</v>
      </c>
      <c r="AA805" t="s">
        <v>130</v>
      </c>
      <c r="AB805" t="s">
        <v>132</v>
      </c>
      <c r="AC805" t="s">
        <v>131</v>
      </c>
      <c r="AD805" t="s">
        <v>131</v>
      </c>
      <c r="AE805" t="s">
        <v>131</v>
      </c>
      <c r="AF805" t="s">
        <v>131</v>
      </c>
      <c r="AG805" t="s">
        <v>131</v>
      </c>
      <c r="AH805" t="s">
        <v>132</v>
      </c>
      <c r="AI805" t="s">
        <v>321</v>
      </c>
      <c r="AJ805" t="s">
        <v>3021</v>
      </c>
      <c r="AK805" t="s">
        <v>709</v>
      </c>
      <c r="AL805" t="s">
        <v>255</v>
      </c>
      <c r="AM805" t="s">
        <v>42</v>
      </c>
      <c r="AO805" t="s">
        <v>362</v>
      </c>
      <c r="AP805" t="s">
        <v>363</v>
      </c>
      <c r="AQ805" t="s">
        <v>20</v>
      </c>
      <c r="AR805" t="s">
        <v>30</v>
      </c>
      <c r="AS805" t="s">
        <v>36</v>
      </c>
      <c r="AT805">
        <v>0</v>
      </c>
      <c r="AU805" t="s">
        <v>129</v>
      </c>
      <c r="AV805" t="s">
        <v>130</v>
      </c>
    </row>
    <row r="806" spans="1:48" x14ac:dyDescent="0.3">
      <c r="A806" t="s">
        <v>3022</v>
      </c>
      <c r="B806" s="12">
        <v>45910</v>
      </c>
      <c r="C806" s="12">
        <v>45918</v>
      </c>
      <c r="D806" t="s">
        <v>3023</v>
      </c>
      <c r="E806" t="s">
        <v>227</v>
      </c>
      <c r="F806" t="s">
        <v>41</v>
      </c>
      <c r="G806" t="s">
        <v>6</v>
      </c>
      <c r="H806" t="s">
        <v>155</v>
      </c>
      <c r="I806" t="s">
        <v>156</v>
      </c>
      <c r="J806" t="s">
        <v>18</v>
      </c>
      <c r="K806" t="s">
        <v>23</v>
      </c>
      <c r="M806" t="s">
        <v>35</v>
      </c>
      <c r="N806">
        <v>1</v>
      </c>
      <c r="O806">
        <v>2050.62</v>
      </c>
      <c r="P806">
        <v>0.05</v>
      </c>
      <c r="Q806">
        <v>0.05</v>
      </c>
      <c r="R806">
        <v>1948.09</v>
      </c>
      <c r="S806">
        <v>1507.08</v>
      </c>
      <c r="T806">
        <v>1948.0889999999999</v>
      </c>
      <c r="U806">
        <v>441.00900000000001</v>
      </c>
      <c r="V806">
        <v>0.22638031424642299</v>
      </c>
      <c r="W806">
        <v>8</v>
      </c>
      <c r="X806" t="s">
        <v>196</v>
      </c>
      <c r="Y806">
        <v>2025</v>
      </c>
      <c r="Z806" t="s">
        <v>129</v>
      </c>
      <c r="AA806" t="s">
        <v>130</v>
      </c>
      <c r="AB806" t="s">
        <v>131</v>
      </c>
      <c r="AC806" t="s">
        <v>131</v>
      </c>
      <c r="AD806" t="s">
        <v>131</v>
      </c>
      <c r="AE806" t="s">
        <v>131</v>
      </c>
      <c r="AF806" t="s">
        <v>131</v>
      </c>
      <c r="AG806" t="s">
        <v>131</v>
      </c>
      <c r="AH806" t="s">
        <v>132</v>
      </c>
      <c r="AI806" t="s">
        <v>133</v>
      </c>
      <c r="AJ806" t="s">
        <v>913</v>
      </c>
      <c r="AK806" t="s">
        <v>1864</v>
      </c>
      <c r="AL806" t="s">
        <v>227</v>
      </c>
      <c r="AM806" t="s">
        <v>41</v>
      </c>
      <c r="AN806" t="s">
        <v>6</v>
      </c>
      <c r="AO806" t="s">
        <v>155</v>
      </c>
      <c r="AP806" t="s">
        <v>156</v>
      </c>
      <c r="AQ806" t="s">
        <v>18</v>
      </c>
      <c r="AR806" t="s">
        <v>23</v>
      </c>
      <c r="AS806" t="s">
        <v>35</v>
      </c>
      <c r="AT806">
        <v>0.05</v>
      </c>
      <c r="AU806" t="s">
        <v>129</v>
      </c>
      <c r="AV806" t="s">
        <v>130</v>
      </c>
    </row>
    <row r="807" spans="1:48" x14ac:dyDescent="0.3">
      <c r="A807" t="s">
        <v>3024</v>
      </c>
      <c r="B807" s="12">
        <v>45753</v>
      </c>
      <c r="C807" s="12">
        <v>45754</v>
      </c>
      <c r="D807" t="s">
        <v>2884</v>
      </c>
      <c r="E807" t="s">
        <v>221</v>
      </c>
      <c r="F807" t="s">
        <v>41</v>
      </c>
      <c r="G807" t="s">
        <v>8</v>
      </c>
      <c r="H807" t="s">
        <v>283</v>
      </c>
      <c r="I807" t="s">
        <v>284</v>
      </c>
      <c r="J807" t="s">
        <v>20</v>
      </c>
      <c r="K807" t="s">
        <v>28</v>
      </c>
      <c r="M807" t="s">
        <v>37</v>
      </c>
      <c r="N807">
        <v>2</v>
      </c>
      <c r="O807">
        <v>2030.06</v>
      </c>
      <c r="P807">
        <v>0.25</v>
      </c>
      <c r="Q807">
        <v>0.25</v>
      </c>
      <c r="R807">
        <v>3045.09</v>
      </c>
      <c r="S807">
        <v>2601.09</v>
      </c>
      <c r="T807">
        <v>3045.09</v>
      </c>
      <c r="U807">
        <v>444</v>
      </c>
      <c r="V807">
        <v>0.14580849827098699</v>
      </c>
      <c r="W807">
        <v>1</v>
      </c>
      <c r="X807" t="s">
        <v>179</v>
      </c>
      <c r="Y807">
        <v>2025</v>
      </c>
      <c r="Z807" t="s">
        <v>129</v>
      </c>
      <c r="AA807" t="s">
        <v>130</v>
      </c>
      <c r="AB807" t="s">
        <v>131</v>
      </c>
      <c r="AC807" t="s">
        <v>131</v>
      </c>
      <c r="AD807" t="s">
        <v>131</v>
      </c>
      <c r="AE807" t="s">
        <v>131</v>
      </c>
      <c r="AF807" t="s">
        <v>131</v>
      </c>
      <c r="AG807" t="s">
        <v>131</v>
      </c>
      <c r="AH807" t="s">
        <v>132</v>
      </c>
      <c r="AI807" t="s">
        <v>133</v>
      </c>
      <c r="AJ807" t="s">
        <v>1173</v>
      </c>
      <c r="AK807" t="s">
        <v>971</v>
      </c>
      <c r="AL807" t="s">
        <v>221</v>
      </c>
      <c r="AM807" t="s">
        <v>41</v>
      </c>
      <c r="AN807" t="s">
        <v>8</v>
      </c>
      <c r="AO807" t="s">
        <v>283</v>
      </c>
      <c r="AP807" t="s">
        <v>284</v>
      </c>
      <c r="AQ807" t="s">
        <v>20</v>
      </c>
      <c r="AR807" t="s">
        <v>28</v>
      </c>
      <c r="AS807" t="s">
        <v>37</v>
      </c>
      <c r="AT807">
        <v>0.25</v>
      </c>
      <c r="AU807" t="s">
        <v>129</v>
      </c>
      <c r="AV807" t="s">
        <v>130</v>
      </c>
    </row>
    <row r="808" spans="1:48" x14ac:dyDescent="0.3">
      <c r="A808" t="s">
        <v>3025</v>
      </c>
      <c r="B808" s="12">
        <v>45605</v>
      </c>
      <c r="C808" s="12">
        <v>45611</v>
      </c>
      <c r="D808" t="s">
        <v>3026</v>
      </c>
      <c r="E808" t="s">
        <v>147</v>
      </c>
      <c r="F808" t="s">
        <v>41</v>
      </c>
      <c r="G808" t="s">
        <v>9</v>
      </c>
      <c r="H808" t="s">
        <v>126</v>
      </c>
      <c r="I808" t="s">
        <v>127</v>
      </c>
      <c r="J808" t="s">
        <v>15</v>
      </c>
      <c r="K808" t="s">
        <v>16</v>
      </c>
      <c r="M808" t="s">
        <v>35</v>
      </c>
      <c r="N808">
        <v>1</v>
      </c>
      <c r="O808">
        <v>3665.97</v>
      </c>
      <c r="P808">
        <v>0.2</v>
      </c>
      <c r="Q808">
        <v>0.2</v>
      </c>
      <c r="R808">
        <v>2932.78</v>
      </c>
      <c r="S808">
        <v>1900.35</v>
      </c>
      <c r="T808">
        <v>2932.7759999999998</v>
      </c>
      <c r="U808">
        <v>1032.4259999999999</v>
      </c>
      <c r="V808">
        <v>0.35203029484692999</v>
      </c>
      <c r="W808">
        <v>6</v>
      </c>
      <c r="X808" t="s">
        <v>157</v>
      </c>
      <c r="Y808">
        <v>2024</v>
      </c>
      <c r="Z808" t="s">
        <v>269</v>
      </c>
      <c r="AA808" t="s">
        <v>165</v>
      </c>
      <c r="AB808" t="s">
        <v>131</v>
      </c>
      <c r="AC808" t="s">
        <v>131</v>
      </c>
      <c r="AD808" t="s">
        <v>131</v>
      </c>
      <c r="AE808" t="s">
        <v>131</v>
      </c>
      <c r="AF808" t="s">
        <v>131</v>
      </c>
      <c r="AG808" t="s">
        <v>131</v>
      </c>
      <c r="AH808" t="s">
        <v>131</v>
      </c>
      <c r="AI808" t="s">
        <v>133</v>
      </c>
      <c r="AJ808" t="s">
        <v>3027</v>
      </c>
      <c r="AK808" t="s">
        <v>3028</v>
      </c>
      <c r="AL808" t="s">
        <v>147</v>
      </c>
      <c r="AM808" t="s">
        <v>41</v>
      </c>
      <c r="AN808" t="s">
        <v>9</v>
      </c>
      <c r="AO808" t="s">
        <v>126</v>
      </c>
      <c r="AP808" t="s">
        <v>127</v>
      </c>
      <c r="AQ808" t="s">
        <v>15</v>
      </c>
      <c r="AR808" t="s">
        <v>16</v>
      </c>
      <c r="AS808" t="s">
        <v>35</v>
      </c>
      <c r="AT808">
        <v>0.2</v>
      </c>
      <c r="AU808" t="s">
        <v>269</v>
      </c>
      <c r="AV808" t="s">
        <v>165</v>
      </c>
    </row>
    <row r="809" spans="1:48" x14ac:dyDescent="0.3">
      <c r="A809" t="s">
        <v>3029</v>
      </c>
      <c r="B809" s="12">
        <v>45695</v>
      </c>
      <c r="C809" s="12">
        <v>45696</v>
      </c>
      <c r="D809" t="s">
        <v>3030</v>
      </c>
      <c r="E809" t="s">
        <v>125</v>
      </c>
      <c r="F809" t="s">
        <v>44</v>
      </c>
      <c r="G809" t="s">
        <v>6</v>
      </c>
      <c r="H809" t="s">
        <v>155</v>
      </c>
      <c r="I809" t="s">
        <v>156</v>
      </c>
      <c r="J809" t="s">
        <v>20</v>
      </c>
      <c r="K809" t="s">
        <v>30</v>
      </c>
      <c r="M809" t="s">
        <v>35</v>
      </c>
      <c r="N809">
        <v>2</v>
      </c>
      <c r="O809">
        <v>2432.98</v>
      </c>
      <c r="P809">
        <v>0.1</v>
      </c>
      <c r="Q809">
        <v>0.1</v>
      </c>
      <c r="R809">
        <v>4379.3599999999997</v>
      </c>
      <c r="S809">
        <v>3723.93</v>
      </c>
      <c r="T809">
        <v>4379.3639999999996</v>
      </c>
      <c r="U809">
        <v>655.43400000000099</v>
      </c>
      <c r="V809">
        <v>0.14966419781502499</v>
      </c>
      <c r="W809">
        <v>1</v>
      </c>
      <c r="X809" t="s">
        <v>186</v>
      </c>
      <c r="Y809">
        <v>2025</v>
      </c>
      <c r="Z809" t="s">
        <v>129</v>
      </c>
      <c r="AA809" t="s">
        <v>130</v>
      </c>
      <c r="AB809" t="s">
        <v>131</v>
      </c>
      <c r="AC809" t="s">
        <v>131</v>
      </c>
      <c r="AD809" t="s">
        <v>131</v>
      </c>
      <c r="AE809" t="s">
        <v>131</v>
      </c>
      <c r="AF809" t="s">
        <v>131</v>
      </c>
      <c r="AG809" t="s">
        <v>131</v>
      </c>
      <c r="AH809" t="s">
        <v>132</v>
      </c>
      <c r="AI809" t="s">
        <v>133</v>
      </c>
      <c r="AJ809" t="s">
        <v>1142</v>
      </c>
      <c r="AK809" t="s">
        <v>1921</v>
      </c>
      <c r="AL809" t="s">
        <v>125</v>
      </c>
      <c r="AM809" t="s">
        <v>44</v>
      </c>
      <c r="AN809" t="s">
        <v>6</v>
      </c>
      <c r="AO809" t="s">
        <v>155</v>
      </c>
      <c r="AP809" t="s">
        <v>156</v>
      </c>
      <c r="AQ809" t="s">
        <v>20</v>
      </c>
      <c r="AR809" t="s">
        <v>30</v>
      </c>
      <c r="AS809" t="s">
        <v>3031</v>
      </c>
      <c r="AT809">
        <v>0.1</v>
      </c>
      <c r="AU809" t="s">
        <v>129</v>
      </c>
      <c r="AV809" t="s">
        <v>130</v>
      </c>
    </row>
    <row r="810" spans="1:48" x14ac:dyDescent="0.3">
      <c r="A810" t="s">
        <v>3032</v>
      </c>
      <c r="B810" s="12">
        <v>45900</v>
      </c>
      <c r="C810" s="12">
        <v>45897</v>
      </c>
      <c r="D810" t="s">
        <v>3033</v>
      </c>
      <c r="E810" t="s">
        <v>238</v>
      </c>
      <c r="F810" t="s">
        <v>44</v>
      </c>
      <c r="G810" t="s">
        <v>6</v>
      </c>
      <c r="H810" t="s">
        <v>385</v>
      </c>
      <c r="I810" t="s">
        <v>386</v>
      </c>
      <c r="J810" t="s">
        <v>18</v>
      </c>
      <c r="K810" t="s">
        <v>23</v>
      </c>
      <c r="M810" t="s">
        <v>36</v>
      </c>
      <c r="N810">
        <v>7</v>
      </c>
      <c r="O810">
        <v>977.28</v>
      </c>
      <c r="P810">
        <v>0.2</v>
      </c>
      <c r="Q810">
        <v>0.2</v>
      </c>
      <c r="R810">
        <v>5472.77</v>
      </c>
      <c r="S810">
        <v>4477.33</v>
      </c>
      <c r="T810">
        <v>5472.768</v>
      </c>
      <c r="U810">
        <v>995.43799999999999</v>
      </c>
      <c r="V810">
        <v>0.181889310856956</v>
      </c>
      <c r="W810">
        <v>-3</v>
      </c>
      <c r="X810" t="s">
        <v>142</v>
      </c>
      <c r="Y810">
        <v>2025</v>
      </c>
      <c r="Z810" t="s">
        <v>129</v>
      </c>
      <c r="AA810" t="s">
        <v>130</v>
      </c>
      <c r="AB810" t="s">
        <v>131</v>
      </c>
      <c r="AC810" t="s">
        <v>131</v>
      </c>
      <c r="AD810" t="s">
        <v>131</v>
      </c>
      <c r="AE810" t="s">
        <v>132</v>
      </c>
      <c r="AF810" t="s">
        <v>131</v>
      </c>
      <c r="AG810" t="s">
        <v>131</v>
      </c>
      <c r="AH810" t="s">
        <v>132</v>
      </c>
      <c r="AI810" t="s">
        <v>149</v>
      </c>
      <c r="AJ810" t="s">
        <v>3034</v>
      </c>
      <c r="AK810" t="s">
        <v>1735</v>
      </c>
      <c r="AL810" t="s">
        <v>238</v>
      </c>
      <c r="AM810" t="s">
        <v>44</v>
      </c>
      <c r="AN810" t="s">
        <v>6</v>
      </c>
      <c r="AO810" t="s">
        <v>385</v>
      </c>
      <c r="AP810" t="s">
        <v>386</v>
      </c>
      <c r="AQ810" t="s">
        <v>18</v>
      </c>
      <c r="AR810" t="s">
        <v>23</v>
      </c>
      <c r="AS810" t="s">
        <v>36</v>
      </c>
      <c r="AT810">
        <v>0.2</v>
      </c>
      <c r="AU810" t="s">
        <v>129</v>
      </c>
      <c r="AV810" t="s">
        <v>130</v>
      </c>
    </row>
    <row r="811" spans="1:48" x14ac:dyDescent="0.3">
      <c r="A811" t="s">
        <v>3035</v>
      </c>
      <c r="B811" s="12">
        <v>45833</v>
      </c>
      <c r="C811" s="12">
        <v>45833</v>
      </c>
      <c r="D811" t="s">
        <v>3036</v>
      </c>
      <c r="E811" t="s">
        <v>154</v>
      </c>
      <c r="F811" t="s">
        <v>44</v>
      </c>
      <c r="G811" t="s">
        <v>10</v>
      </c>
      <c r="H811" t="s">
        <v>232</v>
      </c>
      <c r="I811" t="s">
        <v>233</v>
      </c>
      <c r="J811" t="s">
        <v>20</v>
      </c>
      <c r="K811" t="s">
        <v>28</v>
      </c>
      <c r="M811" t="s">
        <v>37</v>
      </c>
      <c r="N811">
        <v>6</v>
      </c>
      <c r="O811">
        <v>1366.13</v>
      </c>
      <c r="P811">
        <v>0.1</v>
      </c>
      <c r="Q811">
        <v>0.1</v>
      </c>
      <c r="R811">
        <v>7377.1</v>
      </c>
      <c r="S811">
        <v>5085.21</v>
      </c>
      <c r="T811">
        <v>7377.1019999999999</v>
      </c>
      <c r="U811">
        <v>2291.8919999999998</v>
      </c>
      <c r="V811">
        <v>0.31067646888981598</v>
      </c>
      <c r="W811">
        <v>0</v>
      </c>
      <c r="X811" t="s">
        <v>148</v>
      </c>
      <c r="Y811">
        <v>2025</v>
      </c>
      <c r="Z811" t="s">
        <v>129</v>
      </c>
      <c r="AA811" t="s">
        <v>130</v>
      </c>
      <c r="AB811" t="s">
        <v>132</v>
      </c>
      <c r="AC811" t="s">
        <v>131</v>
      </c>
      <c r="AD811" t="s">
        <v>131</v>
      </c>
      <c r="AE811" t="s">
        <v>131</v>
      </c>
      <c r="AF811" t="s">
        <v>131</v>
      </c>
      <c r="AG811" t="s">
        <v>131</v>
      </c>
      <c r="AH811" t="s">
        <v>132</v>
      </c>
      <c r="AI811" t="s">
        <v>321</v>
      </c>
      <c r="AJ811" t="s">
        <v>1331</v>
      </c>
      <c r="AK811" t="s">
        <v>1331</v>
      </c>
      <c r="AL811" t="s">
        <v>154</v>
      </c>
      <c r="AM811" t="s">
        <v>44</v>
      </c>
      <c r="AO811" t="s">
        <v>232</v>
      </c>
      <c r="AP811" t="s">
        <v>233</v>
      </c>
      <c r="AQ811" t="s">
        <v>20</v>
      </c>
      <c r="AR811" t="s">
        <v>28</v>
      </c>
      <c r="AS811" t="s">
        <v>37</v>
      </c>
      <c r="AT811">
        <v>0.1</v>
      </c>
      <c r="AU811" t="s">
        <v>129</v>
      </c>
      <c r="AV811" t="s">
        <v>130</v>
      </c>
    </row>
    <row r="812" spans="1:48" x14ac:dyDescent="0.3">
      <c r="A812" t="s">
        <v>3037</v>
      </c>
      <c r="B812" s="12">
        <v>45385</v>
      </c>
      <c r="C812" s="12">
        <v>45390</v>
      </c>
      <c r="D812" t="s">
        <v>2125</v>
      </c>
      <c r="E812" t="s">
        <v>409</v>
      </c>
      <c r="F812" t="s">
        <v>41</v>
      </c>
      <c r="G812" t="s">
        <v>7</v>
      </c>
      <c r="H812" t="s">
        <v>300</v>
      </c>
      <c r="I812" t="s">
        <v>301</v>
      </c>
      <c r="J812" t="s">
        <v>15</v>
      </c>
      <c r="K812" t="s">
        <v>16</v>
      </c>
      <c r="M812" t="s">
        <v>36</v>
      </c>
      <c r="N812">
        <v>1</v>
      </c>
      <c r="O812">
        <v>3151.85</v>
      </c>
      <c r="P812">
        <v>0.25</v>
      </c>
      <c r="Q812">
        <v>0.25</v>
      </c>
      <c r="R812">
        <v>2363.89</v>
      </c>
      <c r="S812">
        <v>1471.51</v>
      </c>
      <c r="T812">
        <v>2363.8874999999998</v>
      </c>
      <c r="U812">
        <v>892.37750000000005</v>
      </c>
      <c r="V812">
        <v>0.37750421710000998</v>
      </c>
      <c r="W812">
        <v>5</v>
      </c>
      <c r="X812" t="s">
        <v>179</v>
      </c>
      <c r="Y812">
        <v>2024</v>
      </c>
      <c r="Z812" t="s">
        <v>129</v>
      </c>
      <c r="AA812" t="s">
        <v>130</v>
      </c>
      <c r="AB812" t="s">
        <v>131</v>
      </c>
      <c r="AC812" t="s">
        <v>131</v>
      </c>
      <c r="AD812" t="s">
        <v>131</v>
      </c>
      <c r="AE812" t="s">
        <v>131</v>
      </c>
      <c r="AF812" t="s">
        <v>131</v>
      </c>
      <c r="AG812" t="s">
        <v>131</v>
      </c>
      <c r="AH812" t="s">
        <v>132</v>
      </c>
      <c r="AI812" t="s">
        <v>133</v>
      </c>
      <c r="AJ812" t="s">
        <v>3038</v>
      </c>
      <c r="AK812" t="s">
        <v>3039</v>
      </c>
      <c r="AL812" t="s">
        <v>409</v>
      </c>
      <c r="AM812" t="s">
        <v>2814</v>
      </c>
      <c r="AN812" t="s">
        <v>7</v>
      </c>
      <c r="AO812" t="s">
        <v>300</v>
      </c>
      <c r="AP812" t="s">
        <v>301</v>
      </c>
      <c r="AQ812" t="s">
        <v>15</v>
      </c>
      <c r="AR812" t="s">
        <v>16</v>
      </c>
      <c r="AS812" t="s">
        <v>36</v>
      </c>
      <c r="AT812">
        <v>0.25</v>
      </c>
      <c r="AU812" t="s">
        <v>129</v>
      </c>
      <c r="AV812" t="s">
        <v>130</v>
      </c>
    </row>
    <row r="813" spans="1:48" x14ac:dyDescent="0.3">
      <c r="A813" t="s">
        <v>3040</v>
      </c>
      <c r="B813" s="12">
        <v>45638</v>
      </c>
      <c r="C813" s="12">
        <v>45645</v>
      </c>
      <c r="D813" t="s">
        <v>3041</v>
      </c>
      <c r="E813" t="s">
        <v>255</v>
      </c>
      <c r="F813" t="s">
        <v>41</v>
      </c>
      <c r="G813" t="s">
        <v>9</v>
      </c>
      <c r="H813" t="s">
        <v>372</v>
      </c>
      <c r="I813" t="s">
        <v>373</v>
      </c>
      <c r="J813" t="s">
        <v>15</v>
      </c>
      <c r="K813" t="s">
        <v>22</v>
      </c>
      <c r="M813" t="s">
        <v>36</v>
      </c>
      <c r="N813">
        <v>2</v>
      </c>
      <c r="O813">
        <v>1610.75</v>
      </c>
      <c r="P813">
        <v>0.2</v>
      </c>
      <c r="Q813">
        <v>0.2</v>
      </c>
      <c r="R813">
        <v>2577.1999999999998</v>
      </c>
      <c r="S813">
        <v>1475.87</v>
      </c>
      <c r="T813">
        <v>2577.1999999999998</v>
      </c>
      <c r="U813">
        <v>1101.33</v>
      </c>
      <c r="V813">
        <v>0.42733586838429299</v>
      </c>
      <c r="W813">
        <v>7</v>
      </c>
      <c r="X813" t="s">
        <v>214</v>
      </c>
      <c r="Y813">
        <v>2024</v>
      </c>
      <c r="Z813" t="s">
        <v>129</v>
      </c>
      <c r="AA813" t="s">
        <v>130</v>
      </c>
      <c r="AB813" t="s">
        <v>131</v>
      </c>
      <c r="AC813" t="s">
        <v>131</v>
      </c>
      <c r="AD813" t="s">
        <v>131</v>
      </c>
      <c r="AE813" t="s">
        <v>131</v>
      </c>
      <c r="AF813" t="s">
        <v>131</v>
      </c>
      <c r="AG813" t="s">
        <v>131</v>
      </c>
      <c r="AH813" t="s">
        <v>132</v>
      </c>
      <c r="AI813" t="s">
        <v>133</v>
      </c>
      <c r="AJ813" t="s">
        <v>3042</v>
      </c>
      <c r="AK813" t="s">
        <v>3043</v>
      </c>
      <c r="AL813" t="s">
        <v>255</v>
      </c>
      <c r="AM813" t="s">
        <v>41</v>
      </c>
      <c r="AN813" t="s">
        <v>9</v>
      </c>
      <c r="AO813" t="s">
        <v>372</v>
      </c>
      <c r="AP813" t="s">
        <v>373</v>
      </c>
      <c r="AQ813" t="s">
        <v>15</v>
      </c>
      <c r="AR813" t="s">
        <v>22</v>
      </c>
      <c r="AS813" t="s">
        <v>36</v>
      </c>
      <c r="AT813">
        <v>0.2</v>
      </c>
      <c r="AU813" t="s">
        <v>129</v>
      </c>
      <c r="AV813" t="s">
        <v>130</v>
      </c>
    </row>
    <row r="814" spans="1:48" x14ac:dyDescent="0.3">
      <c r="A814" t="s">
        <v>3044</v>
      </c>
      <c r="B814" s="12">
        <v>45458</v>
      </c>
      <c r="C814" s="12">
        <v>45463</v>
      </c>
      <c r="D814" t="s">
        <v>3045</v>
      </c>
      <c r="E814" t="s">
        <v>243</v>
      </c>
      <c r="F814" t="s">
        <v>44</v>
      </c>
      <c r="G814" t="s">
        <v>8</v>
      </c>
      <c r="H814" t="s">
        <v>362</v>
      </c>
      <c r="I814" t="s">
        <v>363</v>
      </c>
      <c r="J814" t="s">
        <v>18</v>
      </c>
      <c r="K814" t="s">
        <v>27</v>
      </c>
      <c r="M814" t="s">
        <v>36</v>
      </c>
      <c r="N814">
        <v>8</v>
      </c>
      <c r="O814">
        <v>2228.4699999999998</v>
      </c>
      <c r="P814">
        <v>0</v>
      </c>
      <c r="Q814">
        <v>0</v>
      </c>
      <c r="R814">
        <v>17827.759999999998</v>
      </c>
      <c r="S814">
        <v>14122.13</v>
      </c>
      <c r="T814">
        <v>17827.759999999998</v>
      </c>
      <c r="U814">
        <v>3705.63</v>
      </c>
      <c r="V814">
        <v>0.20785729671029901</v>
      </c>
      <c r="W814">
        <v>5</v>
      </c>
      <c r="X814" t="s">
        <v>148</v>
      </c>
      <c r="Y814">
        <v>2024</v>
      </c>
      <c r="Z814" t="s">
        <v>129</v>
      </c>
      <c r="AA814" t="s">
        <v>130</v>
      </c>
      <c r="AB814" t="s">
        <v>131</v>
      </c>
      <c r="AC814" t="s">
        <v>131</v>
      </c>
      <c r="AD814" t="s">
        <v>131</v>
      </c>
      <c r="AE814" t="s">
        <v>131</v>
      </c>
      <c r="AF814" t="s">
        <v>131</v>
      </c>
      <c r="AG814" t="s">
        <v>131</v>
      </c>
      <c r="AH814" t="s">
        <v>132</v>
      </c>
      <c r="AI814" t="s">
        <v>133</v>
      </c>
      <c r="AJ814" t="s">
        <v>771</v>
      </c>
      <c r="AK814" t="s">
        <v>3046</v>
      </c>
      <c r="AL814" t="s">
        <v>243</v>
      </c>
      <c r="AM814" t="s">
        <v>44</v>
      </c>
      <c r="AN814" t="s">
        <v>8</v>
      </c>
      <c r="AO814" t="s">
        <v>362</v>
      </c>
      <c r="AP814" t="s">
        <v>363</v>
      </c>
      <c r="AQ814" t="s">
        <v>18</v>
      </c>
      <c r="AR814" t="s">
        <v>27</v>
      </c>
      <c r="AS814" t="s">
        <v>36</v>
      </c>
      <c r="AT814">
        <v>0</v>
      </c>
      <c r="AU814" t="s">
        <v>129</v>
      </c>
      <c r="AV814" t="s">
        <v>130</v>
      </c>
    </row>
    <row r="815" spans="1:48" x14ac:dyDescent="0.3">
      <c r="A815" t="s">
        <v>3047</v>
      </c>
      <c r="B815" s="12">
        <v>45753</v>
      </c>
      <c r="C815" s="12">
        <v>45757</v>
      </c>
      <c r="D815" t="s">
        <v>3048</v>
      </c>
      <c r="E815" t="s">
        <v>255</v>
      </c>
      <c r="F815" t="s">
        <v>42</v>
      </c>
      <c r="G815" t="s">
        <v>8</v>
      </c>
      <c r="H815" t="s">
        <v>140</v>
      </c>
      <c r="I815" t="s">
        <v>141</v>
      </c>
      <c r="J815" t="s">
        <v>18</v>
      </c>
      <c r="K815" t="s">
        <v>26</v>
      </c>
      <c r="M815" t="s">
        <v>35</v>
      </c>
      <c r="N815">
        <v>2</v>
      </c>
      <c r="O815">
        <v>1337.67</v>
      </c>
      <c r="P815">
        <v>0</v>
      </c>
      <c r="Q815">
        <v>0</v>
      </c>
      <c r="R815">
        <v>2675.34</v>
      </c>
      <c r="S815">
        <v>1595.87</v>
      </c>
      <c r="T815">
        <v>2675.34</v>
      </c>
      <c r="U815">
        <v>1079.47</v>
      </c>
      <c r="V815">
        <v>0.40348890234512302</v>
      </c>
      <c r="W815">
        <v>4</v>
      </c>
      <c r="X815" t="s">
        <v>179</v>
      </c>
      <c r="Y815">
        <v>2025</v>
      </c>
      <c r="Z815" t="s">
        <v>129</v>
      </c>
      <c r="AA815" t="s">
        <v>130</v>
      </c>
      <c r="AB815" t="s">
        <v>131</v>
      </c>
      <c r="AC815" t="s">
        <v>131</v>
      </c>
      <c r="AD815" t="s">
        <v>131</v>
      </c>
      <c r="AE815" t="s">
        <v>131</v>
      </c>
      <c r="AF815" t="s">
        <v>131</v>
      </c>
      <c r="AG815" t="s">
        <v>131</v>
      </c>
      <c r="AH815" t="s">
        <v>132</v>
      </c>
      <c r="AI815" t="s">
        <v>133</v>
      </c>
      <c r="AJ815" t="s">
        <v>3049</v>
      </c>
      <c r="AK815" t="s">
        <v>3050</v>
      </c>
      <c r="AL815" t="s">
        <v>255</v>
      </c>
      <c r="AM815" t="s">
        <v>42</v>
      </c>
      <c r="AN815" t="s">
        <v>8</v>
      </c>
      <c r="AO815" t="s">
        <v>140</v>
      </c>
      <c r="AP815" t="s">
        <v>141</v>
      </c>
      <c r="AQ815" t="s">
        <v>18</v>
      </c>
      <c r="AR815" t="s">
        <v>26</v>
      </c>
      <c r="AS815" t="s">
        <v>35</v>
      </c>
      <c r="AT815">
        <v>0</v>
      </c>
      <c r="AU815" t="s">
        <v>129</v>
      </c>
      <c r="AV815" t="s">
        <v>130</v>
      </c>
    </row>
    <row r="816" spans="1:48" x14ac:dyDescent="0.3">
      <c r="A816" t="s">
        <v>3051</v>
      </c>
      <c r="B816" s="12">
        <v>45875</v>
      </c>
      <c r="C816" s="12">
        <v>45880</v>
      </c>
      <c r="D816" t="s">
        <v>3052</v>
      </c>
      <c r="E816" t="s">
        <v>154</v>
      </c>
      <c r="F816" t="s">
        <v>42</v>
      </c>
      <c r="G816" t="s">
        <v>7</v>
      </c>
      <c r="H816" t="s">
        <v>171</v>
      </c>
      <c r="I816" t="s">
        <v>172</v>
      </c>
      <c r="J816" t="s">
        <v>20</v>
      </c>
      <c r="K816" t="s">
        <v>30</v>
      </c>
      <c r="M816" t="s">
        <v>36</v>
      </c>
      <c r="N816">
        <v>2</v>
      </c>
      <c r="O816">
        <v>2375.94</v>
      </c>
      <c r="P816">
        <v>0.25</v>
      </c>
      <c r="Q816">
        <v>0.25</v>
      </c>
      <c r="R816">
        <v>3563.91</v>
      </c>
      <c r="S816">
        <v>2639.7</v>
      </c>
      <c r="T816">
        <v>3563.91</v>
      </c>
      <c r="U816">
        <v>924.21</v>
      </c>
      <c r="V816">
        <v>0.25932473042248499</v>
      </c>
      <c r="W816">
        <v>5</v>
      </c>
      <c r="X816" t="s">
        <v>142</v>
      </c>
      <c r="Y816">
        <v>2025</v>
      </c>
      <c r="Z816" t="s">
        <v>129</v>
      </c>
      <c r="AA816" t="s">
        <v>130</v>
      </c>
      <c r="AB816" t="s">
        <v>131</v>
      </c>
      <c r="AC816" t="s">
        <v>131</v>
      </c>
      <c r="AD816" t="s">
        <v>131</v>
      </c>
      <c r="AE816" t="s">
        <v>131</v>
      </c>
      <c r="AF816" t="s">
        <v>131</v>
      </c>
      <c r="AG816" t="s">
        <v>131</v>
      </c>
      <c r="AH816" t="s">
        <v>132</v>
      </c>
      <c r="AI816" t="s">
        <v>133</v>
      </c>
      <c r="AJ816" t="s">
        <v>1216</v>
      </c>
      <c r="AK816" t="s">
        <v>586</v>
      </c>
      <c r="AL816" t="s">
        <v>154</v>
      </c>
      <c r="AM816" t="s">
        <v>42</v>
      </c>
      <c r="AN816" t="s">
        <v>7</v>
      </c>
      <c r="AO816" t="s">
        <v>171</v>
      </c>
      <c r="AP816" t="s">
        <v>172</v>
      </c>
      <c r="AQ816" t="s">
        <v>20</v>
      </c>
      <c r="AR816" t="s">
        <v>30</v>
      </c>
      <c r="AS816" t="s">
        <v>36</v>
      </c>
      <c r="AT816">
        <v>0.25</v>
      </c>
      <c r="AU816" t="s">
        <v>129</v>
      </c>
      <c r="AV816" t="s">
        <v>130</v>
      </c>
    </row>
    <row r="817" spans="1:48" x14ac:dyDescent="0.3">
      <c r="A817" t="s">
        <v>3053</v>
      </c>
      <c r="B817" s="12">
        <v>45383</v>
      </c>
      <c r="C817" s="12">
        <v>45390</v>
      </c>
      <c r="D817" t="s">
        <v>3054</v>
      </c>
      <c r="E817" t="s">
        <v>277</v>
      </c>
      <c r="F817" t="s">
        <v>42</v>
      </c>
      <c r="G817" t="s">
        <v>8</v>
      </c>
      <c r="H817" t="s">
        <v>140</v>
      </c>
      <c r="I817" t="s">
        <v>141</v>
      </c>
      <c r="J817" t="s">
        <v>15</v>
      </c>
      <c r="K817" t="s">
        <v>25</v>
      </c>
      <c r="M817" t="s">
        <v>35</v>
      </c>
      <c r="N817">
        <v>7</v>
      </c>
      <c r="O817">
        <v>715.81</v>
      </c>
      <c r="P817">
        <v>0.15</v>
      </c>
      <c r="Q817">
        <v>0.15</v>
      </c>
      <c r="R817">
        <v>4259.07</v>
      </c>
      <c r="S817">
        <v>3130.32</v>
      </c>
      <c r="T817">
        <v>4259.0694999999996</v>
      </c>
      <c r="U817">
        <v>1128.7494999999999</v>
      </c>
      <c r="V817">
        <v>0.26502255950507497</v>
      </c>
      <c r="W817">
        <v>7</v>
      </c>
      <c r="X817" t="s">
        <v>179</v>
      </c>
      <c r="Y817">
        <v>2024</v>
      </c>
      <c r="Z817" t="s">
        <v>215</v>
      </c>
      <c r="AA817" t="s">
        <v>165</v>
      </c>
      <c r="AB817" t="s">
        <v>131</v>
      </c>
      <c r="AC817" t="s">
        <v>131</v>
      </c>
      <c r="AD817" t="s">
        <v>131</v>
      </c>
      <c r="AE817" t="s">
        <v>131</v>
      </c>
      <c r="AF817" t="s">
        <v>131</v>
      </c>
      <c r="AG817" t="s">
        <v>131</v>
      </c>
      <c r="AH817" t="s">
        <v>131</v>
      </c>
      <c r="AI817" t="s">
        <v>133</v>
      </c>
      <c r="AJ817" t="s">
        <v>2055</v>
      </c>
      <c r="AK817" t="s">
        <v>3055</v>
      </c>
      <c r="AL817" t="s">
        <v>277</v>
      </c>
      <c r="AM817" t="s">
        <v>42</v>
      </c>
      <c r="AN817" t="s">
        <v>8</v>
      </c>
      <c r="AO817" t="s">
        <v>140</v>
      </c>
      <c r="AP817" t="s">
        <v>141</v>
      </c>
      <c r="AQ817" t="s">
        <v>15</v>
      </c>
      <c r="AR817" t="s">
        <v>25</v>
      </c>
      <c r="AS817" t="s">
        <v>35</v>
      </c>
      <c r="AT817">
        <v>0.15</v>
      </c>
      <c r="AU817" t="s">
        <v>215</v>
      </c>
      <c r="AV817" t="s">
        <v>165</v>
      </c>
    </row>
    <row r="818" spans="1:48" x14ac:dyDescent="0.3">
      <c r="A818" t="s">
        <v>3056</v>
      </c>
      <c r="B818" s="12">
        <v>45623</v>
      </c>
      <c r="C818" s="12">
        <v>45626</v>
      </c>
      <c r="D818" t="s">
        <v>3057</v>
      </c>
      <c r="E818" t="s">
        <v>227</v>
      </c>
      <c r="F818" t="s">
        <v>44</v>
      </c>
      <c r="G818" t="s">
        <v>8</v>
      </c>
      <c r="H818" t="s">
        <v>362</v>
      </c>
      <c r="I818" t="s">
        <v>363</v>
      </c>
      <c r="J818" t="s">
        <v>18</v>
      </c>
      <c r="K818" t="s">
        <v>23</v>
      </c>
      <c r="M818" t="s">
        <v>36</v>
      </c>
      <c r="N818">
        <v>1</v>
      </c>
      <c r="O818">
        <v>874.3</v>
      </c>
      <c r="P818">
        <v>0.1</v>
      </c>
      <c r="Q818">
        <v>0.1</v>
      </c>
      <c r="R818">
        <v>786.87</v>
      </c>
      <c r="S818">
        <v>498.5</v>
      </c>
      <c r="T818">
        <v>786.87</v>
      </c>
      <c r="U818">
        <v>288.37</v>
      </c>
      <c r="V818">
        <v>0.36647730883119201</v>
      </c>
      <c r="W818">
        <v>3</v>
      </c>
      <c r="X818" t="s">
        <v>157</v>
      </c>
      <c r="Y818">
        <v>2024</v>
      </c>
      <c r="Z818" t="s">
        <v>129</v>
      </c>
      <c r="AA818" t="s">
        <v>130</v>
      </c>
      <c r="AB818" t="s">
        <v>131</v>
      </c>
      <c r="AC818" t="s">
        <v>131</v>
      </c>
      <c r="AD818" t="s">
        <v>131</v>
      </c>
      <c r="AE818" t="s">
        <v>131</v>
      </c>
      <c r="AF818" t="s">
        <v>131</v>
      </c>
      <c r="AG818" t="s">
        <v>131</v>
      </c>
      <c r="AH818" t="s">
        <v>132</v>
      </c>
      <c r="AI818" t="s">
        <v>133</v>
      </c>
      <c r="AJ818" t="s">
        <v>3058</v>
      </c>
      <c r="AK818" t="s">
        <v>3059</v>
      </c>
      <c r="AL818" t="s">
        <v>227</v>
      </c>
      <c r="AM818" t="s">
        <v>44</v>
      </c>
      <c r="AN818" t="s">
        <v>8</v>
      </c>
      <c r="AO818" t="s">
        <v>362</v>
      </c>
      <c r="AP818" t="s">
        <v>363</v>
      </c>
      <c r="AQ818" t="s">
        <v>18</v>
      </c>
      <c r="AR818" t="s">
        <v>23</v>
      </c>
      <c r="AS818" t="s">
        <v>36</v>
      </c>
      <c r="AT818">
        <v>0.1</v>
      </c>
      <c r="AU818" t="s">
        <v>129</v>
      </c>
      <c r="AV818" t="s">
        <v>130</v>
      </c>
    </row>
    <row r="819" spans="1:48" x14ac:dyDescent="0.3">
      <c r="A819" t="s">
        <v>3060</v>
      </c>
      <c r="B819" s="12">
        <v>45752</v>
      </c>
      <c r="C819" s="12">
        <v>45752</v>
      </c>
      <c r="D819" t="s">
        <v>3061</v>
      </c>
      <c r="E819" t="s">
        <v>243</v>
      </c>
      <c r="F819" t="s">
        <v>42</v>
      </c>
      <c r="G819" t="s">
        <v>8</v>
      </c>
      <c r="H819" t="s">
        <v>259</v>
      </c>
      <c r="I819" t="s">
        <v>260</v>
      </c>
      <c r="J819" t="s">
        <v>20</v>
      </c>
      <c r="K819" t="s">
        <v>28</v>
      </c>
      <c r="M819" t="s">
        <v>35</v>
      </c>
      <c r="N819">
        <v>6</v>
      </c>
      <c r="O819">
        <v>1829.69</v>
      </c>
      <c r="P819">
        <v>0.25</v>
      </c>
      <c r="Q819">
        <v>0.25</v>
      </c>
      <c r="R819">
        <v>8233.6</v>
      </c>
      <c r="S819">
        <v>4713.79</v>
      </c>
      <c r="T819">
        <v>8233.6049999999996</v>
      </c>
      <c r="U819">
        <v>3519.8150000000001</v>
      </c>
      <c r="V819">
        <v>0.42749378917254399</v>
      </c>
      <c r="W819">
        <v>0</v>
      </c>
      <c r="X819" t="s">
        <v>179</v>
      </c>
      <c r="Y819">
        <v>2025</v>
      </c>
      <c r="Z819" t="s">
        <v>129</v>
      </c>
      <c r="AA819" t="s">
        <v>130</v>
      </c>
      <c r="AB819" t="s">
        <v>131</v>
      </c>
      <c r="AC819" t="s">
        <v>131</v>
      </c>
      <c r="AD819" t="s">
        <v>131</v>
      </c>
      <c r="AE819" t="s">
        <v>131</v>
      </c>
      <c r="AF819" t="s">
        <v>131</v>
      </c>
      <c r="AG819" t="s">
        <v>131</v>
      </c>
      <c r="AH819" t="s">
        <v>132</v>
      </c>
      <c r="AI819" t="s">
        <v>133</v>
      </c>
      <c r="AJ819" t="s">
        <v>3062</v>
      </c>
      <c r="AK819" t="s">
        <v>3063</v>
      </c>
      <c r="AL819" t="s">
        <v>243</v>
      </c>
      <c r="AM819" t="s">
        <v>42</v>
      </c>
      <c r="AN819" t="s">
        <v>8</v>
      </c>
      <c r="AO819" t="s">
        <v>259</v>
      </c>
      <c r="AP819" t="s">
        <v>260</v>
      </c>
      <c r="AQ819" t="s">
        <v>20</v>
      </c>
      <c r="AR819" t="s">
        <v>28</v>
      </c>
      <c r="AS819" t="s">
        <v>35</v>
      </c>
      <c r="AT819">
        <v>0.25</v>
      </c>
      <c r="AU819" t="s">
        <v>129</v>
      </c>
      <c r="AV819" t="s">
        <v>130</v>
      </c>
    </row>
    <row r="820" spans="1:48" x14ac:dyDescent="0.3">
      <c r="A820" t="s">
        <v>3064</v>
      </c>
      <c r="B820" s="12">
        <v>45564</v>
      </c>
      <c r="C820" s="12">
        <v>45570</v>
      </c>
      <c r="D820" t="s">
        <v>3065</v>
      </c>
      <c r="E820" t="s">
        <v>221</v>
      </c>
      <c r="F820" t="s">
        <v>44</v>
      </c>
      <c r="G820" t="s">
        <v>7</v>
      </c>
      <c r="H820" t="s">
        <v>163</v>
      </c>
      <c r="I820" t="s">
        <v>164</v>
      </c>
      <c r="J820" t="s">
        <v>20</v>
      </c>
      <c r="K820" t="s">
        <v>30</v>
      </c>
      <c r="M820" t="s">
        <v>36</v>
      </c>
      <c r="N820">
        <v>8</v>
      </c>
      <c r="O820">
        <v>1981.04</v>
      </c>
      <c r="P820">
        <v>-0.14000000000000001</v>
      </c>
      <c r="Q820">
        <v>0</v>
      </c>
      <c r="R820">
        <v>12678.66</v>
      </c>
      <c r="S820">
        <v>10088.65</v>
      </c>
      <c r="T820">
        <v>15848.32</v>
      </c>
      <c r="U820">
        <v>5759.67</v>
      </c>
      <c r="V820">
        <v>0.36342464059281998</v>
      </c>
      <c r="W820">
        <v>6</v>
      </c>
      <c r="X820" t="s">
        <v>196</v>
      </c>
      <c r="Y820">
        <v>2024</v>
      </c>
      <c r="Z820" t="s">
        <v>129</v>
      </c>
      <c r="AA820" t="s">
        <v>130</v>
      </c>
      <c r="AB820" t="s">
        <v>131</v>
      </c>
      <c r="AC820" t="s">
        <v>131</v>
      </c>
      <c r="AD820" t="s">
        <v>131</v>
      </c>
      <c r="AE820" t="s">
        <v>131</v>
      </c>
      <c r="AF820" t="s">
        <v>132</v>
      </c>
      <c r="AG820" t="s">
        <v>131</v>
      </c>
      <c r="AH820" t="s">
        <v>132</v>
      </c>
      <c r="AI820" t="s">
        <v>149</v>
      </c>
      <c r="AJ820" t="s">
        <v>3066</v>
      </c>
      <c r="AK820" t="s">
        <v>2671</v>
      </c>
      <c r="AL820" t="s">
        <v>221</v>
      </c>
      <c r="AM820" t="s">
        <v>44</v>
      </c>
      <c r="AN820" t="s">
        <v>7</v>
      </c>
      <c r="AO820" t="s">
        <v>163</v>
      </c>
      <c r="AP820" t="s">
        <v>164</v>
      </c>
      <c r="AQ820" t="s">
        <v>20</v>
      </c>
      <c r="AR820" t="s">
        <v>30</v>
      </c>
      <c r="AS820" t="s">
        <v>36</v>
      </c>
      <c r="AT820">
        <v>-0.14000000000000001</v>
      </c>
      <c r="AU820" t="s">
        <v>129</v>
      </c>
      <c r="AV820" t="s">
        <v>130</v>
      </c>
    </row>
    <row r="821" spans="1:48" x14ac:dyDescent="0.3">
      <c r="A821" t="s">
        <v>3067</v>
      </c>
      <c r="B821" s="12">
        <v>45504</v>
      </c>
      <c r="C821" s="12">
        <v>45504</v>
      </c>
      <c r="D821" t="s">
        <v>3068</v>
      </c>
      <c r="E821" t="s">
        <v>125</v>
      </c>
      <c r="F821" t="s">
        <v>41</v>
      </c>
      <c r="G821" t="s">
        <v>6</v>
      </c>
      <c r="H821" t="s">
        <v>305</v>
      </c>
      <c r="I821" t="s">
        <v>306</v>
      </c>
      <c r="J821" t="s">
        <v>15</v>
      </c>
      <c r="K821" t="s">
        <v>25</v>
      </c>
      <c r="M821" t="s">
        <v>35</v>
      </c>
      <c r="N821">
        <v>8</v>
      </c>
      <c r="O821">
        <v>4246.01</v>
      </c>
      <c r="P821">
        <v>0</v>
      </c>
      <c r="Q821">
        <v>0</v>
      </c>
      <c r="R821">
        <v>33968.080000000002</v>
      </c>
      <c r="S821">
        <v>26902.44</v>
      </c>
      <c r="T821">
        <v>33968.080000000002</v>
      </c>
      <c r="U821">
        <v>7065.64</v>
      </c>
      <c r="V821">
        <v>0.20800822419165299</v>
      </c>
      <c r="W821">
        <v>0</v>
      </c>
      <c r="X821" t="s">
        <v>128</v>
      </c>
      <c r="Y821">
        <v>2024</v>
      </c>
      <c r="Z821" t="s">
        <v>269</v>
      </c>
      <c r="AA821" t="s">
        <v>165</v>
      </c>
      <c r="AB821" t="s">
        <v>131</v>
      </c>
      <c r="AC821" t="s">
        <v>131</v>
      </c>
      <c r="AD821" t="s">
        <v>131</v>
      </c>
      <c r="AE821" t="s">
        <v>131</v>
      </c>
      <c r="AF821" t="s">
        <v>131</v>
      </c>
      <c r="AG821" t="s">
        <v>131</v>
      </c>
      <c r="AH821" t="s">
        <v>131</v>
      </c>
      <c r="AI821" t="s">
        <v>133</v>
      </c>
      <c r="AJ821" t="s">
        <v>1392</v>
      </c>
      <c r="AK821" t="s">
        <v>3069</v>
      </c>
      <c r="AL821" t="s">
        <v>125</v>
      </c>
      <c r="AM821" t="s">
        <v>41</v>
      </c>
      <c r="AN821" t="s">
        <v>6</v>
      </c>
      <c r="AO821" t="s">
        <v>305</v>
      </c>
      <c r="AP821" t="s">
        <v>306</v>
      </c>
      <c r="AQ821" t="s">
        <v>15</v>
      </c>
      <c r="AR821" t="s">
        <v>3070</v>
      </c>
      <c r="AS821" t="s">
        <v>35</v>
      </c>
      <c r="AT821">
        <v>0</v>
      </c>
      <c r="AU821" t="s">
        <v>269</v>
      </c>
      <c r="AV821" t="s">
        <v>165</v>
      </c>
    </row>
    <row r="822" spans="1:48" x14ac:dyDescent="0.3">
      <c r="A822" t="s">
        <v>3071</v>
      </c>
      <c r="B822" s="12">
        <v>45694</v>
      </c>
      <c r="C822" s="12">
        <v>45698</v>
      </c>
      <c r="D822" t="s">
        <v>3072</v>
      </c>
      <c r="E822" t="s">
        <v>162</v>
      </c>
      <c r="F822" t="s">
        <v>41</v>
      </c>
      <c r="G822" t="s">
        <v>9</v>
      </c>
      <c r="H822" t="s">
        <v>249</v>
      </c>
      <c r="I822" t="s">
        <v>250</v>
      </c>
      <c r="J822" t="s">
        <v>18</v>
      </c>
      <c r="K822" t="s">
        <v>26</v>
      </c>
      <c r="M822" t="s">
        <v>35</v>
      </c>
      <c r="N822">
        <v>2</v>
      </c>
      <c r="O822">
        <v>319.57</v>
      </c>
      <c r="P822">
        <v>0.2</v>
      </c>
      <c r="Q822">
        <v>0.2</v>
      </c>
      <c r="R822">
        <v>511.31</v>
      </c>
      <c r="S822">
        <v>436.43</v>
      </c>
      <c r="T822">
        <v>511.31200000000001</v>
      </c>
      <c r="U822">
        <v>74.882000000000005</v>
      </c>
      <c r="V822">
        <v>0.146450699377288</v>
      </c>
      <c r="W822">
        <v>4</v>
      </c>
      <c r="X822" t="s">
        <v>186</v>
      </c>
      <c r="Y822">
        <v>2025</v>
      </c>
      <c r="Z822" t="s">
        <v>129</v>
      </c>
      <c r="AA822" t="s">
        <v>130</v>
      </c>
      <c r="AB822" t="s">
        <v>131</v>
      </c>
      <c r="AC822" t="s">
        <v>131</v>
      </c>
      <c r="AD822" t="s">
        <v>131</v>
      </c>
      <c r="AE822" t="s">
        <v>131</v>
      </c>
      <c r="AF822" t="s">
        <v>131</v>
      </c>
      <c r="AG822" t="s">
        <v>131</v>
      </c>
      <c r="AH822" t="s">
        <v>132</v>
      </c>
      <c r="AI822" t="s">
        <v>133</v>
      </c>
      <c r="AJ822" t="s">
        <v>3073</v>
      </c>
      <c r="AK822" t="s">
        <v>3074</v>
      </c>
      <c r="AL822" t="s">
        <v>162</v>
      </c>
      <c r="AM822" t="s">
        <v>41</v>
      </c>
      <c r="AN822" t="s">
        <v>9</v>
      </c>
      <c r="AO822" t="s">
        <v>249</v>
      </c>
      <c r="AP822" t="s">
        <v>250</v>
      </c>
      <c r="AQ822" t="s">
        <v>18</v>
      </c>
      <c r="AR822" t="s">
        <v>26</v>
      </c>
      <c r="AS822" t="s">
        <v>35</v>
      </c>
      <c r="AT822">
        <v>0.2</v>
      </c>
      <c r="AU822" t="s">
        <v>129</v>
      </c>
      <c r="AV822" t="s">
        <v>130</v>
      </c>
    </row>
    <row r="823" spans="1:48" x14ac:dyDescent="0.3">
      <c r="A823" t="s">
        <v>3075</v>
      </c>
      <c r="B823" s="12">
        <v>45476</v>
      </c>
      <c r="C823" s="12">
        <v>45479</v>
      </c>
      <c r="D823" t="s">
        <v>3076</v>
      </c>
      <c r="E823" t="s">
        <v>238</v>
      </c>
      <c r="F823" t="s">
        <v>43</v>
      </c>
      <c r="G823" t="s">
        <v>6</v>
      </c>
      <c r="H823" t="s">
        <v>294</v>
      </c>
      <c r="I823" t="s">
        <v>295</v>
      </c>
      <c r="J823" t="s">
        <v>15</v>
      </c>
      <c r="K823" t="s">
        <v>22</v>
      </c>
      <c r="M823" t="s">
        <v>36</v>
      </c>
      <c r="N823">
        <v>7</v>
      </c>
      <c r="O823">
        <v>1942.49</v>
      </c>
      <c r="P823">
        <v>0.2</v>
      </c>
      <c r="Q823">
        <v>0.2</v>
      </c>
      <c r="R823">
        <v>10877.94</v>
      </c>
      <c r="S823">
        <v>9110.14</v>
      </c>
      <c r="T823">
        <v>10877.944</v>
      </c>
      <c r="U823">
        <v>1767.8040000000001</v>
      </c>
      <c r="V823">
        <v>0.16251269541376601</v>
      </c>
      <c r="W823">
        <v>3</v>
      </c>
      <c r="X823" t="s">
        <v>128</v>
      </c>
      <c r="Y823">
        <v>2024</v>
      </c>
      <c r="Z823" t="s">
        <v>129</v>
      </c>
      <c r="AA823" t="s">
        <v>130</v>
      </c>
      <c r="AB823" t="s">
        <v>131</v>
      </c>
      <c r="AC823" t="s">
        <v>131</v>
      </c>
      <c r="AD823" t="s">
        <v>131</v>
      </c>
      <c r="AE823" t="s">
        <v>131</v>
      </c>
      <c r="AF823" t="s">
        <v>131</v>
      </c>
      <c r="AG823" t="s">
        <v>131</v>
      </c>
      <c r="AH823" t="s">
        <v>132</v>
      </c>
      <c r="AI823" t="s">
        <v>133</v>
      </c>
      <c r="AJ823" t="s">
        <v>3077</v>
      </c>
      <c r="AK823" t="s">
        <v>3078</v>
      </c>
      <c r="AL823" t="s">
        <v>238</v>
      </c>
      <c r="AM823" t="s">
        <v>43</v>
      </c>
      <c r="AN823" t="s">
        <v>6</v>
      </c>
      <c r="AO823" t="s">
        <v>294</v>
      </c>
      <c r="AP823" t="s">
        <v>295</v>
      </c>
      <c r="AQ823" t="s">
        <v>15</v>
      </c>
      <c r="AR823" t="s">
        <v>22</v>
      </c>
      <c r="AS823" t="s">
        <v>36</v>
      </c>
      <c r="AT823">
        <v>0.2</v>
      </c>
      <c r="AU823" t="s">
        <v>129</v>
      </c>
      <c r="AV823" t="s">
        <v>130</v>
      </c>
    </row>
    <row r="824" spans="1:48" x14ac:dyDescent="0.3">
      <c r="A824" t="s">
        <v>3079</v>
      </c>
      <c r="B824" s="12">
        <v>45577</v>
      </c>
      <c r="C824" s="12">
        <v>45573</v>
      </c>
      <c r="D824" t="s">
        <v>3080</v>
      </c>
      <c r="E824" t="s">
        <v>139</v>
      </c>
      <c r="F824" t="s">
        <v>43</v>
      </c>
      <c r="G824" t="s">
        <v>8</v>
      </c>
      <c r="H824" t="s">
        <v>283</v>
      </c>
      <c r="I824" t="s">
        <v>284</v>
      </c>
      <c r="J824" t="s">
        <v>18</v>
      </c>
      <c r="K824" t="s">
        <v>23</v>
      </c>
      <c r="M824" t="s">
        <v>37</v>
      </c>
      <c r="N824">
        <v>4</v>
      </c>
      <c r="O824">
        <v>3202.04</v>
      </c>
      <c r="P824">
        <v>0.2</v>
      </c>
      <c r="Q824">
        <v>0.2</v>
      </c>
      <c r="R824">
        <v>10246.530000000001</v>
      </c>
      <c r="S824">
        <v>8634.42</v>
      </c>
      <c r="T824">
        <v>10246.528</v>
      </c>
      <c r="U824">
        <v>1612.1079999999999</v>
      </c>
      <c r="V824">
        <v>0.15733212264681301</v>
      </c>
      <c r="W824">
        <v>-4</v>
      </c>
      <c r="X824" t="s">
        <v>222</v>
      </c>
      <c r="Y824">
        <v>2024</v>
      </c>
      <c r="Z824" t="s">
        <v>215</v>
      </c>
      <c r="AA824" t="s">
        <v>204</v>
      </c>
      <c r="AB824" t="s">
        <v>131</v>
      </c>
      <c r="AC824" t="s">
        <v>131</v>
      </c>
      <c r="AD824" t="s">
        <v>131</v>
      </c>
      <c r="AE824" t="s">
        <v>132</v>
      </c>
      <c r="AF824" t="s">
        <v>131</v>
      </c>
      <c r="AG824" t="s">
        <v>131</v>
      </c>
      <c r="AH824" t="s">
        <v>131</v>
      </c>
      <c r="AI824" t="s">
        <v>149</v>
      </c>
      <c r="AJ824" t="s">
        <v>3081</v>
      </c>
      <c r="AK824" t="s">
        <v>3082</v>
      </c>
      <c r="AL824" t="s">
        <v>139</v>
      </c>
      <c r="AM824" t="s">
        <v>43</v>
      </c>
      <c r="AN824" t="s">
        <v>8</v>
      </c>
      <c r="AO824" t="s">
        <v>283</v>
      </c>
      <c r="AP824" t="s">
        <v>284</v>
      </c>
      <c r="AQ824" t="s">
        <v>18</v>
      </c>
      <c r="AR824" t="s">
        <v>23</v>
      </c>
      <c r="AS824" t="s">
        <v>37</v>
      </c>
      <c r="AT824">
        <v>0.2</v>
      </c>
      <c r="AU824" t="s">
        <v>215</v>
      </c>
      <c r="AV824" t="s">
        <v>204</v>
      </c>
    </row>
    <row r="825" spans="1:48" x14ac:dyDescent="0.3">
      <c r="A825" t="s">
        <v>3083</v>
      </c>
      <c r="B825" s="12">
        <v>45663</v>
      </c>
      <c r="C825" s="12">
        <v>45669</v>
      </c>
      <c r="D825" t="s">
        <v>3084</v>
      </c>
      <c r="E825" t="s">
        <v>139</v>
      </c>
      <c r="F825" t="s">
        <v>41</v>
      </c>
      <c r="G825" t="s">
        <v>7</v>
      </c>
      <c r="H825" t="s">
        <v>311</v>
      </c>
      <c r="I825" t="s">
        <v>312</v>
      </c>
      <c r="J825" t="s">
        <v>20</v>
      </c>
      <c r="K825" t="s">
        <v>24</v>
      </c>
      <c r="M825" t="s">
        <v>38</v>
      </c>
      <c r="N825">
        <v>3</v>
      </c>
      <c r="O825">
        <v>668.33</v>
      </c>
      <c r="P825">
        <v>0.15</v>
      </c>
      <c r="Q825">
        <v>0.15</v>
      </c>
      <c r="R825">
        <v>1704.24</v>
      </c>
      <c r="S825">
        <v>957.55</v>
      </c>
      <c r="T825">
        <v>1704.2415000000001</v>
      </c>
      <c r="U825">
        <v>746.69150000000002</v>
      </c>
      <c r="V825">
        <v>0.43813714194848602</v>
      </c>
      <c r="W825">
        <v>6</v>
      </c>
      <c r="X825" t="s">
        <v>244</v>
      </c>
      <c r="Y825">
        <v>2025</v>
      </c>
      <c r="Z825" t="s">
        <v>129</v>
      </c>
      <c r="AA825" t="s">
        <v>130</v>
      </c>
      <c r="AB825" t="s">
        <v>131</v>
      </c>
      <c r="AC825" t="s">
        <v>131</v>
      </c>
      <c r="AD825" t="s">
        <v>131</v>
      </c>
      <c r="AE825" t="s">
        <v>131</v>
      </c>
      <c r="AF825" t="s">
        <v>131</v>
      </c>
      <c r="AG825" t="s">
        <v>131</v>
      </c>
      <c r="AH825" t="s">
        <v>132</v>
      </c>
      <c r="AI825" t="s">
        <v>133</v>
      </c>
      <c r="AJ825" t="s">
        <v>3085</v>
      </c>
      <c r="AK825" t="s">
        <v>1850</v>
      </c>
      <c r="AL825" t="s">
        <v>139</v>
      </c>
      <c r="AM825" t="s">
        <v>41</v>
      </c>
      <c r="AN825" t="s">
        <v>7</v>
      </c>
      <c r="AO825" t="s">
        <v>311</v>
      </c>
      <c r="AP825" t="s">
        <v>312</v>
      </c>
      <c r="AQ825" t="s">
        <v>20</v>
      </c>
      <c r="AR825" t="s">
        <v>24</v>
      </c>
      <c r="AS825" t="s">
        <v>38</v>
      </c>
      <c r="AT825">
        <v>0.15</v>
      </c>
      <c r="AU825" t="s">
        <v>129</v>
      </c>
      <c r="AV825" t="s">
        <v>130</v>
      </c>
    </row>
    <row r="826" spans="1:48" x14ac:dyDescent="0.3">
      <c r="A826" t="s">
        <v>3086</v>
      </c>
      <c r="B826" s="12">
        <v>45737</v>
      </c>
      <c r="C826" s="12">
        <v>45738</v>
      </c>
      <c r="D826" t="s">
        <v>3087</v>
      </c>
      <c r="E826" t="s">
        <v>221</v>
      </c>
      <c r="F826" t="s">
        <v>42</v>
      </c>
      <c r="G826" t="s">
        <v>7</v>
      </c>
      <c r="H826" t="s">
        <v>311</v>
      </c>
      <c r="I826" t="s">
        <v>312</v>
      </c>
      <c r="J826" t="s">
        <v>20</v>
      </c>
      <c r="K826" t="s">
        <v>24</v>
      </c>
      <c r="M826" t="s">
        <v>36</v>
      </c>
      <c r="N826">
        <v>8</v>
      </c>
      <c r="O826">
        <v>4436.74</v>
      </c>
      <c r="P826">
        <v>0.05</v>
      </c>
      <c r="Q826">
        <v>0.05</v>
      </c>
      <c r="R826">
        <v>33719.22</v>
      </c>
      <c r="S826">
        <v>28924.43</v>
      </c>
      <c r="T826">
        <v>33719.224000000002</v>
      </c>
      <c r="U826">
        <v>4794.7939999999899</v>
      </c>
      <c r="V826">
        <v>0.14219763776295699</v>
      </c>
      <c r="W826">
        <v>1</v>
      </c>
      <c r="X826" t="s">
        <v>278</v>
      </c>
      <c r="Y826">
        <v>2025</v>
      </c>
      <c r="Z826" t="s">
        <v>129</v>
      </c>
      <c r="AA826" t="s">
        <v>130</v>
      </c>
      <c r="AB826" t="s">
        <v>131</v>
      </c>
      <c r="AC826" t="s">
        <v>131</v>
      </c>
      <c r="AD826" t="s">
        <v>131</v>
      </c>
      <c r="AE826" t="s">
        <v>131</v>
      </c>
      <c r="AF826" t="s">
        <v>131</v>
      </c>
      <c r="AG826" t="s">
        <v>131</v>
      </c>
      <c r="AH826" t="s">
        <v>132</v>
      </c>
      <c r="AI826" t="s">
        <v>133</v>
      </c>
      <c r="AJ826" t="s">
        <v>3088</v>
      </c>
      <c r="AK826" t="s">
        <v>1799</v>
      </c>
      <c r="AL826" t="s">
        <v>221</v>
      </c>
      <c r="AM826" t="s">
        <v>42</v>
      </c>
      <c r="AN826" t="s">
        <v>7</v>
      </c>
      <c r="AO826" t="s">
        <v>311</v>
      </c>
      <c r="AP826" t="s">
        <v>312</v>
      </c>
      <c r="AQ826" t="s">
        <v>20</v>
      </c>
      <c r="AR826" t="s">
        <v>24</v>
      </c>
      <c r="AS826" t="s">
        <v>36</v>
      </c>
      <c r="AT826">
        <v>0.05</v>
      </c>
      <c r="AU826" t="s">
        <v>129</v>
      </c>
      <c r="AV826" t="s">
        <v>130</v>
      </c>
    </row>
    <row r="827" spans="1:48" x14ac:dyDescent="0.3">
      <c r="A827" t="s">
        <v>3089</v>
      </c>
      <c r="B827" s="12">
        <v>45763</v>
      </c>
      <c r="C827" s="12">
        <v>45764</v>
      </c>
      <c r="D827" t="s">
        <v>3090</v>
      </c>
      <c r="E827" t="s">
        <v>170</v>
      </c>
      <c r="F827" t="s">
        <v>44</v>
      </c>
      <c r="G827" t="s">
        <v>9</v>
      </c>
      <c r="H827" t="s">
        <v>249</v>
      </c>
      <c r="I827" t="s">
        <v>250</v>
      </c>
      <c r="J827" t="s">
        <v>15</v>
      </c>
      <c r="K827" t="s">
        <v>25</v>
      </c>
      <c r="M827" t="s">
        <v>36</v>
      </c>
      <c r="N827">
        <v>1</v>
      </c>
      <c r="O827">
        <v>2720.17</v>
      </c>
      <c r="P827">
        <v>0</v>
      </c>
      <c r="Q827">
        <v>0</v>
      </c>
      <c r="R827">
        <v>2720.17</v>
      </c>
      <c r="S827">
        <v>1834.23</v>
      </c>
      <c r="T827">
        <v>2720.17</v>
      </c>
      <c r="U827">
        <v>885.94</v>
      </c>
      <c r="V827">
        <v>0.32569287948914999</v>
      </c>
      <c r="W827">
        <v>1</v>
      </c>
      <c r="X827" t="s">
        <v>179</v>
      </c>
      <c r="Y827">
        <v>2025</v>
      </c>
      <c r="Z827" t="s">
        <v>129</v>
      </c>
      <c r="AA827" t="s">
        <v>130</v>
      </c>
      <c r="AB827" t="s">
        <v>131</v>
      </c>
      <c r="AC827" t="s">
        <v>131</v>
      </c>
      <c r="AD827" t="s">
        <v>131</v>
      </c>
      <c r="AE827" t="s">
        <v>131</v>
      </c>
      <c r="AF827" t="s">
        <v>131</v>
      </c>
      <c r="AG827" t="s">
        <v>131</v>
      </c>
      <c r="AH827" t="s">
        <v>132</v>
      </c>
      <c r="AI827" t="s">
        <v>133</v>
      </c>
      <c r="AJ827" t="s">
        <v>3091</v>
      </c>
      <c r="AK827" t="s">
        <v>3092</v>
      </c>
      <c r="AL827" t="s">
        <v>170</v>
      </c>
      <c r="AM827" t="s">
        <v>44</v>
      </c>
      <c r="AN827" t="s">
        <v>9</v>
      </c>
      <c r="AO827" t="s">
        <v>249</v>
      </c>
      <c r="AP827" t="s">
        <v>250</v>
      </c>
      <c r="AQ827" t="s">
        <v>15</v>
      </c>
      <c r="AR827" t="s">
        <v>25</v>
      </c>
      <c r="AS827" t="s">
        <v>36</v>
      </c>
      <c r="AT827">
        <v>0</v>
      </c>
      <c r="AU827" t="s">
        <v>129</v>
      </c>
      <c r="AV827" t="s">
        <v>130</v>
      </c>
    </row>
    <row r="828" spans="1:48" x14ac:dyDescent="0.3">
      <c r="A828" t="s">
        <v>3093</v>
      </c>
      <c r="B828" s="12">
        <v>45879</v>
      </c>
      <c r="C828" s="12">
        <v>45883</v>
      </c>
      <c r="D828" t="s">
        <v>3094</v>
      </c>
      <c r="E828" t="s">
        <v>191</v>
      </c>
      <c r="F828" t="s">
        <v>42</v>
      </c>
      <c r="G828" t="s">
        <v>7</v>
      </c>
      <c r="H828" t="s">
        <v>126</v>
      </c>
      <c r="I828" t="s">
        <v>213</v>
      </c>
      <c r="J828" t="s">
        <v>15</v>
      </c>
      <c r="K828" t="s">
        <v>22</v>
      </c>
      <c r="M828" t="s">
        <v>35</v>
      </c>
      <c r="N828">
        <v>5</v>
      </c>
      <c r="O828">
        <v>2190.14</v>
      </c>
      <c r="P828">
        <v>0.25</v>
      </c>
      <c r="Q828">
        <v>0.25</v>
      </c>
      <c r="R828">
        <v>8213.02</v>
      </c>
      <c r="S828">
        <v>5569.3</v>
      </c>
      <c r="T828">
        <v>8213.0249999999996</v>
      </c>
      <c r="U828">
        <v>2643.7249999999999</v>
      </c>
      <c r="V828">
        <v>0.32189418636860301</v>
      </c>
      <c r="W828">
        <v>4</v>
      </c>
      <c r="X828" t="s">
        <v>142</v>
      </c>
      <c r="Y828">
        <v>2025</v>
      </c>
      <c r="Z828" t="s">
        <v>129</v>
      </c>
      <c r="AA828" t="s">
        <v>130</v>
      </c>
      <c r="AB828" t="s">
        <v>131</v>
      </c>
      <c r="AC828" t="s">
        <v>131</v>
      </c>
      <c r="AD828" t="s">
        <v>131</v>
      </c>
      <c r="AE828" t="s">
        <v>131</v>
      </c>
      <c r="AF828" t="s">
        <v>131</v>
      </c>
      <c r="AG828" t="s">
        <v>131</v>
      </c>
      <c r="AH828" t="s">
        <v>132</v>
      </c>
      <c r="AI828" t="s">
        <v>133</v>
      </c>
      <c r="AJ828" t="s">
        <v>2567</v>
      </c>
      <c r="AK828" t="s">
        <v>3095</v>
      </c>
      <c r="AL828" t="s">
        <v>191</v>
      </c>
      <c r="AM828" t="s">
        <v>42</v>
      </c>
      <c r="AN828" t="s">
        <v>7</v>
      </c>
      <c r="AO828" t="s">
        <v>126</v>
      </c>
      <c r="AP828" t="s">
        <v>213</v>
      </c>
      <c r="AQ828" t="s">
        <v>15</v>
      </c>
      <c r="AR828" t="s">
        <v>22</v>
      </c>
      <c r="AS828" t="s">
        <v>35</v>
      </c>
      <c r="AT828">
        <v>0.25</v>
      </c>
      <c r="AU828" t="s">
        <v>129</v>
      </c>
      <c r="AV828" t="s">
        <v>130</v>
      </c>
    </row>
    <row r="829" spans="1:48" x14ac:dyDescent="0.3">
      <c r="A829" t="s">
        <v>3096</v>
      </c>
      <c r="B829" s="12">
        <v>45620</v>
      </c>
      <c r="C829" s="12">
        <v>45627</v>
      </c>
      <c r="D829" t="s">
        <v>3097</v>
      </c>
      <c r="E829" t="s">
        <v>221</v>
      </c>
      <c r="F829" t="s">
        <v>41</v>
      </c>
      <c r="G829" t="s">
        <v>6</v>
      </c>
      <c r="H829" t="s">
        <v>385</v>
      </c>
      <c r="I829" t="s">
        <v>386</v>
      </c>
      <c r="J829" t="s">
        <v>20</v>
      </c>
      <c r="K829" t="s">
        <v>24</v>
      </c>
      <c r="M829" t="s">
        <v>38</v>
      </c>
      <c r="N829">
        <v>1</v>
      </c>
      <c r="O829">
        <v>844.89</v>
      </c>
      <c r="P829">
        <v>0.25</v>
      </c>
      <c r="Q829">
        <v>0.25</v>
      </c>
      <c r="R829">
        <v>633.66999999999996</v>
      </c>
      <c r="S829">
        <v>520.47</v>
      </c>
      <c r="T829">
        <v>633.66750000000002</v>
      </c>
      <c r="U829">
        <v>113.19750000000001</v>
      </c>
      <c r="V829">
        <v>0.178638639349501</v>
      </c>
      <c r="W829">
        <v>7</v>
      </c>
      <c r="X829" t="s">
        <v>157</v>
      </c>
      <c r="Y829">
        <v>2024</v>
      </c>
      <c r="Z829" t="s">
        <v>129</v>
      </c>
      <c r="AA829" t="s">
        <v>165</v>
      </c>
      <c r="AB829" t="s">
        <v>131</v>
      </c>
      <c r="AC829" t="s">
        <v>131</v>
      </c>
      <c r="AD829" t="s">
        <v>131</v>
      </c>
      <c r="AE829" t="s">
        <v>131</v>
      </c>
      <c r="AF829" t="s">
        <v>131</v>
      </c>
      <c r="AG829" t="s">
        <v>131</v>
      </c>
      <c r="AH829" t="s">
        <v>131</v>
      </c>
      <c r="AI829" t="s">
        <v>133</v>
      </c>
      <c r="AJ829" t="s">
        <v>3098</v>
      </c>
      <c r="AK829" t="s">
        <v>1514</v>
      </c>
      <c r="AL829" t="s">
        <v>221</v>
      </c>
      <c r="AM829" t="s">
        <v>41</v>
      </c>
      <c r="AN829" t="s">
        <v>6</v>
      </c>
      <c r="AO829" t="s">
        <v>385</v>
      </c>
      <c r="AP829" t="s">
        <v>386</v>
      </c>
      <c r="AQ829" t="s">
        <v>20</v>
      </c>
      <c r="AR829" t="s">
        <v>24</v>
      </c>
      <c r="AS829" t="s">
        <v>38</v>
      </c>
      <c r="AT829">
        <v>0.25</v>
      </c>
      <c r="AU829" t="s">
        <v>129</v>
      </c>
      <c r="AV829" t="s">
        <v>165</v>
      </c>
    </row>
    <row r="830" spans="1:48" x14ac:dyDescent="0.3">
      <c r="A830" t="s">
        <v>3099</v>
      </c>
      <c r="B830" s="12">
        <v>45940</v>
      </c>
      <c r="C830" s="12">
        <v>45941</v>
      </c>
      <c r="D830" t="s">
        <v>3100</v>
      </c>
      <c r="E830" t="s">
        <v>125</v>
      </c>
      <c r="F830" t="s">
        <v>43</v>
      </c>
      <c r="G830" t="s">
        <v>8</v>
      </c>
      <c r="H830" t="s">
        <v>140</v>
      </c>
      <c r="I830" t="s">
        <v>141</v>
      </c>
      <c r="J830" t="s">
        <v>18</v>
      </c>
      <c r="K830" t="s">
        <v>19</v>
      </c>
      <c r="M830" t="s">
        <v>37</v>
      </c>
      <c r="N830">
        <v>7</v>
      </c>
      <c r="O830">
        <v>3791.96</v>
      </c>
      <c r="P830">
        <v>0.05</v>
      </c>
      <c r="Q830">
        <v>0.05</v>
      </c>
      <c r="R830">
        <v>25216.53</v>
      </c>
      <c r="S830">
        <v>14216.94</v>
      </c>
      <c r="T830">
        <v>25216.534</v>
      </c>
      <c r="U830">
        <v>10999.593999999999</v>
      </c>
      <c r="V830">
        <v>0.43620562603885199</v>
      </c>
      <c r="W830">
        <v>1</v>
      </c>
      <c r="X830" t="s">
        <v>222</v>
      </c>
      <c r="Y830">
        <v>2025</v>
      </c>
      <c r="Z830" t="s">
        <v>269</v>
      </c>
      <c r="AA830" t="s">
        <v>165</v>
      </c>
      <c r="AB830" t="s">
        <v>131</v>
      </c>
      <c r="AC830" t="s">
        <v>131</v>
      </c>
      <c r="AD830" t="s">
        <v>131</v>
      </c>
      <c r="AE830" t="s">
        <v>131</v>
      </c>
      <c r="AF830" t="s">
        <v>131</v>
      </c>
      <c r="AG830" t="s">
        <v>131</v>
      </c>
      <c r="AH830" t="s">
        <v>131</v>
      </c>
      <c r="AI830" t="s">
        <v>133</v>
      </c>
      <c r="AJ830" t="s">
        <v>3101</v>
      </c>
      <c r="AK830" t="s">
        <v>3102</v>
      </c>
      <c r="AL830" t="s">
        <v>3103</v>
      </c>
      <c r="AM830" t="s">
        <v>43</v>
      </c>
      <c r="AN830" t="s">
        <v>8</v>
      </c>
      <c r="AO830" t="s">
        <v>140</v>
      </c>
      <c r="AP830" t="s">
        <v>141</v>
      </c>
      <c r="AQ830" t="s">
        <v>18</v>
      </c>
      <c r="AR830" t="s">
        <v>19</v>
      </c>
      <c r="AS830" t="s">
        <v>37</v>
      </c>
      <c r="AT830">
        <v>0.05</v>
      </c>
      <c r="AU830" t="s">
        <v>269</v>
      </c>
      <c r="AV830" t="s">
        <v>165</v>
      </c>
    </row>
    <row r="831" spans="1:48" x14ac:dyDescent="0.3">
      <c r="A831" t="s">
        <v>3104</v>
      </c>
      <c r="B831" s="12">
        <v>45348</v>
      </c>
      <c r="C831" s="12">
        <v>45350</v>
      </c>
      <c r="D831" t="s">
        <v>3105</v>
      </c>
      <c r="E831" t="s">
        <v>191</v>
      </c>
      <c r="F831" t="s">
        <v>44</v>
      </c>
      <c r="G831" t="s">
        <v>7</v>
      </c>
      <c r="H831" t="s">
        <v>311</v>
      </c>
      <c r="I831" t="s">
        <v>312</v>
      </c>
      <c r="J831" t="s">
        <v>18</v>
      </c>
      <c r="K831" t="s">
        <v>23</v>
      </c>
      <c r="M831" t="s">
        <v>37</v>
      </c>
      <c r="N831">
        <v>7</v>
      </c>
      <c r="O831">
        <v>1035.1400000000001</v>
      </c>
      <c r="P831">
        <v>0.1</v>
      </c>
      <c r="Q831">
        <v>0.1</v>
      </c>
      <c r="R831">
        <v>6521.38</v>
      </c>
      <c r="S831">
        <v>4511.1000000000004</v>
      </c>
      <c r="T831">
        <v>6521.3819999999996</v>
      </c>
      <c r="U831">
        <v>2010.2819999999999</v>
      </c>
      <c r="V831">
        <v>0.30826012032418898</v>
      </c>
      <c r="W831">
        <v>2</v>
      </c>
      <c r="X831" t="s">
        <v>186</v>
      </c>
      <c r="Y831">
        <v>2024</v>
      </c>
      <c r="Z831" t="s">
        <v>129</v>
      </c>
      <c r="AA831" t="s">
        <v>130</v>
      </c>
      <c r="AB831" t="s">
        <v>131</v>
      </c>
      <c r="AC831" t="s">
        <v>131</v>
      </c>
      <c r="AD831" t="s">
        <v>131</v>
      </c>
      <c r="AE831" t="s">
        <v>131</v>
      </c>
      <c r="AF831" t="s">
        <v>131</v>
      </c>
      <c r="AG831" t="s">
        <v>131</v>
      </c>
      <c r="AH831" t="s">
        <v>132</v>
      </c>
      <c r="AI831" t="s">
        <v>133</v>
      </c>
      <c r="AJ831" t="s">
        <v>3106</v>
      </c>
      <c r="AK831" t="s">
        <v>1298</v>
      </c>
      <c r="AL831" t="s">
        <v>191</v>
      </c>
      <c r="AM831" t="s">
        <v>44</v>
      </c>
      <c r="AN831" t="s">
        <v>7</v>
      </c>
      <c r="AO831" t="s">
        <v>311</v>
      </c>
      <c r="AP831" t="s">
        <v>312</v>
      </c>
      <c r="AQ831" t="s">
        <v>18</v>
      </c>
      <c r="AR831" t="s">
        <v>23</v>
      </c>
      <c r="AS831" t="s">
        <v>37</v>
      </c>
      <c r="AT831">
        <v>0.1</v>
      </c>
      <c r="AU831" t="s">
        <v>129</v>
      </c>
      <c r="AV831" t="s">
        <v>130</v>
      </c>
    </row>
    <row r="832" spans="1:48" x14ac:dyDescent="0.3">
      <c r="A832" t="s">
        <v>3107</v>
      </c>
      <c r="B832" s="12">
        <v>45853</v>
      </c>
      <c r="C832" s="12">
        <v>45856</v>
      </c>
      <c r="D832" t="s">
        <v>3108</v>
      </c>
      <c r="E832" t="s">
        <v>191</v>
      </c>
      <c r="F832" t="s">
        <v>44</v>
      </c>
      <c r="G832" t="s">
        <v>10</v>
      </c>
      <c r="H832" t="s">
        <v>385</v>
      </c>
      <c r="I832" t="s">
        <v>386</v>
      </c>
      <c r="J832" t="s">
        <v>15</v>
      </c>
      <c r="K832" t="s">
        <v>25</v>
      </c>
      <c r="M832" t="s">
        <v>36</v>
      </c>
      <c r="N832">
        <v>6</v>
      </c>
      <c r="O832">
        <v>2382.88</v>
      </c>
      <c r="P832">
        <v>0.1</v>
      </c>
      <c r="Q832">
        <v>0.1</v>
      </c>
      <c r="R832">
        <v>12867.55</v>
      </c>
      <c r="S832">
        <v>10068.94</v>
      </c>
      <c r="T832">
        <v>12867.552</v>
      </c>
      <c r="U832">
        <v>2798.6120000000001</v>
      </c>
      <c r="V832">
        <v>0.217493739290892</v>
      </c>
      <c r="W832">
        <v>3</v>
      </c>
      <c r="X832" t="s">
        <v>128</v>
      </c>
      <c r="Y832">
        <v>2025</v>
      </c>
      <c r="Z832" t="s">
        <v>129</v>
      </c>
      <c r="AA832" t="s">
        <v>130</v>
      </c>
      <c r="AB832" t="s">
        <v>132</v>
      </c>
      <c r="AC832" t="s">
        <v>131</v>
      </c>
      <c r="AD832" t="s">
        <v>131</v>
      </c>
      <c r="AE832" t="s">
        <v>131</v>
      </c>
      <c r="AF832" t="s">
        <v>131</v>
      </c>
      <c r="AG832" t="s">
        <v>131</v>
      </c>
      <c r="AH832" t="s">
        <v>132</v>
      </c>
      <c r="AI832" t="s">
        <v>321</v>
      </c>
      <c r="AJ832" t="s">
        <v>2417</v>
      </c>
      <c r="AK832" t="s">
        <v>699</v>
      </c>
      <c r="AL832" t="s">
        <v>191</v>
      </c>
      <c r="AM832" t="s">
        <v>44</v>
      </c>
      <c r="AO832" t="s">
        <v>385</v>
      </c>
      <c r="AP832" t="s">
        <v>386</v>
      </c>
      <c r="AQ832" t="s">
        <v>15</v>
      </c>
      <c r="AR832" t="s">
        <v>25</v>
      </c>
      <c r="AS832" t="s">
        <v>36</v>
      </c>
      <c r="AT832">
        <v>0.1</v>
      </c>
      <c r="AU832" t="s">
        <v>129</v>
      </c>
      <c r="AV832" t="s">
        <v>130</v>
      </c>
    </row>
    <row r="833" spans="1:48" x14ac:dyDescent="0.3">
      <c r="A833" t="s">
        <v>3109</v>
      </c>
      <c r="B833" s="12">
        <v>45750</v>
      </c>
      <c r="C833" s="12">
        <v>45750</v>
      </c>
      <c r="D833" t="s">
        <v>3110</v>
      </c>
      <c r="E833" t="s">
        <v>277</v>
      </c>
      <c r="F833" t="s">
        <v>41</v>
      </c>
      <c r="G833" t="s">
        <v>10</v>
      </c>
      <c r="H833" t="s">
        <v>372</v>
      </c>
      <c r="I833" t="s">
        <v>373</v>
      </c>
      <c r="J833" t="s">
        <v>18</v>
      </c>
      <c r="K833" t="s">
        <v>19</v>
      </c>
      <c r="M833" t="s">
        <v>36</v>
      </c>
      <c r="N833">
        <v>9</v>
      </c>
      <c r="O833">
        <v>3462.7</v>
      </c>
      <c r="P833">
        <v>0.15</v>
      </c>
      <c r="Q833">
        <v>0.15</v>
      </c>
      <c r="R833">
        <v>26489.65</v>
      </c>
      <c r="S833">
        <v>15818.46</v>
      </c>
      <c r="T833">
        <v>26489.654999999999</v>
      </c>
      <c r="U833">
        <v>10671.195</v>
      </c>
      <c r="V833">
        <v>0.402843864897448</v>
      </c>
      <c r="W833">
        <v>0</v>
      </c>
      <c r="X833" t="s">
        <v>179</v>
      </c>
      <c r="Y833">
        <v>2025</v>
      </c>
      <c r="Z833" t="s">
        <v>269</v>
      </c>
      <c r="AA833" t="s">
        <v>204</v>
      </c>
      <c r="AB833" t="s">
        <v>132</v>
      </c>
      <c r="AC833" t="s">
        <v>131</v>
      </c>
      <c r="AD833" t="s">
        <v>131</v>
      </c>
      <c r="AE833" t="s">
        <v>131</v>
      </c>
      <c r="AF833" t="s">
        <v>131</v>
      </c>
      <c r="AG833" t="s">
        <v>131</v>
      </c>
      <c r="AH833" t="s">
        <v>131</v>
      </c>
      <c r="AI833" t="s">
        <v>321</v>
      </c>
      <c r="AJ833" t="s">
        <v>494</v>
      </c>
      <c r="AK833" t="s">
        <v>2684</v>
      </c>
      <c r="AL833" t="s">
        <v>277</v>
      </c>
      <c r="AM833" t="s">
        <v>41</v>
      </c>
      <c r="AO833" t="s">
        <v>372</v>
      </c>
      <c r="AP833" t="s">
        <v>373</v>
      </c>
      <c r="AQ833" t="s">
        <v>18</v>
      </c>
      <c r="AR833" t="s">
        <v>19</v>
      </c>
      <c r="AS833" t="s">
        <v>36</v>
      </c>
      <c r="AT833">
        <v>0.15</v>
      </c>
      <c r="AU833" t="s">
        <v>269</v>
      </c>
      <c r="AV833" t="s">
        <v>204</v>
      </c>
    </row>
    <row r="834" spans="1:48" x14ac:dyDescent="0.3">
      <c r="A834" t="s">
        <v>3111</v>
      </c>
      <c r="B834" s="12">
        <v>45803</v>
      </c>
      <c r="C834" s="12">
        <v>45805</v>
      </c>
      <c r="D834" t="s">
        <v>3112</v>
      </c>
      <c r="E834" t="s">
        <v>409</v>
      </c>
      <c r="F834" t="s">
        <v>44</v>
      </c>
      <c r="G834" t="s">
        <v>6</v>
      </c>
      <c r="H834" t="s">
        <v>184</v>
      </c>
      <c r="I834" t="s">
        <v>185</v>
      </c>
      <c r="J834" t="s">
        <v>15</v>
      </c>
      <c r="K834" t="s">
        <v>17</v>
      </c>
      <c r="M834" t="s">
        <v>37</v>
      </c>
      <c r="N834">
        <v>9</v>
      </c>
      <c r="O834">
        <v>4302.0200000000004</v>
      </c>
      <c r="P834">
        <v>0.05</v>
      </c>
      <c r="Q834">
        <v>0.05</v>
      </c>
      <c r="R834">
        <v>36782.269999999997</v>
      </c>
      <c r="S834">
        <v>25902.81</v>
      </c>
      <c r="T834">
        <v>36782.271000000001</v>
      </c>
      <c r="U834">
        <v>10879.460999999999</v>
      </c>
      <c r="V834">
        <v>0.29578002402298698</v>
      </c>
      <c r="W834">
        <v>2</v>
      </c>
      <c r="X834" t="s">
        <v>173</v>
      </c>
      <c r="Y834">
        <v>2025</v>
      </c>
      <c r="Z834" t="s">
        <v>129</v>
      </c>
      <c r="AA834" t="s">
        <v>130</v>
      </c>
      <c r="AB834" t="s">
        <v>131</v>
      </c>
      <c r="AC834" t="s">
        <v>131</v>
      </c>
      <c r="AD834" t="s">
        <v>131</v>
      </c>
      <c r="AE834" t="s">
        <v>131</v>
      </c>
      <c r="AF834" t="s">
        <v>131</v>
      </c>
      <c r="AG834" t="s">
        <v>131</v>
      </c>
      <c r="AH834" t="s">
        <v>132</v>
      </c>
      <c r="AI834" t="s">
        <v>133</v>
      </c>
      <c r="AJ834" t="s">
        <v>3113</v>
      </c>
      <c r="AK834" t="s">
        <v>3114</v>
      </c>
      <c r="AL834" t="s">
        <v>409</v>
      </c>
      <c r="AM834" t="s">
        <v>44</v>
      </c>
      <c r="AN834" t="s">
        <v>6</v>
      </c>
      <c r="AO834" t="s">
        <v>184</v>
      </c>
      <c r="AP834" t="s">
        <v>185</v>
      </c>
      <c r="AQ834" t="s">
        <v>15</v>
      </c>
      <c r="AR834" t="s">
        <v>17</v>
      </c>
      <c r="AS834" t="s">
        <v>37</v>
      </c>
      <c r="AT834">
        <v>0.05</v>
      </c>
      <c r="AU834" t="s">
        <v>129</v>
      </c>
      <c r="AV834" t="s">
        <v>130</v>
      </c>
    </row>
    <row r="835" spans="1:48" x14ac:dyDescent="0.3">
      <c r="A835" t="s">
        <v>3115</v>
      </c>
      <c r="B835" s="12">
        <v>45447</v>
      </c>
      <c r="C835" s="12">
        <v>45447</v>
      </c>
      <c r="D835" t="s">
        <v>3116</v>
      </c>
      <c r="E835" t="s">
        <v>227</v>
      </c>
      <c r="F835" t="s">
        <v>41</v>
      </c>
      <c r="G835" t="s">
        <v>8</v>
      </c>
      <c r="H835" t="s">
        <v>201</v>
      </c>
      <c r="I835" t="s">
        <v>202</v>
      </c>
      <c r="J835" t="s">
        <v>18</v>
      </c>
      <c r="K835" t="s">
        <v>26</v>
      </c>
      <c r="M835" t="s">
        <v>36</v>
      </c>
      <c r="N835">
        <v>6</v>
      </c>
      <c r="O835">
        <v>3949.4</v>
      </c>
      <c r="P835">
        <v>0</v>
      </c>
      <c r="Q835">
        <v>0</v>
      </c>
      <c r="R835">
        <v>23696.400000000001</v>
      </c>
      <c r="S835">
        <v>18109.77</v>
      </c>
      <c r="T835">
        <v>23696.400000000001</v>
      </c>
      <c r="U835">
        <v>5586.63</v>
      </c>
      <c r="V835">
        <v>0.23575859624246701</v>
      </c>
      <c r="W835">
        <v>0</v>
      </c>
      <c r="X835" t="s">
        <v>148</v>
      </c>
      <c r="Y835">
        <v>2024</v>
      </c>
      <c r="Z835" t="s">
        <v>129</v>
      </c>
      <c r="AA835" t="s">
        <v>130</v>
      </c>
      <c r="AB835" t="s">
        <v>131</v>
      </c>
      <c r="AC835" t="s">
        <v>131</v>
      </c>
      <c r="AD835" t="s">
        <v>131</v>
      </c>
      <c r="AE835" t="s">
        <v>131</v>
      </c>
      <c r="AF835" t="s">
        <v>131</v>
      </c>
      <c r="AG835" t="s">
        <v>131</v>
      </c>
      <c r="AH835" t="s">
        <v>132</v>
      </c>
      <c r="AI835" t="s">
        <v>133</v>
      </c>
      <c r="AJ835" t="s">
        <v>3117</v>
      </c>
      <c r="AK835" t="s">
        <v>3118</v>
      </c>
      <c r="AL835" t="s">
        <v>227</v>
      </c>
      <c r="AM835" t="s">
        <v>41</v>
      </c>
      <c r="AN835" t="s">
        <v>8</v>
      </c>
      <c r="AO835" t="s">
        <v>201</v>
      </c>
      <c r="AP835" t="s">
        <v>202</v>
      </c>
      <c r="AQ835" t="s">
        <v>18</v>
      </c>
      <c r="AR835" t="s">
        <v>26</v>
      </c>
      <c r="AS835" t="s">
        <v>36</v>
      </c>
      <c r="AT835">
        <v>0</v>
      </c>
      <c r="AU835" t="s">
        <v>129</v>
      </c>
      <c r="AV835" t="s">
        <v>130</v>
      </c>
    </row>
    <row r="836" spans="1:48" x14ac:dyDescent="0.3">
      <c r="A836" t="s">
        <v>3119</v>
      </c>
      <c r="B836" s="12">
        <v>45583</v>
      </c>
      <c r="C836" s="12">
        <v>45587</v>
      </c>
      <c r="D836" t="s">
        <v>3120</v>
      </c>
      <c r="E836" t="s">
        <v>238</v>
      </c>
      <c r="F836" t="s">
        <v>41</v>
      </c>
      <c r="G836" t="s">
        <v>6</v>
      </c>
      <c r="H836" t="s">
        <v>155</v>
      </c>
      <c r="I836" t="s">
        <v>156</v>
      </c>
      <c r="J836" t="s">
        <v>20</v>
      </c>
      <c r="K836" t="s">
        <v>29</v>
      </c>
      <c r="M836" t="s">
        <v>36</v>
      </c>
      <c r="N836">
        <v>6</v>
      </c>
      <c r="O836">
        <v>674.61</v>
      </c>
      <c r="P836">
        <v>0</v>
      </c>
      <c r="Q836">
        <v>0</v>
      </c>
      <c r="R836">
        <v>4047.66</v>
      </c>
      <c r="S836">
        <v>3078.93</v>
      </c>
      <c r="T836">
        <v>4047.66</v>
      </c>
      <c r="U836">
        <v>968.73</v>
      </c>
      <c r="V836">
        <v>0.23933087265234701</v>
      </c>
      <c r="W836">
        <v>4</v>
      </c>
      <c r="X836" t="s">
        <v>222</v>
      </c>
      <c r="Y836">
        <v>2024</v>
      </c>
      <c r="Z836" t="s">
        <v>129</v>
      </c>
      <c r="AA836" t="s">
        <v>130</v>
      </c>
      <c r="AB836" t="s">
        <v>131</v>
      </c>
      <c r="AC836" t="s">
        <v>131</v>
      </c>
      <c r="AD836" t="s">
        <v>131</v>
      </c>
      <c r="AE836" t="s">
        <v>131</v>
      </c>
      <c r="AF836" t="s">
        <v>131</v>
      </c>
      <c r="AG836" t="s">
        <v>131</v>
      </c>
      <c r="AH836" t="s">
        <v>132</v>
      </c>
      <c r="AI836" t="s">
        <v>133</v>
      </c>
      <c r="AJ836" t="s">
        <v>302</v>
      </c>
      <c r="AK836" t="s">
        <v>3121</v>
      </c>
      <c r="AL836" t="s">
        <v>238</v>
      </c>
      <c r="AM836" t="s">
        <v>41</v>
      </c>
      <c r="AN836" t="s">
        <v>6</v>
      </c>
      <c r="AO836" t="s">
        <v>155</v>
      </c>
      <c r="AP836" t="s">
        <v>156</v>
      </c>
      <c r="AQ836" t="s">
        <v>20</v>
      </c>
      <c r="AR836" t="s">
        <v>29</v>
      </c>
      <c r="AS836" t="s">
        <v>36</v>
      </c>
      <c r="AT836">
        <v>0</v>
      </c>
      <c r="AU836" t="s">
        <v>129</v>
      </c>
      <c r="AV836" t="s">
        <v>130</v>
      </c>
    </row>
    <row r="837" spans="1:48" x14ac:dyDescent="0.3">
      <c r="A837" t="s">
        <v>3122</v>
      </c>
      <c r="B837" s="12">
        <v>45926</v>
      </c>
      <c r="C837" s="12">
        <v>45934</v>
      </c>
      <c r="D837" t="s">
        <v>3123</v>
      </c>
      <c r="E837" t="s">
        <v>221</v>
      </c>
      <c r="F837" t="s">
        <v>44</v>
      </c>
      <c r="G837" t="s">
        <v>8</v>
      </c>
      <c r="H837" t="s">
        <v>283</v>
      </c>
      <c r="I837" t="s">
        <v>284</v>
      </c>
      <c r="J837" t="s">
        <v>15</v>
      </c>
      <c r="K837" t="s">
        <v>17</v>
      </c>
      <c r="M837" t="s">
        <v>37</v>
      </c>
      <c r="N837">
        <v>7</v>
      </c>
      <c r="O837">
        <v>1509.59</v>
      </c>
      <c r="P837">
        <v>0.05</v>
      </c>
      <c r="Q837">
        <v>0.05</v>
      </c>
      <c r="R837">
        <v>10038.77</v>
      </c>
      <c r="S837">
        <v>5673.1</v>
      </c>
      <c r="T837">
        <v>10038.773499999999</v>
      </c>
      <c r="U837">
        <v>4365.6734999999999</v>
      </c>
      <c r="V837">
        <v>0.434881163520623</v>
      </c>
      <c r="W837">
        <v>8</v>
      </c>
      <c r="X837" t="s">
        <v>196</v>
      </c>
      <c r="Y837">
        <v>2025</v>
      </c>
      <c r="Z837" t="s">
        <v>129</v>
      </c>
      <c r="AA837" t="s">
        <v>130</v>
      </c>
      <c r="AB837" t="s">
        <v>131</v>
      </c>
      <c r="AC837" t="s">
        <v>131</v>
      </c>
      <c r="AD837" t="s">
        <v>131</v>
      </c>
      <c r="AE837" t="s">
        <v>131</v>
      </c>
      <c r="AF837" t="s">
        <v>131</v>
      </c>
      <c r="AG837" t="s">
        <v>131</v>
      </c>
      <c r="AH837" t="s">
        <v>132</v>
      </c>
      <c r="AI837" t="s">
        <v>133</v>
      </c>
      <c r="AJ837" t="s">
        <v>2296</v>
      </c>
      <c r="AK837" t="s">
        <v>886</v>
      </c>
      <c r="AL837" t="s">
        <v>221</v>
      </c>
      <c r="AM837" t="s">
        <v>44</v>
      </c>
      <c r="AN837" t="s">
        <v>8</v>
      </c>
      <c r="AO837" t="s">
        <v>283</v>
      </c>
      <c r="AP837" t="s">
        <v>284</v>
      </c>
      <c r="AQ837" t="s">
        <v>15</v>
      </c>
      <c r="AR837" t="s">
        <v>17</v>
      </c>
      <c r="AS837" t="s">
        <v>37</v>
      </c>
      <c r="AT837">
        <v>0.05</v>
      </c>
      <c r="AU837" t="s">
        <v>129</v>
      </c>
      <c r="AV837" t="s">
        <v>130</v>
      </c>
    </row>
    <row r="838" spans="1:48" x14ac:dyDescent="0.3">
      <c r="A838" t="s">
        <v>3124</v>
      </c>
      <c r="B838" s="12">
        <v>45641</v>
      </c>
      <c r="C838" s="12">
        <v>45644</v>
      </c>
      <c r="D838" t="s">
        <v>3125</v>
      </c>
      <c r="E838" t="s">
        <v>147</v>
      </c>
      <c r="F838" t="s">
        <v>44</v>
      </c>
      <c r="G838" t="s">
        <v>9</v>
      </c>
      <c r="H838" t="s">
        <v>126</v>
      </c>
      <c r="I838" t="s">
        <v>127</v>
      </c>
      <c r="J838" t="s">
        <v>20</v>
      </c>
      <c r="K838" t="s">
        <v>30</v>
      </c>
      <c r="M838" t="s">
        <v>37</v>
      </c>
      <c r="N838">
        <v>2</v>
      </c>
      <c r="O838">
        <v>537.11</v>
      </c>
      <c r="P838">
        <v>0</v>
      </c>
      <c r="Q838">
        <v>0</v>
      </c>
      <c r="R838">
        <v>1074.22</v>
      </c>
      <c r="S838">
        <v>850.86</v>
      </c>
      <c r="T838">
        <v>1074.22</v>
      </c>
      <c r="U838">
        <v>223.36</v>
      </c>
      <c r="V838">
        <v>0.20792761259332401</v>
      </c>
      <c r="W838">
        <v>3</v>
      </c>
      <c r="X838" t="s">
        <v>214</v>
      </c>
      <c r="Y838">
        <v>2024</v>
      </c>
      <c r="Z838" t="s">
        <v>129</v>
      </c>
      <c r="AA838" t="s">
        <v>130</v>
      </c>
      <c r="AB838" t="s">
        <v>131</v>
      </c>
      <c r="AC838" t="s">
        <v>131</v>
      </c>
      <c r="AD838" t="s">
        <v>131</v>
      </c>
      <c r="AE838" t="s">
        <v>131</v>
      </c>
      <c r="AF838" t="s">
        <v>131</v>
      </c>
      <c r="AG838" t="s">
        <v>131</v>
      </c>
      <c r="AH838" t="s">
        <v>132</v>
      </c>
      <c r="AI838" t="s">
        <v>133</v>
      </c>
      <c r="AJ838" t="s">
        <v>2072</v>
      </c>
      <c r="AK838" t="s">
        <v>3126</v>
      </c>
      <c r="AL838" t="s">
        <v>147</v>
      </c>
      <c r="AM838" t="s">
        <v>44</v>
      </c>
      <c r="AN838" t="s">
        <v>9</v>
      </c>
      <c r="AO838" t="s">
        <v>126</v>
      </c>
      <c r="AP838" t="s">
        <v>127</v>
      </c>
      <c r="AQ838" t="s">
        <v>20</v>
      </c>
      <c r="AR838" t="s">
        <v>30</v>
      </c>
      <c r="AS838" t="s">
        <v>37</v>
      </c>
      <c r="AT838">
        <v>0</v>
      </c>
      <c r="AU838" t="s">
        <v>129</v>
      </c>
      <c r="AV838" t="s">
        <v>130</v>
      </c>
    </row>
    <row r="839" spans="1:48" x14ac:dyDescent="0.3">
      <c r="A839" t="s">
        <v>3127</v>
      </c>
      <c r="B839" s="12">
        <v>45927</v>
      </c>
      <c r="C839" s="12">
        <v>45928</v>
      </c>
      <c r="D839" t="s">
        <v>3128</v>
      </c>
      <c r="E839" t="s">
        <v>125</v>
      </c>
      <c r="F839" t="s">
        <v>41</v>
      </c>
      <c r="G839" t="s">
        <v>7</v>
      </c>
      <c r="H839" t="s">
        <v>163</v>
      </c>
      <c r="I839" t="s">
        <v>164</v>
      </c>
      <c r="J839" t="s">
        <v>20</v>
      </c>
      <c r="K839" t="s">
        <v>24</v>
      </c>
      <c r="M839" t="s">
        <v>36</v>
      </c>
      <c r="N839">
        <v>3</v>
      </c>
      <c r="O839">
        <v>4177.63</v>
      </c>
      <c r="P839">
        <v>0.25</v>
      </c>
      <c r="Q839">
        <v>0.25</v>
      </c>
      <c r="R839">
        <v>9399.67</v>
      </c>
      <c r="S839">
        <v>6540.37</v>
      </c>
      <c r="T839">
        <v>9399.6674999999996</v>
      </c>
      <c r="U839">
        <v>2859.2975000000001</v>
      </c>
      <c r="V839">
        <v>0.304191345066195</v>
      </c>
      <c r="W839">
        <v>1</v>
      </c>
      <c r="X839" t="s">
        <v>196</v>
      </c>
      <c r="Y839">
        <v>2025</v>
      </c>
      <c r="Z839" t="s">
        <v>129</v>
      </c>
      <c r="AA839" t="s">
        <v>130</v>
      </c>
      <c r="AB839" t="s">
        <v>131</v>
      </c>
      <c r="AC839" t="s">
        <v>131</v>
      </c>
      <c r="AD839" t="s">
        <v>131</v>
      </c>
      <c r="AE839" t="s">
        <v>131</v>
      </c>
      <c r="AF839" t="s">
        <v>131</v>
      </c>
      <c r="AG839" t="s">
        <v>131</v>
      </c>
      <c r="AH839" t="s">
        <v>132</v>
      </c>
      <c r="AI839" t="s">
        <v>133</v>
      </c>
      <c r="AJ839" t="s">
        <v>517</v>
      </c>
      <c r="AK839" t="s">
        <v>3129</v>
      </c>
      <c r="AL839" t="s">
        <v>125</v>
      </c>
      <c r="AM839" t="s">
        <v>41</v>
      </c>
      <c r="AN839" t="s">
        <v>7</v>
      </c>
      <c r="AO839" t="s">
        <v>163</v>
      </c>
      <c r="AP839" t="s">
        <v>164</v>
      </c>
      <c r="AQ839" t="s">
        <v>20</v>
      </c>
      <c r="AR839" t="s">
        <v>24</v>
      </c>
      <c r="AS839" t="s">
        <v>36</v>
      </c>
      <c r="AT839">
        <v>0.25</v>
      </c>
      <c r="AU839" t="s">
        <v>129</v>
      </c>
      <c r="AV839" t="s">
        <v>130</v>
      </c>
    </row>
    <row r="840" spans="1:48" x14ac:dyDescent="0.3">
      <c r="A840" t="s">
        <v>3130</v>
      </c>
      <c r="B840" s="12">
        <v>45750</v>
      </c>
      <c r="C840" s="12">
        <v>45754</v>
      </c>
      <c r="D840" t="s">
        <v>3131</v>
      </c>
      <c r="E840" t="s">
        <v>162</v>
      </c>
      <c r="F840" t="s">
        <v>44</v>
      </c>
      <c r="G840" t="s">
        <v>7</v>
      </c>
      <c r="H840" t="s">
        <v>311</v>
      </c>
      <c r="I840" t="s">
        <v>312</v>
      </c>
      <c r="J840" t="s">
        <v>20</v>
      </c>
      <c r="K840" t="s">
        <v>24</v>
      </c>
      <c r="M840" t="s">
        <v>38</v>
      </c>
      <c r="N840">
        <v>1</v>
      </c>
      <c r="O840">
        <v>1470.57</v>
      </c>
      <c r="P840">
        <v>0</v>
      </c>
      <c r="Q840">
        <v>0</v>
      </c>
      <c r="R840">
        <v>1470.57</v>
      </c>
      <c r="S840">
        <v>834.02</v>
      </c>
      <c r="T840">
        <v>1470.57</v>
      </c>
      <c r="U840">
        <v>636.54999999999995</v>
      </c>
      <c r="V840">
        <v>0.432859367456156</v>
      </c>
      <c r="W840">
        <v>4</v>
      </c>
      <c r="X840" t="s">
        <v>179</v>
      </c>
      <c r="Y840">
        <v>2025</v>
      </c>
      <c r="Z840" t="s">
        <v>129</v>
      </c>
      <c r="AA840" t="s">
        <v>204</v>
      </c>
      <c r="AB840" t="s">
        <v>131</v>
      </c>
      <c r="AC840" t="s">
        <v>131</v>
      </c>
      <c r="AD840" t="s">
        <v>131</v>
      </c>
      <c r="AE840" t="s">
        <v>131</v>
      </c>
      <c r="AF840" t="s">
        <v>131</v>
      </c>
      <c r="AG840" t="s">
        <v>131</v>
      </c>
      <c r="AH840" t="s">
        <v>131</v>
      </c>
      <c r="AI840" t="s">
        <v>133</v>
      </c>
      <c r="AJ840" t="s">
        <v>494</v>
      </c>
      <c r="AK840" t="s">
        <v>3132</v>
      </c>
      <c r="AL840" t="s">
        <v>162</v>
      </c>
      <c r="AM840" t="s">
        <v>44</v>
      </c>
      <c r="AN840" t="s">
        <v>7</v>
      </c>
      <c r="AO840" t="s">
        <v>311</v>
      </c>
      <c r="AP840" t="s">
        <v>312</v>
      </c>
      <c r="AQ840" t="s">
        <v>20</v>
      </c>
      <c r="AR840" t="s">
        <v>24</v>
      </c>
      <c r="AS840" t="s">
        <v>38</v>
      </c>
      <c r="AT840">
        <v>0</v>
      </c>
      <c r="AU840" t="s">
        <v>129</v>
      </c>
      <c r="AV840" t="s">
        <v>204</v>
      </c>
    </row>
    <row r="841" spans="1:48" x14ac:dyDescent="0.3">
      <c r="A841" t="s">
        <v>3133</v>
      </c>
      <c r="B841" s="12">
        <v>45555</v>
      </c>
      <c r="C841" s="12">
        <v>45557</v>
      </c>
      <c r="D841" t="s">
        <v>3134</v>
      </c>
      <c r="E841" t="s">
        <v>255</v>
      </c>
      <c r="F841" t="s">
        <v>41</v>
      </c>
      <c r="G841" t="s">
        <v>8</v>
      </c>
      <c r="H841" t="s">
        <v>140</v>
      </c>
      <c r="I841" t="s">
        <v>141</v>
      </c>
      <c r="J841" t="s">
        <v>15</v>
      </c>
      <c r="K841" t="s">
        <v>17</v>
      </c>
      <c r="M841" t="s">
        <v>35</v>
      </c>
      <c r="N841">
        <v>8</v>
      </c>
      <c r="O841">
        <v>531.42999999999995</v>
      </c>
      <c r="P841">
        <v>0.1</v>
      </c>
      <c r="Q841">
        <v>0.1</v>
      </c>
      <c r="R841">
        <v>3826.3</v>
      </c>
      <c r="S841">
        <v>2194.12</v>
      </c>
      <c r="T841">
        <v>3826.2959999999998</v>
      </c>
      <c r="U841">
        <v>1632.1759999999999</v>
      </c>
      <c r="V841">
        <v>0.42656814841298202</v>
      </c>
      <c r="W841">
        <v>2</v>
      </c>
      <c r="X841" t="s">
        <v>196</v>
      </c>
      <c r="Y841">
        <v>2024</v>
      </c>
      <c r="Z841" t="s">
        <v>129</v>
      </c>
      <c r="AA841" t="s">
        <v>130</v>
      </c>
      <c r="AB841" t="s">
        <v>131</v>
      </c>
      <c r="AC841" t="s">
        <v>131</v>
      </c>
      <c r="AD841" t="s">
        <v>131</v>
      </c>
      <c r="AE841" t="s">
        <v>131</v>
      </c>
      <c r="AF841" t="s">
        <v>131</v>
      </c>
      <c r="AG841" t="s">
        <v>131</v>
      </c>
      <c r="AH841" t="s">
        <v>132</v>
      </c>
      <c r="AI841" t="s">
        <v>133</v>
      </c>
      <c r="AJ841" t="s">
        <v>3135</v>
      </c>
      <c r="AK841" t="s">
        <v>3136</v>
      </c>
      <c r="AL841" t="s">
        <v>255</v>
      </c>
      <c r="AM841" t="s">
        <v>41</v>
      </c>
      <c r="AN841" t="s">
        <v>8</v>
      </c>
      <c r="AO841" t="s">
        <v>140</v>
      </c>
      <c r="AP841" t="s">
        <v>141</v>
      </c>
      <c r="AQ841" t="s">
        <v>15</v>
      </c>
      <c r="AR841" t="s">
        <v>17</v>
      </c>
      <c r="AS841" t="s">
        <v>35</v>
      </c>
      <c r="AT841">
        <v>0.1</v>
      </c>
      <c r="AU841" t="s">
        <v>129</v>
      </c>
      <c r="AV841" t="s">
        <v>130</v>
      </c>
    </row>
    <row r="842" spans="1:48" x14ac:dyDescent="0.3">
      <c r="A842" t="s">
        <v>3137</v>
      </c>
      <c r="B842" s="12">
        <v>45919</v>
      </c>
      <c r="C842" s="12">
        <v>45919</v>
      </c>
      <c r="D842" t="s">
        <v>3138</v>
      </c>
      <c r="E842" t="s">
        <v>178</v>
      </c>
      <c r="F842" t="s">
        <v>41</v>
      </c>
      <c r="G842" t="s">
        <v>9</v>
      </c>
      <c r="H842" t="s">
        <v>522</v>
      </c>
      <c r="I842" t="s">
        <v>523</v>
      </c>
      <c r="J842" t="s">
        <v>18</v>
      </c>
      <c r="K842" t="s">
        <v>19</v>
      </c>
      <c r="M842" t="s">
        <v>38</v>
      </c>
      <c r="N842">
        <v>4</v>
      </c>
      <c r="O842">
        <v>1584.11</v>
      </c>
      <c r="P842">
        <v>0</v>
      </c>
      <c r="Q842">
        <v>0</v>
      </c>
      <c r="R842">
        <v>6336.44</v>
      </c>
      <c r="S842">
        <v>4680.68</v>
      </c>
      <c r="T842">
        <v>6336.44</v>
      </c>
      <c r="U842">
        <v>1655.76</v>
      </c>
      <c r="V842">
        <v>0.26130761121386797</v>
      </c>
      <c r="W842">
        <v>0</v>
      </c>
      <c r="X842" t="s">
        <v>196</v>
      </c>
      <c r="Y842">
        <v>2025</v>
      </c>
      <c r="Z842" t="s">
        <v>129</v>
      </c>
      <c r="AA842" t="s">
        <v>130</v>
      </c>
      <c r="AB842" t="s">
        <v>131</v>
      </c>
      <c r="AC842" t="s">
        <v>131</v>
      </c>
      <c r="AD842" t="s">
        <v>131</v>
      </c>
      <c r="AE842" t="s">
        <v>131</v>
      </c>
      <c r="AF842" t="s">
        <v>131</v>
      </c>
      <c r="AG842" t="s">
        <v>131</v>
      </c>
      <c r="AH842" t="s">
        <v>132</v>
      </c>
      <c r="AI842" t="s">
        <v>133</v>
      </c>
      <c r="AJ842" t="s">
        <v>1628</v>
      </c>
      <c r="AK842" t="s">
        <v>1865</v>
      </c>
      <c r="AL842" t="s">
        <v>178</v>
      </c>
      <c r="AM842" t="s">
        <v>41</v>
      </c>
      <c r="AN842" t="s">
        <v>9</v>
      </c>
      <c r="AO842" t="s">
        <v>522</v>
      </c>
      <c r="AP842" t="s">
        <v>523</v>
      </c>
      <c r="AQ842" t="s">
        <v>18</v>
      </c>
      <c r="AR842" t="s">
        <v>19</v>
      </c>
      <c r="AS842" t="s">
        <v>38</v>
      </c>
      <c r="AT842">
        <v>0</v>
      </c>
      <c r="AU842" t="s">
        <v>129</v>
      </c>
      <c r="AV842" t="s">
        <v>130</v>
      </c>
    </row>
    <row r="843" spans="1:48" x14ac:dyDescent="0.3">
      <c r="A843" t="s">
        <v>3139</v>
      </c>
      <c r="B843" s="12">
        <v>45694</v>
      </c>
      <c r="C843" s="12">
        <v>45700</v>
      </c>
      <c r="D843" t="s">
        <v>3140</v>
      </c>
      <c r="E843" t="s">
        <v>162</v>
      </c>
      <c r="F843" t="s">
        <v>44</v>
      </c>
      <c r="G843" t="s">
        <v>8</v>
      </c>
      <c r="H843" t="s">
        <v>259</v>
      </c>
      <c r="I843" t="s">
        <v>260</v>
      </c>
      <c r="J843" t="s">
        <v>20</v>
      </c>
      <c r="K843" t="s">
        <v>29</v>
      </c>
      <c r="M843" t="s">
        <v>35</v>
      </c>
      <c r="N843">
        <v>9</v>
      </c>
      <c r="O843">
        <v>3237.16</v>
      </c>
      <c r="P843">
        <v>0.25</v>
      </c>
      <c r="Q843">
        <v>0.25</v>
      </c>
      <c r="R843">
        <v>21850.83</v>
      </c>
      <c r="S843">
        <v>16600.13</v>
      </c>
      <c r="T843">
        <v>21850.83</v>
      </c>
      <c r="U843">
        <v>5250.7</v>
      </c>
      <c r="V843">
        <v>0.24029750814957601</v>
      </c>
      <c r="W843">
        <v>6</v>
      </c>
      <c r="X843" t="s">
        <v>186</v>
      </c>
      <c r="Y843">
        <v>2025</v>
      </c>
      <c r="Z843" t="s">
        <v>129</v>
      </c>
      <c r="AA843" t="s">
        <v>130</v>
      </c>
      <c r="AB843" t="s">
        <v>131</v>
      </c>
      <c r="AC843" t="s">
        <v>131</v>
      </c>
      <c r="AD843" t="s">
        <v>131</v>
      </c>
      <c r="AE843" t="s">
        <v>131</v>
      </c>
      <c r="AF843" t="s">
        <v>131</v>
      </c>
      <c r="AG843" t="s">
        <v>131</v>
      </c>
      <c r="AH843" t="s">
        <v>132</v>
      </c>
      <c r="AI843" t="s">
        <v>133</v>
      </c>
      <c r="AJ843" t="s">
        <v>3141</v>
      </c>
      <c r="AK843" t="s">
        <v>3142</v>
      </c>
      <c r="AL843" t="s">
        <v>162</v>
      </c>
      <c r="AM843" t="s">
        <v>44</v>
      </c>
      <c r="AN843" t="s">
        <v>8</v>
      </c>
      <c r="AO843" t="s">
        <v>259</v>
      </c>
      <c r="AP843" t="s">
        <v>260</v>
      </c>
      <c r="AQ843" t="s">
        <v>20</v>
      </c>
      <c r="AR843" t="s">
        <v>29</v>
      </c>
      <c r="AS843" t="s">
        <v>35</v>
      </c>
      <c r="AT843">
        <v>0.25</v>
      </c>
      <c r="AU843" t="s">
        <v>129</v>
      </c>
      <c r="AV843" t="s">
        <v>130</v>
      </c>
    </row>
    <row r="844" spans="1:48" x14ac:dyDescent="0.3">
      <c r="A844" t="s">
        <v>3143</v>
      </c>
      <c r="B844" s="12">
        <v>45382</v>
      </c>
      <c r="C844" s="12">
        <v>45381</v>
      </c>
      <c r="D844" t="s">
        <v>3144</v>
      </c>
      <c r="E844" t="s">
        <v>409</v>
      </c>
      <c r="F844" t="s">
        <v>42</v>
      </c>
      <c r="G844" t="s">
        <v>9</v>
      </c>
      <c r="H844" t="s">
        <v>372</v>
      </c>
      <c r="I844" t="s">
        <v>373</v>
      </c>
      <c r="J844" t="s">
        <v>15</v>
      </c>
      <c r="K844" t="s">
        <v>25</v>
      </c>
      <c r="M844" t="s">
        <v>36</v>
      </c>
      <c r="N844">
        <v>4</v>
      </c>
      <c r="O844">
        <v>2192.08</v>
      </c>
      <c r="P844">
        <v>0.15</v>
      </c>
      <c r="Q844">
        <v>0.15</v>
      </c>
      <c r="R844">
        <v>7453.07</v>
      </c>
      <c r="S844">
        <v>5133.78</v>
      </c>
      <c r="T844">
        <v>7453.0720000000001</v>
      </c>
      <c r="U844">
        <v>2319.2919999999999</v>
      </c>
      <c r="V844">
        <v>0.311186045163659</v>
      </c>
      <c r="W844">
        <v>-1</v>
      </c>
      <c r="X844" t="s">
        <v>278</v>
      </c>
      <c r="Y844">
        <v>2024</v>
      </c>
      <c r="Z844" t="s">
        <v>129</v>
      </c>
      <c r="AA844" t="s">
        <v>204</v>
      </c>
      <c r="AB844" t="s">
        <v>131</v>
      </c>
      <c r="AC844" t="s">
        <v>131</v>
      </c>
      <c r="AD844" t="s">
        <v>131</v>
      </c>
      <c r="AE844" t="s">
        <v>132</v>
      </c>
      <c r="AF844" t="s">
        <v>131</v>
      </c>
      <c r="AG844" t="s">
        <v>131</v>
      </c>
      <c r="AH844" t="s">
        <v>131</v>
      </c>
      <c r="AI844" t="s">
        <v>149</v>
      </c>
      <c r="AJ844" t="s">
        <v>3145</v>
      </c>
      <c r="AK844" t="s">
        <v>3146</v>
      </c>
      <c r="AL844" t="s">
        <v>3147</v>
      </c>
      <c r="AM844" t="s">
        <v>42</v>
      </c>
      <c r="AN844" t="s">
        <v>9</v>
      </c>
      <c r="AO844" t="s">
        <v>372</v>
      </c>
      <c r="AP844" t="s">
        <v>373</v>
      </c>
      <c r="AQ844" t="s">
        <v>15</v>
      </c>
      <c r="AR844" t="s">
        <v>25</v>
      </c>
      <c r="AS844" t="s">
        <v>36</v>
      </c>
      <c r="AT844">
        <v>0.15</v>
      </c>
      <c r="AU844" t="s">
        <v>129</v>
      </c>
      <c r="AV844" t="s">
        <v>204</v>
      </c>
    </row>
    <row r="845" spans="1:48" x14ac:dyDescent="0.3">
      <c r="A845" t="s">
        <v>3148</v>
      </c>
      <c r="B845" s="12">
        <v>45856</v>
      </c>
      <c r="C845" s="12">
        <v>45863</v>
      </c>
      <c r="D845" t="s">
        <v>3149</v>
      </c>
      <c r="E845" t="s">
        <v>221</v>
      </c>
      <c r="F845" t="s">
        <v>44</v>
      </c>
      <c r="G845" t="s">
        <v>9</v>
      </c>
      <c r="H845" t="s">
        <v>249</v>
      </c>
      <c r="I845" t="s">
        <v>250</v>
      </c>
      <c r="J845" t="s">
        <v>15</v>
      </c>
      <c r="K845" t="s">
        <v>17</v>
      </c>
      <c r="M845" t="s">
        <v>36</v>
      </c>
      <c r="N845">
        <v>9</v>
      </c>
      <c r="O845">
        <v>3989.52</v>
      </c>
      <c r="P845">
        <v>-0.02</v>
      </c>
      <c r="Q845">
        <v>0</v>
      </c>
      <c r="R845">
        <v>35905.68</v>
      </c>
      <c r="S845">
        <v>23916.1</v>
      </c>
      <c r="T845">
        <v>35905.68</v>
      </c>
      <c r="U845">
        <v>11989.58</v>
      </c>
      <c r="V845">
        <v>0.33391875602968701</v>
      </c>
      <c r="W845">
        <v>7</v>
      </c>
      <c r="X845" t="s">
        <v>128</v>
      </c>
      <c r="Y845">
        <v>2025</v>
      </c>
      <c r="Z845" t="s">
        <v>129</v>
      </c>
      <c r="AA845" t="s">
        <v>130</v>
      </c>
      <c r="AB845" t="s">
        <v>131</v>
      </c>
      <c r="AC845" t="s">
        <v>131</v>
      </c>
      <c r="AD845" t="s">
        <v>131</v>
      </c>
      <c r="AE845" t="s">
        <v>131</v>
      </c>
      <c r="AF845" t="s">
        <v>132</v>
      </c>
      <c r="AG845" t="s">
        <v>131</v>
      </c>
      <c r="AH845" t="s">
        <v>132</v>
      </c>
      <c r="AI845" t="s">
        <v>149</v>
      </c>
      <c r="AJ845" t="s">
        <v>2256</v>
      </c>
      <c r="AK845" t="s">
        <v>3150</v>
      </c>
      <c r="AL845" t="s">
        <v>221</v>
      </c>
      <c r="AM845" t="s">
        <v>44</v>
      </c>
      <c r="AN845" t="s">
        <v>9</v>
      </c>
      <c r="AO845" t="s">
        <v>249</v>
      </c>
      <c r="AP845" t="s">
        <v>250</v>
      </c>
      <c r="AQ845" t="s">
        <v>15</v>
      </c>
      <c r="AR845" t="s">
        <v>17</v>
      </c>
      <c r="AS845" t="s">
        <v>36</v>
      </c>
      <c r="AT845">
        <v>-0.02</v>
      </c>
      <c r="AU845" t="s">
        <v>129</v>
      </c>
      <c r="AV845" t="s">
        <v>130</v>
      </c>
    </row>
    <row r="846" spans="1:48" x14ac:dyDescent="0.3">
      <c r="A846" t="s">
        <v>3151</v>
      </c>
      <c r="B846" s="12">
        <v>45677</v>
      </c>
      <c r="C846" s="12">
        <v>45682</v>
      </c>
      <c r="D846" t="s">
        <v>3152</v>
      </c>
      <c r="E846" t="s">
        <v>191</v>
      </c>
      <c r="F846" t="s">
        <v>41</v>
      </c>
      <c r="G846" t="s">
        <v>7</v>
      </c>
      <c r="H846" t="s">
        <v>311</v>
      </c>
      <c r="I846" t="s">
        <v>312</v>
      </c>
      <c r="J846" t="s">
        <v>20</v>
      </c>
      <c r="K846" t="s">
        <v>29</v>
      </c>
      <c r="M846" t="s">
        <v>36</v>
      </c>
      <c r="N846">
        <v>1</v>
      </c>
      <c r="O846">
        <v>3515.15</v>
      </c>
      <c r="P846">
        <v>0</v>
      </c>
      <c r="Q846">
        <v>0</v>
      </c>
      <c r="R846">
        <v>3515.15</v>
      </c>
      <c r="S846">
        <v>2216.34</v>
      </c>
      <c r="T846">
        <v>3515.15</v>
      </c>
      <c r="U846">
        <v>1298.81</v>
      </c>
      <c r="V846">
        <v>0.36948921098672899</v>
      </c>
      <c r="W846">
        <v>5</v>
      </c>
      <c r="X846" t="s">
        <v>244</v>
      </c>
      <c r="Y846">
        <v>2025</v>
      </c>
      <c r="Z846" t="s">
        <v>129</v>
      </c>
      <c r="AA846" t="s">
        <v>130</v>
      </c>
      <c r="AB846" t="s">
        <v>131</v>
      </c>
      <c r="AC846" t="s">
        <v>131</v>
      </c>
      <c r="AD846" t="s">
        <v>131</v>
      </c>
      <c r="AE846" t="s">
        <v>131</v>
      </c>
      <c r="AF846" t="s">
        <v>131</v>
      </c>
      <c r="AG846" t="s">
        <v>131</v>
      </c>
      <c r="AH846" t="s">
        <v>132</v>
      </c>
      <c r="AI846" t="s">
        <v>133</v>
      </c>
      <c r="AJ846" t="s">
        <v>3153</v>
      </c>
      <c r="AK846" t="s">
        <v>3154</v>
      </c>
      <c r="AL846" t="s">
        <v>191</v>
      </c>
      <c r="AM846" t="s">
        <v>41</v>
      </c>
      <c r="AN846" t="s">
        <v>7</v>
      </c>
      <c r="AO846" t="s">
        <v>311</v>
      </c>
      <c r="AP846" t="s">
        <v>312</v>
      </c>
      <c r="AQ846" t="s">
        <v>20</v>
      </c>
      <c r="AR846" t="s">
        <v>29</v>
      </c>
      <c r="AS846" t="s">
        <v>36</v>
      </c>
      <c r="AT846">
        <v>0</v>
      </c>
      <c r="AU846" t="s">
        <v>129</v>
      </c>
      <c r="AV846" t="s">
        <v>130</v>
      </c>
    </row>
    <row r="847" spans="1:48" x14ac:dyDescent="0.3">
      <c r="A847" t="s">
        <v>3155</v>
      </c>
      <c r="B847" s="12">
        <v>45345</v>
      </c>
      <c r="C847" s="12">
        <v>45349</v>
      </c>
      <c r="D847" t="s">
        <v>834</v>
      </c>
      <c r="E847" t="s">
        <v>125</v>
      </c>
      <c r="F847" t="s">
        <v>42</v>
      </c>
      <c r="G847" t="s">
        <v>8</v>
      </c>
      <c r="H847" t="s">
        <v>140</v>
      </c>
      <c r="I847" t="s">
        <v>141</v>
      </c>
      <c r="J847" t="s">
        <v>18</v>
      </c>
      <c r="K847" t="s">
        <v>27</v>
      </c>
      <c r="M847" t="s">
        <v>36</v>
      </c>
      <c r="N847">
        <v>9</v>
      </c>
      <c r="O847">
        <v>3616.23</v>
      </c>
      <c r="P847">
        <v>0.25</v>
      </c>
      <c r="Q847">
        <v>0.25</v>
      </c>
      <c r="R847">
        <v>24409.55</v>
      </c>
      <c r="S847">
        <v>17157.580000000002</v>
      </c>
      <c r="T847">
        <v>24409.552500000002</v>
      </c>
      <c r="U847">
        <v>7251.9724999999999</v>
      </c>
      <c r="V847">
        <v>0.297095675965383</v>
      </c>
      <c r="W847">
        <v>4</v>
      </c>
      <c r="X847" t="s">
        <v>186</v>
      </c>
      <c r="Y847">
        <v>2024</v>
      </c>
      <c r="Z847" t="s">
        <v>215</v>
      </c>
      <c r="AA847" t="s">
        <v>204</v>
      </c>
      <c r="AB847" t="s">
        <v>131</v>
      </c>
      <c r="AC847" t="s">
        <v>131</v>
      </c>
      <c r="AD847" t="s">
        <v>131</v>
      </c>
      <c r="AE847" t="s">
        <v>131</v>
      </c>
      <c r="AF847" t="s">
        <v>131</v>
      </c>
      <c r="AG847" t="s">
        <v>131</v>
      </c>
      <c r="AH847" t="s">
        <v>131</v>
      </c>
      <c r="AI847" t="s">
        <v>133</v>
      </c>
      <c r="AJ847" t="s">
        <v>2312</v>
      </c>
      <c r="AK847" t="s">
        <v>3156</v>
      </c>
      <c r="AL847" t="s">
        <v>125</v>
      </c>
      <c r="AM847" t="s">
        <v>42</v>
      </c>
      <c r="AN847" t="s">
        <v>8</v>
      </c>
      <c r="AO847" t="s">
        <v>140</v>
      </c>
      <c r="AP847" t="s">
        <v>141</v>
      </c>
      <c r="AQ847" t="s">
        <v>18</v>
      </c>
      <c r="AR847" t="s">
        <v>27</v>
      </c>
      <c r="AS847" t="s">
        <v>36</v>
      </c>
      <c r="AT847">
        <v>0.25</v>
      </c>
      <c r="AU847" t="s">
        <v>215</v>
      </c>
      <c r="AV847" t="s">
        <v>204</v>
      </c>
    </row>
    <row r="848" spans="1:48" x14ac:dyDescent="0.3">
      <c r="A848" t="s">
        <v>3157</v>
      </c>
      <c r="B848" s="12">
        <v>45396</v>
      </c>
      <c r="C848" s="12">
        <v>45404</v>
      </c>
      <c r="D848" t="s">
        <v>3158</v>
      </c>
      <c r="E848" t="s">
        <v>221</v>
      </c>
      <c r="F848" t="s">
        <v>44</v>
      </c>
      <c r="G848" t="s">
        <v>7</v>
      </c>
      <c r="H848" t="s">
        <v>300</v>
      </c>
      <c r="I848" t="s">
        <v>301</v>
      </c>
      <c r="J848" t="s">
        <v>18</v>
      </c>
      <c r="K848" t="s">
        <v>26</v>
      </c>
      <c r="M848" t="s">
        <v>35</v>
      </c>
      <c r="N848">
        <v>2</v>
      </c>
      <c r="O848">
        <v>3977.52</v>
      </c>
      <c r="P848">
        <v>0</v>
      </c>
      <c r="Q848">
        <v>0</v>
      </c>
      <c r="R848">
        <v>7955.04</v>
      </c>
      <c r="S848">
        <v>5580.68</v>
      </c>
      <c r="T848">
        <v>7955.04</v>
      </c>
      <c r="U848">
        <v>2374.36</v>
      </c>
      <c r="V848">
        <v>0.298472414972143</v>
      </c>
      <c r="W848">
        <v>8</v>
      </c>
      <c r="X848" t="s">
        <v>179</v>
      </c>
      <c r="Y848">
        <v>2024</v>
      </c>
      <c r="Z848" t="s">
        <v>215</v>
      </c>
      <c r="AA848" t="s">
        <v>204</v>
      </c>
      <c r="AB848" t="s">
        <v>131</v>
      </c>
      <c r="AC848" t="s">
        <v>131</v>
      </c>
      <c r="AD848" t="s">
        <v>131</v>
      </c>
      <c r="AE848" t="s">
        <v>131</v>
      </c>
      <c r="AF848" t="s">
        <v>131</v>
      </c>
      <c r="AG848" t="s">
        <v>131</v>
      </c>
      <c r="AH848" t="s">
        <v>131</v>
      </c>
      <c r="AI848" t="s">
        <v>133</v>
      </c>
      <c r="AJ848" t="s">
        <v>3159</v>
      </c>
      <c r="AK848" t="s">
        <v>3160</v>
      </c>
      <c r="AL848" t="s">
        <v>221</v>
      </c>
      <c r="AM848" t="s">
        <v>44</v>
      </c>
      <c r="AN848" t="s">
        <v>7</v>
      </c>
      <c r="AO848" t="s">
        <v>300</v>
      </c>
      <c r="AP848" t="s">
        <v>301</v>
      </c>
      <c r="AQ848" t="s">
        <v>18</v>
      </c>
      <c r="AR848" t="s">
        <v>26</v>
      </c>
      <c r="AS848" t="s">
        <v>35</v>
      </c>
      <c r="AT848">
        <v>0</v>
      </c>
      <c r="AU848" t="s">
        <v>215</v>
      </c>
      <c r="AV848" t="s">
        <v>204</v>
      </c>
    </row>
    <row r="849" spans="1:48" x14ac:dyDescent="0.3">
      <c r="A849" t="s">
        <v>3161</v>
      </c>
      <c r="B849" s="12">
        <v>45797</v>
      </c>
      <c r="C849" s="12">
        <v>45799</v>
      </c>
      <c r="D849" t="s">
        <v>3162</v>
      </c>
      <c r="E849" t="s">
        <v>277</v>
      </c>
      <c r="F849" t="s">
        <v>41</v>
      </c>
      <c r="G849" t="s">
        <v>8</v>
      </c>
      <c r="H849" t="s">
        <v>140</v>
      </c>
      <c r="I849" t="s">
        <v>141</v>
      </c>
      <c r="J849" t="s">
        <v>18</v>
      </c>
      <c r="K849" t="s">
        <v>27</v>
      </c>
      <c r="M849" t="s">
        <v>37</v>
      </c>
      <c r="N849">
        <v>2</v>
      </c>
      <c r="O849">
        <v>210.08</v>
      </c>
      <c r="P849">
        <v>0.2</v>
      </c>
      <c r="Q849">
        <v>0.2</v>
      </c>
      <c r="R849">
        <v>336.13</v>
      </c>
      <c r="S849">
        <v>242.19</v>
      </c>
      <c r="T849">
        <v>336.12799999999999</v>
      </c>
      <c r="U849">
        <v>93.938000000000102</v>
      </c>
      <c r="V849">
        <v>0.27947091584158401</v>
      </c>
      <c r="W849">
        <v>2</v>
      </c>
      <c r="X849" t="s">
        <v>173</v>
      </c>
      <c r="Y849">
        <v>2025</v>
      </c>
      <c r="Z849" t="s">
        <v>129</v>
      </c>
      <c r="AA849" t="s">
        <v>130</v>
      </c>
      <c r="AB849" t="s">
        <v>131</v>
      </c>
      <c r="AC849" t="s">
        <v>131</v>
      </c>
      <c r="AD849" t="s">
        <v>131</v>
      </c>
      <c r="AE849" t="s">
        <v>131</v>
      </c>
      <c r="AF849" t="s">
        <v>131</v>
      </c>
      <c r="AG849" t="s">
        <v>131</v>
      </c>
      <c r="AH849" t="s">
        <v>132</v>
      </c>
      <c r="AI849" t="s">
        <v>133</v>
      </c>
      <c r="AJ849" t="s">
        <v>3163</v>
      </c>
      <c r="AK849" t="s">
        <v>3164</v>
      </c>
      <c r="AL849" t="s">
        <v>277</v>
      </c>
      <c r="AM849" t="s">
        <v>41</v>
      </c>
      <c r="AN849" t="s">
        <v>8</v>
      </c>
      <c r="AO849" t="s">
        <v>140</v>
      </c>
      <c r="AP849" t="s">
        <v>141</v>
      </c>
      <c r="AQ849" t="s">
        <v>18</v>
      </c>
      <c r="AR849" t="s">
        <v>27</v>
      </c>
      <c r="AS849" t="s">
        <v>37</v>
      </c>
      <c r="AT849">
        <v>0.2</v>
      </c>
      <c r="AU849" t="s">
        <v>129</v>
      </c>
      <c r="AV849" t="s">
        <v>130</v>
      </c>
    </row>
    <row r="850" spans="1:48" x14ac:dyDescent="0.3">
      <c r="A850" t="s">
        <v>3165</v>
      </c>
      <c r="B850" s="12">
        <v>45804</v>
      </c>
      <c r="C850" s="12">
        <v>45806</v>
      </c>
      <c r="D850" t="s">
        <v>3166</v>
      </c>
      <c r="E850" t="s">
        <v>227</v>
      </c>
      <c r="F850" t="s">
        <v>41</v>
      </c>
      <c r="G850" t="s">
        <v>6</v>
      </c>
      <c r="H850" t="s">
        <v>385</v>
      </c>
      <c r="I850" t="s">
        <v>386</v>
      </c>
      <c r="J850" t="s">
        <v>18</v>
      </c>
      <c r="K850" t="s">
        <v>23</v>
      </c>
      <c r="M850" t="s">
        <v>37</v>
      </c>
      <c r="N850">
        <v>1</v>
      </c>
      <c r="O850">
        <v>1744.35</v>
      </c>
      <c r="P850">
        <v>0.25</v>
      </c>
      <c r="Q850">
        <v>0.25</v>
      </c>
      <c r="R850">
        <v>1308.26</v>
      </c>
      <c r="S850">
        <v>1083.56</v>
      </c>
      <c r="T850">
        <v>1308.2625</v>
      </c>
      <c r="U850">
        <v>224.70249999999999</v>
      </c>
      <c r="V850">
        <v>0.171756432673106</v>
      </c>
      <c r="W850">
        <v>2</v>
      </c>
      <c r="X850" t="s">
        <v>173</v>
      </c>
      <c r="Y850">
        <v>2025</v>
      </c>
      <c r="Z850" t="s">
        <v>129</v>
      </c>
      <c r="AA850" t="s">
        <v>130</v>
      </c>
      <c r="AB850" t="s">
        <v>131</v>
      </c>
      <c r="AC850" t="s">
        <v>131</v>
      </c>
      <c r="AD850" t="s">
        <v>131</v>
      </c>
      <c r="AE850" t="s">
        <v>131</v>
      </c>
      <c r="AF850" t="s">
        <v>131</v>
      </c>
      <c r="AG850" t="s">
        <v>131</v>
      </c>
      <c r="AH850" t="s">
        <v>132</v>
      </c>
      <c r="AI850" t="s">
        <v>133</v>
      </c>
      <c r="AJ850" t="s">
        <v>2600</v>
      </c>
      <c r="AK850" t="s">
        <v>3167</v>
      </c>
      <c r="AL850" t="s">
        <v>227</v>
      </c>
      <c r="AM850" t="s">
        <v>41</v>
      </c>
      <c r="AN850" t="s">
        <v>6</v>
      </c>
      <c r="AO850" t="s">
        <v>385</v>
      </c>
      <c r="AP850" t="s">
        <v>386</v>
      </c>
      <c r="AQ850" t="s">
        <v>18</v>
      </c>
      <c r="AR850" t="s">
        <v>23</v>
      </c>
      <c r="AS850" t="s">
        <v>37</v>
      </c>
      <c r="AT850">
        <v>0.25</v>
      </c>
      <c r="AU850" t="s">
        <v>129</v>
      </c>
      <c r="AV850" t="s">
        <v>130</v>
      </c>
    </row>
    <row r="851" spans="1:48" x14ac:dyDescent="0.3">
      <c r="A851" t="s">
        <v>3168</v>
      </c>
      <c r="B851" s="12">
        <v>45357</v>
      </c>
      <c r="C851" s="12">
        <v>45363</v>
      </c>
      <c r="D851" t="s">
        <v>3169</v>
      </c>
      <c r="E851" t="s">
        <v>147</v>
      </c>
      <c r="F851" t="s">
        <v>41</v>
      </c>
      <c r="G851" t="s">
        <v>7</v>
      </c>
      <c r="H851" t="s">
        <v>300</v>
      </c>
      <c r="I851" t="s">
        <v>301</v>
      </c>
      <c r="J851" t="s">
        <v>18</v>
      </c>
      <c r="K851" t="s">
        <v>26</v>
      </c>
      <c r="M851" t="s">
        <v>35</v>
      </c>
      <c r="N851">
        <v>3</v>
      </c>
      <c r="O851">
        <v>679.63</v>
      </c>
      <c r="P851">
        <v>0.2</v>
      </c>
      <c r="Q851">
        <v>0.2</v>
      </c>
      <c r="R851">
        <v>1631.11</v>
      </c>
      <c r="S851">
        <v>898.73</v>
      </c>
      <c r="T851">
        <v>1631.1120000000001</v>
      </c>
      <c r="U851">
        <v>732.38199999999995</v>
      </c>
      <c r="V851">
        <v>0.44900779345624298</v>
      </c>
      <c r="W851">
        <v>6</v>
      </c>
      <c r="X851" t="s">
        <v>278</v>
      </c>
      <c r="Y851">
        <v>2024</v>
      </c>
      <c r="Z851" t="s">
        <v>129</v>
      </c>
      <c r="AA851" t="s">
        <v>130</v>
      </c>
      <c r="AB851" t="s">
        <v>131</v>
      </c>
      <c r="AC851" t="s">
        <v>131</v>
      </c>
      <c r="AD851" t="s">
        <v>131</v>
      </c>
      <c r="AE851" t="s">
        <v>131</v>
      </c>
      <c r="AF851" t="s">
        <v>131</v>
      </c>
      <c r="AG851" t="s">
        <v>131</v>
      </c>
      <c r="AH851" t="s">
        <v>132</v>
      </c>
      <c r="AI851" t="s">
        <v>133</v>
      </c>
      <c r="AJ851" t="s">
        <v>3170</v>
      </c>
      <c r="AK851" t="s">
        <v>978</v>
      </c>
      <c r="AL851" t="s">
        <v>147</v>
      </c>
      <c r="AM851" t="s">
        <v>41</v>
      </c>
      <c r="AN851" t="s">
        <v>7</v>
      </c>
      <c r="AO851" t="s">
        <v>300</v>
      </c>
      <c r="AP851" t="s">
        <v>301</v>
      </c>
      <c r="AQ851" t="s">
        <v>18</v>
      </c>
      <c r="AR851" t="s">
        <v>26</v>
      </c>
      <c r="AS851" t="s">
        <v>35</v>
      </c>
      <c r="AT851">
        <v>0.2</v>
      </c>
      <c r="AU851" t="s">
        <v>129</v>
      </c>
      <c r="AV851" t="s">
        <v>695</v>
      </c>
    </row>
    <row r="852" spans="1:48" x14ac:dyDescent="0.3">
      <c r="A852" t="s">
        <v>3171</v>
      </c>
      <c r="B852" s="12">
        <v>45473</v>
      </c>
      <c r="C852" s="12">
        <v>45476</v>
      </c>
      <c r="D852" t="s">
        <v>3172</v>
      </c>
      <c r="E852" t="s">
        <v>221</v>
      </c>
      <c r="F852" t="s">
        <v>41</v>
      </c>
      <c r="G852" t="s">
        <v>8</v>
      </c>
      <c r="H852" t="s">
        <v>201</v>
      </c>
      <c r="I852" t="s">
        <v>202</v>
      </c>
      <c r="J852" t="s">
        <v>20</v>
      </c>
      <c r="K852" t="s">
        <v>24</v>
      </c>
      <c r="M852" t="s">
        <v>36</v>
      </c>
      <c r="N852">
        <v>6</v>
      </c>
      <c r="O852">
        <v>1211.01</v>
      </c>
      <c r="P852">
        <v>0</v>
      </c>
      <c r="Q852">
        <v>0</v>
      </c>
      <c r="R852">
        <v>7266.06</v>
      </c>
      <c r="S852">
        <v>6216.89</v>
      </c>
      <c r="T852">
        <v>7266.06</v>
      </c>
      <c r="U852">
        <v>1049.17</v>
      </c>
      <c r="V852">
        <v>0.14439324750965399</v>
      </c>
      <c r="W852">
        <v>3</v>
      </c>
      <c r="X852" t="s">
        <v>148</v>
      </c>
      <c r="Y852">
        <v>2024</v>
      </c>
      <c r="Z852" t="s">
        <v>129</v>
      </c>
      <c r="AA852" t="s">
        <v>130</v>
      </c>
      <c r="AB852" t="s">
        <v>131</v>
      </c>
      <c r="AC852" t="s">
        <v>131</v>
      </c>
      <c r="AD852" t="s">
        <v>131</v>
      </c>
      <c r="AE852" t="s">
        <v>131</v>
      </c>
      <c r="AF852" t="s">
        <v>131</v>
      </c>
      <c r="AG852" t="s">
        <v>131</v>
      </c>
      <c r="AH852" t="s">
        <v>132</v>
      </c>
      <c r="AI852" t="s">
        <v>133</v>
      </c>
      <c r="AJ852" t="s">
        <v>1790</v>
      </c>
      <c r="AK852" t="s">
        <v>3077</v>
      </c>
      <c r="AL852" t="s">
        <v>221</v>
      </c>
      <c r="AM852" t="s">
        <v>41</v>
      </c>
      <c r="AN852" t="s">
        <v>8</v>
      </c>
      <c r="AO852" t="s">
        <v>201</v>
      </c>
      <c r="AP852" t="s">
        <v>202</v>
      </c>
      <c r="AQ852" t="s">
        <v>20</v>
      </c>
      <c r="AR852" t="s">
        <v>24</v>
      </c>
      <c r="AS852" t="s">
        <v>36</v>
      </c>
      <c r="AT852">
        <v>0</v>
      </c>
      <c r="AU852" t="s">
        <v>129</v>
      </c>
      <c r="AV852" t="s">
        <v>130</v>
      </c>
    </row>
    <row r="853" spans="1:48" x14ac:dyDescent="0.3">
      <c r="A853" t="s">
        <v>3173</v>
      </c>
      <c r="B853" s="12">
        <v>45377</v>
      </c>
      <c r="C853" s="12">
        <v>45383</v>
      </c>
      <c r="D853" t="s">
        <v>3174</v>
      </c>
      <c r="E853" t="s">
        <v>125</v>
      </c>
      <c r="F853" t="s">
        <v>44</v>
      </c>
      <c r="G853" t="s">
        <v>7</v>
      </c>
      <c r="H853" t="s">
        <v>300</v>
      </c>
      <c r="I853" t="s">
        <v>301</v>
      </c>
      <c r="J853" t="s">
        <v>15</v>
      </c>
      <c r="K853" t="s">
        <v>22</v>
      </c>
      <c r="M853" t="s">
        <v>36</v>
      </c>
      <c r="N853">
        <v>2</v>
      </c>
      <c r="O853">
        <v>1161.3</v>
      </c>
      <c r="P853">
        <v>0.2</v>
      </c>
      <c r="Q853">
        <v>0.2</v>
      </c>
      <c r="R853">
        <v>1858.08</v>
      </c>
      <c r="S853">
        <v>1590.75</v>
      </c>
      <c r="T853">
        <v>1858.08</v>
      </c>
      <c r="U853">
        <v>267.33</v>
      </c>
      <c r="V853">
        <v>0.143874321880651</v>
      </c>
      <c r="W853">
        <v>6</v>
      </c>
      <c r="X853" t="s">
        <v>278</v>
      </c>
      <c r="Y853">
        <v>2024</v>
      </c>
      <c r="Z853" t="s">
        <v>129</v>
      </c>
      <c r="AA853" t="s">
        <v>130</v>
      </c>
      <c r="AB853" t="s">
        <v>131</v>
      </c>
      <c r="AC853" t="s">
        <v>131</v>
      </c>
      <c r="AD853" t="s">
        <v>131</v>
      </c>
      <c r="AE853" t="s">
        <v>131</v>
      </c>
      <c r="AF853" t="s">
        <v>131</v>
      </c>
      <c r="AG853" t="s">
        <v>131</v>
      </c>
      <c r="AH853" t="s">
        <v>132</v>
      </c>
      <c r="AI853" t="s">
        <v>133</v>
      </c>
      <c r="AJ853" t="s">
        <v>768</v>
      </c>
      <c r="AK853" t="s">
        <v>2607</v>
      </c>
      <c r="AL853" t="s">
        <v>125</v>
      </c>
      <c r="AM853" t="s">
        <v>44</v>
      </c>
      <c r="AN853" t="s">
        <v>7</v>
      </c>
      <c r="AO853" t="s">
        <v>300</v>
      </c>
      <c r="AP853" t="s">
        <v>301</v>
      </c>
      <c r="AQ853" t="s">
        <v>15</v>
      </c>
      <c r="AR853" t="s">
        <v>22</v>
      </c>
      <c r="AS853" t="s">
        <v>36</v>
      </c>
      <c r="AT853">
        <v>0.2</v>
      </c>
      <c r="AU853" t="s">
        <v>129</v>
      </c>
      <c r="AV853" t="s">
        <v>130</v>
      </c>
    </row>
    <row r="854" spans="1:48" x14ac:dyDescent="0.3">
      <c r="A854" t="s">
        <v>3175</v>
      </c>
      <c r="B854" s="12">
        <v>45383</v>
      </c>
      <c r="C854" s="12">
        <v>45390</v>
      </c>
      <c r="D854" t="s">
        <v>3176</v>
      </c>
      <c r="E854" t="s">
        <v>162</v>
      </c>
      <c r="F854" t="s">
        <v>42</v>
      </c>
      <c r="G854" t="s">
        <v>8</v>
      </c>
      <c r="H854" t="s">
        <v>283</v>
      </c>
      <c r="I854" t="s">
        <v>284</v>
      </c>
      <c r="J854" t="s">
        <v>18</v>
      </c>
      <c r="K854" t="s">
        <v>27</v>
      </c>
      <c r="M854" t="s">
        <v>37</v>
      </c>
      <c r="N854">
        <v>7</v>
      </c>
      <c r="O854">
        <v>4205.3500000000004</v>
      </c>
      <c r="P854">
        <v>0.15</v>
      </c>
      <c r="Q854">
        <v>0.15</v>
      </c>
      <c r="R854">
        <v>25021.83</v>
      </c>
      <c r="S854">
        <v>15544.44</v>
      </c>
      <c r="T854">
        <v>25021.8325</v>
      </c>
      <c r="U854">
        <v>9477.3924999999999</v>
      </c>
      <c r="V854">
        <v>0.37876492459135402</v>
      </c>
      <c r="W854">
        <v>7</v>
      </c>
      <c r="X854" t="s">
        <v>179</v>
      </c>
      <c r="Y854">
        <v>2024</v>
      </c>
      <c r="Z854" t="s">
        <v>215</v>
      </c>
      <c r="AA854" t="s">
        <v>165</v>
      </c>
      <c r="AB854" t="s">
        <v>131</v>
      </c>
      <c r="AC854" t="s">
        <v>131</v>
      </c>
      <c r="AD854" t="s">
        <v>131</v>
      </c>
      <c r="AE854" t="s">
        <v>131</v>
      </c>
      <c r="AF854" t="s">
        <v>131</v>
      </c>
      <c r="AG854" t="s">
        <v>131</v>
      </c>
      <c r="AH854" t="s">
        <v>131</v>
      </c>
      <c r="AI854" t="s">
        <v>133</v>
      </c>
      <c r="AJ854" t="s">
        <v>3177</v>
      </c>
      <c r="AK854" t="s">
        <v>3039</v>
      </c>
      <c r="AL854" t="s">
        <v>162</v>
      </c>
      <c r="AM854" t="s">
        <v>42</v>
      </c>
      <c r="AN854" t="s">
        <v>8</v>
      </c>
      <c r="AO854" t="s">
        <v>283</v>
      </c>
      <c r="AP854" t="s">
        <v>284</v>
      </c>
      <c r="AQ854" t="s">
        <v>18</v>
      </c>
      <c r="AR854" t="s">
        <v>27</v>
      </c>
      <c r="AS854" t="s">
        <v>37</v>
      </c>
      <c r="AT854">
        <v>0.15</v>
      </c>
      <c r="AU854" t="s">
        <v>215</v>
      </c>
      <c r="AV854" t="s">
        <v>165</v>
      </c>
    </row>
    <row r="855" spans="1:48" x14ac:dyDescent="0.3">
      <c r="A855" t="s">
        <v>3178</v>
      </c>
      <c r="B855" s="12">
        <v>45793</v>
      </c>
      <c r="C855" s="12">
        <v>45799</v>
      </c>
      <c r="D855" t="s">
        <v>3179</v>
      </c>
      <c r="E855" t="s">
        <v>154</v>
      </c>
      <c r="F855" t="s">
        <v>43</v>
      </c>
      <c r="G855" t="s">
        <v>6</v>
      </c>
      <c r="H855" t="s">
        <v>385</v>
      </c>
      <c r="I855" t="s">
        <v>386</v>
      </c>
      <c r="J855" t="s">
        <v>15</v>
      </c>
      <c r="K855" t="s">
        <v>22</v>
      </c>
      <c r="M855" t="s">
        <v>38</v>
      </c>
      <c r="N855">
        <v>8</v>
      </c>
      <c r="O855">
        <v>579.79999999999995</v>
      </c>
      <c r="P855">
        <v>0.2</v>
      </c>
      <c r="Q855">
        <v>0.2</v>
      </c>
      <c r="R855">
        <v>3710.72</v>
      </c>
      <c r="S855">
        <v>3115.29</v>
      </c>
      <c r="T855">
        <v>3710.72</v>
      </c>
      <c r="U855">
        <v>595.42999999999995</v>
      </c>
      <c r="V855">
        <v>0.16046212055881301</v>
      </c>
      <c r="W855">
        <v>6</v>
      </c>
      <c r="X855" t="s">
        <v>173</v>
      </c>
      <c r="Y855">
        <v>2025</v>
      </c>
      <c r="Z855" t="s">
        <v>129</v>
      </c>
      <c r="AA855" t="s">
        <v>130</v>
      </c>
      <c r="AB855" t="s">
        <v>131</v>
      </c>
      <c r="AC855" t="s">
        <v>131</v>
      </c>
      <c r="AD855" t="s">
        <v>131</v>
      </c>
      <c r="AE855" t="s">
        <v>131</v>
      </c>
      <c r="AF855" t="s">
        <v>131</v>
      </c>
      <c r="AG855" t="s">
        <v>131</v>
      </c>
      <c r="AH855" t="s">
        <v>132</v>
      </c>
      <c r="AI855" t="s">
        <v>133</v>
      </c>
      <c r="AJ855" t="s">
        <v>3180</v>
      </c>
      <c r="AK855" t="s">
        <v>3164</v>
      </c>
      <c r="AL855" t="s">
        <v>154</v>
      </c>
      <c r="AM855" t="s">
        <v>43</v>
      </c>
      <c r="AN855" t="s">
        <v>6</v>
      </c>
      <c r="AO855" t="s">
        <v>385</v>
      </c>
      <c r="AP855" t="s">
        <v>386</v>
      </c>
      <c r="AQ855" t="s">
        <v>15</v>
      </c>
      <c r="AR855" t="s">
        <v>22</v>
      </c>
      <c r="AS855" t="s">
        <v>38</v>
      </c>
      <c r="AT855">
        <v>0.2</v>
      </c>
      <c r="AU855" t="s">
        <v>129</v>
      </c>
      <c r="AV855" t="s">
        <v>130</v>
      </c>
    </row>
    <row r="856" spans="1:48" x14ac:dyDescent="0.3">
      <c r="A856" t="s">
        <v>3181</v>
      </c>
      <c r="B856" s="12">
        <v>45741</v>
      </c>
      <c r="C856" s="12">
        <v>45749</v>
      </c>
      <c r="D856" t="s">
        <v>3182</v>
      </c>
      <c r="E856" t="s">
        <v>221</v>
      </c>
      <c r="F856" t="s">
        <v>42</v>
      </c>
      <c r="G856" t="s">
        <v>6</v>
      </c>
      <c r="H856" t="s">
        <v>294</v>
      </c>
      <c r="I856" t="s">
        <v>295</v>
      </c>
      <c r="J856" t="s">
        <v>18</v>
      </c>
      <c r="K856" t="s">
        <v>26</v>
      </c>
      <c r="M856" t="s">
        <v>37</v>
      </c>
      <c r="N856">
        <v>4</v>
      </c>
      <c r="O856">
        <v>2233.64</v>
      </c>
      <c r="P856">
        <v>0.05</v>
      </c>
      <c r="Q856">
        <v>0.05</v>
      </c>
      <c r="R856">
        <v>8487.83</v>
      </c>
      <c r="S856">
        <v>5245.72</v>
      </c>
      <c r="T856">
        <v>8487.8320000000003</v>
      </c>
      <c r="U856">
        <v>3242.1120000000001</v>
      </c>
      <c r="V856">
        <v>0.381971744963849</v>
      </c>
      <c r="W856">
        <v>8</v>
      </c>
      <c r="X856" t="s">
        <v>278</v>
      </c>
      <c r="Y856">
        <v>2025</v>
      </c>
      <c r="Z856" t="s">
        <v>129</v>
      </c>
      <c r="AA856" t="s">
        <v>130</v>
      </c>
      <c r="AB856" t="s">
        <v>131</v>
      </c>
      <c r="AC856" t="s">
        <v>131</v>
      </c>
      <c r="AD856" t="s">
        <v>131</v>
      </c>
      <c r="AE856" t="s">
        <v>131</v>
      </c>
      <c r="AF856" t="s">
        <v>131</v>
      </c>
      <c r="AG856" t="s">
        <v>131</v>
      </c>
      <c r="AH856" t="s">
        <v>132</v>
      </c>
      <c r="AI856" t="s">
        <v>133</v>
      </c>
      <c r="AJ856" t="s">
        <v>3183</v>
      </c>
      <c r="AK856" t="s">
        <v>3184</v>
      </c>
      <c r="AL856" t="s">
        <v>221</v>
      </c>
      <c r="AM856" t="s">
        <v>42</v>
      </c>
      <c r="AN856" t="s">
        <v>6</v>
      </c>
      <c r="AO856" t="s">
        <v>294</v>
      </c>
      <c r="AP856" t="s">
        <v>295</v>
      </c>
      <c r="AQ856" t="s">
        <v>18</v>
      </c>
      <c r="AR856" t="s">
        <v>26</v>
      </c>
      <c r="AS856" t="s">
        <v>37</v>
      </c>
      <c r="AT856">
        <v>0.05</v>
      </c>
      <c r="AU856" t="s">
        <v>129</v>
      </c>
      <c r="AV856" t="s">
        <v>130</v>
      </c>
    </row>
    <row r="857" spans="1:48" x14ac:dyDescent="0.3">
      <c r="A857" t="s">
        <v>3185</v>
      </c>
      <c r="B857" s="12">
        <v>45498</v>
      </c>
      <c r="C857" s="12">
        <v>45506</v>
      </c>
      <c r="D857" t="s">
        <v>1486</v>
      </c>
      <c r="E857" t="s">
        <v>227</v>
      </c>
      <c r="F857" t="s">
        <v>42</v>
      </c>
      <c r="G857" t="s">
        <v>9</v>
      </c>
      <c r="H857" t="s">
        <v>126</v>
      </c>
      <c r="I857" t="s">
        <v>127</v>
      </c>
      <c r="J857" t="s">
        <v>20</v>
      </c>
      <c r="K857" t="s">
        <v>30</v>
      </c>
      <c r="M857" t="s">
        <v>37</v>
      </c>
      <c r="N857">
        <v>2</v>
      </c>
      <c r="O857">
        <v>2073.5300000000002</v>
      </c>
      <c r="P857">
        <v>0.25</v>
      </c>
      <c r="Q857">
        <v>0.25</v>
      </c>
      <c r="R857">
        <v>3110.3</v>
      </c>
      <c r="S857">
        <v>2101.0300000000002</v>
      </c>
      <c r="T857">
        <v>3110.2950000000001</v>
      </c>
      <c r="U857">
        <v>1009.265</v>
      </c>
      <c r="V857">
        <v>0.32449172827657802</v>
      </c>
      <c r="W857">
        <v>8</v>
      </c>
      <c r="X857" t="s">
        <v>128</v>
      </c>
      <c r="Y857">
        <v>2024</v>
      </c>
      <c r="Z857" t="s">
        <v>129</v>
      </c>
      <c r="AA857" t="s">
        <v>130</v>
      </c>
      <c r="AB857" t="s">
        <v>131</v>
      </c>
      <c r="AC857" t="s">
        <v>131</v>
      </c>
      <c r="AD857" t="s">
        <v>131</v>
      </c>
      <c r="AE857" t="s">
        <v>131</v>
      </c>
      <c r="AF857" t="s">
        <v>131</v>
      </c>
      <c r="AG857" t="s">
        <v>131</v>
      </c>
      <c r="AH857" t="s">
        <v>132</v>
      </c>
      <c r="AI857" t="s">
        <v>133</v>
      </c>
      <c r="AJ857" t="s">
        <v>713</v>
      </c>
      <c r="AK857" t="s">
        <v>3186</v>
      </c>
      <c r="AL857" t="s">
        <v>227</v>
      </c>
      <c r="AM857" t="s">
        <v>42</v>
      </c>
      <c r="AN857" t="s">
        <v>9</v>
      </c>
      <c r="AO857" t="s">
        <v>126</v>
      </c>
      <c r="AP857" t="s">
        <v>127</v>
      </c>
      <c r="AQ857" t="s">
        <v>20</v>
      </c>
      <c r="AR857" t="s">
        <v>3187</v>
      </c>
      <c r="AS857" t="s">
        <v>37</v>
      </c>
      <c r="AT857">
        <v>0.25</v>
      </c>
      <c r="AU857" t="s">
        <v>129</v>
      </c>
      <c r="AV857" t="s">
        <v>130</v>
      </c>
    </row>
    <row r="858" spans="1:48" x14ac:dyDescent="0.3">
      <c r="A858" t="s">
        <v>3188</v>
      </c>
      <c r="B858" s="12">
        <v>45455</v>
      </c>
      <c r="C858" s="12">
        <v>45462</v>
      </c>
      <c r="D858" t="s">
        <v>1689</v>
      </c>
      <c r="E858" t="s">
        <v>255</v>
      </c>
      <c r="F858" t="s">
        <v>41</v>
      </c>
      <c r="G858" t="s">
        <v>6</v>
      </c>
      <c r="H858" t="s">
        <v>385</v>
      </c>
      <c r="I858" t="s">
        <v>386</v>
      </c>
      <c r="J858" t="s">
        <v>20</v>
      </c>
      <c r="K858" t="s">
        <v>21</v>
      </c>
      <c r="M858" t="s">
        <v>35</v>
      </c>
      <c r="N858">
        <v>4</v>
      </c>
      <c r="O858">
        <v>395.1</v>
      </c>
      <c r="P858">
        <v>-0.16</v>
      </c>
      <c r="Q858">
        <v>0</v>
      </c>
      <c r="R858">
        <v>1185.3</v>
      </c>
      <c r="S858">
        <v>966.55</v>
      </c>
      <c r="T858">
        <v>1580.4</v>
      </c>
      <c r="U858">
        <v>613.85</v>
      </c>
      <c r="V858">
        <v>0.38841432548721899</v>
      </c>
      <c r="W858">
        <v>7</v>
      </c>
      <c r="X858" t="s">
        <v>148</v>
      </c>
      <c r="Y858">
        <v>2024</v>
      </c>
      <c r="Z858" t="s">
        <v>269</v>
      </c>
      <c r="AA858" t="s">
        <v>165</v>
      </c>
      <c r="AB858" t="s">
        <v>131</v>
      </c>
      <c r="AC858" t="s">
        <v>131</v>
      </c>
      <c r="AD858" t="s">
        <v>131</v>
      </c>
      <c r="AE858" t="s">
        <v>131</v>
      </c>
      <c r="AF858" t="s">
        <v>132</v>
      </c>
      <c r="AG858" t="s">
        <v>131</v>
      </c>
      <c r="AH858" t="s">
        <v>131</v>
      </c>
      <c r="AI858" t="s">
        <v>149</v>
      </c>
      <c r="AJ858" t="s">
        <v>3189</v>
      </c>
      <c r="AK858" t="s">
        <v>673</v>
      </c>
      <c r="AL858" t="s">
        <v>255</v>
      </c>
      <c r="AM858" t="s">
        <v>41</v>
      </c>
      <c r="AN858" t="s">
        <v>6</v>
      </c>
      <c r="AO858" t="s">
        <v>385</v>
      </c>
      <c r="AP858" t="s">
        <v>386</v>
      </c>
      <c r="AQ858" t="s">
        <v>20</v>
      </c>
      <c r="AR858" t="s">
        <v>21</v>
      </c>
      <c r="AS858" t="s">
        <v>35</v>
      </c>
      <c r="AT858">
        <v>-0.16</v>
      </c>
      <c r="AU858" t="s">
        <v>269</v>
      </c>
      <c r="AV858" t="s">
        <v>165</v>
      </c>
    </row>
    <row r="859" spans="1:48" x14ac:dyDescent="0.3">
      <c r="A859" t="s">
        <v>3190</v>
      </c>
      <c r="B859" s="12">
        <v>45447</v>
      </c>
      <c r="C859" s="12">
        <v>45447</v>
      </c>
      <c r="D859" t="s">
        <v>2667</v>
      </c>
      <c r="E859" t="s">
        <v>243</v>
      </c>
      <c r="F859" t="s">
        <v>41</v>
      </c>
      <c r="G859" t="s">
        <v>6</v>
      </c>
      <c r="H859" t="s">
        <v>305</v>
      </c>
      <c r="I859" t="s">
        <v>306</v>
      </c>
      <c r="J859" t="s">
        <v>20</v>
      </c>
      <c r="K859" t="s">
        <v>21</v>
      </c>
      <c r="M859" t="s">
        <v>36</v>
      </c>
      <c r="N859">
        <v>6</v>
      </c>
      <c r="O859">
        <v>2708.97</v>
      </c>
      <c r="P859">
        <v>0.25</v>
      </c>
      <c r="Q859">
        <v>0.25</v>
      </c>
      <c r="R859">
        <v>12190.36</v>
      </c>
      <c r="S859">
        <v>10176.99</v>
      </c>
      <c r="T859">
        <v>12190.365</v>
      </c>
      <c r="U859">
        <v>2013.375</v>
      </c>
      <c r="V859">
        <v>0.165161174419306</v>
      </c>
      <c r="W859">
        <v>0</v>
      </c>
      <c r="X859" t="s">
        <v>148</v>
      </c>
      <c r="Y859">
        <v>2024</v>
      </c>
      <c r="Z859" t="s">
        <v>129</v>
      </c>
      <c r="AA859" t="s">
        <v>130</v>
      </c>
      <c r="AB859" t="s">
        <v>131</v>
      </c>
      <c r="AC859" t="s">
        <v>131</v>
      </c>
      <c r="AD859" t="s">
        <v>131</v>
      </c>
      <c r="AE859" t="s">
        <v>131</v>
      </c>
      <c r="AF859" t="s">
        <v>131</v>
      </c>
      <c r="AG859" t="s">
        <v>131</v>
      </c>
      <c r="AH859" t="s">
        <v>132</v>
      </c>
      <c r="AI859" t="s">
        <v>133</v>
      </c>
      <c r="AJ859" t="s">
        <v>3191</v>
      </c>
      <c r="AK859" t="s">
        <v>3192</v>
      </c>
      <c r="AL859" t="s">
        <v>243</v>
      </c>
      <c r="AM859" t="s">
        <v>41</v>
      </c>
      <c r="AN859" t="s">
        <v>6</v>
      </c>
      <c r="AO859" t="s">
        <v>305</v>
      </c>
      <c r="AP859" t="s">
        <v>306</v>
      </c>
      <c r="AQ859" t="s">
        <v>20</v>
      </c>
      <c r="AR859" t="s">
        <v>21</v>
      </c>
      <c r="AS859" t="s">
        <v>36</v>
      </c>
      <c r="AT859">
        <v>0.25</v>
      </c>
      <c r="AU859" t="s">
        <v>129</v>
      </c>
      <c r="AV859" t="s">
        <v>130</v>
      </c>
    </row>
    <row r="860" spans="1:48" x14ac:dyDescent="0.3">
      <c r="A860" t="s">
        <v>3193</v>
      </c>
      <c r="B860" s="12">
        <v>45414</v>
      </c>
      <c r="C860" s="12">
        <v>45421</v>
      </c>
      <c r="D860" t="s">
        <v>3194</v>
      </c>
      <c r="E860" t="s">
        <v>154</v>
      </c>
      <c r="F860" t="s">
        <v>42</v>
      </c>
      <c r="G860" t="s">
        <v>8</v>
      </c>
      <c r="H860" t="s">
        <v>140</v>
      </c>
      <c r="I860" t="s">
        <v>141</v>
      </c>
      <c r="J860" t="s">
        <v>15</v>
      </c>
      <c r="K860" t="s">
        <v>22</v>
      </c>
      <c r="M860" t="s">
        <v>37</v>
      </c>
      <c r="N860">
        <v>4</v>
      </c>
      <c r="O860">
        <v>2904.86</v>
      </c>
      <c r="P860">
        <v>0</v>
      </c>
      <c r="Q860">
        <v>0</v>
      </c>
      <c r="R860">
        <v>11619.44</v>
      </c>
      <c r="S860">
        <v>7184.32</v>
      </c>
      <c r="T860">
        <v>11619.44</v>
      </c>
      <c r="U860">
        <v>4435.12</v>
      </c>
      <c r="V860">
        <v>0.38169825740311097</v>
      </c>
      <c r="W860">
        <v>7</v>
      </c>
      <c r="X860" t="s">
        <v>173</v>
      </c>
      <c r="Y860">
        <v>2024</v>
      </c>
      <c r="Z860" t="s">
        <v>129</v>
      </c>
      <c r="AA860" t="s">
        <v>130</v>
      </c>
      <c r="AB860" t="s">
        <v>131</v>
      </c>
      <c r="AC860" t="s">
        <v>131</v>
      </c>
      <c r="AD860" t="s">
        <v>131</v>
      </c>
      <c r="AE860" t="s">
        <v>131</v>
      </c>
      <c r="AF860" t="s">
        <v>131</v>
      </c>
      <c r="AG860" t="s">
        <v>131</v>
      </c>
      <c r="AH860" t="s">
        <v>132</v>
      </c>
      <c r="AI860" t="s">
        <v>133</v>
      </c>
      <c r="AJ860" t="s">
        <v>1102</v>
      </c>
      <c r="AK860" t="s">
        <v>1156</v>
      </c>
      <c r="AL860" t="s">
        <v>154</v>
      </c>
      <c r="AM860" t="s">
        <v>42</v>
      </c>
      <c r="AN860" t="s">
        <v>8</v>
      </c>
      <c r="AO860" t="s">
        <v>140</v>
      </c>
      <c r="AP860" t="s">
        <v>141</v>
      </c>
      <c r="AQ860" t="s">
        <v>15</v>
      </c>
      <c r="AR860" t="s">
        <v>22</v>
      </c>
      <c r="AS860" t="s">
        <v>37</v>
      </c>
      <c r="AT860">
        <v>0</v>
      </c>
      <c r="AU860" t="s">
        <v>129</v>
      </c>
      <c r="AV860" t="s">
        <v>130</v>
      </c>
    </row>
    <row r="861" spans="1:48" x14ac:dyDescent="0.3">
      <c r="A861" t="s">
        <v>3195</v>
      </c>
      <c r="B861" s="12">
        <v>45592</v>
      </c>
      <c r="C861" s="12">
        <v>45597</v>
      </c>
      <c r="D861" t="s">
        <v>3196</v>
      </c>
      <c r="E861" t="s">
        <v>191</v>
      </c>
      <c r="F861" t="s">
        <v>43</v>
      </c>
      <c r="G861" t="s">
        <v>6</v>
      </c>
      <c r="H861" t="s">
        <v>385</v>
      </c>
      <c r="I861" t="s">
        <v>386</v>
      </c>
      <c r="J861" t="s">
        <v>15</v>
      </c>
      <c r="K861" t="s">
        <v>17</v>
      </c>
      <c r="M861" t="s">
        <v>35</v>
      </c>
      <c r="N861">
        <v>6</v>
      </c>
      <c r="O861">
        <v>4399.2</v>
      </c>
      <c r="P861">
        <v>0.05</v>
      </c>
      <c r="Q861">
        <v>0.05</v>
      </c>
      <c r="R861">
        <v>25075.439999999999</v>
      </c>
      <c r="S861">
        <v>16282.74</v>
      </c>
      <c r="T861">
        <v>25075.439999999999</v>
      </c>
      <c r="U861">
        <v>8792.7000000000007</v>
      </c>
      <c r="V861">
        <v>0.35064987892535499</v>
      </c>
      <c r="W861">
        <v>5</v>
      </c>
      <c r="X861" t="s">
        <v>222</v>
      </c>
      <c r="Y861">
        <v>2024</v>
      </c>
      <c r="Z861" t="s">
        <v>129</v>
      </c>
      <c r="AA861" t="s">
        <v>130</v>
      </c>
      <c r="AB861" t="s">
        <v>131</v>
      </c>
      <c r="AC861" t="s">
        <v>131</v>
      </c>
      <c r="AD861" t="s">
        <v>131</v>
      </c>
      <c r="AE861" t="s">
        <v>131</v>
      </c>
      <c r="AF861" t="s">
        <v>131</v>
      </c>
      <c r="AG861" t="s">
        <v>131</v>
      </c>
      <c r="AH861" t="s">
        <v>132</v>
      </c>
      <c r="AI861" t="s">
        <v>133</v>
      </c>
      <c r="AJ861" t="s">
        <v>2874</v>
      </c>
      <c r="AK861" t="s">
        <v>3197</v>
      </c>
      <c r="AL861" t="s">
        <v>191</v>
      </c>
      <c r="AM861" t="s">
        <v>43</v>
      </c>
      <c r="AN861" t="s">
        <v>6</v>
      </c>
      <c r="AO861" t="s">
        <v>385</v>
      </c>
      <c r="AP861" t="s">
        <v>386</v>
      </c>
      <c r="AQ861" t="s">
        <v>15</v>
      </c>
      <c r="AR861" t="s">
        <v>17</v>
      </c>
      <c r="AS861" t="s">
        <v>35</v>
      </c>
      <c r="AT861">
        <v>0.05</v>
      </c>
      <c r="AU861" t="s">
        <v>129</v>
      </c>
      <c r="AV861" t="s">
        <v>130</v>
      </c>
    </row>
    <row r="862" spans="1:48" x14ac:dyDescent="0.3">
      <c r="A862" t="s">
        <v>3198</v>
      </c>
      <c r="B862" s="12">
        <v>45324</v>
      </c>
      <c r="C862" s="12">
        <v>45326</v>
      </c>
      <c r="D862" t="s">
        <v>3199</v>
      </c>
      <c r="E862" t="s">
        <v>170</v>
      </c>
      <c r="F862" t="s">
        <v>41</v>
      </c>
      <c r="G862" t="s">
        <v>9</v>
      </c>
      <c r="H862" t="s">
        <v>249</v>
      </c>
      <c r="I862" t="s">
        <v>250</v>
      </c>
      <c r="J862" t="s">
        <v>20</v>
      </c>
      <c r="K862" t="s">
        <v>21</v>
      </c>
      <c r="M862" t="s">
        <v>37</v>
      </c>
      <c r="N862">
        <v>1</v>
      </c>
      <c r="O862">
        <v>4397.32</v>
      </c>
      <c r="P862">
        <v>0.05</v>
      </c>
      <c r="Q862">
        <v>0.05</v>
      </c>
      <c r="R862">
        <v>4177.45</v>
      </c>
      <c r="S862">
        <v>2299.5</v>
      </c>
      <c r="T862">
        <v>4177.4539999999997</v>
      </c>
      <c r="U862">
        <v>1877.954</v>
      </c>
      <c r="V862">
        <v>0.44954510570313899</v>
      </c>
      <c r="W862">
        <v>2</v>
      </c>
      <c r="X862" t="s">
        <v>186</v>
      </c>
      <c r="Y862">
        <v>2024</v>
      </c>
      <c r="Z862" t="s">
        <v>129</v>
      </c>
      <c r="AA862" t="s">
        <v>130</v>
      </c>
      <c r="AB862" t="s">
        <v>131</v>
      </c>
      <c r="AC862" t="s">
        <v>131</v>
      </c>
      <c r="AD862" t="s">
        <v>131</v>
      </c>
      <c r="AE862" t="s">
        <v>131</v>
      </c>
      <c r="AF862" t="s">
        <v>131</v>
      </c>
      <c r="AG862" t="s">
        <v>131</v>
      </c>
      <c r="AH862" t="s">
        <v>132</v>
      </c>
      <c r="AI862" t="s">
        <v>133</v>
      </c>
      <c r="AJ862" t="s">
        <v>717</v>
      </c>
      <c r="AK862" t="s">
        <v>3200</v>
      </c>
      <c r="AL862" t="s">
        <v>170</v>
      </c>
      <c r="AM862" t="s">
        <v>41</v>
      </c>
      <c r="AN862" t="s">
        <v>9</v>
      </c>
      <c r="AO862" t="s">
        <v>249</v>
      </c>
      <c r="AP862" t="s">
        <v>250</v>
      </c>
      <c r="AQ862" t="s">
        <v>20</v>
      </c>
      <c r="AR862" t="s">
        <v>21</v>
      </c>
      <c r="AS862" t="s">
        <v>37</v>
      </c>
      <c r="AT862">
        <v>0.05</v>
      </c>
      <c r="AU862" t="s">
        <v>129</v>
      </c>
      <c r="AV862" t="s">
        <v>130</v>
      </c>
    </row>
    <row r="863" spans="1:48" x14ac:dyDescent="0.3">
      <c r="A863" t="s">
        <v>3201</v>
      </c>
      <c r="B863" s="12">
        <v>45724</v>
      </c>
      <c r="C863" s="12">
        <v>45725</v>
      </c>
      <c r="D863" t="s">
        <v>3202</v>
      </c>
      <c r="E863" t="s">
        <v>221</v>
      </c>
      <c r="F863" t="s">
        <v>41</v>
      </c>
      <c r="G863" t="s">
        <v>9</v>
      </c>
      <c r="H863" t="s">
        <v>522</v>
      </c>
      <c r="I863" t="s">
        <v>523</v>
      </c>
      <c r="J863" t="s">
        <v>18</v>
      </c>
      <c r="K863" t="s">
        <v>23</v>
      </c>
      <c r="M863" t="s">
        <v>38</v>
      </c>
      <c r="N863">
        <v>4</v>
      </c>
      <c r="O863">
        <v>3405.68</v>
      </c>
      <c r="P863">
        <v>0.2</v>
      </c>
      <c r="Q863">
        <v>0.2</v>
      </c>
      <c r="R863">
        <v>10898.18</v>
      </c>
      <c r="S863">
        <v>6231.41</v>
      </c>
      <c r="T863">
        <v>10898.175999999999</v>
      </c>
      <c r="U863">
        <v>4666.7659999999996</v>
      </c>
      <c r="V863">
        <v>0.42821532704188298</v>
      </c>
      <c r="W863">
        <v>1</v>
      </c>
      <c r="X863" t="s">
        <v>278</v>
      </c>
      <c r="Y863">
        <v>2025</v>
      </c>
      <c r="Z863" t="s">
        <v>129</v>
      </c>
      <c r="AA863" t="s">
        <v>130</v>
      </c>
      <c r="AB863" t="s">
        <v>131</v>
      </c>
      <c r="AC863" t="s">
        <v>131</v>
      </c>
      <c r="AD863" t="s">
        <v>131</v>
      </c>
      <c r="AE863" t="s">
        <v>131</v>
      </c>
      <c r="AF863" t="s">
        <v>131</v>
      </c>
      <c r="AG863" t="s">
        <v>131</v>
      </c>
      <c r="AH863" t="s">
        <v>132</v>
      </c>
      <c r="AI863" t="s">
        <v>133</v>
      </c>
      <c r="AJ863" t="s">
        <v>3203</v>
      </c>
      <c r="AK863" t="s">
        <v>3204</v>
      </c>
      <c r="AL863" t="s">
        <v>221</v>
      </c>
      <c r="AM863" t="s">
        <v>41</v>
      </c>
      <c r="AN863" t="s">
        <v>9</v>
      </c>
      <c r="AO863" t="s">
        <v>522</v>
      </c>
      <c r="AP863" t="s">
        <v>523</v>
      </c>
      <c r="AQ863" t="s">
        <v>18</v>
      </c>
      <c r="AR863" t="s">
        <v>23</v>
      </c>
      <c r="AS863" t="s">
        <v>38</v>
      </c>
      <c r="AT863">
        <v>0.2</v>
      </c>
      <c r="AU863" t="s">
        <v>129</v>
      </c>
      <c r="AV863" t="s">
        <v>130</v>
      </c>
    </row>
    <row r="864" spans="1:48" x14ac:dyDescent="0.3">
      <c r="A864" t="s">
        <v>3205</v>
      </c>
      <c r="B864" s="12">
        <v>45742</v>
      </c>
      <c r="C864" s="12">
        <v>45747</v>
      </c>
      <c r="D864" t="s">
        <v>3206</v>
      </c>
      <c r="E864" t="s">
        <v>221</v>
      </c>
      <c r="F864" t="s">
        <v>44</v>
      </c>
      <c r="G864" t="s">
        <v>8</v>
      </c>
      <c r="H864" t="s">
        <v>362</v>
      </c>
      <c r="I864" t="s">
        <v>363</v>
      </c>
      <c r="J864" t="s">
        <v>20</v>
      </c>
      <c r="K864" t="s">
        <v>28</v>
      </c>
      <c r="M864" t="s">
        <v>36</v>
      </c>
      <c r="N864">
        <v>5</v>
      </c>
      <c r="O864">
        <v>1395.14</v>
      </c>
      <c r="P864">
        <v>0</v>
      </c>
      <c r="Q864">
        <v>0</v>
      </c>
      <c r="R864">
        <v>6975.7</v>
      </c>
      <c r="S864">
        <v>4797.88</v>
      </c>
      <c r="T864">
        <v>6975.7</v>
      </c>
      <c r="U864">
        <v>2177.8200000000002</v>
      </c>
      <c r="V864">
        <v>0.312200926071936</v>
      </c>
      <c r="W864">
        <v>5</v>
      </c>
      <c r="X864" t="s">
        <v>278</v>
      </c>
      <c r="Y864">
        <v>2025</v>
      </c>
      <c r="Z864" t="s">
        <v>129</v>
      </c>
      <c r="AA864" t="s">
        <v>165</v>
      </c>
      <c r="AB864" t="s">
        <v>131</v>
      </c>
      <c r="AC864" t="s">
        <v>131</v>
      </c>
      <c r="AD864" t="s">
        <v>131</v>
      </c>
      <c r="AE864" t="s">
        <v>131</v>
      </c>
      <c r="AF864" t="s">
        <v>131</v>
      </c>
      <c r="AG864" t="s">
        <v>131</v>
      </c>
      <c r="AH864" t="s">
        <v>131</v>
      </c>
      <c r="AI864" t="s">
        <v>133</v>
      </c>
      <c r="AJ864" t="s">
        <v>2730</v>
      </c>
      <c r="AK864" t="s">
        <v>3207</v>
      </c>
      <c r="AL864" t="s">
        <v>221</v>
      </c>
      <c r="AM864" t="s">
        <v>44</v>
      </c>
      <c r="AN864" t="s">
        <v>8</v>
      </c>
      <c r="AO864" t="s">
        <v>362</v>
      </c>
      <c r="AP864" t="s">
        <v>363</v>
      </c>
      <c r="AQ864" t="s">
        <v>20</v>
      </c>
      <c r="AR864" t="s">
        <v>28</v>
      </c>
      <c r="AS864" t="s">
        <v>36</v>
      </c>
      <c r="AT864">
        <v>0</v>
      </c>
      <c r="AU864" t="s">
        <v>129</v>
      </c>
      <c r="AV864" t="s">
        <v>165</v>
      </c>
    </row>
    <row r="865" spans="1:48" x14ac:dyDescent="0.3">
      <c r="A865" t="s">
        <v>3208</v>
      </c>
      <c r="B865" s="12">
        <v>45906</v>
      </c>
      <c r="C865" s="12">
        <v>45908</v>
      </c>
      <c r="D865" t="s">
        <v>3209</v>
      </c>
      <c r="E865" t="s">
        <v>238</v>
      </c>
      <c r="F865" t="s">
        <v>41</v>
      </c>
      <c r="G865" t="s">
        <v>7</v>
      </c>
      <c r="H865" t="s">
        <v>171</v>
      </c>
      <c r="I865" t="s">
        <v>172</v>
      </c>
      <c r="J865" t="s">
        <v>18</v>
      </c>
      <c r="K865" t="s">
        <v>23</v>
      </c>
      <c r="M865" t="s">
        <v>38</v>
      </c>
      <c r="N865">
        <v>3</v>
      </c>
      <c r="O865">
        <v>2937.23</v>
      </c>
      <c r="P865">
        <v>0</v>
      </c>
      <c r="Q865">
        <v>0</v>
      </c>
      <c r="R865">
        <v>8811.69</v>
      </c>
      <c r="S865">
        <v>6765.91</v>
      </c>
      <c r="T865">
        <v>8811.69</v>
      </c>
      <c r="U865">
        <v>2045.78</v>
      </c>
      <c r="V865">
        <v>0.23216658779416899</v>
      </c>
      <c r="W865">
        <v>2</v>
      </c>
      <c r="X865" t="s">
        <v>196</v>
      </c>
      <c r="Y865">
        <v>2025</v>
      </c>
      <c r="Z865" t="s">
        <v>129</v>
      </c>
      <c r="AA865" t="s">
        <v>130</v>
      </c>
      <c r="AB865" t="s">
        <v>131</v>
      </c>
      <c r="AC865" t="s">
        <v>131</v>
      </c>
      <c r="AD865" t="s">
        <v>131</v>
      </c>
      <c r="AE865" t="s">
        <v>131</v>
      </c>
      <c r="AF865" t="s">
        <v>131</v>
      </c>
      <c r="AG865" t="s">
        <v>131</v>
      </c>
      <c r="AH865" t="s">
        <v>132</v>
      </c>
      <c r="AI865" t="s">
        <v>133</v>
      </c>
      <c r="AJ865" t="s">
        <v>3210</v>
      </c>
      <c r="AK865" t="s">
        <v>2281</v>
      </c>
      <c r="AL865" t="s">
        <v>238</v>
      </c>
      <c r="AM865" t="s">
        <v>41</v>
      </c>
      <c r="AN865" t="s">
        <v>7</v>
      </c>
      <c r="AO865" t="s">
        <v>171</v>
      </c>
      <c r="AP865" t="s">
        <v>172</v>
      </c>
      <c r="AQ865" t="s">
        <v>18</v>
      </c>
      <c r="AR865" t="s">
        <v>23</v>
      </c>
      <c r="AS865" t="s">
        <v>38</v>
      </c>
      <c r="AT865">
        <v>0</v>
      </c>
      <c r="AU865" t="s">
        <v>129</v>
      </c>
      <c r="AV865" t="s">
        <v>130</v>
      </c>
    </row>
    <row r="866" spans="1:48" x14ac:dyDescent="0.3">
      <c r="A866" t="s">
        <v>3211</v>
      </c>
      <c r="B866" s="12">
        <v>45902</v>
      </c>
      <c r="C866" s="12">
        <v>45905</v>
      </c>
      <c r="D866" t="s">
        <v>3212</v>
      </c>
      <c r="E866" t="s">
        <v>170</v>
      </c>
      <c r="F866" t="s">
        <v>42</v>
      </c>
      <c r="G866" t="s">
        <v>6</v>
      </c>
      <c r="H866" t="s">
        <v>385</v>
      </c>
      <c r="I866" t="s">
        <v>386</v>
      </c>
      <c r="J866" t="s">
        <v>15</v>
      </c>
      <c r="K866" t="s">
        <v>17</v>
      </c>
      <c r="M866" t="s">
        <v>36</v>
      </c>
      <c r="N866">
        <v>5</v>
      </c>
      <c r="O866">
        <v>3406.87</v>
      </c>
      <c r="P866">
        <v>0</v>
      </c>
      <c r="Q866">
        <v>0</v>
      </c>
      <c r="R866">
        <v>17034.349999999999</v>
      </c>
      <c r="S866">
        <v>14631.36</v>
      </c>
      <c r="T866">
        <v>17034.349999999999</v>
      </c>
      <c r="U866">
        <v>2402.9899999999998</v>
      </c>
      <c r="V866">
        <v>0.14106731398615099</v>
      </c>
      <c r="W866">
        <v>3</v>
      </c>
      <c r="X866" t="s">
        <v>196</v>
      </c>
      <c r="Y866">
        <v>2025</v>
      </c>
      <c r="Z866" t="s">
        <v>129</v>
      </c>
      <c r="AA866" t="s">
        <v>130</v>
      </c>
      <c r="AB866" t="s">
        <v>131</v>
      </c>
      <c r="AC866" t="s">
        <v>131</v>
      </c>
      <c r="AD866" t="s">
        <v>131</v>
      </c>
      <c r="AE866" t="s">
        <v>131</v>
      </c>
      <c r="AF866" t="s">
        <v>131</v>
      </c>
      <c r="AG866" t="s">
        <v>131</v>
      </c>
      <c r="AH866" t="s">
        <v>132</v>
      </c>
      <c r="AI866" t="s">
        <v>133</v>
      </c>
      <c r="AJ866" t="s">
        <v>3213</v>
      </c>
      <c r="AK866" t="s">
        <v>577</v>
      </c>
      <c r="AL866" t="s">
        <v>170</v>
      </c>
      <c r="AM866" t="s">
        <v>42</v>
      </c>
      <c r="AN866" t="s">
        <v>6</v>
      </c>
      <c r="AO866" t="s">
        <v>385</v>
      </c>
      <c r="AP866" t="s">
        <v>386</v>
      </c>
      <c r="AQ866" t="s">
        <v>15</v>
      </c>
      <c r="AR866" t="s">
        <v>17</v>
      </c>
      <c r="AS866" t="s">
        <v>36</v>
      </c>
      <c r="AT866">
        <v>0</v>
      </c>
      <c r="AU866" t="s">
        <v>129</v>
      </c>
      <c r="AV866" t="s">
        <v>130</v>
      </c>
    </row>
    <row r="867" spans="1:48" x14ac:dyDescent="0.3">
      <c r="A867" t="s">
        <v>3214</v>
      </c>
      <c r="B867" s="12">
        <v>45694</v>
      </c>
      <c r="C867" s="12">
        <v>45702</v>
      </c>
      <c r="D867" t="s">
        <v>3215</v>
      </c>
      <c r="E867" t="s">
        <v>409</v>
      </c>
      <c r="F867" t="s">
        <v>42</v>
      </c>
      <c r="G867" t="s">
        <v>7</v>
      </c>
      <c r="H867" t="s">
        <v>163</v>
      </c>
      <c r="I867" t="s">
        <v>164</v>
      </c>
      <c r="J867" t="s">
        <v>20</v>
      </c>
      <c r="K867" t="s">
        <v>30</v>
      </c>
      <c r="M867" t="s">
        <v>37</v>
      </c>
      <c r="N867">
        <v>2</v>
      </c>
      <c r="O867">
        <v>3992.04</v>
      </c>
      <c r="P867">
        <v>0</v>
      </c>
      <c r="Q867">
        <v>0</v>
      </c>
      <c r="R867">
        <v>7984.08</v>
      </c>
      <c r="S867">
        <v>5658.05</v>
      </c>
      <c r="T867">
        <v>7984.08</v>
      </c>
      <c r="U867">
        <v>2326.0300000000002</v>
      </c>
      <c r="V867">
        <v>0.29133350367230798</v>
      </c>
      <c r="W867">
        <v>8</v>
      </c>
      <c r="X867" t="s">
        <v>186</v>
      </c>
      <c r="Y867">
        <v>2025</v>
      </c>
      <c r="Z867" t="s">
        <v>129</v>
      </c>
      <c r="AA867" t="s">
        <v>130</v>
      </c>
      <c r="AB867" t="s">
        <v>131</v>
      </c>
      <c r="AC867" t="s">
        <v>131</v>
      </c>
      <c r="AD867" t="s">
        <v>131</v>
      </c>
      <c r="AE867" t="s">
        <v>131</v>
      </c>
      <c r="AF867" t="s">
        <v>131</v>
      </c>
      <c r="AG867" t="s">
        <v>131</v>
      </c>
      <c r="AH867" t="s">
        <v>132</v>
      </c>
      <c r="AI867" t="s">
        <v>133</v>
      </c>
      <c r="AJ867" t="s">
        <v>3073</v>
      </c>
      <c r="AK867" t="s">
        <v>1645</v>
      </c>
      <c r="AL867" t="s">
        <v>409</v>
      </c>
      <c r="AM867" t="s">
        <v>42</v>
      </c>
      <c r="AN867" t="s">
        <v>7</v>
      </c>
      <c r="AO867" t="s">
        <v>163</v>
      </c>
      <c r="AP867" t="s">
        <v>164</v>
      </c>
      <c r="AQ867" t="s">
        <v>20</v>
      </c>
      <c r="AR867" t="s">
        <v>30</v>
      </c>
      <c r="AS867" t="s">
        <v>37</v>
      </c>
      <c r="AT867">
        <v>0</v>
      </c>
      <c r="AU867" t="s">
        <v>129</v>
      </c>
      <c r="AV867" t="s">
        <v>130</v>
      </c>
    </row>
    <row r="868" spans="1:48" x14ac:dyDescent="0.3">
      <c r="A868" t="s">
        <v>3216</v>
      </c>
      <c r="B868" s="12">
        <v>45714</v>
      </c>
      <c r="C868" s="12">
        <v>45722</v>
      </c>
      <c r="D868" t="s">
        <v>3217</v>
      </c>
      <c r="E868" t="s">
        <v>221</v>
      </c>
      <c r="F868" t="s">
        <v>42</v>
      </c>
      <c r="G868" t="s">
        <v>8</v>
      </c>
      <c r="H868" t="s">
        <v>259</v>
      </c>
      <c r="I868" t="s">
        <v>260</v>
      </c>
      <c r="J868" t="s">
        <v>18</v>
      </c>
      <c r="K868" t="s">
        <v>26</v>
      </c>
      <c r="M868" t="s">
        <v>36</v>
      </c>
      <c r="N868">
        <v>9</v>
      </c>
      <c r="O868">
        <v>3043.37</v>
      </c>
      <c r="P868">
        <v>0.2</v>
      </c>
      <c r="Q868">
        <v>0.2</v>
      </c>
      <c r="R868">
        <v>21912.26</v>
      </c>
      <c r="S868">
        <v>16367.78</v>
      </c>
      <c r="T868">
        <v>21912.263999999999</v>
      </c>
      <c r="U868">
        <v>5544.4840000000004</v>
      </c>
      <c r="V868">
        <v>0.25303108797885998</v>
      </c>
      <c r="W868">
        <v>8</v>
      </c>
      <c r="X868" t="s">
        <v>186</v>
      </c>
      <c r="Y868">
        <v>2025</v>
      </c>
      <c r="Z868" t="s">
        <v>215</v>
      </c>
      <c r="AA868" t="s">
        <v>165</v>
      </c>
      <c r="AB868" t="s">
        <v>131</v>
      </c>
      <c r="AC868" t="s">
        <v>131</v>
      </c>
      <c r="AD868" t="s">
        <v>131</v>
      </c>
      <c r="AE868" t="s">
        <v>131</v>
      </c>
      <c r="AF868" t="s">
        <v>131</v>
      </c>
      <c r="AG868" t="s">
        <v>131</v>
      </c>
      <c r="AH868" t="s">
        <v>131</v>
      </c>
      <c r="AI868" t="s">
        <v>133</v>
      </c>
      <c r="AJ868" t="s">
        <v>1071</v>
      </c>
      <c r="AK868" t="s">
        <v>3218</v>
      </c>
      <c r="AL868" t="s">
        <v>221</v>
      </c>
      <c r="AM868" t="s">
        <v>42</v>
      </c>
      <c r="AN868" t="s">
        <v>8</v>
      </c>
      <c r="AO868" t="s">
        <v>259</v>
      </c>
      <c r="AP868" t="s">
        <v>260</v>
      </c>
      <c r="AQ868" t="s">
        <v>18</v>
      </c>
      <c r="AR868" t="s">
        <v>26</v>
      </c>
      <c r="AS868" t="s">
        <v>36</v>
      </c>
      <c r="AT868">
        <v>0.2</v>
      </c>
      <c r="AU868" t="s">
        <v>215</v>
      </c>
      <c r="AV868" t="s">
        <v>165</v>
      </c>
    </row>
    <row r="869" spans="1:48" x14ac:dyDescent="0.3">
      <c r="A869" t="s">
        <v>3219</v>
      </c>
      <c r="B869" s="12">
        <v>45617</v>
      </c>
      <c r="C869" s="12">
        <v>45618</v>
      </c>
      <c r="D869" t="s">
        <v>3220</v>
      </c>
      <c r="E869" t="s">
        <v>227</v>
      </c>
      <c r="F869" t="s">
        <v>41</v>
      </c>
      <c r="G869" t="s">
        <v>6</v>
      </c>
      <c r="H869" t="s">
        <v>184</v>
      </c>
      <c r="I869" t="s">
        <v>185</v>
      </c>
      <c r="J869" t="s">
        <v>15</v>
      </c>
      <c r="K869" t="s">
        <v>22</v>
      </c>
      <c r="M869" t="s">
        <v>38</v>
      </c>
      <c r="N869">
        <v>6</v>
      </c>
      <c r="O869">
        <v>1043.49</v>
      </c>
      <c r="P869">
        <v>0.25</v>
      </c>
      <c r="Q869">
        <v>0.25</v>
      </c>
      <c r="R869">
        <v>4695.7</v>
      </c>
      <c r="S869">
        <v>3871.69</v>
      </c>
      <c r="T869">
        <v>4695.7049999999999</v>
      </c>
      <c r="U869">
        <v>824.01499999999999</v>
      </c>
      <c r="V869">
        <v>0.17548270174553099</v>
      </c>
      <c r="W869">
        <v>1</v>
      </c>
      <c r="X869" t="s">
        <v>157</v>
      </c>
      <c r="Y869">
        <v>2024</v>
      </c>
      <c r="Z869" t="s">
        <v>269</v>
      </c>
      <c r="AA869" t="s">
        <v>165</v>
      </c>
      <c r="AB869" t="s">
        <v>131</v>
      </c>
      <c r="AC869" t="s">
        <v>131</v>
      </c>
      <c r="AD869" t="s">
        <v>131</v>
      </c>
      <c r="AE869" t="s">
        <v>131</v>
      </c>
      <c r="AF869" t="s">
        <v>131</v>
      </c>
      <c r="AG869" t="s">
        <v>131</v>
      </c>
      <c r="AH869" t="s">
        <v>131</v>
      </c>
      <c r="AI869" t="s">
        <v>133</v>
      </c>
      <c r="AJ869" t="s">
        <v>3221</v>
      </c>
      <c r="AK869" t="s">
        <v>3222</v>
      </c>
      <c r="AL869" t="s">
        <v>227</v>
      </c>
      <c r="AM869" t="s">
        <v>41</v>
      </c>
      <c r="AN869" t="s">
        <v>6</v>
      </c>
      <c r="AO869" t="s">
        <v>184</v>
      </c>
      <c r="AP869" t="s">
        <v>185</v>
      </c>
      <c r="AQ869" t="s">
        <v>15</v>
      </c>
      <c r="AR869" t="s">
        <v>22</v>
      </c>
      <c r="AS869" t="s">
        <v>38</v>
      </c>
      <c r="AT869">
        <v>0.25</v>
      </c>
      <c r="AU869" t="s">
        <v>269</v>
      </c>
      <c r="AV869" t="s">
        <v>165</v>
      </c>
    </row>
    <row r="870" spans="1:48" x14ac:dyDescent="0.3">
      <c r="A870" t="s">
        <v>3223</v>
      </c>
      <c r="B870" s="12">
        <v>45758</v>
      </c>
      <c r="C870" s="12">
        <v>45762</v>
      </c>
      <c r="D870" t="s">
        <v>3224</v>
      </c>
      <c r="E870" t="s">
        <v>170</v>
      </c>
      <c r="F870" t="s">
        <v>41</v>
      </c>
      <c r="G870" t="s">
        <v>6</v>
      </c>
      <c r="H870" t="s">
        <v>294</v>
      </c>
      <c r="I870" t="s">
        <v>295</v>
      </c>
      <c r="J870" t="s">
        <v>20</v>
      </c>
      <c r="K870" t="s">
        <v>21</v>
      </c>
      <c r="M870" t="s">
        <v>38</v>
      </c>
      <c r="N870">
        <v>9</v>
      </c>
      <c r="O870">
        <v>224.94</v>
      </c>
      <c r="P870">
        <v>0.05</v>
      </c>
      <c r="Q870">
        <v>0.05</v>
      </c>
      <c r="R870">
        <v>1923.24</v>
      </c>
      <c r="S870">
        <v>1093.6600000000001</v>
      </c>
      <c r="T870">
        <v>1923.2370000000001</v>
      </c>
      <c r="U870">
        <v>829.577</v>
      </c>
      <c r="V870">
        <v>0.43134413491420998</v>
      </c>
      <c r="W870">
        <v>4</v>
      </c>
      <c r="X870" t="s">
        <v>179</v>
      </c>
      <c r="Y870">
        <v>2025</v>
      </c>
      <c r="Z870" t="s">
        <v>129</v>
      </c>
      <c r="AA870" t="s">
        <v>130</v>
      </c>
      <c r="AB870" t="s">
        <v>131</v>
      </c>
      <c r="AC870" t="s">
        <v>131</v>
      </c>
      <c r="AD870" t="s">
        <v>131</v>
      </c>
      <c r="AE870" t="s">
        <v>131</v>
      </c>
      <c r="AF870" t="s">
        <v>131</v>
      </c>
      <c r="AG870" t="s">
        <v>131</v>
      </c>
      <c r="AH870" t="s">
        <v>132</v>
      </c>
      <c r="AI870" t="s">
        <v>133</v>
      </c>
      <c r="AJ870" t="s">
        <v>774</v>
      </c>
      <c r="AK870" t="s">
        <v>1822</v>
      </c>
      <c r="AL870" t="s">
        <v>170</v>
      </c>
      <c r="AM870" t="s">
        <v>41</v>
      </c>
      <c r="AN870" t="s">
        <v>6</v>
      </c>
      <c r="AO870" t="s">
        <v>294</v>
      </c>
      <c r="AP870" t="s">
        <v>295</v>
      </c>
      <c r="AQ870" t="s">
        <v>20</v>
      </c>
      <c r="AR870" t="s">
        <v>21</v>
      </c>
      <c r="AS870" t="s">
        <v>38</v>
      </c>
      <c r="AT870">
        <v>0.05</v>
      </c>
      <c r="AU870" t="s">
        <v>129</v>
      </c>
      <c r="AV870" t="s">
        <v>130</v>
      </c>
    </row>
    <row r="871" spans="1:48" x14ac:dyDescent="0.3">
      <c r="A871" t="s">
        <v>3225</v>
      </c>
      <c r="B871" s="12">
        <v>45722</v>
      </c>
      <c r="C871" s="12">
        <v>45723</v>
      </c>
      <c r="D871" t="s">
        <v>3226</v>
      </c>
      <c r="E871" t="s">
        <v>255</v>
      </c>
      <c r="F871" t="s">
        <v>41</v>
      </c>
      <c r="G871" t="s">
        <v>10</v>
      </c>
      <c r="H871" t="s">
        <v>522</v>
      </c>
      <c r="I871" t="s">
        <v>523</v>
      </c>
      <c r="J871" t="s">
        <v>18</v>
      </c>
      <c r="K871" t="s">
        <v>19</v>
      </c>
      <c r="M871" t="s">
        <v>38</v>
      </c>
      <c r="N871">
        <v>6</v>
      </c>
      <c r="O871">
        <v>796.65</v>
      </c>
      <c r="P871">
        <v>0.1</v>
      </c>
      <c r="Q871">
        <v>0.1</v>
      </c>
      <c r="R871">
        <v>4301.91</v>
      </c>
      <c r="S871">
        <v>2374.4</v>
      </c>
      <c r="T871">
        <v>4301.91</v>
      </c>
      <c r="U871">
        <v>1927.51</v>
      </c>
      <c r="V871">
        <v>0.44805911792668801</v>
      </c>
      <c r="W871">
        <v>1</v>
      </c>
      <c r="X871" t="s">
        <v>278</v>
      </c>
      <c r="Y871">
        <v>2025</v>
      </c>
      <c r="Z871" t="s">
        <v>129</v>
      </c>
      <c r="AA871" t="s">
        <v>130</v>
      </c>
      <c r="AB871" t="s">
        <v>132</v>
      </c>
      <c r="AC871" t="s">
        <v>131</v>
      </c>
      <c r="AD871" t="s">
        <v>131</v>
      </c>
      <c r="AE871" t="s">
        <v>131</v>
      </c>
      <c r="AF871" t="s">
        <v>131</v>
      </c>
      <c r="AG871" t="s">
        <v>131</v>
      </c>
      <c r="AH871" t="s">
        <v>132</v>
      </c>
      <c r="AI871" t="s">
        <v>321</v>
      </c>
      <c r="AJ871" t="s">
        <v>3227</v>
      </c>
      <c r="AK871" t="s">
        <v>753</v>
      </c>
      <c r="AL871" t="s">
        <v>255</v>
      </c>
      <c r="AM871" t="s">
        <v>41</v>
      </c>
      <c r="AO871" t="s">
        <v>522</v>
      </c>
      <c r="AP871" t="s">
        <v>523</v>
      </c>
      <c r="AQ871" t="s">
        <v>18</v>
      </c>
      <c r="AR871" t="s">
        <v>19</v>
      </c>
      <c r="AS871" t="s">
        <v>38</v>
      </c>
      <c r="AT871">
        <v>0.1</v>
      </c>
      <c r="AU871" t="s">
        <v>129</v>
      </c>
      <c r="AV871" t="s">
        <v>130</v>
      </c>
    </row>
    <row r="872" spans="1:48" x14ac:dyDescent="0.3">
      <c r="A872" t="s">
        <v>3228</v>
      </c>
      <c r="B872" s="12">
        <v>45814</v>
      </c>
      <c r="C872" s="12">
        <v>45815</v>
      </c>
      <c r="D872" t="s">
        <v>3229</v>
      </c>
      <c r="E872" t="s">
        <v>170</v>
      </c>
      <c r="F872" t="s">
        <v>43</v>
      </c>
      <c r="G872" t="s">
        <v>7</v>
      </c>
      <c r="H872" t="s">
        <v>311</v>
      </c>
      <c r="I872" t="s">
        <v>312</v>
      </c>
      <c r="J872" t="s">
        <v>18</v>
      </c>
      <c r="K872" t="s">
        <v>27</v>
      </c>
      <c r="M872" t="s">
        <v>35</v>
      </c>
      <c r="N872">
        <v>9</v>
      </c>
      <c r="O872">
        <v>2932.92</v>
      </c>
      <c r="P872">
        <v>0.15</v>
      </c>
      <c r="Q872">
        <v>0.15</v>
      </c>
      <c r="R872">
        <v>22436.84</v>
      </c>
      <c r="S872">
        <v>17454.669999999998</v>
      </c>
      <c r="T872">
        <v>22436.838</v>
      </c>
      <c r="U872">
        <v>4982.1679999999997</v>
      </c>
      <c r="V872">
        <v>0.22205303617203101</v>
      </c>
      <c r="W872">
        <v>1</v>
      </c>
      <c r="X872" t="s">
        <v>148</v>
      </c>
      <c r="Y872">
        <v>2025</v>
      </c>
      <c r="Z872" t="s">
        <v>129</v>
      </c>
      <c r="AA872" t="s">
        <v>165</v>
      </c>
      <c r="AB872" t="s">
        <v>131</v>
      </c>
      <c r="AC872" t="s">
        <v>131</v>
      </c>
      <c r="AD872" t="s">
        <v>131</v>
      </c>
      <c r="AE872" t="s">
        <v>131</v>
      </c>
      <c r="AF872" t="s">
        <v>131</v>
      </c>
      <c r="AG872" t="s">
        <v>131</v>
      </c>
      <c r="AH872" t="s">
        <v>131</v>
      </c>
      <c r="AI872" t="s">
        <v>133</v>
      </c>
      <c r="AJ872" t="s">
        <v>3230</v>
      </c>
      <c r="AK872" t="s">
        <v>3231</v>
      </c>
      <c r="AL872" t="s">
        <v>170</v>
      </c>
      <c r="AM872" t="s">
        <v>43</v>
      </c>
      <c r="AN872" t="s">
        <v>7</v>
      </c>
      <c r="AO872" t="s">
        <v>311</v>
      </c>
      <c r="AP872" t="s">
        <v>312</v>
      </c>
      <c r="AQ872" t="s">
        <v>18</v>
      </c>
      <c r="AR872" t="s">
        <v>27</v>
      </c>
      <c r="AS872" t="s">
        <v>35</v>
      </c>
      <c r="AT872">
        <v>0.15</v>
      </c>
      <c r="AU872" t="s">
        <v>129</v>
      </c>
      <c r="AV872" t="s">
        <v>165</v>
      </c>
    </row>
    <row r="873" spans="1:48" x14ac:dyDescent="0.3">
      <c r="A873" t="s">
        <v>3232</v>
      </c>
      <c r="B873" s="12">
        <v>45342</v>
      </c>
      <c r="C873" s="12">
        <v>45344</v>
      </c>
      <c r="D873" t="s">
        <v>3094</v>
      </c>
      <c r="E873" t="s">
        <v>178</v>
      </c>
      <c r="F873" t="s">
        <v>44</v>
      </c>
      <c r="G873" t="s">
        <v>6</v>
      </c>
      <c r="H873" t="s">
        <v>155</v>
      </c>
      <c r="I873" t="s">
        <v>156</v>
      </c>
      <c r="J873" t="s">
        <v>15</v>
      </c>
      <c r="K873" t="s">
        <v>22</v>
      </c>
      <c r="M873" t="s">
        <v>36</v>
      </c>
      <c r="N873">
        <v>9</v>
      </c>
      <c r="O873">
        <v>2186.23</v>
      </c>
      <c r="P873">
        <v>0</v>
      </c>
      <c r="Q873">
        <v>0</v>
      </c>
      <c r="R873">
        <v>19676.07</v>
      </c>
      <c r="S873">
        <v>12458.62</v>
      </c>
      <c r="T873">
        <v>19676.07</v>
      </c>
      <c r="U873">
        <v>7217.45</v>
      </c>
      <c r="V873">
        <v>0.36681359641432498</v>
      </c>
      <c r="W873">
        <v>2</v>
      </c>
      <c r="X873" t="s">
        <v>186</v>
      </c>
      <c r="Y873">
        <v>2024</v>
      </c>
      <c r="Z873" t="s">
        <v>203</v>
      </c>
      <c r="AA873" t="s">
        <v>165</v>
      </c>
      <c r="AB873" t="s">
        <v>131</v>
      </c>
      <c r="AC873" t="s">
        <v>131</v>
      </c>
      <c r="AD873" t="s">
        <v>131</v>
      </c>
      <c r="AE873" t="s">
        <v>131</v>
      </c>
      <c r="AF873" t="s">
        <v>131</v>
      </c>
      <c r="AG873" t="s">
        <v>131</v>
      </c>
      <c r="AH873" t="s">
        <v>131</v>
      </c>
      <c r="AI873" t="s">
        <v>133</v>
      </c>
      <c r="AJ873" t="s">
        <v>3233</v>
      </c>
      <c r="AK873" t="s">
        <v>2359</v>
      </c>
      <c r="AL873" t="s">
        <v>178</v>
      </c>
      <c r="AM873" t="s">
        <v>44</v>
      </c>
      <c r="AN873" t="s">
        <v>6</v>
      </c>
      <c r="AO873" t="s">
        <v>155</v>
      </c>
      <c r="AP873" t="s">
        <v>156</v>
      </c>
      <c r="AQ873" t="s">
        <v>15</v>
      </c>
      <c r="AR873" t="s">
        <v>22</v>
      </c>
      <c r="AS873" t="s">
        <v>36</v>
      </c>
      <c r="AT873">
        <v>0</v>
      </c>
      <c r="AU873" t="s">
        <v>203</v>
      </c>
      <c r="AV873" t="s">
        <v>165</v>
      </c>
    </row>
    <row r="874" spans="1:48" x14ac:dyDescent="0.3">
      <c r="A874" t="s">
        <v>3234</v>
      </c>
      <c r="B874" s="12">
        <v>45597</v>
      </c>
      <c r="C874" s="12">
        <v>45598</v>
      </c>
      <c r="D874" t="s">
        <v>2456</v>
      </c>
      <c r="E874" t="s">
        <v>125</v>
      </c>
      <c r="F874" t="s">
        <v>43</v>
      </c>
      <c r="G874" t="s">
        <v>8</v>
      </c>
      <c r="H874" t="s">
        <v>201</v>
      </c>
      <c r="I874" t="s">
        <v>202</v>
      </c>
      <c r="J874" t="s">
        <v>18</v>
      </c>
      <c r="K874" t="s">
        <v>23</v>
      </c>
      <c r="M874" t="s">
        <v>35</v>
      </c>
      <c r="N874">
        <v>5</v>
      </c>
      <c r="O874">
        <v>2212.02</v>
      </c>
      <c r="P874">
        <v>0.2</v>
      </c>
      <c r="Q874">
        <v>0.2</v>
      </c>
      <c r="R874">
        <v>8848.08</v>
      </c>
      <c r="S874">
        <v>5691.56</v>
      </c>
      <c r="T874">
        <v>8848.08</v>
      </c>
      <c r="U874">
        <v>3156.52</v>
      </c>
      <c r="V874">
        <v>0.35674632236598203</v>
      </c>
      <c r="W874">
        <v>1</v>
      </c>
      <c r="X874" t="s">
        <v>157</v>
      </c>
      <c r="Y874">
        <v>2024</v>
      </c>
      <c r="Z874" t="s">
        <v>129</v>
      </c>
      <c r="AA874" t="s">
        <v>130</v>
      </c>
      <c r="AB874" t="s">
        <v>131</v>
      </c>
      <c r="AC874" t="s">
        <v>131</v>
      </c>
      <c r="AD874" t="s">
        <v>131</v>
      </c>
      <c r="AE874" t="s">
        <v>131</v>
      </c>
      <c r="AF874" t="s">
        <v>131</v>
      </c>
      <c r="AG874" t="s">
        <v>131</v>
      </c>
      <c r="AH874" t="s">
        <v>132</v>
      </c>
      <c r="AI874" t="s">
        <v>133</v>
      </c>
      <c r="AJ874" t="s">
        <v>2875</v>
      </c>
      <c r="AK874" t="s">
        <v>3235</v>
      </c>
      <c r="AL874" t="s">
        <v>125</v>
      </c>
      <c r="AM874" t="s">
        <v>43</v>
      </c>
      <c r="AN874" t="s">
        <v>8</v>
      </c>
      <c r="AO874" t="s">
        <v>201</v>
      </c>
      <c r="AP874" t="s">
        <v>202</v>
      </c>
      <c r="AQ874" t="s">
        <v>18</v>
      </c>
      <c r="AR874" t="s">
        <v>23</v>
      </c>
      <c r="AS874" t="s">
        <v>35</v>
      </c>
      <c r="AT874">
        <v>0.2</v>
      </c>
      <c r="AU874" t="s">
        <v>129</v>
      </c>
      <c r="AV874" t="s">
        <v>130</v>
      </c>
    </row>
    <row r="875" spans="1:48" x14ac:dyDescent="0.3">
      <c r="A875" t="s">
        <v>3236</v>
      </c>
      <c r="B875" s="12">
        <v>45689</v>
      </c>
      <c r="C875" s="12">
        <v>45696</v>
      </c>
      <c r="D875" t="s">
        <v>3237</v>
      </c>
      <c r="E875" t="s">
        <v>191</v>
      </c>
      <c r="F875" t="s">
        <v>41</v>
      </c>
      <c r="G875" t="s">
        <v>7</v>
      </c>
      <c r="H875" t="s">
        <v>300</v>
      </c>
      <c r="I875" t="s">
        <v>301</v>
      </c>
      <c r="J875" t="s">
        <v>20</v>
      </c>
      <c r="K875" t="s">
        <v>21</v>
      </c>
      <c r="M875" t="s">
        <v>37</v>
      </c>
      <c r="N875">
        <v>8</v>
      </c>
      <c r="O875">
        <v>623.30999999999995</v>
      </c>
      <c r="P875">
        <v>0.1</v>
      </c>
      <c r="Q875">
        <v>0.1</v>
      </c>
      <c r="R875">
        <v>4487.83</v>
      </c>
      <c r="S875">
        <v>2633.78</v>
      </c>
      <c r="T875">
        <v>4487.8320000000003</v>
      </c>
      <c r="U875">
        <v>1854.0519999999999</v>
      </c>
      <c r="V875">
        <v>0.41312865543986499</v>
      </c>
      <c r="W875">
        <v>7</v>
      </c>
      <c r="X875" t="s">
        <v>186</v>
      </c>
      <c r="Y875">
        <v>2025</v>
      </c>
      <c r="Z875" t="s">
        <v>129</v>
      </c>
      <c r="AA875" t="s">
        <v>130</v>
      </c>
      <c r="AB875" t="s">
        <v>131</v>
      </c>
      <c r="AC875" t="s">
        <v>131</v>
      </c>
      <c r="AD875" t="s">
        <v>131</v>
      </c>
      <c r="AE875" t="s">
        <v>131</v>
      </c>
      <c r="AF875" t="s">
        <v>131</v>
      </c>
      <c r="AG875" t="s">
        <v>131</v>
      </c>
      <c r="AH875" t="s">
        <v>132</v>
      </c>
      <c r="AI875" t="s">
        <v>133</v>
      </c>
      <c r="AJ875" t="s">
        <v>3238</v>
      </c>
      <c r="AK875" t="s">
        <v>3239</v>
      </c>
      <c r="AL875" t="s">
        <v>191</v>
      </c>
      <c r="AM875" t="s">
        <v>41</v>
      </c>
      <c r="AN875" t="s">
        <v>7</v>
      </c>
      <c r="AO875" t="s">
        <v>300</v>
      </c>
      <c r="AP875" t="s">
        <v>301</v>
      </c>
      <c r="AQ875" t="s">
        <v>20</v>
      </c>
      <c r="AR875" t="s">
        <v>21</v>
      </c>
      <c r="AS875" t="s">
        <v>37</v>
      </c>
      <c r="AT875">
        <v>0.1</v>
      </c>
      <c r="AU875" t="s">
        <v>129</v>
      </c>
      <c r="AV875" t="s">
        <v>130</v>
      </c>
    </row>
    <row r="876" spans="1:48" x14ac:dyDescent="0.3">
      <c r="A876" t="s">
        <v>3240</v>
      </c>
      <c r="B876" s="12">
        <v>45853</v>
      </c>
      <c r="C876" s="12">
        <v>45854</v>
      </c>
      <c r="D876" t="s">
        <v>3241</v>
      </c>
      <c r="E876" t="s">
        <v>170</v>
      </c>
      <c r="F876" t="s">
        <v>44</v>
      </c>
      <c r="G876" t="s">
        <v>7</v>
      </c>
      <c r="H876" t="s">
        <v>163</v>
      </c>
      <c r="I876" t="s">
        <v>164</v>
      </c>
      <c r="J876" t="s">
        <v>20</v>
      </c>
      <c r="K876" t="s">
        <v>24</v>
      </c>
      <c r="M876" t="s">
        <v>35</v>
      </c>
      <c r="N876">
        <v>8</v>
      </c>
      <c r="O876">
        <v>3924.88</v>
      </c>
      <c r="P876">
        <v>0.05</v>
      </c>
      <c r="Q876">
        <v>0.05</v>
      </c>
      <c r="R876">
        <v>29829.09</v>
      </c>
      <c r="S876">
        <v>20710.18</v>
      </c>
      <c r="T876">
        <v>29829.088</v>
      </c>
      <c r="U876">
        <v>9118.9079999999994</v>
      </c>
      <c r="V876">
        <v>0.30570522303598402</v>
      </c>
      <c r="W876">
        <v>1</v>
      </c>
      <c r="X876" t="s">
        <v>128</v>
      </c>
      <c r="Y876">
        <v>2025</v>
      </c>
      <c r="Z876" t="s">
        <v>129</v>
      </c>
      <c r="AA876" t="s">
        <v>130</v>
      </c>
      <c r="AB876" t="s">
        <v>131</v>
      </c>
      <c r="AC876" t="s">
        <v>131</v>
      </c>
      <c r="AD876" t="s">
        <v>131</v>
      </c>
      <c r="AE876" t="s">
        <v>131</v>
      </c>
      <c r="AF876" t="s">
        <v>131</v>
      </c>
      <c r="AG876" t="s">
        <v>131</v>
      </c>
      <c r="AH876" t="s">
        <v>132</v>
      </c>
      <c r="AI876" t="s">
        <v>133</v>
      </c>
      <c r="AJ876" t="s">
        <v>2417</v>
      </c>
      <c r="AK876" t="s">
        <v>1327</v>
      </c>
      <c r="AL876" t="s">
        <v>170</v>
      </c>
      <c r="AM876" t="s">
        <v>44</v>
      </c>
      <c r="AN876" t="s">
        <v>7</v>
      </c>
      <c r="AO876" t="s">
        <v>163</v>
      </c>
      <c r="AP876" t="s">
        <v>164</v>
      </c>
      <c r="AQ876" t="s">
        <v>20</v>
      </c>
      <c r="AR876" t="s">
        <v>24</v>
      </c>
      <c r="AS876" t="s">
        <v>35</v>
      </c>
      <c r="AT876">
        <v>0.05</v>
      </c>
      <c r="AU876" t="s">
        <v>129</v>
      </c>
      <c r="AV876" t="s">
        <v>130</v>
      </c>
    </row>
    <row r="877" spans="1:48" x14ac:dyDescent="0.3">
      <c r="A877" t="s">
        <v>3242</v>
      </c>
      <c r="B877" s="12">
        <v>45514</v>
      </c>
      <c r="C877" s="12">
        <v>45515</v>
      </c>
      <c r="D877" t="s">
        <v>3243</v>
      </c>
      <c r="E877" t="s">
        <v>139</v>
      </c>
      <c r="F877" t="s">
        <v>43</v>
      </c>
      <c r="G877" t="s">
        <v>7</v>
      </c>
      <c r="H877" t="s">
        <v>163</v>
      </c>
      <c r="I877" t="s">
        <v>164</v>
      </c>
      <c r="J877" t="s">
        <v>15</v>
      </c>
      <c r="K877" t="s">
        <v>16</v>
      </c>
      <c r="M877" t="s">
        <v>36</v>
      </c>
      <c r="N877">
        <v>7</v>
      </c>
      <c r="O877">
        <v>3852.62</v>
      </c>
      <c r="P877">
        <v>0.2</v>
      </c>
      <c r="Q877">
        <v>0.2</v>
      </c>
      <c r="R877">
        <v>21574.67</v>
      </c>
      <c r="S877">
        <v>14672.83</v>
      </c>
      <c r="T877">
        <v>21574.671999999999</v>
      </c>
      <c r="U877">
        <v>6901.8419999999996</v>
      </c>
      <c r="V877">
        <v>0.319904840268255</v>
      </c>
      <c r="W877">
        <v>1</v>
      </c>
      <c r="X877" t="s">
        <v>142</v>
      </c>
      <c r="Y877">
        <v>2024</v>
      </c>
      <c r="Z877" t="s">
        <v>129</v>
      </c>
      <c r="AA877" t="s">
        <v>130</v>
      </c>
      <c r="AB877" t="s">
        <v>131</v>
      </c>
      <c r="AC877" t="s">
        <v>131</v>
      </c>
      <c r="AD877" t="s">
        <v>131</v>
      </c>
      <c r="AE877" t="s">
        <v>131</v>
      </c>
      <c r="AF877" t="s">
        <v>131</v>
      </c>
      <c r="AG877" t="s">
        <v>131</v>
      </c>
      <c r="AH877" t="s">
        <v>132</v>
      </c>
      <c r="AI877" t="s">
        <v>133</v>
      </c>
      <c r="AJ877" t="s">
        <v>3244</v>
      </c>
      <c r="AK877" t="s">
        <v>3245</v>
      </c>
      <c r="AL877" t="s">
        <v>139</v>
      </c>
      <c r="AM877" t="s">
        <v>43</v>
      </c>
      <c r="AN877" t="s">
        <v>7</v>
      </c>
      <c r="AO877" t="s">
        <v>163</v>
      </c>
      <c r="AP877" t="s">
        <v>164</v>
      </c>
      <c r="AQ877" t="s">
        <v>15</v>
      </c>
      <c r="AR877" t="s">
        <v>16</v>
      </c>
      <c r="AS877" t="s">
        <v>36</v>
      </c>
      <c r="AT877">
        <v>0.2</v>
      </c>
      <c r="AU877" t="s">
        <v>129</v>
      </c>
      <c r="AV877" t="s">
        <v>130</v>
      </c>
    </row>
    <row r="878" spans="1:48" x14ac:dyDescent="0.3">
      <c r="A878" t="s">
        <v>3246</v>
      </c>
      <c r="B878" s="12">
        <v>45614</v>
      </c>
      <c r="C878" s="12">
        <v>45616</v>
      </c>
      <c r="D878" t="s">
        <v>3247</v>
      </c>
      <c r="E878" t="s">
        <v>221</v>
      </c>
      <c r="F878" t="s">
        <v>42</v>
      </c>
      <c r="G878" t="s">
        <v>7</v>
      </c>
      <c r="H878" t="s">
        <v>126</v>
      </c>
      <c r="I878" t="s">
        <v>213</v>
      </c>
      <c r="J878" t="s">
        <v>18</v>
      </c>
      <c r="K878" t="s">
        <v>19</v>
      </c>
      <c r="M878" t="s">
        <v>36</v>
      </c>
      <c r="N878">
        <v>6</v>
      </c>
      <c r="O878">
        <v>3790.22</v>
      </c>
      <c r="P878">
        <v>0</v>
      </c>
      <c r="Q878">
        <v>0</v>
      </c>
      <c r="R878">
        <v>22741.32</v>
      </c>
      <c r="S878">
        <v>16388.57</v>
      </c>
      <c r="T878">
        <v>22741.32</v>
      </c>
      <c r="U878">
        <v>6352.75</v>
      </c>
      <c r="V878">
        <v>0.279348340377779</v>
      </c>
      <c r="W878">
        <v>2</v>
      </c>
      <c r="X878" t="s">
        <v>157</v>
      </c>
      <c r="Y878">
        <v>2024</v>
      </c>
      <c r="Z878" t="s">
        <v>129</v>
      </c>
      <c r="AA878" t="s">
        <v>130</v>
      </c>
      <c r="AB878" t="s">
        <v>131</v>
      </c>
      <c r="AC878" t="s">
        <v>131</v>
      </c>
      <c r="AD878" t="s">
        <v>131</v>
      </c>
      <c r="AE878" t="s">
        <v>131</v>
      </c>
      <c r="AF878" t="s">
        <v>131</v>
      </c>
      <c r="AG878" t="s">
        <v>131</v>
      </c>
      <c r="AH878" t="s">
        <v>132</v>
      </c>
      <c r="AI878" t="s">
        <v>133</v>
      </c>
      <c r="AJ878" t="s">
        <v>3248</v>
      </c>
      <c r="AK878" t="s">
        <v>3249</v>
      </c>
      <c r="AL878" t="s">
        <v>221</v>
      </c>
      <c r="AM878" t="s">
        <v>42</v>
      </c>
      <c r="AN878" t="s">
        <v>7</v>
      </c>
      <c r="AO878" t="s">
        <v>126</v>
      </c>
      <c r="AP878" t="s">
        <v>213</v>
      </c>
      <c r="AQ878" t="s">
        <v>18</v>
      </c>
      <c r="AR878" t="s">
        <v>19</v>
      </c>
      <c r="AS878" t="s">
        <v>36</v>
      </c>
      <c r="AT878">
        <v>0</v>
      </c>
      <c r="AU878" t="s">
        <v>129</v>
      </c>
      <c r="AV878" t="s">
        <v>130</v>
      </c>
    </row>
    <row r="879" spans="1:48" x14ac:dyDescent="0.3">
      <c r="A879" t="s">
        <v>3250</v>
      </c>
      <c r="B879" s="12">
        <v>45895</v>
      </c>
      <c r="C879" s="12">
        <v>45903</v>
      </c>
      <c r="D879" t="s">
        <v>3251</v>
      </c>
      <c r="E879" t="s">
        <v>238</v>
      </c>
      <c r="F879" t="s">
        <v>42</v>
      </c>
      <c r="G879" t="s">
        <v>7</v>
      </c>
      <c r="H879" t="s">
        <v>126</v>
      </c>
      <c r="I879" t="s">
        <v>213</v>
      </c>
      <c r="J879" t="s">
        <v>20</v>
      </c>
      <c r="K879" t="s">
        <v>21</v>
      </c>
      <c r="M879" t="s">
        <v>37</v>
      </c>
      <c r="N879">
        <v>6</v>
      </c>
      <c r="O879">
        <v>674.36</v>
      </c>
      <c r="P879">
        <v>0.1</v>
      </c>
      <c r="Q879">
        <v>0.1</v>
      </c>
      <c r="R879">
        <v>3641.54</v>
      </c>
      <c r="S879">
        <v>2690.37</v>
      </c>
      <c r="T879">
        <v>3641.5439999999999</v>
      </c>
      <c r="U879">
        <v>951.17399999999998</v>
      </c>
      <c r="V879">
        <v>0.26120074342092298</v>
      </c>
      <c r="W879">
        <v>8</v>
      </c>
      <c r="X879" t="s">
        <v>142</v>
      </c>
      <c r="Y879">
        <v>2025</v>
      </c>
      <c r="Z879" t="s">
        <v>129</v>
      </c>
      <c r="AA879" t="s">
        <v>130</v>
      </c>
      <c r="AB879" t="s">
        <v>131</v>
      </c>
      <c r="AC879" t="s">
        <v>131</v>
      </c>
      <c r="AD879" t="s">
        <v>131</v>
      </c>
      <c r="AE879" t="s">
        <v>131</v>
      </c>
      <c r="AF879" t="s">
        <v>131</v>
      </c>
      <c r="AG879" t="s">
        <v>131</v>
      </c>
      <c r="AH879" t="s">
        <v>132</v>
      </c>
      <c r="AI879" t="s">
        <v>133</v>
      </c>
      <c r="AJ879" t="s">
        <v>3252</v>
      </c>
      <c r="AK879" t="s">
        <v>2309</v>
      </c>
      <c r="AL879" t="s">
        <v>238</v>
      </c>
      <c r="AM879" t="s">
        <v>42</v>
      </c>
      <c r="AN879" t="s">
        <v>7</v>
      </c>
      <c r="AO879" t="s">
        <v>126</v>
      </c>
      <c r="AP879" t="s">
        <v>213</v>
      </c>
      <c r="AQ879" t="s">
        <v>20</v>
      </c>
      <c r="AR879" t="s">
        <v>21</v>
      </c>
      <c r="AS879" t="s">
        <v>37</v>
      </c>
      <c r="AT879">
        <v>0.1</v>
      </c>
      <c r="AU879" t="s">
        <v>129</v>
      </c>
      <c r="AV879" t="s">
        <v>130</v>
      </c>
    </row>
    <row r="880" spans="1:48" x14ac:dyDescent="0.3">
      <c r="A880" t="s">
        <v>3253</v>
      </c>
      <c r="B880" s="12">
        <v>45313</v>
      </c>
      <c r="C880" s="12">
        <v>45313</v>
      </c>
      <c r="D880" t="s">
        <v>3254</v>
      </c>
      <c r="E880" t="s">
        <v>125</v>
      </c>
      <c r="F880" t="s">
        <v>43</v>
      </c>
      <c r="G880" t="s">
        <v>8</v>
      </c>
      <c r="H880" t="s">
        <v>201</v>
      </c>
      <c r="I880" t="s">
        <v>202</v>
      </c>
      <c r="J880" t="s">
        <v>20</v>
      </c>
      <c r="K880" t="s">
        <v>24</v>
      </c>
      <c r="M880" t="s">
        <v>36</v>
      </c>
      <c r="N880">
        <v>8</v>
      </c>
      <c r="O880">
        <v>1557.21</v>
      </c>
      <c r="P880">
        <v>0.05</v>
      </c>
      <c r="Q880">
        <v>0.05</v>
      </c>
      <c r="R880">
        <v>11834.8</v>
      </c>
      <c r="S880">
        <v>9322.36</v>
      </c>
      <c r="T880">
        <v>11834.796</v>
      </c>
      <c r="U880">
        <v>2512.4360000000001</v>
      </c>
      <c r="V880">
        <v>0.212292294687631</v>
      </c>
      <c r="W880">
        <v>0</v>
      </c>
      <c r="X880" t="s">
        <v>244</v>
      </c>
      <c r="Y880">
        <v>2024</v>
      </c>
      <c r="Z880" t="s">
        <v>129</v>
      </c>
      <c r="AA880" t="s">
        <v>130</v>
      </c>
      <c r="AB880" t="s">
        <v>131</v>
      </c>
      <c r="AC880" t="s">
        <v>131</v>
      </c>
      <c r="AD880" t="s">
        <v>131</v>
      </c>
      <c r="AE880" t="s">
        <v>131</v>
      </c>
      <c r="AF880" t="s">
        <v>131</v>
      </c>
      <c r="AG880" t="s">
        <v>131</v>
      </c>
      <c r="AH880" t="s">
        <v>132</v>
      </c>
      <c r="AI880" t="s">
        <v>133</v>
      </c>
      <c r="AJ880" t="s">
        <v>1738</v>
      </c>
      <c r="AK880" t="s">
        <v>1738</v>
      </c>
      <c r="AL880" t="s">
        <v>125</v>
      </c>
      <c r="AM880" t="s">
        <v>43</v>
      </c>
      <c r="AN880" t="s">
        <v>8</v>
      </c>
      <c r="AO880" t="s">
        <v>201</v>
      </c>
      <c r="AP880" t="s">
        <v>202</v>
      </c>
      <c r="AQ880" t="s">
        <v>20</v>
      </c>
      <c r="AR880" t="s">
        <v>24</v>
      </c>
      <c r="AS880" t="s">
        <v>36</v>
      </c>
      <c r="AT880">
        <v>0.05</v>
      </c>
      <c r="AU880" t="s">
        <v>129</v>
      </c>
      <c r="AV880" t="s">
        <v>130</v>
      </c>
    </row>
    <row r="881" spans="1:48" x14ac:dyDescent="0.3">
      <c r="A881" t="s">
        <v>3255</v>
      </c>
      <c r="B881" s="12">
        <v>45896</v>
      </c>
      <c r="C881" s="12">
        <v>45897</v>
      </c>
      <c r="D881" t="s">
        <v>3256</v>
      </c>
      <c r="E881" t="s">
        <v>162</v>
      </c>
      <c r="F881" t="s">
        <v>41</v>
      </c>
      <c r="G881" t="s">
        <v>9</v>
      </c>
      <c r="H881" t="s">
        <v>249</v>
      </c>
      <c r="I881" t="s">
        <v>250</v>
      </c>
      <c r="J881" t="s">
        <v>20</v>
      </c>
      <c r="K881" t="s">
        <v>29</v>
      </c>
      <c r="M881" t="s">
        <v>35</v>
      </c>
      <c r="N881">
        <v>6</v>
      </c>
      <c r="O881">
        <v>1182.03</v>
      </c>
      <c r="P881">
        <v>0.15</v>
      </c>
      <c r="Q881">
        <v>0.15</v>
      </c>
      <c r="R881">
        <v>6028.35</v>
      </c>
      <c r="S881">
        <v>4433.63</v>
      </c>
      <c r="T881">
        <v>6028.3530000000001</v>
      </c>
      <c r="U881">
        <v>1594.723</v>
      </c>
      <c r="V881">
        <v>0.26453709661660502</v>
      </c>
      <c r="W881">
        <v>1</v>
      </c>
      <c r="X881" t="s">
        <v>142</v>
      </c>
      <c r="Y881">
        <v>2025</v>
      </c>
      <c r="Z881" t="s">
        <v>129</v>
      </c>
      <c r="AA881" t="s">
        <v>130</v>
      </c>
      <c r="AB881" t="s">
        <v>131</v>
      </c>
      <c r="AC881" t="s">
        <v>131</v>
      </c>
      <c r="AD881" t="s">
        <v>131</v>
      </c>
      <c r="AE881" t="s">
        <v>131</v>
      </c>
      <c r="AF881" t="s">
        <v>131</v>
      </c>
      <c r="AG881" t="s">
        <v>131</v>
      </c>
      <c r="AH881" t="s">
        <v>132</v>
      </c>
      <c r="AI881" t="s">
        <v>133</v>
      </c>
      <c r="AJ881" t="s">
        <v>3257</v>
      </c>
      <c r="AK881" t="s">
        <v>466</v>
      </c>
      <c r="AL881" t="s">
        <v>162</v>
      </c>
      <c r="AM881" t="s">
        <v>41</v>
      </c>
      <c r="AN881" t="s">
        <v>9</v>
      </c>
      <c r="AO881" t="s">
        <v>249</v>
      </c>
      <c r="AP881" t="s">
        <v>250</v>
      </c>
      <c r="AQ881" t="s">
        <v>20</v>
      </c>
      <c r="AR881" t="s">
        <v>29</v>
      </c>
      <c r="AS881" t="s">
        <v>35</v>
      </c>
      <c r="AT881">
        <v>0.15</v>
      </c>
      <c r="AU881" t="s">
        <v>129</v>
      </c>
      <c r="AV881" t="s">
        <v>130</v>
      </c>
    </row>
    <row r="882" spans="1:48" x14ac:dyDescent="0.3">
      <c r="A882" t="s">
        <v>3258</v>
      </c>
      <c r="B882" s="12">
        <v>45359</v>
      </c>
      <c r="C882" s="12">
        <v>45366</v>
      </c>
      <c r="D882" t="s">
        <v>3259</v>
      </c>
      <c r="E882" t="s">
        <v>238</v>
      </c>
      <c r="F882" t="s">
        <v>44</v>
      </c>
      <c r="G882" t="s">
        <v>10</v>
      </c>
      <c r="H882" t="s">
        <v>232</v>
      </c>
      <c r="I882" t="s">
        <v>233</v>
      </c>
      <c r="J882" t="s">
        <v>18</v>
      </c>
      <c r="K882" t="s">
        <v>19</v>
      </c>
      <c r="M882" t="s">
        <v>36</v>
      </c>
      <c r="N882">
        <v>5</v>
      </c>
      <c r="O882">
        <v>3234.77</v>
      </c>
      <c r="P882">
        <v>0</v>
      </c>
      <c r="Q882">
        <v>0</v>
      </c>
      <c r="R882">
        <v>16173.85</v>
      </c>
      <c r="S882">
        <v>13636.34</v>
      </c>
      <c r="T882">
        <v>16173.85</v>
      </c>
      <c r="U882">
        <v>2537.5100000000002</v>
      </c>
      <c r="V882">
        <v>0.15688967067210299</v>
      </c>
      <c r="W882">
        <v>7</v>
      </c>
      <c r="X882" t="s">
        <v>278</v>
      </c>
      <c r="Y882">
        <v>2024</v>
      </c>
      <c r="Z882" t="s">
        <v>129</v>
      </c>
      <c r="AA882" t="s">
        <v>130</v>
      </c>
      <c r="AB882" t="s">
        <v>132</v>
      </c>
      <c r="AC882" t="s">
        <v>131</v>
      </c>
      <c r="AD882" t="s">
        <v>131</v>
      </c>
      <c r="AE882" t="s">
        <v>131</v>
      </c>
      <c r="AF882" t="s">
        <v>131</v>
      </c>
      <c r="AG882" t="s">
        <v>131</v>
      </c>
      <c r="AH882" t="s">
        <v>132</v>
      </c>
      <c r="AI882" t="s">
        <v>321</v>
      </c>
      <c r="AJ882" t="s">
        <v>3260</v>
      </c>
      <c r="AK882" t="s">
        <v>1019</v>
      </c>
      <c r="AL882" t="s">
        <v>238</v>
      </c>
      <c r="AM882" t="s">
        <v>44</v>
      </c>
      <c r="AO882" t="s">
        <v>232</v>
      </c>
      <c r="AP882" t="s">
        <v>233</v>
      </c>
      <c r="AQ882" t="s">
        <v>18</v>
      </c>
      <c r="AR882" t="s">
        <v>19</v>
      </c>
      <c r="AS882" t="s">
        <v>36</v>
      </c>
      <c r="AT882">
        <v>0</v>
      </c>
      <c r="AU882" t="s">
        <v>129</v>
      </c>
      <c r="AV882" t="s">
        <v>130</v>
      </c>
    </row>
    <row r="883" spans="1:48" x14ac:dyDescent="0.3">
      <c r="A883" t="s">
        <v>3261</v>
      </c>
      <c r="B883" s="12">
        <v>45627</v>
      </c>
      <c r="C883" s="12">
        <v>45631</v>
      </c>
      <c r="D883" t="s">
        <v>3262</v>
      </c>
      <c r="E883" t="s">
        <v>162</v>
      </c>
      <c r="F883" t="s">
        <v>44</v>
      </c>
      <c r="G883" t="s">
        <v>6</v>
      </c>
      <c r="H883" t="s">
        <v>184</v>
      </c>
      <c r="I883" t="s">
        <v>185</v>
      </c>
      <c r="J883" t="s">
        <v>15</v>
      </c>
      <c r="K883" t="s">
        <v>16</v>
      </c>
      <c r="M883" t="s">
        <v>37</v>
      </c>
      <c r="N883">
        <v>9</v>
      </c>
      <c r="O883">
        <v>3726.75</v>
      </c>
      <c r="P883">
        <v>0.25</v>
      </c>
      <c r="Q883">
        <v>0.25</v>
      </c>
      <c r="R883">
        <v>25155.56</v>
      </c>
      <c r="S883">
        <v>17592.689999999999</v>
      </c>
      <c r="T883">
        <v>25155.5625</v>
      </c>
      <c r="U883">
        <v>7562.8725000000004</v>
      </c>
      <c r="V883">
        <v>0.30064414182747901</v>
      </c>
      <c r="W883">
        <v>4</v>
      </c>
      <c r="X883" t="s">
        <v>214</v>
      </c>
      <c r="Y883">
        <v>2024</v>
      </c>
      <c r="Z883" t="s">
        <v>129</v>
      </c>
      <c r="AA883" t="s">
        <v>130</v>
      </c>
      <c r="AB883" t="s">
        <v>131</v>
      </c>
      <c r="AC883" t="s">
        <v>131</v>
      </c>
      <c r="AD883" t="s">
        <v>131</v>
      </c>
      <c r="AE883" t="s">
        <v>131</v>
      </c>
      <c r="AF883" t="s">
        <v>131</v>
      </c>
      <c r="AG883" t="s">
        <v>131</v>
      </c>
      <c r="AH883" t="s">
        <v>132</v>
      </c>
      <c r="AI883" t="s">
        <v>133</v>
      </c>
      <c r="AJ883" t="s">
        <v>2131</v>
      </c>
      <c r="AK883" t="s">
        <v>3263</v>
      </c>
      <c r="AL883" t="s">
        <v>162</v>
      </c>
      <c r="AM883" t="s">
        <v>44</v>
      </c>
      <c r="AN883" t="s">
        <v>6</v>
      </c>
      <c r="AO883" t="s">
        <v>184</v>
      </c>
      <c r="AP883" t="s">
        <v>185</v>
      </c>
      <c r="AQ883" t="s">
        <v>15</v>
      </c>
      <c r="AR883" t="s">
        <v>16</v>
      </c>
      <c r="AS883" t="s">
        <v>37</v>
      </c>
      <c r="AT883">
        <v>0.25</v>
      </c>
      <c r="AU883" t="s">
        <v>129</v>
      </c>
      <c r="AV883" t="s">
        <v>130</v>
      </c>
    </row>
    <row r="884" spans="1:48" x14ac:dyDescent="0.3">
      <c r="A884" t="s">
        <v>3264</v>
      </c>
      <c r="B884" s="12">
        <v>45690</v>
      </c>
      <c r="C884" s="12">
        <v>45698</v>
      </c>
      <c r="D884" t="s">
        <v>3265</v>
      </c>
      <c r="E884" t="s">
        <v>243</v>
      </c>
      <c r="F884" t="s">
        <v>43</v>
      </c>
      <c r="G884" t="s">
        <v>8</v>
      </c>
      <c r="H884" t="s">
        <v>259</v>
      </c>
      <c r="I884" t="s">
        <v>260</v>
      </c>
      <c r="J884" t="s">
        <v>15</v>
      </c>
      <c r="K884" t="s">
        <v>22</v>
      </c>
      <c r="M884" t="s">
        <v>35</v>
      </c>
      <c r="N884">
        <v>4</v>
      </c>
      <c r="O884">
        <v>1912.45</v>
      </c>
      <c r="P884">
        <v>0</v>
      </c>
      <c r="Q884">
        <v>0</v>
      </c>
      <c r="R884">
        <v>7649.8</v>
      </c>
      <c r="S884">
        <v>4894.53</v>
      </c>
      <c r="T884">
        <v>7649.8</v>
      </c>
      <c r="U884">
        <v>2755.27</v>
      </c>
      <c r="V884">
        <v>0.36017542942299202</v>
      </c>
      <c r="W884">
        <v>8</v>
      </c>
      <c r="X884" t="s">
        <v>186</v>
      </c>
      <c r="Y884">
        <v>2025</v>
      </c>
      <c r="Z884" t="s">
        <v>215</v>
      </c>
      <c r="AA884" t="s">
        <v>204</v>
      </c>
      <c r="AB884" t="s">
        <v>131</v>
      </c>
      <c r="AC884" t="s">
        <v>131</v>
      </c>
      <c r="AD884" t="s">
        <v>131</v>
      </c>
      <c r="AE884" t="s">
        <v>131</v>
      </c>
      <c r="AF884" t="s">
        <v>131</v>
      </c>
      <c r="AG884" t="s">
        <v>131</v>
      </c>
      <c r="AH884" t="s">
        <v>131</v>
      </c>
      <c r="AI884" t="s">
        <v>133</v>
      </c>
      <c r="AJ884" t="s">
        <v>3266</v>
      </c>
      <c r="AK884" t="s">
        <v>1188</v>
      </c>
      <c r="AL884" t="s">
        <v>243</v>
      </c>
      <c r="AM884" t="s">
        <v>43</v>
      </c>
      <c r="AN884" t="s">
        <v>8</v>
      </c>
      <c r="AO884" t="s">
        <v>259</v>
      </c>
      <c r="AP884" t="s">
        <v>260</v>
      </c>
      <c r="AQ884" t="s">
        <v>15</v>
      </c>
      <c r="AR884" t="s">
        <v>22</v>
      </c>
      <c r="AS884" t="s">
        <v>35</v>
      </c>
      <c r="AT884">
        <v>0</v>
      </c>
      <c r="AU884" t="s">
        <v>215</v>
      </c>
      <c r="AV884" t="s">
        <v>204</v>
      </c>
    </row>
    <row r="885" spans="1:48" x14ac:dyDescent="0.3">
      <c r="A885" t="s">
        <v>3267</v>
      </c>
      <c r="B885" s="12">
        <v>45775</v>
      </c>
      <c r="C885" s="12">
        <v>45778</v>
      </c>
      <c r="D885" t="s">
        <v>3268</v>
      </c>
      <c r="E885" t="s">
        <v>238</v>
      </c>
      <c r="F885" t="s">
        <v>44</v>
      </c>
      <c r="G885" t="s">
        <v>7</v>
      </c>
      <c r="H885" t="s">
        <v>311</v>
      </c>
      <c r="I885" t="s">
        <v>312</v>
      </c>
      <c r="J885" t="s">
        <v>20</v>
      </c>
      <c r="K885" t="s">
        <v>21</v>
      </c>
      <c r="M885" t="s">
        <v>38</v>
      </c>
      <c r="N885">
        <v>1</v>
      </c>
      <c r="O885">
        <v>1620.87</v>
      </c>
      <c r="P885">
        <v>0</v>
      </c>
      <c r="Q885">
        <v>0</v>
      </c>
      <c r="R885">
        <v>1620.87</v>
      </c>
      <c r="S885">
        <v>1103.6099999999999</v>
      </c>
      <c r="T885">
        <v>1620.87</v>
      </c>
      <c r="U885">
        <v>517.26</v>
      </c>
      <c r="V885">
        <v>0.31912491439782298</v>
      </c>
      <c r="W885">
        <v>3</v>
      </c>
      <c r="X885" t="s">
        <v>179</v>
      </c>
      <c r="Y885">
        <v>2025</v>
      </c>
      <c r="Z885" t="s">
        <v>129</v>
      </c>
      <c r="AA885" t="s">
        <v>130</v>
      </c>
      <c r="AB885" t="s">
        <v>131</v>
      </c>
      <c r="AC885" t="s">
        <v>131</v>
      </c>
      <c r="AD885" t="s">
        <v>131</v>
      </c>
      <c r="AE885" t="s">
        <v>131</v>
      </c>
      <c r="AF885" t="s">
        <v>131</v>
      </c>
      <c r="AG885" t="s">
        <v>131</v>
      </c>
      <c r="AH885" t="s">
        <v>132</v>
      </c>
      <c r="AI885" t="s">
        <v>133</v>
      </c>
      <c r="AJ885" t="s">
        <v>3269</v>
      </c>
      <c r="AK885" t="s">
        <v>3270</v>
      </c>
      <c r="AL885" t="s">
        <v>238</v>
      </c>
      <c r="AM885" t="s">
        <v>44</v>
      </c>
      <c r="AN885" t="s">
        <v>7</v>
      </c>
      <c r="AO885" t="s">
        <v>311</v>
      </c>
      <c r="AP885" t="s">
        <v>312</v>
      </c>
      <c r="AQ885" t="s">
        <v>20</v>
      </c>
      <c r="AR885" t="s">
        <v>21</v>
      </c>
      <c r="AS885" t="s">
        <v>38</v>
      </c>
      <c r="AT885">
        <v>0</v>
      </c>
      <c r="AU885" t="s">
        <v>129</v>
      </c>
      <c r="AV885" t="s">
        <v>130</v>
      </c>
    </row>
    <row r="886" spans="1:48" x14ac:dyDescent="0.3">
      <c r="A886" t="s">
        <v>3271</v>
      </c>
      <c r="B886" s="12">
        <v>45675</v>
      </c>
      <c r="C886" s="12">
        <v>45682</v>
      </c>
      <c r="D886" t="s">
        <v>3272</v>
      </c>
      <c r="E886" t="s">
        <v>178</v>
      </c>
      <c r="F886" t="s">
        <v>41</v>
      </c>
      <c r="G886" t="s">
        <v>6</v>
      </c>
      <c r="H886" t="s">
        <v>294</v>
      </c>
      <c r="I886" t="s">
        <v>295</v>
      </c>
      <c r="J886" t="s">
        <v>20</v>
      </c>
      <c r="K886" t="s">
        <v>21</v>
      </c>
      <c r="M886" t="s">
        <v>38</v>
      </c>
      <c r="N886">
        <v>2</v>
      </c>
      <c r="O886">
        <v>2098.54</v>
      </c>
      <c r="P886">
        <v>0.15</v>
      </c>
      <c r="Q886">
        <v>0.15</v>
      </c>
      <c r="R886">
        <v>3567.52</v>
      </c>
      <c r="S886">
        <v>2411.8000000000002</v>
      </c>
      <c r="T886">
        <v>3567.518</v>
      </c>
      <c r="U886">
        <v>1155.7180000000001</v>
      </c>
      <c r="V886">
        <v>0.32395575859743397</v>
      </c>
      <c r="W886">
        <v>7</v>
      </c>
      <c r="X886" t="s">
        <v>244</v>
      </c>
      <c r="Y886">
        <v>2025</v>
      </c>
      <c r="Z886" t="s">
        <v>129</v>
      </c>
      <c r="AA886" t="s">
        <v>130</v>
      </c>
      <c r="AB886" t="s">
        <v>131</v>
      </c>
      <c r="AC886" t="s">
        <v>131</v>
      </c>
      <c r="AD886" t="s">
        <v>131</v>
      </c>
      <c r="AE886" t="s">
        <v>131</v>
      </c>
      <c r="AF886" t="s">
        <v>131</v>
      </c>
      <c r="AG886" t="s">
        <v>131</v>
      </c>
      <c r="AH886" t="s">
        <v>132</v>
      </c>
      <c r="AI886" t="s">
        <v>133</v>
      </c>
      <c r="AJ886" t="s">
        <v>3273</v>
      </c>
      <c r="AK886" t="s">
        <v>3274</v>
      </c>
      <c r="AL886" t="s">
        <v>178</v>
      </c>
      <c r="AM886" t="s">
        <v>41</v>
      </c>
      <c r="AN886" t="s">
        <v>6</v>
      </c>
      <c r="AO886" t="s">
        <v>294</v>
      </c>
      <c r="AP886" t="s">
        <v>295</v>
      </c>
      <c r="AQ886" t="s">
        <v>20</v>
      </c>
      <c r="AR886" t="s">
        <v>21</v>
      </c>
      <c r="AS886" t="s">
        <v>38</v>
      </c>
      <c r="AT886">
        <v>0.15</v>
      </c>
      <c r="AU886" t="s">
        <v>129</v>
      </c>
      <c r="AV886" t="s">
        <v>130</v>
      </c>
    </row>
    <row r="887" spans="1:48" x14ac:dyDescent="0.3">
      <c r="A887" t="s">
        <v>3275</v>
      </c>
      <c r="B887" s="12">
        <v>45296</v>
      </c>
      <c r="C887" s="12">
        <v>45296</v>
      </c>
      <c r="D887" t="s">
        <v>3276</v>
      </c>
      <c r="E887" t="s">
        <v>277</v>
      </c>
      <c r="F887" t="s">
        <v>42</v>
      </c>
      <c r="G887" t="s">
        <v>9</v>
      </c>
      <c r="H887" t="s">
        <v>126</v>
      </c>
      <c r="I887" t="s">
        <v>127</v>
      </c>
      <c r="J887" t="s">
        <v>18</v>
      </c>
      <c r="K887" t="s">
        <v>27</v>
      </c>
      <c r="M887" t="s">
        <v>35</v>
      </c>
      <c r="N887">
        <v>1</v>
      </c>
      <c r="O887">
        <v>2167.08</v>
      </c>
      <c r="P887">
        <v>0.25</v>
      </c>
      <c r="Q887">
        <v>0.25</v>
      </c>
      <c r="R887">
        <v>1625.31</v>
      </c>
      <c r="S887">
        <v>1157.8900000000001</v>
      </c>
      <c r="T887">
        <v>1625.31</v>
      </c>
      <c r="U887">
        <v>467.42</v>
      </c>
      <c r="V887">
        <v>0.28758821394072498</v>
      </c>
      <c r="W887">
        <v>0</v>
      </c>
      <c r="X887" t="s">
        <v>244</v>
      </c>
      <c r="Y887">
        <v>2024</v>
      </c>
      <c r="Z887" t="s">
        <v>129</v>
      </c>
      <c r="AA887" t="s">
        <v>130</v>
      </c>
      <c r="AB887" t="s">
        <v>131</v>
      </c>
      <c r="AC887" t="s">
        <v>131</v>
      </c>
      <c r="AD887" t="s">
        <v>131</v>
      </c>
      <c r="AE887" t="s">
        <v>131</v>
      </c>
      <c r="AF887" t="s">
        <v>131</v>
      </c>
      <c r="AG887" t="s">
        <v>131</v>
      </c>
      <c r="AH887" t="s">
        <v>132</v>
      </c>
      <c r="AI887" t="s">
        <v>133</v>
      </c>
      <c r="AJ887" t="s">
        <v>3277</v>
      </c>
      <c r="AK887" t="s">
        <v>3277</v>
      </c>
      <c r="AL887" t="s">
        <v>277</v>
      </c>
      <c r="AM887" t="s">
        <v>42</v>
      </c>
      <c r="AN887" t="s">
        <v>9</v>
      </c>
      <c r="AO887" t="s">
        <v>126</v>
      </c>
      <c r="AP887" t="s">
        <v>127</v>
      </c>
      <c r="AQ887" t="s">
        <v>18</v>
      </c>
      <c r="AR887" t="s">
        <v>27</v>
      </c>
      <c r="AS887" t="s">
        <v>35</v>
      </c>
      <c r="AT887">
        <v>0.25</v>
      </c>
      <c r="AU887" t="s">
        <v>129</v>
      </c>
      <c r="AV887" t="s">
        <v>130</v>
      </c>
    </row>
    <row r="888" spans="1:48" x14ac:dyDescent="0.3">
      <c r="A888" t="s">
        <v>3278</v>
      </c>
      <c r="B888" s="12">
        <v>45773</v>
      </c>
      <c r="C888" s="12">
        <v>45780</v>
      </c>
      <c r="D888" t="s">
        <v>3279</v>
      </c>
      <c r="E888" t="s">
        <v>154</v>
      </c>
      <c r="F888" t="s">
        <v>41</v>
      </c>
      <c r="G888" t="s">
        <v>6</v>
      </c>
      <c r="H888" t="s">
        <v>385</v>
      </c>
      <c r="I888" t="s">
        <v>386</v>
      </c>
      <c r="J888" t="s">
        <v>15</v>
      </c>
      <c r="K888" t="s">
        <v>22</v>
      </c>
      <c r="M888" t="s">
        <v>36</v>
      </c>
      <c r="N888">
        <v>7</v>
      </c>
      <c r="O888">
        <v>3989.9</v>
      </c>
      <c r="P888">
        <v>0.15</v>
      </c>
      <c r="Q888">
        <v>0.15</v>
      </c>
      <c r="R888">
        <v>23739.9</v>
      </c>
      <c r="S888">
        <v>17716.52</v>
      </c>
      <c r="T888">
        <v>23739.904999999999</v>
      </c>
      <c r="U888">
        <v>6023.3850000000002</v>
      </c>
      <c r="V888">
        <v>0.25372405660427</v>
      </c>
      <c r="W888">
        <v>7</v>
      </c>
      <c r="X888" t="s">
        <v>179</v>
      </c>
      <c r="Y888">
        <v>2025</v>
      </c>
      <c r="Z888" t="s">
        <v>129</v>
      </c>
      <c r="AA888" t="s">
        <v>165</v>
      </c>
      <c r="AB888" t="s">
        <v>131</v>
      </c>
      <c r="AC888" t="s">
        <v>131</v>
      </c>
      <c r="AD888" t="s">
        <v>131</v>
      </c>
      <c r="AE888" t="s">
        <v>131</v>
      </c>
      <c r="AF888" t="s">
        <v>131</v>
      </c>
      <c r="AG888" t="s">
        <v>131</v>
      </c>
      <c r="AH888" t="s">
        <v>131</v>
      </c>
      <c r="AI888" t="s">
        <v>133</v>
      </c>
      <c r="AJ888" t="s">
        <v>3280</v>
      </c>
      <c r="AK888" t="s">
        <v>3281</v>
      </c>
      <c r="AL888" t="s">
        <v>154</v>
      </c>
      <c r="AM888" t="s">
        <v>41</v>
      </c>
      <c r="AN888" t="s">
        <v>6</v>
      </c>
      <c r="AO888" t="s">
        <v>385</v>
      </c>
      <c r="AP888" t="s">
        <v>386</v>
      </c>
      <c r="AQ888" t="s">
        <v>15</v>
      </c>
      <c r="AR888" t="s">
        <v>22</v>
      </c>
      <c r="AS888" t="s">
        <v>36</v>
      </c>
      <c r="AT888">
        <v>0.15</v>
      </c>
      <c r="AU888" t="s">
        <v>129</v>
      </c>
      <c r="AV888" t="s">
        <v>165</v>
      </c>
    </row>
    <row r="889" spans="1:48" x14ac:dyDescent="0.3">
      <c r="A889" t="s">
        <v>3282</v>
      </c>
      <c r="B889" s="12">
        <v>45455</v>
      </c>
      <c r="C889" s="12">
        <v>45461</v>
      </c>
      <c r="D889" t="s">
        <v>3283</v>
      </c>
      <c r="E889" t="s">
        <v>238</v>
      </c>
      <c r="F889" t="s">
        <v>44</v>
      </c>
      <c r="G889" t="s">
        <v>6</v>
      </c>
      <c r="H889" t="s">
        <v>184</v>
      </c>
      <c r="I889" t="s">
        <v>185</v>
      </c>
      <c r="J889" t="s">
        <v>20</v>
      </c>
      <c r="K889" t="s">
        <v>29</v>
      </c>
      <c r="M889" t="s">
        <v>35</v>
      </c>
      <c r="N889">
        <v>4</v>
      </c>
      <c r="O889">
        <v>4176.13</v>
      </c>
      <c r="P889">
        <v>0</v>
      </c>
      <c r="Q889">
        <v>0</v>
      </c>
      <c r="R889">
        <v>16704.52</v>
      </c>
      <c r="S889">
        <v>10158.280000000001</v>
      </c>
      <c r="T889">
        <v>16704.52</v>
      </c>
      <c r="U889">
        <v>6546.24</v>
      </c>
      <c r="V889">
        <v>0.39188435225914903</v>
      </c>
      <c r="W889">
        <v>6</v>
      </c>
      <c r="X889" t="s">
        <v>148</v>
      </c>
      <c r="Y889">
        <v>2024</v>
      </c>
      <c r="Z889" t="s">
        <v>129</v>
      </c>
      <c r="AA889" t="s">
        <v>130</v>
      </c>
      <c r="AB889" t="s">
        <v>131</v>
      </c>
      <c r="AC889" t="s">
        <v>131</v>
      </c>
      <c r="AD889" t="s">
        <v>131</v>
      </c>
      <c r="AE889" t="s">
        <v>131</v>
      </c>
      <c r="AF889" t="s">
        <v>131</v>
      </c>
      <c r="AG889" t="s">
        <v>131</v>
      </c>
      <c r="AH889" t="s">
        <v>132</v>
      </c>
      <c r="AI889" t="s">
        <v>133</v>
      </c>
      <c r="AJ889" t="s">
        <v>3189</v>
      </c>
      <c r="AK889" t="s">
        <v>668</v>
      </c>
      <c r="AL889" t="s">
        <v>238</v>
      </c>
      <c r="AM889" t="s">
        <v>44</v>
      </c>
      <c r="AN889" t="s">
        <v>6</v>
      </c>
      <c r="AO889" t="s">
        <v>184</v>
      </c>
      <c r="AP889" t="s">
        <v>185</v>
      </c>
      <c r="AQ889" t="s">
        <v>20</v>
      </c>
      <c r="AR889" t="s">
        <v>29</v>
      </c>
      <c r="AS889" t="s">
        <v>35</v>
      </c>
      <c r="AT889">
        <v>0</v>
      </c>
      <c r="AU889" t="s">
        <v>129</v>
      </c>
      <c r="AV889" t="s">
        <v>130</v>
      </c>
    </row>
    <row r="890" spans="1:48" x14ac:dyDescent="0.3">
      <c r="A890" t="s">
        <v>3284</v>
      </c>
      <c r="B890" s="12">
        <v>45875</v>
      </c>
      <c r="C890" s="12">
        <v>45876</v>
      </c>
      <c r="D890" t="s">
        <v>3285</v>
      </c>
      <c r="E890" t="s">
        <v>227</v>
      </c>
      <c r="F890" t="s">
        <v>44</v>
      </c>
      <c r="G890" t="s">
        <v>7</v>
      </c>
      <c r="H890" t="s">
        <v>163</v>
      </c>
      <c r="I890" t="s">
        <v>164</v>
      </c>
      <c r="J890" t="s">
        <v>20</v>
      </c>
      <c r="K890" t="s">
        <v>29</v>
      </c>
      <c r="M890" t="s">
        <v>35</v>
      </c>
      <c r="N890">
        <v>4</v>
      </c>
      <c r="O890">
        <v>3523.64</v>
      </c>
      <c r="P890">
        <v>0.1</v>
      </c>
      <c r="Q890">
        <v>0.1</v>
      </c>
      <c r="R890">
        <v>12685.1</v>
      </c>
      <c r="S890">
        <v>10779.56</v>
      </c>
      <c r="T890">
        <v>12685.103999999999</v>
      </c>
      <c r="U890">
        <v>1905.5440000000001</v>
      </c>
      <c r="V890">
        <v>0.150219028555067</v>
      </c>
      <c r="W890">
        <v>1</v>
      </c>
      <c r="X890" t="s">
        <v>142</v>
      </c>
      <c r="Y890">
        <v>2025</v>
      </c>
      <c r="Z890" t="s">
        <v>203</v>
      </c>
      <c r="AA890" t="s">
        <v>165</v>
      </c>
      <c r="AB890" t="s">
        <v>131</v>
      </c>
      <c r="AC890" t="s">
        <v>131</v>
      </c>
      <c r="AD890" t="s">
        <v>131</v>
      </c>
      <c r="AE890" t="s">
        <v>131</v>
      </c>
      <c r="AF890" t="s">
        <v>131</v>
      </c>
      <c r="AG890" t="s">
        <v>131</v>
      </c>
      <c r="AH890" t="s">
        <v>131</v>
      </c>
      <c r="AI890" t="s">
        <v>133</v>
      </c>
      <c r="AJ890" t="s">
        <v>3286</v>
      </c>
      <c r="AK890" t="s">
        <v>2930</v>
      </c>
      <c r="AL890" t="s">
        <v>227</v>
      </c>
      <c r="AM890" t="s">
        <v>44</v>
      </c>
      <c r="AN890" t="s">
        <v>7</v>
      </c>
      <c r="AO890" t="s">
        <v>163</v>
      </c>
      <c r="AP890" t="s">
        <v>164</v>
      </c>
      <c r="AQ890" t="s">
        <v>20</v>
      </c>
      <c r="AR890" t="s">
        <v>29</v>
      </c>
      <c r="AS890" t="s">
        <v>35</v>
      </c>
      <c r="AT890">
        <v>0.1</v>
      </c>
      <c r="AU890" t="s">
        <v>203</v>
      </c>
      <c r="AV890" t="s">
        <v>165</v>
      </c>
    </row>
    <row r="891" spans="1:48" x14ac:dyDescent="0.3">
      <c r="A891" t="s">
        <v>3287</v>
      </c>
      <c r="B891" s="12">
        <v>45726</v>
      </c>
      <c r="C891" s="12">
        <v>45727</v>
      </c>
      <c r="D891" t="s">
        <v>1197</v>
      </c>
      <c r="E891" t="s">
        <v>191</v>
      </c>
      <c r="F891" t="s">
        <v>41</v>
      </c>
      <c r="G891" t="s">
        <v>7</v>
      </c>
      <c r="H891" t="s">
        <v>171</v>
      </c>
      <c r="I891" t="s">
        <v>172</v>
      </c>
      <c r="J891" t="s">
        <v>20</v>
      </c>
      <c r="K891" t="s">
        <v>21</v>
      </c>
      <c r="M891" t="s">
        <v>36</v>
      </c>
      <c r="N891">
        <v>2</v>
      </c>
      <c r="O891">
        <v>3922.08</v>
      </c>
      <c r="P891">
        <v>0.25</v>
      </c>
      <c r="Q891">
        <v>0.25</v>
      </c>
      <c r="R891">
        <v>5883.12</v>
      </c>
      <c r="S891">
        <v>4647.91</v>
      </c>
      <c r="T891">
        <v>5883.12</v>
      </c>
      <c r="U891">
        <v>1235.21</v>
      </c>
      <c r="V891">
        <v>0.20995832143488499</v>
      </c>
      <c r="W891">
        <v>1</v>
      </c>
      <c r="X891" t="s">
        <v>278</v>
      </c>
      <c r="Y891">
        <v>2025</v>
      </c>
      <c r="Z891" t="s">
        <v>129</v>
      </c>
      <c r="AA891" t="s">
        <v>204</v>
      </c>
      <c r="AB891" t="s">
        <v>131</v>
      </c>
      <c r="AC891" t="s">
        <v>131</v>
      </c>
      <c r="AD891" t="s">
        <v>131</v>
      </c>
      <c r="AE891" t="s">
        <v>131</v>
      </c>
      <c r="AF891" t="s">
        <v>131</v>
      </c>
      <c r="AG891" t="s">
        <v>131</v>
      </c>
      <c r="AH891" t="s">
        <v>131</v>
      </c>
      <c r="AI891" t="s">
        <v>133</v>
      </c>
      <c r="AJ891" t="s">
        <v>3288</v>
      </c>
      <c r="AK891" t="s">
        <v>3289</v>
      </c>
      <c r="AL891" t="s">
        <v>191</v>
      </c>
      <c r="AM891" t="s">
        <v>41</v>
      </c>
      <c r="AN891" t="s">
        <v>7</v>
      </c>
      <c r="AO891" t="s">
        <v>171</v>
      </c>
      <c r="AP891" t="s">
        <v>172</v>
      </c>
      <c r="AQ891" t="s">
        <v>20</v>
      </c>
      <c r="AR891" t="s">
        <v>21</v>
      </c>
      <c r="AS891" t="s">
        <v>36</v>
      </c>
      <c r="AT891">
        <v>0.25</v>
      </c>
      <c r="AU891" t="s">
        <v>129</v>
      </c>
      <c r="AV891" t="s">
        <v>204</v>
      </c>
    </row>
    <row r="892" spans="1:48" x14ac:dyDescent="0.3">
      <c r="A892" t="s">
        <v>3290</v>
      </c>
      <c r="B892" s="12">
        <v>45427</v>
      </c>
      <c r="C892" s="12">
        <v>45433</v>
      </c>
      <c r="D892" t="s">
        <v>3291</v>
      </c>
      <c r="E892" t="s">
        <v>125</v>
      </c>
      <c r="F892" t="s">
        <v>42</v>
      </c>
      <c r="G892" t="s">
        <v>7</v>
      </c>
      <c r="H892" t="s">
        <v>311</v>
      </c>
      <c r="I892" t="s">
        <v>312</v>
      </c>
      <c r="J892" t="s">
        <v>20</v>
      </c>
      <c r="K892" t="s">
        <v>21</v>
      </c>
      <c r="M892" t="s">
        <v>35</v>
      </c>
      <c r="N892">
        <v>6</v>
      </c>
      <c r="O892">
        <v>2909.56</v>
      </c>
      <c r="P892">
        <v>0.2</v>
      </c>
      <c r="Q892">
        <v>0.2</v>
      </c>
      <c r="R892">
        <v>13965.89</v>
      </c>
      <c r="S892">
        <v>11646.12</v>
      </c>
      <c r="T892">
        <v>13965.888000000001</v>
      </c>
      <c r="U892">
        <v>2319.768</v>
      </c>
      <c r="V892">
        <v>0.166102434732399</v>
      </c>
      <c r="W892">
        <v>6</v>
      </c>
      <c r="X892" t="s">
        <v>173</v>
      </c>
      <c r="Y892">
        <v>2024</v>
      </c>
      <c r="Z892" t="s">
        <v>129</v>
      </c>
      <c r="AA892" t="s">
        <v>130</v>
      </c>
      <c r="AB892" t="s">
        <v>131</v>
      </c>
      <c r="AC892" t="s">
        <v>131</v>
      </c>
      <c r="AD892" t="s">
        <v>131</v>
      </c>
      <c r="AE892" t="s">
        <v>131</v>
      </c>
      <c r="AF892" t="s">
        <v>131</v>
      </c>
      <c r="AG892" t="s">
        <v>131</v>
      </c>
      <c r="AH892" t="s">
        <v>132</v>
      </c>
      <c r="AI892" t="s">
        <v>133</v>
      </c>
      <c r="AJ892" t="s">
        <v>240</v>
      </c>
      <c r="AK892" t="s">
        <v>1033</v>
      </c>
      <c r="AL892" t="s">
        <v>125</v>
      </c>
      <c r="AM892" t="s">
        <v>42</v>
      </c>
      <c r="AN892" t="s">
        <v>7</v>
      </c>
      <c r="AO892" t="s">
        <v>311</v>
      </c>
      <c r="AP892" t="s">
        <v>312</v>
      </c>
      <c r="AQ892" t="s">
        <v>20</v>
      </c>
      <c r="AR892" t="s">
        <v>21</v>
      </c>
      <c r="AS892" t="s">
        <v>35</v>
      </c>
      <c r="AT892">
        <v>0.2</v>
      </c>
      <c r="AU892" t="s">
        <v>129</v>
      </c>
      <c r="AV892" t="s">
        <v>130</v>
      </c>
    </row>
    <row r="893" spans="1:48" x14ac:dyDescent="0.3">
      <c r="A893" t="s">
        <v>3292</v>
      </c>
      <c r="B893" s="12">
        <v>45573</v>
      </c>
      <c r="C893" s="12">
        <v>45574</v>
      </c>
      <c r="D893" t="s">
        <v>3293</v>
      </c>
      <c r="E893" t="s">
        <v>409</v>
      </c>
      <c r="F893" t="s">
        <v>43</v>
      </c>
      <c r="G893" t="s">
        <v>6</v>
      </c>
      <c r="H893" t="s">
        <v>385</v>
      </c>
      <c r="I893" t="s">
        <v>386</v>
      </c>
      <c r="J893" t="s">
        <v>15</v>
      </c>
      <c r="K893" t="s">
        <v>25</v>
      </c>
      <c r="M893" t="s">
        <v>38</v>
      </c>
      <c r="N893">
        <v>5</v>
      </c>
      <c r="O893">
        <v>2407.9699999999998</v>
      </c>
      <c r="P893">
        <v>0.1</v>
      </c>
      <c r="Q893">
        <v>0.1</v>
      </c>
      <c r="R893">
        <v>10835.86</v>
      </c>
      <c r="S893">
        <v>6419.92</v>
      </c>
      <c r="T893">
        <v>10835.865</v>
      </c>
      <c r="U893">
        <v>4415.9449999999997</v>
      </c>
      <c r="V893">
        <v>0.407530455575074</v>
      </c>
      <c r="W893">
        <v>1</v>
      </c>
      <c r="X893" t="s">
        <v>222</v>
      </c>
      <c r="Y893">
        <v>2024</v>
      </c>
      <c r="Z893" t="s">
        <v>269</v>
      </c>
      <c r="AA893" t="s">
        <v>165</v>
      </c>
      <c r="AB893" t="s">
        <v>131</v>
      </c>
      <c r="AC893" t="s">
        <v>131</v>
      </c>
      <c r="AD893" t="s">
        <v>131</v>
      </c>
      <c r="AE893" t="s">
        <v>131</v>
      </c>
      <c r="AF893" t="s">
        <v>131</v>
      </c>
      <c r="AG893" t="s">
        <v>131</v>
      </c>
      <c r="AH893" t="s">
        <v>131</v>
      </c>
      <c r="AI893" t="s">
        <v>133</v>
      </c>
      <c r="AJ893" t="s">
        <v>3082</v>
      </c>
      <c r="AK893" t="s">
        <v>2147</v>
      </c>
      <c r="AL893" t="s">
        <v>409</v>
      </c>
      <c r="AM893" t="s">
        <v>43</v>
      </c>
      <c r="AN893" t="s">
        <v>6</v>
      </c>
      <c r="AO893" t="s">
        <v>385</v>
      </c>
      <c r="AP893" t="s">
        <v>386</v>
      </c>
      <c r="AQ893" t="s">
        <v>15</v>
      </c>
      <c r="AR893" t="s">
        <v>25</v>
      </c>
      <c r="AS893" t="s">
        <v>38</v>
      </c>
      <c r="AT893">
        <v>0.1</v>
      </c>
      <c r="AU893" t="s">
        <v>269</v>
      </c>
      <c r="AV893" t="s">
        <v>165</v>
      </c>
    </row>
    <row r="894" spans="1:48" x14ac:dyDescent="0.3">
      <c r="A894" t="s">
        <v>3294</v>
      </c>
      <c r="B894" s="12">
        <v>45759</v>
      </c>
      <c r="C894" s="12">
        <v>45765</v>
      </c>
      <c r="D894" t="s">
        <v>3295</v>
      </c>
      <c r="E894" t="s">
        <v>147</v>
      </c>
      <c r="F894" t="s">
        <v>44</v>
      </c>
      <c r="G894" t="s">
        <v>8</v>
      </c>
      <c r="H894" t="s">
        <v>362</v>
      </c>
      <c r="I894" t="s">
        <v>363</v>
      </c>
      <c r="J894" t="s">
        <v>15</v>
      </c>
      <c r="K894" t="s">
        <v>16</v>
      </c>
      <c r="M894" t="s">
        <v>38</v>
      </c>
      <c r="N894">
        <v>1</v>
      </c>
      <c r="O894">
        <v>726.89</v>
      </c>
      <c r="P894">
        <v>0.2</v>
      </c>
      <c r="Q894">
        <v>0.2</v>
      </c>
      <c r="R894">
        <v>581.51</v>
      </c>
      <c r="S894">
        <v>423.86</v>
      </c>
      <c r="T894">
        <v>581.51199999999994</v>
      </c>
      <c r="U894">
        <v>157.65199999999999</v>
      </c>
      <c r="V894">
        <v>0.27110704508247502</v>
      </c>
      <c r="W894">
        <v>6</v>
      </c>
      <c r="X894" t="s">
        <v>179</v>
      </c>
      <c r="Y894">
        <v>2025</v>
      </c>
      <c r="Z894" t="s">
        <v>129</v>
      </c>
      <c r="AA894" t="s">
        <v>130</v>
      </c>
      <c r="AB894" t="s">
        <v>131</v>
      </c>
      <c r="AC894" t="s">
        <v>131</v>
      </c>
      <c r="AD894" t="s">
        <v>131</v>
      </c>
      <c r="AE894" t="s">
        <v>131</v>
      </c>
      <c r="AF894" t="s">
        <v>131</v>
      </c>
      <c r="AG894" t="s">
        <v>131</v>
      </c>
      <c r="AH894" t="s">
        <v>132</v>
      </c>
      <c r="AI894" t="s">
        <v>133</v>
      </c>
      <c r="AJ894" t="s">
        <v>3296</v>
      </c>
      <c r="AK894" t="s">
        <v>2488</v>
      </c>
      <c r="AL894" t="s">
        <v>147</v>
      </c>
      <c r="AM894" t="s">
        <v>44</v>
      </c>
      <c r="AN894" t="s">
        <v>8</v>
      </c>
      <c r="AO894" t="s">
        <v>362</v>
      </c>
      <c r="AP894" t="s">
        <v>363</v>
      </c>
      <c r="AQ894" t="s">
        <v>15</v>
      </c>
      <c r="AR894" t="s">
        <v>16</v>
      </c>
      <c r="AS894" t="s">
        <v>38</v>
      </c>
      <c r="AT894">
        <v>0.2</v>
      </c>
      <c r="AU894" t="s">
        <v>129</v>
      </c>
      <c r="AV894" t="s">
        <v>130</v>
      </c>
    </row>
    <row r="895" spans="1:48" x14ac:dyDescent="0.3">
      <c r="A895" t="s">
        <v>3297</v>
      </c>
      <c r="B895" s="12">
        <v>45449</v>
      </c>
      <c r="C895" s="12">
        <v>45451</v>
      </c>
      <c r="D895" t="s">
        <v>3298</v>
      </c>
      <c r="E895" t="s">
        <v>238</v>
      </c>
      <c r="F895" t="s">
        <v>43</v>
      </c>
      <c r="G895" t="s">
        <v>6</v>
      </c>
      <c r="H895" t="s">
        <v>294</v>
      </c>
      <c r="I895" t="s">
        <v>295</v>
      </c>
      <c r="J895" t="s">
        <v>18</v>
      </c>
      <c r="K895" t="s">
        <v>27</v>
      </c>
      <c r="M895" t="s">
        <v>37</v>
      </c>
      <c r="N895">
        <v>3</v>
      </c>
      <c r="O895">
        <v>395.49</v>
      </c>
      <c r="P895">
        <v>0.05</v>
      </c>
      <c r="Q895">
        <v>0.05</v>
      </c>
      <c r="R895">
        <v>1127.1500000000001</v>
      </c>
      <c r="S895">
        <v>845.62</v>
      </c>
      <c r="T895">
        <v>1127.1465000000001</v>
      </c>
      <c r="U895">
        <v>281.5265</v>
      </c>
      <c r="V895">
        <v>0.24976921810962499</v>
      </c>
      <c r="W895">
        <v>2</v>
      </c>
      <c r="X895" t="s">
        <v>148</v>
      </c>
      <c r="Y895">
        <v>2024</v>
      </c>
      <c r="Z895" t="s">
        <v>129</v>
      </c>
      <c r="AA895" t="s">
        <v>204</v>
      </c>
      <c r="AB895" t="s">
        <v>131</v>
      </c>
      <c r="AC895" t="s">
        <v>131</v>
      </c>
      <c r="AD895" t="s">
        <v>131</v>
      </c>
      <c r="AE895" t="s">
        <v>131</v>
      </c>
      <c r="AF895" t="s">
        <v>131</v>
      </c>
      <c r="AG895" t="s">
        <v>131</v>
      </c>
      <c r="AH895" t="s">
        <v>131</v>
      </c>
      <c r="AI895" t="s">
        <v>133</v>
      </c>
      <c r="AJ895" t="s">
        <v>3299</v>
      </c>
      <c r="AK895" t="s">
        <v>3300</v>
      </c>
      <c r="AL895" t="s">
        <v>238</v>
      </c>
      <c r="AM895" t="s">
        <v>43</v>
      </c>
      <c r="AN895" t="s">
        <v>6</v>
      </c>
      <c r="AO895" t="s">
        <v>294</v>
      </c>
      <c r="AP895" t="s">
        <v>295</v>
      </c>
      <c r="AQ895" t="s">
        <v>18</v>
      </c>
      <c r="AR895" t="s">
        <v>27</v>
      </c>
      <c r="AS895" t="s">
        <v>37</v>
      </c>
      <c r="AT895">
        <v>0.05</v>
      </c>
      <c r="AU895" t="s">
        <v>129</v>
      </c>
      <c r="AV895" t="s">
        <v>204</v>
      </c>
    </row>
    <row r="896" spans="1:48" x14ac:dyDescent="0.3">
      <c r="A896" t="s">
        <v>3301</v>
      </c>
      <c r="B896" s="12">
        <v>45344</v>
      </c>
      <c r="C896" s="12">
        <v>45351</v>
      </c>
      <c r="D896" t="s">
        <v>3302</v>
      </c>
      <c r="E896" t="s">
        <v>147</v>
      </c>
      <c r="F896" t="s">
        <v>41</v>
      </c>
      <c r="G896" t="s">
        <v>6</v>
      </c>
      <c r="H896" t="s">
        <v>155</v>
      </c>
      <c r="I896" t="s">
        <v>156</v>
      </c>
      <c r="J896" t="s">
        <v>18</v>
      </c>
      <c r="K896" t="s">
        <v>27</v>
      </c>
      <c r="M896" t="s">
        <v>36</v>
      </c>
      <c r="N896">
        <v>6</v>
      </c>
      <c r="O896">
        <v>4254.05</v>
      </c>
      <c r="P896">
        <v>0</v>
      </c>
      <c r="Q896">
        <v>0</v>
      </c>
      <c r="R896">
        <v>25524.3</v>
      </c>
      <c r="S896">
        <v>16711.93</v>
      </c>
      <c r="T896">
        <v>25524.3</v>
      </c>
      <c r="U896">
        <v>8812.3700000000008</v>
      </c>
      <c r="V896">
        <v>0.34525413037771902</v>
      </c>
      <c r="W896">
        <v>7</v>
      </c>
      <c r="X896" t="s">
        <v>186</v>
      </c>
      <c r="Y896">
        <v>2024</v>
      </c>
      <c r="Z896" t="s">
        <v>129</v>
      </c>
      <c r="AA896" t="s">
        <v>130</v>
      </c>
      <c r="AB896" t="s">
        <v>131</v>
      </c>
      <c r="AC896" t="s">
        <v>131</v>
      </c>
      <c r="AD896" t="s">
        <v>131</v>
      </c>
      <c r="AE896" t="s">
        <v>131</v>
      </c>
      <c r="AF896" t="s">
        <v>131</v>
      </c>
      <c r="AG896" t="s">
        <v>131</v>
      </c>
      <c r="AH896" t="s">
        <v>132</v>
      </c>
      <c r="AI896" t="s">
        <v>133</v>
      </c>
      <c r="AJ896" t="s">
        <v>1664</v>
      </c>
      <c r="AK896" t="s">
        <v>3303</v>
      </c>
      <c r="AL896" t="s">
        <v>147</v>
      </c>
      <c r="AM896" t="s">
        <v>41</v>
      </c>
      <c r="AN896" t="s">
        <v>6</v>
      </c>
      <c r="AO896" t="s">
        <v>155</v>
      </c>
      <c r="AP896" t="s">
        <v>156</v>
      </c>
      <c r="AQ896" t="s">
        <v>18</v>
      </c>
      <c r="AR896" t="s">
        <v>27</v>
      </c>
      <c r="AS896" t="s">
        <v>36</v>
      </c>
      <c r="AT896">
        <v>0</v>
      </c>
      <c r="AU896" t="s">
        <v>129</v>
      </c>
      <c r="AV896" t="s">
        <v>130</v>
      </c>
    </row>
    <row r="897" spans="1:48" x14ac:dyDescent="0.3">
      <c r="A897" t="s">
        <v>3304</v>
      </c>
      <c r="B897" s="12">
        <v>45601</v>
      </c>
      <c r="C897" s="12">
        <v>45606</v>
      </c>
      <c r="D897" t="s">
        <v>3305</v>
      </c>
      <c r="E897" t="s">
        <v>154</v>
      </c>
      <c r="F897" t="s">
        <v>42</v>
      </c>
      <c r="G897" t="s">
        <v>6</v>
      </c>
      <c r="H897" t="s">
        <v>305</v>
      </c>
      <c r="I897" t="s">
        <v>306</v>
      </c>
      <c r="J897" t="s">
        <v>18</v>
      </c>
      <c r="K897" t="s">
        <v>19</v>
      </c>
      <c r="M897" t="s">
        <v>38</v>
      </c>
      <c r="N897">
        <v>4</v>
      </c>
      <c r="O897">
        <v>711.18</v>
      </c>
      <c r="P897">
        <v>0.15</v>
      </c>
      <c r="Q897">
        <v>0.15</v>
      </c>
      <c r="R897">
        <v>2418.0100000000002</v>
      </c>
      <c r="S897">
        <v>1441.89</v>
      </c>
      <c r="T897">
        <v>2418.0120000000002</v>
      </c>
      <c r="U897">
        <v>976.12199999999996</v>
      </c>
      <c r="V897">
        <v>0.40368782288921601</v>
      </c>
      <c r="W897">
        <v>5</v>
      </c>
      <c r="X897" t="s">
        <v>157</v>
      </c>
      <c r="Y897">
        <v>2024</v>
      </c>
      <c r="Z897" t="s">
        <v>215</v>
      </c>
      <c r="AA897" t="s">
        <v>204</v>
      </c>
      <c r="AB897" t="s">
        <v>131</v>
      </c>
      <c r="AC897" t="s">
        <v>131</v>
      </c>
      <c r="AD897" t="s">
        <v>131</v>
      </c>
      <c r="AE897" t="s">
        <v>131</v>
      </c>
      <c r="AF897" t="s">
        <v>131</v>
      </c>
      <c r="AG897" t="s">
        <v>131</v>
      </c>
      <c r="AH897" t="s">
        <v>131</v>
      </c>
      <c r="AI897" t="s">
        <v>133</v>
      </c>
      <c r="AJ897" t="s">
        <v>3306</v>
      </c>
      <c r="AK897" t="s">
        <v>193</v>
      </c>
      <c r="AL897" t="s">
        <v>154</v>
      </c>
      <c r="AM897" t="s">
        <v>42</v>
      </c>
      <c r="AN897" t="s">
        <v>6</v>
      </c>
      <c r="AO897" t="s">
        <v>305</v>
      </c>
      <c r="AP897" t="s">
        <v>306</v>
      </c>
      <c r="AQ897" t="s">
        <v>18</v>
      </c>
      <c r="AR897" t="s">
        <v>19</v>
      </c>
      <c r="AS897" t="s">
        <v>38</v>
      </c>
      <c r="AT897">
        <v>0.15</v>
      </c>
      <c r="AU897" t="s">
        <v>215</v>
      </c>
      <c r="AV897" t="s">
        <v>204</v>
      </c>
    </row>
    <row r="898" spans="1:48" x14ac:dyDescent="0.3">
      <c r="A898" t="s">
        <v>3307</v>
      </c>
      <c r="B898" s="12">
        <v>45650</v>
      </c>
      <c r="C898" s="12">
        <v>45651</v>
      </c>
      <c r="D898" t="s">
        <v>3308</v>
      </c>
      <c r="E898" t="s">
        <v>162</v>
      </c>
      <c r="F898" t="s">
        <v>44</v>
      </c>
      <c r="G898" t="s">
        <v>6</v>
      </c>
      <c r="H898" t="s">
        <v>385</v>
      </c>
      <c r="I898" t="s">
        <v>386</v>
      </c>
      <c r="J898" t="s">
        <v>15</v>
      </c>
      <c r="K898" t="s">
        <v>16</v>
      </c>
      <c r="M898" t="s">
        <v>37</v>
      </c>
      <c r="N898">
        <v>1</v>
      </c>
      <c r="O898">
        <v>3693.03</v>
      </c>
      <c r="P898">
        <v>0.05</v>
      </c>
      <c r="Q898">
        <v>0.05</v>
      </c>
      <c r="R898">
        <v>3508.38</v>
      </c>
      <c r="S898">
        <v>2828.06</v>
      </c>
      <c r="T898">
        <v>3508.3784999999998</v>
      </c>
      <c r="U898">
        <v>680.31849999999997</v>
      </c>
      <c r="V898">
        <v>0.193912515425573</v>
      </c>
      <c r="W898">
        <v>1</v>
      </c>
      <c r="X898" t="s">
        <v>214</v>
      </c>
      <c r="Y898">
        <v>2024</v>
      </c>
      <c r="Z898" t="s">
        <v>269</v>
      </c>
      <c r="AA898" t="s">
        <v>204</v>
      </c>
      <c r="AB898" t="s">
        <v>131</v>
      </c>
      <c r="AC898" t="s">
        <v>131</v>
      </c>
      <c r="AD898" t="s">
        <v>131</v>
      </c>
      <c r="AE898" t="s">
        <v>131</v>
      </c>
      <c r="AF898" t="s">
        <v>131</v>
      </c>
      <c r="AG898" t="s">
        <v>131</v>
      </c>
      <c r="AH898" t="s">
        <v>131</v>
      </c>
      <c r="AI898" t="s">
        <v>133</v>
      </c>
      <c r="AJ898" t="s">
        <v>3309</v>
      </c>
      <c r="AK898" t="s">
        <v>1989</v>
      </c>
      <c r="AL898" t="s">
        <v>162</v>
      </c>
      <c r="AM898" t="s">
        <v>44</v>
      </c>
      <c r="AN898" t="s">
        <v>6</v>
      </c>
      <c r="AO898" t="s">
        <v>385</v>
      </c>
      <c r="AP898" t="s">
        <v>386</v>
      </c>
      <c r="AQ898" t="s">
        <v>15</v>
      </c>
      <c r="AR898" t="s">
        <v>16</v>
      </c>
      <c r="AS898" t="s">
        <v>37</v>
      </c>
      <c r="AT898">
        <v>0.05</v>
      </c>
      <c r="AU898" t="s">
        <v>269</v>
      </c>
      <c r="AV898" t="s">
        <v>204</v>
      </c>
    </row>
    <row r="899" spans="1:48" x14ac:dyDescent="0.3">
      <c r="A899" t="s">
        <v>3310</v>
      </c>
      <c r="B899" s="12">
        <v>45776</v>
      </c>
      <c r="C899" s="12">
        <v>45780</v>
      </c>
      <c r="D899" t="s">
        <v>2641</v>
      </c>
      <c r="E899" t="s">
        <v>255</v>
      </c>
      <c r="F899" t="s">
        <v>43</v>
      </c>
      <c r="G899" t="s">
        <v>9</v>
      </c>
      <c r="H899" t="s">
        <v>372</v>
      </c>
      <c r="I899" t="s">
        <v>373</v>
      </c>
      <c r="J899" t="s">
        <v>20</v>
      </c>
      <c r="K899" t="s">
        <v>24</v>
      </c>
      <c r="M899" t="s">
        <v>36</v>
      </c>
      <c r="N899">
        <v>4</v>
      </c>
      <c r="O899">
        <v>1786.65</v>
      </c>
      <c r="P899">
        <v>0.05</v>
      </c>
      <c r="Q899">
        <v>0.05</v>
      </c>
      <c r="R899">
        <v>6789.27</v>
      </c>
      <c r="S899">
        <v>5626.43</v>
      </c>
      <c r="T899">
        <v>6789.27</v>
      </c>
      <c r="U899">
        <v>1162.8399999999999</v>
      </c>
      <c r="V899">
        <v>0.17127614603631899</v>
      </c>
      <c r="W899">
        <v>4</v>
      </c>
      <c r="X899" t="s">
        <v>179</v>
      </c>
      <c r="Y899">
        <v>2025</v>
      </c>
      <c r="Z899" t="s">
        <v>129</v>
      </c>
      <c r="AA899" t="s">
        <v>130</v>
      </c>
      <c r="AB899" t="s">
        <v>131</v>
      </c>
      <c r="AC899" t="s">
        <v>131</v>
      </c>
      <c r="AD899" t="s">
        <v>131</v>
      </c>
      <c r="AE899" t="s">
        <v>131</v>
      </c>
      <c r="AF899" t="s">
        <v>131</v>
      </c>
      <c r="AG899" t="s">
        <v>131</v>
      </c>
      <c r="AH899" t="s">
        <v>132</v>
      </c>
      <c r="AI899" t="s">
        <v>133</v>
      </c>
      <c r="AJ899" t="s">
        <v>1067</v>
      </c>
      <c r="AK899" t="s">
        <v>3311</v>
      </c>
      <c r="AL899" t="s">
        <v>255</v>
      </c>
      <c r="AM899" t="s">
        <v>43</v>
      </c>
      <c r="AN899" t="s">
        <v>9</v>
      </c>
      <c r="AO899" t="s">
        <v>372</v>
      </c>
      <c r="AP899" t="s">
        <v>373</v>
      </c>
      <c r="AQ899" t="s">
        <v>20</v>
      </c>
      <c r="AR899" t="s">
        <v>24</v>
      </c>
      <c r="AS899" t="s">
        <v>36</v>
      </c>
      <c r="AT899">
        <v>0.05</v>
      </c>
      <c r="AU899" t="s">
        <v>129</v>
      </c>
      <c r="AV899" t="s">
        <v>130</v>
      </c>
    </row>
    <row r="900" spans="1:48" x14ac:dyDescent="0.3">
      <c r="A900" t="s">
        <v>3312</v>
      </c>
      <c r="B900" s="12">
        <v>45445</v>
      </c>
      <c r="C900" s="12">
        <v>45451</v>
      </c>
      <c r="D900" t="s">
        <v>3313</v>
      </c>
      <c r="E900" t="s">
        <v>170</v>
      </c>
      <c r="F900" t="s">
        <v>42</v>
      </c>
      <c r="G900" t="s">
        <v>9</v>
      </c>
      <c r="H900" t="s">
        <v>522</v>
      </c>
      <c r="I900" t="s">
        <v>523</v>
      </c>
      <c r="J900" t="s">
        <v>18</v>
      </c>
      <c r="K900" t="s">
        <v>27</v>
      </c>
      <c r="M900" t="s">
        <v>36</v>
      </c>
      <c r="N900">
        <v>4</v>
      </c>
      <c r="O900">
        <v>1536.7</v>
      </c>
      <c r="P900">
        <v>0.2</v>
      </c>
      <c r="Q900">
        <v>0.2</v>
      </c>
      <c r="R900">
        <v>4917.4399999999996</v>
      </c>
      <c r="S900">
        <v>3846.77</v>
      </c>
      <c r="T900">
        <v>4917.4399999999996</v>
      </c>
      <c r="U900">
        <v>1070.67</v>
      </c>
      <c r="V900">
        <v>0.21772914361944401</v>
      </c>
      <c r="W900">
        <v>6</v>
      </c>
      <c r="X900" t="s">
        <v>148</v>
      </c>
      <c r="Y900">
        <v>2024</v>
      </c>
      <c r="Z900" t="s">
        <v>129</v>
      </c>
      <c r="AA900" t="s">
        <v>130</v>
      </c>
      <c r="AB900" t="s">
        <v>131</v>
      </c>
      <c r="AC900" t="s">
        <v>131</v>
      </c>
      <c r="AD900" t="s">
        <v>131</v>
      </c>
      <c r="AE900" t="s">
        <v>131</v>
      </c>
      <c r="AF900" t="s">
        <v>131</v>
      </c>
      <c r="AG900" t="s">
        <v>131</v>
      </c>
      <c r="AH900" t="s">
        <v>132</v>
      </c>
      <c r="AI900" t="s">
        <v>133</v>
      </c>
      <c r="AJ900" t="s">
        <v>2980</v>
      </c>
      <c r="AK900" t="s">
        <v>150</v>
      </c>
      <c r="AL900" t="s">
        <v>170</v>
      </c>
      <c r="AM900" t="s">
        <v>42</v>
      </c>
      <c r="AN900" t="s">
        <v>9</v>
      </c>
      <c r="AO900" t="s">
        <v>522</v>
      </c>
      <c r="AP900" t="s">
        <v>523</v>
      </c>
      <c r="AQ900" t="s">
        <v>18</v>
      </c>
      <c r="AR900" t="s">
        <v>27</v>
      </c>
      <c r="AS900" t="s">
        <v>36</v>
      </c>
      <c r="AT900">
        <v>0.2</v>
      </c>
      <c r="AU900" t="s">
        <v>129</v>
      </c>
      <c r="AV900" t="s">
        <v>130</v>
      </c>
    </row>
    <row r="901" spans="1:48" x14ac:dyDescent="0.3">
      <c r="A901" t="s">
        <v>3314</v>
      </c>
      <c r="B901" s="12">
        <v>45804</v>
      </c>
      <c r="C901" s="12">
        <v>45811</v>
      </c>
      <c r="D901" t="s">
        <v>3315</v>
      </c>
      <c r="E901" t="s">
        <v>125</v>
      </c>
      <c r="F901" t="s">
        <v>42</v>
      </c>
      <c r="G901" t="s">
        <v>9</v>
      </c>
      <c r="H901" t="s">
        <v>232</v>
      </c>
      <c r="I901" t="s">
        <v>233</v>
      </c>
      <c r="J901" t="s">
        <v>18</v>
      </c>
      <c r="K901" t="s">
        <v>19</v>
      </c>
      <c r="M901" t="s">
        <v>36</v>
      </c>
      <c r="N901">
        <v>5</v>
      </c>
      <c r="O901">
        <v>881.08</v>
      </c>
      <c r="P901">
        <v>0.25</v>
      </c>
      <c r="Q901">
        <v>0.25</v>
      </c>
      <c r="R901">
        <v>3304.05</v>
      </c>
      <c r="S901">
        <v>2279.41</v>
      </c>
      <c r="T901">
        <v>3304.05</v>
      </c>
      <c r="U901">
        <v>1024.6400000000001</v>
      </c>
      <c r="V901">
        <v>0.31011637233092698</v>
      </c>
      <c r="W901">
        <v>7</v>
      </c>
      <c r="X901" t="s">
        <v>173</v>
      </c>
      <c r="Y901">
        <v>2025</v>
      </c>
      <c r="Z901" t="s">
        <v>269</v>
      </c>
      <c r="AA901" t="s">
        <v>165</v>
      </c>
      <c r="AB901" t="s">
        <v>131</v>
      </c>
      <c r="AC901" t="s">
        <v>131</v>
      </c>
      <c r="AD901" t="s">
        <v>131</v>
      </c>
      <c r="AE901" t="s">
        <v>131</v>
      </c>
      <c r="AF901" t="s">
        <v>131</v>
      </c>
      <c r="AG901" t="s">
        <v>131</v>
      </c>
      <c r="AH901" t="s">
        <v>131</v>
      </c>
      <c r="AI901" t="s">
        <v>133</v>
      </c>
      <c r="AJ901" t="s">
        <v>1461</v>
      </c>
      <c r="AK901" t="s">
        <v>3316</v>
      </c>
      <c r="AL901" t="s">
        <v>125</v>
      </c>
      <c r="AM901" t="s">
        <v>42</v>
      </c>
      <c r="AN901" t="s">
        <v>9</v>
      </c>
      <c r="AO901" t="s">
        <v>232</v>
      </c>
      <c r="AP901" t="s">
        <v>233</v>
      </c>
      <c r="AQ901" t="s">
        <v>18</v>
      </c>
      <c r="AR901" t="s">
        <v>19</v>
      </c>
      <c r="AS901" t="s">
        <v>36</v>
      </c>
      <c r="AT901">
        <v>0.25</v>
      </c>
      <c r="AU901" t="s">
        <v>269</v>
      </c>
      <c r="AV901" t="s">
        <v>165</v>
      </c>
    </row>
    <row r="902" spans="1:48" x14ac:dyDescent="0.3">
      <c r="A902" t="s">
        <v>1456</v>
      </c>
      <c r="B902" s="12">
        <v>45630</v>
      </c>
      <c r="C902" s="12">
        <v>45632</v>
      </c>
      <c r="D902" t="s">
        <v>1457</v>
      </c>
      <c r="E902" t="s">
        <v>243</v>
      </c>
      <c r="F902" t="s">
        <v>41</v>
      </c>
      <c r="G902" t="s">
        <v>8</v>
      </c>
      <c r="H902" t="s">
        <v>140</v>
      </c>
      <c r="I902" t="s">
        <v>141</v>
      </c>
      <c r="J902" t="s">
        <v>20</v>
      </c>
      <c r="K902" t="s">
        <v>28</v>
      </c>
      <c r="M902" t="s">
        <v>37</v>
      </c>
      <c r="N902">
        <v>4</v>
      </c>
      <c r="O902">
        <v>2685.66</v>
      </c>
      <c r="P902">
        <v>0</v>
      </c>
      <c r="Q902">
        <v>0</v>
      </c>
      <c r="R902">
        <v>10989.89</v>
      </c>
      <c r="S902">
        <v>6477.37</v>
      </c>
      <c r="T902">
        <v>10742.64</v>
      </c>
      <c r="U902">
        <v>4265.2700000000004</v>
      </c>
      <c r="V902">
        <v>0.39704113700170501</v>
      </c>
      <c r="W902">
        <v>2</v>
      </c>
      <c r="X902" t="s">
        <v>214</v>
      </c>
      <c r="Y902">
        <v>2024</v>
      </c>
      <c r="Z902" t="s">
        <v>129</v>
      </c>
      <c r="AA902" t="s">
        <v>130</v>
      </c>
      <c r="AB902" t="s">
        <v>131</v>
      </c>
      <c r="AC902" t="s">
        <v>131</v>
      </c>
      <c r="AD902" t="s">
        <v>131</v>
      </c>
      <c r="AE902" t="s">
        <v>131</v>
      </c>
      <c r="AF902" t="s">
        <v>131</v>
      </c>
      <c r="AG902" t="s">
        <v>132</v>
      </c>
      <c r="AH902" t="s">
        <v>132</v>
      </c>
      <c r="AI902" t="s">
        <v>149</v>
      </c>
      <c r="AJ902" t="s">
        <v>686</v>
      </c>
      <c r="AK902" t="s">
        <v>1458</v>
      </c>
      <c r="AL902" t="s">
        <v>243</v>
      </c>
      <c r="AM902" t="s">
        <v>41</v>
      </c>
      <c r="AN902" t="s">
        <v>8</v>
      </c>
      <c r="AO902" t="s">
        <v>140</v>
      </c>
      <c r="AP902" t="s">
        <v>141</v>
      </c>
      <c r="AQ902" t="s">
        <v>20</v>
      </c>
      <c r="AR902" t="s">
        <v>28</v>
      </c>
      <c r="AS902" t="s">
        <v>37</v>
      </c>
      <c r="AT902">
        <v>0</v>
      </c>
      <c r="AU902" t="s">
        <v>129</v>
      </c>
      <c r="AV902" t="s">
        <v>130</v>
      </c>
    </row>
    <row r="903" spans="1:48" x14ac:dyDescent="0.3">
      <c r="A903" t="s">
        <v>558</v>
      </c>
      <c r="B903" s="12">
        <v>45893</v>
      </c>
      <c r="C903" s="12">
        <v>45898</v>
      </c>
      <c r="D903" t="s">
        <v>559</v>
      </c>
      <c r="E903" t="s">
        <v>238</v>
      </c>
      <c r="F903" t="s">
        <v>44</v>
      </c>
      <c r="G903" t="s">
        <v>8</v>
      </c>
      <c r="H903" t="s">
        <v>259</v>
      </c>
      <c r="I903" t="s">
        <v>260</v>
      </c>
      <c r="J903" t="s">
        <v>15</v>
      </c>
      <c r="K903" t="s">
        <v>16</v>
      </c>
      <c r="M903" t="s">
        <v>36</v>
      </c>
      <c r="N903">
        <v>3</v>
      </c>
      <c r="O903">
        <v>3703.96</v>
      </c>
      <c r="P903">
        <v>0.15</v>
      </c>
      <c r="Q903">
        <v>0.15</v>
      </c>
      <c r="R903">
        <v>9549.44</v>
      </c>
      <c r="S903">
        <v>5586.28</v>
      </c>
      <c r="T903">
        <v>9445.098</v>
      </c>
      <c r="U903">
        <v>3858.8180000000002</v>
      </c>
      <c r="V903">
        <v>0.4085524575817</v>
      </c>
      <c r="W903">
        <v>5</v>
      </c>
      <c r="X903" t="s">
        <v>142</v>
      </c>
      <c r="Y903">
        <v>2025</v>
      </c>
      <c r="Z903" t="s">
        <v>129</v>
      </c>
      <c r="AA903" t="s">
        <v>204</v>
      </c>
      <c r="AB903" t="s">
        <v>131</v>
      </c>
      <c r="AC903" t="s">
        <v>131</v>
      </c>
      <c r="AD903" t="s">
        <v>131</v>
      </c>
      <c r="AE903" t="s">
        <v>131</v>
      </c>
      <c r="AF903" t="s">
        <v>131</v>
      </c>
      <c r="AG903" t="s">
        <v>132</v>
      </c>
      <c r="AH903" t="s">
        <v>131</v>
      </c>
      <c r="AI903" t="s">
        <v>149</v>
      </c>
      <c r="AJ903" t="s">
        <v>560</v>
      </c>
      <c r="AK903" t="s">
        <v>166</v>
      </c>
      <c r="AL903" t="s">
        <v>238</v>
      </c>
      <c r="AM903" t="s">
        <v>44</v>
      </c>
      <c r="AN903" t="s">
        <v>8</v>
      </c>
      <c r="AO903" t="s">
        <v>259</v>
      </c>
      <c r="AP903" t="s">
        <v>260</v>
      </c>
      <c r="AQ903" t="s">
        <v>15</v>
      </c>
      <c r="AR903" t="s">
        <v>16</v>
      </c>
      <c r="AS903" t="s">
        <v>36</v>
      </c>
      <c r="AT903">
        <v>0.15</v>
      </c>
      <c r="AU903" t="s">
        <v>129</v>
      </c>
      <c r="AV903" t="s">
        <v>204</v>
      </c>
    </row>
    <row r="904" spans="1:48" x14ac:dyDescent="0.3">
      <c r="A904" t="s">
        <v>1598</v>
      </c>
      <c r="B904" s="12">
        <v>45760</v>
      </c>
      <c r="C904" s="12">
        <v>45760</v>
      </c>
      <c r="D904" t="s">
        <v>1599</v>
      </c>
      <c r="E904" t="s">
        <v>243</v>
      </c>
      <c r="F904" t="s">
        <v>44</v>
      </c>
      <c r="G904" t="s">
        <v>9</v>
      </c>
      <c r="H904" t="s">
        <v>249</v>
      </c>
      <c r="I904" t="s">
        <v>250</v>
      </c>
      <c r="J904" t="s">
        <v>20</v>
      </c>
      <c r="K904" t="s">
        <v>21</v>
      </c>
      <c r="M904" t="s">
        <v>37</v>
      </c>
      <c r="N904">
        <v>9</v>
      </c>
      <c r="O904">
        <v>1118.68</v>
      </c>
      <c r="P904">
        <v>0</v>
      </c>
      <c r="Q904">
        <v>0</v>
      </c>
      <c r="R904">
        <v>10348.43</v>
      </c>
      <c r="S904">
        <v>8595.3700000000008</v>
      </c>
      <c r="T904">
        <v>10068.120000000001</v>
      </c>
      <c r="U904">
        <v>1472.75</v>
      </c>
      <c r="V904">
        <v>0.14627855051389901</v>
      </c>
      <c r="W904">
        <v>0</v>
      </c>
      <c r="X904" t="s">
        <v>179</v>
      </c>
      <c r="Y904">
        <v>2025</v>
      </c>
      <c r="Z904" t="s">
        <v>129</v>
      </c>
      <c r="AA904" t="s">
        <v>204</v>
      </c>
      <c r="AB904" t="s">
        <v>131</v>
      </c>
      <c r="AC904" t="s">
        <v>131</v>
      </c>
      <c r="AD904" t="s">
        <v>131</v>
      </c>
      <c r="AE904" t="s">
        <v>131</v>
      </c>
      <c r="AF904" t="s">
        <v>131</v>
      </c>
      <c r="AG904" t="s">
        <v>132</v>
      </c>
      <c r="AH904" t="s">
        <v>131</v>
      </c>
      <c r="AI904" t="s">
        <v>149</v>
      </c>
      <c r="AJ904" t="s">
        <v>1600</v>
      </c>
      <c r="AK904" t="s">
        <v>1600</v>
      </c>
      <c r="AL904" t="s">
        <v>243</v>
      </c>
      <c r="AM904" t="s">
        <v>44</v>
      </c>
      <c r="AN904" t="s">
        <v>9</v>
      </c>
      <c r="AO904" t="s">
        <v>249</v>
      </c>
      <c r="AP904" t="s">
        <v>250</v>
      </c>
      <c r="AQ904" t="s">
        <v>20</v>
      </c>
      <c r="AR904" t="s">
        <v>21</v>
      </c>
      <c r="AS904" t="s">
        <v>37</v>
      </c>
      <c r="AT904">
        <v>0</v>
      </c>
      <c r="AU904" t="s">
        <v>129</v>
      </c>
      <c r="AV904" t="s">
        <v>204</v>
      </c>
    </row>
    <row r="905" spans="1:48" x14ac:dyDescent="0.3">
      <c r="A905" t="s">
        <v>1072</v>
      </c>
      <c r="B905" s="12">
        <v>45932</v>
      </c>
      <c r="C905" s="12">
        <v>45938</v>
      </c>
      <c r="D905" t="s">
        <v>1073</v>
      </c>
      <c r="E905" t="s">
        <v>147</v>
      </c>
      <c r="F905" t="s">
        <v>44</v>
      </c>
      <c r="G905" t="s">
        <v>9</v>
      </c>
      <c r="H905" t="s">
        <v>232</v>
      </c>
      <c r="I905" t="s">
        <v>233</v>
      </c>
      <c r="J905" t="s">
        <v>18</v>
      </c>
      <c r="K905" t="s">
        <v>23</v>
      </c>
      <c r="M905" t="s">
        <v>35</v>
      </c>
      <c r="N905">
        <v>4</v>
      </c>
      <c r="O905">
        <v>3944.64</v>
      </c>
      <c r="P905">
        <v>0.25</v>
      </c>
      <c r="Q905">
        <v>0.25</v>
      </c>
      <c r="R905">
        <v>12116.89</v>
      </c>
      <c r="S905">
        <v>6682.92</v>
      </c>
      <c r="T905">
        <v>11833.92</v>
      </c>
      <c r="U905">
        <v>5151</v>
      </c>
      <c r="V905">
        <v>0.43527419485681801</v>
      </c>
      <c r="W905">
        <v>6</v>
      </c>
      <c r="X905" t="s">
        <v>222</v>
      </c>
      <c r="Y905">
        <v>2025</v>
      </c>
      <c r="Z905" t="s">
        <v>129</v>
      </c>
      <c r="AA905" t="s">
        <v>204</v>
      </c>
      <c r="AB905" t="s">
        <v>131</v>
      </c>
      <c r="AC905" t="s">
        <v>131</v>
      </c>
      <c r="AD905" t="s">
        <v>131</v>
      </c>
      <c r="AE905" t="s">
        <v>131</v>
      </c>
      <c r="AF905" t="s">
        <v>131</v>
      </c>
      <c r="AG905" t="s">
        <v>132</v>
      </c>
      <c r="AH905" t="s">
        <v>131</v>
      </c>
      <c r="AI905" t="s">
        <v>149</v>
      </c>
      <c r="AJ905" t="s">
        <v>1074</v>
      </c>
      <c r="AK905" t="s">
        <v>1075</v>
      </c>
      <c r="AL905" t="s">
        <v>147</v>
      </c>
      <c r="AM905" t="s">
        <v>44</v>
      </c>
      <c r="AN905" t="s">
        <v>9</v>
      </c>
      <c r="AO905" t="s">
        <v>232</v>
      </c>
      <c r="AP905" t="s">
        <v>233</v>
      </c>
      <c r="AQ905" t="s">
        <v>18</v>
      </c>
      <c r="AR905" t="s">
        <v>23</v>
      </c>
      <c r="AS905" t="s">
        <v>35</v>
      </c>
      <c r="AT905">
        <v>0.25</v>
      </c>
      <c r="AU905" t="s">
        <v>129</v>
      </c>
      <c r="AV905" t="s">
        <v>204</v>
      </c>
    </row>
    <row r="906" spans="1:48" x14ac:dyDescent="0.3">
      <c r="A906" t="s">
        <v>1397</v>
      </c>
      <c r="B906" s="12">
        <v>45795</v>
      </c>
      <c r="C906" s="12">
        <v>45797</v>
      </c>
      <c r="D906" t="s">
        <v>1398</v>
      </c>
      <c r="E906" t="s">
        <v>147</v>
      </c>
      <c r="F906" t="s">
        <v>43</v>
      </c>
      <c r="G906" t="s">
        <v>7</v>
      </c>
      <c r="H906" t="s">
        <v>171</v>
      </c>
      <c r="I906" t="s">
        <v>172</v>
      </c>
      <c r="J906" t="s">
        <v>20</v>
      </c>
      <c r="K906" t="s">
        <v>30</v>
      </c>
      <c r="M906" t="s">
        <v>35</v>
      </c>
      <c r="N906">
        <v>9</v>
      </c>
      <c r="O906">
        <v>847.76</v>
      </c>
      <c r="P906">
        <v>0.15</v>
      </c>
      <c r="Q906">
        <v>0.15</v>
      </c>
      <c r="R906">
        <v>6589.37</v>
      </c>
      <c r="S906">
        <v>5376.17</v>
      </c>
      <c r="T906">
        <v>6485.3639999999996</v>
      </c>
      <c r="U906">
        <v>1109.194</v>
      </c>
      <c r="V906">
        <v>0.17103033846673801</v>
      </c>
      <c r="W906">
        <v>2</v>
      </c>
      <c r="X906" t="s">
        <v>173</v>
      </c>
      <c r="Y906">
        <v>2025</v>
      </c>
      <c r="Z906" t="s">
        <v>269</v>
      </c>
      <c r="AA906" t="s">
        <v>130</v>
      </c>
      <c r="AB906" t="s">
        <v>131</v>
      </c>
      <c r="AC906" t="s">
        <v>131</v>
      </c>
      <c r="AD906" t="s">
        <v>131</v>
      </c>
      <c r="AE906" t="s">
        <v>131</v>
      </c>
      <c r="AF906" t="s">
        <v>131</v>
      </c>
      <c r="AG906" t="s">
        <v>132</v>
      </c>
      <c r="AH906" t="s">
        <v>131</v>
      </c>
      <c r="AI906" t="s">
        <v>149</v>
      </c>
      <c r="AJ906" t="s">
        <v>1004</v>
      </c>
      <c r="AK906" t="s">
        <v>205</v>
      </c>
      <c r="AL906" t="s">
        <v>147</v>
      </c>
      <c r="AM906" t="s">
        <v>43</v>
      </c>
      <c r="AN906" t="s">
        <v>7</v>
      </c>
      <c r="AO906" t="s">
        <v>171</v>
      </c>
      <c r="AP906" t="s">
        <v>172</v>
      </c>
      <c r="AQ906" t="s">
        <v>20</v>
      </c>
      <c r="AR906" t="s">
        <v>30</v>
      </c>
      <c r="AS906" t="s">
        <v>35</v>
      </c>
      <c r="AT906">
        <v>0.15</v>
      </c>
      <c r="AU906" t="s">
        <v>269</v>
      </c>
      <c r="AV906" t="s">
        <v>130</v>
      </c>
    </row>
    <row r="907" spans="1:48" x14ac:dyDescent="0.3">
      <c r="A907" t="s">
        <v>868</v>
      </c>
      <c r="B907" s="12">
        <v>45907</v>
      </c>
      <c r="C907" s="12">
        <v>45915</v>
      </c>
      <c r="D907" t="s">
        <v>869</v>
      </c>
      <c r="E907" t="s">
        <v>255</v>
      </c>
      <c r="F907" t="s">
        <v>43</v>
      </c>
      <c r="G907" t="s">
        <v>8</v>
      </c>
      <c r="H907" t="s">
        <v>259</v>
      </c>
      <c r="I907" t="s">
        <v>260</v>
      </c>
      <c r="J907" t="s">
        <v>15</v>
      </c>
      <c r="K907" t="s">
        <v>16</v>
      </c>
      <c r="M907" t="s">
        <v>35</v>
      </c>
      <c r="N907">
        <v>3</v>
      </c>
      <c r="O907">
        <v>1711.32</v>
      </c>
      <c r="P907">
        <v>0</v>
      </c>
      <c r="Q907">
        <v>0</v>
      </c>
      <c r="R907">
        <v>5206.53</v>
      </c>
      <c r="S907">
        <v>3930</v>
      </c>
      <c r="T907">
        <v>5133.96</v>
      </c>
      <c r="U907">
        <v>1203.96</v>
      </c>
      <c r="V907">
        <v>0.234509033962088</v>
      </c>
      <c r="W907">
        <v>8</v>
      </c>
      <c r="X907" t="s">
        <v>196</v>
      </c>
      <c r="Y907">
        <v>2025</v>
      </c>
      <c r="Z907" t="s">
        <v>129</v>
      </c>
      <c r="AA907" t="s">
        <v>204</v>
      </c>
      <c r="AB907" t="s">
        <v>131</v>
      </c>
      <c r="AC907" t="s">
        <v>131</v>
      </c>
      <c r="AD907" t="s">
        <v>131</v>
      </c>
      <c r="AE907" t="s">
        <v>131</v>
      </c>
      <c r="AF907" t="s">
        <v>131</v>
      </c>
      <c r="AG907" t="s">
        <v>132</v>
      </c>
      <c r="AH907" t="s">
        <v>131</v>
      </c>
      <c r="AI907" t="s">
        <v>149</v>
      </c>
      <c r="AJ907" t="s">
        <v>197</v>
      </c>
      <c r="AK907" t="s">
        <v>870</v>
      </c>
      <c r="AL907" t="s">
        <v>255</v>
      </c>
      <c r="AM907" t="s">
        <v>43</v>
      </c>
      <c r="AN907" t="s">
        <v>8</v>
      </c>
      <c r="AO907" t="s">
        <v>259</v>
      </c>
      <c r="AP907" t="s">
        <v>260</v>
      </c>
      <c r="AQ907" t="s">
        <v>15</v>
      </c>
      <c r="AR907" t="s">
        <v>16</v>
      </c>
      <c r="AS907" t="s">
        <v>35</v>
      </c>
      <c r="AT907">
        <v>0</v>
      </c>
      <c r="AU907" t="s">
        <v>129</v>
      </c>
      <c r="AV907" t="s">
        <v>204</v>
      </c>
    </row>
    <row r="908" spans="1:48" x14ac:dyDescent="0.3">
      <c r="A908" t="s">
        <v>1775</v>
      </c>
      <c r="B908" s="12">
        <v>45342</v>
      </c>
      <c r="C908" s="12">
        <v>45349</v>
      </c>
      <c r="D908" t="s">
        <v>1776</v>
      </c>
      <c r="E908" t="s">
        <v>277</v>
      </c>
      <c r="F908" t="s">
        <v>42</v>
      </c>
      <c r="G908" t="s">
        <v>6</v>
      </c>
      <c r="H908" t="s">
        <v>305</v>
      </c>
      <c r="I908" t="s">
        <v>306</v>
      </c>
      <c r="J908" t="s">
        <v>15</v>
      </c>
      <c r="K908" t="s">
        <v>22</v>
      </c>
      <c r="M908" t="s">
        <v>36</v>
      </c>
      <c r="N908">
        <v>9</v>
      </c>
      <c r="O908">
        <v>3779.31</v>
      </c>
      <c r="P908">
        <v>0.2</v>
      </c>
      <c r="Q908">
        <v>0.2</v>
      </c>
      <c r="R908">
        <v>27322.9</v>
      </c>
      <c r="S908">
        <v>17940.43</v>
      </c>
      <c r="T908">
        <v>27211.031999999999</v>
      </c>
      <c r="U908">
        <v>9270.6020000000008</v>
      </c>
      <c r="V908">
        <v>0.34069277490100303</v>
      </c>
      <c r="W908">
        <v>7</v>
      </c>
      <c r="X908" t="s">
        <v>186</v>
      </c>
      <c r="Y908">
        <v>2024</v>
      </c>
      <c r="Z908" t="s">
        <v>129</v>
      </c>
      <c r="AA908" t="s">
        <v>204</v>
      </c>
      <c r="AB908" t="s">
        <v>131</v>
      </c>
      <c r="AC908" t="s">
        <v>131</v>
      </c>
      <c r="AD908" t="s">
        <v>131</v>
      </c>
      <c r="AE908" t="s">
        <v>131</v>
      </c>
      <c r="AF908" t="s">
        <v>131</v>
      </c>
      <c r="AG908" t="s">
        <v>132</v>
      </c>
      <c r="AH908" t="s">
        <v>131</v>
      </c>
      <c r="AI908" t="s">
        <v>149</v>
      </c>
      <c r="AJ908" t="s">
        <v>1777</v>
      </c>
      <c r="AK908" t="s">
        <v>1778</v>
      </c>
      <c r="AL908" t="s">
        <v>277</v>
      </c>
      <c r="AM908" t="s">
        <v>42</v>
      </c>
      <c r="AN908" t="s">
        <v>6</v>
      </c>
      <c r="AO908" t="s">
        <v>305</v>
      </c>
      <c r="AP908" t="s">
        <v>306</v>
      </c>
      <c r="AQ908" t="s">
        <v>15</v>
      </c>
      <c r="AR908" t="s">
        <v>22</v>
      </c>
      <c r="AS908" t="s">
        <v>1779</v>
      </c>
      <c r="AT908">
        <v>0.2</v>
      </c>
      <c r="AU908" t="s">
        <v>129</v>
      </c>
      <c r="AV908" t="s">
        <v>204</v>
      </c>
    </row>
    <row r="909" spans="1:48" x14ac:dyDescent="0.3">
      <c r="A909" t="s">
        <v>2285</v>
      </c>
      <c r="B909" s="12">
        <v>45698</v>
      </c>
      <c r="C909" s="12">
        <v>45702</v>
      </c>
      <c r="D909" t="s">
        <v>2286</v>
      </c>
      <c r="E909" t="s">
        <v>221</v>
      </c>
      <c r="F909" t="s">
        <v>44</v>
      </c>
      <c r="G909" t="s">
        <v>9</v>
      </c>
      <c r="H909" t="s">
        <v>249</v>
      </c>
      <c r="I909" t="s">
        <v>250</v>
      </c>
      <c r="J909" t="s">
        <v>15</v>
      </c>
      <c r="K909" t="s">
        <v>17</v>
      </c>
      <c r="M909" t="s">
        <v>10</v>
      </c>
      <c r="N909">
        <v>5</v>
      </c>
      <c r="O909">
        <v>4276.29</v>
      </c>
      <c r="P909">
        <v>0</v>
      </c>
      <c r="Q909">
        <v>0</v>
      </c>
      <c r="R909">
        <v>21443.63</v>
      </c>
      <c r="S909">
        <v>13240.21</v>
      </c>
      <c r="T909">
        <v>21381.45</v>
      </c>
      <c r="U909">
        <v>8141.24</v>
      </c>
      <c r="V909">
        <v>0.38076182859441299</v>
      </c>
      <c r="W909">
        <v>4</v>
      </c>
      <c r="X909" t="s">
        <v>186</v>
      </c>
      <c r="Y909">
        <v>2025</v>
      </c>
      <c r="Z909" t="s">
        <v>269</v>
      </c>
      <c r="AA909" t="s">
        <v>130</v>
      </c>
      <c r="AB909" t="s">
        <v>131</v>
      </c>
      <c r="AC909" t="s">
        <v>132</v>
      </c>
      <c r="AD909" t="s">
        <v>131</v>
      </c>
      <c r="AE909" t="s">
        <v>131</v>
      </c>
      <c r="AF909" t="s">
        <v>131</v>
      </c>
      <c r="AG909" t="s">
        <v>132</v>
      </c>
      <c r="AH909" t="s">
        <v>131</v>
      </c>
      <c r="AI909" t="s">
        <v>149</v>
      </c>
      <c r="AJ909" t="s">
        <v>2237</v>
      </c>
      <c r="AK909" t="s">
        <v>2287</v>
      </c>
      <c r="AL909" t="s">
        <v>221</v>
      </c>
      <c r="AM909" t="s">
        <v>44</v>
      </c>
      <c r="AN909" t="s">
        <v>9</v>
      </c>
      <c r="AO909" t="s">
        <v>249</v>
      </c>
      <c r="AP909" t="s">
        <v>250</v>
      </c>
      <c r="AQ909" t="s">
        <v>15</v>
      </c>
      <c r="AR909" t="s">
        <v>17</v>
      </c>
      <c r="AT909">
        <v>0</v>
      </c>
      <c r="AU909" t="s">
        <v>269</v>
      </c>
      <c r="AV909" t="s">
        <v>130</v>
      </c>
    </row>
    <row r="910" spans="1:48" x14ac:dyDescent="0.3">
      <c r="A910" t="s">
        <v>762</v>
      </c>
      <c r="B910" s="12">
        <v>45381</v>
      </c>
      <c r="C910" s="12">
        <v>45377</v>
      </c>
      <c r="D910" t="s">
        <v>763</v>
      </c>
      <c r="E910" t="s">
        <v>191</v>
      </c>
      <c r="F910" t="s">
        <v>41</v>
      </c>
      <c r="G910" t="s">
        <v>9</v>
      </c>
      <c r="H910" t="s">
        <v>126</v>
      </c>
      <c r="I910" t="s">
        <v>127</v>
      </c>
      <c r="J910" t="s">
        <v>15</v>
      </c>
      <c r="K910" t="s">
        <v>17</v>
      </c>
      <c r="M910" t="s">
        <v>37</v>
      </c>
      <c r="N910">
        <v>5</v>
      </c>
      <c r="O910">
        <v>907.54</v>
      </c>
      <c r="P910">
        <v>0.15</v>
      </c>
      <c r="Q910">
        <v>0.15</v>
      </c>
      <c r="R910">
        <v>4099.6899999999996</v>
      </c>
      <c r="S910">
        <v>2769.26</v>
      </c>
      <c r="T910">
        <v>3857.0450000000001</v>
      </c>
      <c r="U910">
        <v>1087.7850000000001</v>
      </c>
      <c r="V910">
        <v>0.28202548842442798</v>
      </c>
      <c r="W910">
        <v>-4</v>
      </c>
      <c r="X910" t="s">
        <v>278</v>
      </c>
      <c r="Y910">
        <v>2024</v>
      </c>
      <c r="Z910" t="s">
        <v>129</v>
      </c>
      <c r="AA910" t="s">
        <v>204</v>
      </c>
      <c r="AB910" t="s">
        <v>131</v>
      </c>
      <c r="AC910" t="s">
        <v>131</v>
      </c>
      <c r="AD910" t="s">
        <v>131</v>
      </c>
      <c r="AE910" t="s">
        <v>132</v>
      </c>
      <c r="AF910" t="s">
        <v>131</v>
      </c>
      <c r="AG910" t="s">
        <v>132</v>
      </c>
      <c r="AH910" t="s">
        <v>131</v>
      </c>
      <c r="AI910" t="s">
        <v>149</v>
      </c>
      <c r="AJ910" t="s">
        <v>764</v>
      </c>
      <c r="AK910" t="s">
        <v>765</v>
      </c>
      <c r="AL910" t="s">
        <v>191</v>
      </c>
      <c r="AM910" t="s">
        <v>41</v>
      </c>
      <c r="AN910" t="s">
        <v>9</v>
      </c>
      <c r="AO910" t="s">
        <v>126</v>
      </c>
      <c r="AP910" t="s">
        <v>127</v>
      </c>
      <c r="AQ910" t="s">
        <v>15</v>
      </c>
      <c r="AR910" t="s">
        <v>17</v>
      </c>
      <c r="AS910" t="s">
        <v>37</v>
      </c>
      <c r="AT910">
        <v>0.15</v>
      </c>
      <c r="AU910" t="s">
        <v>129</v>
      </c>
      <c r="AV910" t="s">
        <v>204</v>
      </c>
    </row>
    <row r="911" spans="1:48" x14ac:dyDescent="0.3">
      <c r="A911" t="s">
        <v>1244</v>
      </c>
      <c r="B911" s="12">
        <v>45522</v>
      </c>
      <c r="C911" s="12">
        <v>45528</v>
      </c>
      <c r="D911" t="s">
        <v>1245</v>
      </c>
      <c r="E911" t="s">
        <v>154</v>
      </c>
      <c r="F911" t="s">
        <v>42</v>
      </c>
      <c r="G911" t="s">
        <v>6</v>
      </c>
      <c r="H911" t="s">
        <v>184</v>
      </c>
      <c r="I911" t="s">
        <v>185</v>
      </c>
      <c r="J911" t="s">
        <v>18</v>
      </c>
      <c r="K911" t="s">
        <v>19</v>
      </c>
      <c r="M911" t="s">
        <v>36</v>
      </c>
      <c r="N911">
        <v>7</v>
      </c>
      <c r="O911">
        <v>557.21</v>
      </c>
      <c r="P911">
        <v>0.1</v>
      </c>
      <c r="Q911">
        <v>0.1</v>
      </c>
      <c r="R911">
        <v>3797.79</v>
      </c>
      <c r="S911">
        <v>2191.5</v>
      </c>
      <c r="T911">
        <v>3510.4229999999998</v>
      </c>
      <c r="U911">
        <v>1318.923</v>
      </c>
      <c r="V911">
        <v>0.37571625983535301</v>
      </c>
      <c r="W911">
        <v>6</v>
      </c>
      <c r="X911" t="s">
        <v>142</v>
      </c>
      <c r="Y911">
        <v>2024</v>
      </c>
      <c r="Z911" t="s">
        <v>129</v>
      </c>
      <c r="AA911" t="s">
        <v>204</v>
      </c>
      <c r="AB911" t="s">
        <v>131</v>
      </c>
      <c r="AC911" t="s">
        <v>131</v>
      </c>
      <c r="AD911" t="s">
        <v>131</v>
      </c>
      <c r="AE911" t="s">
        <v>131</v>
      </c>
      <c r="AF911" t="s">
        <v>131</v>
      </c>
      <c r="AG911" t="s">
        <v>132</v>
      </c>
      <c r="AH911" t="s">
        <v>131</v>
      </c>
      <c r="AI911" t="s">
        <v>149</v>
      </c>
      <c r="AJ911" t="s">
        <v>1246</v>
      </c>
      <c r="AK911" t="s">
        <v>1247</v>
      </c>
      <c r="AL911" t="s">
        <v>154</v>
      </c>
      <c r="AM911" t="s">
        <v>42</v>
      </c>
      <c r="AN911" t="s">
        <v>6</v>
      </c>
      <c r="AO911" t="s">
        <v>184</v>
      </c>
      <c r="AP911" t="s">
        <v>185</v>
      </c>
      <c r="AQ911" t="s">
        <v>18</v>
      </c>
      <c r="AR911" t="s">
        <v>19</v>
      </c>
      <c r="AS911" t="s">
        <v>36</v>
      </c>
      <c r="AT911">
        <v>0.1</v>
      </c>
      <c r="AU911" t="s">
        <v>129</v>
      </c>
      <c r="AV911" t="s">
        <v>204</v>
      </c>
    </row>
    <row r="912" spans="1:48" x14ac:dyDescent="0.3">
      <c r="A912" t="s">
        <v>687</v>
      </c>
      <c r="B912" s="12">
        <v>45436</v>
      </c>
      <c r="C912" s="12">
        <v>45437</v>
      </c>
      <c r="D912" t="s">
        <v>688</v>
      </c>
      <c r="E912" t="s">
        <v>243</v>
      </c>
      <c r="F912" t="s">
        <v>44</v>
      </c>
      <c r="G912" t="s">
        <v>9</v>
      </c>
      <c r="H912" t="s">
        <v>232</v>
      </c>
      <c r="I912" t="s">
        <v>233</v>
      </c>
      <c r="J912" t="s">
        <v>15</v>
      </c>
      <c r="K912" t="s">
        <v>16</v>
      </c>
      <c r="M912" t="s">
        <v>38</v>
      </c>
      <c r="N912">
        <v>1</v>
      </c>
      <c r="O912">
        <v>634.13</v>
      </c>
      <c r="P912">
        <v>0</v>
      </c>
      <c r="Q912">
        <v>0</v>
      </c>
      <c r="R912">
        <v>808.67</v>
      </c>
      <c r="S912">
        <v>453.35</v>
      </c>
      <c r="T912">
        <v>634.13</v>
      </c>
      <c r="U912">
        <v>180.78</v>
      </c>
      <c r="V912">
        <v>0.28508350022866003</v>
      </c>
      <c r="W912">
        <v>1</v>
      </c>
      <c r="X912" t="s">
        <v>173</v>
      </c>
      <c r="Y912">
        <v>2024</v>
      </c>
      <c r="Z912" t="s">
        <v>203</v>
      </c>
      <c r="AA912" t="s">
        <v>204</v>
      </c>
      <c r="AB912" t="s">
        <v>131</v>
      </c>
      <c r="AC912" t="s">
        <v>131</v>
      </c>
      <c r="AD912" t="s">
        <v>131</v>
      </c>
      <c r="AE912" t="s">
        <v>131</v>
      </c>
      <c r="AF912" t="s">
        <v>131</v>
      </c>
      <c r="AG912" t="s">
        <v>132</v>
      </c>
      <c r="AH912" t="s">
        <v>131</v>
      </c>
      <c r="AI912" t="s">
        <v>149</v>
      </c>
      <c r="AJ912" t="s">
        <v>689</v>
      </c>
      <c r="AK912" t="s">
        <v>690</v>
      </c>
      <c r="AL912" t="s">
        <v>243</v>
      </c>
      <c r="AM912" t="s">
        <v>44</v>
      </c>
      <c r="AN912" t="s">
        <v>691</v>
      </c>
      <c r="AO912" t="s">
        <v>232</v>
      </c>
      <c r="AP912" t="s">
        <v>233</v>
      </c>
      <c r="AQ912" t="s">
        <v>15</v>
      </c>
      <c r="AR912" t="s">
        <v>16</v>
      </c>
      <c r="AS912" t="s">
        <v>38</v>
      </c>
      <c r="AT912">
        <v>0</v>
      </c>
      <c r="AU912" t="s">
        <v>203</v>
      </c>
      <c r="AV912" t="s">
        <v>204</v>
      </c>
    </row>
    <row r="913" spans="1:48" x14ac:dyDescent="0.3">
      <c r="A913" t="s">
        <v>1472</v>
      </c>
      <c r="B913" s="12">
        <v>45824</v>
      </c>
      <c r="C913" s="12">
        <v>45826</v>
      </c>
      <c r="D913" t="s">
        <v>1473</v>
      </c>
      <c r="E913" t="s">
        <v>227</v>
      </c>
      <c r="F913" t="s">
        <v>41</v>
      </c>
      <c r="G913" t="s">
        <v>7</v>
      </c>
      <c r="H913" t="s">
        <v>171</v>
      </c>
      <c r="I913" t="s">
        <v>172</v>
      </c>
      <c r="J913" t="s">
        <v>20</v>
      </c>
      <c r="K913" t="s">
        <v>24</v>
      </c>
      <c r="M913" t="s">
        <v>36</v>
      </c>
      <c r="N913">
        <v>3</v>
      </c>
      <c r="O913">
        <v>4289.37</v>
      </c>
      <c r="P913">
        <v>0.1</v>
      </c>
      <c r="Q913">
        <v>0.1</v>
      </c>
      <c r="R913">
        <v>11778.71</v>
      </c>
      <c r="S913">
        <v>6829.43</v>
      </c>
      <c r="T913">
        <v>11581.299000000001</v>
      </c>
      <c r="U913">
        <v>4751.8689999999997</v>
      </c>
      <c r="V913">
        <v>0.41030535521101702</v>
      </c>
      <c r="W913">
        <v>2</v>
      </c>
      <c r="X913" t="s">
        <v>148</v>
      </c>
      <c r="Y913">
        <v>2025</v>
      </c>
      <c r="Z913" t="s">
        <v>129</v>
      </c>
      <c r="AA913" t="s">
        <v>204</v>
      </c>
      <c r="AB913" t="s">
        <v>131</v>
      </c>
      <c r="AC913" t="s">
        <v>131</v>
      </c>
      <c r="AD913" t="s">
        <v>131</v>
      </c>
      <c r="AE913" t="s">
        <v>131</v>
      </c>
      <c r="AF913" t="s">
        <v>131</v>
      </c>
      <c r="AG913" t="s">
        <v>132</v>
      </c>
      <c r="AH913" t="s">
        <v>131</v>
      </c>
      <c r="AI913" t="s">
        <v>149</v>
      </c>
      <c r="AJ913" t="s">
        <v>1474</v>
      </c>
      <c r="AK913" t="s">
        <v>1475</v>
      </c>
      <c r="AL913" t="s">
        <v>227</v>
      </c>
      <c r="AM913" t="s">
        <v>41</v>
      </c>
      <c r="AN913" t="s">
        <v>7</v>
      </c>
      <c r="AO913" t="s">
        <v>171</v>
      </c>
      <c r="AP913" t="s">
        <v>172</v>
      </c>
      <c r="AQ913" t="s">
        <v>20</v>
      </c>
      <c r="AR913" t="s">
        <v>24</v>
      </c>
      <c r="AS913" t="s">
        <v>36</v>
      </c>
      <c r="AT913">
        <v>0.1</v>
      </c>
      <c r="AU913" t="s">
        <v>129</v>
      </c>
      <c r="AV913" t="s">
        <v>204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Sales-Profit by Region</vt:lpstr>
      <vt:lpstr>Sales-Profit by Category</vt:lpstr>
      <vt:lpstr>Order Count by Ship Mode</vt:lpstr>
      <vt:lpstr>Profit Margin by Segment</vt:lpstr>
      <vt:lpstr>Refunded-Cancelled-Failed</vt:lpstr>
      <vt:lpstr>Monthly Sales Trend</vt:lpstr>
      <vt:lpstr>CleanRef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Sachin Chavan</cp:lastModifiedBy>
  <cp:revision>0</cp:revision>
  <dcterms:created xsi:type="dcterms:W3CDTF">2026-06-28T14:51:59Z</dcterms:created>
  <dcterms:modified xsi:type="dcterms:W3CDTF">2026-06-28T15:17:40Z</dcterms:modified>
  <dc:language>en-US</dc:language>
</cp:coreProperties>
</file>