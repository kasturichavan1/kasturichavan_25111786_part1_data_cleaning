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ord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<sst xmlns="http://schemas.openxmlformats.org/spreadsheetml/2006/main" count="13690" uniqueCount="3255">
  <si>
    <t xml:space="preserve">order_id</t>
  </si>
  <si>
    <t xml:space="preserve">order_date</t>
  </si>
  <si>
    <t xml:space="preserve">ship_date</t>
  </si>
  <si>
    <t xml:space="preserve">customer_id</t>
  </si>
  <si>
    <t xml:space="preserve">customer_name</t>
  </si>
  <si>
    <t xml:space="preserve">segment</t>
  </si>
  <si>
    <t xml:space="preserve">region</t>
  </si>
  <si>
    <t xml:space="preserve">state</t>
  </si>
  <si>
    <t xml:space="preserve">city</t>
  </si>
  <si>
    <t xml:space="preserve">category</t>
  </si>
  <si>
    <t xml:space="preserve">sub_category</t>
  </si>
  <si>
    <t xml:space="preserve">product_name</t>
  </si>
  <si>
    <t xml:space="preserve">ship_mode</t>
  </si>
  <si>
    <t xml:space="preserve">quantity</t>
  </si>
  <si>
    <t xml:space="preserve">unit_price</t>
  </si>
  <si>
    <t xml:space="preserve">discount_parsed</t>
  </si>
  <si>
    <t xml:space="preserve">cleaned_discount</t>
  </si>
  <si>
    <t xml:space="preserve">recorded_sales</t>
  </si>
  <si>
    <t xml:space="preserve">cost</t>
  </si>
  <si>
    <t xml:space="preserve">calculated_sales</t>
  </si>
  <si>
    <t xml:space="preserve">calculated_profit</t>
  </si>
  <si>
    <t xml:space="preserve">profit_margin</t>
  </si>
  <si>
    <t xml:space="preserve">shipping_delay_days</t>
  </si>
  <si>
    <t xml:space="preserve">order_month</t>
  </si>
  <si>
    <t xml:space="preserve">order_year</t>
  </si>
  <si>
    <t xml:space="preserve">payment_status</t>
  </si>
  <si>
    <t xml:space="preserve">order_status</t>
  </si>
  <si>
    <t xml:space="preserve">is_region_filled</t>
  </si>
  <si>
    <t xml:space="preserve">is_shipmode_filled</t>
  </si>
  <si>
    <t xml:space="preserve">is_discount_filled</t>
  </si>
  <si>
    <t xml:space="preserve">is_shipping_invalid</t>
  </si>
  <si>
    <t xml:space="preserve">is_discount_invalid</t>
  </si>
  <si>
    <t xml:space="preserve">is_duplicate_conflict</t>
  </si>
  <si>
    <t xml:space="preserve">is_completed_sale</t>
  </si>
  <si>
    <t xml:space="preserve">data_quality_flag</t>
  </si>
  <si>
    <t xml:space="preserve">raw_order_date</t>
  </si>
  <si>
    <t xml:space="preserve">raw_ship_date</t>
  </si>
  <si>
    <t xml:space="preserve">raw_customer_name</t>
  </si>
  <si>
    <t xml:space="preserve">raw_segment</t>
  </si>
  <si>
    <t xml:space="preserve">raw_region</t>
  </si>
  <si>
    <t xml:space="preserve">raw_state</t>
  </si>
  <si>
    <t xml:space="preserve">raw_city</t>
  </si>
  <si>
    <t xml:space="preserve">raw_category</t>
  </si>
  <si>
    <t xml:space="preserve">raw_sub_category</t>
  </si>
  <si>
    <t xml:space="preserve">raw_ship_mode</t>
  </si>
  <si>
    <t xml:space="preserve">raw_discount</t>
  </si>
  <si>
    <t xml:space="preserve">raw_payment_status</t>
  </si>
  <si>
    <t xml:space="preserve">raw_order_status</t>
  </si>
  <si>
    <t xml:space="preserve">ORD-2024-10001</t>
  </si>
  <si>
    <t xml:space="preserve">CUST-4655</t>
  </si>
  <si>
    <t xml:space="preserve">No</t>
  </si>
  <si>
    <t xml:space="preserve">21 Jul 2024</t>
  </si>
  <si>
    <t xml:space="preserve">07/27/2024</t>
  </si>
  <si>
    <t xml:space="preserve">Karan Malhotra</t>
  </si>
  <si>
    <t xml:space="preserve">Consumer</t>
  </si>
  <si>
    <t xml:space="preserve">  North </t>
  </si>
  <si>
    <t xml:space="preserve">Rajasthan</t>
  </si>
  <si>
    <t xml:space="preserve">Jaipur</t>
  </si>
  <si>
    <t xml:space="preserve">Office Supplies</t>
  </si>
  <si>
    <t xml:space="preserve">Paper</t>
  </si>
  <si>
    <t xml:space="preserve">Second Class</t>
  </si>
  <si>
    <t xml:space="preserve">Paid</t>
  </si>
  <si>
    <t xml:space="preserve">Completed</t>
  </si>
  <si>
    <t xml:space="preserve">ORD-2024-10002</t>
  </si>
  <si>
    <t xml:space="preserve">CUST-2054</t>
  </si>
  <si>
    <t xml:space="preserve">08/31/2024</t>
  </si>
  <si>
    <t xml:space="preserve">05 Sep 2024</t>
  </si>
  <si>
    <t xml:space="preserve">Mira Das</t>
  </si>
  <si>
    <t xml:space="preserve">Small Business</t>
  </si>
  <si>
    <t xml:space="preserve">East</t>
  </si>
  <si>
    <t xml:space="preserve">Odisha</t>
  </si>
  <si>
    <t xml:space="preserve">Bhubaneswar</t>
  </si>
  <si>
    <t xml:space="preserve">Furniture</t>
  </si>
  <si>
    <t xml:space="preserve">Tables</t>
  </si>
  <si>
    <t xml:space="preserve">Same Day</t>
  </si>
  <si>
    <t xml:space="preserve">ORD-2024-10003</t>
  </si>
  <si>
    <t xml:space="preserve">CUST-6843</t>
  </si>
  <si>
    <t xml:space="preserve">06/08/2024</t>
  </si>
  <si>
    <t xml:space="preserve">15 Jun 2024</t>
  </si>
  <si>
    <t xml:space="preserve">Isha Nair</t>
  </si>
  <si>
    <t xml:space="preserve">Art</t>
  </si>
  <si>
    <t xml:space="preserve">First Class</t>
  </si>
  <si>
    <t xml:space="preserve">ORD-2024-10004</t>
  </si>
  <si>
    <t xml:space="preserve">CUST-3722</t>
  </si>
  <si>
    <t xml:space="preserve">28-11-2024</t>
  </si>
  <si>
    <t xml:space="preserve">11/29/2024</t>
  </si>
  <si>
    <t xml:space="preserve">Arjun Bose</t>
  </si>
  <si>
    <t xml:space="preserve">South</t>
  </si>
  <si>
    <t xml:space="preserve">Telangana</t>
  </si>
  <si>
    <t xml:space="preserve">Hyderabad</t>
  </si>
  <si>
    <t xml:space="preserve">Furnishings</t>
  </si>
  <si>
    <t xml:space="preserve">Standard Class</t>
  </si>
  <si>
    <t xml:space="preserve">ORD-2025-10005</t>
  </si>
  <si>
    <t xml:space="preserve">CUST-8130</t>
  </si>
  <si>
    <t xml:space="preserve">29 Aug 2025</t>
  </si>
  <si>
    <t xml:space="preserve">2025-09-01</t>
  </si>
  <si>
    <t xml:space="preserve">Ananya Rao</t>
  </si>
  <si>
    <t xml:space="preserve">West</t>
  </si>
  <si>
    <t xml:space="preserve">Maharashtra</t>
  </si>
  <si>
    <t xml:space="preserve">Mumbai</t>
  </si>
  <si>
    <t xml:space="preserve">Chairs</t>
  </si>
  <si>
    <t xml:space="preserve">Cancelled</t>
  </si>
  <si>
    <t xml:space="preserve">ORD-2024-10006</t>
  </si>
  <si>
    <t xml:space="preserve">CUST-6056</t>
  </si>
  <si>
    <t xml:space="preserve">2024-05-24</t>
  </si>
  <si>
    <t xml:space="preserve">28-05-2024</t>
  </si>
  <si>
    <t xml:space="preserve">Vikram Iyer</t>
  </si>
  <si>
    <t xml:space="preserve">Madhya Pradesh</t>
  </si>
  <si>
    <t xml:space="preserve">Indore</t>
  </si>
  <si>
    <t xml:space="preserve">Technology</t>
  </si>
  <si>
    <t xml:space="preserve">Accessories</t>
  </si>
  <si>
    <t xml:space="preserve">ORD-2025-10007</t>
  </si>
  <si>
    <t xml:space="preserve">CUST-3656</t>
  </si>
  <si>
    <t xml:space="preserve">04/10/2025</t>
  </si>
  <si>
    <t xml:space="preserve">04/16/2025</t>
  </si>
  <si>
    <t xml:space="preserve">Neha Gupta</t>
  </si>
  <si>
    <t xml:space="preserve">Copiers</t>
  </si>
  <si>
    <t xml:space="preserve">ORD-2025-10008</t>
  </si>
  <si>
    <t xml:space="preserve">CUST-4683</t>
  </si>
  <si>
    <t xml:space="preserve">2025-02-23</t>
  </si>
  <si>
    <t xml:space="preserve">26-02-2025</t>
  </si>
  <si>
    <t xml:space="preserve">Andhra Pradesh</t>
  </si>
  <si>
    <t xml:space="preserve">Vijayawada</t>
  </si>
  <si>
    <t xml:space="preserve">ORD-2024-10009</t>
  </si>
  <si>
    <t xml:space="preserve">CUST-2598</t>
  </si>
  <si>
    <t xml:space="preserve">11/05/2024</t>
  </si>
  <si>
    <t xml:space="preserve">11/10/2024</t>
  </si>
  <si>
    <t xml:space="preserve">Aditi Sen</t>
  </si>
  <si>
    <t xml:space="preserve">Corporate</t>
  </si>
  <si>
    <t xml:space="preserve">Labels</t>
  </si>
  <si>
    <t xml:space="preserve">ORD-2025-10010</t>
  </si>
  <si>
    <t xml:space="preserve">CUST-2483</t>
  </si>
  <si>
    <t xml:space="preserve">07-09-2025</t>
  </si>
  <si>
    <t xml:space="preserve">09/12/2025</t>
  </si>
  <si>
    <t xml:space="preserve">Home Office</t>
  </si>
  <si>
    <t xml:space="preserve">ORD-2025-10011</t>
  </si>
  <si>
    <t xml:space="preserve">CUST-8092</t>
  </si>
  <si>
    <t xml:space="preserve">20 May 2025</t>
  </si>
  <si>
    <t xml:space="preserve">05/20/2025</t>
  </si>
  <si>
    <t xml:space="preserve">West Bengal</t>
  </si>
  <si>
    <t xml:space="preserve">Kolkata</t>
  </si>
  <si>
    <t xml:space="preserve">Refunded</t>
  </si>
  <si>
    <t xml:space="preserve">Returned</t>
  </si>
  <si>
    <t xml:space="preserve">ORD-2024-10012</t>
  </si>
  <si>
    <t xml:space="preserve">CUST-6528</t>
  </si>
  <si>
    <t xml:space="preserve">2024-07-22</t>
  </si>
  <si>
    <t xml:space="preserve">23-07-2024</t>
  </si>
  <si>
    <t xml:space="preserve">ORD-2024-10013</t>
  </si>
  <si>
    <t xml:space="preserve">CUST-2648</t>
  </si>
  <si>
    <t xml:space="preserve">20 Dec 2024</t>
  </si>
  <si>
    <t xml:space="preserve">12/21/2024</t>
  </si>
  <si>
    <t xml:space="preserve">Corporate </t>
  </si>
  <si>
    <t xml:space="preserve">Udaipur</t>
  </si>
  <si>
    <t xml:space="preserve">Pending</t>
  </si>
  <si>
    <t xml:space="preserve">ORD-2025-10014</t>
  </si>
  <si>
    <t xml:space="preserve">CUST-7482</t>
  </si>
  <si>
    <t xml:space="preserve">2025-10-12</t>
  </si>
  <si>
    <t xml:space="preserve">16-10-2025</t>
  </si>
  <si>
    <t xml:space="preserve">Priya Menon</t>
  </si>
  <si>
    <t xml:space="preserve">ORD-2024-10015</t>
  </si>
  <si>
    <t xml:space="preserve">CUST-4912</t>
  </si>
  <si>
    <t xml:space="preserve">27 Dec 2024</t>
  </si>
  <si>
    <t xml:space="preserve">12/28/2024</t>
  </si>
  <si>
    <t xml:space="preserve">Rahul Verma</t>
  </si>
  <si>
    <t xml:space="preserve">ORD-2024-10016</t>
  </si>
  <si>
    <t xml:space="preserve">CUST-7656</t>
  </si>
  <si>
    <t xml:space="preserve">07/09/2024</t>
  </si>
  <si>
    <t xml:space="preserve">09 Jul 2024</t>
  </si>
  <si>
    <t xml:space="preserve">North</t>
  </si>
  <si>
    <t xml:space="preserve">Punjab</t>
  </si>
  <si>
    <t xml:space="preserve">Ludhiana</t>
  </si>
  <si>
    <t xml:space="preserve">Storage</t>
  </si>
  <si>
    <t xml:space="preserve">ORD-2024-10017</t>
  </si>
  <si>
    <t xml:space="preserve">CUST-6214</t>
  </si>
  <si>
    <t xml:space="preserve">05/08/2024</t>
  </si>
  <si>
    <t xml:space="preserve">15-05-2024</t>
  </si>
  <si>
    <t xml:space="preserve">Aarav Sharma</t>
  </si>
  <si>
    <t xml:space="preserve">ORD-2024-10018</t>
  </si>
  <si>
    <t xml:space="preserve">CUST-1626</t>
  </si>
  <si>
    <t xml:space="preserve">01/07/2024</t>
  </si>
  <si>
    <t xml:space="preserve">2024-01-08</t>
  </si>
  <si>
    <t xml:space="preserve">Sneha Kapoor</t>
  </si>
  <si>
    <t xml:space="preserve">ORD-2025-10019</t>
  </si>
  <si>
    <t xml:space="preserve">CUST-2110</t>
  </si>
  <si>
    <t xml:space="preserve">07/15/2025</t>
  </si>
  <si>
    <t xml:space="preserve">17-07-2025</t>
  </si>
  <si>
    <t xml:space="preserve">Uttar Pradesh</t>
  </si>
  <si>
    <t xml:space="preserve">Noida</t>
  </si>
  <si>
    <t xml:space="preserve">ORD-2024-10020</t>
  </si>
  <si>
    <t xml:space="preserve">CUST-3186</t>
  </si>
  <si>
    <t xml:space="preserve">31 Jul 2024</t>
  </si>
  <si>
    <t xml:space="preserve">Rohan Mehta</t>
  </si>
  <si>
    <t xml:space="preserve">ORD-2025-10021</t>
  </si>
  <si>
    <t xml:space="preserve">CUST-3190</t>
  </si>
  <si>
    <t xml:space="preserve">21-01-2025</t>
  </si>
  <si>
    <t xml:space="preserve">23 Jan 2025</t>
  </si>
  <si>
    <t xml:space="preserve">Bihar</t>
  </si>
  <si>
    <t xml:space="preserve">Patna</t>
  </si>
  <si>
    <t xml:space="preserve">ORD-2025-10022</t>
  </si>
  <si>
    <t xml:space="preserve">CUST-3036</t>
  </si>
  <si>
    <t xml:space="preserve">24-01-2025</t>
  </si>
  <si>
    <t xml:space="preserve">01/30/2025</t>
  </si>
  <si>
    <t xml:space="preserve">ORD-2025-10023</t>
  </si>
  <si>
    <t xml:space="preserve">CUST-3588</t>
  </si>
  <si>
    <t xml:space="preserve">19 Jan 2025</t>
  </si>
  <si>
    <t xml:space="preserve">2025-01-21</t>
  </si>
  <si>
    <t xml:space="preserve">Binders</t>
  </si>
  <si>
    <t xml:space="preserve">Failed</t>
  </si>
  <si>
    <t xml:space="preserve">ORD-2025-10024</t>
  </si>
  <si>
    <t xml:space="preserve">CUST-7098</t>
  </si>
  <si>
    <t xml:space="preserve">31-08-2025</t>
  </si>
  <si>
    <t xml:space="preserve">Bookcases</t>
  </si>
  <si>
    <t xml:space="preserve">ORD-2024-10025</t>
  </si>
  <si>
    <t xml:space="preserve">CUST-1747</t>
  </si>
  <si>
    <t xml:space="preserve">2024-03-04</t>
  </si>
  <si>
    <t xml:space="preserve">03/01/2024</t>
  </si>
  <si>
    <t xml:space="preserve">Diya Patel</t>
  </si>
  <si>
    <t xml:space="preserve">ORD-2024-10026</t>
  </si>
  <si>
    <t xml:space="preserve">CUST-1731</t>
  </si>
  <si>
    <t xml:space="preserve">11-10-2024</t>
  </si>
  <si>
    <t xml:space="preserve">2024-10-19</t>
  </si>
  <si>
    <t xml:space="preserve">Assam</t>
  </si>
  <si>
    <t xml:space="preserve">Guwahati</t>
  </si>
  <si>
    <t xml:space="preserve">ORD-2024-10027</t>
  </si>
  <si>
    <t xml:space="preserve">CUST-4401</t>
  </si>
  <si>
    <t xml:space="preserve">23-11-2024</t>
  </si>
  <si>
    <t xml:space="preserve">23 Nov 2024</t>
  </si>
  <si>
    <t xml:space="preserve">Phones</t>
  </si>
  <si>
    <t xml:space="preserve">Paid </t>
  </si>
  <si>
    <t xml:space="preserve">ORD-2025-10028</t>
  </si>
  <si>
    <t xml:space="preserve">CUST-9875</t>
  </si>
  <si>
    <t xml:space="preserve">29 Sep 2025</t>
  </si>
  <si>
    <t xml:space="preserve">05-10-2025</t>
  </si>
  <si>
    <t xml:space="preserve">Karnataka</t>
  </si>
  <si>
    <t xml:space="preserve">Bengaluru</t>
  </si>
  <si>
    <t xml:space="preserve">ORD-2024-10029</t>
  </si>
  <si>
    <t xml:space="preserve">CUST-1569</t>
  </si>
  <si>
    <t xml:space="preserve">18-10-2024</t>
  </si>
  <si>
    <t xml:space="preserve">Gujarat</t>
  </si>
  <si>
    <t xml:space="preserve">Ahmedabad</t>
  </si>
  <si>
    <t xml:space="preserve">ORD-2025-10030</t>
  </si>
  <si>
    <t xml:space="preserve">CUST-5936</t>
  </si>
  <si>
    <t xml:space="preserve">13 Aug 2025</t>
  </si>
  <si>
    <t xml:space="preserve">13-08-2025</t>
  </si>
  <si>
    <t xml:space="preserve">Kerala</t>
  </si>
  <si>
    <t xml:space="preserve">Kochi</t>
  </si>
  <si>
    <t xml:space="preserve">ORD-2024-10031</t>
  </si>
  <si>
    <t xml:space="preserve">CUST-8759</t>
  </si>
  <si>
    <t xml:space="preserve">09 Feb 2024</t>
  </si>
  <si>
    <t xml:space="preserve">02/12/2024</t>
  </si>
  <si>
    <t xml:space="preserve">Goa</t>
  </si>
  <si>
    <t xml:space="preserve">Panaji</t>
  </si>
  <si>
    <t xml:space="preserve">ORD-2025-10032</t>
  </si>
  <si>
    <t xml:space="preserve">CUST-7867</t>
  </si>
  <si>
    <t xml:space="preserve">15-06-2025</t>
  </si>
  <si>
    <t xml:space="preserve">19-06-2025</t>
  </si>
  <si>
    <t xml:space="preserve">ORD-2024-10033</t>
  </si>
  <si>
    <t xml:space="preserve">CUST-6509</t>
  </si>
  <si>
    <t xml:space="preserve">22-11-2024</t>
  </si>
  <si>
    <t xml:space="preserve">2024-11-26</t>
  </si>
  <si>
    <t xml:space="preserve">ORD-2024-10034</t>
  </si>
  <si>
    <t xml:space="preserve">CUST-6660</t>
  </si>
  <si>
    <t xml:space="preserve">07/22/2024</t>
  </si>
  <si>
    <t xml:space="preserve">27-07-2024</t>
  </si>
  <si>
    <t xml:space="preserve">ORD-2025-10035</t>
  </si>
  <si>
    <t xml:space="preserve">CUST-2392</t>
  </si>
  <si>
    <t xml:space="preserve">2025-01-31</t>
  </si>
  <si>
    <t xml:space="preserve">2025-02-05</t>
  </si>
  <si>
    <t xml:space="preserve">ORD-2024-10036</t>
  </si>
  <si>
    <t xml:space="preserve">CUST-1611</t>
  </si>
  <si>
    <t xml:space="preserve">29-05-2024</t>
  </si>
  <si>
    <t xml:space="preserve">29 May 2024</t>
  </si>
  <si>
    <t xml:space="preserve">ORD-2024-10037</t>
  </si>
  <si>
    <t xml:space="preserve">CUST-8296</t>
  </si>
  <si>
    <t xml:space="preserve">2024-10-25</t>
  </si>
  <si>
    <t xml:space="preserve">28 Oct 2024</t>
  </si>
  <si>
    <t xml:space="preserve">ORD-2025-10038</t>
  </si>
  <si>
    <t xml:space="preserve">CUST-4646</t>
  </si>
  <si>
    <t xml:space="preserve">29-07-2025</t>
  </si>
  <si>
    <t xml:space="preserve">STANDARD CLASS</t>
  </si>
  <si>
    <t xml:space="preserve">ORD-2024-10039</t>
  </si>
  <si>
    <t xml:space="preserve">CUST-8235</t>
  </si>
  <si>
    <t xml:space="preserve">2024-06-17</t>
  </si>
  <si>
    <t xml:space="preserve">22-06-2024</t>
  </si>
  <si>
    <t xml:space="preserve">ORD-2024-10040</t>
  </si>
  <si>
    <t xml:space="preserve">CUST-5830</t>
  </si>
  <si>
    <t xml:space="preserve">12/11/2024</t>
  </si>
  <si>
    <t xml:space="preserve">2024-12-11</t>
  </si>
  <si>
    <t xml:space="preserve">ORD-2024-10041</t>
  </si>
  <si>
    <t xml:space="preserve">CUST-7178</t>
  </si>
  <si>
    <t xml:space="preserve">10-10-2024</t>
  </si>
  <si>
    <t xml:space="preserve">16 Oct 2024</t>
  </si>
  <si>
    <t xml:space="preserve">ORD-2024-10042</t>
  </si>
  <si>
    <t xml:space="preserve">CUST-3829</t>
  </si>
  <si>
    <t xml:space="preserve">03/12/2024</t>
  </si>
  <si>
    <t xml:space="preserve">17-03-2024</t>
  </si>
  <si>
    <t xml:space="preserve">ORD-2025-10043</t>
  </si>
  <si>
    <t xml:space="preserve">CUST-6708</t>
  </si>
  <si>
    <t xml:space="preserve">2025-10-10</t>
  </si>
  <si>
    <t xml:space="preserve">15 Oct 2025</t>
  </si>
  <si>
    <t xml:space="preserve">Jharkhand</t>
  </si>
  <si>
    <t xml:space="preserve">Ranchi</t>
  </si>
  <si>
    <t xml:space="preserve">ORD-2024-10044</t>
  </si>
  <si>
    <t xml:space="preserve">CUST-7119</t>
  </si>
  <si>
    <t xml:space="preserve">07/08/2024</t>
  </si>
  <si>
    <t xml:space="preserve">07/14/2024</t>
  </si>
  <si>
    <t xml:space="preserve">ORD-2024-10045</t>
  </si>
  <si>
    <t xml:space="preserve">CUST-3373</t>
  </si>
  <si>
    <t xml:space="preserve">06/22/2024</t>
  </si>
  <si>
    <t xml:space="preserve">25-06-2024</t>
  </si>
  <si>
    <t xml:space="preserve">Haryana</t>
  </si>
  <si>
    <t xml:space="preserve">Gurugram</t>
  </si>
  <si>
    <t xml:space="preserve">ORD-2024-10046</t>
  </si>
  <si>
    <t xml:space="preserve">CUST-8896</t>
  </si>
  <si>
    <t xml:space="preserve">18 Jan 2024</t>
  </si>
  <si>
    <t xml:space="preserve">24-01-2024</t>
  </si>
  <si>
    <t xml:space="preserve">ORD-2024-10047</t>
  </si>
  <si>
    <t xml:space="preserve">CUST-8517</t>
  </si>
  <si>
    <t xml:space="preserve">19-07-2024</t>
  </si>
  <si>
    <t xml:space="preserve">ORD-2024-10048</t>
  </si>
  <si>
    <t xml:space="preserve">CUST-1987</t>
  </si>
  <si>
    <t xml:space="preserve">12-08-2024</t>
  </si>
  <si>
    <t xml:space="preserve">2024-08-12</t>
  </si>
  <si>
    <t xml:space="preserve">Tamil Nadu</t>
  </si>
  <si>
    <t xml:space="preserve">Chennai</t>
  </si>
  <si>
    <t xml:space="preserve">ORD-2025-10049</t>
  </si>
  <si>
    <t xml:space="preserve">CUST-8183</t>
  </si>
  <si>
    <t xml:space="preserve">30 Jan 2025</t>
  </si>
  <si>
    <t xml:space="preserve">05 Feb 2025</t>
  </si>
  <si>
    <t xml:space="preserve">Second Class </t>
  </si>
  <si>
    <t xml:space="preserve">ORD-2024-10050</t>
  </si>
  <si>
    <t xml:space="preserve">CUST-2380</t>
  </si>
  <si>
    <t xml:space="preserve">2024-04-06</t>
  </si>
  <si>
    <t xml:space="preserve">13 Apr 2024</t>
  </si>
  <si>
    <t xml:space="preserve">ORD-2025-10051</t>
  </si>
  <si>
    <t xml:space="preserve">CUST-8787</t>
  </si>
  <si>
    <t xml:space="preserve">05/11/2025</t>
  </si>
  <si>
    <t xml:space="preserve">19 May 2025</t>
  </si>
  <si>
    <t xml:space="preserve">ORD-2024-10052</t>
  </si>
  <si>
    <t xml:space="preserve">CUST-3557</t>
  </si>
  <si>
    <t xml:space="preserve">24 Apr 2024</t>
  </si>
  <si>
    <t xml:space="preserve">29 Apr 2024</t>
  </si>
  <si>
    <t xml:space="preserve">Ananya Rao </t>
  </si>
  <si>
    <t xml:space="preserve">ORD-2024-10053</t>
  </si>
  <si>
    <t xml:space="preserve">CUST-2778</t>
  </si>
  <si>
    <t xml:space="preserve">26-10-2024</t>
  </si>
  <si>
    <t xml:space="preserve">2024-10-28</t>
  </si>
  <si>
    <t xml:space="preserve">Kabir Singh</t>
  </si>
  <si>
    <t xml:space="preserve">ORD-2025-10054</t>
  </si>
  <si>
    <t xml:space="preserve">CUST-7195</t>
  </si>
  <si>
    <t xml:space="preserve">31 Mar 2025</t>
  </si>
  <si>
    <t xml:space="preserve">2025-03-31</t>
  </si>
  <si>
    <t xml:space="preserve">ORD-2025-10055</t>
  </si>
  <si>
    <t xml:space="preserve">CUST-9039</t>
  </si>
  <si>
    <t xml:space="preserve">30 May 2025</t>
  </si>
  <si>
    <t xml:space="preserve">2025-06-02</t>
  </si>
  <si>
    <t xml:space="preserve">ORD-2025-10056</t>
  </si>
  <si>
    <t xml:space="preserve">CUST-9821</t>
  </si>
  <si>
    <t xml:space="preserve">01-07-2025</t>
  </si>
  <si>
    <t xml:space="preserve">03-07-2025</t>
  </si>
  <si>
    <t xml:space="preserve">Machines</t>
  </si>
  <si>
    <t xml:space="preserve">ORD-2025-10057</t>
  </si>
  <si>
    <t xml:space="preserve">CUST-8701</t>
  </si>
  <si>
    <t xml:space="preserve">2025-01-05</t>
  </si>
  <si>
    <t xml:space="preserve">06-01-2025</t>
  </si>
  <si>
    <t xml:space="preserve">ORD-2024-10058</t>
  </si>
  <si>
    <t xml:space="preserve">CUST-9941</t>
  </si>
  <si>
    <t xml:space="preserve">2024-02-07</t>
  </si>
  <si>
    <t xml:space="preserve">15 Feb 2024</t>
  </si>
  <si>
    <t xml:space="preserve">ORD-2024-10059</t>
  </si>
  <si>
    <t xml:space="preserve">CUST-3983</t>
  </si>
  <si>
    <t xml:space="preserve">2024-09-01</t>
  </si>
  <si>
    <t xml:space="preserve">2024-09-07</t>
  </si>
  <si>
    <t xml:space="preserve">ORD-2024-10060</t>
  </si>
  <si>
    <t xml:space="preserve">CUST-2418</t>
  </si>
  <si>
    <t xml:space="preserve">20-07-2024</t>
  </si>
  <si>
    <t xml:space="preserve">25 Jul 2024</t>
  </si>
  <si>
    <t xml:space="preserve">ORD-2024-10061</t>
  </si>
  <si>
    <t xml:space="preserve">CUST-2892</t>
  </si>
  <si>
    <t xml:space="preserve">07/13/2024</t>
  </si>
  <si>
    <t xml:space="preserve">2024-07-19</t>
  </si>
  <si>
    <t xml:space="preserve">ORD-2024-10062</t>
  </si>
  <si>
    <t xml:space="preserve">CUST-7008</t>
  </si>
  <si>
    <t xml:space="preserve">16 Apr 2024</t>
  </si>
  <si>
    <t xml:space="preserve">04/16/2024</t>
  </si>
  <si>
    <t xml:space="preserve">ORD-2024-10063</t>
  </si>
  <si>
    <t xml:space="preserve">CUST-4900</t>
  </si>
  <si>
    <t xml:space="preserve">30 Oct 2024</t>
  </si>
  <si>
    <t xml:space="preserve">02-11-2024</t>
  </si>
  <si>
    <t xml:space="preserve">ORD-2024-10064</t>
  </si>
  <si>
    <t xml:space="preserve">CUST-5382</t>
  </si>
  <si>
    <t xml:space="preserve">2024-01-25</t>
  </si>
  <si>
    <t xml:space="preserve">01-02-2024</t>
  </si>
  <si>
    <t xml:space="preserve">ORD-2024-10065</t>
  </si>
  <si>
    <t xml:space="preserve">CUST-2749</t>
  </si>
  <si>
    <t xml:space="preserve">2024-12-23</t>
  </si>
  <si>
    <t xml:space="preserve">12/29/2024</t>
  </si>
  <si>
    <t xml:space="preserve">ORD-2024-10066</t>
  </si>
  <si>
    <t xml:space="preserve">CUST-2463</t>
  </si>
  <si>
    <t xml:space="preserve">22 Apr 2024</t>
  </si>
  <si>
    <t xml:space="preserve">2024-04-27</t>
  </si>
  <si>
    <t xml:space="preserve">ORD-2025-10067</t>
  </si>
  <si>
    <t xml:space="preserve">CUST-1504</t>
  </si>
  <si>
    <t xml:space="preserve">08/28/2025</t>
  </si>
  <si>
    <t xml:space="preserve">01 Sep 2025</t>
  </si>
  <si>
    <t xml:space="preserve">ORD-2025-10068</t>
  </si>
  <si>
    <t xml:space="preserve">CUST-8282</t>
  </si>
  <si>
    <t xml:space="preserve">03 Feb 2025</t>
  </si>
  <si>
    <t xml:space="preserve">07-02-2025</t>
  </si>
  <si>
    <t xml:space="preserve">ORD-2024-10069</t>
  </si>
  <si>
    <t xml:space="preserve">CUST-6054</t>
  </si>
  <si>
    <t xml:space="preserve">13 Nov 2024</t>
  </si>
  <si>
    <t xml:space="preserve">ORD-2024-10070</t>
  </si>
  <si>
    <t xml:space="preserve">CUST-5979</t>
  </si>
  <si>
    <t xml:space="preserve">09 Apr 2024</t>
  </si>
  <si>
    <t xml:space="preserve">04/14/2024</t>
  </si>
  <si>
    <t xml:space="preserve">ORD-2025-10071</t>
  </si>
  <si>
    <t xml:space="preserve">CUST-5582</t>
  </si>
  <si>
    <t xml:space="preserve">2025-08-22</t>
  </si>
  <si>
    <t xml:space="preserve">27 Aug 2025</t>
  </si>
  <si>
    <t xml:space="preserve">ORD-2025-10072</t>
  </si>
  <si>
    <t xml:space="preserve">CUST-3308</t>
  </si>
  <si>
    <t xml:space="preserve">2025-04-23</t>
  </si>
  <si>
    <t xml:space="preserve">  Small Business </t>
  </si>
  <si>
    <t xml:space="preserve">ORD-2024-10073</t>
  </si>
  <si>
    <t xml:space="preserve">CUST-5018</t>
  </si>
  <si>
    <t xml:space="preserve">2024-02-11</t>
  </si>
  <si>
    <t xml:space="preserve">07 Feb 2024</t>
  </si>
  <si>
    <t xml:space="preserve">ORD-2025-10074</t>
  </si>
  <si>
    <t xml:space="preserve">CUST-2342</t>
  </si>
  <si>
    <t xml:space="preserve">29-03-2025</t>
  </si>
  <si>
    <t xml:space="preserve">04/03/2025</t>
  </si>
  <si>
    <t xml:space="preserve">ORD-2025-10075</t>
  </si>
  <si>
    <t xml:space="preserve">CUST-6201</t>
  </si>
  <si>
    <t xml:space="preserve">02/27/2025</t>
  </si>
  <si>
    <t xml:space="preserve">2025-03-01</t>
  </si>
  <si>
    <t xml:space="preserve">ORD-2025-10076</t>
  </si>
  <si>
    <t xml:space="preserve">CUST-5808</t>
  </si>
  <si>
    <t xml:space="preserve">22-08-2025</t>
  </si>
  <si>
    <t xml:space="preserve">08/27/2025</t>
  </si>
  <si>
    <t xml:space="preserve">ORD-2024-10077</t>
  </si>
  <si>
    <t xml:space="preserve">CUST-2642</t>
  </si>
  <si>
    <t xml:space="preserve">03 Nov 2024</t>
  </si>
  <si>
    <t xml:space="preserve">11-11-2024</t>
  </si>
  <si>
    <t xml:space="preserve">ORD-2025-10078</t>
  </si>
  <si>
    <t xml:space="preserve">CUST-4385</t>
  </si>
  <si>
    <t xml:space="preserve">07/08/2025</t>
  </si>
  <si>
    <t xml:space="preserve">12-07-2025</t>
  </si>
  <si>
    <t xml:space="preserve">ORD-2025-10079</t>
  </si>
  <si>
    <t xml:space="preserve">CUST-8043</t>
  </si>
  <si>
    <t xml:space="preserve">07/16/2025</t>
  </si>
  <si>
    <t xml:space="preserve">21-07-2025</t>
  </si>
  <si>
    <t xml:space="preserve">ORD-2025-10080</t>
  </si>
  <si>
    <t xml:space="preserve">CUST-9978</t>
  </si>
  <si>
    <t xml:space="preserve">2025-09-27</t>
  </si>
  <si>
    <t xml:space="preserve">2025-10-03</t>
  </si>
  <si>
    <t xml:space="preserve">  Furniture </t>
  </si>
  <si>
    <t xml:space="preserve">ORD-2024-10081</t>
  </si>
  <si>
    <t xml:space="preserve">CUST-2094</t>
  </si>
  <si>
    <t xml:space="preserve">2024-08-10</t>
  </si>
  <si>
    <t xml:space="preserve">2024-08-14</t>
  </si>
  <si>
    <t xml:space="preserve">Delhi</t>
  </si>
  <si>
    <t xml:space="preserve">New Delhi</t>
  </si>
  <si>
    <t xml:space="preserve">ORD-2025-10082</t>
  </si>
  <si>
    <t xml:space="preserve">CUST-7907</t>
  </si>
  <si>
    <t xml:space="preserve">2025-03-16</t>
  </si>
  <si>
    <t xml:space="preserve">17-03-2025</t>
  </si>
  <si>
    <t xml:space="preserve">ORD-2024-10083</t>
  </si>
  <si>
    <t xml:space="preserve">CUST-6516</t>
  </si>
  <si>
    <t xml:space="preserve">2024-08-03</t>
  </si>
  <si>
    <t xml:space="preserve">04-08-2024</t>
  </si>
  <si>
    <t xml:space="preserve">ORD-2024-10084</t>
  </si>
  <si>
    <t xml:space="preserve">CUST-4989</t>
  </si>
  <si>
    <t xml:space="preserve">29-10-2024</t>
  </si>
  <si>
    <t xml:space="preserve">ORD-2024-10085</t>
  </si>
  <si>
    <t xml:space="preserve">CUST-3758</t>
  </si>
  <si>
    <t xml:space="preserve">01 Oct 2024</t>
  </si>
  <si>
    <t xml:space="preserve">2024-10-03</t>
  </si>
  <si>
    <t xml:space="preserve">Technology </t>
  </si>
  <si>
    <t xml:space="preserve">ORD-2024-10086</t>
  </si>
  <si>
    <t xml:space="preserve">CUST-6702</t>
  </si>
  <si>
    <t xml:space="preserve">2024-07-30</t>
  </si>
  <si>
    <t xml:space="preserve">08/05/2024</t>
  </si>
  <si>
    <t xml:space="preserve">ORD-2024-10087</t>
  </si>
  <si>
    <t xml:space="preserve">CUST-9148</t>
  </si>
  <si>
    <t xml:space="preserve">01 Jul 2024</t>
  </si>
  <si>
    <t xml:space="preserve">ORD-2024-10088</t>
  </si>
  <si>
    <t xml:space="preserve">CUST-5829</t>
  </si>
  <si>
    <t xml:space="preserve">02-08-2024</t>
  </si>
  <si>
    <t xml:space="preserve">ORD-2024-10089</t>
  </si>
  <si>
    <t xml:space="preserve">CUST-6059</t>
  </si>
  <si>
    <t xml:space="preserve">03/24/2024</t>
  </si>
  <si>
    <t xml:space="preserve">27 Mar 2024</t>
  </si>
  <si>
    <t xml:space="preserve">ORD-2024-10090</t>
  </si>
  <si>
    <t xml:space="preserve">CUST-7744</t>
  </si>
  <si>
    <t xml:space="preserve">ORD-2025-10091</t>
  </si>
  <si>
    <t xml:space="preserve">CUST-5909</t>
  </si>
  <si>
    <t xml:space="preserve">Yes</t>
  </si>
  <si>
    <t xml:space="preserve">08/24/2025</t>
  </si>
  <si>
    <t xml:space="preserve">ORD-2025-10092</t>
  </si>
  <si>
    <t xml:space="preserve">CUST-6409</t>
  </si>
  <si>
    <t xml:space="preserve">02-03-2025</t>
  </si>
  <si>
    <t xml:space="preserve">03/08/2025</t>
  </si>
  <si>
    <t xml:space="preserve">ORD-2025-10093</t>
  </si>
  <si>
    <t xml:space="preserve">CUST-3014</t>
  </si>
  <si>
    <t xml:space="preserve">01/26/2025</t>
  </si>
  <si>
    <t xml:space="preserve">ORD-2024-10094</t>
  </si>
  <si>
    <t xml:space="preserve">CUST-6106</t>
  </si>
  <si>
    <t xml:space="preserve">13-01-2024</t>
  </si>
  <si>
    <t xml:space="preserve">ORD-2024-10095</t>
  </si>
  <si>
    <t xml:space="preserve">CUST-1926</t>
  </si>
  <si>
    <t xml:space="preserve">09/06/2024</t>
  </si>
  <si>
    <t xml:space="preserve">09 Sep 2024</t>
  </si>
  <si>
    <t xml:space="preserve">ORD-2025-10096</t>
  </si>
  <si>
    <t xml:space="preserve">CUST-2687</t>
  </si>
  <si>
    <t xml:space="preserve">05-09-2025</t>
  </si>
  <si>
    <t xml:space="preserve">09/10/2025</t>
  </si>
  <si>
    <t xml:space="preserve">ORD-2024-10097</t>
  </si>
  <si>
    <t xml:space="preserve">CUST-7283</t>
  </si>
  <si>
    <t xml:space="preserve">05 Jun 2024</t>
  </si>
  <si>
    <t xml:space="preserve">07-06-2024</t>
  </si>
  <si>
    <t xml:space="preserve">ORD-2025-10098</t>
  </si>
  <si>
    <t xml:space="preserve">CUST-8111</t>
  </si>
  <si>
    <t xml:space="preserve">08 Aug 2025</t>
  </si>
  <si>
    <t xml:space="preserve">2025-08-11</t>
  </si>
  <si>
    <t xml:space="preserve">ORD-2024-10099</t>
  </si>
  <si>
    <t xml:space="preserve">CUST-5434</t>
  </si>
  <si>
    <t xml:space="preserve">2024-01-26</t>
  </si>
  <si>
    <t xml:space="preserve">02/01/2024</t>
  </si>
  <si>
    <t xml:space="preserve">ORD-2025-10100</t>
  </si>
  <si>
    <t xml:space="preserve">CUST-3865</t>
  </si>
  <si>
    <t xml:space="preserve">11-01-2025</t>
  </si>
  <si>
    <t xml:space="preserve">ORD-2025-10101</t>
  </si>
  <si>
    <t xml:space="preserve">CUST-6015</t>
  </si>
  <si>
    <t xml:space="preserve">12 Sep 2025</t>
  </si>
  <si>
    <t xml:space="preserve">18 Sep 2025</t>
  </si>
  <si>
    <t xml:space="preserve">ORD-2024-10102</t>
  </si>
  <si>
    <t xml:space="preserve">CUST-7909</t>
  </si>
  <si>
    <t xml:space="preserve">26-06-2024</t>
  </si>
  <si>
    <t xml:space="preserve">  Home Office </t>
  </si>
  <si>
    <t xml:space="preserve">ORD-2025-10103</t>
  </si>
  <si>
    <t xml:space="preserve">CUST-9603</t>
  </si>
  <si>
    <t xml:space="preserve">12 Jul 2025</t>
  </si>
  <si>
    <t xml:space="preserve">2025-07-16</t>
  </si>
  <si>
    <t xml:space="preserve">ORD-2025-10104</t>
  </si>
  <si>
    <t xml:space="preserve">CUST-6263</t>
  </si>
  <si>
    <t xml:space="preserve">05/02/2025</t>
  </si>
  <si>
    <t xml:space="preserve">05/10/2025</t>
  </si>
  <si>
    <t xml:space="preserve">ORD-2025-10105</t>
  </si>
  <si>
    <t xml:space="preserve">CUST-1576</t>
  </si>
  <si>
    <t xml:space="preserve">2025-02-01</t>
  </si>
  <si>
    <t xml:space="preserve">02/08/2025</t>
  </si>
  <si>
    <t xml:space="preserve">ORD-2024-10106</t>
  </si>
  <si>
    <t xml:space="preserve">CUST-6540</t>
  </si>
  <si>
    <t xml:space="preserve">06/24/2024</t>
  </si>
  <si>
    <t xml:space="preserve">29-06-2024</t>
  </si>
  <si>
    <t xml:space="preserve">ORD-2024-10107</t>
  </si>
  <si>
    <t xml:space="preserve">CUST-4008</t>
  </si>
  <si>
    <t xml:space="preserve">20-02-2024</t>
  </si>
  <si>
    <t xml:space="preserve">28 Feb 2024</t>
  </si>
  <si>
    <t xml:space="preserve">ORD-2024-10108</t>
  </si>
  <si>
    <t xml:space="preserve">CUST-6604</t>
  </si>
  <si>
    <t xml:space="preserve">29 Oct 2024</t>
  </si>
  <si>
    <t xml:space="preserve">2024-11-04</t>
  </si>
  <si>
    <t xml:space="preserve">ORD-2024-10109</t>
  </si>
  <si>
    <t xml:space="preserve">CUST-4337</t>
  </si>
  <si>
    <t xml:space="preserve">15 Aug 2024</t>
  </si>
  <si>
    <t xml:space="preserve">08/23/2024</t>
  </si>
  <si>
    <t xml:space="preserve">ORD-2025-10110</t>
  </si>
  <si>
    <t xml:space="preserve">CUST-3740</t>
  </si>
  <si>
    <t xml:space="preserve">23-08-2025</t>
  </si>
  <si>
    <t xml:space="preserve">ORD-2024-10111</t>
  </si>
  <si>
    <t xml:space="preserve">CUST-7128</t>
  </si>
  <si>
    <t xml:space="preserve">10/18/2024</t>
  </si>
  <si>
    <t xml:space="preserve">2024-10-24</t>
  </si>
  <si>
    <t xml:space="preserve">ORD-2025-10112</t>
  </si>
  <si>
    <t xml:space="preserve">CUST-4743</t>
  </si>
  <si>
    <t xml:space="preserve">06/27/2025</t>
  </si>
  <si>
    <t xml:space="preserve">2025-06-30</t>
  </si>
  <si>
    <t xml:space="preserve">ORD-2024-10113</t>
  </si>
  <si>
    <t xml:space="preserve">CUST-5213</t>
  </si>
  <si>
    <t xml:space="preserve">10 Jan 2024</t>
  </si>
  <si>
    <t xml:space="preserve">14-01-2024</t>
  </si>
  <si>
    <t xml:space="preserve">  Consumer </t>
  </si>
  <si>
    <t xml:space="preserve">ORD-2024-10114</t>
  </si>
  <si>
    <t xml:space="preserve">12-02-2024</t>
  </si>
  <si>
    <t xml:space="preserve">ORD-2024-10115</t>
  </si>
  <si>
    <t xml:space="preserve">CUST-2927</t>
  </si>
  <si>
    <t xml:space="preserve">2024-09-25</t>
  </si>
  <si>
    <t xml:space="preserve">30 Sep 2024</t>
  </si>
  <si>
    <t xml:space="preserve">ORD-2024-10116</t>
  </si>
  <si>
    <t xml:space="preserve">CUST-7764</t>
  </si>
  <si>
    <t xml:space="preserve">2024-12-27</t>
  </si>
  <si>
    <t xml:space="preserve">01-01-2025</t>
  </si>
  <si>
    <t xml:space="preserve">ORD-2025-10117</t>
  </si>
  <si>
    <t xml:space="preserve">CUST-3632</t>
  </si>
  <si>
    <t xml:space="preserve">2025-02-15</t>
  </si>
  <si>
    <t xml:space="preserve">19 Feb 2025</t>
  </si>
  <si>
    <t xml:space="preserve">ORD-2024-10118</t>
  </si>
  <si>
    <t xml:space="preserve">CUST-9608</t>
  </si>
  <si>
    <t xml:space="preserve">2024-02-15</t>
  </si>
  <si>
    <t xml:space="preserve">17 Feb 2024</t>
  </si>
  <si>
    <t xml:space="preserve">70%</t>
  </si>
  <si>
    <t xml:space="preserve">ORD-2024-10119</t>
  </si>
  <si>
    <t xml:space="preserve">CUST-9135</t>
  </si>
  <si>
    <t xml:space="preserve">06/10/2024</t>
  </si>
  <si>
    <t xml:space="preserve">2024-06-18</t>
  </si>
  <si>
    <t xml:space="preserve">Vikram  Iyer</t>
  </si>
  <si>
    <t xml:space="preserve">ORD-2024-10120</t>
  </si>
  <si>
    <t xml:space="preserve">CUST-7861</t>
  </si>
  <si>
    <t xml:space="preserve">12 Jun 2024</t>
  </si>
  <si>
    <t xml:space="preserve">19 Jun 2024</t>
  </si>
  <si>
    <t xml:space="preserve">Small Business </t>
  </si>
  <si>
    <t xml:space="preserve">ORD-2024-10121</t>
  </si>
  <si>
    <t xml:space="preserve">CUST-6096</t>
  </si>
  <si>
    <t xml:space="preserve">2024-08-18</t>
  </si>
  <si>
    <t xml:space="preserve">ORD-2025-10122</t>
  </si>
  <si>
    <t xml:space="preserve">CUST-2044</t>
  </si>
  <si>
    <t xml:space="preserve">08/22/2025</t>
  </si>
  <si>
    <t xml:space="preserve">08/26/2025</t>
  </si>
  <si>
    <t xml:space="preserve">Small  Business</t>
  </si>
  <si>
    <t xml:space="preserve">ORD-2024-10123</t>
  </si>
  <si>
    <t xml:space="preserve">CUST-1721</t>
  </si>
  <si>
    <t xml:space="preserve">11/30/2024</t>
  </si>
  <si>
    <t xml:space="preserve">04-12-2024</t>
  </si>
  <si>
    <t xml:space="preserve">ORD-2024-10124</t>
  </si>
  <si>
    <t xml:space="preserve">CUST-1007</t>
  </si>
  <si>
    <t xml:space="preserve">05/24/2024</t>
  </si>
  <si>
    <t xml:space="preserve">25 May 2024</t>
  </si>
  <si>
    <t xml:space="preserve">NORTH</t>
  </si>
  <si>
    <t xml:space="preserve">ORD-2024-10125</t>
  </si>
  <si>
    <t xml:space="preserve">CUST-4450</t>
  </si>
  <si>
    <t xml:space="preserve">07/24/2024</t>
  </si>
  <si>
    <t xml:space="preserve">Completed </t>
  </si>
  <si>
    <t xml:space="preserve">ORD-2025-10126</t>
  </si>
  <si>
    <t xml:space="preserve">CUST-7924</t>
  </si>
  <si>
    <t xml:space="preserve">2025-07-17</t>
  </si>
  <si>
    <t xml:space="preserve">18-07-2025</t>
  </si>
  <si>
    <t xml:space="preserve">ORD-2025-10127</t>
  </si>
  <si>
    <t xml:space="preserve">CUST-1715</t>
  </si>
  <si>
    <t xml:space="preserve">24-09-2025</t>
  </si>
  <si>
    <t xml:space="preserve">26 Sep 2025</t>
  </si>
  <si>
    <t xml:space="preserve">ORD-2025-10128</t>
  </si>
  <si>
    <t xml:space="preserve">CUST-6802</t>
  </si>
  <si>
    <t xml:space="preserve">26-01-2025</t>
  </si>
  <si>
    <t xml:space="preserve">ORD-2024-10129</t>
  </si>
  <si>
    <t xml:space="preserve">CUST-9328</t>
  </si>
  <si>
    <t xml:space="preserve">13 Dec 2024</t>
  </si>
  <si>
    <t xml:space="preserve">16 Dec 2024</t>
  </si>
  <si>
    <t xml:space="preserve">ORD-2024-10130</t>
  </si>
  <si>
    <t xml:space="preserve">CUST-2588</t>
  </si>
  <si>
    <t xml:space="preserve">25-07-2024</t>
  </si>
  <si>
    <t xml:space="preserve">ORD-2024-10131</t>
  </si>
  <si>
    <t xml:space="preserve">CUST-5435</t>
  </si>
  <si>
    <t xml:space="preserve">2024-01-27</t>
  </si>
  <si>
    <t xml:space="preserve">02 Feb 2024</t>
  </si>
  <si>
    <t xml:space="preserve">ORD-2025-10132</t>
  </si>
  <si>
    <t xml:space="preserve">CUST-7637</t>
  </si>
  <si>
    <t xml:space="preserve">09/29/2025</t>
  </si>
  <si>
    <t xml:space="preserve">2025-10-04</t>
  </si>
  <si>
    <t xml:space="preserve">ORD-2024-10133</t>
  </si>
  <si>
    <t xml:space="preserve">CUST-3602</t>
  </si>
  <si>
    <t xml:space="preserve">04 Nov 2024</t>
  </si>
  <si>
    <t xml:space="preserve">ORD-2024-10134</t>
  </si>
  <si>
    <t xml:space="preserve">CUST-9441</t>
  </si>
  <si>
    <t xml:space="preserve">2024-12-13</t>
  </si>
  <si>
    <t xml:space="preserve">12/18/2024</t>
  </si>
  <si>
    <t xml:space="preserve">ORD-2025-10135</t>
  </si>
  <si>
    <t xml:space="preserve">CUST-7361</t>
  </si>
  <si>
    <t xml:space="preserve">07/14/2025</t>
  </si>
  <si>
    <t xml:space="preserve">2025-07-14</t>
  </si>
  <si>
    <t xml:space="preserve">ORD-2025-10136</t>
  </si>
  <si>
    <t xml:space="preserve">CUST-1148</t>
  </si>
  <si>
    <t xml:space="preserve">2025-08-24</t>
  </si>
  <si>
    <t xml:space="preserve">Furniture </t>
  </si>
  <si>
    <t xml:space="preserve">ORD-2025-10137</t>
  </si>
  <si>
    <t xml:space="preserve">CUST-3350</t>
  </si>
  <si>
    <t xml:space="preserve">09-02-2025</t>
  </si>
  <si>
    <t xml:space="preserve">15-02-2025</t>
  </si>
  <si>
    <t xml:space="preserve">Standard  Class</t>
  </si>
  <si>
    <t xml:space="preserve">ORD-2025-10138</t>
  </si>
  <si>
    <t xml:space="preserve">CUST-7932</t>
  </si>
  <si>
    <t xml:space="preserve">01/09/2025</t>
  </si>
  <si>
    <t xml:space="preserve">2025-01-09</t>
  </si>
  <si>
    <t xml:space="preserve">ORD-2024-10139</t>
  </si>
  <si>
    <t xml:space="preserve">CUST-7173</t>
  </si>
  <si>
    <t xml:space="preserve">2024-01-20</t>
  </si>
  <si>
    <t xml:space="preserve">26-01-2024</t>
  </si>
  <si>
    <t xml:space="preserve">ORD-2025-10140</t>
  </si>
  <si>
    <t xml:space="preserve">CUST-4225</t>
  </si>
  <si>
    <t xml:space="preserve">03/02/2025</t>
  </si>
  <si>
    <t xml:space="preserve">07-03-2025</t>
  </si>
  <si>
    <t xml:space="preserve">ORD-2024-10141</t>
  </si>
  <si>
    <t xml:space="preserve">CUST-2149</t>
  </si>
  <si>
    <t xml:space="preserve">31-05-2024</t>
  </si>
  <si>
    <t xml:space="preserve">01 Jun 2024</t>
  </si>
  <si>
    <t xml:space="preserve">ORD-2024-10142</t>
  </si>
  <si>
    <t xml:space="preserve">CUST-3314</t>
  </si>
  <si>
    <t xml:space="preserve">03/23/2024</t>
  </si>
  <si>
    <t xml:space="preserve">2024-03-29</t>
  </si>
  <si>
    <t xml:space="preserve">ORD-2024-10143</t>
  </si>
  <si>
    <t xml:space="preserve">CUST-8944</t>
  </si>
  <si>
    <t xml:space="preserve">30 Mar 2024</t>
  </si>
  <si>
    <t xml:space="preserve">26 Mar 2024</t>
  </si>
  <si>
    <t xml:space="preserve">ORD-2024-10144</t>
  </si>
  <si>
    <t xml:space="preserve">CUST-3144</t>
  </si>
  <si>
    <t xml:space="preserve">2024-03-26</t>
  </si>
  <si>
    <t xml:space="preserve">ORD-2024-10145</t>
  </si>
  <si>
    <t xml:space="preserve">CUST-6747</t>
  </si>
  <si>
    <t xml:space="preserve">2024-06-15</t>
  </si>
  <si>
    <t xml:space="preserve">ORD-2025-10146</t>
  </si>
  <si>
    <t xml:space="preserve">CUST-6161</t>
  </si>
  <si>
    <t xml:space="preserve">11-04-2025</t>
  </si>
  <si>
    <t xml:space="preserve">04/13/2025</t>
  </si>
  <si>
    <t xml:space="preserve">ORD-2025-10147</t>
  </si>
  <si>
    <t xml:space="preserve">CUST-1460</t>
  </si>
  <si>
    <t xml:space="preserve">30 Jul 2025</t>
  </si>
  <si>
    <t xml:space="preserve">08/01/2025</t>
  </si>
  <si>
    <t xml:space="preserve">ORD-2024-10148</t>
  </si>
  <si>
    <t xml:space="preserve">CUST-2692</t>
  </si>
  <si>
    <t xml:space="preserve">23-12-2024</t>
  </si>
  <si>
    <t xml:space="preserve">2024-12-30</t>
  </si>
  <si>
    <t xml:space="preserve">ORD-2025-10149</t>
  </si>
  <si>
    <t xml:space="preserve">CUST-2822</t>
  </si>
  <si>
    <t xml:space="preserve">09 Feb 2025</t>
  </si>
  <si>
    <t xml:space="preserve">13-02-2025</t>
  </si>
  <si>
    <t xml:space="preserve">ORD-2024-10150</t>
  </si>
  <si>
    <t xml:space="preserve">CUST-5876</t>
  </si>
  <si>
    <t xml:space="preserve">30-01-2024</t>
  </si>
  <si>
    <t xml:space="preserve">west</t>
  </si>
  <si>
    <t xml:space="preserve">ORD-2024-10151</t>
  </si>
  <si>
    <t xml:space="preserve">CUST-4661</t>
  </si>
  <si>
    <t xml:space="preserve">04-03-2024</t>
  </si>
  <si>
    <t xml:space="preserve">2024-03-12</t>
  </si>
  <si>
    <t xml:space="preserve">ORD-2024-10152</t>
  </si>
  <si>
    <t xml:space="preserve">CUST-6011</t>
  </si>
  <si>
    <t xml:space="preserve">27 Jun 2024</t>
  </si>
  <si>
    <t xml:space="preserve">06/27/2024</t>
  </si>
  <si>
    <t xml:space="preserve">ORD-2024-10153</t>
  </si>
  <si>
    <t xml:space="preserve">CUST-6160</t>
  </si>
  <si>
    <t xml:space="preserve">14 Jun 2024</t>
  </si>
  <si>
    <t xml:space="preserve">06/17/2024</t>
  </si>
  <si>
    <t xml:space="preserve">ORD-2025-10154</t>
  </si>
  <si>
    <t xml:space="preserve">CUST-6971</t>
  </si>
  <si>
    <t xml:space="preserve">23 Sep 2025</t>
  </si>
  <si>
    <t xml:space="preserve">2025-09-25</t>
  </si>
  <si>
    <t xml:space="preserve">ORD-2024-10155</t>
  </si>
  <si>
    <t xml:space="preserve">12 Feb 2024</t>
  </si>
  <si>
    <t xml:space="preserve">02/11/2024</t>
  </si>
  <si>
    <t xml:space="preserve">ORD-2025-10156</t>
  </si>
  <si>
    <t xml:space="preserve">CUST-8327</t>
  </si>
  <si>
    <t xml:space="preserve">ORD-2025-10157</t>
  </si>
  <si>
    <t xml:space="preserve">CUST-4058</t>
  </si>
  <si>
    <t xml:space="preserve">27-03-2025</t>
  </si>
  <si>
    <t xml:space="preserve">27 Mar 2025</t>
  </si>
  <si>
    <t xml:space="preserve">ORD-2024-10158</t>
  </si>
  <si>
    <t xml:space="preserve">CUST-1142</t>
  </si>
  <si>
    <t xml:space="preserve">10/22/2024</t>
  </si>
  <si>
    <t xml:space="preserve">24-10-2024</t>
  </si>
  <si>
    <t xml:space="preserve">ORD-2024-10159</t>
  </si>
  <si>
    <t xml:space="preserve">CUST-2324</t>
  </si>
  <si>
    <t xml:space="preserve">2024-09-09</t>
  </si>
  <si>
    <t xml:space="preserve">09/11/2024</t>
  </si>
  <si>
    <t xml:space="preserve">ORD-2025-10160</t>
  </si>
  <si>
    <t xml:space="preserve">CUST-7717</t>
  </si>
  <si>
    <t xml:space="preserve">2025-01-30</t>
  </si>
  <si>
    <t xml:space="preserve">04-02-2025</t>
  </si>
  <si>
    <t xml:space="preserve">ORD-2025-10161</t>
  </si>
  <si>
    <t xml:space="preserve">CUST-4932</t>
  </si>
  <si>
    <t xml:space="preserve">08-10-2025</t>
  </si>
  <si>
    <t xml:space="preserve">10/06/2025</t>
  </si>
  <si>
    <t xml:space="preserve">ORD-2025-10162</t>
  </si>
  <si>
    <t xml:space="preserve">CUST-2367</t>
  </si>
  <si>
    <t xml:space="preserve">2025-07-24</t>
  </si>
  <si>
    <t xml:space="preserve">30-07-2025</t>
  </si>
  <si>
    <t xml:space="preserve">consumer</t>
  </si>
  <si>
    <t xml:space="preserve">ORD-2024-10163</t>
  </si>
  <si>
    <t xml:space="preserve">CUST-4830</t>
  </si>
  <si>
    <t xml:space="preserve">2024-03-09</t>
  </si>
  <si>
    <t xml:space="preserve">14 Mar 2024</t>
  </si>
  <si>
    <t xml:space="preserve">ORD-2025-10164</t>
  </si>
  <si>
    <t xml:space="preserve">CUST-2548</t>
  </si>
  <si>
    <t xml:space="preserve">09/21/2025</t>
  </si>
  <si>
    <t xml:space="preserve">ORD-2025-10165</t>
  </si>
  <si>
    <t xml:space="preserve">CUST-3833</t>
  </si>
  <si>
    <t xml:space="preserve">09 Sep 2025</t>
  </si>
  <si>
    <t xml:space="preserve">09/14/2025</t>
  </si>
  <si>
    <t xml:space="preserve">ORD-2024-10166</t>
  </si>
  <si>
    <t xml:space="preserve">CUST-4598</t>
  </si>
  <si>
    <t xml:space="preserve">11/22/2024</t>
  </si>
  <si>
    <t xml:space="preserve">29-11-2024</t>
  </si>
  <si>
    <t xml:space="preserve">ORD-2025-10167</t>
  </si>
  <si>
    <t xml:space="preserve">CUST-7215</t>
  </si>
  <si>
    <t xml:space="preserve">20-02-2025</t>
  </si>
  <si>
    <t xml:space="preserve">OFFICE SUPPLIES</t>
  </si>
  <si>
    <t xml:space="preserve">ORD-2025-10168</t>
  </si>
  <si>
    <t xml:space="preserve">CUST-7770</t>
  </si>
  <si>
    <t xml:space="preserve">2025-08-18</t>
  </si>
  <si>
    <t xml:space="preserve">08/18/2025</t>
  </si>
  <si>
    <t xml:space="preserve">ORD-2025-10169</t>
  </si>
  <si>
    <t xml:space="preserve">CUST-9756</t>
  </si>
  <si>
    <t xml:space="preserve">01/20/2025</t>
  </si>
  <si>
    <t xml:space="preserve">ORD-2025-10170</t>
  </si>
  <si>
    <t xml:space="preserve">CUST-2261</t>
  </si>
  <si>
    <t xml:space="preserve">2025-09-13</t>
  </si>
  <si>
    <t xml:space="preserve">09/13/2025</t>
  </si>
  <si>
    <t xml:space="preserve">ORD-2025-10171</t>
  </si>
  <si>
    <t xml:space="preserve">CUST-3734</t>
  </si>
  <si>
    <t xml:space="preserve">09/15/2025</t>
  </si>
  <si>
    <t xml:space="preserve">ORD-2025-10172</t>
  </si>
  <si>
    <t xml:space="preserve">CUST-3436</t>
  </si>
  <si>
    <t xml:space="preserve">02/25/2025</t>
  </si>
  <si>
    <t xml:space="preserve">ORD-2025-10173</t>
  </si>
  <si>
    <t xml:space="preserve">CUST-4845</t>
  </si>
  <si>
    <t xml:space="preserve">02-08-2025</t>
  </si>
  <si>
    <t xml:space="preserve">10-08-2025</t>
  </si>
  <si>
    <t xml:space="preserve">ORD-2024-10174</t>
  </si>
  <si>
    <t xml:space="preserve">CUST-6153</t>
  </si>
  <si>
    <t xml:space="preserve">02-05-2024</t>
  </si>
  <si>
    <t xml:space="preserve">08 May 2024</t>
  </si>
  <si>
    <t xml:space="preserve">PRIYA MENON</t>
  </si>
  <si>
    <t xml:space="preserve">ORD-2025-10175</t>
  </si>
  <si>
    <t xml:space="preserve">CUST-5475</t>
  </si>
  <si>
    <t xml:space="preserve">28 Sep 2025</t>
  </si>
  <si>
    <t xml:space="preserve">04-10-2025</t>
  </si>
  <si>
    <t xml:space="preserve">ORD-2024-10176</t>
  </si>
  <si>
    <t xml:space="preserve">CUST-5580</t>
  </si>
  <si>
    <t xml:space="preserve">2024-02-03</t>
  </si>
  <si>
    <t xml:space="preserve">ORD-2025-10177</t>
  </si>
  <si>
    <t xml:space="preserve">CUST-3027</t>
  </si>
  <si>
    <t xml:space="preserve">18-03-2025</t>
  </si>
  <si>
    <t xml:space="preserve">03/26/2025</t>
  </si>
  <si>
    <t xml:space="preserve">ORD-2024-10178</t>
  </si>
  <si>
    <t xml:space="preserve">CUST-4399</t>
  </si>
  <si>
    <t xml:space="preserve">01-06-2024</t>
  </si>
  <si>
    <t xml:space="preserve">06/03/2024</t>
  </si>
  <si>
    <t xml:space="preserve">ORD-2024-10179</t>
  </si>
  <si>
    <t xml:space="preserve">CUST-3092</t>
  </si>
  <si>
    <t xml:space="preserve">30-09-2024</t>
  </si>
  <si>
    <t xml:space="preserve">2024-09-30</t>
  </si>
  <si>
    <t xml:space="preserve">ORD-2024-10180</t>
  </si>
  <si>
    <t xml:space="preserve">CUST-1778</t>
  </si>
  <si>
    <t xml:space="preserve">2024-03-15</t>
  </si>
  <si>
    <t xml:space="preserve">03/19/2024</t>
  </si>
  <si>
    <t xml:space="preserve">ORD-2024-10181</t>
  </si>
  <si>
    <t xml:space="preserve">CUST-3787</t>
  </si>
  <si>
    <t xml:space="preserve">2024-08-26</t>
  </si>
  <si>
    <t xml:space="preserve">26-08-2024</t>
  </si>
  <si>
    <t xml:space="preserve">ORD-2025-10182</t>
  </si>
  <si>
    <t xml:space="preserve">CUST-5119</t>
  </si>
  <si>
    <t xml:space="preserve">09/09/2025</t>
  </si>
  <si>
    <t xml:space="preserve">10-09-2025</t>
  </si>
  <si>
    <t xml:space="preserve">ORD-2024-10183</t>
  </si>
  <si>
    <t xml:space="preserve">CUST-4121</t>
  </si>
  <si>
    <t xml:space="preserve">ORD-2025-10184</t>
  </si>
  <si>
    <t xml:space="preserve">CUST-3366</t>
  </si>
  <si>
    <t xml:space="preserve">2025-06-24</t>
  </si>
  <si>
    <t xml:space="preserve">27-06-2025</t>
  </si>
  <si>
    <t xml:space="preserve">ORD-2024-10185</t>
  </si>
  <si>
    <t xml:space="preserve">CUST-1358</t>
  </si>
  <si>
    <t xml:space="preserve">2024-04-02</t>
  </si>
  <si>
    <t xml:space="preserve">ORD-2024-10186</t>
  </si>
  <si>
    <t xml:space="preserve">CUST-4968</t>
  </si>
  <si>
    <t xml:space="preserve">2024-11-13</t>
  </si>
  <si>
    <t xml:space="preserve">ORD-2024-10187</t>
  </si>
  <si>
    <t xml:space="preserve">20 Jul 2024</t>
  </si>
  <si>
    <t xml:space="preserve">ORD-2025-10188</t>
  </si>
  <si>
    <t xml:space="preserve">CUST-3109</t>
  </si>
  <si>
    <t xml:space="preserve">2025-05-01</t>
  </si>
  <si>
    <t xml:space="preserve">02 May 2025</t>
  </si>
  <si>
    <t xml:space="preserve">ORD-2025-10189</t>
  </si>
  <si>
    <t xml:space="preserve">CUST-3422</t>
  </si>
  <si>
    <t xml:space="preserve">2025-05-21</t>
  </si>
  <si>
    <t xml:space="preserve">28 May 2025</t>
  </si>
  <si>
    <t xml:space="preserve">ORD-2025-10190</t>
  </si>
  <si>
    <t xml:space="preserve">CUST-3375</t>
  </si>
  <si>
    <t xml:space="preserve">2025-05-06</t>
  </si>
  <si>
    <t xml:space="preserve">07 May 2025</t>
  </si>
  <si>
    <t xml:space="preserve">completed</t>
  </si>
  <si>
    <t xml:space="preserve">ORD-2025-10191</t>
  </si>
  <si>
    <t xml:space="preserve">CUST-5138</t>
  </si>
  <si>
    <t xml:space="preserve">20-04-2025</t>
  </si>
  <si>
    <t xml:space="preserve">04/21/2025</t>
  </si>
  <si>
    <t xml:space="preserve">  Completed </t>
  </si>
  <si>
    <t xml:space="preserve">ORD-2024-10192</t>
  </si>
  <si>
    <t xml:space="preserve">CUST-7410</t>
  </si>
  <si>
    <t xml:space="preserve">19-10-2024</t>
  </si>
  <si>
    <t xml:space="preserve">ORD-2024-10193</t>
  </si>
  <si>
    <t xml:space="preserve">CUST-7115</t>
  </si>
  <si>
    <t xml:space="preserve">2024-12-09</t>
  </si>
  <si>
    <t xml:space="preserve">12/16/2024</t>
  </si>
  <si>
    <t xml:space="preserve">ORD-2024-10194</t>
  </si>
  <si>
    <t xml:space="preserve">CUST-9853</t>
  </si>
  <si>
    <t xml:space="preserve">2024-06-23</t>
  </si>
  <si>
    <t xml:space="preserve">28-06-2024</t>
  </si>
  <si>
    <t xml:space="preserve">ORD-2025-10195</t>
  </si>
  <si>
    <t xml:space="preserve">CUST-3637</t>
  </si>
  <si>
    <t xml:space="preserve">2025-01-28</t>
  </si>
  <si>
    <t xml:space="preserve">01/31/2025</t>
  </si>
  <si>
    <t xml:space="preserve">WEST</t>
  </si>
  <si>
    <t xml:space="preserve">ORD-2025-10196</t>
  </si>
  <si>
    <t xml:space="preserve">CUST-4328</t>
  </si>
  <si>
    <t xml:space="preserve">22 Jul 2025</t>
  </si>
  <si>
    <t xml:space="preserve">07/24/2025</t>
  </si>
  <si>
    <t xml:space="preserve">ORD-2024-10197</t>
  </si>
  <si>
    <t xml:space="preserve">CUST-8028</t>
  </si>
  <si>
    <t xml:space="preserve">22-01-2024</t>
  </si>
  <si>
    <t xml:space="preserve">25 Jan 2024</t>
  </si>
  <si>
    <t xml:space="preserve">ORD-2025-10198</t>
  </si>
  <si>
    <t xml:space="preserve">07-04-2025</t>
  </si>
  <si>
    <t xml:space="preserve">ORD-2024-10199</t>
  </si>
  <si>
    <t xml:space="preserve">CUST-7820</t>
  </si>
  <si>
    <t xml:space="preserve">05-06-2024</t>
  </si>
  <si>
    <t xml:space="preserve">06/06/2024</t>
  </si>
  <si>
    <t xml:space="preserve">ORD-2024-10200</t>
  </si>
  <si>
    <t xml:space="preserve">CUST-4536</t>
  </si>
  <si>
    <t xml:space="preserve">12-03-2024</t>
  </si>
  <si>
    <t xml:space="preserve">ORD-2025-10201</t>
  </si>
  <si>
    <t xml:space="preserve">CUST-7047</t>
  </si>
  <si>
    <t xml:space="preserve">05 Jul 2025</t>
  </si>
  <si>
    <t xml:space="preserve">ORD-2025-10202</t>
  </si>
  <si>
    <t xml:space="preserve">CUST-8005</t>
  </si>
  <si>
    <t xml:space="preserve">26-07-2025</t>
  </si>
  <si>
    <t xml:space="preserve">08/03/2025</t>
  </si>
  <si>
    <t xml:space="preserve">ORD-2025-10203</t>
  </si>
  <si>
    <t xml:space="preserve">CUST-9378</t>
  </si>
  <si>
    <t xml:space="preserve">2025-03-28</t>
  </si>
  <si>
    <t xml:space="preserve">28 Mar 2025</t>
  </si>
  <si>
    <t xml:space="preserve">ORD-2024-10204</t>
  </si>
  <si>
    <t xml:space="preserve">CUST-3384</t>
  </si>
  <si>
    <t xml:space="preserve">28 Mar 2024</t>
  </si>
  <si>
    <t xml:space="preserve">2024-03-30</t>
  </si>
  <si>
    <t xml:space="preserve">ORD-2025-10205</t>
  </si>
  <si>
    <t xml:space="preserve">CUST-1986</t>
  </si>
  <si>
    <t xml:space="preserve">20-07-2025</t>
  </si>
  <si>
    <t xml:space="preserve">2025-07-23</t>
  </si>
  <si>
    <t xml:space="preserve">ORD-2025-10206</t>
  </si>
  <si>
    <t xml:space="preserve">CUST-3338</t>
  </si>
  <si>
    <t xml:space="preserve">21-04-2025</t>
  </si>
  <si>
    <t xml:space="preserve">04/26/2025</t>
  </si>
  <si>
    <t xml:space="preserve">ORD-2025-10207</t>
  </si>
  <si>
    <t xml:space="preserve">CUST-2343</t>
  </si>
  <si>
    <t xml:space="preserve">05/18/2025</t>
  </si>
  <si>
    <t xml:space="preserve">ORD-2024-10208</t>
  </si>
  <si>
    <t xml:space="preserve">CUST-3362</t>
  </si>
  <si>
    <t xml:space="preserve">10 Jul 2024</t>
  </si>
  <si>
    <t xml:space="preserve">2024-07-16</t>
  </si>
  <si>
    <t xml:space="preserve">ORD-2025-10209</t>
  </si>
  <si>
    <t xml:space="preserve">CUST-3662</t>
  </si>
  <si>
    <t xml:space="preserve">06/29/2025</t>
  </si>
  <si>
    <t xml:space="preserve">05-07-2025</t>
  </si>
  <si>
    <t xml:space="preserve">ORD-2025-10210</t>
  </si>
  <si>
    <t xml:space="preserve">CUST-4947</t>
  </si>
  <si>
    <t xml:space="preserve">08/13/2025</t>
  </si>
  <si>
    <t xml:space="preserve">08/14/2025</t>
  </si>
  <si>
    <t xml:space="preserve">ORD-2024-10211</t>
  </si>
  <si>
    <t xml:space="preserve">CUST-3076</t>
  </si>
  <si>
    <t xml:space="preserve">03/15/2024</t>
  </si>
  <si>
    <t xml:space="preserve">18-03-2024</t>
  </si>
  <si>
    <t xml:space="preserve">ORD-2024-10212</t>
  </si>
  <si>
    <t xml:space="preserve">CUST-2222</t>
  </si>
  <si>
    <t xml:space="preserve">05/16/2024</t>
  </si>
  <si>
    <t xml:space="preserve">05/17/2024</t>
  </si>
  <si>
    <t xml:space="preserve">EAST</t>
  </si>
  <si>
    <t xml:space="preserve">ORD-2024-10213</t>
  </si>
  <si>
    <t xml:space="preserve">CUST-3610</t>
  </si>
  <si>
    <t xml:space="preserve">09/21/2024</t>
  </si>
  <si>
    <t xml:space="preserve">2024-09-21</t>
  </si>
  <si>
    <t xml:space="preserve">ORD-2024-10214</t>
  </si>
  <si>
    <t xml:space="preserve">CUST-9136</t>
  </si>
  <si>
    <t xml:space="preserve">15 May 2024</t>
  </si>
  <si>
    <t xml:space="preserve">21-05-2024</t>
  </si>
  <si>
    <t xml:space="preserve">  Second Class </t>
  </si>
  <si>
    <t xml:space="preserve">ORD-2024-10215</t>
  </si>
  <si>
    <t xml:space="preserve">CUST-1301</t>
  </si>
  <si>
    <t xml:space="preserve">17 Mar 2024</t>
  </si>
  <si>
    <t xml:space="preserve">23-03-2024</t>
  </si>
  <si>
    <t xml:space="preserve">  First Class </t>
  </si>
  <si>
    <t xml:space="preserve">ORD-2024-10216</t>
  </si>
  <si>
    <t xml:space="preserve">CUST-8603</t>
  </si>
  <si>
    <t xml:space="preserve">01-03-2024</t>
  </si>
  <si>
    <t xml:space="preserve">ORD-2025-10217</t>
  </si>
  <si>
    <t xml:space="preserve">CUST-4330</t>
  </si>
  <si>
    <t xml:space="preserve">15 Apr 2025</t>
  </si>
  <si>
    <t xml:space="preserve">ORD-2025-10218</t>
  </si>
  <si>
    <t xml:space="preserve">CUST-4533</t>
  </si>
  <si>
    <t xml:space="preserve">01-04-2025</t>
  </si>
  <si>
    <t xml:space="preserve">04/08/2025</t>
  </si>
  <si>
    <t xml:space="preserve">ORD-2025-10219</t>
  </si>
  <si>
    <t xml:space="preserve">CUST-8270</t>
  </si>
  <si>
    <t xml:space="preserve">26 Feb 2025</t>
  </si>
  <si>
    <t xml:space="preserve">27-02-2025</t>
  </si>
  <si>
    <t xml:space="preserve">ORD-2024-10220</t>
  </si>
  <si>
    <t xml:space="preserve">CUST-1472</t>
  </si>
  <si>
    <t xml:space="preserve">06/19/2024</t>
  </si>
  <si>
    <t xml:space="preserve">85%</t>
  </si>
  <si>
    <t xml:space="preserve">ORD-2024-10221</t>
  </si>
  <si>
    <t xml:space="preserve">CUST-1031</t>
  </si>
  <si>
    <t xml:space="preserve">09/03/2024</t>
  </si>
  <si>
    <t xml:space="preserve">ORD-2025-10222</t>
  </si>
  <si>
    <t xml:space="preserve">CUST-2495</t>
  </si>
  <si>
    <t xml:space="preserve">12-01-2025</t>
  </si>
  <si>
    <t xml:space="preserve">2025-01-15</t>
  </si>
  <si>
    <t xml:space="preserve">ORD-2025-10223</t>
  </si>
  <si>
    <t xml:space="preserve">CUST-4583</t>
  </si>
  <si>
    <t xml:space="preserve">04/29/2025</t>
  </si>
  <si>
    <t xml:space="preserve">ORD-2025-10224</t>
  </si>
  <si>
    <t xml:space="preserve">CUST-5319</t>
  </si>
  <si>
    <t xml:space="preserve">19-02-2025</t>
  </si>
  <si>
    <t xml:space="preserve">02/26/2025</t>
  </si>
  <si>
    <t xml:space="preserve">ORD-2025-10225</t>
  </si>
  <si>
    <t xml:space="preserve">CUST-9871</t>
  </si>
  <si>
    <t xml:space="preserve">10/02/2025</t>
  </si>
  <si>
    <t xml:space="preserve">08 Oct 2025</t>
  </si>
  <si>
    <t xml:space="preserve">ORD-2024-10226</t>
  </si>
  <si>
    <t xml:space="preserve">CUST-1266</t>
  </si>
  <si>
    <t xml:space="preserve">02 Sep 2024</t>
  </si>
  <si>
    <t xml:space="preserve">2024-09-10</t>
  </si>
  <si>
    <t xml:space="preserve">ORD-2025-10227</t>
  </si>
  <si>
    <t xml:space="preserve">CUST-2545</t>
  </si>
  <si>
    <t xml:space="preserve">10-04-2025</t>
  </si>
  <si>
    <t xml:space="preserve">ORD-2024-10228</t>
  </si>
  <si>
    <t xml:space="preserve">CUST-2819</t>
  </si>
  <si>
    <t xml:space="preserve">2024-07-05</t>
  </si>
  <si>
    <t xml:space="preserve">12 Jul 2024</t>
  </si>
  <si>
    <t xml:space="preserve">SMALL BUSINESS</t>
  </si>
  <si>
    <t xml:space="preserve">ORD-2024-10229</t>
  </si>
  <si>
    <t xml:space="preserve">CUST-1076</t>
  </si>
  <si>
    <t xml:space="preserve">24-04-2024</t>
  </si>
  <si>
    <t xml:space="preserve">28 Apr 2024</t>
  </si>
  <si>
    <t xml:space="preserve">ORD-2025-10230</t>
  </si>
  <si>
    <t xml:space="preserve">CUST-1943</t>
  </si>
  <si>
    <t xml:space="preserve">2025-06-28</t>
  </si>
  <si>
    <t xml:space="preserve">07/04/2025</t>
  </si>
  <si>
    <t xml:space="preserve">ORD-2024-10231</t>
  </si>
  <si>
    <t xml:space="preserve">CUST-3434</t>
  </si>
  <si>
    <t xml:space="preserve">03-06-2024</t>
  </si>
  <si>
    <t xml:space="preserve">ORD-2024-10232</t>
  </si>
  <si>
    <t xml:space="preserve">CUST-9139</t>
  </si>
  <si>
    <t xml:space="preserve">2024-05-02</t>
  </si>
  <si>
    <t xml:space="preserve">05/02/2024</t>
  </si>
  <si>
    <t xml:space="preserve">Office  Supplies</t>
  </si>
  <si>
    <t xml:space="preserve">ORD-2025-10233</t>
  </si>
  <si>
    <t xml:space="preserve">CUST-5341</t>
  </si>
  <si>
    <t xml:space="preserve">2025-06-04</t>
  </si>
  <si>
    <t xml:space="preserve">2025-06-10</t>
  </si>
  <si>
    <t xml:space="preserve">ORD-2024-10234</t>
  </si>
  <si>
    <t xml:space="preserve">CUST-3710</t>
  </si>
  <si>
    <t xml:space="preserve">14-10-2024</t>
  </si>
  <si>
    <t xml:space="preserve">10/14/2024</t>
  </si>
  <si>
    <t xml:space="preserve">ORD-2024-10235</t>
  </si>
  <si>
    <t xml:space="preserve">CUST-9754</t>
  </si>
  <si>
    <t xml:space="preserve">09/02/2024</t>
  </si>
  <si>
    <t xml:space="preserve">03 Sep 2024</t>
  </si>
  <si>
    <t xml:space="preserve">ORD-2024-10236</t>
  </si>
  <si>
    <t xml:space="preserve">CUST-6256</t>
  </si>
  <si>
    <t xml:space="preserve">11/02/2024</t>
  </si>
  <si>
    <t xml:space="preserve">11/03/2024</t>
  </si>
  <si>
    <t xml:space="preserve">ORD-2024-10237</t>
  </si>
  <si>
    <t xml:space="preserve">CUST-7113</t>
  </si>
  <si>
    <t xml:space="preserve">21 Oct 2024</t>
  </si>
  <si>
    <t xml:space="preserve">ORD-2024-10238</t>
  </si>
  <si>
    <t xml:space="preserve">CUST-3827</t>
  </si>
  <si>
    <t xml:space="preserve">2024-08-27</t>
  </si>
  <si>
    <t xml:space="preserve">ORD-2024-10239</t>
  </si>
  <si>
    <t xml:space="preserve">CUST-2375</t>
  </si>
  <si>
    <t xml:space="preserve">01/12/2024</t>
  </si>
  <si>
    <t xml:space="preserve">01/17/2024</t>
  </si>
  <si>
    <t xml:space="preserve">ORD-2024-10240</t>
  </si>
  <si>
    <t xml:space="preserve">CUST-2233</t>
  </si>
  <si>
    <t xml:space="preserve">21-09-2024</t>
  </si>
  <si>
    <t xml:space="preserve">ORD-2024-10241</t>
  </si>
  <si>
    <t xml:space="preserve">CUST-9778</t>
  </si>
  <si>
    <t xml:space="preserve">17 Dec 2024</t>
  </si>
  <si>
    <t xml:space="preserve">ORD-2025-10242</t>
  </si>
  <si>
    <t xml:space="preserve">CUST-6949</t>
  </si>
  <si>
    <t xml:space="preserve">07/06/2025</t>
  </si>
  <si>
    <t xml:space="preserve">06-07-2025</t>
  </si>
  <si>
    <t xml:space="preserve">ORD-2025-10243</t>
  </si>
  <si>
    <t xml:space="preserve">CUST-3430</t>
  </si>
  <si>
    <t xml:space="preserve">07 Feb 2025</t>
  </si>
  <si>
    <t xml:space="preserve">2025-02-07</t>
  </si>
  <si>
    <t xml:space="preserve">ORD-2025-10244</t>
  </si>
  <si>
    <t xml:space="preserve">CUST-6310</t>
  </si>
  <si>
    <t xml:space="preserve">02 Aug 2025</t>
  </si>
  <si>
    <t xml:space="preserve">ORD-2024-10245</t>
  </si>
  <si>
    <t xml:space="preserve">CUST-6008</t>
  </si>
  <si>
    <t xml:space="preserve">2024-08-24</t>
  </si>
  <si>
    <t xml:space="preserve">ORD-2024-10246</t>
  </si>
  <si>
    <t xml:space="preserve">CUST-1704</t>
  </si>
  <si>
    <t xml:space="preserve">FURNITURE</t>
  </si>
  <si>
    <t xml:space="preserve">ORD-2024-10247</t>
  </si>
  <si>
    <t xml:space="preserve">CUST-1827</t>
  </si>
  <si>
    <t xml:space="preserve">04 May 2024</t>
  </si>
  <si>
    <t xml:space="preserve">09 May 2024</t>
  </si>
  <si>
    <t xml:space="preserve">ORD-2024-10248</t>
  </si>
  <si>
    <t xml:space="preserve">CUST-6663</t>
  </si>
  <si>
    <t xml:space="preserve">07/25/2024</t>
  </si>
  <si>
    <t xml:space="preserve">01 Aug 2024</t>
  </si>
  <si>
    <t xml:space="preserve">ORD-2024-10249</t>
  </si>
  <si>
    <t xml:space="preserve">CUST-6278</t>
  </si>
  <si>
    <t xml:space="preserve">06/02/2024</t>
  </si>
  <si>
    <t xml:space="preserve">ORD-2025-10250</t>
  </si>
  <si>
    <t xml:space="preserve">CUST-2305</t>
  </si>
  <si>
    <t xml:space="preserve">08/02/2025</t>
  </si>
  <si>
    <t xml:space="preserve">ORD-2024-10251</t>
  </si>
  <si>
    <t xml:space="preserve">CUST-5351</t>
  </si>
  <si>
    <t xml:space="preserve">02/21/2024</t>
  </si>
  <si>
    <t xml:space="preserve">02/27/2024</t>
  </si>
  <si>
    <t xml:space="preserve">ORD-2025-10252</t>
  </si>
  <si>
    <t xml:space="preserve">CUST-6268</t>
  </si>
  <si>
    <t xml:space="preserve">2025-04-06</t>
  </si>
  <si>
    <t xml:space="preserve">ORD-2025-10253</t>
  </si>
  <si>
    <t xml:space="preserve">CUST-2103</t>
  </si>
  <si>
    <t xml:space="preserve">25-06-2025</t>
  </si>
  <si>
    <t xml:space="preserve">ORD-2024-10254</t>
  </si>
  <si>
    <t xml:space="preserve">CUST-5394</t>
  </si>
  <si>
    <t xml:space="preserve">2024-09-12</t>
  </si>
  <si>
    <t xml:space="preserve">09/13/2024</t>
  </si>
  <si>
    <t xml:space="preserve">ORD-2025-10255</t>
  </si>
  <si>
    <t xml:space="preserve">CUST-6853</t>
  </si>
  <si>
    <t xml:space="preserve">01/01/2025</t>
  </si>
  <si>
    <t xml:space="preserve">03-01-2025</t>
  </si>
  <si>
    <t xml:space="preserve">ORD-2025-10256</t>
  </si>
  <si>
    <t xml:space="preserve">CUST-1549</t>
  </si>
  <si>
    <t xml:space="preserve">2025-02-04</t>
  </si>
  <si>
    <t xml:space="preserve">02/10/2025</t>
  </si>
  <si>
    <t xml:space="preserve">ORD-2024-10257</t>
  </si>
  <si>
    <t xml:space="preserve">CUST-8411</t>
  </si>
  <si>
    <t xml:space="preserve">2024-11-05</t>
  </si>
  <si>
    <t xml:space="preserve">ORD-2025-10258</t>
  </si>
  <si>
    <t xml:space="preserve">CUST-5615</t>
  </si>
  <si>
    <t xml:space="preserve">2025-08-09</t>
  </si>
  <si>
    <t xml:space="preserve">2025-08-12</t>
  </si>
  <si>
    <t xml:space="preserve">ORD-2024-10259</t>
  </si>
  <si>
    <t xml:space="preserve">CUST-8467</t>
  </si>
  <si>
    <t xml:space="preserve">2025-01-04</t>
  </si>
  <si>
    <t xml:space="preserve">ORD-2024-10260</t>
  </si>
  <si>
    <t xml:space="preserve">CUST-5174</t>
  </si>
  <si>
    <t xml:space="preserve">06/21/2024</t>
  </si>
  <si>
    <t xml:space="preserve">29 Jun 2024</t>
  </si>
  <si>
    <t xml:space="preserve">ORD-2025-10261</t>
  </si>
  <si>
    <t xml:space="preserve">CUST-3543</t>
  </si>
  <si>
    <t xml:space="preserve">2025-09-23</t>
  </si>
  <si>
    <t xml:space="preserve">09/27/2025</t>
  </si>
  <si>
    <t xml:space="preserve">ORD-2025-10262</t>
  </si>
  <si>
    <t xml:space="preserve">CUST-7623</t>
  </si>
  <si>
    <t xml:space="preserve">06/18/2025</t>
  </si>
  <si>
    <t xml:space="preserve">06/24/2025</t>
  </si>
  <si>
    <t xml:space="preserve">ORD-2025-10263</t>
  </si>
  <si>
    <t xml:space="preserve">2025-05-26</t>
  </si>
  <si>
    <t xml:space="preserve">01 Jun 2025</t>
  </si>
  <si>
    <t xml:space="preserve">ORD-2025-10264</t>
  </si>
  <si>
    <t xml:space="preserve">CUST-8265</t>
  </si>
  <si>
    <t xml:space="preserve">06 Aug 2025</t>
  </si>
  <si>
    <t xml:space="preserve">ORD-2024-10265</t>
  </si>
  <si>
    <t xml:space="preserve">CUST-4750</t>
  </si>
  <si>
    <t xml:space="preserve">16-05-2024</t>
  </si>
  <si>
    <t xml:space="preserve">05/21/2024</t>
  </si>
  <si>
    <t xml:space="preserve">ORD-2024-10266</t>
  </si>
  <si>
    <t xml:space="preserve">CUST-3974</t>
  </si>
  <si>
    <t xml:space="preserve">14 Nov 2024</t>
  </si>
  <si>
    <t xml:space="preserve">  Cancelled </t>
  </si>
  <si>
    <t xml:space="preserve">ORD-2025-10267</t>
  </si>
  <si>
    <t xml:space="preserve">CUST-7114</t>
  </si>
  <si>
    <t xml:space="preserve">2025-05-03</t>
  </si>
  <si>
    <t xml:space="preserve">2025-05-10</t>
  </si>
  <si>
    <t xml:space="preserve">ORD-2025-10268</t>
  </si>
  <si>
    <t xml:space="preserve">CUST-4431</t>
  </si>
  <si>
    <t xml:space="preserve">04-06-2025</t>
  </si>
  <si>
    <t xml:space="preserve">ORD-2025-10269</t>
  </si>
  <si>
    <t xml:space="preserve">CUST-1488</t>
  </si>
  <si>
    <t xml:space="preserve">08/17/2025</t>
  </si>
  <si>
    <t xml:space="preserve">ORD-2025-10270</t>
  </si>
  <si>
    <t xml:space="preserve">CUST-1586</t>
  </si>
  <si>
    <t xml:space="preserve">02/12/2025</t>
  </si>
  <si>
    <t xml:space="preserve">ORD-2024-10271</t>
  </si>
  <si>
    <t xml:space="preserve">CUST-2487</t>
  </si>
  <si>
    <t xml:space="preserve">ORD-2024-10272</t>
  </si>
  <si>
    <t xml:space="preserve">CUST-8009</t>
  </si>
  <si>
    <t xml:space="preserve">21 Dec 2024</t>
  </si>
  <si>
    <t xml:space="preserve">25 Dec 2024</t>
  </si>
  <si>
    <t xml:space="preserve">ORD-2024-10273</t>
  </si>
  <si>
    <t xml:space="preserve">CUST-7389</t>
  </si>
  <si>
    <t xml:space="preserve">08/18/2024</t>
  </si>
  <si>
    <t xml:space="preserve">24 Aug 2024</t>
  </si>
  <si>
    <t xml:space="preserve">ORD-2025-10274</t>
  </si>
  <si>
    <t xml:space="preserve">CUST-8249</t>
  </si>
  <si>
    <t xml:space="preserve">02/13/2025</t>
  </si>
  <si>
    <t xml:space="preserve">13 Feb 2025</t>
  </si>
  <si>
    <t xml:space="preserve">ORD-2024-10275</t>
  </si>
  <si>
    <t xml:space="preserve">CUST-4202</t>
  </si>
  <si>
    <t xml:space="preserve">07-04-2024</t>
  </si>
  <si>
    <t xml:space="preserve">14-04-2024</t>
  </si>
  <si>
    <t xml:space="preserve">ORD-2024-10276</t>
  </si>
  <si>
    <t xml:space="preserve">CUST-2875</t>
  </si>
  <si>
    <t xml:space="preserve">02/22/2024</t>
  </si>
  <si>
    <t xml:space="preserve">ORD-2024-10277</t>
  </si>
  <si>
    <t xml:space="preserve">CUST-7039</t>
  </si>
  <si>
    <t xml:space="preserve">23-01-2024</t>
  </si>
  <si>
    <t xml:space="preserve">ORD-2025-10278</t>
  </si>
  <si>
    <t xml:space="preserve">04 Jun 2025</t>
  </si>
  <si>
    <t xml:space="preserve">ORD-2025-10279</t>
  </si>
  <si>
    <t xml:space="preserve">CUST-8242</t>
  </si>
  <si>
    <t xml:space="preserve">2025-03-14</t>
  </si>
  <si>
    <t xml:space="preserve">Priya Menon </t>
  </si>
  <si>
    <t xml:space="preserve">ORD-2024-10280</t>
  </si>
  <si>
    <t xml:space="preserve">CUST-4571</t>
  </si>
  <si>
    <t xml:space="preserve">04/09/2024</t>
  </si>
  <si>
    <t xml:space="preserve">10 Apr 2024</t>
  </si>
  <si>
    <t xml:space="preserve">ORD-2024-10281</t>
  </si>
  <si>
    <t xml:space="preserve">CUST-4098</t>
  </si>
  <si>
    <t xml:space="preserve">12/23/2024</t>
  </si>
  <si>
    <t xml:space="preserve">26-12-2024</t>
  </si>
  <si>
    <t xml:space="preserve">ORD-2025-10282</t>
  </si>
  <si>
    <t xml:space="preserve">CUST-2052</t>
  </si>
  <si>
    <t xml:space="preserve">25-07-2025</t>
  </si>
  <si>
    <t xml:space="preserve">07/27/2025</t>
  </si>
  <si>
    <t xml:space="preserve">ORD-2024-10283</t>
  </si>
  <si>
    <t xml:space="preserve">CUST-9445</t>
  </si>
  <si>
    <t xml:space="preserve">2024-10-01</t>
  </si>
  <si>
    <t xml:space="preserve">10/02/2024</t>
  </si>
  <si>
    <t xml:space="preserve">ORD-2025-10284</t>
  </si>
  <si>
    <t xml:space="preserve">CUST-6568</t>
  </si>
  <si>
    <t xml:space="preserve">03/13/2025</t>
  </si>
  <si>
    <t xml:space="preserve">20-03-2025</t>
  </si>
  <si>
    <t xml:space="preserve">ORD-2024-10285</t>
  </si>
  <si>
    <t xml:space="preserve">CUST-2076</t>
  </si>
  <si>
    <t xml:space="preserve">12/08/2024</t>
  </si>
  <si>
    <t xml:space="preserve">12/14/2024</t>
  </si>
  <si>
    <t xml:space="preserve">ORD-2025-10286</t>
  </si>
  <si>
    <t xml:space="preserve">CUST-5610</t>
  </si>
  <si>
    <t xml:space="preserve">2025-08-15</t>
  </si>
  <si>
    <t xml:space="preserve">2025-08-20</t>
  </si>
  <si>
    <t xml:space="preserve">ORD-2024-10287</t>
  </si>
  <si>
    <t xml:space="preserve">CUST-5823</t>
  </si>
  <si>
    <t xml:space="preserve">28-02-2024</t>
  </si>
  <si>
    <t xml:space="preserve">03/02/2024</t>
  </si>
  <si>
    <t xml:space="preserve">ORD-2024-10288</t>
  </si>
  <si>
    <t xml:space="preserve">CUST-7095</t>
  </si>
  <si>
    <t xml:space="preserve">09/05/2024</t>
  </si>
  <si>
    <t xml:space="preserve">07-09-2024</t>
  </si>
  <si>
    <t xml:space="preserve">ORD-2024-10289</t>
  </si>
  <si>
    <t xml:space="preserve">CUST-4805</t>
  </si>
  <si>
    <t xml:space="preserve">2024-06-24</t>
  </si>
  <si>
    <t xml:space="preserve">ORD-2025-10290</t>
  </si>
  <si>
    <t xml:space="preserve">CUST-9114</t>
  </si>
  <si>
    <t xml:space="preserve">ORD-2025-10291</t>
  </si>
  <si>
    <t xml:space="preserve">CUST-8557</t>
  </si>
  <si>
    <t xml:space="preserve">22 Aug 2025</t>
  </si>
  <si>
    <t xml:space="preserve">2025-08-26</t>
  </si>
  <si>
    <t xml:space="preserve">ORD-2024-10292</t>
  </si>
  <si>
    <t xml:space="preserve">CUST-2860</t>
  </si>
  <si>
    <t xml:space="preserve">04/05/2024</t>
  </si>
  <si>
    <t xml:space="preserve">2024-04-10</t>
  </si>
  <si>
    <t xml:space="preserve">ORD-2025-10293</t>
  </si>
  <si>
    <t xml:space="preserve">CUST-7837</t>
  </si>
  <si>
    <t xml:space="preserve">28 Feb 2025</t>
  </si>
  <si>
    <t xml:space="preserve">03-03-2025</t>
  </si>
  <si>
    <t xml:space="preserve">ORD-2024-10294</t>
  </si>
  <si>
    <t xml:space="preserve">CUST-7010</t>
  </si>
  <si>
    <t xml:space="preserve">03/07/2024</t>
  </si>
  <si>
    <t xml:space="preserve">11-03-2024</t>
  </si>
  <si>
    <t xml:space="preserve">ORD-2025-10295</t>
  </si>
  <si>
    <t xml:space="preserve">CUST-4755</t>
  </si>
  <si>
    <t xml:space="preserve">16 Jul 2025</t>
  </si>
  <si>
    <t xml:space="preserve">07/22/2025</t>
  </si>
  <si>
    <t xml:space="preserve">ORD-2025-10296</t>
  </si>
  <si>
    <t xml:space="preserve">CUST-6778</t>
  </si>
  <si>
    <t xml:space="preserve">25 Jun 2025</t>
  </si>
  <si>
    <t xml:space="preserve">28 Jun 2025</t>
  </si>
  <si>
    <t xml:space="preserve">ORD-2025-10297</t>
  </si>
  <si>
    <t xml:space="preserve">CUST-7629</t>
  </si>
  <si>
    <t xml:space="preserve">24 May 2025</t>
  </si>
  <si>
    <t xml:space="preserve">05/26/2025</t>
  </si>
  <si>
    <t xml:space="preserve">ORD-2024-10298</t>
  </si>
  <si>
    <t xml:space="preserve">CUST-6724</t>
  </si>
  <si>
    <t xml:space="preserve">2024-10-29</t>
  </si>
  <si>
    <t xml:space="preserve">06-11-2024</t>
  </si>
  <si>
    <t xml:space="preserve">ORD-2025-10299</t>
  </si>
  <si>
    <t xml:space="preserve">CUST-2141</t>
  </si>
  <si>
    <t xml:space="preserve">23-01-2025</t>
  </si>
  <si>
    <t xml:space="preserve">2025-01-26</t>
  </si>
  <si>
    <t xml:space="preserve">ORD-2024-10300</t>
  </si>
  <si>
    <t xml:space="preserve">CUST-7264</t>
  </si>
  <si>
    <t xml:space="preserve">2024-11-12</t>
  </si>
  <si>
    <t xml:space="preserve">ORD-2024-10301</t>
  </si>
  <si>
    <t xml:space="preserve">CUST-2668</t>
  </si>
  <si>
    <t xml:space="preserve">15-04-2024</t>
  </si>
  <si>
    <t xml:space="preserve">04/23/2024</t>
  </si>
  <si>
    <t xml:space="preserve">ORD-2025-10302</t>
  </si>
  <si>
    <t xml:space="preserve">CUST-5599</t>
  </si>
  <si>
    <t xml:space="preserve">01-06-2025</t>
  </si>
  <si>
    <t xml:space="preserve">ORD-2025-10303</t>
  </si>
  <si>
    <t xml:space="preserve">CUST-1623</t>
  </si>
  <si>
    <t xml:space="preserve">2025-06-12</t>
  </si>
  <si>
    <t xml:space="preserve">ORD-2024-10304</t>
  </si>
  <si>
    <t xml:space="preserve">CUST-9035</t>
  </si>
  <si>
    <t xml:space="preserve">23 Jun 2024</t>
  </si>
  <si>
    <t xml:space="preserve">ORD-2024-10305</t>
  </si>
  <si>
    <t xml:space="preserve">CUST-6286</t>
  </si>
  <si>
    <t xml:space="preserve">03/06/2024</t>
  </si>
  <si>
    <t xml:space="preserve">2024-03-13</t>
  </si>
  <si>
    <t xml:space="preserve">ORD-2024-10306</t>
  </si>
  <si>
    <t xml:space="preserve">CUST-7246</t>
  </si>
  <si>
    <t xml:space="preserve">01 May 2024</t>
  </si>
  <si>
    <t xml:space="preserve">ORD-2025-10307</t>
  </si>
  <si>
    <t xml:space="preserve">CUST-2589</t>
  </si>
  <si>
    <t xml:space="preserve">20 Feb 2025</t>
  </si>
  <si>
    <t xml:space="preserve">ORD-2025-10308</t>
  </si>
  <si>
    <t xml:space="preserve">CUST-4153</t>
  </si>
  <si>
    <t xml:space="preserve">2025-07-12</t>
  </si>
  <si>
    <t xml:space="preserve">19 Jul 2025</t>
  </si>
  <si>
    <t xml:space="preserve">PENDING</t>
  </si>
  <si>
    <t xml:space="preserve">ORD-2025-10309</t>
  </si>
  <si>
    <t xml:space="preserve">CUST-6727</t>
  </si>
  <si>
    <t xml:space="preserve">2025-06-13</t>
  </si>
  <si>
    <t xml:space="preserve">2025-06-19</t>
  </si>
  <si>
    <t xml:space="preserve">ORD-2024-10310</t>
  </si>
  <si>
    <t xml:space="preserve">CUST-8860</t>
  </si>
  <si>
    <t xml:space="preserve">07/20/2024</t>
  </si>
  <si>
    <t xml:space="preserve">ORD-2024-10311</t>
  </si>
  <si>
    <t xml:space="preserve">CUST-3784</t>
  </si>
  <si>
    <t xml:space="preserve">04-07-2024</t>
  </si>
  <si>
    <t xml:space="preserve">08-07-2024</t>
  </si>
  <si>
    <t xml:space="preserve">ORD-2024-10312</t>
  </si>
  <si>
    <t xml:space="preserve">CUST-3545</t>
  </si>
  <si>
    <t xml:space="preserve">27-04-2024</t>
  </si>
  <si>
    <t xml:space="preserve">ORD-2024-10313</t>
  </si>
  <si>
    <t xml:space="preserve">CUST-4851</t>
  </si>
  <si>
    <t xml:space="preserve">07/31/2024</t>
  </si>
  <si>
    <t xml:space="preserve">ORD-2025-10314</t>
  </si>
  <si>
    <t xml:space="preserve">CUST-4770</t>
  </si>
  <si>
    <t xml:space="preserve">2025-05-30</t>
  </si>
  <si>
    <t xml:space="preserve">31-05-2025</t>
  </si>
  <si>
    <t xml:space="preserve">ORD-2025-10315</t>
  </si>
  <si>
    <t xml:space="preserve">CUST-1945</t>
  </si>
  <si>
    <t xml:space="preserve">ORD-2024-10316</t>
  </si>
  <si>
    <t xml:space="preserve">CUST-7565</t>
  </si>
  <si>
    <t xml:space="preserve">2024-07-02</t>
  </si>
  <si>
    <t xml:space="preserve">2024-07-08</t>
  </si>
  <si>
    <t xml:space="preserve">ORD-2024-10317</t>
  </si>
  <si>
    <t xml:space="preserve">CUST-9913</t>
  </si>
  <si>
    <t xml:space="preserve">16-02-2024</t>
  </si>
  <si>
    <t xml:space="preserve">02/18/2024</t>
  </si>
  <si>
    <t xml:space="preserve">ORD-2025-10318</t>
  </si>
  <si>
    <t xml:space="preserve">CUST-7992</t>
  </si>
  <si>
    <t xml:space="preserve">29-08-2025</t>
  </si>
  <si>
    <t xml:space="preserve">04 Sep 2025</t>
  </si>
  <si>
    <t xml:space="preserve">ORD-2024-10319</t>
  </si>
  <si>
    <t xml:space="preserve">CUST-8877</t>
  </si>
  <si>
    <t xml:space="preserve">25 Apr 2024</t>
  </si>
  <si>
    <t xml:space="preserve">30-04-2024</t>
  </si>
  <si>
    <t xml:space="preserve">ORD-2024-10320</t>
  </si>
  <si>
    <t xml:space="preserve">CUST-4589</t>
  </si>
  <si>
    <t xml:space="preserve">21 Aug 2024</t>
  </si>
  <si>
    <t xml:space="preserve">08/25/2024</t>
  </si>
  <si>
    <t xml:space="preserve">ORD-2024-10321</t>
  </si>
  <si>
    <t xml:space="preserve">CUST-4667</t>
  </si>
  <si>
    <t xml:space="preserve">12/04/2024</t>
  </si>
  <si>
    <t xml:space="preserve">12/06/2024</t>
  </si>
  <si>
    <t xml:space="preserve">ORD-2024-10322</t>
  </si>
  <si>
    <t xml:space="preserve">CUST-7821</t>
  </si>
  <si>
    <t xml:space="preserve">06/23/2024</t>
  </si>
  <si>
    <t xml:space="preserve">30 Jun 2024</t>
  </si>
  <si>
    <t xml:space="preserve">ORD-2024-10323</t>
  </si>
  <si>
    <t xml:space="preserve">CUST-8579</t>
  </si>
  <si>
    <t xml:space="preserve">12-11-2024</t>
  </si>
  <si>
    <t xml:space="preserve">ORD-2024-10324</t>
  </si>
  <si>
    <t xml:space="preserve">CUST-6909</t>
  </si>
  <si>
    <t xml:space="preserve">25-02-2024</t>
  </si>
  <si>
    <t xml:space="preserve">29 Feb 2024</t>
  </si>
  <si>
    <t xml:space="preserve">ORD-2025-10325</t>
  </si>
  <si>
    <t xml:space="preserve">CUST-7212</t>
  </si>
  <si>
    <t xml:space="preserve">31 Jul 2025</t>
  </si>
  <si>
    <t xml:space="preserve">ORD-2025-10326</t>
  </si>
  <si>
    <t xml:space="preserve">CUST-7980</t>
  </si>
  <si>
    <t xml:space="preserve">09/16/2025</t>
  </si>
  <si>
    <t xml:space="preserve">2025-09-22</t>
  </si>
  <si>
    <t xml:space="preserve">ORD-2025-10327</t>
  </si>
  <si>
    <t xml:space="preserve">CUST-1966</t>
  </si>
  <si>
    <t xml:space="preserve">2025-07-22</t>
  </si>
  <si>
    <t xml:space="preserve">ORD-2024-10328</t>
  </si>
  <si>
    <t xml:space="preserve">CUST-6163</t>
  </si>
  <si>
    <t xml:space="preserve">2024-07-24</t>
  </si>
  <si>
    <t xml:space="preserve">ORD-2025-10329</t>
  </si>
  <si>
    <t xml:space="preserve">CUST-7239</t>
  </si>
  <si>
    <t xml:space="preserve">2025-05-29</t>
  </si>
  <si>
    <t xml:space="preserve">ORD-2025-10330</t>
  </si>
  <si>
    <t xml:space="preserve">CUST-9718</t>
  </si>
  <si>
    <t xml:space="preserve">12 May 2025</t>
  </si>
  <si>
    <t xml:space="preserve">2025-05-18</t>
  </si>
  <si>
    <t xml:space="preserve">ORD-2024-10331</t>
  </si>
  <si>
    <t xml:space="preserve">CUST-1116</t>
  </si>
  <si>
    <t xml:space="preserve">ORD-2024-10332</t>
  </si>
  <si>
    <t xml:space="preserve">CUST-9346</t>
  </si>
  <si>
    <t xml:space="preserve">2024-12-06</t>
  </si>
  <si>
    <t xml:space="preserve">ORD-2025-10333</t>
  </si>
  <si>
    <t xml:space="preserve">CUST-5332</t>
  </si>
  <si>
    <t xml:space="preserve">27 May 2025</t>
  </si>
  <si>
    <t xml:space="preserve">2025-05-28</t>
  </si>
  <si>
    <t xml:space="preserve">machines</t>
  </si>
  <si>
    <t xml:space="preserve">ORD-2025-10334</t>
  </si>
  <si>
    <t xml:space="preserve">CUST-8081</t>
  </si>
  <si>
    <t xml:space="preserve">22 Jun 2025</t>
  </si>
  <si>
    <t xml:space="preserve">2025-06-27</t>
  </si>
  <si>
    <t xml:space="preserve">ORD-2024-10335</t>
  </si>
  <si>
    <t xml:space="preserve">CUST-3062</t>
  </si>
  <si>
    <t xml:space="preserve">12 Sep 2024</t>
  </si>
  <si>
    <t xml:space="preserve">17-09-2024</t>
  </si>
  <si>
    <t xml:space="preserve">ORD-2025-10336</t>
  </si>
  <si>
    <t xml:space="preserve">CUST-3621</t>
  </si>
  <si>
    <t xml:space="preserve">06/16/2025</t>
  </si>
  <si>
    <t xml:space="preserve">18 Jun 2025</t>
  </si>
  <si>
    <t xml:space="preserve">ORD-2024-10337</t>
  </si>
  <si>
    <t xml:space="preserve">03/21/2024</t>
  </si>
  <si>
    <t xml:space="preserve">ORD-2024-10338</t>
  </si>
  <si>
    <t xml:space="preserve">CUST-4599</t>
  </si>
  <si>
    <t xml:space="preserve">12 Aug 2024</t>
  </si>
  <si>
    <t xml:space="preserve">18 Aug 2024</t>
  </si>
  <si>
    <t xml:space="preserve">ORD-2024-10339</t>
  </si>
  <si>
    <t xml:space="preserve">CUST-3066</t>
  </si>
  <si>
    <t xml:space="preserve">08-12-2024</t>
  </si>
  <si>
    <t xml:space="preserve">ORD-2025-10340</t>
  </si>
  <si>
    <t xml:space="preserve">CUST-2752</t>
  </si>
  <si>
    <t xml:space="preserve">22-02-2025</t>
  </si>
  <si>
    <t xml:space="preserve">ORD-2024-10341</t>
  </si>
  <si>
    <t xml:space="preserve">CUST-6291</t>
  </si>
  <si>
    <t xml:space="preserve">21 Jan 2024</t>
  </si>
  <si>
    <t xml:space="preserve">01/29/2024</t>
  </si>
  <si>
    <t xml:space="preserve">ORD-2025-10342</t>
  </si>
  <si>
    <t xml:space="preserve">CUST-9969</t>
  </si>
  <si>
    <t xml:space="preserve">08 Sep 2025</t>
  </si>
  <si>
    <t xml:space="preserve">2025-09-09</t>
  </si>
  <si>
    <t xml:space="preserve">ORD-2025-10343</t>
  </si>
  <si>
    <t xml:space="preserve">CUST-3335</t>
  </si>
  <si>
    <t xml:space="preserve">24-07-2025</t>
  </si>
  <si>
    <t xml:space="preserve">01-08-2025</t>
  </si>
  <si>
    <t xml:space="preserve">ORD-2025-10344</t>
  </si>
  <si>
    <t xml:space="preserve">CUST-7358</t>
  </si>
  <si>
    <t xml:space="preserve">10/03/2025</t>
  </si>
  <si>
    <t xml:space="preserve">ORD-2024-10345</t>
  </si>
  <si>
    <t xml:space="preserve">CUST-8025</t>
  </si>
  <si>
    <t xml:space="preserve">ORD-2024-10346</t>
  </si>
  <si>
    <t xml:space="preserve">CUST-4634</t>
  </si>
  <si>
    <t xml:space="preserve">2024-09-14</t>
  </si>
  <si>
    <t xml:space="preserve">2024-09-22</t>
  </si>
  <si>
    <t xml:space="preserve">ORD-2025-10347</t>
  </si>
  <si>
    <t xml:space="preserve">CUST-3400</t>
  </si>
  <si>
    <t xml:space="preserve">28-07-2025</t>
  </si>
  <si>
    <t xml:space="preserve">ORD-2024-10348</t>
  </si>
  <si>
    <t xml:space="preserve">CUST-1172</t>
  </si>
  <si>
    <t xml:space="preserve">01-12-2024</t>
  </si>
  <si>
    <t xml:space="preserve">ORD-2024-10349</t>
  </si>
  <si>
    <t xml:space="preserve">CUST-9517</t>
  </si>
  <si>
    <t xml:space="preserve">06/07/2024</t>
  </si>
  <si>
    <t xml:space="preserve">ORD-2025-10350</t>
  </si>
  <si>
    <t xml:space="preserve">CUST-6697</t>
  </si>
  <si>
    <t xml:space="preserve">27-09-2025</t>
  </si>
  <si>
    <t xml:space="preserve">ORD-2024-10351</t>
  </si>
  <si>
    <t xml:space="preserve">CUST-7644</t>
  </si>
  <si>
    <t xml:space="preserve">07-01-2024</t>
  </si>
  <si>
    <t xml:space="preserve">14 Jan 2024</t>
  </si>
  <si>
    <t xml:space="preserve">ORD-2025-10352</t>
  </si>
  <si>
    <t xml:space="preserve">CUST-9963</t>
  </si>
  <si>
    <t xml:space="preserve">23-05-2025</t>
  </si>
  <si>
    <t xml:space="preserve">ORD-2025-10353</t>
  </si>
  <si>
    <t xml:space="preserve">CUST-6382</t>
  </si>
  <si>
    <t xml:space="preserve">15 Aug 2025</t>
  </si>
  <si>
    <t xml:space="preserve">ORD-2025-10354</t>
  </si>
  <si>
    <t xml:space="preserve">CUST-3253</t>
  </si>
  <si>
    <t xml:space="preserve">21-02-2025</t>
  </si>
  <si>
    <t xml:space="preserve">ORD-2024-10355</t>
  </si>
  <si>
    <t xml:space="preserve">CUST-1058</t>
  </si>
  <si>
    <t xml:space="preserve">2024-12-31</t>
  </si>
  <si>
    <t xml:space="preserve">corporate</t>
  </si>
  <si>
    <t xml:space="preserve">ORD-2024-10356</t>
  </si>
  <si>
    <t xml:space="preserve">CUST-6414</t>
  </si>
  <si>
    <t xml:space="preserve">12-05-2024</t>
  </si>
  <si>
    <t xml:space="preserve">2024-05-09</t>
  </si>
  <si>
    <t xml:space="preserve">ORD-2025-10357</t>
  </si>
  <si>
    <t xml:space="preserve">CUST-9268</t>
  </si>
  <si>
    <t xml:space="preserve">27 Jun 2025</t>
  </si>
  <si>
    <t xml:space="preserve">29 Jun 2025</t>
  </si>
  <si>
    <t xml:space="preserve">ORD-2025-10358</t>
  </si>
  <si>
    <t xml:space="preserve">CUST-1363</t>
  </si>
  <si>
    <t xml:space="preserve">01/29/2025</t>
  </si>
  <si>
    <t xml:space="preserve">ORD-2025-10359</t>
  </si>
  <si>
    <t xml:space="preserve">CUST-2477</t>
  </si>
  <si>
    <t xml:space="preserve">08/09/2025</t>
  </si>
  <si>
    <t xml:space="preserve">2025-08-07</t>
  </si>
  <si>
    <t xml:space="preserve">ORD-2024-10360</t>
  </si>
  <si>
    <t xml:space="preserve">CUST-9571</t>
  </si>
  <si>
    <t xml:space="preserve">22-08-2024</t>
  </si>
  <si>
    <t xml:space="preserve">ORD-2024-10361</t>
  </si>
  <si>
    <t xml:space="preserve">CUST-3690</t>
  </si>
  <si>
    <t xml:space="preserve">17 Jun 2024</t>
  </si>
  <si>
    <t xml:space="preserve">2024-06-20</t>
  </si>
  <si>
    <t xml:space="preserve">ORD-2025-10362</t>
  </si>
  <si>
    <t xml:space="preserve">CUST-2909</t>
  </si>
  <si>
    <t xml:space="preserve">2025-04-02</t>
  </si>
  <si>
    <t xml:space="preserve">ORD-2024-10363</t>
  </si>
  <si>
    <t xml:space="preserve">CUST-6755</t>
  </si>
  <si>
    <t xml:space="preserve">23 Aug 2024</t>
  </si>
  <si>
    <t xml:space="preserve">25-08-2024</t>
  </si>
  <si>
    <t xml:space="preserve">ORD-2025-10364</t>
  </si>
  <si>
    <t xml:space="preserve">CUST-1832</t>
  </si>
  <si>
    <t xml:space="preserve">07/07/2025</t>
  </si>
  <si>
    <t xml:space="preserve">07/12/2025</t>
  </si>
  <si>
    <t xml:space="preserve">ORD-2025-10365</t>
  </si>
  <si>
    <t xml:space="preserve">CUST-4452</t>
  </si>
  <si>
    <t xml:space="preserve">03/21/2025</t>
  </si>
  <si>
    <t xml:space="preserve">2025-03-24</t>
  </si>
  <si>
    <t xml:space="preserve">ORD-2024-10366</t>
  </si>
  <si>
    <t xml:space="preserve">CUST-2203</t>
  </si>
  <si>
    <t xml:space="preserve">15-06-2024</t>
  </si>
  <si>
    <t xml:space="preserve">21-06-2024</t>
  </si>
  <si>
    <t xml:space="preserve">ORD-2025-10367</t>
  </si>
  <si>
    <t xml:space="preserve">CUST-5397</t>
  </si>
  <si>
    <t xml:space="preserve">2025-01-16</t>
  </si>
  <si>
    <t xml:space="preserve">2025-01-22</t>
  </si>
  <si>
    <t xml:space="preserve">ORD-2024-10368</t>
  </si>
  <si>
    <t xml:space="preserve">CUST-4696</t>
  </si>
  <si>
    <t xml:space="preserve">03/16/2024</t>
  </si>
  <si>
    <t xml:space="preserve">ORD-2025-10369</t>
  </si>
  <si>
    <t xml:space="preserve">CUST-8246</t>
  </si>
  <si>
    <t xml:space="preserve">ORD-2025-10370</t>
  </si>
  <si>
    <t xml:space="preserve">CUST-5672</t>
  </si>
  <si>
    <t xml:space="preserve">ORD-2024-10371</t>
  </si>
  <si>
    <t xml:space="preserve">CUST-8521</t>
  </si>
  <si>
    <t xml:space="preserve">08/15/2024</t>
  </si>
  <si>
    <t xml:space="preserve">ORD-2024-10372</t>
  </si>
  <si>
    <t xml:space="preserve">CUST-2204</t>
  </si>
  <si>
    <t xml:space="preserve">2024-01-24</t>
  </si>
  <si>
    <t xml:space="preserve">ORD-2025-10373</t>
  </si>
  <si>
    <t xml:space="preserve">2025-08-16</t>
  </si>
  <si>
    <t xml:space="preserve">ORD-2025-10374</t>
  </si>
  <si>
    <t xml:space="preserve">CUST-8566</t>
  </si>
  <si>
    <t xml:space="preserve">2025-04-13</t>
  </si>
  <si>
    <t xml:space="preserve">ORD-2025-10375</t>
  </si>
  <si>
    <t xml:space="preserve">CUST-2358</t>
  </si>
  <si>
    <t xml:space="preserve">2025-02-27</t>
  </si>
  <si>
    <t xml:space="preserve">28-02-2025</t>
  </si>
  <si>
    <t xml:space="preserve">ORD-2024-10376</t>
  </si>
  <si>
    <t xml:space="preserve">CUST-2810</t>
  </si>
  <si>
    <t xml:space="preserve">31-12-2024</t>
  </si>
  <si>
    <t xml:space="preserve">04 Jan 2025</t>
  </si>
  <si>
    <t xml:space="preserve">ORD-2024-10377</t>
  </si>
  <si>
    <t xml:space="preserve">CUST-5166</t>
  </si>
  <si>
    <t xml:space="preserve">29-12-2024</t>
  </si>
  <si>
    <t xml:space="preserve">ORD-2025-10378</t>
  </si>
  <si>
    <t xml:space="preserve">CUST-4875</t>
  </si>
  <si>
    <t xml:space="preserve">30-05-2025</t>
  </si>
  <si>
    <t xml:space="preserve">storage</t>
  </si>
  <si>
    <t xml:space="preserve">ORD-2025-10379</t>
  </si>
  <si>
    <t xml:space="preserve">CUST-3154</t>
  </si>
  <si>
    <t xml:space="preserve">22-05-2025</t>
  </si>
  <si>
    <t xml:space="preserve">ORD-2024-10380</t>
  </si>
  <si>
    <t xml:space="preserve">CUST-6405</t>
  </si>
  <si>
    <t xml:space="preserve">09/19/2024</t>
  </si>
  <si>
    <t xml:space="preserve">23 Sep 2024</t>
  </si>
  <si>
    <t xml:space="preserve">ORD-2024-10381</t>
  </si>
  <si>
    <t xml:space="preserve">CUST-5779</t>
  </si>
  <si>
    <t xml:space="preserve">07 Apr 2024</t>
  </si>
  <si>
    <t xml:space="preserve">ORD-2025-10382</t>
  </si>
  <si>
    <t xml:space="preserve">CUST-9943</t>
  </si>
  <si>
    <t xml:space="preserve">2025-09-19</t>
  </si>
  <si>
    <t xml:space="preserve">23-09-2025</t>
  </si>
  <si>
    <t xml:space="preserve">HOME OFFICE</t>
  </si>
  <si>
    <t xml:space="preserve">ORD-2025-10383</t>
  </si>
  <si>
    <t xml:space="preserve">04 Mar 2025</t>
  </si>
  <si>
    <t xml:space="preserve">TECHNOLOGY</t>
  </si>
  <si>
    <t xml:space="preserve">ORD-2025-10384</t>
  </si>
  <si>
    <t xml:space="preserve">CUST-7438</t>
  </si>
  <si>
    <t xml:space="preserve">ORD-2024-10385</t>
  </si>
  <si>
    <t xml:space="preserve">CUST-8432</t>
  </si>
  <si>
    <t xml:space="preserve">15-03-2024</t>
  </si>
  <si>
    <t xml:space="preserve">2024-03-20</t>
  </si>
  <si>
    <t xml:space="preserve">ORD-2025-10386</t>
  </si>
  <si>
    <t xml:space="preserve">CUST-2834</t>
  </si>
  <si>
    <t xml:space="preserve">30 Jun 2025</t>
  </si>
  <si>
    <t xml:space="preserve">ORD-2025-10387</t>
  </si>
  <si>
    <t xml:space="preserve">CUST-4222</t>
  </si>
  <si>
    <t xml:space="preserve">14-02-2025</t>
  </si>
  <si>
    <t xml:space="preserve">ORD-2025-10388</t>
  </si>
  <si>
    <t xml:space="preserve">CUST-1053</t>
  </si>
  <si>
    <t xml:space="preserve">ORD-2024-10389</t>
  </si>
  <si>
    <t xml:space="preserve">CUST-1457</t>
  </si>
  <si>
    <t xml:space="preserve">2024-05-13</t>
  </si>
  <si>
    <t xml:space="preserve">18 May 2024</t>
  </si>
  <si>
    <t xml:space="preserve">ORD-2024-10390</t>
  </si>
  <si>
    <t xml:space="preserve">CUST-3930</t>
  </si>
  <si>
    <t xml:space="preserve">05 Apr 2024</t>
  </si>
  <si>
    <t xml:space="preserve">ORD-2024-10391</t>
  </si>
  <si>
    <t xml:space="preserve">CUST-7853</t>
  </si>
  <si>
    <t xml:space="preserve">06 Nov 2024</t>
  </si>
  <si>
    <t xml:space="preserve">ORD-2025-10392</t>
  </si>
  <si>
    <t xml:space="preserve">CUST-2267</t>
  </si>
  <si>
    <t xml:space="preserve">14 Feb 2025</t>
  </si>
  <si>
    <t xml:space="preserve">ORD-2024-10393</t>
  </si>
  <si>
    <t xml:space="preserve">CUST-6866</t>
  </si>
  <si>
    <t xml:space="preserve">02/19/2024</t>
  </si>
  <si>
    <t xml:space="preserve">22 Feb 2024</t>
  </si>
  <si>
    <t xml:space="preserve">ORD-2024-10394</t>
  </si>
  <si>
    <t xml:space="preserve">CUST-3160</t>
  </si>
  <si>
    <t xml:space="preserve">2024-08-23</t>
  </si>
  <si>
    <t xml:space="preserve">08/29/2024</t>
  </si>
  <si>
    <t xml:space="preserve">ORD-2024-10395</t>
  </si>
  <si>
    <t xml:space="preserve">CUST-8444</t>
  </si>
  <si>
    <t xml:space="preserve">03-04-2024</t>
  </si>
  <si>
    <t xml:space="preserve">04 Apr 2024</t>
  </si>
  <si>
    <t xml:space="preserve">ORD-2024-10396</t>
  </si>
  <si>
    <t xml:space="preserve">CUST-4765</t>
  </si>
  <si>
    <t xml:space="preserve">ORD-2025-10397</t>
  </si>
  <si>
    <t xml:space="preserve">CUST-2280</t>
  </si>
  <si>
    <t xml:space="preserve">2025-04-14</t>
  </si>
  <si>
    <t xml:space="preserve">22 Apr 2025</t>
  </si>
  <si>
    <t xml:space="preserve">ORD-2025-10398</t>
  </si>
  <si>
    <t xml:space="preserve">CUST-3177</t>
  </si>
  <si>
    <t xml:space="preserve">09 Jun 2025</t>
  </si>
  <si>
    <t xml:space="preserve">10 Jun 2025</t>
  </si>
  <si>
    <t xml:space="preserve">ORD-2024-10399</t>
  </si>
  <si>
    <t xml:space="preserve">CUST-4718</t>
  </si>
  <si>
    <t xml:space="preserve">19 Jul 2024</t>
  </si>
  <si>
    <t xml:space="preserve">2024-07-26</t>
  </si>
  <si>
    <t xml:space="preserve">  Corporate </t>
  </si>
  <si>
    <t xml:space="preserve">ORD-2025-10400</t>
  </si>
  <si>
    <t xml:space="preserve">CUST-5647</t>
  </si>
  <si>
    <t xml:space="preserve">04/24/2025</t>
  </si>
  <si>
    <t xml:space="preserve">2025-04-29</t>
  </si>
  <si>
    <t xml:space="preserve">ORD-2025-10401</t>
  </si>
  <si>
    <t xml:space="preserve">CUST-7150</t>
  </si>
  <si>
    <t xml:space="preserve">06-06-2025</t>
  </si>
  <si>
    <t xml:space="preserve">2025-06-11</t>
  </si>
  <si>
    <t xml:space="preserve">ORD-2025-10402</t>
  </si>
  <si>
    <t xml:space="preserve">CUST-6694</t>
  </si>
  <si>
    <t xml:space="preserve">09 Mar 2025</t>
  </si>
  <si>
    <t xml:space="preserve">16-03-2025</t>
  </si>
  <si>
    <t xml:space="preserve">ORD-2024-10403</t>
  </si>
  <si>
    <t xml:space="preserve">CUST-7680</t>
  </si>
  <si>
    <t xml:space="preserve">22 Mar 2024</t>
  </si>
  <si>
    <t xml:space="preserve">03/22/2024</t>
  </si>
  <si>
    <t xml:space="preserve">ORD-2024-10404</t>
  </si>
  <si>
    <t xml:space="preserve">CUST-2700</t>
  </si>
  <si>
    <t xml:space="preserve">09/30/2024</t>
  </si>
  <si>
    <t xml:space="preserve">04-10-2024</t>
  </si>
  <si>
    <t xml:space="preserve">PAPER</t>
  </si>
  <si>
    <t xml:space="preserve">ORD-2024-10405</t>
  </si>
  <si>
    <t xml:space="preserve">CUST-2904</t>
  </si>
  <si>
    <t xml:space="preserve">27 Jan 2024</t>
  </si>
  <si>
    <t xml:space="preserve">02/03/2024</t>
  </si>
  <si>
    <t xml:space="preserve">ORD-2024-10406</t>
  </si>
  <si>
    <t xml:space="preserve">CUST-9961</t>
  </si>
  <si>
    <t xml:space="preserve">09/23/2024</t>
  </si>
  <si>
    <t xml:space="preserve">24 Sep 2024</t>
  </si>
  <si>
    <t xml:space="preserve">ORD-2025-10407</t>
  </si>
  <si>
    <t xml:space="preserve">CUST-9909</t>
  </si>
  <si>
    <t xml:space="preserve">25 Feb 2025</t>
  </si>
  <si>
    <t xml:space="preserve">ORD-2024-10408</t>
  </si>
  <si>
    <t xml:space="preserve">CUST-8520</t>
  </si>
  <si>
    <t xml:space="preserve">12 May 2024</t>
  </si>
  <si>
    <t xml:space="preserve">13 May 2024</t>
  </si>
  <si>
    <t xml:space="preserve">ORD-2025-10409</t>
  </si>
  <si>
    <t xml:space="preserve">CUST-5036</t>
  </si>
  <si>
    <t xml:space="preserve">ORD-2025-10410</t>
  </si>
  <si>
    <t xml:space="preserve">CUST-7721</t>
  </si>
  <si>
    <t xml:space="preserve">ORD-2024-10411</t>
  </si>
  <si>
    <t xml:space="preserve">CUST-9495</t>
  </si>
  <si>
    <t xml:space="preserve">2024-04-12</t>
  </si>
  <si>
    <t xml:space="preserve">20 Apr 2024</t>
  </si>
  <si>
    <t xml:space="preserve">ORD-2025-10412</t>
  </si>
  <si>
    <t xml:space="preserve">CUST-2855</t>
  </si>
  <si>
    <t xml:space="preserve">2025-08-23</t>
  </si>
  <si>
    <t xml:space="preserve">2025-08-28</t>
  </si>
  <si>
    <t xml:space="preserve">ORD-2024-10413</t>
  </si>
  <si>
    <t xml:space="preserve">CUST-4329</t>
  </si>
  <si>
    <t xml:space="preserve">2024-01-22</t>
  </si>
  <si>
    <t xml:space="preserve">ORD-2025-10414</t>
  </si>
  <si>
    <t xml:space="preserve">CUST-5094</t>
  </si>
  <si>
    <t xml:space="preserve">17-08-2025</t>
  </si>
  <si>
    <t xml:space="preserve">ORD-2024-10415</t>
  </si>
  <si>
    <t xml:space="preserve">CUST-4194</t>
  </si>
  <si>
    <t xml:space="preserve">2024-08-29</t>
  </si>
  <si>
    <t xml:space="preserve">08/30/2024</t>
  </si>
  <si>
    <t xml:space="preserve">ORD-2024-10416</t>
  </si>
  <si>
    <t xml:space="preserve">CUST-7087</t>
  </si>
  <si>
    <t xml:space="preserve">01/25/2024</t>
  </si>
  <si>
    <t xml:space="preserve">ORD-2025-10417</t>
  </si>
  <si>
    <t xml:space="preserve">CUST-7608</t>
  </si>
  <si>
    <t xml:space="preserve">2025-01-08</t>
  </si>
  <si>
    <t xml:space="preserve">16-01-2025</t>
  </si>
  <si>
    <t xml:space="preserve">ORD-2025-10418</t>
  </si>
  <si>
    <t xml:space="preserve">CUST-5269</t>
  </si>
  <si>
    <t xml:space="preserve">02/05/2025</t>
  </si>
  <si>
    <t xml:space="preserve">ORD-2024-10419</t>
  </si>
  <si>
    <t xml:space="preserve">CUST-7925</t>
  </si>
  <si>
    <t xml:space="preserve">11/09/2024</t>
  </si>
  <si>
    <t xml:space="preserve">11/17/2024</t>
  </si>
  <si>
    <t xml:space="preserve">ORD-2025-10420</t>
  </si>
  <si>
    <t xml:space="preserve">CUST-6552</t>
  </si>
  <si>
    <t xml:space="preserve">26-09-2025</t>
  </si>
  <si>
    <t xml:space="preserve">09/30/2025</t>
  </si>
  <si>
    <t xml:space="preserve">ORD-2025-10421</t>
  </si>
  <si>
    <t xml:space="preserve">CUST-7131</t>
  </si>
  <si>
    <t xml:space="preserve">2025-03-19</t>
  </si>
  <si>
    <t xml:space="preserve">ORD-2025-10422</t>
  </si>
  <si>
    <t xml:space="preserve">CUST-2779</t>
  </si>
  <si>
    <t xml:space="preserve">06/14/2025</t>
  </si>
  <si>
    <t xml:space="preserve">19 Jun 2025</t>
  </si>
  <si>
    <t xml:space="preserve">ORD-2025-10423</t>
  </si>
  <si>
    <t xml:space="preserve">CUST-6077</t>
  </si>
  <si>
    <t xml:space="preserve">09/03/2025</t>
  </si>
  <si>
    <t xml:space="preserve">06 Sep 2025</t>
  </si>
  <si>
    <t xml:space="preserve">ORD-2024-10424</t>
  </si>
  <si>
    <t xml:space="preserve">CUST-6169</t>
  </si>
  <si>
    <t xml:space="preserve">2024-02-20</t>
  </si>
  <si>
    <t xml:space="preserve">27-02-2024</t>
  </si>
  <si>
    <t xml:space="preserve">FIRST CLASS</t>
  </si>
  <si>
    <t xml:space="preserve">ORD-2024-10425</t>
  </si>
  <si>
    <t xml:space="preserve">CUST-8904</t>
  </si>
  <si>
    <t xml:space="preserve">06/26/2024</t>
  </si>
  <si>
    <t xml:space="preserve">2024-06-29</t>
  </si>
  <si>
    <t xml:space="preserve">ORD-2024-10426</t>
  </si>
  <si>
    <t xml:space="preserve">CUST-9586</t>
  </si>
  <si>
    <t xml:space="preserve">26-09-2024</t>
  </si>
  <si>
    <t xml:space="preserve">09/27/2024</t>
  </si>
  <si>
    <t xml:space="preserve">ORD-2024-10427</t>
  </si>
  <si>
    <t xml:space="preserve">CUST-5431</t>
  </si>
  <si>
    <t xml:space="preserve">30-06-2024</t>
  </si>
  <si>
    <t xml:space="preserve">01-07-2024</t>
  </si>
  <si>
    <t xml:space="preserve">ORD-2025-10428</t>
  </si>
  <si>
    <t xml:space="preserve">CUST-8843</t>
  </si>
  <si>
    <t xml:space="preserve">2025-04-22</t>
  </si>
  <si>
    <t xml:space="preserve">24-04-2025</t>
  </si>
  <si>
    <t xml:space="preserve">ORD-2025-10429</t>
  </si>
  <si>
    <t xml:space="preserve">CUST-7626</t>
  </si>
  <si>
    <t xml:space="preserve">2025-03-15</t>
  </si>
  <si>
    <t xml:space="preserve">22 Mar 2025</t>
  </si>
  <si>
    <t xml:space="preserve">ORD-2025-10430</t>
  </si>
  <si>
    <t xml:space="preserve">CUST-8562</t>
  </si>
  <si>
    <t xml:space="preserve">01 Mar 2025</t>
  </si>
  <si>
    <t xml:space="preserve">08-03-2025</t>
  </si>
  <si>
    <t xml:space="preserve">ORD-2024-10431</t>
  </si>
  <si>
    <t xml:space="preserve">CUST-2732</t>
  </si>
  <si>
    <t xml:space="preserve">30 Aug 2024</t>
  </si>
  <si>
    <t xml:space="preserve">02-09-2024</t>
  </si>
  <si>
    <t xml:space="preserve">Office Supplies </t>
  </si>
  <si>
    <t xml:space="preserve">ORD-2024-10432</t>
  </si>
  <si>
    <t xml:space="preserve">CUST-3989</t>
  </si>
  <si>
    <t xml:space="preserve">10 Feb 2024</t>
  </si>
  <si>
    <t xml:space="preserve">02/13/2024</t>
  </si>
  <si>
    <t xml:space="preserve">ORD-2024-10433</t>
  </si>
  <si>
    <t xml:space="preserve">CUST-3522</t>
  </si>
  <si>
    <t xml:space="preserve">ORD-2024-10434</t>
  </si>
  <si>
    <t xml:space="preserve">CUST-7066</t>
  </si>
  <si>
    <t xml:space="preserve">04/19/2024</t>
  </si>
  <si>
    <t xml:space="preserve">20-04-2024</t>
  </si>
  <si>
    <t xml:space="preserve">ORD-2025-10435</t>
  </si>
  <si>
    <t xml:space="preserve">CUST-2351</t>
  </si>
  <si>
    <t xml:space="preserve">04/11/2025</t>
  </si>
  <si>
    <t xml:space="preserve">2025-04-15</t>
  </si>
  <si>
    <t xml:space="preserve">ORD-2025-10436</t>
  </si>
  <si>
    <t xml:space="preserve">CUST-7291</t>
  </si>
  <si>
    <t xml:space="preserve">2025-04-12</t>
  </si>
  <si>
    <t xml:space="preserve">ORD-2024-10437</t>
  </si>
  <si>
    <t xml:space="preserve">CUST-4492</t>
  </si>
  <si>
    <t xml:space="preserve">16 Jun 2024</t>
  </si>
  <si>
    <t xml:space="preserve">21 Jun 2024</t>
  </si>
  <si>
    <t xml:space="preserve">ORD-2024-10438</t>
  </si>
  <si>
    <t xml:space="preserve">CUST-5029</t>
  </si>
  <si>
    <t xml:space="preserve">15-02-2024</t>
  </si>
  <si>
    <t xml:space="preserve">2024-02-18</t>
  </si>
  <si>
    <t xml:space="preserve">  Accessories </t>
  </si>
  <si>
    <t xml:space="preserve">ORD-2025-10439</t>
  </si>
  <si>
    <t xml:space="preserve">CUST-7252</t>
  </si>
  <si>
    <t xml:space="preserve">05/05/2025</t>
  </si>
  <si>
    <t xml:space="preserve">ORD-2025-10440</t>
  </si>
  <si>
    <t xml:space="preserve">CUST-7346</t>
  </si>
  <si>
    <t xml:space="preserve">30-06-2025</t>
  </si>
  <si>
    <t xml:space="preserve">03 Jul 2025</t>
  </si>
  <si>
    <t xml:space="preserve">ORD-2024-10441</t>
  </si>
  <si>
    <t xml:space="preserve">04/02/2024</t>
  </si>
  <si>
    <t xml:space="preserve">04/08/2024</t>
  </si>
  <si>
    <t xml:space="preserve">ORD-2024-10442</t>
  </si>
  <si>
    <t xml:space="preserve">CUST-3975</t>
  </si>
  <si>
    <t xml:space="preserve">03-10-2024</t>
  </si>
  <si>
    <t xml:space="preserve">ORD-2025-10443</t>
  </si>
  <si>
    <t xml:space="preserve">CUST-6588</t>
  </si>
  <si>
    <t xml:space="preserve">12 Jan 2025</t>
  </si>
  <si>
    <t xml:space="preserve">2025-01-19</t>
  </si>
  <si>
    <t xml:space="preserve">ORD-2024-10444</t>
  </si>
  <si>
    <t xml:space="preserve">CUST-2207</t>
  </si>
  <si>
    <t xml:space="preserve">04-04-2024</t>
  </si>
  <si>
    <t xml:space="preserve">ORD-2025-10445</t>
  </si>
  <si>
    <t xml:space="preserve">CUST-4475</t>
  </si>
  <si>
    <t xml:space="preserve">12 Aug 2025</t>
  </si>
  <si>
    <t xml:space="preserve">ORD-2024-10446</t>
  </si>
  <si>
    <t xml:space="preserve">CUST-1351</t>
  </si>
  <si>
    <t xml:space="preserve">05/09/2024</t>
  </si>
  <si>
    <t xml:space="preserve">05-05-2024</t>
  </si>
  <si>
    <t xml:space="preserve">ORD-2025-10447</t>
  </si>
  <si>
    <t xml:space="preserve">CUST-9295</t>
  </si>
  <si>
    <t xml:space="preserve">18-09-2025</t>
  </si>
  <si>
    <t xml:space="preserve">19-09-2025</t>
  </si>
  <si>
    <t xml:space="preserve">ORD-2025-10448</t>
  </si>
  <si>
    <t xml:space="preserve">CUST-3614</t>
  </si>
  <si>
    <t xml:space="preserve">10 Aug 2025</t>
  </si>
  <si>
    <t xml:space="preserve">ORD-2024-10449</t>
  </si>
  <si>
    <t xml:space="preserve">CUST-1932</t>
  </si>
  <si>
    <t xml:space="preserve">01/15/2024</t>
  </si>
  <si>
    <t xml:space="preserve">ORD-2024-10450</t>
  </si>
  <si>
    <t xml:space="preserve">06-06-2024</t>
  </si>
  <si>
    <t xml:space="preserve">13 Jun 2024</t>
  </si>
  <si>
    <t xml:space="preserve">ORD-2025-10451</t>
  </si>
  <si>
    <t xml:space="preserve">CUST-8672</t>
  </si>
  <si>
    <t xml:space="preserve">06/12/2025</t>
  </si>
  <si>
    <t xml:space="preserve">ORD-2024-10452</t>
  </si>
  <si>
    <t xml:space="preserve">CUST-3907</t>
  </si>
  <si>
    <t xml:space="preserve">24-03-2024</t>
  </si>
  <si>
    <t xml:space="preserve">26-03-2024</t>
  </si>
  <si>
    <t xml:space="preserve">ORD-2024-10453</t>
  </si>
  <si>
    <t xml:space="preserve">CUST-8796</t>
  </si>
  <si>
    <t xml:space="preserve">10-05-2024</t>
  </si>
  <si>
    <t xml:space="preserve">ORD-2025-10454</t>
  </si>
  <si>
    <t xml:space="preserve">CUST-2317</t>
  </si>
  <si>
    <t xml:space="preserve">05/03/2025</t>
  </si>
  <si>
    <t xml:space="preserve">2025-05-11</t>
  </si>
  <si>
    <t xml:space="preserve">ORD-2025-10455</t>
  </si>
  <si>
    <t xml:space="preserve">CUST-8643</t>
  </si>
  <si>
    <t xml:space="preserve">2025-03-23</t>
  </si>
  <si>
    <t xml:space="preserve">28-03-2025</t>
  </si>
  <si>
    <t xml:space="preserve">ORD-2024-10456</t>
  </si>
  <si>
    <t xml:space="preserve">CUST-1800</t>
  </si>
  <si>
    <t xml:space="preserve">18 Jul 2024</t>
  </si>
  <si>
    <t xml:space="preserve">22-07-2024</t>
  </si>
  <si>
    <t xml:space="preserve">ORD-2024-10457</t>
  </si>
  <si>
    <t xml:space="preserve">CUST-7688</t>
  </si>
  <si>
    <t xml:space="preserve">ORD-2024-10458</t>
  </si>
  <si>
    <t xml:space="preserve">CUST-4957</t>
  </si>
  <si>
    <t xml:space="preserve">05/04/2024</t>
  </si>
  <si>
    <t xml:space="preserve">2024-05-04</t>
  </si>
  <si>
    <t xml:space="preserve">ORD-2024-10459</t>
  </si>
  <si>
    <t xml:space="preserve">CUST-1263</t>
  </si>
  <si>
    <t xml:space="preserve">2024-02-10</t>
  </si>
  <si>
    <t xml:space="preserve">ORD-2024-10460</t>
  </si>
  <si>
    <t xml:space="preserve">CUST-4745</t>
  </si>
  <si>
    <t xml:space="preserve">03/28/2024</t>
  </si>
  <si>
    <t xml:space="preserve">ORD-2025-10461</t>
  </si>
  <si>
    <t xml:space="preserve">CUST-5551</t>
  </si>
  <si>
    <t xml:space="preserve">30 Sep 2025</t>
  </si>
  <si>
    <t xml:space="preserve">06 Oct 2025</t>
  </si>
  <si>
    <t xml:space="preserve">ORD-2025-10462</t>
  </si>
  <si>
    <t xml:space="preserve">CUST-3659</t>
  </si>
  <si>
    <t xml:space="preserve">05/25/2025</t>
  </si>
  <si>
    <t xml:space="preserve">ORD-2024-10463</t>
  </si>
  <si>
    <t xml:space="preserve">CUST-6594</t>
  </si>
  <si>
    <t xml:space="preserve">25-09-2024</t>
  </si>
  <si>
    <t xml:space="preserve">ORD-2025-10464</t>
  </si>
  <si>
    <t xml:space="preserve">CUST-2626</t>
  </si>
  <si>
    <t xml:space="preserve">2025-02-08</t>
  </si>
  <si>
    <t xml:space="preserve">ORD-2025-10465</t>
  </si>
  <si>
    <t xml:space="preserve">CUST-7362</t>
  </si>
  <si>
    <t xml:space="preserve">11-03-2025</t>
  </si>
  <si>
    <t xml:space="preserve">03/15/2025</t>
  </si>
  <si>
    <t xml:space="preserve">ORD-2024-10466</t>
  </si>
  <si>
    <t xml:space="preserve">CUST-1748</t>
  </si>
  <si>
    <t xml:space="preserve">29-01-2024</t>
  </si>
  <si>
    <t xml:space="preserve">2024-02-06</t>
  </si>
  <si>
    <t xml:space="preserve">ORD-2024-10467</t>
  </si>
  <si>
    <t xml:space="preserve">CUST-2725</t>
  </si>
  <si>
    <t xml:space="preserve">04-01-2024</t>
  </si>
  <si>
    <t xml:space="preserve">01/08/2024</t>
  </si>
  <si>
    <t xml:space="preserve">ORD-2024-10468</t>
  </si>
  <si>
    <t xml:space="preserve">CUST-9470</t>
  </si>
  <si>
    <t xml:space="preserve">20-08-2024</t>
  </si>
  <si>
    <t xml:space="preserve">ORD-2025-10469</t>
  </si>
  <si>
    <t xml:space="preserve">CUST-4176</t>
  </si>
  <si>
    <t xml:space="preserve">09 Jan 2025</t>
  </si>
  <si>
    <t xml:space="preserve">07 Jan 2025</t>
  </si>
  <si>
    <t xml:space="preserve">ORD-2024-10470</t>
  </si>
  <si>
    <t xml:space="preserve">CUST-3448</t>
  </si>
  <si>
    <t xml:space="preserve">2024-01-19</t>
  </si>
  <si>
    <t xml:space="preserve">ORD-2024-10471</t>
  </si>
  <si>
    <t xml:space="preserve">CUST-4970</t>
  </si>
  <si>
    <t xml:space="preserve">28-07-2024</t>
  </si>
  <si>
    <t xml:space="preserve">ORD-2024-10472</t>
  </si>
  <si>
    <t xml:space="preserve">CUST-6147</t>
  </si>
  <si>
    <t xml:space="preserve">11-02-2024</t>
  </si>
  <si>
    <t xml:space="preserve">02/15/2024</t>
  </si>
  <si>
    <t xml:space="preserve">ORD-2024-10473</t>
  </si>
  <si>
    <t xml:space="preserve">CUST-7208</t>
  </si>
  <si>
    <t xml:space="preserve">02-03-2024</t>
  </si>
  <si>
    <t xml:space="preserve">ORD-2024-10474</t>
  </si>
  <si>
    <t xml:space="preserve">CUST-2794</t>
  </si>
  <si>
    <t xml:space="preserve">13-11-2024</t>
  </si>
  <si>
    <t xml:space="preserve">ORD-2024-10475</t>
  </si>
  <si>
    <t xml:space="preserve">CUST-6249</t>
  </si>
  <si>
    <t xml:space="preserve">2024-06-10</t>
  </si>
  <si>
    <t xml:space="preserve">ORD-2025-10476</t>
  </si>
  <si>
    <t xml:space="preserve">CUST-5712</t>
  </si>
  <si>
    <t xml:space="preserve">03/01/2025</t>
  </si>
  <si>
    <t xml:space="preserve">08 Mar 2025</t>
  </si>
  <si>
    <t xml:space="preserve">ORD-2024-10477</t>
  </si>
  <si>
    <t xml:space="preserve">CUST-3004</t>
  </si>
  <si>
    <t xml:space="preserve">05/07/2024</t>
  </si>
  <si>
    <t xml:space="preserve">05/14/2024</t>
  </si>
  <si>
    <t xml:space="preserve">ORD-2025-10478</t>
  </si>
  <si>
    <t xml:space="preserve">CUST-6920</t>
  </si>
  <si>
    <t xml:space="preserve">08/23/2025</t>
  </si>
  <si>
    <t xml:space="preserve">28-08-2025</t>
  </si>
  <si>
    <t xml:space="preserve">ORD-2024-10479</t>
  </si>
  <si>
    <t xml:space="preserve">CUST-4838</t>
  </si>
  <si>
    <t xml:space="preserve">06/09/2024</t>
  </si>
  <si>
    <t xml:space="preserve">2024-06-13</t>
  </si>
  <si>
    <t xml:space="preserve">ORD-2024-10480</t>
  </si>
  <si>
    <t xml:space="preserve">CUST-7520</t>
  </si>
  <si>
    <t xml:space="preserve">23 Feb 2024</t>
  </si>
  <si>
    <t xml:space="preserve">ORD-2025-10481</t>
  </si>
  <si>
    <t xml:space="preserve">CUST-9947</t>
  </si>
  <si>
    <t xml:space="preserve">ORD-2025-10482</t>
  </si>
  <si>
    <t xml:space="preserve">CUST-4403</t>
  </si>
  <si>
    <t xml:space="preserve">2025-06-05</t>
  </si>
  <si>
    <t xml:space="preserve">06/13/2025</t>
  </si>
  <si>
    <t xml:space="preserve">ORD-2024-10483</t>
  </si>
  <si>
    <t xml:space="preserve">CUST-3583</t>
  </si>
  <si>
    <t xml:space="preserve">ORD-2024-10484</t>
  </si>
  <si>
    <t xml:space="preserve">CUST-9432</t>
  </si>
  <si>
    <t xml:space="preserve">25-12-2024</t>
  </si>
  <si>
    <t xml:space="preserve">ORD-2024-10485</t>
  </si>
  <si>
    <t xml:space="preserve">CUST-1801</t>
  </si>
  <si>
    <t xml:space="preserve">2024-12-28</t>
  </si>
  <si>
    <t xml:space="preserve">12/31/2024</t>
  </si>
  <si>
    <t xml:space="preserve">ORD-2025-10486</t>
  </si>
  <si>
    <t xml:space="preserve">CUST-1594</t>
  </si>
  <si>
    <t xml:space="preserve">ORD-2025-10487</t>
  </si>
  <si>
    <t xml:space="preserve">CUST-8132</t>
  </si>
  <si>
    <t xml:space="preserve">22-06-2025</t>
  </si>
  <si>
    <t xml:space="preserve">06/26/2025</t>
  </si>
  <si>
    <t xml:space="preserve">ORD-2025-10488</t>
  </si>
  <si>
    <t xml:space="preserve">CUST-7685</t>
  </si>
  <si>
    <t xml:space="preserve">06/17/2025</t>
  </si>
  <si>
    <t xml:space="preserve">ORD-2024-10489</t>
  </si>
  <si>
    <t xml:space="preserve">CUST-2183</t>
  </si>
  <si>
    <t xml:space="preserve">14 Oct 2024</t>
  </si>
  <si>
    <t xml:space="preserve">2024-10-20</t>
  </si>
  <si>
    <t xml:space="preserve">North </t>
  </si>
  <si>
    <t xml:space="preserve">ORD-2024-10490</t>
  </si>
  <si>
    <t xml:space="preserve">CUST-1636</t>
  </si>
  <si>
    <t xml:space="preserve">2024-02-12</t>
  </si>
  <si>
    <t xml:space="preserve">ORD-2024-10491</t>
  </si>
  <si>
    <t xml:space="preserve">CUST-1350</t>
  </si>
  <si>
    <t xml:space="preserve">2024-09-16</t>
  </si>
  <si>
    <t xml:space="preserve">ORD-2025-10492</t>
  </si>
  <si>
    <t xml:space="preserve">CUST-4101</t>
  </si>
  <si>
    <t xml:space="preserve">30-04-2025</t>
  </si>
  <si>
    <t xml:space="preserve">ORD-2025-10493</t>
  </si>
  <si>
    <t xml:space="preserve">CUST-4679</t>
  </si>
  <si>
    <t xml:space="preserve">28-06-2025</t>
  </si>
  <si>
    <t xml:space="preserve">07/02/2025</t>
  </si>
  <si>
    <t xml:space="preserve">ORD-2025-10494</t>
  </si>
  <si>
    <t xml:space="preserve">CUST-3765</t>
  </si>
  <si>
    <t xml:space="preserve">2025-02-13</t>
  </si>
  <si>
    <t xml:space="preserve">COMPLETED</t>
  </si>
  <si>
    <t xml:space="preserve">ORD-2024-10495</t>
  </si>
  <si>
    <t xml:space="preserve">CUST-9056</t>
  </si>
  <si>
    <t xml:space="preserve">2024-11-14</t>
  </si>
  <si>
    <t xml:space="preserve">2024-11-22</t>
  </si>
  <si>
    <t xml:space="preserve">ORD-2024-10496</t>
  </si>
  <si>
    <t xml:space="preserve">CUST-9801</t>
  </si>
  <si>
    <t xml:space="preserve">05/15/2024</t>
  </si>
  <si>
    <t xml:space="preserve">ORD-2025-10497</t>
  </si>
  <si>
    <t xml:space="preserve">CUST-2038</t>
  </si>
  <si>
    <t xml:space="preserve">2025-07-04</t>
  </si>
  <si>
    <t xml:space="preserve">2025-07-06</t>
  </si>
  <si>
    <t xml:space="preserve">ORD-2024-10498</t>
  </si>
  <si>
    <t xml:space="preserve">CUST-1567</t>
  </si>
  <si>
    <t xml:space="preserve">29 Aug 2024</t>
  </si>
  <si>
    <t xml:space="preserve">ORD-2025-10499</t>
  </si>
  <si>
    <t xml:space="preserve">CUST-1190</t>
  </si>
  <si>
    <t xml:space="preserve">2025-09-07</t>
  </si>
  <si>
    <t xml:space="preserve">10 Sep 2025</t>
  </si>
  <si>
    <t xml:space="preserve">cancelled</t>
  </si>
  <si>
    <t xml:space="preserve">ORD-2024-10500</t>
  </si>
  <si>
    <t xml:space="preserve">CUST-5604</t>
  </si>
  <si>
    <t xml:space="preserve">2024-12-22</t>
  </si>
  <si>
    <t xml:space="preserve">ORD-2024-10501</t>
  </si>
  <si>
    <t xml:space="preserve">CUST-7661</t>
  </si>
  <si>
    <t xml:space="preserve">05/22/2024</t>
  </si>
  <si>
    <t xml:space="preserve">ORD-2024-10502</t>
  </si>
  <si>
    <t xml:space="preserve">11 Aug 2024</t>
  </si>
  <si>
    <t xml:space="preserve">08/17/2024</t>
  </si>
  <si>
    <t xml:space="preserve">ORD-2024-10503</t>
  </si>
  <si>
    <t xml:space="preserve">CUST-1534</t>
  </si>
  <si>
    <t xml:space="preserve">04/01/2024</t>
  </si>
  <si>
    <t xml:space="preserve">2024-04-09</t>
  </si>
  <si>
    <t xml:space="preserve">  East </t>
  </si>
  <si>
    <t xml:space="preserve">ORD-2024-10504</t>
  </si>
  <si>
    <t xml:space="preserve">CUST-7422</t>
  </si>
  <si>
    <t xml:space="preserve">2024-09-28</t>
  </si>
  <si>
    <t xml:space="preserve">2024-10-05</t>
  </si>
  <si>
    <t xml:space="preserve">ORD-2025-10505</t>
  </si>
  <si>
    <t xml:space="preserve">CUST-9693</t>
  </si>
  <si>
    <t xml:space="preserve">2025-02-12</t>
  </si>
  <si>
    <t xml:space="preserve">2025-02-17</t>
  </si>
  <si>
    <t xml:space="preserve">ORD-2024-10506</t>
  </si>
  <si>
    <t xml:space="preserve">CUST-5458</t>
  </si>
  <si>
    <t xml:space="preserve">2024-11-09</t>
  </si>
  <si>
    <t xml:space="preserve">ORD-2024-10507</t>
  </si>
  <si>
    <t xml:space="preserve">CUST-3011</t>
  </si>
  <si>
    <t xml:space="preserve">15-12-2024</t>
  </si>
  <si>
    <t xml:space="preserve">2024-12-15</t>
  </si>
  <si>
    <t xml:space="preserve">ORD-2025-10508</t>
  </si>
  <si>
    <t xml:space="preserve">CUST-1826</t>
  </si>
  <si>
    <t xml:space="preserve">ORD-2024-10509</t>
  </si>
  <si>
    <t xml:space="preserve">CUST-3333</t>
  </si>
  <si>
    <t xml:space="preserve">31 Mar 2024</t>
  </si>
  <si>
    <t xml:space="preserve">ORD-2025-10510</t>
  </si>
  <si>
    <t xml:space="preserve">CUST-7901</t>
  </si>
  <si>
    <t xml:space="preserve">2025-05-12</t>
  </si>
  <si>
    <t xml:space="preserve">05/14/2025</t>
  </si>
  <si>
    <t xml:space="preserve">ORD-2024-10511</t>
  </si>
  <si>
    <t xml:space="preserve">CUST-9759</t>
  </si>
  <si>
    <t xml:space="preserve">21-10-2024</t>
  </si>
  <si>
    <t xml:space="preserve">Aarav  Sharma</t>
  </si>
  <si>
    <t xml:space="preserve">ORD-2024-10512</t>
  </si>
  <si>
    <t xml:space="preserve">CUST-7232</t>
  </si>
  <si>
    <t xml:space="preserve">10/23/2024</t>
  </si>
  <si>
    <t xml:space="preserve">26 Oct 2024</t>
  </si>
  <si>
    <t xml:space="preserve">ORD-2025-10513</t>
  </si>
  <si>
    <t xml:space="preserve">2025-03-03</t>
  </si>
  <si>
    <t xml:space="preserve">ORD-2025-10514</t>
  </si>
  <si>
    <t xml:space="preserve">CUST-8993</t>
  </si>
  <si>
    <t xml:space="preserve">Accessories </t>
  </si>
  <si>
    <t xml:space="preserve">ORD-2024-10515</t>
  </si>
  <si>
    <t xml:space="preserve">CUST-7729</t>
  </si>
  <si>
    <t xml:space="preserve">18 Nov 2024</t>
  </si>
  <si>
    <t xml:space="preserve">ORD-2025-10516</t>
  </si>
  <si>
    <t xml:space="preserve">CUST-9986</t>
  </si>
  <si>
    <t xml:space="preserve">2025-04-11</t>
  </si>
  <si>
    <t xml:space="preserve">ORD-2024-10517</t>
  </si>
  <si>
    <t xml:space="preserve">CUST-2731</t>
  </si>
  <si>
    <t xml:space="preserve">09/28/2024</t>
  </si>
  <si>
    <t xml:space="preserve">04 Oct 2024</t>
  </si>
  <si>
    <t xml:space="preserve">ORD-2025-10518</t>
  </si>
  <si>
    <t xml:space="preserve">CUST-4235</t>
  </si>
  <si>
    <t xml:space="preserve">2025-05-25</t>
  </si>
  <si>
    <t xml:space="preserve">ORD-2025-10519</t>
  </si>
  <si>
    <t xml:space="preserve">CUST-3377</t>
  </si>
  <si>
    <t xml:space="preserve">26 Apr 2025</t>
  </si>
  <si>
    <t xml:space="preserve">ORD-2025-10520</t>
  </si>
  <si>
    <t xml:space="preserve">CUST-3258</t>
  </si>
  <si>
    <t xml:space="preserve">2025-07-07</t>
  </si>
  <si>
    <t xml:space="preserve">ORD-2024-10521</t>
  </si>
  <si>
    <t xml:space="preserve">CUST-2155</t>
  </si>
  <si>
    <t xml:space="preserve">23 Jul 2024</t>
  </si>
  <si>
    <t xml:space="preserve">ORD-2025-10522</t>
  </si>
  <si>
    <t xml:space="preserve">CUST-8012</t>
  </si>
  <si>
    <t xml:space="preserve">2025-03-25</t>
  </si>
  <si>
    <t xml:space="preserve">2025-04-01</t>
  </si>
  <si>
    <t xml:space="preserve">ORD-2025-10523</t>
  </si>
  <si>
    <t xml:space="preserve">CUST-2917</t>
  </si>
  <si>
    <t xml:space="preserve">02/28/2025</t>
  </si>
  <si>
    <t xml:space="preserve">ORD-2024-10524</t>
  </si>
  <si>
    <t xml:space="preserve">CUST-4653</t>
  </si>
  <si>
    <t xml:space="preserve">02-04-2024</t>
  </si>
  <si>
    <t xml:space="preserve">2024-04-03</t>
  </si>
  <si>
    <t xml:space="preserve">ORD-2024-10525</t>
  </si>
  <si>
    <t xml:space="preserve">CUST-3311</t>
  </si>
  <si>
    <t xml:space="preserve">30 Nov 2024</t>
  </si>
  <si>
    <t xml:space="preserve">01 Dec 2024</t>
  </si>
  <si>
    <t xml:space="preserve">ORD-2024-10526</t>
  </si>
  <si>
    <t xml:space="preserve">CUST-2924</t>
  </si>
  <si>
    <t xml:space="preserve">10/17/2024</t>
  </si>
  <si>
    <t xml:space="preserve">2024-10-17</t>
  </si>
  <si>
    <t xml:space="preserve">ORD-2025-10527</t>
  </si>
  <si>
    <t xml:space="preserve">CUST-7198</t>
  </si>
  <si>
    <t xml:space="preserve">2025-07-18</t>
  </si>
  <si>
    <t xml:space="preserve">21 Jul 2025</t>
  </si>
  <si>
    <t xml:space="preserve">ORD-2025-10528</t>
  </si>
  <si>
    <t xml:space="preserve">CUST-3419</t>
  </si>
  <si>
    <t xml:space="preserve">01-10-2025</t>
  </si>
  <si>
    <t xml:space="preserve">2025-10-05</t>
  </si>
  <si>
    <t xml:space="preserve">ORD-2024-10529</t>
  </si>
  <si>
    <t xml:space="preserve">CUST-2390</t>
  </si>
  <si>
    <t xml:space="preserve">2024-10-07</t>
  </si>
  <si>
    <t xml:space="preserve">09-10-2024</t>
  </si>
  <si>
    <t xml:space="preserve">ORD-2024-10530</t>
  </si>
  <si>
    <t xml:space="preserve">2024-02-08</t>
  </si>
  <si>
    <t xml:space="preserve">ORD-2025-10531</t>
  </si>
  <si>
    <t xml:space="preserve">CUST-8177</t>
  </si>
  <si>
    <t xml:space="preserve">05/30/2025</t>
  </si>
  <si>
    <t xml:space="preserve">2025-06-01</t>
  </si>
  <si>
    <t xml:space="preserve">ORD-2024-10532</t>
  </si>
  <si>
    <t xml:space="preserve">CUST-6357</t>
  </si>
  <si>
    <t xml:space="preserve">08-08-2024</t>
  </si>
  <si>
    <t xml:space="preserve">ORD-2025-10533</t>
  </si>
  <si>
    <t xml:space="preserve">CUST-7690</t>
  </si>
  <si>
    <t xml:space="preserve">ORD-2024-10534</t>
  </si>
  <si>
    <t xml:space="preserve">CUST-4487</t>
  </si>
  <si>
    <t xml:space="preserve">25 Aug 2024</t>
  </si>
  <si>
    <t xml:space="preserve">ORD-2025-10535</t>
  </si>
  <si>
    <t xml:space="preserve">CUST-8204</t>
  </si>
  <si>
    <t xml:space="preserve">04/27/2025</t>
  </si>
  <si>
    <t xml:space="preserve">2025-05-05</t>
  </si>
  <si>
    <t xml:space="preserve">ORD-2024-10536</t>
  </si>
  <si>
    <t xml:space="preserve">CUST-1729</t>
  </si>
  <si>
    <t xml:space="preserve">19-05-2024</t>
  </si>
  <si>
    <t xml:space="preserve">21 May 2024</t>
  </si>
  <si>
    <t xml:space="preserve">ORD-2025-10537</t>
  </si>
  <si>
    <t xml:space="preserve">CUST-4269</t>
  </si>
  <si>
    <t xml:space="preserve">2025-04-10</t>
  </si>
  <si>
    <t xml:space="preserve">2025-04-17</t>
  </si>
  <si>
    <t xml:space="preserve">ORD-2024-10538</t>
  </si>
  <si>
    <t xml:space="preserve">CUST-1370</t>
  </si>
  <si>
    <t xml:space="preserve">2024-01-30</t>
  </si>
  <si>
    <t xml:space="preserve">ORD-2024-10539</t>
  </si>
  <si>
    <t xml:space="preserve">CUST-5381</t>
  </si>
  <si>
    <t xml:space="preserve">01-10-2024</t>
  </si>
  <si>
    <t xml:space="preserve">ORD-2025-10540</t>
  </si>
  <si>
    <t xml:space="preserve">CUST-3694</t>
  </si>
  <si>
    <t xml:space="preserve">mira das</t>
  </si>
  <si>
    <t xml:space="preserve">ORD-2024-10541</t>
  </si>
  <si>
    <t xml:space="preserve">CUST-7563</t>
  </si>
  <si>
    <t xml:space="preserve">26-02-2024</t>
  </si>
  <si>
    <t xml:space="preserve">ORD-2025-10542</t>
  </si>
  <si>
    <t xml:space="preserve">CUST-4188</t>
  </si>
  <si>
    <t xml:space="preserve">08-07-2025</t>
  </si>
  <si>
    <t xml:space="preserve">2025-07-09</t>
  </si>
  <si>
    <t xml:space="preserve">ORD-2024-10543</t>
  </si>
  <si>
    <t xml:space="preserve">CUST-9376</t>
  </si>
  <si>
    <t xml:space="preserve">09/17/2024</t>
  </si>
  <si>
    <t xml:space="preserve">2024-09-23</t>
  </si>
  <si>
    <t xml:space="preserve">CANCELLED</t>
  </si>
  <si>
    <t xml:space="preserve">ORD-2024-10544</t>
  </si>
  <si>
    <t xml:space="preserve">CUST-9094</t>
  </si>
  <si>
    <t xml:space="preserve">2024-07-14</t>
  </si>
  <si>
    <t xml:space="preserve">ORD-2025-10545</t>
  </si>
  <si>
    <t xml:space="preserve">CUST-2366</t>
  </si>
  <si>
    <t xml:space="preserve">2025-01-29</t>
  </si>
  <si>
    <t xml:space="preserve">ORD-2024-10546</t>
  </si>
  <si>
    <t xml:space="preserve">CUST-7168</t>
  </si>
  <si>
    <t xml:space="preserve">05/27/2024</t>
  </si>
  <si>
    <t xml:space="preserve">30 May 2024</t>
  </si>
  <si>
    <t xml:space="preserve">ORD-2025-10547</t>
  </si>
  <si>
    <t xml:space="preserve">CUST-8157</t>
  </si>
  <si>
    <t xml:space="preserve">2025-08-14</t>
  </si>
  <si>
    <t xml:space="preserve">office supplies</t>
  </si>
  <si>
    <t xml:space="preserve">ORD-2024-10548</t>
  </si>
  <si>
    <t xml:space="preserve">CUST-9146</t>
  </si>
  <si>
    <t xml:space="preserve">16 May 2024</t>
  </si>
  <si>
    <t xml:space="preserve">23 May 2024</t>
  </si>
  <si>
    <t xml:space="preserve">ORD-2024-10549</t>
  </si>
  <si>
    <t xml:space="preserve">CUST-5129</t>
  </si>
  <si>
    <t xml:space="preserve">ORD-2025-10550</t>
  </si>
  <si>
    <t xml:space="preserve">CUST-6028</t>
  </si>
  <si>
    <t xml:space="preserve">10/11/2025</t>
  </si>
  <si>
    <t xml:space="preserve">13 Oct 2025</t>
  </si>
  <si>
    <t xml:space="preserve">ORD-2024-10551</t>
  </si>
  <si>
    <t xml:space="preserve">CUST-8687</t>
  </si>
  <si>
    <t xml:space="preserve">08/10/2024</t>
  </si>
  <si>
    <t xml:space="preserve">ORD-2024-10552</t>
  </si>
  <si>
    <t xml:space="preserve">CUST-8172</t>
  </si>
  <si>
    <t xml:space="preserve">2024-02-27</t>
  </si>
  <si>
    <t xml:space="preserve">ORD-2025-10553</t>
  </si>
  <si>
    <t xml:space="preserve">CUST-8861</t>
  </si>
  <si>
    <t xml:space="preserve">ORD-2025-10554</t>
  </si>
  <si>
    <t xml:space="preserve">CUST-9241</t>
  </si>
  <si>
    <t xml:space="preserve">04/25/2025</t>
  </si>
  <si>
    <t xml:space="preserve">2025-04-28</t>
  </si>
  <si>
    <t xml:space="preserve">ORD-2024-10555</t>
  </si>
  <si>
    <t xml:space="preserve">CUST-2126</t>
  </si>
  <si>
    <t xml:space="preserve">2024-10-12</t>
  </si>
  <si>
    <t xml:space="preserve">17 Oct 2024</t>
  </si>
  <si>
    <t xml:space="preserve">ORD-2025-10556</t>
  </si>
  <si>
    <t xml:space="preserve">CUST-7513</t>
  </si>
  <si>
    <t xml:space="preserve">10 Feb 2025</t>
  </si>
  <si>
    <t xml:space="preserve">ORD-2024-10557</t>
  </si>
  <si>
    <t xml:space="preserve">CUST-1992</t>
  </si>
  <si>
    <t xml:space="preserve">ORD-2024-10558</t>
  </si>
  <si>
    <t xml:space="preserve">CUST-8848</t>
  </si>
  <si>
    <t xml:space="preserve">2024-05-08</t>
  </si>
  <si>
    <t xml:space="preserve">14-05-2024</t>
  </si>
  <si>
    <t xml:space="preserve">ORD-2025-10559</t>
  </si>
  <si>
    <t xml:space="preserve">CUST-9368</t>
  </si>
  <si>
    <t xml:space="preserve">2025-09-04</t>
  </si>
  <si>
    <t xml:space="preserve">09/04/2025</t>
  </si>
  <si>
    <t xml:space="preserve">ORD-2025-10560</t>
  </si>
  <si>
    <t xml:space="preserve">CUST-6797</t>
  </si>
  <si>
    <t xml:space="preserve">2025-10-07</t>
  </si>
  <si>
    <t xml:space="preserve">ORD-2024-10561</t>
  </si>
  <si>
    <t xml:space="preserve">CUST-9333</t>
  </si>
  <si>
    <t xml:space="preserve">2024-01-16</t>
  </si>
  <si>
    <t xml:space="preserve">ORD-2025-10562</t>
  </si>
  <si>
    <t xml:space="preserve">CUST-6654</t>
  </si>
  <si>
    <t xml:space="preserve">18 Jul 2025</t>
  </si>
  <si>
    <t xml:space="preserve">ORD-2024-10563</t>
  </si>
  <si>
    <t xml:space="preserve">CUST-8622</t>
  </si>
  <si>
    <t xml:space="preserve">10 May 2024</t>
  </si>
  <si>
    <t xml:space="preserve">ORD-2024-10564</t>
  </si>
  <si>
    <t xml:space="preserve">CUST-8776</t>
  </si>
  <si>
    <t xml:space="preserve">05/06/2024</t>
  </si>
  <si>
    <t xml:space="preserve">ORD-2024-10565</t>
  </si>
  <si>
    <t xml:space="preserve">CUST-9100</t>
  </si>
  <si>
    <t xml:space="preserve">14-11-2024</t>
  </si>
  <si>
    <t xml:space="preserve">ORD-2025-10566</t>
  </si>
  <si>
    <t xml:space="preserve">CUST-5601</t>
  </si>
  <si>
    <t xml:space="preserve">07 Aug 2025</t>
  </si>
  <si>
    <t xml:space="preserve">ORD-2024-10567</t>
  </si>
  <si>
    <t xml:space="preserve">CUST-5246</t>
  </si>
  <si>
    <t xml:space="preserve">2024-08-19</t>
  </si>
  <si>
    <t xml:space="preserve">ORD-2024-10568</t>
  </si>
  <si>
    <t xml:space="preserve">CUST-3128</t>
  </si>
  <si>
    <t xml:space="preserve">06 Feb 2024</t>
  </si>
  <si>
    <t xml:space="preserve">10-02-2024</t>
  </si>
  <si>
    <t xml:space="preserve">ORD-2024-10569</t>
  </si>
  <si>
    <t xml:space="preserve">CUST-4604</t>
  </si>
  <si>
    <t xml:space="preserve">24 Jan 2024</t>
  </si>
  <si>
    <t xml:space="preserve">ORD-2025-10570</t>
  </si>
  <si>
    <t xml:space="preserve">CUST-2586</t>
  </si>
  <si>
    <t xml:space="preserve">09/08/2025</t>
  </si>
  <si>
    <t xml:space="preserve">2025-09-10</t>
  </si>
  <si>
    <t xml:space="preserve">ORD-2025-10571</t>
  </si>
  <si>
    <t xml:space="preserve">CUST-6585</t>
  </si>
  <si>
    <t xml:space="preserve">ORD-2025-10572</t>
  </si>
  <si>
    <t xml:space="preserve">CUST-3425</t>
  </si>
  <si>
    <t xml:space="preserve">2025-02-14</t>
  </si>
  <si>
    <t xml:space="preserve">ORD-2024-10573</t>
  </si>
  <si>
    <t xml:space="preserve">CUST-8633</t>
  </si>
  <si>
    <t xml:space="preserve">01/02/2024</t>
  </si>
  <si>
    <t xml:space="preserve">09-01-2024</t>
  </si>
  <si>
    <t xml:space="preserve">  Diya Patel </t>
  </si>
  <si>
    <t xml:space="preserve">ORD-2025-10574</t>
  </si>
  <si>
    <t xml:space="preserve">CUST-8243</t>
  </si>
  <si>
    <t xml:space="preserve">09/22/2025</t>
  </si>
  <si>
    <t xml:space="preserve">09/26/2025</t>
  </si>
  <si>
    <t xml:space="preserve">ORD-2024-10575</t>
  </si>
  <si>
    <t xml:space="preserve">20 Feb 2024</t>
  </si>
  <si>
    <t xml:space="preserve">ORD-2025-10576</t>
  </si>
  <si>
    <t xml:space="preserve">CUST-5496</t>
  </si>
  <si>
    <t xml:space="preserve">11 Mar 2025</t>
  </si>
  <si>
    <t xml:space="preserve">14 Mar 2025</t>
  </si>
  <si>
    <t xml:space="preserve">ORD-2024-10577</t>
  </si>
  <si>
    <t xml:space="preserve">CUST-2228</t>
  </si>
  <si>
    <t xml:space="preserve">17-02-2024</t>
  </si>
  <si>
    <t xml:space="preserve">02/23/2024</t>
  </si>
  <si>
    <t xml:space="preserve">ORD-2025-10578</t>
  </si>
  <si>
    <t xml:space="preserve">CUST-4151</t>
  </si>
  <si>
    <t xml:space="preserve">2025-09-03</t>
  </si>
  <si>
    <t xml:space="preserve">ORD-2024-10579</t>
  </si>
  <si>
    <t xml:space="preserve">2024-02-21</t>
  </si>
  <si>
    <t xml:space="preserve">23-02-2024</t>
  </si>
  <si>
    <t xml:space="preserve">ORD-2024-10580</t>
  </si>
  <si>
    <t xml:space="preserve">CUST-9617</t>
  </si>
  <si>
    <t xml:space="preserve">19-06-2024</t>
  </si>
  <si>
    <t xml:space="preserve">24 Jun 2024</t>
  </si>
  <si>
    <t xml:space="preserve">ORD-2025-10581</t>
  </si>
  <si>
    <t xml:space="preserve">CUST-7958</t>
  </si>
  <si>
    <t xml:space="preserve">06-03-2025</t>
  </si>
  <si>
    <t xml:space="preserve">ORD-2025-10582</t>
  </si>
  <si>
    <t xml:space="preserve">CUST-9931</t>
  </si>
  <si>
    <t xml:space="preserve">08/10/2025</t>
  </si>
  <si>
    <t xml:space="preserve">ORD-2024-10583</t>
  </si>
  <si>
    <t xml:space="preserve">CUST-2088</t>
  </si>
  <si>
    <t xml:space="preserve">2024-10-15</t>
  </si>
  <si>
    <t xml:space="preserve">10/20/2024</t>
  </si>
  <si>
    <t xml:space="preserve">ORD-2024-10584</t>
  </si>
  <si>
    <t xml:space="preserve">CUST-1686</t>
  </si>
  <si>
    <t xml:space="preserve">02/28/2024</t>
  </si>
  <si>
    <t xml:space="preserve">ORD-2024-10585</t>
  </si>
  <si>
    <t xml:space="preserve">CUST-4894</t>
  </si>
  <si>
    <t xml:space="preserve">08/04/2024</t>
  </si>
  <si>
    <t xml:space="preserve">10-08-2024</t>
  </si>
  <si>
    <t xml:space="preserve">ORD-2025-10586</t>
  </si>
  <si>
    <t xml:space="preserve">CUST-5201</t>
  </si>
  <si>
    <t xml:space="preserve">2025-06-25</t>
  </si>
  <si>
    <t xml:space="preserve">ORD-2025-10587</t>
  </si>
  <si>
    <t xml:space="preserve">CUST-8626</t>
  </si>
  <si>
    <t xml:space="preserve">12-04-2025</t>
  </si>
  <si>
    <t xml:space="preserve">12 Apr 2025</t>
  </si>
  <si>
    <t xml:space="preserve">ORD-2025-10588</t>
  </si>
  <si>
    <t xml:space="preserve">CUST-1013</t>
  </si>
  <si>
    <t xml:space="preserve">23-07-2025</t>
  </si>
  <si>
    <t xml:space="preserve">2025-07-31</t>
  </si>
  <si>
    <t xml:space="preserve">ORD-2025-10589</t>
  </si>
  <si>
    <t xml:space="preserve">CUST-3601</t>
  </si>
  <si>
    <t xml:space="preserve">2025-03-11</t>
  </si>
  <si>
    <t xml:space="preserve">15 Mar 2025</t>
  </si>
  <si>
    <t xml:space="preserve">ORD-2024-10590</t>
  </si>
  <si>
    <t xml:space="preserve">CUST-7846</t>
  </si>
  <si>
    <t xml:space="preserve">06 Dec 2024</t>
  </si>
  <si>
    <t xml:space="preserve">12/12/2024</t>
  </si>
  <si>
    <t xml:space="preserve">ORD-2024-10591</t>
  </si>
  <si>
    <t xml:space="preserve">CUST-3433</t>
  </si>
  <si>
    <t xml:space="preserve">2024-05-29</t>
  </si>
  <si>
    <t xml:space="preserve">  Pending </t>
  </si>
  <si>
    <t xml:space="preserve">ORD-2024-10592</t>
  </si>
  <si>
    <t xml:space="preserve">CUST-2423</t>
  </si>
  <si>
    <t xml:space="preserve">2024-02-22</t>
  </si>
  <si>
    <t xml:space="preserve">24-02-2024</t>
  </si>
  <si>
    <t xml:space="preserve">ORD-2024-10593</t>
  </si>
  <si>
    <t xml:space="preserve">CUST-3559</t>
  </si>
  <si>
    <t xml:space="preserve">ORD-2025-10594</t>
  </si>
  <si>
    <t xml:space="preserve">2025-09-29</t>
  </si>
  <si>
    <t xml:space="preserve">ORD-2024-10595</t>
  </si>
  <si>
    <t xml:space="preserve">CUST-6850</t>
  </si>
  <si>
    <t xml:space="preserve">2024-09-19</t>
  </si>
  <si>
    <t xml:space="preserve">ORD-2025-10596</t>
  </si>
  <si>
    <t xml:space="preserve">CUST-5566</t>
  </si>
  <si>
    <t xml:space="preserve">02/11/2025</t>
  </si>
  <si>
    <t xml:space="preserve">16-02-2025</t>
  </si>
  <si>
    <t xml:space="preserve">ORD-2024-10597</t>
  </si>
  <si>
    <t xml:space="preserve">CUST-2593</t>
  </si>
  <si>
    <t xml:space="preserve">ORD-2025-10598</t>
  </si>
  <si>
    <t xml:space="preserve">CUST-6957</t>
  </si>
  <si>
    <t xml:space="preserve">08 Jul 2025</t>
  </si>
  <si>
    <t xml:space="preserve">ORD-2024-10599</t>
  </si>
  <si>
    <t xml:space="preserve">CUST-8498</t>
  </si>
  <si>
    <t xml:space="preserve">08/24/2024</t>
  </si>
  <si>
    <t xml:space="preserve">ORD-2024-10600</t>
  </si>
  <si>
    <t xml:space="preserve">CUST-2612</t>
  </si>
  <si>
    <t xml:space="preserve">19-08-2024</t>
  </si>
  <si>
    <t xml:space="preserve">ORD-2025-10601</t>
  </si>
  <si>
    <t xml:space="preserve">CUST-6013</t>
  </si>
  <si>
    <t xml:space="preserve">05-03-2025</t>
  </si>
  <si>
    <t xml:space="preserve">2025-03-12</t>
  </si>
  <si>
    <t xml:space="preserve">ORD-2024-10602</t>
  </si>
  <si>
    <t xml:space="preserve">CUST-8289</t>
  </si>
  <si>
    <t xml:space="preserve">26 Jan 2024</t>
  </si>
  <si>
    <t xml:space="preserve">01/31/2024</t>
  </si>
  <si>
    <t xml:space="preserve">ORD-2024-10603</t>
  </si>
  <si>
    <t xml:space="preserve">CUST-5668</t>
  </si>
  <si>
    <t xml:space="preserve">23-10-2024</t>
  </si>
  <si>
    <t xml:space="preserve">2024-10-30</t>
  </si>
  <si>
    <t xml:space="preserve">ORD-2025-10604</t>
  </si>
  <si>
    <t xml:space="preserve">01/03/2025</t>
  </si>
  <si>
    <t xml:space="preserve">ORD-2025-10605</t>
  </si>
  <si>
    <t xml:space="preserve">CUST-4526</t>
  </si>
  <si>
    <t xml:space="preserve">05-02-2025</t>
  </si>
  <si>
    <t xml:space="preserve">02/06/2025</t>
  </si>
  <si>
    <t xml:space="preserve">ORD-2025-10606</t>
  </si>
  <si>
    <t xml:space="preserve">CUST-4447</t>
  </si>
  <si>
    <t xml:space="preserve">13 Jul 2025</t>
  </si>
  <si>
    <t xml:space="preserve">ORD-2025-10607</t>
  </si>
  <si>
    <t xml:space="preserve">CUST-2698</t>
  </si>
  <si>
    <t xml:space="preserve">22 Feb 2025</t>
  </si>
  <si>
    <t xml:space="preserve">ORD-2025-10608</t>
  </si>
  <si>
    <t xml:space="preserve">CUST-6297</t>
  </si>
  <si>
    <t xml:space="preserve">ORD-2024-10609</t>
  </si>
  <si>
    <t xml:space="preserve">ORD-2025-10610</t>
  </si>
  <si>
    <t xml:space="preserve">CUST-4380</t>
  </si>
  <si>
    <t xml:space="preserve">ORD-2024-10611</t>
  </si>
  <si>
    <t xml:space="preserve">20 May 2024</t>
  </si>
  <si>
    <t xml:space="preserve">05/20/2024</t>
  </si>
  <si>
    <t xml:space="preserve">ORD-2025-10612</t>
  </si>
  <si>
    <t xml:space="preserve">CUST-6108</t>
  </si>
  <si>
    <t xml:space="preserve">15 Jul 2025</t>
  </si>
  <si>
    <t xml:space="preserve">ORD-2025-10613</t>
  </si>
  <si>
    <t xml:space="preserve">CUST-5663</t>
  </si>
  <si>
    <t xml:space="preserve">06 Apr 2025</t>
  </si>
  <si>
    <t xml:space="preserve">13-04-2025</t>
  </si>
  <si>
    <t xml:space="preserve">ORD-2024-10614</t>
  </si>
  <si>
    <t xml:space="preserve">CUST-9311</t>
  </si>
  <si>
    <t xml:space="preserve">10/10/2024</t>
  </si>
  <si>
    <t xml:space="preserve">ORD-2024-10615</t>
  </si>
  <si>
    <t xml:space="preserve">CUST-8154</t>
  </si>
  <si>
    <t xml:space="preserve">19-02-2024</t>
  </si>
  <si>
    <t xml:space="preserve">ORD-2024-10616</t>
  </si>
  <si>
    <t xml:space="preserve">CUST-4462</t>
  </si>
  <si>
    <t xml:space="preserve">2024-10-04</t>
  </si>
  <si>
    <t xml:space="preserve">10/07/2024</t>
  </si>
  <si>
    <t xml:space="preserve">ORD-2024-10617</t>
  </si>
  <si>
    <t xml:space="preserve">CUST-4660</t>
  </si>
  <si>
    <t xml:space="preserve">16 Aug 2024</t>
  </si>
  <si>
    <t xml:space="preserve">ORD-2024-10618</t>
  </si>
  <si>
    <t xml:space="preserve">CUST-9002</t>
  </si>
  <si>
    <t xml:space="preserve">09/29/2024</t>
  </si>
  <si>
    <t xml:space="preserve">ORD-2024-10619</t>
  </si>
  <si>
    <t xml:space="preserve">CUST-1057</t>
  </si>
  <si>
    <t xml:space="preserve">2024-07-23</t>
  </si>
  <si>
    <t xml:space="preserve">ORD-2024-10620</t>
  </si>
  <si>
    <t xml:space="preserve">CUST-9596</t>
  </si>
  <si>
    <t xml:space="preserve">27 Nov 2024</t>
  </si>
  <si>
    <t xml:space="preserve">ORD-2024-10621</t>
  </si>
  <si>
    <t xml:space="preserve">CUST-6947</t>
  </si>
  <si>
    <t xml:space="preserve">18-08-2024</t>
  </si>
  <si>
    <t xml:space="preserve">08/21/2024</t>
  </si>
  <si>
    <t xml:space="preserve">ORD-2024-10622</t>
  </si>
  <si>
    <t xml:space="preserve">CUST-7236</t>
  </si>
  <si>
    <t xml:space="preserve">06-12-2024</t>
  </si>
  <si>
    <t xml:space="preserve">ORD-2025-10623</t>
  </si>
  <si>
    <t xml:space="preserve">CUST-1127</t>
  </si>
  <si>
    <t xml:space="preserve">29-01-2025</t>
  </si>
  <si>
    <t xml:space="preserve">06 Feb 2025</t>
  </si>
  <si>
    <t xml:space="preserve">ORD-2024-10624</t>
  </si>
  <si>
    <t xml:space="preserve">CUST-6262</t>
  </si>
  <si>
    <t xml:space="preserve">08 Aug 2024</t>
  </si>
  <si>
    <t xml:space="preserve">14 Aug 2024</t>
  </si>
  <si>
    <t xml:space="preserve">ORD-2024-10625</t>
  </si>
  <si>
    <t xml:space="preserve">CUST-5070</t>
  </si>
  <si>
    <t xml:space="preserve">01/30/2024</t>
  </si>
  <si>
    <t xml:space="preserve">2024-02-01</t>
  </si>
  <si>
    <t xml:space="preserve">ORD-2024-10626</t>
  </si>
  <si>
    <t xml:space="preserve">CUST-7946</t>
  </si>
  <si>
    <t xml:space="preserve">12/15/2024</t>
  </si>
  <si>
    <t xml:space="preserve">ORD-2025-10627</t>
  </si>
  <si>
    <t xml:space="preserve">CUST-1793</t>
  </si>
  <si>
    <t xml:space="preserve">06/07/2025</t>
  </si>
  <si>
    <t xml:space="preserve">  Technology </t>
  </si>
  <si>
    <t xml:space="preserve">ORD-2025-10628</t>
  </si>
  <si>
    <t xml:space="preserve">CUST-8839</t>
  </si>
  <si>
    <t xml:space="preserve">ORD-2025-10629</t>
  </si>
  <si>
    <t xml:space="preserve">CUST-6725</t>
  </si>
  <si>
    <t xml:space="preserve">12 Oct 2025</t>
  </si>
  <si>
    <t xml:space="preserve">ORD-2025-10630</t>
  </si>
  <si>
    <t xml:space="preserve">CUST-3793</t>
  </si>
  <si>
    <t xml:space="preserve">14 Sep 2025</t>
  </si>
  <si>
    <t xml:space="preserve">ORD-2024-10631</t>
  </si>
  <si>
    <t xml:space="preserve">CUST-6075</t>
  </si>
  <si>
    <t xml:space="preserve">ORD-2024-10632</t>
  </si>
  <si>
    <t xml:space="preserve">CUST-6381</t>
  </si>
  <si>
    <t xml:space="preserve">ORD-2025-10633</t>
  </si>
  <si>
    <t xml:space="preserve">CUST-4593</t>
  </si>
  <si>
    <t xml:space="preserve">15-04-2025</t>
  </si>
  <si>
    <t xml:space="preserve">16-04-2025</t>
  </si>
  <si>
    <t xml:space="preserve">ORD-2025-10634</t>
  </si>
  <si>
    <t xml:space="preserve">CUST-5043</t>
  </si>
  <si>
    <t xml:space="preserve">04/18/2025</t>
  </si>
  <si>
    <t xml:space="preserve">20 Apr 2025</t>
  </si>
  <si>
    <t xml:space="preserve">ORD-2025-10635</t>
  </si>
  <si>
    <t xml:space="preserve">CUST-4722</t>
  </si>
  <si>
    <t xml:space="preserve">01/11/2025</t>
  </si>
  <si>
    <t xml:space="preserve">ORD-2024-10636</t>
  </si>
  <si>
    <t xml:space="preserve">CUST-7931</t>
  </si>
  <si>
    <t xml:space="preserve">2024-05-25</t>
  </si>
  <si>
    <t xml:space="preserve">ORD-2024-10637</t>
  </si>
  <si>
    <t xml:space="preserve">CUST-7221</t>
  </si>
  <si>
    <t xml:space="preserve">02 Oct 2024</t>
  </si>
  <si>
    <t xml:space="preserve">09 Oct 2024</t>
  </si>
  <si>
    <t xml:space="preserve">ORD-2024-10638</t>
  </si>
  <si>
    <t xml:space="preserve">CUST-2594</t>
  </si>
  <si>
    <t xml:space="preserve">26-05-2024</t>
  </si>
  <si>
    <t xml:space="preserve">2024-05-26</t>
  </si>
  <si>
    <t xml:space="preserve">ORD-2024-10639</t>
  </si>
  <si>
    <t xml:space="preserve">CUST-2111</t>
  </si>
  <si>
    <t xml:space="preserve">31-01-2024</t>
  </si>
  <si>
    <t xml:space="preserve">ORD-2024-10640</t>
  </si>
  <si>
    <t xml:space="preserve">CUST-6829</t>
  </si>
  <si>
    <t xml:space="preserve">12/27/2024</t>
  </si>
  <si>
    <t xml:space="preserve">ORD-2025-10641</t>
  </si>
  <si>
    <t xml:space="preserve">CUST-5061</t>
  </si>
  <si>
    <t xml:space="preserve">14-01-2025</t>
  </si>
  <si>
    <t xml:space="preserve">17 Jan 2025</t>
  </si>
  <si>
    <t xml:space="preserve">ORD-2025-10642</t>
  </si>
  <si>
    <t xml:space="preserve">CUST-7915</t>
  </si>
  <si>
    <t xml:space="preserve">2025-04-09</t>
  </si>
  <si>
    <t xml:space="preserve">ORD-2024-10643</t>
  </si>
  <si>
    <t xml:space="preserve">CUST-1940</t>
  </si>
  <si>
    <t xml:space="preserve">binders</t>
  </si>
  <si>
    <t xml:space="preserve">ORD-2024-10644</t>
  </si>
  <si>
    <t xml:space="preserve">05-02-2024</t>
  </si>
  <si>
    <t xml:space="preserve">2024-02-13</t>
  </si>
  <si>
    <t xml:space="preserve">ORD-2025-10645</t>
  </si>
  <si>
    <t xml:space="preserve">CUST-5549</t>
  </si>
  <si>
    <t xml:space="preserve">04/17/2025</t>
  </si>
  <si>
    <t xml:space="preserve">ORD-2024-10646</t>
  </si>
  <si>
    <t xml:space="preserve">CUST-2314</t>
  </si>
  <si>
    <t xml:space="preserve">2024-01-04</t>
  </si>
  <si>
    <t xml:space="preserve">ORD-2024-10647</t>
  </si>
  <si>
    <t xml:space="preserve">CUST-6360</t>
  </si>
  <si>
    <t xml:space="preserve">09/18/2024</t>
  </si>
  <si>
    <t xml:space="preserve">24-09-2024</t>
  </si>
  <si>
    <t xml:space="preserve">ORD-2025-10648</t>
  </si>
  <si>
    <t xml:space="preserve">CUST-9942</t>
  </si>
  <si>
    <t xml:space="preserve">09-01-2025</t>
  </si>
  <si>
    <t xml:space="preserve">Rohan  Mehta</t>
  </si>
  <si>
    <t xml:space="preserve">ORD-2024-10649</t>
  </si>
  <si>
    <t xml:space="preserve">CUST-1808</t>
  </si>
  <si>
    <t xml:space="preserve">21-04-2024</t>
  </si>
  <si>
    <t xml:space="preserve">ORD-2025-10650</t>
  </si>
  <si>
    <t xml:space="preserve">CUST-7277</t>
  </si>
  <si>
    <t xml:space="preserve">11 Aug 2025</t>
  </si>
  <si>
    <t xml:space="preserve">19-08-2025</t>
  </si>
  <si>
    <t xml:space="preserve">ORD-2024-10651</t>
  </si>
  <si>
    <t xml:space="preserve">04/13/2024</t>
  </si>
  <si>
    <t xml:space="preserve">21 Apr 2024</t>
  </si>
  <si>
    <t xml:space="preserve">ORD-2025-10652</t>
  </si>
  <si>
    <t xml:space="preserve">CUST-2660</t>
  </si>
  <si>
    <t xml:space="preserve">09-08-2025</t>
  </si>
  <si>
    <t xml:space="preserve">ORD-2025-10653</t>
  </si>
  <si>
    <t xml:space="preserve">03/17/2025</t>
  </si>
  <si>
    <t xml:space="preserve">2025-03-21</t>
  </si>
  <si>
    <t xml:space="preserve">ORD-2025-10654</t>
  </si>
  <si>
    <t xml:space="preserve">CUST-3970</t>
  </si>
  <si>
    <t xml:space="preserve">04-04-2025</t>
  </si>
  <si>
    <t xml:space="preserve">04/07/2025</t>
  </si>
  <si>
    <t xml:space="preserve">ORD-2025-10655</t>
  </si>
  <si>
    <t xml:space="preserve">10/12/2025</t>
  </si>
  <si>
    <t xml:space="preserve">ORD-2025-10656</t>
  </si>
  <si>
    <t xml:space="preserve">CUST-8039</t>
  </si>
  <si>
    <t xml:space="preserve">ORD-2024-10657</t>
  </si>
  <si>
    <t xml:space="preserve">CUST-4446</t>
  </si>
  <si>
    <t xml:space="preserve">07-05-2024</t>
  </si>
  <si>
    <t xml:space="preserve">ORD-2025-10658</t>
  </si>
  <si>
    <t xml:space="preserve">CUST-7787</t>
  </si>
  <si>
    <t xml:space="preserve">08/07/2025</t>
  </si>
  <si>
    <t xml:space="preserve">2025-08-10</t>
  </si>
  <si>
    <t xml:space="preserve">ORD-2025-10659</t>
  </si>
  <si>
    <t xml:space="preserve">CUST-9074</t>
  </si>
  <si>
    <t xml:space="preserve">2025-06-09</t>
  </si>
  <si>
    <t xml:space="preserve">ORD-2025-10660</t>
  </si>
  <si>
    <t xml:space="preserve">CUST-8330</t>
  </si>
  <si>
    <t xml:space="preserve">ORD-2025-10661</t>
  </si>
  <si>
    <t xml:space="preserve">CUST-5638</t>
  </si>
  <si>
    <t xml:space="preserve">15-07-2025</t>
  </si>
  <si>
    <t xml:space="preserve">ORD-2024-10662</t>
  </si>
  <si>
    <t xml:space="preserve">CUST-4537</t>
  </si>
  <si>
    <t xml:space="preserve">17-05-2024</t>
  </si>
  <si>
    <t xml:space="preserve">2024-05-22</t>
  </si>
  <si>
    <t xml:space="preserve">ORD-2024-10663</t>
  </si>
  <si>
    <t xml:space="preserve">CUST-3181</t>
  </si>
  <si>
    <t xml:space="preserve">2024-01-14</t>
  </si>
  <si>
    <t xml:space="preserve">18-01-2024</t>
  </si>
  <si>
    <t xml:space="preserve">ORD-2024-10664</t>
  </si>
  <si>
    <t xml:space="preserve">CUST-1015</t>
  </si>
  <si>
    <t xml:space="preserve">ORD-2024-10665</t>
  </si>
  <si>
    <t xml:space="preserve">CUST-2709</t>
  </si>
  <si>
    <t xml:space="preserve">07 Dec 2024</t>
  </si>
  <si>
    <t xml:space="preserve">10 Dec 2024</t>
  </si>
  <si>
    <t xml:space="preserve">ORD-2025-10666</t>
  </si>
  <si>
    <t xml:space="preserve">CUST-1197</t>
  </si>
  <si>
    <t xml:space="preserve">2025-01-13</t>
  </si>
  <si>
    <t xml:space="preserve">01/13/2025</t>
  </si>
  <si>
    <t xml:space="preserve">  Rahul Verma </t>
  </si>
  <si>
    <t xml:space="preserve">ORD-2024-10667</t>
  </si>
  <si>
    <t xml:space="preserve">CUST-7758</t>
  </si>
  <si>
    <t xml:space="preserve">ORD-2025-10668</t>
  </si>
  <si>
    <t xml:space="preserve">CUST-3912</t>
  </si>
  <si>
    <t xml:space="preserve">20-05-2025</t>
  </si>
  <si>
    <t xml:space="preserve">27-05-2025</t>
  </si>
  <si>
    <t xml:space="preserve">ORD-2024-10669</t>
  </si>
  <si>
    <t xml:space="preserve">CUST-4190</t>
  </si>
  <si>
    <t xml:space="preserve">11/21/2024</t>
  </si>
  <si>
    <t xml:space="preserve">ORD-2024-10670</t>
  </si>
  <si>
    <t xml:space="preserve">CUST-7568</t>
  </si>
  <si>
    <t xml:space="preserve">2024-03-24</t>
  </si>
  <si>
    <t xml:space="preserve">01 Apr 2024</t>
  </si>
  <si>
    <t xml:space="preserve">ORD-2025-10671</t>
  </si>
  <si>
    <t xml:space="preserve">02/02/2025</t>
  </si>
  <si>
    <t xml:space="preserve">ORD-2024-10672</t>
  </si>
  <si>
    <t xml:space="preserve">CUST-3293</t>
  </si>
  <si>
    <t xml:space="preserve">2024-03-22</t>
  </si>
  <si>
    <t xml:space="preserve">27-03-2024</t>
  </si>
  <si>
    <t xml:space="preserve">COPIERS</t>
  </si>
  <si>
    <t xml:space="preserve">ORD-2024-10673</t>
  </si>
  <si>
    <t xml:space="preserve">CUST-8180</t>
  </si>
  <si>
    <t xml:space="preserve">2024-09-04</t>
  </si>
  <si>
    <t xml:space="preserve">2024-09-05</t>
  </si>
  <si>
    <t xml:space="preserve">ORD-2025-10674</t>
  </si>
  <si>
    <t xml:space="preserve">CUST-2807</t>
  </si>
  <si>
    <t xml:space="preserve">16 Feb 2025</t>
  </si>
  <si>
    <t xml:space="preserve">ORD-2024-10675</t>
  </si>
  <si>
    <t xml:space="preserve">CUST-4081</t>
  </si>
  <si>
    <t xml:space="preserve">2024-05-18</t>
  </si>
  <si>
    <t xml:space="preserve">2024-05-21</t>
  </si>
  <si>
    <t xml:space="preserve">ORD-2025-10676</t>
  </si>
  <si>
    <t xml:space="preserve">07-06-2025</t>
  </si>
  <si>
    <t xml:space="preserve">06/10/2025</t>
  </si>
  <si>
    <t xml:space="preserve">ORD-2025-10677</t>
  </si>
  <si>
    <t xml:space="preserve">CUST-9212</t>
  </si>
  <si>
    <t xml:space="preserve">09/11/2025</t>
  </si>
  <si>
    <t xml:space="preserve">09/18/2025</t>
  </si>
  <si>
    <t xml:space="preserve">ORD-2024-10678</t>
  </si>
  <si>
    <t xml:space="preserve">2024-06-22</t>
  </si>
  <si>
    <t xml:space="preserve">27-06-2024</t>
  </si>
  <si>
    <t xml:space="preserve">ORD-2024-10679</t>
  </si>
  <si>
    <t xml:space="preserve">CUST-1674</t>
  </si>
  <si>
    <t xml:space="preserve">24-11-2024</t>
  </si>
  <si>
    <t xml:space="preserve">12/01/2024</t>
  </si>
  <si>
    <t xml:space="preserve">ORD-2025-10680</t>
  </si>
  <si>
    <t xml:space="preserve">CUST-2897</t>
  </si>
  <si>
    <t xml:space="preserve">16-08-2025</t>
  </si>
  <si>
    <t xml:space="preserve">ORD-2024-10681</t>
  </si>
  <si>
    <t xml:space="preserve">CUST-1136</t>
  </si>
  <si>
    <t xml:space="preserve">ORD-2024-10682</t>
  </si>
  <si>
    <t xml:space="preserve">CUST-1376</t>
  </si>
  <si>
    <t xml:space="preserve">07/04/2024</t>
  </si>
  <si>
    <t xml:space="preserve">2024-07-10</t>
  </si>
  <si>
    <t xml:space="preserve">ORD-2025-10683</t>
  </si>
  <si>
    <t xml:space="preserve">CUST-1553</t>
  </si>
  <si>
    <t xml:space="preserve">ananya rao</t>
  </si>
  <si>
    <t xml:space="preserve">ORD-2025-10684</t>
  </si>
  <si>
    <t xml:space="preserve">CUST-5704</t>
  </si>
  <si>
    <t xml:space="preserve">2025-07-20</t>
  </si>
  <si>
    <t xml:space="preserve">ORD-2025-10685</t>
  </si>
  <si>
    <t xml:space="preserve">CUST-6738</t>
  </si>
  <si>
    <t xml:space="preserve">2025-07-21</t>
  </si>
  <si>
    <t xml:space="preserve">ORD-2025-10686</t>
  </si>
  <si>
    <t xml:space="preserve">01 Oct 2025</t>
  </si>
  <si>
    <t xml:space="preserve">ORD-2024-10687</t>
  </si>
  <si>
    <t xml:space="preserve">CUST-3127</t>
  </si>
  <si>
    <t xml:space="preserve">25-03-2024</t>
  </si>
  <si>
    <t xml:space="preserve">ORD-2025-10688</t>
  </si>
  <si>
    <t xml:space="preserve">CUST-9347</t>
  </si>
  <si>
    <t xml:space="preserve">13-10-2025</t>
  </si>
  <si>
    <t xml:space="preserve">ORD-2025-10689</t>
  </si>
  <si>
    <t xml:space="preserve">CUST-8575</t>
  </si>
  <si>
    <t xml:space="preserve">27 Feb 2025</t>
  </si>
  <si>
    <t xml:space="preserve">ORD-2024-10690</t>
  </si>
  <si>
    <t xml:space="preserve">CUST-4382</t>
  </si>
  <si>
    <t xml:space="preserve">05-10-2024</t>
  </si>
  <si>
    <t xml:space="preserve">06 Oct 2024</t>
  </si>
  <si>
    <t xml:space="preserve">ORD-2024-10691</t>
  </si>
  <si>
    <t xml:space="preserve">CUST-6815</t>
  </si>
  <si>
    <t xml:space="preserve">2024-09-15</t>
  </si>
  <si>
    <t xml:space="preserve">ORD-2024-10692</t>
  </si>
  <si>
    <t xml:space="preserve">CUST-7309</t>
  </si>
  <si>
    <t xml:space="preserve">16-12-2024</t>
  </si>
  <si>
    <t xml:space="preserve">ORD-2025-10693</t>
  </si>
  <si>
    <t xml:space="preserve">CUST-9531</t>
  </si>
  <si>
    <t xml:space="preserve">10-10-2025</t>
  </si>
  <si>
    <t xml:space="preserve">ORD-2025-10694</t>
  </si>
  <si>
    <t xml:space="preserve">CUST-6032</t>
  </si>
  <si>
    <t xml:space="preserve">03-04-2025</t>
  </si>
  <si>
    <t xml:space="preserve">ORD-2025-10695</t>
  </si>
  <si>
    <t xml:space="preserve">ORD-2024-10696</t>
  </si>
  <si>
    <t xml:space="preserve">CUST-6257</t>
  </si>
  <si>
    <t xml:space="preserve">2024-07-01</t>
  </si>
  <si>
    <t xml:space="preserve">Machines </t>
  </si>
  <si>
    <t xml:space="preserve">ORD-2025-10697</t>
  </si>
  <si>
    <t xml:space="preserve">CUST-7812</t>
  </si>
  <si>
    <t xml:space="preserve">22 Sep 2025</t>
  </si>
  <si>
    <t xml:space="preserve">25 Sep 2025</t>
  </si>
  <si>
    <t xml:space="preserve">ORD-2025-10698</t>
  </si>
  <si>
    <t xml:space="preserve">CUST-6205</t>
  </si>
  <si>
    <t xml:space="preserve">ORD-2024-10699</t>
  </si>
  <si>
    <t xml:space="preserve">CUST-5357</t>
  </si>
  <si>
    <t xml:space="preserve">14-09-2024</t>
  </si>
  <si>
    <t xml:space="preserve">ORD-2024-10700</t>
  </si>
  <si>
    <t xml:space="preserve">CUST-9802</t>
  </si>
  <si>
    <t xml:space="preserve">2024-06-11</t>
  </si>
  <si>
    <t xml:space="preserve">11 Jun 2024</t>
  </si>
  <si>
    <t xml:space="preserve">ORD-2024-10701</t>
  </si>
  <si>
    <t xml:space="preserve">CUST-5646</t>
  </si>
  <si>
    <t xml:space="preserve">18-09-2024</t>
  </si>
  <si>
    <t xml:space="preserve">ORD-2024-10702</t>
  </si>
  <si>
    <t xml:space="preserve">CUST-7171</t>
  </si>
  <si>
    <t xml:space="preserve">ORD-2025-10703</t>
  </si>
  <si>
    <t xml:space="preserve">CUST-5231</t>
  </si>
  <si>
    <t xml:space="preserve">2025-02-02</t>
  </si>
  <si>
    <t xml:space="preserve">ORD-2024-10704</t>
  </si>
  <si>
    <t xml:space="preserve">CUST-8734</t>
  </si>
  <si>
    <t xml:space="preserve">19 Oct 2024</t>
  </si>
  <si>
    <t xml:space="preserve">ORD-2024-10705</t>
  </si>
  <si>
    <t xml:space="preserve">CUST-4916</t>
  </si>
  <si>
    <t xml:space="preserve">03/20/2024</t>
  </si>
  <si>
    <t xml:space="preserve">ORD-2024-10706</t>
  </si>
  <si>
    <t xml:space="preserve">CUST-3289</t>
  </si>
  <si>
    <t xml:space="preserve">08 Sep 2024</t>
  </si>
  <si>
    <t xml:space="preserve">09/14/2024</t>
  </si>
  <si>
    <t xml:space="preserve">ORD-2024-10707</t>
  </si>
  <si>
    <t xml:space="preserve">CUST-4928</t>
  </si>
  <si>
    <t xml:space="preserve">24-06-2024</t>
  </si>
  <si>
    <t xml:space="preserve">ORD-2025-10708</t>
  </si>
  <si>
    <t xml:space="preserve">CUST-4902</t>
  </si>
  <si>
    <t xml:space="preserve">24-06-2025</t>
  </si>
  <si>
    <t xml:space="preserve">ORD-2025-10709</t>
  </si>
  <si>
    <t xml:space="preserve">CUST-6504</t>
  </si>
  <si>
    <t xml:space="preserve">03/20/2025</t>
  </si>
  <si>
    <t xml:space="preserve">2025-03-26</t>
  </si>
  <si>
    <t xml:space="preserve">ORD-2025-10710</t>
  </si>
  <si>
    <t xml:space="preserve">CUST-8036</t>
  </si>
  <si>
    <t xml:space="preserve">ORD-2024-10711</t>
  </si>
  <si>
    <t xml:space="preserve">CUST-7199</t>
  </si>
  <si>
    <t xml:space="preserve">07/12/2024</t>
  </si>
  <si>
    <t xml:space="preserve">07/19/2024</t>
  </si>
  <si>
    <t xml:space="preserve">ORD-2025-10712</t>
  </si>
  <si>
    <t xml:space="preserve">CUST-6176</t>
  </si>
  <si>
    <t xml:space="preserve">02-02-2025</t>
  </si>
  <si>
    <t xml:space="preserve">ORD-2024-10713</t>
  </si>
  <si>
    <t xml:space="preserve">CUST-5127</t>
  </si>
  <si>
    <t xml:space="preserve">18 Feb 2024</t>
  </si>
  <si>
    <t xml:space="preserve">ORD-2025-10714</t>
  </si>
  <si>
    <t xml:space="preserve">06/06/2025</t>
  </si>
  <si>
    <t xml:space="preserve">ORD-2025-10715</t>
  </si>
  <si>
    <t xml:space="preserve">CUST-9902</t>
  </si>
  <si>
    <t xml:space="preserve">ORD-2025-10716</t>
  </si>
  <si>
    <t xml:space="preserve">CUST-7446</t>
  </si>
  <si>
    <t xml:space="preserve">ORD-2025-10717</t>
  </si>
  <si>
    <t xml:space="preserve">CUST-7540</t>
  </si>
  <si>
    <t xml:space="preserve">26 Aug 2025</t>
  </si>
  <si>
    <t xml:space="preserve">ORD-2025-10718</t>
  </si>
  <si>
    <t xml:space="preserve">CUST-8351</t>
  </si>
  <si>
    <t xml:space="preserve">12-10-2025</t>
  </si>
  <si>
    <t xml:space="preserve">ORD-2024-10719</t>
  </si>
  <si>
    <t xml:space="preserve">CUST-3918</t>
  </si>
  <si>
    <t xml:space="preserve">06 Sep 2024</t>
  </si>
  <si>
    <t xml:space="preserve">ORD-2025-10720</t>
  </si>
  <si>
    <t xml:space="preserve">ORD-2024-10721</t>
  </si>
  <si>
    <t xml:space="preserve">CUST-1991</t>
  </si>
  <si>
    <t xml:space="preserve">07/16/2024</t>
  </si>
  <si>
    <t xml:space="preserve">ORD-2025-10722</t>
  </si>
  <si>
    <t xml:space="preserve">CUST-7606</t>
  </si>
  <si>
    <t xml:space="preserve">23-06-2025</t>
  </si>
  <si>
    <t xml:space="preserve">ORD-2024-10723</t>
  </si>
  <si>
    <t xml:space="preserve">CUST-8844</t>
  </si>
  <si>
    <t xml:space="preserve">10 Oct 2024</t>
  </si>
  <si>
    <t xml:space="preserve">ORD-2025-10724</t>
  </si>
  <si>
    <t xml:space="preserve">CUST-4335</t>
  </si>
  <si>
    <t xml:space="preserve">2025-10-13</t>
  </si>
  <si>
    <t xml:space="preserve">ORD-2024-10725</t>
  </si>
  <si>
    <t xml:space="preserve">CUST-5891</t>
  </si>
  <si>
    <t xml:space="preserve">02/10/2024</t>
  </si>
  <si>
    <t xml:space="preserve">ORD-2025-10726</t>
  </si>
  <si>
    <t xml:space="preserve">CUST-6371</t>
  </si>
  <si>
    <t xml:space="preserve">10/05/2025</t>
  </si>
  <si>
    <t xml:space="preserve">ORD-2024-10727</t>
  </si>
  <si>
    <t xml:space="preserve">CUST-6655</t>
  </si>
  <si>
    <t xml:space="preserve">2024-01-17</t>
  </si>
  <si>
    <t xml:space="preserve">01/23/2024</t>
  </si>
  <si>
    <t xml:space="preserve">ORD-2024-10728</t>
  </si>
  <si>
    <t xml:space="preserve">CUST-6492</t>
  </si>
  <si>
    <t xml:space="preserve">13 Oct 2024</t>
  </si>
  <si>
    <t xml:space="preserve">ORD-2024-10729</t>
  </si>
  <si>
    <t xml:space="preserve">CUST-1154</t>
  </si>
  <si>
    <t xml:space="preserve">ORD-2025-10730</t>
  </si>
  <si>
    <t xml:space="preserve">CUST-8713</t>
  </si>
  <si>
    <t xml:space="preserve">17-05-2025</t>
  </si>
  <si>
    <t xml:space="preserve">25 May 2025</t>
  </si>
  <si>
    <t xml:space="preserve">ORD-2025-10731</t>
  </si>
  <si>
    <t xml:space="preserve">CUST-6765</t>
  </si>
  <si>
    <t xml:space="preserve">06/19/2025</t>
  </si>
  <si>
    <t xml:space="preserve">ORD-2024-10732</t>
  </si>
  <si>
    <t xml:space="preserve">CUST-6849</t>
  </si>
  <si>
    <t xml:space="preserve">2024-03-17</t>
  </si>
  <si>
    <t xml:space="preserve">19 Mar 2024</t>
  </si>
  <si>
    <t xml:space="preserve">ORD-2024-10733</t>
  </si>
  <si>
    <t xml:space="preserve">CUST-4973</t>
  </si>
  <si>
    <t xml:space="preserve">2024-11-28</t>
  </si>
  <si>
    <t xml:space="preserve">ORD-2024-10734</t>
  </si>
  <si>
    <t xml:space="preserve">CUST-2394</t>
  </si>
  <si>
    <t xml:space="preserve">28 Jun 2024</t>
  </si>
  <si>
    <t xml:space="preserve">ORD-2024-10735</t>
  </si>
  <si>
    <t xml:space="preserve">CUST-5406</t>
  </si>
  <si>
    <t xml:space="preserve">24-08-2024</t>
  </si>
  <si>
    <t xml:space="preserve">ORD-2024-10736</t>
  </si>
  <si>
    <t xml:space="preserve">CUST-1963</t>
  </si>
  <si>
    <t xml:space="preserve">2024-08-11</t>
  </si>
  <si>
    <t xml:space="preserve">ORD-2024-10737</t>
  </si>
  <si>
    <t xml:space="preserve">CUST-9017</t>
  </si>
  <si>
    <t xml:space="preserve">09-12-2024</t>
  </si>
  <si>
    <t xml:space="preserve">ORD-2024-10738</t>
  </si>
  <si>
    <t xml:space="preserve">CUST-7967</t>
  </si>
  <si>
    <t xml:space="preserve">Home Office </t>
  </si>
  <si>
    <t xml:space="preserve">ORD-2025-10739</t>
  </si>
  <si>
    <t xml:space="preserve">CUST-5334</t>
  </si>
  <si>
    <t xml:space="preserve">02/22/2025</t>
  </si>
  <si>
    <t xml:space="preserve">ORD-2024-10740</t>
  </si>
  <si>
    <t xml:space="preserve">CUST-5846</t>
  </si>
  <si>
    <t xml:space="preserve">03 Dec 2024</t>
  </si>
  <si>
    <t xml:space="preserve">12/10/2024</t>
  </si>
  <si>
    <t xml:space="preserve">ORD-2024-10741</t>
  </si>
  <si>
    <t xml:space="preserve">02 Apr 2024</t>
  </si>
  <si>
    <t xml:space="preserve">ORD-2025-10742</t>
  </si>
  <si>
    <t xml:space="preserve">CUST-3285</t>
  </si>
  <si>
    <t xml:space="preserve">04/23/2025</t>
  </si>
  <si>
    <t xml:space="preserve">2025-04-25</t>
  </si>
  <si>
    <t xml:space="preserve">ORD-2024-10743</t>
  </si>
  <si>
    <t xml:space="preserve">CUST-6368</t>
  </si>
  <si>
    <t xml:space="preserve">10/15/2024</t>
  </si>
  <si>
    <t xml:space="preserve">22 Oct 2024</t>
  </si>
  <si>
    <t xml:space="preserve">east</t>
  </si>
  <si>
    <t xml:space="preserve">ORD-2025-10744</t>
  </si>
  <si>
    <t xml:space="preserve">CUST-6231</t>
  </si>
  <si>
    <t xml:space="preserve">ORD-2025-10745</t>
  </si>
  <si>
    <t xml:space="preserve">CUST-2021</t>
  </si>
  <si>
    <t xml:space="preserve">2025-08-17</t>
  </si>
  <si>
    <t xml:space="preserve">ORD-2024-10746</t>
  </si>
  <si>
    <t xml:space="preserve">CUST-1493</t>
  </si>
  <si>
    <t xml:space="preserve">24 Oct 2024</t>
  </si>
  <si>
    <t xml:space="preserve">28-10-2024</t>
  </si>
  <si>
    <t xml:space="preserve">ORD-2025-10747</t>
  </si>
  <si>
    <t xml:space="preserve">10-01-2025</t>
  </si>
  <si>
    <t xml:space="preserve">ORD-2024-10748</t>
  </si>
  <si>
    <t xml:space="preserve">CUST-8416</t>
  </si>
  <si>
    <t xml:space="preserve">2024-05-01</t>
  </si>
  <si>
    <t xml:space="preserve">07 May 2024</t>
  </si>
  <si>
    <t xml:space="preserve">ORD-2024-10749</t>
  </si>
  <si>
    <t xml:space="preserve">CUST-3103</t>
  </si>
  <si>
    <t xml:space="preserve">30-05-2024</t>
  </si>
  <si>
    <t xml:space="preserve">05/30/2024</t>
  </si>
  <si>
    <t xml:space="preserve">ORD-2024-10750</t>
  </si>
  <si>
    <t xml:space="preserve">CUST-4457</t>
  </si>
  <si>
    <t xml:space="preserve">21 Mar 2024</t>
  </si>
  <si>
    <t xml:space="preserve">2024-03-25</t>
  </si>
  <si>
    <t xml:space="preserve">ORD-2025-10751</t>
  </si>
  <si>
    <t xml:space="preserve">CUST-7036</t>
  </si>
  <si>
    <t xml:space="preserve">06/02/2025</t>
  </si>
  <si>
    <t xml:space="preserve">ORD-2025-10752</t>
  </si>
  <si>
    <t xml:space="preserve">CUST-8512</t>
  </si>
  <si>
    <t xml:space="preserve">19-07-2025</t>
  </si>
  <si>
    <t xml:space="preserve">ORD-2024-10753</t>
  </si>
  <si>
    <t xml:space="preserve">CUST-6345</t>
  </si>
  <si>
    <t xml:space="preserve">West </t>
  </si>
  <si>
    <t xml:space="preserve">ORD-2024-10754</t>
  </si>
  <si>
    <t xml:space="preserve">CUST-4505</t>
  </si>
  <si>
    <t xml:space="preserve">ORD-2025-10755</t>
  </si>
  <si>
    <t xml:space="preserve">CUST-7960</t>
  </si>
  <si>
    <t xml:space="preserve">06/04/2025</t>
  </si>
  <si>
    <t xml:space="preserve">ORD-2025-10756</t>
  </si>
  <si>
    <t xml:space="preserve">CUST-3365</t>
  </si>
  <si>
    <t xml:space="preserve">ORD-2024-10757</t>
  </si>
  <si>
    <t xml:space="preserve">CUST-1557</t>
  </si>
  <si>
    <t xml:space="preserve">10/27/2024</t>
  </si>
  <si>
    <t xml:space="preserve">11/01/2024</t>
  </si>
  <si>
    <t xml:space="preserve">ORD-2025-10758</t>
  </si>
  <si>
    <t xml:space="preserve">CUST-3058</t>
  </si>
  <si>
    <t xml:space="preserve">01 Aug 2025</t>
  </si>
  <si>
    <t xml:space="preserve">2025-08-03</t>
  </si>
  <si>
    <t xml:space="preserve">ORD-2024-10759</t>
  </si>
  <si>
    <t xml:space="preserve">CUST-6076</t>
  </si>
  <si>
    <t xml:space="preserve">02 May 2024</t>
  </si>
  <si>
    <t xml:space="preserve">ORD-2024-10760</t>
  </si>
  <si>
    <t xml:space="preserve">CUST-2098</t>
  </si>
  <si>
    <t xml:space="preserve">26-07-2024</t>
  </si>
  <si>
    <t xml:space="preserve">  South </t>
  </si>
  <si>
    <t xml:space="preserve">ORD-2024-10761</t>
  </si>
  <si>
    <t xml:space="preserve">CUST-7193</t>
  </si>
  <si>
    <t xml:space="preserve">28-08-2024</t>
  </si>
  <si>
    <t xml:space="preserve">ORD-2025-10762</t>
  </si>
  <si>
    <t xml:space="preserve">CUST-8948</t>
  </si>
  <si>
    <t xml:space="preserve">08/31/2025</t>
  </si>
  <si>
    <t xml:space="preserve">ORD-2024-10763</t>
  </si>
  <si>
    <t xml:space="preserve">CUST-6921</t>
  </si>
  <si>
    <t xml:space="preserve">01/01/2024</t>
  </si>
  <si>
    <t xml:space="preserve">05 Jan 2024</t>
  </si>
  <si>
    <t xml:space="preserve">ORD-2025-10764</t>
  </si>
  <si>
    <t xml:space="preserve">CUST-4086</t>
  </si>
  <si>
    <t xml:space="preserve">23 Aug 2025</t>
  </si>
  <si>
    <t xml:space="preserve">2025-08-25</t>
  </si>
  <si>
    <t xml:space="preserve">ORD-2025-10765</t>
  </si>
  <si>
    <t xml:space="preserve">ORD-2025-10766</t>
  </si>
  <si>
    <t xml:space="preserve">CUST-8747</t>
  </si>
  <si>
    <t xml:space="preserve">29-06-2025</t>
  </si>
  <si>
    <t xml:space="preserve">2025-07-03</t>
  </si>
  <si>
    <t xml:space="preserve">ORD-2024-10767</t>
  </si>
  <si>
    <t xml:space="preserve">CUST-3156</t>
  </si>
  <si>
    <t xml:space="preserve">17 Sep 2024</t>
  </si>
  <si>
    <t xml:space="preserve">ORD-2024-10768</t>
  </si>
  <si>
    <t xml:space="preserve">CUST-2043</t>
  </si>
  <si>
    <t xml:space="preserve">03 May 2024</t>
  </si>
  <si>
    <t xml:space="preserve">ORD-2025-10769</t>
  </si>
  <si>
    <t xml:space="preserve">CUST-8808</t>
  </si>
  <si>
    <t xml:space="preserve">2025-04-04</t>
  </si>
  <si>
    <t xml:space="preserve">ORD-2024-10770</t>
  </si>
  <si>
    <t xml:space="preserve">CUST-1293</t>
  </si>
  <si>
    <t xml:space="preserve">05/11/2024</t>
  </si>
  <si>
    <t xml:space="preserve">ORD-2024-10771</t>
  </si>
  <si>
    <t xml:space="preserve">CUST-8384</t>
  </si>
  <si>
    <t xml:space="preserve">ORD-2024-10772</t>
  </si>
  <si>
    <t xml:space="preserve">2024-07-12</t>
  </si>
  <si>
    <t xml:space="preserve">ORD-2025-10773</t>
  </si>
  <si>
    <t xml:space="preserve">CUST-8422</t>
  </si>
  <si>
    <t xml:space="preserve">ORD-2025-10774</t>
  </si>
  <si>
    <t xml:space="preserve">CUST-4766</t>
  </si>
  <si>
    <t xml:space="preserve">2025-02-21</t>
  </si>
  <si>
    <t xml:space="preserve">21 Feb 2025</t>
  </si>
  <si>
    <t xml:space="preserve">ORD-2025-10775</t>
  </si>
  <si>
    <t xml:space="preserve">CUST-1182</t>
  </si>
  <si>
    <t xml:space="preserve">07-08-2025</t>
  </si>
  <si>
    <t xml:space="preserve">ORD-2024-10776</t>
  </si>
  <si>
    <t xml:space="preserve">CUST-4461</t>
  </si>
  <si>
    <t xml:space="preserve">14 Apr 2024</t>
  </si>
  <si>
    <t xml:space="preserve">22-04-2024</t>
  </si>
  <si>
    <t xml:space="preserve">ORD-2025-10777</t>
  </si>
  <si>
    <t xml:space="preserve">CUST-9690</t>
  </si>
  <si>
    <t xml:space="preserve">08-06-2025</t>
  </si>
  <si>
    <t xml:space="preserve">ORD-2024-10778</t>
  </si>
  <si>
    <t xml:space="preserve">CUST-6879</t>
  </si>
  <si>
    <t xml:space="preserve">04-02-2024</t>
  </si>
  <si>
    <t xml:space="preserve">ORD-2024-10779</t>
  </si>
  <si>
    <t xml:space="preserve">CUST-4714</t>
  </si>
  <si>
    <t xml:space="preserve">24-07-2024</t>
  </si>
  <si>
    <t xml:space="preserve">ORD-2024-10780</t>
  </si>
  <si>
    <t xml:space="preserve">CUST-7547</t>
  </si>
  <si>
    <t xml:space="preserve">20-01-2024</t>
  </si>
  <si>
    <t xml:space="preserve">ORD-2024-10781</t>
  </si>
  <si>
    <t xml:space="preserve">CUST-3288</t>
  </si>
  <si>
    <t xml:space="preserve">04 Aug 2024</t>
  </si>
  <si>
    <t xml:space="preserve">ORD-2024-10782</t>
  </si>
  <si>
    <t xml:space="preserve">CUST-8597</t>
  </si>
  <si>
    <t xml:space="preserve">2024-02-02</t>
  </si>
  <si>
    <t xml:space="preserve">ORD-2025-10783</t>
  </si>
  <si>
    <t xml:space="preserve">CUST-9085</t>
  </si>
  <si>
    <t xml:space="preserve">03/22/2025</t>
  </si>
  <si>
    <t xml:space="preserve">ORD-2024-10784</t>
  </si>
  <si>
    <t xml:space="preserve">CUST-7746</t>
  </si>
  <si>
    <t xml:space="preserve">07 Jun 2024</t>
  </si>
  <si>
    <t xml:space="preserve">2024-06-07</t>
  </si>
  <si>
    <t xml:space="preserve">ORD-2025-10785</t>
  </si>
  <si>
    <t xml:space="preserve">CUST-3119</t>
  </si>
  <si>
    <t xml:space="preserve">10/04/2025</t>
  </si>
  <si>
    <t xml:space="preserve">north</t>
  </si>
  <si>
    <t xml:space="preserve">ORD-2024-10786</t>
  </si>
  <si>
    <t xml:space="preserve">CUST-7518</t>
  </si>
  <si>
    <t xml:space="preserve">23-05-2024</t>
  </si>
  <si>
    <t xml:space="preserve">ORD-2025-10787</t>
  </si>
  <si>
    <t xml:space="preserve">CUST-1343</t>
  </si>
  <si>
    <t xml:space="preserve">ORD-2024-10788</t>
  </si>
  <si>
    <t xml:space="preserve">CUST-7548</t>
  </si>
  <si>
    <t xml:space="preserve">2024-09-18</t>
  </si>
  <si>
    <t xml:space="preserve">ORD-2024-10789</t>
  </si>
  <si>
    <t xml:space="preserve">CUST-3631</t>
  </si>
  <si>
    <t xml:space="preserve">ORD-2025-10790</t>
  </si>
  <si>
    <t xml:space="preserve">CUST-1453</t>
  </si>
  <si>
    <t xml:space="preserve">07 Mar 2025</t>
  </si>
  <si>
    <t xml:space="preserve">ORD-2024-10791</t>
  </si>
  <si>
    <t xml:space="preserve">CUST-1951</t>
  </si>
  <si>
    <t xml:space="preserve">31 May 2024</t>
  </si>
  <si>
    <t xml:space="preserve">2024-06-02</t>
  </si>
  <si>
    <t xml:space="preserve">ORD-2024-10792</t>
  </si>
  <si>
    <t xml:space="preserve">CUST-6300</t>
  </si>
  <si>
    <t xml:space="preserve">2024-10-06</t>
  </si>
  <si>
    <t xml:space="preserve">ORD-2025-10793</t>
  </si>
  <si>
    <t xml:space="preserve">CUST-1417</t>
  </si>
  <si>
    <t xml:space="preserve">08 Jun 2025</t>
  </si>
  <si>
    <t xml:space="preserve">ORD-2024-10794</t>
  </si>
  <si>
    <t xml:space="preserve">CUST-5421</t>
  </si>
  <si>
    <t xml:space="preserve">03 Jun 2024</t>
  </si>
  <si>
    <t xml:space="preserve">ORD-2025-10795</t>
  </si>
  <si>
    <t xml:space="preserve">CUST-2829</t>
  </si>
  <si>
    <t xml:space="preserve">2025-06-22</t>
  </si>
  <si>
    <t xml:space="preserve">ORD-2024-10796</t>
  </si>
  <si>
    <t xml:space="preserve">CUST-6529</t>
  </si>
  <si>
    <t xml:space="preserve">30-07-2024</t>
  </si>
  <si>
    <t xml:space="preserve">ORD-2024-10797</t>
  </si>
  <si>
    <t xml:space="preserve">CUST-3126</t>
  </si>
  <si>
    <t xml:space="preserve">30-03-2024</t>
  </si>
  <si>
    <t xml:space="preserve">ORD-2024-10798</t>
  </si>
  <si>
    <t xml:space="preserve">CUST-3991</t>
  </si>
  <si>
    <t xml:space="preserve">18 Apr 2024</t>
  </si>
  <si>
    <t xml:space="preserve">ORD-2025-10799</t>
  </si>
  <si>
    <t xml:space="preserve">CUST-7553</t>
  </si>
  <si>
    <t xml:space="preserve">2025-07-11</t>
  </si>
  <si>
    <t xml:space="preserve">09-07-2025</t>
  </si>
  <si>
    <t xml:space="preserve">ORD-2024-10800</t>
  </si>
  <si>
    <t xml:space="preserve">CUST-8527</t>
  </si>
  <si>
    <t xml:space="preserve">ORD-2024-10801</t>
  </si>
  <si>
    <t xml:space="preserve">CUST-5015</t>
  </si>
  <si>
    <t xml:space="preserve">01 Mar 2024</t>
  </si>
  <si>
    <t xml:space="preserve">2024-03-07</t>
  </si>
  <si>
    <t xml:space="preserve">ORD-2025-10802</t>
  </si>
  <si>
    <t xml:space="preserve">CUST-3344</t>
  </si>
  <si>
    <t xml:space="preserve">2025-10-08</t>
  </si>
  <si>
    <t xml:space="preserve">ORD-2025-10803</t>
  </si>
  <si>
    <t xml:space="preserve">CUST-5866</t>
  </si>
  <si>
    <t xml:space="preserve">2025-02-16</t>
  </si>
  <si>
    <t xml:space="preserve">failed</t>
  </si>
  <si>
    <t xml:space="preserve">ORD-2024-10804</t>
  </si>
  <si>
    <t xml:space="preserve">CUST-7180</t>
  </si>
  <si>
    <t xml:space="preserve">09 Dec 2024</t>
  </si>
  <si>
    <t xml:space="preserve">ORD-2025-10805</t>
  </si>
  <si>
    <t xml:space="preserve">CUST-8745</t>
  </si>
  <si>
    <t xml:space="preserve">ORD-2025-10806</t>
  </si>
  <si>
    <t xml:space="preserve">ORD-2024-10807</t>
  </si>
  <si>
    <t xml:space="preserve">CUST-3704</t>
  </si>
  <si>
    <t xml:space="preserve">09-11-2024</t>
  </si>
  <si>
    <t xml:space="preserve">15 Nov 2024</t>
  </si>
  <si>
    <t xml:space="preserve">ORD-2025-10808</t>
  </si>
  <si>
    <t xml:space="preserve">CUST-5884</t>
  </si>
  <si>
    <t xml:space="preserve">standard class</t>
  </si>
  <si>
    <t xml:space="preserve">ORD-2025-10809</t>
  </si>
  <si>
    <t xml:space="preserve">CUST-7503</t>
  </si>
  <si>
    <t xml:space="preserve">2025-08-31</t>
  </si>
  <si>
    <t xml:space="preserve">ORD-2025-10810</t>
  </si>
  <si>
    <t xml:space="preserve">CUST-6973</t>
  </si>
  <si>
    <t xml:space="preserve">ORD-2024-10811</t>
  </si>
  <si>
    <t xml:space="preserve">04/03/2024</t>
  </si>
  <si>
    <t xml:space="preserve">08-04-2024</t>
  </si>
  <si>
    <t xml:space="preserve">ORD-2024-10812</t>
  </si>
  <si>
    <t xml:space="preserve">CUST-3303</t>
  </si>
  <si>
    <t xml:space="preserve">12 Dec 2024</t>
  </si>
  <si>
    <t xml:space="preserve">19 Dec 2024</t>
  </si>
  <si>
    <t xml:space="preserve">ORD-2024-10813</t>
  </si>
  <si>
    <t xml:space="preserve">CUST-5754</t>
  </si>
  <si>
    <t xml:space="preserve">20-06-2024</t>
  </si>
  <si>
    <t xml:space="preserve">ORD-2025-10814</t>
  </si>
  <si>
    <t xml:space="preserve">CUST-7848</t>
  </si>
  <si>
    <t xml:space="preserve">04/06/2025</t>
  </si>
  <si>
    <t xml:space="preserve">10 Apr 2025</t>
  </si>
  <si>
    <t xml:space="preserve">ORD-2025-10815</t>
  </si>
  <si>
    <t xml:space="preserve">CUST-9048</t>
  </si>
  <si>
    <t xml:space="preserve">ORD-2024-10816</t>
  </si>
  <si>
    <t xml:space="preserve">CUST-2951</t>
  </si>
  <si>
    <t xml:space="preserve">2024-04-08</t>
  </si>
  <si>
    <t xml:space="preserve">ORD-2024-10817</t>
  </si>
  <si>
    <t xml:space="preserve">CUST-3072</t>
  </si>
  <si>
    <t xml:space="preserve">11/27/2024</t>
  </si>
  <si>
    <t xml:space="preserve">2024-11-30</t>
  </si>
  <si>
    <t xml:space="preserve">ORD-2025-10818</t>
  </si>
  <si>
    <t xml:space="preserve">CUST-2221</t>
  </si>
  <si>
    <t xml:space="preserve">05 Apr 2025</t>
  </si>
  <si>
    <t xml:space="preserve">04/05/2025</t>
  </si>
  <si>
    <t xml:space="preserve">ORD-2024-10819</t>
  </si>
  <si>
    <t xml:space="preserve">CUST-3943</t>
  </si>
  <si>
    <t xml:space="preserve">29 Sep 2024</t>
  </si>
  <si>
    <t xml:space="preserve">ORD-2024-10820</t>
  </si>
  <si>
    <t xml:space="preserve">CUST-7510</t>
  </si>
  <si>
    <t xml:space="preserve">31-07-2024</t>
  </si>
  <si>
    <t xml:space="preserve">MACHINES</t>
  </si>
  <si>
    <t xml:space="preserve">ORD-2025-10821</t>
  </si>
  <si>
    <t xml:space="preserve">CUST-2041</t>
  </si>
  <si>
    <t xml:space="preserve">06-02-2025</t>
  </si>
  <si>
    <t xml:space="preserve">10-02-2025</t>
  </si>
  <si>
    <t xml:space="preserve">ORD-2024-10822</t>
  </si>
  <si>
    <t xml:space="preserve">CUST-4466</t>
  </si>
  <si>
    <t xml:space="preserve">2024-07-03</t>
  </si>
  <si>
    <t xml:space="preserve">06-07-2024</t>
  </si>
  <si>
    <t xml:space="preserve">ORD-2024-10823</t>
  </si>
  <si>
    <t xml:space="preserve">CUST-3188</t>
  </si>
  <si>
    <t xml:space="preserve">10/12/2024</t>
  </si>
  <si>
    <t xml:space="preserve">08 Oct 2024</t>
  </si>
  <si>
    <t xml:space="preserve">ORD-2025-10824</t>
  </si>
  <si>
    <t xml:space="preserve">CUST-6638</t>
  </si>
  <si>
    <t xml:space="preserve">2025-01-06</t>
  </si>
  <si>
    <t xml:space="preserve">ORD-2025-10825</t>
  </si>
  <si>
    <t xml:space="preserve">CUST-3540</t>
  </si>
  <si>
    <t xml:space="preserve">21-03-2025</t>
  </si>
  <si>
    <t xml:space="preserve">ORD-2025-10826</t>
  </si>
  <si>
    <t xml:space="preserve">CUST-3351</t>
  </si>
  <si>
    <t xml:space="preserve">16 Apr 2025</t>
  </si>
  <si>
    <t xml:space="preserve">17-04-2025</t>
  </si>
  <si>
    <t xml:space="preserve">ORD-2025-10827</t>
  </si>
  <si>
    <t xml:space="preserve">CUST-4375</t>
  </si>
  <si>
    <t xml:space="preserve">14 Aug 2025</t>
  </si>
  <si>
    <t xml:space="preserve">ORD-2024-10828</t>
  </si>
  <si>
    <t xml:space="preserve">CUST-5125</t>
  </si>
  <si>
    <t xml:space="preserve">24 Nov 2024</t>
  </si>
  <si>
    <t xml:space="preserve">ORD-2025-10829</t>
  </si>
  <si>
    <t xml:space="preserve">CUST-6010</t>
  </si>
  <si>
    <t xml:space="preserve">10/10/2025</t>
  </si>
  <si>
    <t xml:space="preserve">11-10-2025</t>
  </si>
  <si>
    <t xml:space="preserve">Karan Malhotra </t>
  </si>
  <si>
    <t xml:space="preserve">ORD-2024-10830</t>
  </si>
  <si>
    <t xml:space="preserve">CUST-9036</t>
  </si>
  <si>
    <t xml:space="preserve">02/26/2024</t>
  </si>
  <si>
    <t xml:space="preserve">ORD-2025-10831</t>
  </si>
  <si>
    <t xml:space="preserve">CUST-7929</t>
  </si>
  <si>
    <t xml:space="preserve">ORD-2025-10832</t>
  </si>
  <si>
    <t xml:space="preserve">CUST-1106</t>
  </si>
  <si>
    <t xml:space="preserve">ORD-2025-10833</t>
  </si>
  <si>
    <t xml:space="preserve">CUST-9557</t>
  </si>
  <si>
    <t xml:space="preserve">26 May 2025</t>
  </si>
  <si>
    <t xml:space="preserve">28-05-2025</t>
  </si>
  <si>
    <t xml:space="preserve">ORD-2024-10834</t>
  </si>
  <si>
    <t xml:space="preserve">CUST-2689</t>
  </si>
  <si>
    <t xml:space="preserve">2024-06-04</t>
  </si>
  <si>
    <t xml:space="preserve">06/04/2024</t>
  </si>
  <si>
    <t xml:space="preserve">ORD-2024-10835</t>
  </si>
  <si>
    <t xml:space="preserve">CUST-2879</t>
  </si>
  <si>
    <t xml:space="preserve">2024-10-22</t>
  </si>
  <si>
    <t xml:space="preserve">ORD-2025-10836</t>
  </si>
  <si>
    <t xml:space="preserve">CUST-5150</t>
  </si>
  <si>
    <t xml:space="preserve">ORD-2024-10837</t>
  </si>
  <si>
    <t xml:space="preserve">CUST-9776</t>
  </si>
  <si>
    <t xml:space="preserve">2024-12-18</t>
  </si>
  <si>
    <t xml:space="preserve">ORD-2025-10838</t>
  </si>
  <si>
    <t xml:space="preserve">CUST-2551</t>
  </si>
  <si>
    <t xml:space="preserve">09/28/2025</t>
  </si>
  <si>
    <t xml:space="preserve">ORD-2025-10839</t>
  </si>
  <si>
    <t xml:space="preserve">CUST-4708</t>
  </si>
  <si>
    <t xml:space="preserve">07 Apr 2025</t>
  </si>
  <si>
    <t xml:space="preserve">ORD-2024-10840</t>
  </si>
  <si>
    <t xml:space="preserve">CUST-8206</t>
  </si>
  <si>
    <t xml:space="preserve">09/20/2024</t>
  </si>
  <si>
    <t xml:space="preserve">22-09-2024</t>
  </si>
  <si>
    <t xml:space="preserve">ORD-2025-10841</t>
  </si>
  <si>
    <t xml:space="preserve">CUST-1297</t>
  </si>
  <si>
    <t xml:space="preserve">ORD-2025-10842</t>
  </si>
  <si>
    <t xml:space="preserve">CUST-7558</t>
  </si>
  <si>
    <t xml:space="preserve">2025-02-06</t>
  </si>
  <si>
    <t xml:space="preserve">12 Feb 2025</t>
  </si>
  <si>
    <t xml:space="preserve">ORD-2024-10843</t>
  </si>
  <si>
    <t xml:space="preserve">CUST-1798</t>
  </si>
  <si>
    <t xml:space="preserve">31-03-2024</t>
  </si>
  <si>
    <t xml:space="preserve">03/30/2024</t>
  </si>
  <si>
    <t xml:space="preserve">kabir singh</t>
  </si>
  <si>
    <t xml:space="preserve">ORD-2025-10844</t>
  </si>
  <si>
    <t xml:space="preserve">CUST-7333</t>
  </si>
  <si>
    <t xml:space="preserve">25 Jul 2025</t>
  </si>
  <si>
    <t xml:space="preserve">ORD-2025-10845</t>
  </si>
  <si>
    <t xml:space="preserve">CUST-2086</t>
  </si>
  <si>
    <t xml:space="preserve">20-01-2025</t>
  </si>
  <si>
    <t xml:space="preserve">25-01-2025</t>
  </si>
  <si>
    <t xml:space="preserve">ORD-2024-10846</t>
  </si>
  <si>
    <t xml:space="preserve">27 Feb 2024</t>
  </si>
  <si>
    <t xml:space="preserve">ORD-2024-10847</t>
  </si>
  <si>
    <t xml:space="preserve">CUST-6522</t>
  </si>
  <si>
    <t xml:space="preserve">2024-04-14</t>
  </si>
  <si>
    <t xml:space="preserve">2024-04-22</t>
  </si>
  <si>
    <t xml:space="preserve">ORD-2025-10848</t>
  </si>
  <si>
    <t xml:space="preserve">CUST-8329</t>
  </si>
  <si>
    <t xml:space="preserve">2025-05-20</t>
  </si>
  <si>
    <t xml:space="preserve">05/22/2025</t>
  </si>
  <si>
    <t xml:space="preserve">ORD-2025-10849</t>
  </si>
  <si>
    <t xml:space="preserve">CUST-4426</t>
  </si>
  <si>
    <t xml:space="preserve">29 May 2025</t>
  </si>
  <si>
    <t xml:space="preserve">ORD-2024-10850</t>
  </si>
  <si>
    <t xml:space="preserve">CUST-3360</t>
  </si>
  <si>
    <t xml:space="preserve">2024-03-06</t>
  </si>
  <si>
    <t xml:space="preserve">ORD-2024-10851</t>
  </si>
  <si>
    <t xml:space="preserve">CUST-2623</t>
  </si>
  <si>
    <t xml:space="preserve">ORD-2024-10852</t>
  </si>
  <si>
    <t xml:space="preserve">CUST-3175</t>
  </si>
  <si>
    <t xml:space="preserve">ORD-2024-10853</t>
  </si>
  <si>
    <t xml:space="preserve">CUST-9630</t>
  </si>
  <si>
    <t xml:space="preserve">01-04-2024</t>
  </si>
  <si>
    <t xml:space="preserve">ORD-2025-10854</t>
  </si>
  <si>
    <t xml:space="preserve">CUST-8274</t>
  </si>
  <si>
    <t xml:space="preserve">2025-05-16</t>
  </si>
  <si>
    <t xml:space="preserve">ORD-2025-10855</t>
  </si>
  <si>
    <t xml:space="preserve">CUST-2514</t>
  </si>
  <si>
    <t xml:space="preserve">03/25/2025</t>
  </si>
  <si>
    <t xml:space="preserve">04/02/2025</t>
  </si>
  <si>
    <t xml:space="preserve">ORD-2024-10856</t>
  </si>
  <si>
    <t xml:space="preserve">02 Aug 2024</t>
  </si>
  <si>
    <t xml:space="preserve">LABELS</t>
  </si>
  <si>
    <t xml:space="preserve">ORD-2024-10857</t>
  </si>
  <si>
    <t xml:space="preserve">2024-06-12</t>
  </si>
  <si>
    <t xml:space="preserve">ORD-2024-10858</t>
  </si>
  <si>
    <t xml:space="preserve">04 Jun 2024</t>
  </si>
  <si>
    <t xml:space="preserve">04-06-2024</t>
  </si>
  <si>
    <t xml:space="preserve">ORD-2024-10859</t>
  </si>
  <si>
    <t xml:space="preserve">CUST-9576</t>
  </si>
  <si>
    <t xml:space="preserve">ORD-2024-10860</t>
  </si>
  <si>
    <t xml:space="preserve">CUST-2395</t>
  </si>
  <si>
    <t xml:space="preserve">2024-11-01</t>
  </si>
  <si>
    <t xml:space="preserve">ORD-2024-10861</t>
  </si>
  <si>
    <t xml:space="preserve">CUST-8941</t>
  </si>
  <si>
    <t xml:space="preserve">04 Feb 2024</t>
  </si>
  <si>
    <t xml:space="preserve">ORD-2025-10862</t>
  </si>
  <si>
    <t xml:space="preserve">CUST-9448</t>
  </si>
  <si>
    <t xml:space="preserve">2025-03-08</t>
  </si>
  <si>
    <t xml:space="preserve">2025-03-09</t>
  </si>
  <si>
    <t xml:space="preserve">ORD-2025-10863</t>
  </si>
  <si>
    <t xml:space="preserve">CUST-8354</t>
  </si>
  <si>
    <t xml:space="preserve">31-03-2025</t>
  </si>
  <si>
    <t xml:space="preserve">ORD-2025-10864</t>
  </si>
  <si>
    <t xml:space="preserve">CUST-2200</t>
  </si>
  <si>
    <t xml:space="preserve">09/06/2025</t>
  </si>
  <si>
    <t xml:space="preserve">ORD-2025-10865</t>
  </si>
  <si>
    <t xml:space="preserve">CUST-1178</t>
  </si>
  <si>
    <t xml:space="preserve">02 Sep 2025</t>
  </si>
  <si>
    <t xml:space="preserve">ORD-2025-10866</t>
  </si>
  <si>
    <t xml:space="preserve">CUST-8099</t>
  </si>
  <si>
    <t xml:space="preserve">ORD-2025-10867</t>
  </si>
  <si>
    <t xml:space="preserve">CUST-7596</t>
  </si>
  <si>
    <t xml:space="preserve">2025-03-06</t>
  </si>
  <si>
    <t xml:space="preserve">ORD-2024-10868</t>
  </si>
  <si>
    <t xml:space="preserve">CUST-2328</t>
  </si>
  <si>
    <t xml:space="preserve">21 Nov 2024</t>
  </si>
  <si>
    <t xml:space="preserve">22 Nov 2024</t>
  </si>
  <si>
    <t xml:space="preserve">ORD-2025-10869</t>
  </si>
  <si>
    <t xml:space="preserve">CUST-8483</t>
  </si>
  <si>
    <t xml:space="preserve">ORD-2025-10870</t>
  </si>
  <si>
    <t xml:space="preserve">CUST-2388</t>
  </si>
  <si>
    <t xml:space="preserve">03/06/2025</t>
  </si>
  <si>
    <t xml:space="preserve">ORD-2025-10871</t>
  </si>
  <si>
    <t xml:space="preserve">CUST-7054</t>
  </si>
  <si>
    <t xml:space="preserve">06 Jun 2025</t>
  </si>
  <si>
    <t xml:space="preserve">07 Jun 2025</t>
  </si>
  <si>
    <t xml:space="preserve">ORD-2024-10872</t>
  </si>
  <si>
    <t xml:space="preserve">02/20/2024</t>
  </si>
  <si>
    <t xml:space="preserve">ORD-2024-10873</t>
  </si>
  <si>
    <t xml:space="preserve">02 Nov 2024</t>
  </si>
  <si>
    <t xml:space="preserve">ORD-2025-10874</t>
  </si>
  <si>
    <t xml:space="preserve">CUST-8160</t>
  </si>
  <si>
    <t xml:space="preserve">01 Feb 2025</t>
  </si>
  <si>
    <t xml:space="preserve">08-02-2025</t>
  </si>
  <si>
    <t xml:space="preserve">ORD-2025-10875</t>
  </si>
  <si>
    <t xml:space="preserve">CUST-8770</t>
  </si>
  <si>
    <t xml:space="preserve">ORD-2024-10876</t>
  </si>
  <si>
    <t xml:space="preserve">CUST-6928</t>
  </si>
  <si>
    <t xml:space="preserve">10 Aug 2024</t>
  </si>
  <si>
    <t xml:space="preserve">08/11/2024</t>
  </si>
  <si>
    <t xml:space="preserve">ORD-2024-10877</t>
  </si>
  <si>
    <t xml:space="preserve">CUST-9044</t>
  </si>
  <si>
    <t xml:space="preserve">11/18/2024</t>
  </si>
  <si>
    <t xml:space="preserve">20-11-2024</t>
  </si>
  <si>
    <t xml:space="preserve">ORD-2025-10878</t>
  </si>
  <si>
    <t xml:space="preserve">CUST-7146</t>
  </si>
  <si>
    <t xml:space="preserve">26-08-2025</t>
  </si>
  <si>
    <t xml:space="preserve">ORD-2024-10879</t>
  </si>
  <si>
    <t xml:space="preserve">CUST-8534</t>
  </si>
  <si>
    <t xml:space="preserve">ORD-2025-10880</t>
  </si>
  <si>
    <t xml:space="preserve">CUST-4486</t>
  </si>
  <si>
    <t xml:space="preserve">2025-08-27</t>
  </si>
  <si>
    <t xml:space="preserve">ORD-2024-10881</t>
  </si>
  <si>
    <t xml:space="preserve">CUST-5287</t>
  </si>
  <si>
    <t xml:space="preserve">08-03-2024</t>
  </si>
  <si>
    <t xml:space="preserve">ORD-2024-10882</t>
  </si>
  <si>
    <t xml:space="preserve">CUST-3445</t>
  </si>
  <si>
    <t xml:space="preserve">05-12-2024</t>
  </si>
  <si>
    <t xml:space="preserve">ORD-2025-10883</t>
  </si>
  <si>
    <t xml:space="preserve">CUST-4983</t>
  </si>
  <si>
    <t xml:space="preserve">02 Feb 2025</t>
  </si>
  <si>
    <t xml:space="preserve">ORD-2025-10884</t>
  </si>
  <si>
    <t xml:space="preserve">CUST-2597</t>
  </si>
  <si>
    <t xml:space="preserve">28 Apr 2025</t>
  </si>
  <si>
    <t xml:space="preserve">05/01/2025</t>
  </si>
  <si>
    <t xml:space="preserve">ORD-2025-10885</t>
  </si>
  <si>
    <t xml:space="preserve">CUST-7505</t>
  </si>
  <si>
    <t xml:space="preserve">18-01-2025</t>
  </si>
  <si>
    <t xml:space="preserve">2025-01-25</t>
  </si>
  <si>
    <t xml:space="preserve">ORD-2024-10886</t>
  </si>
  <si>
    <t xml:space="preserve">CUST-3446</t>
  </si>
  <si>
    <t xml:space="preserve">2024-01-05</t>
  </si>
  <si>
    <t xml:space="preserve">ORD-2025-10887</t>
  </si>
  <si>
    <t xml:space="preserve">CUST-3549</t>
  </si>
  <si>
    <t xml:space="preserve">26-04-2025</t>
  </si>
  <si>
    <t xml:space="preserve">03-05-2025</t>
  </si>
  <si>
    <t xml:space="preserve">ORD-2024-10888</t>
  </si>
  <si>
    <t xml:space="preserve">CUST-2795</t>
  </si>
  <si>
    <t xml:space="preserve">ORD-2025-10889</t>
  </si>
  <si>
    <t xml:space="preserve">CUST-1081</t>
  </si>
  <si>
    <t xml:space="preserve">06-08-2025</t>
  </si>
  <si>
    <t xml:space="preserve">ORD-2025-10890</t>
  </si>
  <si>
    <t xml:space="preserve">10 Mar 2025</t>
  </si>
  <si>
    <t xml:space="preserve">03/11/2025</t>
  </si>
  <si>
    <t xml:space="preserve">ORD-2024-10891</t>
  </si>
  <si>
    <t xml:space="preserve">CUST-3992</t>
  </si>
  <si>
    <t xml:space="preserve">ORD-2024-10892</t>
  </si>
  <si>
    <t xml:space="preserve">CUST-6647</t>
  </si>
  <si>
    <t xml:space="preserve">ORD-2025-10893</t>
  </si>
  <si>
    <t xml:space="preserve">CUST-5087</t>
  </si>
  <si>
    <t xml:space="preserve">04/12/2025</t>
  </si>
  <si>
    <t xml:space="preserve">ORD-2024-10894</t>
  </si>
  <si>
    <t xml:space="preserve">CUST-9297</t>
  </si>
  <si>
    <t xml:space="preserve">06 Jun 2024</t>
  </si>
  <si>
    <t xml:space="preserve">08 Jun 2024</t>
  </si>
  <si>
    <t xml:space="preserve">ORD-2024-10895</t>
  </si>
  <si>
    <t xml:space="preserve">CUST-7996</t>
  </si>
  <si>
    <t xml:space="preserve">02/29/2024</t>
  </si>
  <si>
    <t xml:space="preserve">ORD-2024-10896</t>
  </si>
  <si>
    <t xml:space="preserve">CUST-4117</t>
  </si>
  <si>
    <t xml:space="preserve">05 Nov 2024</t>
  </si>
  <si>
    <t xml:space="preserve">ORD-2024-10897</t>
  </si>
  <si>
    <t xml:space="preserve">CUST-4848</t>
  </si>
  <si>
    <t xml:space="preserve">12/24/2024</t>
  </si>
  <si>
    <t xml:space="preserve">ORD-2025-10898</t>
  </si>
  <si>
    <t xml:space="preserve">03 May 2025</t>
  </si>
  <si>
    <t xml:space="preserve">ORD-2024-10899</t>
  </si>
  <si>
    <t xml:space="preserve">CUST-6046</t>
  </si>
  <si>
    <t xml:space="preserve">ORD-2025-10900</t>
  </si>
  <si>
    <t xml:space="preserve">CUST-3789</t>
  </si>
  <si>
    <t xml:space="preserve">06/03/2025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</si>
</sst>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.00%"/>
    <numFmt numFmtId="167" formatCode="#,##0.00"/>
    <numFmt numFmtId="168" formatCode="0.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808080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9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  <col collapsed="false" customWidth="true" hidden="false" outlineLevel="0" max="5" min="5" style="0" width="18"/>
    <col collapsed="false" customWidth="true" hidden="false" outlineLevel="0" max="11" min="6" style="0" width="16"/>
    <col collapsed="false" customWidth="true" hidden="false" outlineLevel="0" max="12" min="12" style="0" width="22"/>
    <col collapsed="false" customWidth="true" hidden="false" outlineLevel="0" max="35" min="13" style="0" width="16"/>
    <col collapsed="false" customWidth="true" hidden="true" outlineLevel="0" max="48" min="36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customFormat="false" ht="15" hidden="false" customHeight="false" outlineLevel="0" collapsed="false">
      <c r="A2" s="0" t="s">
        <v>48</v>
      </c>
      <c r="B2" s="3" t="n">
        <f aca="false">IF(AJ2="","",IF(ISNUMBER(SEARCH("/",AJ2)),DATE(VALUE(RIGHT(AJ2,4)),VALUE(LEFT(AJ2,2)),VALUE(MID(AJ2,4,2))),IF(ISNUMBER(SEARCH("-",AJ2)),IF(LEN(LEFT(AJ2,FIND("-",AJ2)-1))=4,DATE(VALUE(LEFT(AJ2,4)),VALUE(MID(AJ2,6,2)),VALUE(RIGHT(AJ2,2))),DATE(VALUE(RIGHT(AJ2,4)),VALUE(MID(AJ2,4,2)),VALUE(LEFT(AJ2,2)))),DATE(VALUE(RIGHT(AJ2,4)),MATCH(MID(AJ2,4,3),{"Jan","Feb","Mar","Apr","May","Jun","Jul","Aug","Sep","Oct","Nov","Dec"},0),VALUE(LEFT(AJ2,2))))))</f>
        <v>45494</v>
      </c>
      <c r="C2" s="3" t="n">
        <f aca="false">IF(AK2="","",IF(ISNUMBER(SEARCH("/",AK2)),DATE(VALUE(RIGHT(AK2,4)),VALUE(LEFT(AK2,2)),VALUE(MID(AK2,4,2))),IF(ISNUMBER(SEARCH("-",AK2)),IF(LEN(LEFT(AK2,FIND("-",AK2)-1))=4,DATE(VALUE(LEFT(AK2,4)),VALUE(MID(AK2,6,2)),VALUE(RIGHT(AK2,2))),DATE(VALUE(RIGHT(AK2,4)),VALUE(MID(AK2,4,2)),VALUE(LEFT(AK2,2)))),DATE(VALUE(RIGHT(AK2,4)),MATCH(MID(AK2,4,3),{"Jan","Feb","Mar","Apr","May","Jun","Jul","Aug","Sep","Oct","Nov","Dec"},0),VALUE(LEFT(AK2,2))))))</f>
        <v>45500</v>
      </c>
      <c r="D2" s="4" t="s">
        <v>49</v>
      </c>
      <c r="E2" s="0" t="str">
        <f aca="false">PROPER(TRIM(AL2))</f>
        <v>Karan Malhotra</v>
      </c>
      <c r="F2" s="0" t="str">
        <f aca="false">PROPER(TRIM(AM2))</f>
        <v>Consumer</v>
      </c>
      <c r="G2" s="0" t="str">
        <f aca="false">IF(TRIM(AN2)="","Unknown",PROPER(TRIM(AN2)))</f>
        <v>North</v>
      </c>
      <c r="H2" s="0" t="str">
        <f aca="false">PROPER(TRIM(AO2))</f>
        <v>Rajasthan</v>
      </c>
      <c r="I2" s="0" t="str">
        <f aca="false">PROPER(TRIM(AP2))</f>
        <v>Jaipur</v>
      </c>
      <c r="J2" s="0" t="str">
        <f aca="false">PROPER(TRIM(AQ2))</f>
        <v>Office Supplies</v>
      </c>
      <c r="K2" s="0" t="str">
        <f aca="false">PROPER(TRIM(AR2))</f>
        <v>Paper</v>
      </c>
      <c r="M2" s="0" t="str">
        <f aca="false">IF(TRIM(AS2)="","Unknown",PROPER(TRIM(AS2)))</f>
        <v>Second Class</v>
      </c>
      <c r="N2" s="0" t="n">
        <v>8</v>
      </c>
      <c r="O2" s="0" t="n">
        <v>2976.45</v>
      </c>
      <c r="P2" s="5" t="n">
        <f aca="false">IF(AT2="","",IF(ISNUMBER(AT2),AT2,VALUE(SUBSTITUTE(AT2,"%",""))/100))</f>
        <v>0.2</v>
      </c>
      <c r="Q2" s="5" t="n">
        <f aca="false">IF(P2="",IF(AND(N2&lt;&gt;"",O2&lt;&gt;"",R2&lt;&gt;"",S2&lt;&gt;""),0,"REVIEW"),IF(OR(P2&lt;0,P2&gt;0.3),0,P2))</f>
        <v>0.2</v>
      </c>
      <c r="R2" s="0" t="n">
        <v>19049.28</v>
      </c>
      <c r="S2" s="0" t="n">
        <v>15841.89</v>
      </c>
      <c r="T2" s="6" t="n">
        <f aca="false">N2*O2*(1-Q2)</f>
        <v>19049.28</v>
      </c>
      <c r="U2" s="6" t="n">
        <f aca="false">T2-S2</f>
        <v>3207.39</v>
      </c>
      <c r="V2" s="7" t="n">
        <f aca="false">IF(T2=0,0,U2/T2)</f>
        <v>0.168373292848864</v>
      </c>
      <c r="W2" s="4" t="n">
        <f aca="false">C2-B2</f>
        <v>6</v>
      </c>
      <c r="X2" s="0" t="str">
        <f aca="false">TEXT(B2,"mmmm")</f>
        <v>July</v>
      </c>
      <c r="Y2" s="4" t="n">
        <f aca="false">YEAR(B2)</f>
        <v>2024</v>
      </c>
      <c r="Z2" s="0" t="str">
        <f aca="false">PROPER(TRIM(AU2))</f>
        <v>Paid</v>
      </c>
      <c r="AA2" s="0" t="str">
        <f aca="false">PROPER(TRIM(AV2))</f>
        <v>Completed</v>
      </c>
      <c r="AB2" s="0" t="str">
        <f aca="false">IF(TRIM(AN2)="","Yes","No")</f>
        <v>No</v>
      </c>
      <c r="AC2" s="0" t="str">
        <f aca="false">IF(TRIM(AS2)="","Yes","No")</f>
        <v>No</v>
      </c>
      <c r="AD2" s="0" t="str">
        <f aca="false">IF(AT2="","Yes","No")</f>
        <v>No</v>
      </c>
      <c r="AE2" s="0" t="str">
        <f aca="false">IF(W2&lt;0,"Yes","No")</f>
        <v>No</v>
      </c>
      <c r="AF2" s="0" t="str">
        <f aca="false">IF(P2="","No",IF(OR(P2&lt;0,P2&gt;0.3),"Yes","No"))</f>
        <v>No</v>
      </c>
      <c r="AG2" s="4" t="s">
        <v>50</v>
      </c>
      <c r="AH2" s="0" t="str">
        <f aca="false">IF(AND(AA2="Completed",Z2="Paid"),"Yes","No")</f>
        <v>Yes</v>
      </c>
      <c r="AI2" s="0" t="str">
        <f aca="false">IF(OR(AE2="Yes",AF2="Yes",AG2="Yes"),"Invalid",IF(OR(AB2="Yes",AC2="Yes",AD2="Yes"),"Warning","Clean"))</f>
        <v>Clean</v>
      </c>
      <c r="AJ2" s="4" t="s">
        <v>51</v>
      </c>
      <c r="AK2" s="4" t="s">
        <v>52</v>
      </c>
      <c r="AL2" s="4" t="s">
        <v>53</v>
      </c>
      <c r="AM2" s="4" t="s">
        <v>54</v>
      </c>
      <c r="AN2" s="4" t="s">
        <v>55</v>
      </c>
      <c r="AO2" s="4" t="s">
        <v>56</v>
      </c>
      <c r="AP2" s="4" t="s">
        <v>57</v>
      </c>
      <c r="AQ2" s="4" t="s">
        <v>58</v>
      </c>
      <c r="AR2" s="4" t="s">
        <v>59</v>
      </c>
      <c r="AS2" s="4" t="s">
        <v>60</v>
      </c>
      <c r="AT2" s="0" t="n">
        <v>0.2</v>
      </c>
      <c r="AU2" s="4" t="s">
        <v>61</v>
      </c>
      <c r="AV2" s="4" t="s">
        <v>62</v>
      </c>
    </row>
    <row r="3" customFormat="false" ht="15" hidden="false" customHeight="false" outlineLevel="0" collapsed="false">
      <c r="A3" s="0" t="s">
        <v>63</v>
      </c>
      <c r="B3" s="3" t="n">
        <f aca="false">IF(AJ3="","",IF(ISNUMBER(SEARCH("/",AJ3)),DATE(VALUE(RIGHT(AJ3,4)),VALUE(LEFT(AJ3,2)),VALUE(MID(AJ3,4,2))),IF(ISNUMBER(SEARCH("-",AJ3)),IF(LEN(LEFT(AJ3,FIND("-",AJ3)-1))=4,DATE(VALUE(LEFT(AJ3,4)),VALUE(MID(AJ3,6,2)),VALUE(RIGHT(AJ3,2))),DATE(VALUE(RIGHT(AJ3,4)),VALUE(MID(AJ3,4,2)),VALUE(LEFT(AJ3,2)))),DATE(VALUE(RIGHT(AJ3,4)),MATCH(MID(AJ3,4,3),{"Jan","Feb","Mar","Apr","May","Jun","Jul","Aug","Sep","Oct","Nov","Dec"},0),VALUE(LEFT(AJ3,2))))))</f>
        <v>45535</v>
      </c>
      <c r="C3" s="3" t="n">
        <f aca="false">IF(AK3="","",IF(ISNUMBER(SEARCH("/",AK3)),DATE(VALUE(RIGHT(AK3,4)),VALUE(LEFT(AK3,2)),VALUE(MID(AK3,4,2))),IF(ISNUMBER(SEARCH("-",AK3)),IF(LEN(LEFT(AK3,FIND("-",AK3)-1))=4,DATE(VALUE(LEFT(AK3,4)),VALUE(MID(AK3,6,2)),VALUE(RIGHT(AK3,2))),DATE(VALUE(RIGHT(AK3,4)),VALUE(MID(AK3,4,2)),VALUE(LEFT(AK3,2)))),DATE(VALUE(RIGHT(AK3,4)),MATCH(MID(AK3,4,3),{"Jan","Feb","Mar","Apr","May","Jun","Jul","Aug","Sep","Oct","Nov","Dec"},0),VALUE(LEFT(AK3,2))))))</f>
        <v>45540</v>
      </c>
      <c r="D3" s="4" t="s">
        <v>64</v>
      </c>
      <c r="E3" s="0" t="str">
        <f aca="false">PROPER(TRIM(AL3))</f>
        <v>Mira Das</v>
      </c>
      <c r="F3" s="0" t="str">
        <f aca="false">PROPER(TRIM(AM3))</f>
        <v>Small Business</v>
      </c>
      <c r="G3" s="0" t="str">
        <f aca="false">IF(TRIM(AN3)="","Unknown",PROPER(TRIM(AN3)))</f>
        <v>East</v>
      </c>
      <c r="H3" s="0" t="str">
        <f aca="false">PROPER(TRIM(AO3))</f>
        <v>Odisha</v>
      </c>
      <c r="I3" s="0" t="str">
        <f aca="false">PROPER(TRIM(AP3))</f>
        <v>Bhubaneswar</v>
      </c>
      <c r="J3" s="0" t="str">
        <f aca="false">PROPER(TRIM(AQ3))</f>
        <v>Furniture</v>
      </c>
      <c r="K3" s="0" t="str">
        <f aca="false">PROPER(TRIM(AR3))</f>
        <v>Tables</v>
      </c>
      <c r="M3" s="0" t="str">
        <f aca="false">IF(TRIM(AS3)="","Unknown",PROPER(TRIM(AS3)))</f>
        <v>Same Day</v>
      </c>
      <c r="N3" s="0" t="n">
        <v>3</v>
      </c>
      <c r="O3" s="0" t="n">
        <v>2437.5</v>
      </c>
      <c r="P3" s="5" t="n">
        <f aca="false">IF(AT3="","",IF(ISNUMBER(AT3),AT3,VALUE(SUBSTITUTE(AT3,"%",""))/100))</f>
        <v>0</v>
      </c>
      <c r="Q3" s="5" t="n">
        <f aca="false">IF(P3="",IF(AND(N3&lt;&gt;"",O3&lt;&gt;"",R3&lt;&gt;"",S3&lt;&gt;""),0,"REVIEW"),IF(OR(P3&lt;0,P3&gt;0.3),0,P3))</f>
        <v>0</v>
      </c>
      <c r="R3" s="0" t="n">
        <v>7312.5</v>
      </c>
      <c r="S3" s="0" t="n">
        <v>4904.73</v>
      </c>
      <c r="T3" s="6" t="n">
        <f aca="false">N3*O3*(1-Q3)</f>
        <v>7312.5</v>
      </c>
      <c r="U3" s="6" t="n">
        <f aca="false">T3-S3</f>
        <v>2407.77</v>
      </c>
      <c r="V3" s="7" t="n">
        <f aca="false">IF(T3=0,0,U3/T3)</f>
        <v>0.329267692307692</v>
      </c>
      <c r="W3" s="4" t="n">
        <f aca="false">C3-B3</f>
        <v>5</v>
      </c>
      <c r="X3" s="0" t="str">
        <f aca="false">TEXT(B3,"mmmm")</f>
        <v>August</v>
      </c>
      <c r="Y3" s="4" t="n">
        <f aca="false">YEAR(B3)</f>
        <v>2024</v>
      </c>
      <c r="Z3" s="0" t="str">
        <f aca="false">PROPER(TRIM(AU3))</f>
        <v>Paid</v>
      </c>
      <c r="AA3" s="0" t="str">
        <f aca="false">PROPER(TRIM(AV3))</f>
        <v>Completed</v>
      </c>
      <c r="AB3" s="0" t="str">
        <f aca="false">IF(TRIM(AN3)="","Yes","No")</f>
        <v>No</v>
      </c>
      <c r="AC3" s="0" t="str">
        <f aca="false">IF(TRIM(AS3)="","Yes","No")</f>
        <v>No</v>
      </c>
      <c r="AD3" s="0" t="str">
        <f aca="false">IF(AT3="","Yes","No")</f>
        <v>No</v>
      </c>
      <c r="AE3" s="0" t="str">
        <f aca="false">IF(W3&lt;0,"Yes","No")</f>
        <v>No</v>
      </c>
      <c r="AF3" s="0" t="str">
        <f aca="false">IF(P3="","No",IF(OR(P3&lt;0,P3&gt;0.3),"Yes","No"))</f>
        <v>No</v>
      </c>
      <c r="AG3" s="4" t="s">
        <v>50</v>
      </c>
      <c r="AH3" s="0" t="str">
        <f aca="false">IF(AND(AA3="Completed",Z3="Paid"),"Yes","No")</f>
        <v>Yes</v>
      </c>
      <c r="AI3" s="0" t="str">
        <f aca="false">IF(OR(AE3="Yes",AF3="Yes",AG3="Yes"),"Invalid",IF(OR(AB3="Yes",AC3="Yes",AD3="Yes"),"Warning","Clean"))</f>
        <v>Clean</v>
      </c>
      <c r="AJ3" s="4" t="s">
        <v>65</v>
      </c>
      <c r="AK3" s="4" t="s">
        <v>66</v>
      </c>
      <c r="AL3" s="4" t="s">
        <v>67</v>
      </c>
      <c r="AM3" s="4" t="s">
        <v>68</v>
      </c>
      <c r="AN3" s="4" t="s">
        <v>69</v>
      </c>
      <c r="AO3" s="4" t="s">
        <v>70</v>
      </c>
      <c r="AP3" s="4" t="s">
        <v>71</v>
      </c>
      <c r="AQ3" s="4" t="s">
        <v>72</v>
      </c>
      <c r="AR3" s="4" t="s">
        <v>73</v>
      </c>
      <c r="AS3" s="4" t="s">
        <v>74</v>
      </c>
      <c r="AT3" s="0" t="n">
        <v>0</v>
      </c>
      <c r="AU3" s="4" t="s">
        <v>61</v>
      </c>
      <c r="AV3" s="4" t="s">
        <v>62</v>
      </c>
    </row>
    <row r="4" customFormat="false" ht="15" hidden="false" customHeight="false" outlineLevel="0" collapsed="false">
      <c r="A4" s="0" t="s">
        <v>75</v>
      </c>
      <c r="B4" s="3" t="n">
        <f aca="false">IF(AJ4="","",IF(ISNUMBER(SEARCH("/",AJ4)),DATE(VALUE(RIGHT(AJ4,4)),VALUE(LEFT(AJ4,2)),VALUE(MID(AJ4,4,2))),IF(ISNUMBER(SEARCH("-",AJ4)),IF(LEN(LEFT(AJ4,FIND("-",AJ4)-1))=4,DATE(VALUE(LEFT(AJ4,4)),VALUE(MID(AJ4,6,2)),VALUE(RIGHT(AJ4,2))),DATE(VALUE(RIGHT(AJ4,4)),VALUE(MID(AJ4,4,2)),VALUE(LEFT(AJ4,2)))),DATE(VALUE(RIGHT(AJ4,4)),MATCH(MID(AJ4,4,3),{"Jan","Feb","Mar","Apr","May","Jun","Jul","Aug","Sep","Oct","Nov","Dec"},0),VALUE(LEFT(AJ4,2))))))</f>
        <v>45451</v>
      </c>
      <c r="C4" s="3" t="n">
        <f aca="false">IF(AK4="","",IF(ISNUMBER(SEARCH("/",AK4)),DATE(VALUE(RIGHT(AK4,4)),VALUE(LEFT(AK4,2)),VALUE(MID(AK4,4,2))),IF(ISNUMBER(SEARCH("-",AK4)),IF(LEN(LEFT(AK4,FIND("-",AK4)-1))=4,DATE(VALUE(LEFT(AK4,4)),VALUE(MID(AK4,6,2)),VALUE(RIGHT(AK4,2))),DATE(VALUE(RIGHT(AK4,4)),VALUE(MID(AK4,4,2)),VALUE(LEFT(AK4,2)))),DATE(VALUE(RIGHT(AK4,4)),MATCH(MID(AK4,4,3),{"Jan","Feb","Mar","Apr","May","Jun","Jul","Aug","Sep","Oct","Nov","Dec"},0),VALUE(LEFT(AK4,2))))))</f>
        <v>45458</v>
      </c>
      <c r="D4" s="4" t="s">
        <v>76</v>
      </c>
      <c r="E4" s="0" t="str">
        <f aca="false">PROPER(TRIM(AL4))</f>
        <v>Isha Nair</v>
      </c>
      <c r="F4" s="0" t="str">
        <f aca="false">PROPER(TRIM(AM4))</f>
        <v>Consumer</v>
      </c>
      <c r="G4" s="0" t="str">
        <f aca="false">IF(TRIM(AN4)="","Unknown",PROPER(TRIM(AN4)))</f>
        <v>East</v>
      </c>
      <c r="H4" s="0" t="str">
        <f aca="false">PROPER(TRIM(AO4))</f>
        <v>Odisha</v>
      </c>
      <c r="I4" s="0" t="str">
        <f aca="false">PROPER(TRIM(AP4))</f>
        <v>Bhubaneswar</v>
      </c>
      <c r="J4" s="0" t="str">
        <f aca="false">PROPER(TRIM(AQ4))</f>
        <v>Office Supplies</v>
      </c>
      <c r="K4" s="0" t="str">
        <f aca="false">PROPER(TRIM(AR4))</f>
        <v>Art</v>
      </c>
      <c r="M4" s="0" t="str">
        <f aca="false">IF(TRIM(AS4)="","Unknown",PROPER(TRIM(AS4)))</f>
        <v>First Class</v>
      </c>
      <c r="N4" s="0" t="n">
        <v>4</v>
      </c>
      <c r="O4" s="0" t="n">
        <v>1065.43</v>
      </c>
      <c r="P4" s="5" t="n">
        <f aca="false">IF(AT4="","",IF(ISNUMBER(AT4),AT4,VALUE(SUBSTITUTE(AT4,"%",""))/100))</f>
        <v>0.55</v>
      </c>
      <c r="Q4" s="5" t="n">
        <f aca="false">IF(P4="",IF(AND(N4&lt;&gt;"",O4&lt;&gt;"",R4&lt;&gt;"",S4&lt;&gt;""),0,"REVIEW"),IF(OR(P4&lt;0,P4&gt;0.3),0,P4))</f>
        <v>0</v>
      </c>
      <c r="R4" s="0" t="n">
        <v>4261.72</v>
      </c>
      <c r="S4" s="0" t="n">
        <v>2465.69</v>
      </c>
      <c r="T4" s="6" t="n">
        <f aca="false">N4*O4*(1-Q4)</f>
        <v>4261.72</v>
      </c>
      <c r="U4" s="6" t="n">
        <f aca="false">T4-S4</f>
        <v>1796.03</v>
      </c>
      <c r="V4" s="7" t="n">
        <f aca="false">IF(T4=0,0,U4/T4)</f>
        <v>0.421433130285425</v>
      </c>
      <c r="W4" s="4" t="n">
        <f aca="false">C4-B4</f>
        <v>7</v>
      </c>
      <c r="X4" s="0" t="str">
        <f aca="false">TEXT(B4,"mmmm")</f>
        <v>June</v>
      </c>
      <c r="Y4" s="4" t="n">
        <f aca="false">YEAR(B4)</f>
        <v>2024</v>
      </c>
      <c r="Z4" s="0" t="str">
        <f aca="false">PROPER(TRIM(AU4))</f>
        <v>Paid</v>
      </c>
      <c r="AA4" s="0" t="str">
        <f aca="false">PROPER(TRIM(AV4))</f>
        <v>Completed</v>
      </c>
      <c r="AB4" s="0" t="str">
        <f aca="false">IF(TRIM(AN4)="","Yes","No")</f>
        <v>No</v>
      </c>
      <c r="AC4" s="0" t="str">
        <f aca="false">IF(TRIM(AS4)="","Yes","No")</f>
        <v>No</v>
      </c>
      <c r="AD4" s="0" t="str">
        <f aca="false">IF(AT4="","Yes","No")</f>
        <v>No</v>
      </c>
      <c r="AE4" s="0" t="str">
        <f aca="false">IF(W4&lt;0,"Yes","No")</f>
        <v>No</v>
      </c>
      <c r="AF4" s="0" t="str">
        <f aca="false">IF(P4="","No",IF(OR(P4&lt;0,P4&gt;0.3),"Yes","No"))</f>
        <v>Yes</v>
      </c>
      <c r="AG4" s="4" t="s">
        <v>50</v>
      </c>
      <c r="AH4" s="0" t="str">
        <f aca="false">IF(AND(AA4="Completed",Z4="Paid"),"Yes","No")</f>
        <v>Yes</v>
      </c>
      <c r="AI4" s="0" t="str">
        <f aca="false">IF(OR(AE4="Yes",AF4="Yes",AG4="Yes"),"Invalid",IF(OR(AB4="Yes",AC4="Yes",AD4="Yes"),"Warning","Clean"))</f>
        <v>Invalid</v>
      </c>
      <c r="AJ4" s="4" t="s">
        <v>77</v>
      </c>
      <c r="AK4" s="4" t="s">
        <v>78</v>
      </c>
      <c r="AL4" s="4" t="s">
        <v>79</v>
      </c>
      <c r="AM4" s="4" t="s">
        <v>54</v>
      </c>
      <c r="AN4" s="4" t="s">
        <v>69</v>
      </c>
      <c r="AO4" s="4" t="s">
        <v>70</v>
      </c>
      <c r="AP4" s="4" t="s">
        <v>71</v>
      </c>
      <c r="AQ4" s="4" t="s">
        <v>58</v>
      </c>
      <c r="AR4" s="4" t="s">
        <v>80</v>
      </c>
      <c r="AS4" s="4" t="s">
        <v>81</v>
      </c>
      <c r="AT4" s="0" t="n">
        <v>0.55</v>
      </c>
      <c r="AU4" s="4" t="s">
        <v>61</v>
      </c>
      <c r="AV4" s="4" t="s">
        <v>62</v>
      </c>
    </row>
    <row r="5" customFormat="false" ht="15" hidden="false" customHeight="false" outlineLevel="0" collapsed="false">
      <c r="A5" s="0" t="s">
        <v>82</v>
      </c>
      <c r="B5" s="3" t="n">
        <f aca="false">IF(AJ5="","",IF(ISNUMBER(SEARCH("/",AJ5)),DATE(VALUE(RIGHT(AJ5,4)),VALUE(LEFT(AJ5,2)),VALUE(MID(AJ5,4,2))),IF(ISNUMBER(SEARCH("-",AJ5)),IF(LEN(LEFT(AJ5,FIND("-",AJ5)-1))=4,DATE(VALUE(LEFT(AJ5,4)),VALUE(MID(AJ5,6,2)),VALUE(RIGHT(AJ5,2))),DATE(VALUE(RIGHT(AJ5,4)),VALUE(MID(AJ5,4,2)),VALUE(LEFT(AJ5,2)))),DATE(VALUE(RIGHT(AJ5,4)),MATCH(MID(AJ5,4,3),{"Jan","Feb","Mar","Apr","May","Jun","Jul","Aug","Sep","Oct","Nov","Dec"},0),VALUE(LEFT(AJ5,2))))))</f>
        <v>45624</v>
      </c>
      <c r="C5" s="3" t="n">
        <f aca="false">IF(AK5="","",IF(ISNUMBER(SEARCH("/",AK5)),DATE(VALUE(RIGHT(AK5,4)),VALUE(LEFT(AK5,2)),VALUE(MID(AK5,4,2))),IF(ISNUMBER(SEARCH("-",AK5)),IF(LEN(LEFT(AK5,FIND("-",AK5)-1))=4,DATE(VALUE(LEFT(AK5,4)),VALUE(MID(AK5,6,2)),VALUE(RIGHT(AK5,2))),DATE(VALUE(RIGHT(AK5,4)),VALUE(MID(AK5,4,2)),VALUE(LEFT(AK5,2)))),DATE(VALUE(RIGHT(AK5,4)),MATCH(MID(AK5,4,3),{"Jan","Feb","Mar","Apr","May","Jun","Jul","Aug","Sep","Oct","Nov","Dec"},0),VALUE(LEFT(AK5,2))))))</f>
        <v>45625</v>
      </c>
      <c r="D5" s="4" t="s">
        <v>83</v>
      </c>
      <c r="E5" s="0" t="str">
        <f aca="false">PROPER(TRIM(AL5))</f>
        <v>Arjun Bose</v>
      </c>
      <c r="F5" s="0" t="str">
        <f aca="false">PROPER(TRIM(AM5))</f>
        <v>Small Business</v>
      </c>
      <c r="G5" s="0" t="str">
        <f aca="false">IF(TRIM(AN5)="","Unknown",PROPER(TRIM(AN5)))</f>
        <v>South</v>
      </c>
      <c r="H5" s="0" t="str">
        <f aca="false">PROPER(TRIM(AO5))</f>
        <v>Telangana</v>
      </c>
      <c r="I5" s="0" t="str">
        <f aca="false">PROPER(TRIM(AP5))</f>
        <v>Hyderabad</v>
      </c>
      <c r="J5" s="0" t="str">
        <f aca="false">PROPER(TRIM(AQ5))</f>
        <v>Furniture</v>
      </c>
      <c r="K5" s="0" t="str">
        <f aca="false">PROPER(TRIM(AR5))</f>
        <v>Furnishings</v>
      </c>
      <c r="M5" s="0" t="str">
        <f aca="false">IF(TRIM(AS5)="","Unknown",PROPER(TRIM(AS5)))</f>
        <v>Standard Class</v>
      </c>
      <c r="N5" s="0" t="n">
        <v>6</v>
      </c>
      <c r="O5" s="0" t="n">
        <v>1848.43</v>
      </c>
      <c r="P5" s="5" t="n">
        <f aca="false">IF(AT5="","",IF(ISNUMBER(AT5),AT5,VALUE(SUBSTITUTE(AT5,"%",""))/100))</f>
        <v>0.25</v>
      </c>
      <c r="Q5" s="5" t="n">
        <f aca="false">IF(P5="",IF(AND(N5&lt;&gt;"",O5&lt;&gt;"",R5&lt;&gt;"",S5&lt;&gt;""),0,"REVIEW"),IF(OR(P5&lt;0,P5&gt;0.3),0,P5))</f>
        <v>0.25</v>
      </c>
      <c r="R5" s="0" t="n">
        <v>8317.93</v>
      </c>
      <c r="S5" s="0" t="n">
        <v>6796.77</v>
      </c>
      <c r="T5" s="6" t="n">
        <f aca="false">N5*O5*(1-Q5)</f>
        <v>8317.935</v>
      </c>
      <c r="U5" s="6" t="n">
        <f aca="false">T5-S5</f>
        <v>1521.165</v>
      </c>
      <c r="V5" s="7" t="n">
        <f aca="false">IF(T5=0,0,U5/T5)</f>
        <v>0.182877721453702</v>
      </c>
      <c r="W5" s="4" t="n">
        <f aca="false">C5-B5</f>
        <v>1</v>
      </c>
      <c r="X5" s="0" t="str">
        <f aca="false">TEXT(B5,"mmmm")</f>
        <v>November</v>
      </c>
      <c r="Y5" s="4" t="n">
        <f aca="false">YEAR(B5)</f>
        <v>2024</v>
      </c>
      <c r="Z5" s="0" t="str">
        <f aca="false">PROPER(TRIM(AU5))</f>
        <v>Paid</v>
      </c>
      <c r="AA5" s="0" t="str">
        <f aca="false">PROPER(TRIM(AV5))</f>
        <v>Completed</v>
      </c>
      <c r="AB5" s="0" t="str">
        <f aca="false">IF(TRIM(AN5)="","Yes","No")</f>
        <v>No</v>
      </c>
      <c r="AC5" s="0" t="str">
        <f aca="false">IF(TRIM(AS5)="","Yes","No")</f>
        <v>No</v>
      </c>
      <c r="AD5" s="0" t="str">
        <f aca="false">IF(AT5="","Yes","No")</f>
        <v>No</v>
      </c>
      <c r="AE5" s="0" t="str">
        <f aca="false">IF(W5&lt;0,"Yes","No")</f>
        <v>No</v>
      </c>
      <c r="AF5" s="0" t="str">
        <f aca="false">IF(P5="","No",IF(OR(P5&lt;0,P5&gt;0.3),"Yes","No"))</f>
        <v>No</v>
      </c>
      <c r="AG5" s="4" t="s">
        <v>50</v>
      </c>
      <c r="AH5" s="0" t="str">
        <f aca="false">IF(AND(AA5="Completed",Z5="Paid"),"Yes","No")</f>
        <v>Yes</v>
      </c>
      <c r="AI5" s="0" t="str">
        <f aca="false">IF(OR(AE5="Yes",AF5="Yes",AG5="Yes"),"Invalid",IF(OR(AB5="Yes",AC5="Yes",AD5="Yes"),"Warning","Clean"))</f>
        <v>Clean</v>
      </c>
      <c r="AJ5" s="4" t="s">
        <v>84</v>
      </c>
      <c r="AK5" s="4" t="s">
        <v>85</v>
      </c>
      <c r="AL5" s="4" t="s">
        <v>86</v>
      </c>
      <c r="AM5" s="4" t="s">
        <v>68</v>
      </c>
      <c r="AN5" s="4" t="s">
        <v>87</v>
      </c>
      <c r="AO5" s="4" t="s">
        <v>88</v>
      </c>
      <c r="AP5" s="4" t="s">
        <v>89</v>
      </c>
      <c r="AQ5" s="4" t="s">
        <v>72</v>
      </c>
      <c r="AR5" s="4" t="s">
        <v>90</v>
      </c>
      <c r="AS5" s="4" t="s">
        <v>91</v>
      </c>
      <c r="AT5" s="0" t="n">
        <v>0.25</v>
      </c>
      <c r="AU5" s="4" t="s">
        <v>61</v>
      </c>
      <c r="AV5" s="4" t="s">
        <v>62</v>
      </c>
    </row>
    <row r="6" customFormat="false" ht="15" hidden="false" customHeight="false" outlineLevel="0" collapsed="false">
      <c r="A6" s="0" t="s">
        <v>92</v>
      </c>
      <c r="B6" s="3" t="n">
        <f aca="false">IF(AJ6="","",IF(ISNUMBER(SEARCH("/",AJ6)),DATE(VALUE(RIGHT(AJ6,4)),VALUE(LEFT(AJ6,2)),VALUE(MID(AJ6,4,2))),IF(ISNUMBER(SEARCH("-",AJ6)),IF(LEN(LEFT(AJ6,FIND("-",AJ6)-1))=4,DATE(VALUE(LEFT(AJ6,4)),VALUE(MID(AJ6,6,2)),VALUE(RIGHT(AJ6,2))),DATE(VALUE(RIGHT(AJ6,4)),VALUE(MID(AJ6,4,2)),VALUE(LEFT(AJ6,2)))),DATE(VALUE(RIGHT(AJ6,4)),MATCH(MID(AJ6,4,3),{"Jan","Feb","Mar","Apr","May","Jun","Jul","Aug","Sep","Oct","Nov","Dec"},0),VALUE(LEFT(AJ6,2))))))</f>
        <v>45898</v>
      </c>
      <c r="C6" s="3" t="n">
        <f aca="false">IF(AK6="","",IF(ISNUMBER(SEARCH("/",AK6)),DATE(VALUE(RIGHT(AK6,4)),VALUE(LEFT(AK6,2)),VALUE(MID(AK6,4,2))),IF(ISNUMBER(SEARCH("-",AK6)),IF(LEN(LEFT(AK6,FIND("-",AK6)-1))=4,DATE(VALUE(LEFT(AK6,4)),VALUE(MID(AK6,6,2)),VALUE(RIGHT(AK6,2))),DATE(VALUE(RIGHT(AK6,4)),VALUE(MID(AK6,4,2)),VALUE(LEFT(AK6,2)))),DATE(VALUE(RIGHT(AK6,4)),MATCH(MID(AK6,4,3),{"Jan","Feb","Mar","Apr","May","Jun","Jul","Aug","Sep","Oct","Nov","Dec"},0),VALUE(LEFT(AK6,2))))))</f>
        <v>45901</v>
      </c>
      <c r="D6" s="4" t="s">
        <v>93</v>
      </c>
      <c r="E6" s="0" t="str">
        <f aca="false">PROPER(TRIM(AL6))</f>
        <v>Ananya Rao</v>
      </c>
      <c r="F6" s="0" t="str">
        <f aca="false">PROPER(TRIM(AM6))</f>
        <v>Small Business</v>
      </c>
      <c r="G6" s="0" t="str">
        <f aca="false">IF(TRIM(AN6)="","Unknown",PROPER(TRIM(AN6)))</f>
        <v>West</v>
      </c>
      <c r="H6" s="0" t="str">
        <f aca="false">PROPER(TRIM(AO6))</f>
        <v>Maharashtra</v>
      </c>
      <c r="I6" s="0" t="str">
        <f aca="false">PROPER(TRIM(AP6))</f>
        <v>Mumbai</v>
      </c>
      <c r="J6" s="0" t="str">
        <f aca="false">PROPER(TRIM(AQ6))</f>
        <v>Furniture</v>
      </c>
      <c r="K6" s="0" t="str">
        <f aca="false">PROPER(TRIM(AR6))</f>
        <v>Chairs</v>
      </c>
      <c r="M6" s="0" t="str">
        <f aca="false">IF(TRIM(AS6)="","Unknown",PROPER(TRIM(AS6)))</f>
        <v>First Class</v>
      </c>
      <c r="N6" s="0" t="n">
        <v>7</v>
      </c>
      <c r="O6" s="0" t="n">
        <v>2973.76</v>
      </c>
      <c r="P6" s="5" t="n">
        <f aca="false">IF(AT6="","",IF(ISNUMBER(AT6),AT6,VALUE(SUBSTITUTE(AT6,"%",""))/100))</f>
        <v>0</v>
      </c>
      <c r="Q6" s="5" t="n">
        <f aca="false">IF(P6="",IF(AND(N6&lt;&gt;"",O6&lt;&gt;"",R6&lt;&gt;"",S6&lt;&gt;""),0,"REVIEW"),IF(OR(P6&lt;0,P6&gt;0.3),0,P6))</f>
        <v>0</v>
      </c>
      <c r="R6" s="0" t="n">
        <v>20816.32</v>
      </c>
      <c r="S6" s="0" t="n">
        <v>17705.37</v>
      </c>
      <c r="T6" s="6" t="n">
        <f aca="false">N6*O6*(1-Q6)</f>
        <v>20816.32</v>
      </c>
      <c r="U6" s="6" t="n">
        <f aca="false">T6-S6</f>
        <v>3110.95</v>
      </c>
      <c r="V6" s="7" t="n">
        <f aca="false">IF(T6=0,0,U6/T6)</f>
        <v>0.149447644924751</v>
      </c>
      <c r="W6" s="4" t="n">
        <f aca="false">C6-B6</f>
        <v>3</v>
      </c>
      <c r="X6" s="0" t="str">
        <f aca="false">TEXT(B6,"mmmm")</f>
        <v>August</v>
      </c>
      <c r="Y6" s="4" t="n">
        <f aca="false">YEAR(B6)</f>
        <v>2025</v>
      </c>
      <c r="Z6" s="0" t="str">
        <f aca="false">PROPER(TRIM(AU6))</f>
        <v>Paid</v>
      </c>
      <c r="AA6" s="0" t="str">
        <f aca="false">PROPER(TRIM(AV6))</f>
        <v>Cancelled</v>
      </c>
      <c r="AB6" s="0" t="str">
        <f aca="false">IF(TRIM(AN6)="","Yes","No")</f>
        <v>No</v>
      </c>
      <c r="AC6" s="0" t="str">
        <f aca="false">IF(TRIM(AS6)="","Yes","No")</f>
        <v>No</v>
      </c>
      <c r="AD6" s="0" t="str">
        <f aca="false">IF(AT6="","Yes","No")</f>
        <v>No</v>
      </c>
      <c r="AE6" s="0" t="str">
        <f aca="false">IF(W6&lt;0,"Yes","No")</f>
        <v>No</v>
      </c>
      <c r="AF6" s="0" t="str">
        <f aca="false">IF(P6="","No",IF(OR(P6&lt;0,P6&gt;0.3),"Yes","No"))</f>
        <v>No</v>
      </c>
      <c r="AG6" s="4" t="s">
        <v>50</v>
      </c>
      <c r="AH6" s="0" t="str">
        <f aca="false">IF(AND(AA6="Completed",Z6="Paid"),"Yes","No")</f>
        <v>No</v>
      </c>
      <c r="AI6" s="0" t="str">
        <f aca="false">IF(OR(AE6="Yes",AF6="Yes",AG6="Yes"),"Invalid",IF(OR(AB6="Yes",AC6="Yes",AD6="Yes"),"Warning","Clean"))</f>
        <v>Clean</v>
      </c>
      <c r="AJ6" s="4" t="s">
        <v>94</v>
      </c>
      <c r="AK6" s="4" t="s">
        <v>95</v>
      </c>
      <c r="AL6" s="4" t="s">
        <v>96</v>
      </c>
      <c r="AM6" s="4" t="s">
        <v>68</v>
      </c>
      <c r="AN6" s="4" t="s">
        <v>97</v>
      </c>
      <c r="AO6" s="4" t="s">
        <v>98</v>
      </c>
      <c r="AP6" s="4" t="s">
        <v>99</v>
      </c>
      <c r="AQ6" s="4" t="s">
        <v>72</v>
      </c>
      <c r="AR6" s="4" t="s">
        <v>100</v>
      </c>
      <c r="AS6" s="4" t="s">
        <v>81</v>
      </c>
      <c r="AT6" s="0" t="n">
        <v>0</v>
      </c>
      <c r="AU6" s="4" t="s">
        <v>61</v>
      </c>
      <c r="AV6" s="4" t="s">
        <v>101</v>
      </c>
    </row>
    <row r="7" customFormat="false" ht="15" hidden="false" customHeight="false" outlineLevel="0" collapsed="false">
      <c r="A7" s="0" t="s">
        <v>102</v>
      </c>
      <c r="B7" s="3" t="n">
        <f aca="false">IF(AJ7="","",IF(ISNUMBER(SEARCH("/",AJ7)),DATE(VALUE(RIGHT(AJ7,4)),VALUE(LEFT(AJ7,2)),VALUE(MID(AJ7,4,2))),IF(ISNUMBER(SEARCH("-",AJ7)),IF(LEN(LEFT(AJ7,FIND("-",AJ7)-1))=4,DATE(VALUE(LEFT(AJ7,4)),VALUE(MID(AJ7,6,2)),VALUE(RIGHT(AJ7,2))),DATE(VALUE(RIGHT(AJ7,4)),VALUE(MID(AJ7,4,2)),VALUE(LEFT(AJ7,2)))),DATE(VALUE(RIGHT(AJ7,4)),MATCH(MID(AJ7,4,3),{"Jan","Feb","Mar","Apr","May","Jun","Jul","Aug","Sep","Oct","Nov","Dec"},0),VALUE(LEFT(AJ7,2))))))</f>
        <v>45436</v>
      </c>
      <c r="C7" s="3" t="n">
        <f aca="false">IF(AK7="","",IF(ISNUMBER(SEARCH("/",AK7)),DATE(VALUE(RIGHT(AK7,4)),VALUE(LEFT(AK7,2)),VALUE(MID(AK7,4,2))),IF(ISNUMBER(SEARCH("-",AK7)),IF(LEN(LEFT(AK7,FIND("-",AK7)-1))=4,DATE(VALUE(LEFT(AK7,4)),VALUE(MID(AK7,6,2)),VALUE(RIGHT(AK7,2))),DATE(VALUE(RIGHT(AK7,4)),VALUE(MID(AK7,4,2)),VALUE(LEFT(AK7,2)))),DATE(VALUE(RIGHT(AK7,4)),MATCH(MID(AK7,4,3),{"Jan","Feb","Mar","Apr","May","Jun","Jul","Aug","Sep","Oct","Nov","Dec"},0),VALUE(LEFT(AK7,2))))))</f>
        <v>45440</v>
      </c>
      <c r="D7" s="4" t="s">
        <v>103</v>
      </c>
      <c r="E7" s="0" t="str">
        <f aca="false">PROPER(TRIM(AL7))</f>
        <v>Vikram Iyer</v>
      </c>
      <c r="F7" s="0" t="str">
        <f aca="false">PROPER(TRIM(AM7))</f>
        <v>Small Business</v>
      </c>
      <c r="G7" s="0" t="str">
        <f aca="false">IF(TRIM(AN7)="","Unknown",PROPER(TRIM(AN7)))</f>
        <v>West</v>
      </c>
      <c r="H7" s="0" t="str">
        <f aca="false">PROPER(TRIM(AO7))</f>
        <v>Madhya Pradesh</v>
      </c>
      <c r="I7" s="0" t="str">
        <f aca="false">PROPER(TRIM(AP7))</f>
        <v>Indore</v>
      </c>
      <c r="J7" s="0" t="str">
        <f aca="false">PROPER(TRIM(AQ7))</f>
        <v>Technology</v>
      </c>
      <c r="K7" s="0" t="str">
        <f aca="false">PROPER(TRIM(AR7))</f>
        <v>Accessories</v>
      </c>
      <c r="M7" s="0" t="str">
        <f aca="false">IF(TRIM(AS7)="","Unknown",PROPER(TRIM(AS7)))</f>
        <v>Same Day</v>
      </c>
      <c r="N7" s="0" t="n">
        <v>3</v>
      </c>
      <c r="O7" s="0" t="n">
        <v>1053.11</v>
      </c>
      <c r="P7" s="5" t="n">
        <f aca="false">IF(AT7="","",IF(ISNUMBER(AT7),AT7,VALUE(SUBSTITUTE(AT7,"%",""))/100))</f>
        <v>0.2</v>
      </c>
      <c r="Q7" s="5" t="n">
        <f aca="false">IF(P7="",IF(AND(N7&lt;&gt;"",O7&lt;&gt;"",R7&lt;&gt;"",S7&lt;&gt;""),0,"REVIEW"),IF(OR(P7&lt;0,P7&gt;0.3),0,P7))</f>
        <v>0.2</v>
      </c>
      <c r="R7" s="0" t="n">
        <v>2527.46</v>
      </c>
      <c r="S7" s="0" t="n">
        <v>1533.58</v>
      </c>
      <c r="T7" s="6" t="n">
        <f aca="false">N7*O7*(1-Q7)</f>
        <v>2527.464</v>
      </c>
      <c r="U7" s="6" t="n">
        <f aca="false">T7-S7</f>
        <v>993.884</v>
      </c>
      <c r="V7" s="7" t="n">
        <f aca="false">IF(T7=0,0,U7/T7)</f>
        <v>0.393233691953674</v>
      </c>
      <c r="W7" s="4" t="n">
        <f aca="false">C7-B7</f>
        <v>4</v>
      </c>
      <c r="X7" s="0" t="str">
        <f aca="false">TEXT(B7,"mmmm")</f>
        <v>May</v>
      </c>
      <c r="Y7" s="4" t="n">
        <f aca="false">YEAR(B7)</f>
        <v>2024</v>
      </c>
      <c r="Z7" s="0" t="str">
        <f aca="false">PROPER(TRIM(AU7))</f>
        <v>Paid</v>
      </c>
      <c r="AA7" s="0" t="str">
        <f aca="false">PROPER(TRIM(AV7))</f>
        <v>Completed</v>
      </c>
      <c r="AB7" s="0" t="str">
        <f aca="false">IF(TRIM(AN7)="","Yes","No")</f>
        <v>No</v>
      </c>
      <c r="AC7" s="0" t="str">
        <f aca="false">IF(TRIM(AS7)="","Yes","No")</f>
        <v>No</v>
      </c>
      <c r="AD7" s="0" t="str">
        <f aca="false">IF(AT7="","Yes","No")</f>
        <v>No</v>
      </c>
      <c r="AE7" s="0" t="str">
        <f aca="false">IF(W7&lt;0,"Yes","No")</f>
        <v>No</v>
      </c>
      <c r="AF7" s="0" t="str">
        <f aca="false">IF(P7="","No",IF(OR(P7&lt;0,P7&gt;0.3),"Yes","No"))</f>
        <v>No</v>
      </c>
      <c r="AG7" s="4" t="s">
        <v>50</v>
      </c>
      <c r="AH7" s="0" t="str">
        <f aca="false">IF(AND(AA7="Completed",Z7="Paid"),"Yes","No")</f>
        <v>Yes</v>
      </c>
      <c r="AI7" s="0" t="str">
        <f aca="false">IF(OR(AE7="Yes",AF7="Yes",AG7="Yes"),"Invalid",IF(OR(AB7="Yes",AC7="Yes",AD7="Yes"),"Warning","Clean"))</f>
        <v>Clean</v>
      </c>
      <c r="AJ7" s="4" t="s">
        <v>104</v>
      </c>
      <c r="AK7" s="4" t="s">
        <v>105</v>
      </c>
      <c r="AL7" s="4" t="s">
        <v>106</v>
      </c>
      <c r="AM7" s="4" t="s">
        <v>68</v>
      </c>
      <c r="AN7" s="4" t="s">
        <v>97</v>
      </c>
      <c r="AO7" s="4" t="s">
        <v>107</v>
      </c>
      <c r="AP7" s="4" t="s">
        <v>108</v>
      </c>
      <c r="AQ7" s="4" t="s">
        <v>109</v>
      </c>
      <c r="AR7" s="4" t="s">
        <v>110</v>
      </c>
      <c r="AS7" s="4" t="s">
        <v>74</v>
      </c>
      <c r="AT7" s="0" t="n">
        <v>0.2</v>
      </c>
      <c r="AU7" s="4" t="s">
        <v>61</v>
      </c>
      <c r="AV7" s="4" t="s">
        <v>62</v>
      </c>
    </row>
    <row r="8" customFormat="false" ht="15" hidden="false" customHeight="false" outlineLevel="0" collapsed="false">
      <c r="A8" s="0" t="s">
        <v>111</v>
      </c>
      <c r="B8" s="3" t="n">
        <f aca="false">IF(AJ8="","",IF(ISNUMBER(SEARCH("/",AJ8)),DATE(VALUE(RIGHT(AJ8,4)),VALUE(LEFT(AJ8,2)),VALUE(MID(AJ8,4,2))),IF(ISNUMBER(SEARCH("-",AJ8)),IF(LEN(LEFT(AJ8,FIND("-",AJ8)-1))=4,DATE(VALUE(LEFT(AJ8,4)),VALUE(MID(AJ8,6,2)),VALUE(RIGHT(AJ8,2))),DATE(VALUE(RIGHT(AJ8,4)),VALUE(MID(AJ8,4,2)),VALUE(LEFT(AJ8,2)))),DATE(VALUE(RIGHT(AJ8,4)),MATCH(MID(AJ8,4,3),{"Jan","Feb","Mar","Apr","May","Jun","Jul","Aug","Sep","Oct","Nov","Dec"},0),VALUE(LEFT(AJ8,2))))))</f>
        <v>45757</v>
      </c>
      <c r="C8" s="3" t="n">
        <f aca="false">IF(AK8="","",IF(ISNUMBER(SEARCH("/",AK8)),DATE(VALUE(RIGHT(AK8,4)),VALUE(LEFT(AK8,2)),VALUE(MID(AK8,4,2))),IF(ISNUMBER(SEARCH("-",AK8)),IF(LEN(LEFT(AK8,FIND("-",AK8)-1))=4,DATE(VALUE(LEFT(AK8,4)),VALUE(MID(AK8,6,2)),VALUE(RIGHT(AK8,2))),DATE(VALUE(RIGHT(AK8,4)),VALUE(MID(AK8,4,2)),VALUE(LEFT(AK8,2)))),DATE(VALUE(RIGHT(AK8,4)),MATCH(MID(AK8,4,3),{"Jan","Feb","Mar","Apr","May","Jun","Jul","Aug","Sep","Oct","Nov","Dec"},0),VALUE(LEFT(AK8,2))))))</f>
        <v>45763</v>
      </c>
      <c r="D8" s="4" t="s">
        <v>112</v>
      </c>
      <c r="E8" s="0" t="str">
        <f aca="false">PROPER(TRIM(AL8))</f>
        <v>Neha Gupta</v>
      </c>
      <c r="F8" s="0" t="str">
        <f aca="false">PROPER(TRIM(AM8))</f>
        <v>Consumer</v>
      </c>
      <c r="G8" s="0" t="str">
        <f aca="false">IF(TRIM(AN8)="","Unknown",PROPER(TRIM(AN8)))</f>
        <v>East</v>
      </c>
      <c r="H8" s="0" t="str">
        <f aca="false">PROPER(TRIM(AO8))</f>
        <v>Odisha</v>
      </c>
      <c r="I8" s="0" t="str">
        <f aca="false">PROPER(TRIM(AP8))</f>
        <v>Bhubaneswar</v>
      </c>
      <c r="J8" s="0" t="str">
        <f aca="false">PROPER(TRIM(AQ8))</f>
        <v>Technology</v>
      </c>
      <c r="K8" s="0" t="str">
        <f aca="false">PROPER(TRIM(AR8))</f>
        <v>Copiers</v>
      </c>
      <c r="M8" s="0" t="str">
        <f aca="false">IF(TRIM(AS8)="","Unknown",PROPER(TRIM(AS8)))</f>
        <v>Standard Class</v>
      </c>
      <c r="N8" s="0" t="n">
        <v>4</v>
      </c>
      <c r="O8" s="0" t="n">
        <v>1719.87</v>
      </c>
      <c r="P8" s="5" t="n">
        <f aca="false">IF(AT8="","",IF(ISNUMBER(AT8),AT8,VALUE(SUBSTITUTE(AT8,"%",""))/100))</f>
        <v>0.15</v>
      </c>
      <c r="Q8" s="5" t="n">
        <f aca="false">IF(P8="",IF(AND(N8&lt;&gt;"",O8&lt;&gt;"",R8&lt;&gt;"",S8&lt;&gt;""),0,"REVIEW"),IF(OR(P8&lt;0,P8&gt;0.3),0,P8))</f>
        <v>0.15</v>
      </c>
      <c r="R8" s="0" t="n">
        <v>5847.56</v>
      </c>
      <c r="S8" s="0" t="n">
        <v>4727.25</v>
      </c>
      <c r="T8" s="6" t="n">
        <f aca="false">N8*O8*(1-Q8)</f>
        <v>5847.558</v>
      </c>
      <c r="U8" s="6" t="n">
        <f aca="false">T8-S8</f>
        <v>1120.308</v>
      </c>
      <c r="V8" s="7" t="n">
        <f aca="false">IF(T8=0,0,U8/T8)</f>
        <v>0.191585615739083</v>
      </c>
      <c r="W8" s="4" t="n">
        <f aca="false">C8-B8</f>
        <v>6</v>
      </c>
      <c r="X8" s="0" t="str">
        <f aca="false">TEXT(B8,"mmmm")</f>
        <v>April</v>
      </c>
      <c r="Y8" s="4" t="n">
        <f aca="false">YEAR(B8)</f>
        <v>2025</v>
      </c>
      <c r="Z8" s="0" t="str">
        <f aca="false">PROPER(TRIM(AU8))</f>
        <v>Paid</v>
      </c>
      <c r="AA8" s="0" t="str">
        <f aca="false">PROPER(TRIM(AV8))</f>
        <v>Completed</v>
      </c>
      <c r="AB8" s="0" t="str">
        <f aca="false">IF(TRIM(AN8)="","Yes","No")</f>
        <v>No</v>
      </c>
      <c r="AC8" s="0" t="str">
        <f aca="false">IF(TRIM(AS8)="","Yes","No")</f>
        <v>No</v>
      </c>
      <c r="AD8" s="0" t="str">
        <f aca="false">IF(AT8="","Yes","No")</f>
        <v>No</v>
      </c>
      <c r="AE8" s="0" t="str">
        <f aca="false">IF(W8&lt;0,"Yes","No")</f>
        <v>No</v>
      </c>
      <c r="AF8" s="0" t="str">
        <f aca="false">IF(P8="","No",IF(OR(P8&lt;0,P8&gt;0.3),"Yes","No"))</f>
        <v>No</v>
      </c>
      <c r="AG8" s="4" t="s">
        <v>50</v>
      </c>
      <c r="AH8" s="0" t="str">
        <f aca="false">IF(AND(AA8="Completed",Z8="Paid"),"Yes","No")</f>
        <v>Yes</v>
      </c>
      <c r="AI8" s="0" t="str">
        <f aca="false">IF(OR(AE8="Yes",AF8="Yes",AG8="Yes"),"Invalid",IF(OR(AB8="Yes",AC8="Yes",AD8="Yes"),"Warning","Clean"))</f>
        <v>Clean</v>
      </c>
      <c r="AJ8" s="4" t="s">
        <v>113</v>
      </c>
      <c r="AK8" s="4" t="s">
        <v>114</v>
      </c>
      <c r="AL8" s="4" t="s">
        <v>115</v>
      </c>
      <c r="AM8" s="4" t="s">
        <v>54</v>
      </c>
      <c r="AN8" s="4" t="s">
        <v>69</v>
      </c>
      <c r="AO8" s="4" t="s">
        <v>70</v>
      </c>
      <c r="AP8" s="4" t="s">
        <v>71</v>
      </c>
      <c r="AQ8" s="4" t="s">
        <v>109</v>
      </c>
      <c r="AR8" s="4" t="s">
        <v>116</v>
      </c>
      <c r="AS8" s="4" t="s">
        <v>91</v>
      </c>
      <c r="AT8" s="0" t="n">
        <v>0.15</v>
      </c>
      <c r="AU8" s="4" t="s">
        <v>61</v>
      </c>
      <c r="AV8" s="4" t="s">
        <v>62</v>
      </c>
    </row>
    <row r="9" customFormat="false" ht="15" hidden="false" customHeight="false" outlineLevel="0" collapsed="false">
      <c r="A9" s="0" t="s">
        <v>117</v>
      </c>
      <c r="B9" s="3" t="n">
        <f aca="false">IF(AJ9="","",IF(ISNUMBER(SEARCH("/",AJ9)),DATE(VALUE(RIGHT(AJ9,4)),VALUE(LEFT(AJ9,2)),VALUE(MID(AJ9,4,2))),IF(ISNUMBER(SEARCH("-",AJ9)),IF(LEN(LEFT(AJ9,FIND("-",AJ9)-1))=4,DATE(VALUE(LEFT(AJ9,4)),VALUE(MID(AJ9,6,2)),VALUE(RIGHT(AJ9,2))),DATE(VALUE(RIGHT(AJ9,4)),VALUE(MID(AJ9,4,2)),VALUE(LEFT(AJ9,2)))),DATE(VALUE(RIGHT(AJ9,4)),MATCH(MID(AJ9,4,3),{"Jan","Feb","Mar","Apr","May","Jun","Jul","Aug","Sep","Oct","Nov","Dec"},0),VALUE(LEFT(AJ9,2))))))</f>
        <v>45711</v>
      </c>
      <c r="C9" s="3" t="n">
        <f aca="false">IF(AK9="","",IF(ISNUMBER(SEARCH("/",AK9)),DATE(VALUE(RIGHT(AK9,4)),VALUE(LEFT(AK9,2)),VALUE(MID(AK9,4,2))),IF(ISNUMBER(SEARCH("-",AK9)),IF(LEN(LEFT(AK9,FIND("-",AK9)-1))=4,DATE(VALUE(LEFT(AK9,4)),VALUE(MID(AK9,6,2)),VALUE(RIGHT(AK9,2))),DATE(VALUE(RIGHT(AK9,4)),VALUE(MID(AK9,4,2)),VALUE(LEFT(AK9,2)))),DATE(VALUE(RIGHT(AK9,4)),MATCH(MID(AK9,4,3),{"Jan","Feb","Mar","Apr","May","Jun","Jul","Aug","Sep","Oct","Nov","Dec"},0),VALUE(LEFT(AK9,2))))))</f>
        <v>45714</v>
      </c>
      <c r="D9" s="4" t="s">
        <v>118</v>
      </c>
      <c r="E9" s="0" t="str">
        <f aca="false">PROPER(TRIM(AL9))</f>
        <v>Isha Nair</v>
      </c>
      <c r="F9" s="0" t="str">
        <f aca="false">PROPER(TRIM(AM9))</f>
        <v>Small Business</v>
      </c>
      <c r="G9" s="0" t="str">
        <f aca="false">IF(TRIM(AN9)="","Unknown",PROPER(TRIM(AN9)))</f>
        <v>South</v>
      </c>
      <c r="H9" s="0" t="str">
        <f aca="false">PROPER(TRIM(AO9))</f>
        <v>Andhra Pradesh</v>
      </c>
      <c r="I9" s="0" t="str">
        <f aca="false">PROPER(TRIM(AP9))</f>
        <v>Vijayawada</v>
      </c>
      <c r="J9" s="0" t="str">
        <f aca="false">PROPER(TRIM(AQ9))</f>
        <v>Office Supplies</v>
      </c>
      <c r="K9" s="0" t="str">
        <f aca="false">PROPER(TRIM(AR9))</f>
        <v>Art</v>
      </c>
      <c r="M9" s="0" t="str">
        <f aca="false">IF(TRIM(AS9)="","Unknown",PROPER(TRIM(AS9)))</f>
        <v>First Class</v>
      </c>
      <c r="N9" s="0" t="n">
        <v>1</v>
      </c>
      <c r="O9" s="0" t="n">
        <v>2980.71</v>
      </c>
      <c r="P9" s="5" t="n">
        <f aca="false">IF(AT9="","",IF(ISNUMBER(AT9),AT9,VALUE(SUBSTITUTE(AT9,"%",""))/100))</f>
        <v>0</v>
      </c>
      <c r="Q9" s="5" t="n">
        <f aca="false">IF(P9="",IF(AND(N9&lt;&gt;"",O9&lt;&gt;"",R9&lt;&gt;"",S9&lt;&gt;""),0,"REVIEW"),IF(OR(P9&lt;0,P9&gt;0.3),0,P9))</f>
        <v>0</v>
      </c>
      <c r="R9" s="0" t="n">
        <v>2980.71</v>
      </c>
      <c r="S9" s="0" t="n">
        <v>2357.22</v>
      </c>
      <c r="T9" s="6" t="n">
        <f aca="false">N9*O9*(1-Q9)</f>
        <v>2980.71</v>
      </c>
      <c r="U9" s="6" t="n">
        <f aca="false">T9-S9</f>
        <v>623.49</v>
      </c>
      <c r="V9" s="7" t="n">
        <f aca="false">IF(T9=0,0,U9/T9)</f>
        <v>0.20917499521926</v>
      </c>
      <c r="W9" s="4" t="n">
        <f aca="false">C9-B9</f>
        <v>3</v>
      </c>
      <c r="X9" s="0" t="str">
        <f aca="false">TEXT(B9,"mmmm")</f>
        <v>February</v>
      </c>
      <c r="Y9" s="4" t="n">
        <f aca="false">YEAR(B9)</f>
        <v>2025</v>
      </c>
      <c r="Z9" s="0" t="str">
        <f aca="false">PROPER(TRIM(AU9))</f>
        <v>Paid</v>
      </c>
      <c r="AA9" s="0" t="str">
        <f aca="false">PROPER(TRIM(AV9))</f>
        <v>Completed</v>
      </c>
      <c r="AB9" s="0" t="str">
        <f aca="false">IF(TRIM(AN9)="","Yes","No")</f>
        <v>No</v>
      </c>
      <c r="AC9" s="0" t="str">
        <f aca="false">IF(TRIM(AS9)="","Yes","No")</f>
        <v>No</v>
      </c>
      <c r="AD9" s="0" t="str">
        <f aca="false">IF(AT9="","Yes","No")</f>
        <v>No</v>
      </c>
      <c r="AE9" s="0" t="str">
        <f aca="false">IF(W9&lt;0,"Yes","No")</f>
        <v>No</v>
      </c>
      <c r="AF9" s="0" t="str">
        <f aca="false">IF(P9="","No",IF(OR(P9&lt;0,P9&gt;0.3),"Yes","No"))</f>
        <v>No</v>
      </c>
      <c r="AG9" s="4" t="s">
        <v>50</v>
      </c>
      <c r="AH9" s="0" t="str">
        <f aca="false">IF(AND(AA9="Completed",Z9="Paid"),"Yes","No")</f>
        <v>Yes</v>
      </c>
      <c r="AI9" s="0" t="str">
        <f aca="false">IF(OR(AE9="Yes",AF9="Yes",AG9="Yes"),"Invalid",IF(OR(AB9="Yes",AC9="Yes",AD9="Yes"),"Warning","Clean"))</f>
        <v>Clean</v>
      </c>
      <c r="AJ9" s="4" t="s">
        <v>119</v>
      </c>
      <c r="AK9" s="4" t="s">
        <v>120</v>
      </c>
      <c r="AL9" s="4" t="s">
        <v>79</v>
      </c>
      <c r="AM9" s="4" t="s">
        <v>68</v>
      </c>
      <c r="AN9" s="4" t="s">
        <v>87</v>
      </c>
      <c r="AO9" s="4" t="s">
        <v>121</v>
      </c>
      <c r="AP9" s="4" t="s">
        <v>122</v>
      </c>
      <c r="AQ9" s="4" t="s">
        <v>58</v>
      </c>
      <c r="AR9" s="4" t="s">
        <v>80</v>
      </c>
      <c r="AS9" s="4" t="s">
        <v>81</v>
      </c>
      <c r="AT9" s="0" t="n">
        <v>0</v>
      </c>
      <c r="AU9" s="4" t="s">
        <v>61</v>
      </c>
      <c r="AV9" s="4" t="s">
        <v>62</v>
      </c>
    </row>
    <row r="10" customFormat="false" ht="15" hidden="false" customHeight="false" outlineLevel="0" collapsed="false">
      <c r="A10" s="0" t="s">
        <v>123</v>
      </c>
      <c r="B10" s="3" t="n">
        <f aca="false">IF(AJ10="","",IF(ISNUMBER(SEARCH("/",AJ10)),DATE(VALUE(RIGHT(AJ10,4)),VALUE(LEFT(AJ10,2)),VALUE(MID(AJ10,4,2))),IF(ISNUMBER(SEARCH("-",AJ10)),IF(LEN(LEFT(AJ10,FIND("-",AJ10)-1))=4,DATE(VALUE(LEFT(AJ10,4)),VALUE(MID(AJ10,6,2)),VALUE(RIGHT(AJ10,2))),DATE(VALUE(RIGHT(AJ10,4)),VALUE(MID(AJ10,4,2)),VALUE(LEFT(AJ10,2)))),DATE(VALUE(RIGHT(AJ10,4)),MATCH(MID(AJ10,4,3),{"Jan","Feb","Mar","Apr","May","Jun","Jul","Aug","Sep","Oct","Nov","Dec"},0),VALUE(LEFT(AJ10,2))))))</f>
        <v>45601</v>
      </c>
      <c r="C10" s="3" t="n">
        <f aca="false">IF(AK10="","",IF(ISNUMBER(SEARCH("/",AK10)),DATE(VALUE(RIGHT(AK10,4)),VALUE(LEFT(AK10,2)),VALUE(MID(AK10,4,2))),IF(ISNUMBER(SEARCH("-",AK10)),IF(LEN(LEFT(AK10,FIND("-",AK10)-1))=4,DATE(VALUE(LEFT(AK10,4)),VALUE(MID(AK10,6,2)),VALUE(RIGHT(AK10,2))),DATE(VALUE(RIGHT(AK10,4)),VALUE(MID(AK10,4,2)),VALUE(LEFT(AK10,2)))),DATE(VALUE(RIGHT(AK10,4)),MATCH(MID(AK10,4,3),{"Jan","Feb","Mar","Apr","May","Jun","Jul","Aug","Sep","Oct","Nov","Dec"},0),VALUE(LEFT(AK10,2))))))</f>
        <v>45606</v>
      </c>
      <c r="D10" s="4" t="s">
        <v>124</v>
      </c>
      <c r="E10" s="0" t="str">
        <f aca="false">PROPER(TRIM(AL10))</f>
        <v>Aditi Sen</v>
      </c>
      <c r="F10" s="0" t="str">
        <f aca="false">PROPER(TRIM(AM10))</f>
        <v>Corporate</v>
      </c>
      <c r="G10" s="0" t="str">
        <f aca="false">IF(TRIM(AN10)="","Unknown",PROPER(TRIM(AN10)))</f>
        <v>South</v>
      </c>
      <c r="H10" s="0" t="str">
        <f aca="false">PROPER(TRIM(AO10))</f>
        <v>Telangana</v>
      </c>
      <c r="I10" s="0" t="str">
        <f aca="false">PROPER(TRIM(AP10))</f>
        <v>Hyderabad</v>
      </c>
      <c r="J10" s="0" t="str">
        <f aca="false">PROPER(TRIM(AQ10))</f>
        <v>Office Supplies</v>
      </c>
      <c r="K10" s="0" t="str">
        <f aca="false">PROPER(TRIM(AR10))</f>
        <v>Labels</v>
      </c>
      <c r="M10" s="0" t="str">
        <f aca="false">IF(TRIM(AS10)="","Unknown",PROPER(TRIM(AS10)))</f>
        <v>First Class</v>
      </c>
      <c r="N10" s="0" t="n">
        <v>8</v>
      </c>
      <c r="O10" s="0" t="n">
        <v>3134.2</v>
      </c>
      <c r="P10" s="5" t="n">
        <f aca="false">IF(AT10="","",IF(ISNUMBER(AT10),AT10,VALUE(SUBSTITUTE(AT10,"%",""))/100))</f>
        <v>0</v>
      </c>
      <c r="Q10" s="5" t="n">
        <f aca="false">IF(P10="",IF(AND(N10&lt;&gt;"",O10&lt;&gt;"",R10&lt;&gt;"",S10&lt;&gt;""),0,"REVIEW"),IF(OR(P10&lt;0,P10&gt;0.3),0,P10))</f>
        <v>0</v>
      </c>
      <c r="R10" s="0" t="n">
        <v>25073.6</v>
      </c>
      <c r="S10" s="0" t="n">
        <v>17347.23</v>
      </c>
      <c r="T10" s="6" t="n">
        <f aca="false">N10*O10*(1-Q10)</f>
        <v>25073.6</v>
      </c>
      <c r="U10" s="6" t="n">
        <f aca="false">T10-S10</f>
        <v>7726.37</v>
      </c>
      <c r="V10" s="7" t="n">
        <f aca="false">IF(T10=0,0,U10/T10)</f>
        <v>0.308147613426074</v>
      </c>
      <c r="W10" s="4" t="n">
        <f aca="false">C10-B10</f>
        <v>5</v>
      </c>
      <c r="X10" s="0" t="str">
        <f aca="false">TEXT(B10,"mmmm")</f>
        <v>November</v>
      </c>
      <c r="Y10" s="4" t="n">
        <f aca="false">YEAR(B10)</f>
        <v>2024</v>
      </c>
      <c r="Z10" s="0" t="str">
        <f aca="false">PROPER(TRIM(AU10))</f>
        <v>Paid</v>
      </c>
      <c r="AA10" s="0" t="str">
        <f aca="false">PROPER(TRIM(AV10))</f>
        <v>Completed</v>
      </c>
      <c r="AB10" s="0" t="str">
        <f aca="false">IF(TRIM(AN10)="","Yes","No")</f>
        <v>No</v>
      </c>
      <c r="AC10" s="0" t="str">
        <f aca="false">IF(TRIM(AS10)="","Yes","No")</f>
        <v>No</v>
      </c>
      <c r="AD10" s="0" t="str">
        <f aca="false">IF(AT10="","Yes","No")</f>
        <v>No</v>
      </c>
      <c r="AE10" s="0" t="str">
        <f aca="false">IF(W10&lt;0,"Yes","No")</f>
        <v>No</v>
      </c>
      <c r="AF10" s="0" t="str">
        <f aca="false">IF(P10="","No",IF(OR(P10&lt;0,P10&gt;0.3),"Yes","No"))</f>
        <v>No</v>
      </c>
      <c r="AG10" s="4" t="s">
        <v>50</v>
      </c>
      <c r="AH10" s="0" t="str">
        <f aca="false">IF(AND(AA10="Completed",Z10="Paid"),"Yes","No")</f>
        <v>Yes</v>
      </c>
      <c r="AI10" s="0" t="str">
        <f aca="false">IF(OR(AE10="Yes",AF10="Yes",AG10="Yes"),"Invalid",IF(OR(AB10="Yes",AC10="Yes",AD10="Yes"),"Warning","Clean"))</f>
        <v>Clean</v>
      </c>
      <c r="AJ10" s="4" t="s">
        <v>125</v>
      </c>
      <c r="AK10" s="4" t="s">
        <v>126</v>
      </c>
      <c r="AL10" s="4" t="s">
        <v>127</v>
      </c>
      <c r="AM10" s="4" t="s">
        <v>128</v>
      </c>
      <c r="AN10" s="4" t="s">
        <v>87</v>
      </c>
      <c r="AO10" s="4" t="s">
        <v>88</v>
      </c>
      <c r="AP10" s="4" t="s">
        <v>89</v>
      </c>
      <c r="AQ10" s="4" t="s">
        <v>58</v>
      </c>
      <c r="AR10" s="4" t="s">
        <v>129</v>
      </c>
      <c r="AS10" s="4" t="s">
        <v>81</v>
      </c>
      <c r="AT10" s="0" t="n">
        <v>0</v>
      </c>
      <c r="AU10" s="4" t="s">
        <v>61</v>
      </c>
      <c r="AV10" s="4" t="s">
        <v>62</v>
      </c>
    </row>
    <row r="11" customFormat="false" ht="15" hidden="false" customHeight="false" outlineLevel="0" collapsed="false">
      <c r="A11" s="0" t="s">
        <v>130</v>
      </c>
      <c r="B11" s="3" t="n">
        <f aca="false">IF(AJ11="","",IF(ISNUMBER(SEARCH("/",AJ11)),DATE(VALUE(RIGHT(AJ11,4)),VALUE(LEFT(AJ11,2)),VALUE(MID(AJ11,4,2))),IF(ISNUMBER(SEARCH("-",AJ11)),IF(LEN(LEFT(AJ11,FIND("-",AJ11)-1))=4,DATE(VALUE(LEFT(AJ11,4)),VALUE(MID(AJ11,6,2)),VALUE(RIGHT(AJ11,2))),DATE(VALUE(RIGHT(AJ11,4)),VALUE(MID(AJ11,4,2)),VALUE(LEFT(AJ11,2)))),DATE(VALUE(RIGHT(AJ11,4)),MATCH(MID(AJ11,4,3),{"Jan","Feb","Mar","Apr","May","Jun","Jul","Aug","Sep","Oct","Nov","Dec"},0),VALUE(LEFT(AJ11,2))))))</f>
        <v>45907</v>
      </c>
      <c r="C11" s="3" t="n">
        <f aca="false">IF(AK11="","",IF(ISNUMBER(SEARCH("/",AK11)),DATE(VALUE(RIGHT(AK11,4)),VALUE(LEFT(AK11,2)),VALUE(MID(AK11,4,2))),IF(ISNUMBER(SEARCH("-",AK11)),IF(LEN(LEFT(AK11,FIND("-",AK11)-1))=4,DATE(VALUE(LEFT(AK11,4)),VALUE(MID(AK11,6,2)),VALUE(RIGHT(AK11,2))),DATE(VALUE(RIGHT(AK11,4)),VALUE(MID(AK11,4,2)),VALUE(LEFT(AK11,2)))),DATE(VALUE(RIGHT(AK11,4)),MATCH(MID(AK11,4,3),{"Jan","Feb","Mar","Apr","May","Jun","Jul","Aug","Sep","Oct","Nov","Dec"},0),VALUE(LEFT(AK11,2))))))</f>
        <v>45912</v>
      </c>
      <c r="D11" s="4" t="s">
        <v>131</v>
      </c>
      <c r="E11" s="0" t="str">
        <f aca="false">PROPER(TRIM(AL11))</f>
        <v>Mira Das</v>
      </c>
      <c r="F11" s="0" t="str">
        <f aca="false">PROPER(TRIM(AM11))</f>
        <v>Home Office</v>
      </c>
      <c r="G11" s="0" t="str">
        <f aca="false">IF(TRIM(AN11)="","Unknown",PROPER(TRIM(AN11)))</f>
        <v>South</v>
      </c>
      <c r="H11" s="0" t="str">
        <f aca="false">PROPER(TRIM(AO11))</f>
        <v>Telangana</v>
      </c>
      <c r="I11" s="0" t="str">
        <f aca="false">PROPER(TRIM(AP11))</f>
        <v>Hyderabad</v>
      </c>
      <c r="J11" s="0" t="str">
        <f aca="false">PROPER(TRIM(AQ11))</f>
        <v>Office Supplies</v>
      </c>
      <c r="K11" s="0" t="str">
        <f aca="false">PROPER(TRIM(AR11))</f>
        <v>Paper</v>
      </c>
      <c r="M11" s="0" t="str">
        <f aca="false">IF(TRIM(AS11)="","Unknown",PROPER(TRIM(AS11)))</f>
        <v>Second Class</v>
      </c>
      <c r="N11" s="0" t="n">
        <v>9</v>
      </c>
      <c r="O11" s="0" t="n">
        <v>852.04</v>
      </c>
      <c r="P11" s="5" t="n">
        <f aca="false">IF(AT11="","",IF(ISNUMBER(AT11),AT11,VALUE(SUBSTITUTE(AT11,"%",""))/100))</f>
        <v>0.2</v>
      </c>
      <c r="Q11" s="5" t="n">
        <f aca="false">IF(P11="",IF(AND(N11&lt;&gt;"",O11&lt;&gt;"",R11&lt;&gt;"",S11&lt;&gt;""),0,"REVIEW"),IF(OR(P11&lt;0,P11&gt;0.3),0,P11))</f>
        <v>0.2</v>
      </c>
      <c r="R11" s="0" t="n">
        <v>6134.69</v>
      </c>
      <c r="S11" s="0" t="n">
        <v>3800.19</v>
      </c>
      <c r="T11" s="6" t="n">
        <f aca="false">N11*O11*(1-Q11)</f>
        <v>6134.688</v>
      </c>
      <c r="U11" s="6" t="n">
        <f aca="false">T11-S11</f>
        <v>2334.498</v>
      </c>
      <c r="V11" s="7" t="n">
        <f aca="false">IF(T11=0,0,U11/T11)</f>
        <v>0.380540624070857</v>
      </c>
      <c r="W11" s="4" t="n">
        <f aca="false">C11-B11</f>
        <v>5</v>
      </c>
      <c r="X11" s="0" t="str">
        <f aca="false">TEXT(B11,"mmmm")</f>
        <v>September</v>
      </c>
      <c r="Y11" s="4" t="n">
        <f aca="false">YEAR(B11)</f>
        <v>2025</v>
      </c>
      <c r="Z11" s="0" t="str">
        <f aca="false">PROPER(TRIM(AU11))</f>
        <v>Paid</v>
      </c>
      <c r="AA11" s="0" t="str">
        <f aca="false">PROPER(TRIM(AV11))</f>
        <v>Completed</v>
      </c>
      <c r="AB11" s="0" t="str">
        <f aca="false">IF(TRIM(AN11)="","Yes","No")</f>
        <v>No</v>
      </c>
      <c r="AC11" s="0" t="str">
        <f aca="false">IF(TRIM(AS11)="","Yes","No")</f>
        <v>No</v>
      </c>
      <c r="AD11" s="0" t="str">
        <f aca="false">IF(AT11="","Yes","No")</f>
        <v>No</v>
      </c>
      <c r="AE11" s="0" t="str">
        <f aca="false">IF(W11&lt;0,"Yes","No")</f>
        <v>No</v>
      </c>
      <c r="AF11" s="0" t="str">
        <f aca="false">IF(P11="","No",IF(OR(P11&lt;0,P11&gt;0.3),"Yes","No"))</f>
        <v>No</v>
      </c>
      <c r="AG11" s="4" t="s">
        <v>50</v>
      </c>
      <c r="AH11" s="0" t="str">
        <f aca="false">IF(AND(AA11="Completed",Z11="Paid"),"Yes","No")</f>
        <v>Yes</v>
      </c>
      <c r="AI11" s="0" t="str">
        <f aca="false">IF(OR(AE11="Yes",AF11="Yes",AG11="Yes"),"Invalid",IF(OR(AB11="Yes",AC11="Yes",AD11="Yes"),"Warning","Clean"))</f>
        <v>Clean</v>
      </c>
      <c r="AJ11" s="4" t="s">
        <v>132</v>
      </c>
      <c r="AK11" s="4" t="s">
        <v>133</v>
      </c>
      <c r="AL11" s="4" t="s">
        <v>67</v>
      </c>
      <c r="AM11" s="4" t="s">
        <v>134</v>
      </c>
      <c r="AN11" s="4" t="s">
        <v>87</v>
      </c>
      <c r="AO11" s="4" t="s">
        <v>88</v>
      </c>
      <c r="AP11" s="4" t="s">
        <v>89</v>
      </c>
      <c r="AQ11" s="4" t="s">
        <v>58</v>
      </c>
      <c r="AR11" s="4" t="s">
        <v>59</v>
      </c>
      <c r="AS11" s="4" t="s">
        <v>60</v>
      </c>
      <c r="AT11" s="0" t="n">
        <v>0.2</v>
      </c>
      <c r="AU11" s="4" t="s">
        <v>61</v>
      </c>
      <c r="AV11" s="4" t="s">
        <v>62</v>
      </c>
    </row>
    <row r="12" customFormat="false" ht="15" hidden="false" customHeight="false" outlineLevel="0" collapsed="false">
      <c r="A12" s="0" t="s">
        <v>135</v>
      </c>
      <c r="B12" s="3" t="n">
        <f aca="false">IF(AJ12="","",IF(ISNUMBER(SEARCH("/",AJ12)),DATE(VALUE(RIGHT(AJ12,4)),VALUE(LEFT(AJ12,2)),VALUE(MID(AJ12,4,2))),IF(ISNUMBER(SEARCH("-",AJ12)),IF(LEN(LEFT(AJ12,FIND("-",AJ12)-1))=4,DATE(VALUE(LEFT(AJ12,4)),VALUE(MID(AJ12,6,2)),VALUE(RIGHT(AJ12,2))),DATE(VALUE(RIGHT(AJ12,4)),VALUE(MID(AJ12,4,2)),VALUE(LEFT(AJ12,2)))),DATE(VALUE(RIGHT(AJ12,4)),MATCH(MID(AJ12,4,3),{"Jan","Feb","Mar","Apr","May","Jun","Jul","Aug","Sep","Oct","Nov","Dec"},0),VALUE(LEFT(AJ12,2))))))</f>
        <v>45797</v>
      </c>
      <c r="C12" s="3" t="n">
        <f aca="false">IF(AK12="","",IF(ISNUMBER(SEARCH("/",AK12)),DATE(VALUE(RIGHT(AK12,4)),VALUE(LEFT(AK12,2)),VALUE(MID(AK12,4,2))),IF(ISNUMBER(SEARCH("-",AK12)),IF(LEN(LEFT(AK12,FIND("-",AK12)-1))=4,DATE(VALUE(LEFT(AK12,4)),VALUE(MID(AK12,6,2)),VALUE(RIGHT(AK12,2))),DATE(VALUE(RIGHT(AK12,4)),VALUE(MID(AK12,4,2)),VALUE(LEFT(AK12,2)))),DATE(VALUE(RIGHT(AK12,4)),MATCH(MID(AK12,4,3),{"Jan","Feb","Mar","Apr","May","Jun","Jul","Aug","Sep","Oct","Nov","Dec"},0),VALUE(LEFT(AK12,2))))))</f>
        <v>45797</v>
      </c>
      <c r="D12" s="4" t="s">
        <v>136</v>
      </c>
      <c r="E12" s="0" t="str">
        <f aca="false">PROPER(TRIM(AL12))</f>
        <v>Ananya Rao</v>
      </c>
      <c r="F12" s="0" t="str">
        <f aca="false">PROPER(TRIM(AM12))</f>
        <v>Corporate</v>
      </c>
      <c r="G12" s="0" t="str">
        <f aca="false">IF(TRIM(AN12)="","Unknown",PROPER(TRIM(AN12)))</f>
        <v>East</v>
      </c>
      <c r="H12" s="0" t="str">
        <f aca="false">PROPER(TRIM(AO12))</f>
        <v>West Bengal</v>
      </c>
      <c r="I12" s="0" t="str">
        <f aca="false">PROPER(TRIM(AP12))</f>
        <v>Kolkata</v>
      </c>
      <c r="J12" s="0" t="str">
        <f aca="false">PROPER(TRIM(AQ12))</f>
        <v>Office Supplies</v>
      </c>
      <c r="K12" s="0" t="str">
        <f aca="false">PROPER(TRIM(AR12))</f>
        <v>Labels</v>
      </c>
      <c r="M12" s="0" t="str">
        <f aca="false">IF(TRIM(AS12)="","Unknown",PROPER(TRIM(AS12)))</f>
        <v>Second Class</v>
      </c>
      <c r="N12" s="0" t="n">
        <v>3</v>
      </c>
      <c r="O12" s="0" t="n">
        <v>3534.83</v>
      </c>
      <c r="P12" s="5" t="n">
        <f aca="false">IF(AT12="","",IF(ISNUMBER(AT12),AT12,VALUE(SUBSTITUTE(AT12,"%",""))/100))</f>
        <v>0.05</v>
      </c>
      <c r="Q12" s="5" t="n">
        <f aca="false">IF(P12="",IF(AND(N12&lt;&gt;"",O12&lt;&gt;"",R12&lt;&gt;"",S12&lt;&gt;""),0,"REVIEW"),IF(OR(P12&lt;0,P12&gt;0.3),0,P12))</f>
        <v>0.05</v>
      </c>
      <c r="R12" s="0" t="n">
        <v>10074.27</v>
      </c>
      <c r="S12" s="0" t="n">
        <v>6048.27</v>
      </c>
      <c r="T12" s="6" t="n">
        <f aca="false">N12*O12*(1-Q12)</f>
        <v>10074.2655</v>
      </c>
      <c r="U12" s="6" t="n">
        <f aca="false">T12-S12</f>
        <v>4025.9955</v>
      </c>
      <c r="V12" s="7" t="n">
        <f aca="false">IF(T12=0,0,U12/T12)</f>
        <v>0.399631665454916</v>
      </c>
      <c r="W12" s="4" t="n">
        <f aca="false">C12-B12</f>
        <v>0</v>
      </c>
      <c r="X12" s="0" t="str">
        <f aca="false">TEXT(B12,"mmmm")</f>
        <v>May</v>
      </c>
      <c r="Y12" s="4" t="n">
        <f aca="false">YEAR(B12)</f>
        <v>2025</v>
      </c>
      <c r="Z12" s="0" t="str">
        <f aca="false">PROPER(TRIM(AU12))</f>
        <v>Refunded</v>
      </c>
      <c r="AA12" s="0" t="str">
        <f aca="false">PROPER(TRIM(AV12))</f>
        <v>Returned</v>
      </c>
      <c r="AB12" s="0" t="str">
        <f aca="false">IF(TRIM(AN12)="","Yes","No")</f>
        <v>No</v>
      </c>
      <c r="AC12" s="0" t="str">
        <f aca="false">IF(TRIM(AS12)="","Yes","No")</f>
        <v>No</v>
      </c>
      <c r="AD12" s="0" t="str">
        <f aca="false">IF(AT12="","Yes","No")</f>
        <v>No</v>
      </c>
      <c r="AE12" s="0" t="str">
        <f aca="false">IF(W12&lt;0,"Yes","No")</f>
        <v>No</v>
      </c>
      <c r="AF12" s="0" t="str">
        <f aca="false">IF(P12="","No",IF(OR(P12&lt;0,P12&gt;0.3),"Yes","No"))</f>
        <v>No</v>
      </c>
      <c r="AG12" s="4" t="s">
        <v>50</v>
      </c>
      <c r="AH12" s="0" t="str">
        <f aca="false">IF(AND(AA12="Completed",Z12="Paid"),"Yes","No")</f>
        <v>No</v>
      </c>
      <c r="AI12" s="0" t="str">
        <f aca="false">IF(OR(AE12="Yes",AF12="Yes",AG12="Yes"),"Invalid",IF(OR(AB12="Yes",AC12="Yes",AD12="Yes"),"Warning","Clean"))</f>
        <v>Clean</v>
      </c>
      <c r="AJ12" s="4" t="s">
        <v>137</v>
      </c>
      <c r="AK12" s="4" t="s">
        <v>138</v>
      </c>
      <c r="AL12" s="4" t="s">
        <v>96</v>
      </c>
      <c r="AM12" s="4" t="s">
        <v>128</v>
      </c>
      <c r="AN12" s="4" t="s">
        <v>69</v>
      </c>
      <c r="AO12" s="4" t="s">
        <v>139</v>
      </c>
      <c r="AP12" s="4" t="s">
        <v>140</v>
      </c>
      <c r="AQ12" s="4" t="s">
        <v>58</v>
      </c>
      <c r="AR12" s="4" t="s">
        <v>129</v>
      </c>
      <c r="AS12" s="4" t="s">
        <v>60</v>
      </c>
      <c r="AT12" s="0" t="n">
        <v>0.05</v>
      </c>
      <c r="AU12" s="4" t="s">
        <v>141</v>
      </c>
      <c r="AV12" s="4" t="s">
        <v>142</v>
      </c>
    </row>
    <row r="13" customFormat="false" ht="15" hidden="false" customHeight="false" outlineLevel="0" collapsed="false">
      <c r="A13" s="0" t="s">
        <v>143</v>
      </c>
      <c r="B13" s="3" t="n">
        <f aca="false">IF(AJ13="","",IF(ISNUMBER(SEARCH("/",AJ13)),DATE(VALUE(RIGHT(AJ13,4)),VALUE(LEFT(AJ13,2)),VALUE(MID(AJ13,4,2))),IF(ISNUMBER(SEARCH("-",AJ13)),IF(LEN(LEFT(AJ13,FIND("-",AJ13)-1))=4,DATE(VALUE(LEFT(AJ13,4)),VALUE(MID(AJ13,6,2)),VALUE(RIGHT(AJ13,2))),DATE(VALUE(RIGHT(AJ13,4)),VALUE(MID(AJ13,4,2)),VALUE(LEFT(AJ13,2)))),DATE(VALUE(RIGHT(AJ13,4)),MATCH(MID(AJ13,4,3),{"Jan","Feb","Mar","Apr","May","Jun","Jul","Aug","Sep","Oct","Nov","Dec"},0),VALUE(LEFT(AJ13,2))))))</f>
        <v>45495</v>
      </c>
      <c r="C13" s="3" t="n">
        <f aca="false">IF(AK13="","",IF(ISNUMBER(SEARCH("/",AK13)),DATE(VALUE(RIGHT(AK13,4)),VALUE(LEFT(AK13,2)),VALUE(MID(AK13,4,2))),IF(ISNUMBER(SEARCH("-",AK13)),IF(LEN(LEFT(AK13,FIND("-",AK13)-1))=4,DATE(VALUE(LEFT(AK13,4)),VALUE(MID(AK13,6,2)),VALUE(RIGHT(AK13,2))),DATE(VALUE(RIGHT(AK13,4)),VALUE(MID(AK13,4,2)),VALUE(LEFT(AK13,2)))),DATE(VALUE(RIGHT(AK13,4)),MATCH(MID(AK13,4,3),{"Jan","Feb","Mar","Apr","May","Jun","Jul","Aug","Sep","Oct","Nov","Dec"},0),VALUE(LEFT(AK13,2))))))</f>
        <v>45496</v>
      </c>
      <c r="D13" s="4" t="s">
        <v>144</v>
      </c>
      <c r="E13" s="0" t="str">
        <f aca="false">PROPER(TRIM(AL13))</f>
        <v>Vikram Iyer</v>
      </c>
      <c r="F13" s="0" t="str">
        <f aca="false">PROPER(TRIM(AM13))</f>
        <v>Small Business</v>
      </c>
      <c r="G13" s="0" t="str">
        <f aca="false">IF(TRIM(AN13)="","Unknown",PROPER(TRIM(AN13)))</f>
        <v>East</v>
      </c>
      <c r="H13" s="0" t="str">
        <f aca="false">PROPER(TRIM(AO13))</f>
        <v>Odisha</v>
      </c>
      <c r="I13" s="0" t="str">
        <f aca="false">PROPER(TRIM(AP13))</f>
        <v>Bhubaneswar</v>
      </c>
      <c r="J13" s="0" t="str">
        <f aca="false">PROPER(TRIM(AQ13))</f>
        <v>Technology</v>
      </c>
      <c r="K13" s="0" t="str">
        <f aca="false">PROPER(TRIM(AR13))</f>
        <v>Accessories</v>
      </c>
      <c r="M13" s="0" t="str">
        <f aca="false">IF(TRIM(AS13)="","Unknown",PROPER(TRIM(AS13)))</f>
        <v>Same Day</v>
      </c>
      <c r="N13" s="0" t="n">
        <v>6</v>
      </c>
      <c r="O13" s="0" t="n">
        <v>2005.95</v>
      </c>
      <c r="P13" s="5" t="n">
        <f aca="false">IF(AT13="","",IF(ISNUMBER(AT13),AT13,VALUE(SUBSTITUTE(AT13,"%",""))/100))</f>
        <v>0.2</v>
      </c>
      <c r="Q13" s="5" t="n">
        <f aca="false">IF(P13="",IF(AND(N13&lt;&gt;"",O13&lt;&gt;"",R13&lt;&gt;"",S13&lt;&gt;""),0,"REVIEW"),IF(OR(P13&lt;0,P13&gt;0.3),0,P13))</f>
        <v>0.2</v>
      </c>
      <c r="R13" s="0" t="n">
        <v>9628.56</v>
      </c>
      <c r="S13" s="0" t="n">
        <v>8038.59</v>
      </c>
      <c r="T13" s="6" t="n">
        <f aca="false">N13*O13*(1-Q13)</f>
        <v>9628.56</v>
      </c>
      <c r="U13" s="6" t="n">
        <f aca="false">T13-S13</f>
        <v>1589.97</v>
      </c>
      <c r="V13" s="7" t="n">
        <f aca="false">IF(T13=0,0,U13/T13)</f>
        <v>0.165130611430993</v>
      </c>
      <c r="W13" s="4" t="n">
        <f aca="false">C13-B13</f>
        <v>1</v>
      </c>
      <c r="X13" s="0" t="str">
        <f aca="false">TEXT(B13,"mmmm")</f>
        <v>July</v>
      </c>
      <c r="Y13" s="4" t="n">
        <f aca="false">YEAR(B13)</f>
        <v>2024</v>
      </c>
      <c r="Z13" s="0" t="str">
        <f aca="false">PROPER(TRIM(AU13))</f>
        <v>Paid</v>
      </c>
      <c r="AA13" s="0" t="str">
        <f aca="false">PROPER(TRIM(AV13))</f>
        <v>Completed</v>
      </c>
      <c r="AB13" s="0" t="str">
        <f aca="false">IF(TRIM(AN13)="","Yes","No")</f>
        <v>No</v>
      </c>
      <c r="AC13" s="0" t="str">
        <f aca="false">IF(TRIM(AS13)="","Yes","No")</f>
        <v>No</v>
      </c>
      <c r="AD13" s="0" t="str">
        <f aca="false">IF(AT13="","Yes","No")</f>
        <v>No</v>
      </c>
      <c r="AE13" s="0" t="str">
        <f aca="false">IF(W13&lt;0,"Yes","No")</f>
        <v>No</v>
      </c>
      <c r="AF13" s="0" t="str">
        <f aca="false">IF(P13="","No",IF(OR(P13&lt;0,P13&gt;0.3),"Yes","No"))</f>
        <v>No</v>
      </c>
      <c r="AG13" s="4" t="s">
        <v>50</v>
      </c>
      <c r="AH13" s="0" t="str">
        <f aca="false">IF(AND(AA13="Completed",Z13="Paid"),"Yes","No")</f>
        <v>Yes</v>
      </c>
      <c r="AI13" s="0" t="str">
        <f aca="false">IF(OR(AE13="Yes",AF13="Yes",AG13="Yes"),"Invalid",IF(OR(AB13="Yes",AC13="Yes",AD13="Yes"),"Warning","Clean"))</f>
        <v>Clean</v>
      </c>
      <c r="AJ13" s="4" t="s">
        <v>145</v>
      </c>
      <c r="AK13" s="4" t="s">
        <v>146</v>
      </c>
      <c r="AL13" s="4" t="s">
        <v>106</v>
      </c>
      <c r="AM13" s="4" t="s">
        <v>68</v>
      </c>
      <c r="AN13" s="4" t="s">
        <v>69</v>
      </c>
      <c r="AO13" s="4" t="s">
        <v>70</v>
      </c>
      <c r="AP13" s="4" t="s">
        <v>71</v>
      </c>
      <c r="AQ13" s="4" t="s">
        <v>109</v>
      </c>
      <c r="AR13" s="4" t="s">
        <v>110</v>
      </c>
      <c r="AS13" s="4" t="s">
        <v>74</v>
      </c>
      <c r="AT13" s="0" t="n">
        <v>0.2</v>
      </c>
      <c r="AU13" s="4" t="s">
        <v>61</v>
      </c>
      <c r="AV13" s="4" t="s">
        <v>62</v>
      </c>
    </row>
    <row r="14" customFormat="false" ht="15" hidden="false" customHeight="false" outlineLevel="0" collapsed="false">
      <c r="A14" s="0" t="s">
        <v>147</v>
      </c>
      <c r="B14" s="3" t="n">
        <f aca="false">IF(AJ14="","",IF(ISNUMBER(SEARCH("/",AJ14)),DATE(VALUE(RIGHT(AJ14,4)),VALUE(LEFT(AJ14,2)),VALUE(MID(AJ14,4,2))),IF(ISNUMBER(SEARCH("-",AJ14)),IF(LEN(LEFT(AJ14,FIND("-",AJ14)-1))=4,DATE(VALUE(LEFT(AJ14,4)),VALUE(MID(AJ14,6,2)),VALUE(RIGHT(AJ14,2))),DATE(VALUE(RIGHT(AJ14,4)),VALUE(MID(AJ14,4,2)),VALUE(LEFT(AJ14,2)))),DATE(VALUE(RIGHT(AJ14,4)),MATCH(MID(AJ14,4,3),{"Jan","Feb","Mar","Apr","May","Jun","Jul","Aug","Sep","Oct","Nov","Dec"},0),VALUE(LEFT(AJ14,2))))))</f>
        <v>45646</v>
      </c>
      <c r="C14" s="3" t="n">
        <f aca="false">IF(AK14="","",IF(ISNUMBER(SEARCH("/",AK14)),DATE(VALUE(RIGHT(AK14,4)),VALUE(LEFT(AK14,2)),VALUE(MID(AK14,4,2))),IF(ISNUMBER(SEARCH("-",AK14)),IF(LEN(LEFT(AK14,FIND("-",AK14)-1))=4,DATE(VALUE(LEFT(AK14,4)),VALUE(MID(AK14,6,2)),VALUE(RIGHT(AK14,2))),DATE(VALUE(RIGHT(AK14,4)),VALUE(MID(AK14,4,2)),VALUE(LEFT(AK14,2)))),DATE(VALUE(RIGHT(AK14,4)),MATCH(MID(AK14,4,3),{"Jan","Feb","Mar","Apr","May","Jun","Jul","Aug","Sep","Oct","Nov","Dec"},0),VALUE(LEFT(AK14,2))))))</f>
        <v>45647</v>
      </c>
      <c r="D14" s="4" t="s">
        <v>148</v>
      </c>
      <c r="E14" s="0" t="str">
        <f aca="false">PROPER(TRIM(AL14))</f>
        <v>Ananya Rao</v>
      </c>
      <c r="F14" s="0" t="str">
        <f aca="false">PROPER(TRIM(AM14))</f>
        <v>Corporate</v>
      </c>
      <c r="G14" s="0" t="str">
        <f aca="false">IF(TRIM(AN14)="","Unknown",PROPER(TRIM(AN14)))</f>
        <v>West</v>
      </c>
      <c r="H14" s="0" t="str">
        <f aca="false">PROPER(TRIM(AO14))</f>
        <v>Rajasthan</v>
      </c>
      <c r="I14" s="0" t="str">
        <f aca="false">PROPER(TRIM(AP14))</f>
        <v>Udaipur</v>
      </c>
      <c r="J14" s="0" t="str">
        <f aca="false">PROPER(TRIM(AQ14))</f>
        <v>Office Supplies</v>
      </c>
      <c r="K14" s="0" t="str">
        <f aca="false">PROPER(TRIM(AR14))</f>
        <v>Paper</v>
      </c>
      <c r="M14" s="0" t="str">
        <f aca="false">IF(TRIM(AS14)="","Unknown",PROPER(TRIM(AS14)))</f>
        <v>First Class</v>
      </c>
      <c r="N14" s="0" t="n">
        <v>1</v>
      </c>
      <c r="O14" s="0" t="n">
        <v>702.14</v>
      </c>
      <c r="P14" s="5" t="n">
        <f aca="false">IF(AT14="","",IF(ISNUMBER(AT14),AT14,VALUE(SUBSTITUTE(AT14,"%",""))/100))</f>
        <v>0.15</v>
      </c>
      <c r="Q14" s="5" t="n">
        <f aca="false">IF(P14="",IF(AND(N14&lt;&gt;"",O14&lt;&gt;"",R14&lt;&gt;"",S14&lt;&gt;""),0,"REVIEW"),IF(OR(P14&lt;0,P14&gt;0.3),0,P14))</f>
        <v>0.15</v>
      </c>
      <c r="R14" s="0" t="n">
        <v>596.82</v>
      </c>
      <c r="S14" s="0" t="n">
        <v>380.25</v>
      </c>
      <c r="T14" s="6" t="n">
        <f aca="false">N14*O14*(1-Q14)</f>
        <v>596.819</v>
      </c>
      <c r="U14" s="6" t="n">
        <f aca="false">T14-S14</f>
        <v>216.569</v>
      </c>
      <c r="V14" s="7" t="n">
        <f aca="false">IF(T14=0,0,U14/T14)</f>
        <v>0.362872160571295</v>
      </c>
      <c r="W14" s="4" t="n">
        <f aca="false">C14-B14</f>
        <v>1</v>
      </c>
      <c r="X14" s="0" t="str">
        <f aca="false">TEXT(B14,"mmmm")</f>
        <v>December</v>
      </c>
      <c r="Y14" s="4" t="n">
        <f aca="false">YEAR(B14)</f>
        <v>2024</v>
      </c>
      <c r="Z14" s="0" t="str">
        <f aca="false">PROPER(TRIM(AU14))</f>
        <v>Pending</v>
      </c>
      <c r="AA14" s="0" t="str">
        <f aca="false">PROPER(TRIM(AV14))</f>
        <v>Returned</v>
      </c>
      <c r="AB14" s="0" t="str">
        <f aca="false">IF(TRIM(AN14)="","Yes","No")</f>
        <v>No</v>
      </c>
      <c r="AC14" s="0" t="str">
        <f aca="false">IF(TRIM(AS14)="","Yes","No")</f>
        <v>No</v>
      </c>
      <c r="AD14" s="0" t="str">
        <f aca="false">IF(AT14="","Yes","No")</f>
        <v>No</v>
      </c>
      <c r="AE14" s="0" t="str">
        <f aca="false">IF(W14&lt;0,"Yes","No")</f>
        <v>No</v>
      </c>
      <c r="AF14" s="0" t="str">
        <f aca="false">IF(P14="","No",IF(OR(P14&lt;0,P14&gt;0.3),"Yes","No"))</f>
        <v>No</v>
      </c>
      <c r="AG14" s="4" t="s">
        <v>50</v>
      </c>
      <c r="AH14" s="0" t="str">
        <f aca="false">IF(AND(AA14="Completed",Z14="Paid"),"Yes","No")</f>
        <v>No</v>
      </c>
      <c r="AI14" s="0" t="str">
        <f aca="false">IF(OR(AE14="Yes",AF14="Yes",AG14="Yes"),"Invalid",IF(OR(AB14="Yes",AC14="Yes",AD14="Yes"),"Warning","Clean"))</f>
        <v>Clean</v>
      </c>
      <c r="AJ14" s="4" t="s">
        <v>149</v>
      </c>
      <c r="AK14" s="4" t="s">
        <v>150</v>
      </c>
      <c r="AL14" s="4" t="s">
        <v>96</v>
      </c>
      <c r="AM14" s="4" t="s">
        <v>151</v>
      </c>
      <c r="AN14" s="4" t="s">
        <v>97</v>
      </c>
      <c r="AO14" s="4" t="s">
        <v>56</v>
      </c>
      <c r="AP14" s="4" t="s">
        <v>152</v>
      </c>
      <c r="AQ14" s="4" t="s">
        <v>58</v>
      </c>
      <c r="AR14" s="4" t="s">
        <v>59</v>
      </c>
      <c r="AS14" s="4" t="s">
        <v>81</v>
      </c>
      <c r="AT14" s="0" t="n">
        <v>0.15</v>
      </c>
      <c r="AU14" s="4" t="s">
        <v>153</v>
      </c>
      <c r="AV14" s="4" t="s">
        <v>142</v>
      </c>
    </row>
    <row r="15" customFormat="false" ht="15" hidden="false" customHeight="false" outlineLevel="0" collapsed="false">
      <c r="A15" s="0" t="s">
        <v>154</v>
      </c>
      <c r="B15" s="3" t="n">
        <f aca="false">IF(AJ15="","",IF(ISNUMBER(SEARCH("/",AJ15)),DATE(VALUE(RIGHT(AJ15,4)),VALUE(LEFT(AJ15,2)),VALUE(MID(AJ15,4,2))),IF(ISNUMBER(SEARCH("-",AJ15)),IF(LEN(LEFT(AJ15,FIND("-",AJ15)-1))=4,DATE(VALUE(LEFT(AJ15,4)),VALUE(MID(AJ15,6,2)),VALUE(RIGHT(AJ15,2))),DATE(VALUE(RIGHT(AJ15,4)),VALUE(MID(AJ15,4,2)),VALUE(LEFT(AJ15,2)))),DATE(VALUE(RIGHT(AJ15,4)),MATCH(MID(AJ15,4,3),{"Jan","Feb","Mar","Apr","May","Jun","Jul","Aug","Sep","Oct","Nov","Dec"},0),VALUE(LEFT(AJ15,2))))))</f>
        <v>45942</v>
      </c>
      <c r="C15" s="3" t="n">
        <f aca="false">IF(AK15="","",IF(ISNUMBER(SEARCH("/",AK15)),DATE(VALUE(RIGHT(AK15,4)),VALUE(LEFT(AK15,2)),VALUE(MID(AK15,4,2))),IF(ISNUMBER(SEARCH("-",AK15)),IF(LEN(LEFT(AK15,FIND("-",AK15)-1))=4,DATE(VALUE(LEFT(AK15,4)),VALUE(MID(AK15,6,2)),VALUE(RIGHT(AK15,2))),DATE(VALUE(RIGHT(AK15,4)),VALUE(MID(AK15,4,2)),VALUE(LEFT(AK15,2)))),DATE(VALUE(RIGHT(AK15,4)),MATCH(MID(AK15,4,3),{"Jan","Feb","Mar","Apr","May","Jun","Jul","Aug","Sep","Oct","Nov","Dec"},0),VALUE(LEFT(AK15,2))))))</f>
        <v>45946</v>
      </c>
      <c r="D15" s="4" t="s">
        <v>155</v>
      </c>
      <c r="E15" s="0" t="str">
        <f aca="false">PROPER(TRIM(AL15))</f>
        <v>Priya Menon</v>
      </c>
      <c r="F15" s="0" t="str">
        <f aca="false">PROPER(TRIM(AM15))</f>
        <v>Small Business</v>
      </c>
      <c r="G15" s="0" t="str">
        <f aca="false">IF(TRIM(AN15)="","Unknown",PROPER(TRIM(AN15)))</f>
        <v>West</v>
      </c>
      <c r="H15" s="0" t="str">
        <f aca="false">PROPER(TRIM(AO15))</f>
        <v>Maharashtra</v>
      </c>
      <c r="I15" s="0" t="str">
        <f aca="false">PROPER(TRIM(AP15))</f>
        <v>Mumbai</v>
      </c>
      <c r="J15" s="0" t="str">
        <f aca="false">PROPER(TRIM(AQ15))</f>
        <v>Office Supplies</v>
      </c>
      <c r="K15" s="0" t="str">
        <f aca="false">PROPER(TRIM(AR15))</f>
        <v>Art</v>
      </c>
      <c r="M15" s="0" t="str">
        <f aca="false">IF(TRIM(AS15)="","Unknown",PROPER(TRIM(AS15)))</f>
        <v>Second Class</v>
      </c>
      <c r="N15" s="0" t="n">
        <v>7</v>
      </c>
      <c r="O15" s="0" t="n">
        <v>3964.72</v>
      </c>
      <c r="P15" s="5" t="n">
        <f aca="false">IF(AT15="","",IF(ISNUMBER(AT15),AT15,VALUE(SUBSTITUTE(AT15,"%",""))/100))</f>
        <v>0.05</v>
      </c>
      <c r="Q15" s="5" t="n">
        <f aca="false">IF(P15="",IF(AND(N15&lt;&gt;"",O15&lt;&gt;"",R15&lt;&gt;"",S15&lt;&gt;""),0,"REVIEW"),IF(OR(P15&lt;0,P15&gt;0.3),0,P15))</f>
        <v>0.05</v>
      </c>
      <c r="R15" s="0" t="n">
        <v>26365.39</v>
      </c>
      <c r="S15" s="0" t="n">
        <v>22306.24</v>
      </c>
      <c r="T15" s="6" t="n">
        <f aca="false">N15*O15*(1-Q15)</f>
        <v>26365.388</v>
      </c>
      <c r="U15" s="6" t="n">
        <f aca="false">T15-S15</f>
        <v>4059.14799999999</v>
      </c>
      <c r="V15" s="7" t="n">
        <f aca="false">IF(T15=0,0,U15/T15)</f>
        <v>0.153957453613047</v>
      </c>
      <c r="W15" s="4" t="n">
        <f aca="false">C15-B15</f>
        <v>4</v>
      </c>
      <c r="X15" s="0" t="str">
        <f aca="false">TEXT(B15,"mmmm")</f>
        <v>October</v>
      </c>
      <c r="Y15" s="4" t="n">
        <f aca="false">YEAR(B15)</f>
        <v>2025</v>
      </c>
      <c r="Z15" s="0" t="str">
        <f aca="false">PROPER(TRIM(AU15))</f>
        <v>Paid</v>
      </c>
      <c r="AA15" s="0" t="str">
        <f aca="false">PROPER(TRIM(AV15))</f>
        <v>Completed</v>
      </c>
      <c r="AB15" s="0" t="str">
        <f aca="false">IF(TRIM(AN15)="","Yes","No")</f>
        <v>No</v>
      </c>
      <c r="AC15" s="0" t="str">
        <f aca="false">IF(TRIM(AS15)="","Yes","No")</f>
        <v>No</v>
      </c>
      <c r="AD15" s="0" t="str">
        <f aca="false">IF(AT15="","Yes","No")</f>
        <v>No</v>
      </c>
      <c r="AE15" s="0" t="str">
        <f aca="false">IF(W15&lt;0,"Yes","No")</f>
        <v>No</v>
      </c>
      <c r="AF15" s="0" t="str">
        <f aca="false">IF(P15="","No",IF(OR(P15&lt;0,P15&gt;0.3),"Yes","No"))</f>
        <v>No</v>
      </c>
      <c r="AG15" s="4" t="s">
        <v>50</v>
      </c>
      <c r="AH15" s="0" t="str">
        <f aca="false">IF(AND(AA15="Completed",Z15="Paid"),"Yes","No")</f>
        <v>Yes</v>
      </c>
      <c r="AI15" s="0" t="str">
        <f aca="false">IF(OR(AE15="Yes",AF15="Yes",AG15="Yes"),"Invalid",IF(OR(AB15="Yes",AC15="Yes",AD15="Yes"),"Warning","Clean"))</f>
        <v>Clean</v>
      </c>
      <c r="AJ15" s="4" t="s">
        <v>156</v>
      </c>
      <c r="AK15" s="4" t="s">
        <v>157</v>
      </c>
      <c r="AL15" s="4" t="s">
        <v>158</v>
      </c>
      <c r="AM15" s="4" t="s">
        <v>68</v>
      </c>
      <c r="AN15" s="4" t="s">
        <v>97</v>
      </c>
      <c r="AO15" s="4" t="s">
        <v>98</v>
      </c>
      <c r="AP15" s="4" t="s">
        <v>99</v>
      </c>
      <c r="AQ15" s="4" t="s">
        <v>58</v>
      </c>
      <c r="AR15" s="4" t="s">
        <v>80</v>
      </c>
      <c r="AS15" s="4" t="s">
        <v>60</v>
      </c>
      <c r="AT15" s="0" t="n">
        <v>0.05</v>
      </c>
      <c r="AU15" s="4" t="s">
        <v>61</v>
      </c>
      <c r="AV15" s="4" t="s">
        <v>62</v>
      </c>
    </row>
    <row r="16" customFormat="false" ht="15" hidden="false" customHeight="false" outlineLevel="0" collapsed="false">
      <c r="A16" s="0" t="s">
        <v>159</v>
      </c>
      <c r="B16" s="3" t="n">
        <f aca="false">IF(AJ16="","",IF(ISNUMBER(SEARCH("/",AJ16)),DATE(VALUE(RIGHT(AJ16,4)),VALUE(LEFT(AJ16,2)),VALUE(MID(AJ16,4,2))),IF(ISNUMBER(SEARCH("-",AJ16)),IF(LEN(LEFT(AJ16,FIND("-",AJ16)-1))=4,DATE(VALUE(LEFT(AJ16,4)),VALUE(MID(AJ16,6,2)),VALUE(RIGHT(AJ16,2))),DATE(VALUE(RIGHT(AJ16,4)),VALUE(MID(AJ16,4,2)),VALUE(LEFT(AJ16,2)))),DATE(VALUE(RIGHT(AJ16,4)),MATCH(MID(AJ16,4,3),{"Jan","Feb","Mar","Apr","May","Jun","Jul","Aug","Sep","Oct","Nov","Dec"},0),VALUE(LEFT(AJ16,2))))))</f>
        <v>45653</v>
      </c>
      <c r="C16" s="3" t="n">
        <f aca="false">IF(AK16="","",IF(ISNUMBER(SEARCH("/",AK16)),DATE(VALUE(RIGHT(AK16,4)),VALUE(LEFT(AK16,2)),VALUE(MID(AK16,4,2))),IF(ISNUMBER(SEARCH("-",AK16)),IF(LEN(LEFT(AK16,FIND("-",AK16)-1))=4,DATE(VALUE(LEFT(AK16,4)),VALUE(MID(AK16,6,2)),VALUE(RIGHT(AK16,2))),DATE(VALUE(RIGHT(AK16,4)),VALUE(MID(AK16,4,2)),VALUE(LEFT(AK16,2)))),DATE(VALUE(RIGHT(AK16,4)),MATCH(MID(AK16,4,3),{"Jan","Feb","Mar","Apr","May","Jun","Jul","Aug","Sep","Oct","Nov","Dec"},0),VALUE(LEFT(AK16,2))))))</f>
        <v>45654</v>
      </c>
      <c r="D16" s="4" t="s">
        <v>160</v>
      </c>
      <c r="E16" s="0" t="str">
        <f aca="false">PROPER(TRIM(AL16))</f>
        <v>Rahul Verma</v>
      </c>
      <c r="F16" s="0" t="str">
        <f aca="false">PROPER(TRIM(AM16))</f>
        <v>Consumer</v>
      </c>
      <c r="G16" s="0" t="str">
        <f aca="false">IF(TRIM(AN16)="","Unknown",PROPER(TRIM(AN16)))</f>
        <v>West</v>
      </c>
      <c r="H16" s="0" t="str">
        <f aca="false">PROPER(TRIM(AO16))</f>
        <v>Rajasthan</v>
      </c>
      <c r="I16" s="0" t="str">
        <f aca="false">PROPER(TRIM(AP16))</f>
        <v>Udaipur</v>
      </c>
      <c r="J16" s="0" t="str">
        <f aca="false">PROPER(TRIM(AQ16))</f>
        <v>Technology</v>
      </c>
      <c r="K16" s="0" t="str">
        <f aca="false">PROPER(TRIM(AR16))</f>
        <v>Copiers</v>
      </c>
      <c r="M16" s="0" t="str">
        <f aca="false">IF(TRIM(AS16)="","Unknown",PROPER(TRIM(AS16)))</f>
        <v>Standard Class</v>
      </c>
      <c r="N16" s="0" t="n">
        <v>2</v>
      </c>
      <c r="O16" s="0" t="n">
        <v>2737.83</v>
      </c>
      <c r="P16" s="5" t="n">
        <f aca="false">IF(AT16="","",IF(ISNUMBER(AT16),AT16,VALUE(SUBSTITUTE(AT16,"%",""))/100))</f>
        <v>0.25</v>
      </c>
      <c r="Q16" s="5" t="n">
        <f aca="false">IF(P16="",IF(AND(N16&lt;&gt;"",O16&lt;&gt;"",R16&lt;&gt;"",S16&lt;&gt;""),0,"REVIEW"),IF(OR(P16&lt;0,P16&gt;0.3),0,P16))</f>
        <v>0.25</v>
      </c>
      <c r="R16" s="0" t="n">
        <v>4106.74</v>
      </c>
      <c r="S16" s="0" t="n">
        <v>2666.3</v>
      </c>
      <c r="T16" s="6" t="n">
        <f aca="false">N16*O16*(1-Q16)</f>
        <v>4106.745</v>
      </c>
      <c r="U16" s="6" t="n">
        <f aca="false">T16-S16</f>
        <v>1440.445</v>
      </c>
      <c r="V16" s="7" t="n">
        <f aca="false">IF(T16=0,0,U16/T16)</f>
        <v>0.350751020577124</v>
      </c>
      <c r="W16" s="4" t="n">
        <f aca="false">C16-B16</f>
        <v>1</v>
      </c>
      <c r="X16" s="0" t="str">
        <f aca="false">TEXT(B16,"mmmm")</f>
        <v>December</v>
      </c>
      <c r="Y16" s="4" t="n">
        <f aca="false">YEAR(B16)</f>
        <v>2024</v>
      </c>
      <c r="Z16" s="0" t="str">
        <f aca="false">PROPER(TRIM(AU16))</f>
        <v>Paid</v>
      </c>
      <c r="AA16" s="0" t="str">
        <f aca="false">PROPER(TRIM(AV16))</f>
        <v>Completed</v>
      </c>
      <c r="AB16" s="0" t="str">
        <f aca="false">IF(TRIM(AN16)="","Yes","No")</f>
        <v>No</v>
      </c>
      <c r="AC16" s="0" t="str">
        <f aca="false">IF(TRIM(AS16)="","Yes","No")</f>
        <v>No</v>
      </c>
      <c r="AD16" s="0" t="str">
        <f aca="false">IF(AT16="","Yes","No")</f>
        <v>No</v>
      </c>
      <c r="AE16" s="0" t="str">
        <f aca="false">IF(W16&lt;0,"Yes","No")</f>
        <v>No</v>
      </c>
      <c r="AF16" s="0" t="str">
        <f aca="false">IF(P16="","No",IF(OR(P16&lt;0,P16&gt;0.3),"Yes","No"))</f>
        <v>No</v>
      </c>
      <c r="AG16" s="4" t="s">
        <v>50</v>
      </c>
      <c r="AH16" s="0" t="str">
        <f aca="false">IF(AND(AA16="Completed",Z16="Paid"),"Yes","No")</f>
        <v>Yes</v>
      </c>
      <c r="AI16" s="0" t="str">
        <f aca="false">IF(OR(AE16="Yes",AF16="Yes",AG16="Yes"),"Invalid",IF(OR(AB16="Yes",AC16="Yes",AD16="Yes"),"Warning","Clean"))</f>
        <v>Clean</v>
      </c>
      <c r="AJ16" s="4" t="s">
        <v>161</v>
      </c>
      <c r="AK16" s="4" t="s">
        <v>162</v>
      </c>
      <c r="AL16" s="4" t="s">
        <v>163</v>
      </c>
      <c r="AM16" s="4" t="s">
        <v>54</v>
      </c>
      <c r="AN16" s="4" t="s">
        <v>97</v>
      </c>
      <c r="AO16" s="4" t="s">
        <v>56</v>
      </c>
      <c r="AP16" s="4" t="s">
        <v>152</v>
      </c>
      <c r="AQ16" s="4" t="s">
        <v>109</v>
      </c>
      <c r="AR16" s="4" t="s">
        <v>116</v>
      </c>
      <c r="AS16" s="4" t="s">
        <v>91</v>
      </c>
      <c r="AT16" s="0" t="n">
        <v>0.25</v>
      </c>
      <c r="AU16" s="4" t="s">
        <v>61</v>
      </c>
      <c r="AV16" s="4" t="s">
        <v>62</v>
      </c>
    </row>
    <row r="17" customFormat="false" ht="15" hidden="false" customHeight="false" outlineLevel="0" collapsed="false">
      <c r="A17" s="0" t="s">
        <v>164</v>
      </c>
      <c r="B17" s="3" t="n">
        <f aca="false">IF(AJ17="","",IF(ISNUMBER(SEARCH("/",AJ17)),DATE(VALUE(RIGHT(AJ17,4)),VALUE(LEFT(AJ17,2)),VALUE(MID(AJ17,4,2))),IF(ISNUMBER(SEARCH("-",AJ17)),IF(LEN(LEFT(AJ17,FIND("-",AJ17)-1))=4,DATE(VALUE(LEFT(AJ17,4)),VALUE(MID(AJ17,6,2)),VALUE(RIGHT(AJ17,2))),DATE(VALUE(RIGHT(AJ17,4)),VALUE(MID(AJ17,4,2)),VALUE(LEFT(AJ17,2)))),DATE(VALUE(RIGHT(AJ17,4)),MATCH(MID(AJ17,4,3),{"Jan","Feb","Mar","Apr","May","Jun","Jul","Aug","Sep","Oct","Nov","Dec"},0),VALUE(LEFT(AJ17,2))))))</f>
        <v>45482</v>
      </c>
      <c r="C17" s="3" t="n">
        <f aca="false">IF(AK17="","",IF(ISNUMBER(SEARCH("/",AK17)),DATE(VALUE(RIGHT(AK17,4)),VALUE(LEFT(AK17,2)),VALUE(MID(AK17,4,2))),IF(ISNUMBER(SEARCH("-",AK17)),IF(LEN(LEFT(AK17,FIND("-",AK17)-1))=4,DATE(VALUE(LEFT(AK17,4)),VALUE(MID(AK17,6,2)),VALUE(RIGHT(AK17,2))),DATE(VALUE(RIGHT(AK17,4)),VALUE(MID(AK17,4,2)),VALUE(LEFT(AK17,2)))),DATE(VALUE(RIGHT(AK17,4)),MATCH(MID(AK17,4,3),{"Jan","Feb","Mar","Apr","May","Jun","Jul","Aug","Sep","Oct","Nov","Dec"},0),VALUE(LEFT(AK17,2))))))</f>
        <v>45482</v>
      </c>
      <c r="D17" s="4" t="s">
        <v>165</v>
      </c>
      <c r="E17" s="0" t="str">
        <f aca="false">PROPER(TRIM(AL17))</f>
        <v>Karan Malhotra</v>
      </c>
      <c r="F17" s="0" t="str">
        <f aca="false">PROPER(TRIM(AM17))</f>
        <v>Small Business</v>
      </c>
      <c r="G17" s="0" t="str">
        <f aca="false">IF(TRIM(AN17)="","Unknown",PROPER(TRIM(AN17)))</f>
        <v>North</v>
      </c>
      <c r="H17" s="0" t="str">
        <f aca="false">PROPER(TRIM(AO17))</f>
        <v>Punjab</v>
      </c>
      <c r="I17" s="0" t="str">
        <f aca="false">PROPER(TRIM(AP17))</f>
        <v>Ludhiana</v>
      </c>
      <c r="J17" s="0" t="str">
        <f aca="false">PROPER(TRIM(AQ17))</f>
        <v>Office Supplies</v>
      </c>
      <c r="K17" s="0" t="str">
        <f aca="false">PROPER(TRIM(AR17))</f>
        <v>Storage</v>
      </c>
      <c r="M17" s="0" t="str">
        <f aca="false">IF(TRIM(AS17)="","Unknown",PROPER(TRIM(AS17)))</f>
        <v>Second Class</v>
      </c>
      <c r="N17" s="0" t="n">
        <v>6</v>
      </c>
      <c r="O17" s="0" t="n">
        <v>3965.76</v>
      </c>
      <c r="P17" s="5" t="n">
        <f aca="false">IF(AT17="","",IF(ISNUMBER(AT17),AT17,VALUE(SUBSTITUTE(AT17,"%",""))/100))</f>
        <v>0</v>
      </c>
      <c r="Q17" s="5" t="n">
        <f aca="false">IF(P17="",IF(AND(N17&lt;&gt;"",O17&lt;&gt;"",R17&lt;&gt;"",S17&lt;&gt;""),0,"REVIEW"),IF(OR(P17&lt;0,P17&gt;0.3),0,P17))</f>
        <v>0</v>
      </c>
      <c r="R17" s="0" t="n">
        <v>23794.56</v>
      </c>
      <c r="S17" s="0" t="n">
        <v>15698.47</v>
      </c>
      <c r="T17" s="6" t="n">
        <f aca="false">N17*O17*(1-Q17)</f>
        <v>23794.56</v>
      </c>
      <c r="U17" s="6" t="n">
        <f aca="false">T17-S17</f>
        <v>8096.09</v>
      </c>
      <c r="V17" s="7" t="n">
        <f aca="false">IF(T17=0,0,U17/T17)</f>
        <v>0.340249620081229</v>
      </c>
      <c r="W17" s="4" t="n">
        <f aca="false">C17-B17</f>
        <v>0</v>
      </c>
      <c r="X17" s="0" t="str">
        <f aca="false">TEXT(B17,"mmmm")</f>
        <v>July</v>
      </c>
      <c r="Y17" s="4" t="n">
        <f aca="false">YEAR(B17)</f>
        <v>2024</v>
      </c>
      <c r="Z17" s="0" t="str">
        <f aca="false">PROPER(TRIM(AU17))</f>
        <v>Paid</v>
      </c>
      <c r="AA17" s="0" t="str">
        <f aca="false">PROPER(TRIM(AV17))</f>
        <v>Completed</v>
      </c>
      <c r="AB17" s="0" t="str">
        <f aca="false">IF(TRIM(AN17)="","Yes","No")</f>
        <v>No</v>
      </c>
      <c r="AC17" s="0" t="str">
        <f aca="false">IF(TRIM(AS17)="","Yes","No")</f>
        <v>No</v>
      </c>
      <c r="AD17" s="0" t="str">
        <f aca="false">IF(AT17="","Yes","No")</f>
        <v>No</v>
      </c>
      <c r="AE17" s="0" t="str">
        <f aca="false">IF(W17&lt;0,"Yes","No")</f>
        <v>No</v>
      </c>
      <c r="AF17" s="0" t="str">
        <f aca="false">IF(P17="","No",IF(OR(P17&lt;0,P17&gt;0.3),"Yes","No"))</f>
        <v>No</v>
      </c>
      <c r="AG17" s="4" t="s">
        <v>50</v>
      </c>
      <c r="AH17" s="0" t="str">
        <f aca="false">IF(AND(AA17="Completed",Z17="Paid"),"Yes","No")</f>
        <v>Yes</v>
      </c>
      <c r="AI17" s="0" t="str">
        <f aca="false">IF(OR(AE17="Yes",AF17="Yes",AG17="Yes"),"Invalid",IF(OR(AB17="Yes",AC17="Yes",AD17="Yes"),"Warning","Clean"))</f>
        <v>Clean</v>
      </c>
      <c r="AJ17" s="4" t="s">
        <v>166</v>
      </c>
      <c r="AK17" s="4" t="s">
        <v>167</v>
      </c>
      <c r="AL17" s="4" t="s">
        <v>53</v>
      </c>
      <c r="AM17" s="4" t="s">
        <v>68</v>
      </c>
      <c r="AN17" s="4" t="s">
        <v>168</v>
      </c>
      <c r="AO17" s="4" t="s">
        <v>169</v>
      </c>
      <c r="AP17" s="4" t="s">
        <v>170</v>
      </c>
      <c r="AQ17" s="4" t="s">
        <v>58</v>
      </c>
      <c r="AR17" s="4" t="s">
        <v>171</v>
      </c>
      <c r="AS17" s="4" t="s">
        <v>60</v>
      </c>
      <c r="AT17" s="0" t="n">
        <v>0</v>
      </c>
      <c r="AU17" s="4" t="s">
        <v>61</v>
      </c>
      <c r="AV17" s="4" t="s">
        <v>62</v>
      </c>
    </row>
    <row r="18" customFormat="false" ht="15" hidden="false" customHeight="false" outlineLevel="0" collapsed="false">
      <c r="A18" s="0" t="s">
        <v>172</v>
      </c>
      <c r="B18" s="3" t="n">
        <f aca="false">IF(AJ18="","",IF(ISNUMBER(SEARCH("/",AJ18)),DATE(VALUE(RIGHT(AJ18,4)),VALUE(LEFT(AJ18,2)),VALUE(MID(AJ18,4,2))),IF(ISNUMBER(SEARCH("-",AJ18)),IF(LEN(LEFT(AJ18,FIND("-",AJ18)-1))=4,DATE(VALUE(LEFT(AJ18,4)),VALUE(MID(AJ18,6,2)),VALUE(RIGHT(AJ18,2))),DATE(VALUE(RIGHT(AJ18,4)),VALUE(MID(AJ18,4,2)),VALUE(LEFT(AJ18,2)))),DATE(VALUE(RIGHT(AJ18,4)),MATCH(MID(AJ18,4,3),{"Jan","Feb","Mar","Apr","May","Jun","Jul","Aug","Sep","Oct","Nov","Dec"},0),VALUE(LEFT(AJ18,2))))))</f>
        <v>45420</v>
      </c>
      <c r="C18" s="3" t="n">
        <f aca="false">IF(AK18="","",IF(ISNUMBER(SEARCH("/",AK18)),DATE(VALUE(RIGHT(AK18,4)),VALUE(LEFT(AK18,2)),VALUE(MID(AK18,4,2))),IF(ISNUMBER(SEARCH("-",AK18)),IF(LEN(LEFT(AK18,FIND("-",AK18)-1))=4,DATE(VALUE(LEFT(AK18,4)),VALUE(MID(AK18,6,2)),VALUE(RIGHT(AK18,2))),DATE(VALUE(RIGHT(AK18,4)),VALUE(MID(AK18,4,2)),VALUE(LEFT(AK18,2)))),DATE(VALUE(RIGHT(AK18,4)),MATCH(MID(AK18,4,3),{"Jan","Feb","Mar","Apr","May","Jun","Jul","Aug","Sep","Oct","Nov","Dec"},0),VALUE(LEFT(AK18,2))))))</f>
        <v>45427</v>
      </c>
      <c r="D18" s="4" t="s">
        <v>173</v>
      </c>
      <c r="E18" s="0" t="str">
        <f aca="false">PROPER(TRIM(AL18))</f>
        <v>Aarav Sharma</v>
      </c>
      <c r="F18" s="0" t="str">
        <f aca="false">PROPER(TRIM(AM18))</f>
        <v>Consumer</v>
      </c>
      <c r="G18" s="0" t="str">
        <f aca="false">IF(TRIM(AN18)="","Unknown",PROPER(TRIM(AN18)))</f>
        <v>South</v>
      </c>
      <c r="H18" s="0" t="str">
        <f aca="false">PROPER(TRIM(AO18))</f>
        <v>Telangana</v>
      </c>
      <c r="I18" s="0" t="str">
        <f aca="false">PROPER(TRIM(AP18))</f>
        <v>Hyderabad</v>
      </c>
      <c r="J18" s="0" t="str">
        <f aca="false">PROPER(TRIM(AQ18))</f>
        <v>Office Supplies</v>
      </c>
      <c r="K18" s="0" t="str">
        <f aca="false">PROPER(TRIM(AR18))</f>
        <v>Art</v>
      </c>
      <c r="M18" s="0" t="str">
        <f aca="false">IF(TRIM(AS18)="","Unknown",PROPER(TRIM(AS18)))</f>
        <v>First Class</v>
      </c>
      <c r="N18" s="0" t="n">
        <v>4</v>
      </c>
      <c r="O18" s="0" t="n">
        <v>3323.51</v>
      </c>
      <c r="P18" s="5" t="n">
        <f aca="false">IF(AT18="","",IF(ISNUMBER(AT18),AT18,VALUE(SUBSTITUTE(AT18,"%",""))/100))</f>
        <v>0.25</v>
      </c>
      <c r="Q18" s="5" t="n">
        <f aca="false">IF(P18="",IF(AND(N18&lt;&gt;"",O18&lt;&gt;"",R18&lt;&gt;"",S18&lt;&gt;""),0,"REVIEW"),IF(OR(P18&lt;0,P18&gt;0.3),0,P18))</f>
        <v>0.25</v>
      </c>
      <c r="R18" s="0" t="n">
        <v>9970.53</v>
      </c>
      <c r="S18" s="0" t="n">
        <v>5668.17</v>
      </c>
      <c r="T18" s="6" t="n">
        <f aca="false">N18*O18*(1-Q18)</f>
        <v>9970.53</v>
      </c>
      <c r="U18" s="6" t="n">
        <f aca="false">T18-S18</f>
        <v>4302.36</v>
      </c>
      <c r="V18" s="7" t="n">
        <f aca="false">IF(T18=0,0,U18/T18)</f>
        <v>0.431507653053549</v>
      </c>
      <c r="W18" s="4" t="n">
        <f aca="false">C18-B18</f>
        <v>7</v>
      </c>
      <c r="X18" s="0" t="str">
        <f aca="false">TEXT(B18,"mmmm")</f>
        <v>May</v>
      </c>
      <c r="Y18" s="4" t="n">
        <f aca="false">YEAR(B18)</f>
        <v>2024</v>
      </c>
      <c r="Z18" s="0" t="str">
        <f aca="false">PROPER(TRIM(AU18))</f>
        <v>Paid</v>
      </c>
      <c r="AA18" s="0" t="str">
        <f aca="false">PROPER(TRIM(AV18))</f>
        <v>Completed</v>
      </c>
      <c r="AB18" s="0" t="str">
        <f aca="false">IF(TRIM(AN18)="","Yes","No")</f>
        <v>No</v>
      </c>
      <c r="AC18" s="0" t="str">
        <f aca="false">IF(TRIM(AS18)="","Yes","No")</f>
        <v>No</v>
      </c>
      <c r="AD18" s="0" t="str">
        <f aca="false">IF(AT18="","Yes","No")</f>
        <v>No</v>
      </c>
      <c r="AE18" s="0" t="str">
        <f aca="false">IF(W18&lt;0,"Yes","No")</f>
        <v>No</v>
      </c>
      <c r="AF18" s="0" t="str">
        <f aca="false">IF(P18="","No",IF(OR(P18&lt;0,P18&gt;0.3),"Yes","No"))</f>
        <v>No</v>
      </c>
      <c r="AG18" s="4" t="s">
        <v>50</v>
      </c>
      <c r="AH18" s="0" t="str">
        <f aca="false">IF(AND(AA18="Completed",Z18="Paid"),"Yes","No")</f>
        <v>Yes</v>
      </c>
      <c r="AI18" s="0" t="str">
        <f aca="false">IF(OR(AE18="Yes",AF18="Yes",AG18="Yes"),"Invalid",IF(OR(AB18="Yes",AC18="Yes",AD18="Yes"),"Warning","Clean"))</f>
        <v>Clean</v>
      </c>
      <c r="AJ18" s="4" t="s">
        <v>174</v>
      </c>
      <c r="AK18" s="4" t="s">
        <v>175</v>
      </c>
      <c r="AL18" s="4" t="s">
        <v>176</v>
      </c>
      <c r="AM18" s="4" t="s">
        <v>54</v>
      </c>
      <c r="AN18" s="4" t="s">
        <v>87</v>
      </c>
      <c r="AO18" s="4" t="s">
        <v>88</v>
      </c>
      <c r="AP18" s="4" t="s">
        <v>89</v>
      </c>
      <c r="AQ18" s="4" t="s">
        <v>58</v>
      </c>
      <c r="AR18" s="4" t="s">
        <v>80</v>
      </c>
      <c r="AS18" s="4" t="s">
        <v>81</v>
      </c>
      <c r="AT18" s="0" t="n">
        <v>0.25</v>
      </c>
      <c r="AU18" s="4" t="s">
        <v>61</v>
      </c>
      <c r="AV18" s="4" t="s">
        <v>62</v>
      </c>
    </row>
    <row r="19" customFormat="false" ht="15" hidden="false" customHeight="false" outlineLevel="0" collapsed="false">
      <c r="A19" s="0" t="s">
        <v>177</v>
      </c>
      <c r="B19" s="3" t="n">
        <f aca="false">IF(AJ19="","",IF(ISNUMBER(SEARCH("/",AJ19)),DATE(VALUE(RIGHT(AJ19,4)),VALUE(LEFT(AJ19,2)),VALUE(MID(AJ19,4,2))),IF(ISNUMBER(SEARCH("-",AJ19)),IF(LEN(LEFT(AJ19,FIND("-",AJ19)-1))=4,DATE(VALUE(LEFT(AJ19,4)),VALUE(MID(AJ19,6,2)),VALUE(RIGHT(AJ19,2))),DATE(VALUE(RIGHT(AJ19,4)),VALUE(MID(AJ19,4,2)),VALUE(LEFT(AJ19,2)))),DATE(VALUE(RIGHT(AJ19,4)),MATCH(MID(AJ19,4,3),{"Jan","Feb","Mar","Apr","May","Jun","Jul","Aug","Sep","Oct","Nov","Dec"},0),VALUE(LEFT(AJ19,2))))))</f>
        <v>45298</v>
      </c>
      <c r="C19" s="3" t="n">
        <f aca="false">IF(AK19="","",IF(ISNUMBER(SEARCH("/",AK19)),DATE(VALUE(RIGHT(AK19,4)),VALUE(LEFT(AK19,2)),VALUE(MID(AK19,4,2))),IF(ISNUMBER(SEARCH("-",AK19)),IF(LEN(LEFT(AK19,FIND("-",AK19)-1))=4,DATE(VALUE(LEFT(AK19,4)),VALUE(MID(AK19,6,2)),VALUE(RIGHT(AK19,2))),DATE(VALUE(RIGHT(AK19,4)),VALUE(MID(AK19,4,2)),VALUE(LEFT(AK19,2)))),DATE(VALUE(RIGHT(AK19,4)),MATCH(MID(AK19,4,3),{"Jan","Feb","Mar","Apr","May","Jun","Jul","Aug","Sep","Oct","Nov","Dec"},0),VALUE(LEFT(AK19,2))))))</f>
        <v>45299</v>
      </c>
      <c r="D19" s="4" t="s">
        <v>178</v>
      </c>
      <c r="E19" s="0" t="str">
        <f aca="false">PROPER(TRIM(AL19))</f>
        <v>Sneha Kapoor</v>
      </c>
      <c r="F19" s="0" t="str">
        <f aca="false">PROPER(TRIM(AM19))</f>
        <v>Small Business</v>
      </c>
      <c r="G19" s="0" t="str">
        <f aca="false">IF(TRIM(AN19)="","Unknown",PROPER(TRIM(AN19)))</f>
        <v>North</v>
      </c>
      <c r="H19" s="0" t="str">
        <f aca="false">PROPER(TRIM(AO19))</f>
        <v>Rajasthan</v>
      </c>
      <c r="I19" s="0" t="str">
        <f aca="false">PROPER(TRIM(AP19))</f>
        <v>Jaipur</v>
      </c>
      <c r="J19" s="0" t="str">
        <f aca="false">PROPER(TRIM(AQ19))</f>
        <v>Furniture</v>
      </c>
      <c r="K19" s="0" t="str">
        <f aca="false">PROPER(TRIM(AR19))</f>
        <v>Furnishings</v>
      </c>
      <c r="M19" s="0" t="str">
        <f aca="false">IF(TRIM(AS19)="","Unknown",PROPER(TRIM(AS19)))</f>
        <v>Same Day</v>
      </c>
      <c r="N19" s="0" t="n">
        <v>5</v>
      </c>
      <c r="O19" s="0" t="n">
        <v>1526.78</v>
      </c>
      <c r="P19" s="5" t="n">
        <f aca="false">IF(AT19="","",IF(ISNUMBER(AT19),AT19,VALUE(SUBSTITUTE(AT19,"%",""))/100))</f>
        <v>0</v>
      </c>
      <c r="Q19" s="5" t="n">
        <f aca="false">IF(P19="",IF(AND(N19&lt;&gt;"",O19&lt;&gt;"",R19&lt;&gt;"",S19&lt;&gt;""),0,"REVIEW"),IF(OR(P19&lt;0,P19&gt;0.3),0,P19))</f>
        <v>0</v>
      </c>
      <c r="R19" s="0" t="n">
        <v>7633.9</v>
      </c>
      <c r="S19" s="0" t="n">
        <v>4706.91</v>
      </c>
      <c r="T19" s="6" t="n">
        <f aca="false">N19*O19*(1-Q19)</f>
        <v>7633.9</v>
      </c>
      <c r="U19" s="6" t="n">
        <f aca="false">T19-S19</f>
        <v>2926.99</v>
      </c>
      <c r="V19" s="7" t="n">
        <f aca="false">IF(T19=0,0,U19/T19)</f>
        <v>0.383420008121668</v>
      </c>
      <c r="W19" s="4" t="n">
        <f aca="false">C19-B19</f>
        <v>1</v>
      </c>
      <c r="X19" s="0" t="str">
        <f aca="false">TEXT(B19,"mmmm")</f>
        <v>January</v>
      </c>
      <c r="Y19" s="4" t="n">
        <f aca="false">YEAR(B19)</f>
        <v>2024</v>
      </c>
      <c r="Z19" s="0" t="str">
        <f aca="false">PROPER(TRIM(AU19))</f>
        <v>Paid</v>
      </c>
      <c r="AA19" s="0" t="str">
        <f aca="false">PROPER(TRIM(AV19))</f>
        <v>Completed</v>
      </c>
      <c r="AB19" s="0" t="str">
        <f aca="false">IF(TRIM(AN19)="","Yes","No")</f>
        <v>No</v>
      </c>
      <c r="AC19" s="0" t="str">
        <f aca="false">IF(TRIM(AS19)="","Yes","No")</f>
        <v>No</v>
      </c>
      <c r="AD19" s="0" t="str">
        <f aca="false">IF(AT19="","Yes","No")</f>
        <v>No</v>
      </c>
      <c r="AE19" s="0" t="str">
        <f aca="false">IF(W19&lt;0,"Yes","No")</f>
        <v>No</v>
      </c>
      <c r="AF19" s="0" t="str">
        <f aca="false">IF(P19="","No",IF(OR(P19&lt;0,P19&gt;0.3),"Yes","No"))</f>
        <v>No</v>
      </c>
      <c r="AG19" s="4" t="s">
        <v>50</v>
      </c>
      <c r="AH19" s="0" t="str">
        <f aca="false">IF(AND(AA19="Completed",Z19="Paid"),"Yes","No")</f>
        <v>Yes</v>
      </c>
      <c r="AI19" s="0" t="str">
        <f aca="false">IF(OR(AE19="Yes",AF19="Yes",AG19="Yes"),"Invalid",IF(OR(AB19="Yes",AC19="Yes",AD19="Yes"),"Warning","Clean"))</f>
        <v>Clean</v>
      </c>
      <c r="AJ19" s="4" t="s">
        <v>179</v>
      </c>
      <c r="AK19" s="4" t="s">
        <v>180</v>
      </c>
      <c r="AL19" s="4" t="s">
        <v>181</v>
      </c>
      <c r="AM19" s="4" t="s">
        <v>68</v>
      </c>
      <c r="AN19" s="4" t="s">
        <v>168</v>
      </c>
      <c r="AO19" s="4" t="s">
        <v>56</v>
      </c>
      <c r="AP19" s="4" t="s">
        <v>57</v>
      </c>
      <c r="AQ19" s="4" t="s">
        <v>72</v>
      </c>
      <c r="AR19" s="4" t="s">
        <v>90</v>
      </c>
      <c r="AS19" s="4" t="s">
        <v>74</v>
      </c>
      <c r="AT19" s="0" t="n">
        <v>0</v>
      </c>
      <c r="AU19" s="4" t="s">
        <v>61</v>
      </c>
      <c r="AV19" s="4" t="s">
        <v>62</v>
      </c>
    </row>
    <row r="20" customFormat="false" ht="15" hidden="false" customHeight="false" outlineLevel="0" collapsed="false">
      <c r="A20" s="0" t="s">
        <v>182</v>
      </c>
      <c r="B20" s="3" t="n">
        <f aca="false">IF(AJ20="","",IF(ISNUMBER(SEARCH("/",AJ20)),DATE(VALUE(RIGHT(AJ20,4)),VALUE(LEFT(AJ20,2)),VALUE(MID(AJ20,4,2))),IF(ISNUMBER(SEARCH("-",AJ20)),IF(LEN(LEFT(AJ20,FIND("-",AJ20)-1))=4,DATE(VALUE(LEFT(AJ20,4)),VALUE(MID(AJ20,6,2)),VALUE(RIGHT(AJ20,2))),DATE(VALUE(RIGHT(AJ20,4)),VALUE(MID(AJ20,4,2)),VALUE(LEFT(AJ20,2)))),DATE(VALUE(RIGHT(AJ20,4)),MATCH(MID(AJ20,4,3),{"Jan","Feb","Mar","Apr","May","Jun","Jul","Aug","Sep","Oct","Nov","Dec"},0),VALUE(LEFT(AJ20,2))))))</f>
        <v>45853</v>
      </c>
      <c r="C20" s="3" t="n">
        <f aca="false">IF(AK20="","",IF(ISNUMBER(SEARCH("/",AK20)),DATE(VALUE(RIGHT(AK20,4)),VALUE(LEFT(AK20,2)),VALUE(MID(AK20,4,2))),IF(ISNUMBER(SEARCH("-",AK20)),IF(LEN(LEFT(AK20,FIND("-",AK20)-1))=4,DATE(VALUE(LEFT(AK20,4)),VALUE(MID(AK20,6,2)),VALUE(RIGHT(AK20,2))),DATE(VALUE(RIGHT(AK20,4)),VALUE(MID(AK20,4,2)),VALUE(LEFT(AK20,2)))),DATE(VALUE(RIGHT(AK20,4)),MATCH(MID(AK20,4,3),{"Jan","Feb","Mar","Apr","May","Jun","Jul","Aug","Sep","Oct","Nov","Dec"},0),VALUE(LEFT(AK20,2))))))</f>
        <v>45855</v>
      </c>
      <c r="D20" s="4" t="s">
        <v>183</v>
      </c>
      <c r="E20" s="0" t="str">
        <f aca="false">PROPER(TRIM(AL20))</f>
        <v>Aarav Sharma</v>
      </c>
      <c r="F20" s="0" t="str">
        <f aca="false">PROPER(TRIM(AM20))</f>
        <v>Home Office</v>
      </c>
      <c r="G20" s="0" t="str">
        <f aca="false">IF(TRIM(AN20)="","Unknown",PROPER(TRIM(AN20)))</f>
        <v>North</v>
      </c>
      <c r="H20" s="0" t="str">
        <f aca="false">PROPER(TRIM(AO20))</f>
        <v>Uttar Pradesh</v>
      </c>
      <c r="I20" s="0" t="str">
        <f aca="false">PROPER(TRIM(AP20))</f>
        <v>Noida</v>
      </c>
      <c r="J20" s="0" t="str">
        <f aca="false">PROPER(TRIM(AQ20))</f>
        <v>Technology</v>
      </c>
      <c r="K20" s="0" t="str">
        <f aca="false">PROPER(TRIM(AR20))</f>
        <v>Copiers</v>
      </c>
      <c r="M20" s="0" t="str">
        <f aca="false">IF(TRIM(AS20)="","Unknown",PROPER(TRIM(AS20)))</f>
        <v>First Class</v>
      </c>
      <c r="N20" s="0" t="n">
        <v>2</v>
      </c>
      <c r="O20" s="0" t="n">
        <v>1997.99</v>
      </c>
      <c r="P20" s="5" t="n">
        <f aca="false">IF(AT20="","",IF(ISNUMBER(AT20),AT20,VALUE(SUBSTITUTE(AT20,"%",""))/100))</f>
        <v>0</v>
      </c>
      <c r="Q20" s="5" t="n">
        <f aca="false">IF(P20="",IF(AND(N20&lt;&gt;"",O20&lt;&gt;"",R20&lt;&gt;"",S20&lt;&gt;""),0,"REVIEW"),IF(OR(P20&lt;0,P20&gt;0.3),0,P20))</f>
        <v>0</v>
      </c>
      <c r="R20" s="0" t="n">
        <v>3995.98</v>
      </c>
      <c r="S20" s="0" t="n">
        <v>2633.2</v>
      </c>
      <c r="T20" s="6" t="n">
        <f aca="false">N20*O20*(1-Q20)</f>
        <v>3995.98</v>
      </c>
      <c r="U20" s="6" t="n">
        <f aca="false">T20-S20</f>
        <v>1362.78</v>
      </c>
      <c r="V20" s="7" t="n">
        <f aca="false">IF(T20=0,0,U20/T20)</f>
        <v>0.341037742931646</v>
      </c>
      <c r="W20" s="4" t="n">
        <f aca="false">C20-B20</f>
        <v>2</v>
      </c>
      <c r="X20" s="0" t="str">
        <f aca="false">TEXT(B20,"mmmm")</f>
        <v>July</v>
      </c>
      <c r="Y20" s="4" t="n">
        <f aca="false">YEAR(B20)</f>
        <v>2025</v>
      </c>
      <c r="Z20" s="0" t="str">
        <f aca="false">PROPER(TRIM(AU20))</f>
        <v>Refunded</v>
      </c>
      <c r="AA20" s="0" t="str">
        <f aca="false">PROPER(TRIM(AV20))</f>
        <v>Cancelled</v>
      </c>
      <c r="AB20" s="0" t="str">
        <f aca="false">IF(TRIM(AN20)="","Yes","No")</f>
        <v>No</v>
      </c>
      <c r="AC20" s="0" t="str">
        <f aca="false">IF(TRIM(AS20)="","Yes","No")</f>
        <v>No</v>
      </c>
      <c r="AD20" s="0" t="str">
        <f aca="false">IF(AT20="","Yes","No")</f>
        <v>No</v>
      </c>
      <c r="AE20" s="0" t="str">
        <f aca="false">IF(W20&lt;0,"Yes","No")</f>
        <v>No</v>
      </c>
      <c r="AF20" s="0" t="str">
        <f aca="false">IF(P20="","No",IF(OR(P20&lt;0,P20&gt;0.3),"Yes","No"))</f>
        <v>No</v>
      </c>
      <c r="AG20" s="4" t="s">
        <v>50</v>
      </c>
      <c r="AH20" s="0" t="str">
        <f aca="false">IF(AND(AA20="Completed",Z20="Paid"),"Yes","No")</f>
        <v>No</v>
      </c>
      <c r="AI20" s="0" t="str">
        <f aca="false">IF(OR(AE20="Yes",AF20="Yes",AG20="Yes"),"Invalid",IF(OR(AB20="Yes",AC20="Yes",AD20="Yes"),"Warning","Clean"))</f>
        <v>Clean</v>
      </c>
      <c r="AJ20" s="4" t="s">
        <v>184</v>
      </c>
      <c r="AK20" s="4" t="s">
        <v>185</v>
      </c>
      <c r="AL20" s="4" t="s">
        <v>176</v>
      </c>
      <c r="AM20" s="4" t="s">
        <v>134</v>
      </c>
      <c r="AN20" s="4" t="s">
        <v>168</v>
      </c>
      <c r="AO20" s="4" t="s">
        <v>186</v>
      </c>
      <c r="AP20" s="4" t="s">
        <v>187</v>
      </c>
      <c r="AQ20" s="4" t="s">
        <v>109</v>
      </c>
      <c r="AR20" s="4" t="s">
        <v>116</v>
      </c>
      <c r="AS20" s="4" t="s">
        <v>81</v>
      </c>
      <c r="AT20" s="0" t="n">
        <v>0</v>
      </c>
      <c r="AU20" s="4" t="s">
        <v>141</v>
      </c>
      <c r="AV20" s="4" t="s">
        <v>101</v>
      </c>
    </row>
    <row r="21" customFormat="false" ht="15" hidden="false" customHeight="false" outlineLevel="0" collapsed="false">
      <c r="A21" s="0" t="s">
        <v>188</v>
      </c>
      <c r="B21" s="3" t="n">
        <f aca="false">IF(AJ21="","",IF(ISNUMBER(SEARCH("/",AJ21)),DATE(VALUE(RIGHT(AJ21,4)),VALUE(LEFT(AJ21,2)),VALUE(MID(AJ21,4,2))),IF(ISNUMBER(SEARCH("-",AJ21)),IF(LEN(LEFT(AJ21,FIND("-",AJ21)-1))=4,DATE(VALUE(LEFT(AJ21,4)),VALUE(MID(AJ21,6,2)),VALUE(RIGHT(AJ21,2))),DATE(VALUE(RIGHT(AJ21,4)),VALUE(MID(AJ21,4,2)),VALUE(LEFT(AJ21,2)))),DATE(VALUE(RIGHT(AJ21,4)),MATCH(MID(AJ21,4,3),{"Jan","Feb","Mar","Apr","May","Jun","Jul","Aug","Sep","Oct","Nov","Dec"},0),VALUE(LEFT(AJ21,2))))))</f>
        <v>45500</v>
      </c>
      <c r="C21" s="3" t="n">
        <f aca="false">IF(AK21="","",IF(ISNUMBER(SEARCH("/",AK21)),DATE(VALUE(RIGHT(AK21,4)),VALUE(LEFT(AK21,2)),VALUE(MID(AK21,4,2))),IF(ISNUMBER(SEARCH("-",AK21)),IF(LEN(LEFT(AK21,FIND("-",AK21)-1))=4,DATE(VALUE(LEFT(AK21,4)),VALUE(MID(AK21,6,2)),VALUE(RIGHT(AK21,2))),DATE(VALUE(RIGHT(AK21,4)),VALUE(MID(AK21,4,2)),VALUE(LEFT(AK21,2)))),DATE(VALUE(RIGHT(AK21,4)),MATCH(MID(AK21,4,3),{"Jan","Feb","Mar","Apr","May","Jun","Jul","Aug","Sep","Oct","Nov","Dec"},0),VALUE(LEFT(AK21,2))))))</f>
        <v>45504</v>
      </c>
      <c r="D21" s="4" t="s">
        <v>189</v>
      </c>
      <c r="E21" s="0" t="str">
        <f aca="false">PROPER(TRIM(AL21))</f>
        <v>Rohan Mehta</v>
      </c>
      <c r="F21" s="0" t="str">
        <f aca="false">PROPER(TRIM(AM21))</f>
        <v>Home Office</v>
      </c>
      <c r="G21" s="0" t="str">
        <f aca="false">IF(TRIM(AN21)="","Unknown",PROPER(TRIM(AN21)))</f>
        <v>West</v>
      </c>
      <c r="H21" s="0" t="str">
        <f aca="false">PROPER(TRIM(AO21))</f>
        <v>Madhya Pradesh</v>
      </c>
      <c r="I21" s="0" t="str">
        <f aca="false">PROPER(TRIM(AP21))</f>
        <v>Indore</v>
      </c>
      <c r="J21" s="0" t="str">
        <f aca="false">PROPER(TRIM(AQ21))</f>
        <v>Office Supplies</v>
      </c>
      <c r="K21" s="0" t="str">
        <f aca="false">PROPER(TRIM(AR21))</f>
        <v>Storage</v>
      </c>
      <c r="M21" s="0" t="str">
        <f aca="false">IF(TRIM(AS21)="","Unknown",PROPER(TRIM(AS21)))</f>
        <v>Second Class</v>
      </c>
      <c r="N21" s="0" t="n">
        <v>3</v>
      </c>
      <c r="O21" s="0" t="n">
        <v>3887.94</v>
      </c>
      <c r="P21" s="5" t="n">
        <f aca="false">IF(AT21="","",IF(ISNUMBER(AT21),AT21,VALUE(SUBSTITUTE(AT21,"%",""))/100))</f>
        <v>-0.19</v>
      </c>
      <c r="Q21" s="5" t="n">
        <f aca="false">IF(P21="",IF(AND(N21&lt;&gt;"",O21&lt;&gt;"",R21&lt;&gt;"",S21&lt;&gt;""),0,"REVIEW"),IF(OR(P21&lt;0,P21&gt;0.3),0,P21))</f>
        <v>0</v>
      </c>
      <c r="R21" s="0" t="n">
        <v>9331.06</v>
      </c>
      <c r="S21" s="0" t="n">
        <v>7529.31</v>
      </c>
      <c r="T21" s="6" t="n">
        <f aca="false">N21*O21*(1-Q21)</f>
        <v>11663.82</v>
      </c>
      <c r="U21" s="6" t="n">
        <f aca="false">T21-S21</f>
        <v>4134.51</v>
      </c>
      <c r="V21" s="7" t="n">
        <f aca="false">IF(T21=0,0,U21/T21)</f>
        <v>0.354473062855908</v>
      </c>
      <c r="W21" s="4" t="n">
        <f aca="false">C21-B21</f>
        <v>4</v>
      </c>
      <c r="X21" s="0" t="str">
        <f aca="false">TEXT(B21,"mmmm")</f>
        <v>July</v>
      </c>
      <c r="Y21" s="4" t="n">
        <f aca="false">YEAR(B21)</f>
        <v>2024</v>
      </c>
      <c r="Z21" s="0" t="str">
        <f aca="false">PROPER(TRIM(AU21))</f>
        <v>Paid</v>
      </c>
      <c r="AA21" s="0" t="str">
        <f aca="false">PROPER(TRIM(AV21))</f>
        <v>Completed</v>
      </c>
      <c r="AB21" s="0" t="str">
        <f aca="false">IF(TRIM(AN21)="","Yes","No")</f>
        <v>No</v>
      </c>
      <c r="AC21" s="0" t="str">
        <f aca="false">IF(TRIM(AS21)="","Yes","No")</f>
        <v>No</v>
      </c>
      <c r="AD21" s="0" t="str">
        <f aca="false">IF(AT21="","Yes","No")</f>
        <v>No</v>
      </c>
      <c r="AE21" s="0" t="str">
        <f aca="false">IF(W21&lt;0,"Yes","No")</f>
        <v>No</v>
      </c>
      <c r="AF21" s="0" t="str">
        <f aca="false">IF(P21="","No",IF(OR(P21&lt;0,P21&gt;0.3),"Yes","No"))</f>
        <v>Yes</v>
      </c>
      <c r="AG21" s="4" t="s">
        <v>50</v>
      </c>
      <c r="AH21" s="0" t="str">
        <f aca="false">IF(AND(AA21="Completed",Z21="Paid"),"Yes","No")</f>
        <v>Yes</v>
      </c>
      <c r="AI21" s="0" t="str">
        <f aca="false">IF(OR(AE21="Yes",AF21="Yes",AG21="Yes"),"Invalid",IF(OR(AB21="Yes",AC21="Yes",AD21="Yes"),"Warning","Clean"))</f>
        <v>Invalid</v>
      </c>
      <c r="AJ21" s="4" t="s">
        <v>52</v>
      </c>
      <c r="AK21" s="4" t="s">
        <v>190</v>
      </c>
      <c r="AL21" s="4" t="s">
        <v>191</v>
      </c>
      <c r="AM21" s="4" t="s">
        <v>134</v>
      </c>
      <c r="AN21" s="4" t="s">
        <v>97</v>
      </c>
      <c r="AO21" s="4" t="s">
        <v>107</v>
      </c>
      <c r="AP21" s="4" t="s">
        <v>108</v>
      </c>
      <c r="AQ21" s="4" t="s">
        <v>58</v>
      </c>
      <c r="AR21" s="4" t="s">
        <v>171</v>
      </c>
      <c r="AS21" s="4" t="s">
        <v>60</v>
      </c>
      <c r="AT21" s="0" t="n">
        <v>-0.19</v>
      </c>
      <c r="AU21" s="4" t="s">
        <v>61</v>
      </c>
      <c r="AV21" s="4" t="s">
        <v>62</v>
      </c>
    </row>
    <row r="22" customFormat="false" ht="15" hidden="false" customHeight="false" outlineLevel="0" collapsed="false">
      <c r="A22" s="0" t="s">
        <v>192</v>
      </c>
      <c r="B22" s="3" t="n">
        <f aca="false">IF(AJ22="","",IF(ISNUMBER(SEARCH("/",AJ22)),DATE(VALUE(RIGHT(AJ22,4)),VALUE(LEFT(AJ22,2)),VALUE(MID(AJ22,4,2))),IF(ISNUMBER(SEARCH("-",AJ22)),IF(LEN(LEFT(AJ22,FIND("-",AJ22)-1))=4,DATE(VALUE(LEFT(AJ22,4)),VALUE(MID(AJ22,6,2)),VALUE(RIGHT(AJ22,2))),DATE(VALUE(RIGHT(AJ22,4)),VALUE(MID(AJ22,4,2)),VALUE(LEFT(AJ22,2)))),DATE(VALUE(RIGHT(AJ22,4)),MATCH(MID(AJ22,4,3),{"Jan","Feb","Mar","Apr","May","Jun","Jul","Aug","Sep","Oct","Nov","Dec"},0),VALUE(LEFT(AJ22,2))))))</f>
        <v>45678</v>
      </c>
      <c r="C22" s="3" t="n">
        <f aca="false">IF(AK22="","",IF(ISNUMBER(SEARCH("/",AK22)),DATE(VALUE(RIGHT(AK22,4)),VALUE(LEFT(AK22,2)),VALUE(MID(AK22,4,2))),IF(ISNUMBER(SEARCH("-",AK22)),IF(LEN(LEFT(AK22,FIND("-",AK22)-1))=4,DATE(VALUE(LEFT(AK22,4)),VALUE(MID(AK22,6,2)),VALUE(RIGHT(AK22,2))),DATE(VALUE(RIGHT(AK22,4)),VALUE(MID(AK22,4,2)),VALUE(LEFT(AK22,2)))),DATE(VALUE(RIGHT(AK22,4)),MATCH(MID(AK22,4,3),{"Jan","Feb","Mar","Apr","May","Jun","Jul","Aug","Sep","Oct","Nov","Dec"},0),VALUE(LEFT(AK22,2))))))</f>
        <v>45680</v>
      </c>
      <c r="D22" s="4" t="s">
        <v>193</v>
      </c>
      <c r="E22" s="0" t="str">
        <f aca="false">PROPER(TRIM(AL22))</f>
        <v>Aditi Sen</v>
      </c>
      <c r="F22" s="0" t="str">
        <f aca="false">PROPER(TRIM(AM22))</f>
        <v>Home Office</v>
      </c>
      <c r="G22" s="0" t="str">
        <f aca="false">IF(TRIM(AN22)="","Unknown",PROPER(TRIM(AN22)))</f>
        <v>East</v>
      </c>
      <c r="H22" s="0" t="str">
        <f aca="false">PROPER(TRIM(AO22))</f>
        <v>Bihar</v>
      </c>
      <c r="I22" s="0" t="str">
        <f aca="false">PROPER(TRIM(AP22))</f>
        <v>Patna</v>
      </c>
      <c r="J22" s="0" t="str">
        <f aca="false">PROPER(TRIM(AQ22))</f>
        <v>Technology</v>
      </c>
      <c r="K22" s="0" t="str">
        <f aca="false">PROPER(TRIM(AR22))</f>
        <v>Copiers</v>
      </c>
      <c r="M22" s="0" t="str">
        <f aca="false">IF(TRIM(AS22)="","Unknown",PROPER(TRIM(AS22)))</f>
        <v>First Class</v>
      </c>
      <c r="N22" s="0" t="n">
        <v>5</v>
      </c>
      <c r="O22" s="0" t="n">
        <v>4373.06</v>
      </c>
      <c r="P22" s="5" t="n">
        <f aca="false">IF(AT22="","",IF(ISNUMBER(AT22),AT22,VALUE(SUBSTITUTE(AT22,"%",""))/100))</f>
        <v>0.25</v>
      </c>
      <c r="Q22" s="5" t="n">
        <f aca="false">IF(P22="",IF(AND(N22&lt;&gt;"",O22&lt;&gt;"",R22&lt;&gt;"",S22&lt;&gt;""),0,"REVIEW"),IF(OR(P22&lt;0,P22&gt;0.3),0,P22))</f>
        <v>0.25</v>
      </c>
      <c r="R22" s="0" t="n">
        <v>16398.98</v>
      </c>
      <c r="S22" s="0" t="n">
        <v>9556.52</v>
      </c>
      <c r="T22" s="6" t="n">
        <f aca="false">N22*O22*(1-Q22)</f>
        <v>16398.975</v>
      </c>
      <c r="U22" s="6" t="n">
        <f aca="false">T22-S22</f>
        <v>6842.455</v>
      </c>
      <c r="V22" s="7" t="n">
        <f aca="false">IF(T22=0,0,U22/T22)</f>
        <v>0.417248943912653</v>
      </c>
      <c r="W22" s="4" t="n">
        <f aca="false">C22-B22</f>
        <v>2</v>
      </c>
      <c r="X22" s="0" t="str">
        <f aca="false">TEXT(B22,"mmmm")</f>
        <v>January</v>
      </c>
      <c r="Y22" s="4" t="n">
        <f aca="false">YEAR(B22)</f>
        <v>2025</v>
      </c>
      <c r="Z22" s="0" t="str">
        <f aca="false">PROPER(TRIM(AU22))</f>
        <v>Paid</v>
      </c>
      <c r="AA22" s="0" t="str">
        <f aca="false">PROPER(TRIM(AV22))</f>
        <v>Completed</v>
      </c>
      <c r="AB22" s="0" t="str">
        <f aca="false">IF(TRIM(AN22)="","Yes","No")</f>
        <v>No</v>
      </c>
      <c r="AC22" s="0" t="str">
        <f aca="false">IF(TRIM(AS22)="","Yes","No")</f>
        <v>No</v>
      </c>
      <c r="AD22" s="0" t="str">
        <f aca="false">IF(AT22="","Yes","No")</f>
        <v>No</v>
      </c>
      <c r="AE22" s="0" t="str">
        <f aca="false">IF(W22&lt;0,"Yes","No")</f>
        <v>No</v>
      </c>
      <c r="AF22" s="0" t="str">
        <f aca="false">IF(P22="","No",IF(OR(P22&lt;0,P22&gt;0.3),"Yes","No"))</f>
        <v>No</v>
      </c>
      <c r="AG22" s="4" t="s">
        <v>50</v>
      </c>
      <c r="AH22" s="0" t="str">
        <f aca="false">IF(AND(AA22="Completed",Z22="Paid"),"Yes","No")</f>
        <v>Yes</v>
      </c>
      <c r="AI22" s="0" t="str">
        <f aca="false">IF(OR(AE22="Yes",AF22="Yes",AG22="Yes"),"Invalid",IF(OR(AB22="Yes",AC22="Yes",AD22="Yes"),"Warning","Clean"))</f>
        <v>Clean</v>
      </c>
      <c r="AJ22" s="4" t="s">
        <v>194</v>
      </c>
      <c r="AK22" s="4" t="s">
        <v>195</v>
      </c>
      <c r="AL22" s="4" t="s">
        <v>127</v>
      </c>
      <c r="AM22" s="4" t="s">
        <v>134</v>
      </c>
      <c r="AN22" s="4" t="s">
        <v>69</v>
      </c>
      <c r="AO22" s="4" t="s">
        <v>196</v>
      </c>
      <c r="AP22" s="4" t="s">
        <v>197</v>
      </c>
      <c r="AQ22" s="4" t="s">
        <v>109</v>
      </c>
      <c r="AR22" s="4" t="s">
        <v>116</v>
      </c>
      <c r="AS22" s="4" t="s">
        <v>81</v>
      </c>
      <c r="AT22" s="0" t="n">
        <v>0.25</v>
      </c>
      <c r="AU22" s="4" t="s">
        <v>61</v>
      </c>
      <c r="AV22" s="4" t="s">
        <v>62</v>
      </c>
    </row>
    <row r="23" customFormat="false" ht="15" hidden="false" customHeight="false" outlineLevel="0" collapsed="false">
      <c r="A23" s="0" t="s">
        <v>198</v>
      </c>
      <c r="B23" s="3" t="n">
        <f aca="false">IF(AJ23="","",IF(ISNUMBER(SEARCH("/",AJ23)),DATE(VALUE(RIGHT(AJ23,4)),VALUE(LEFT(AJ23,2)),VALUE(MID(AJ23,4,2))),IF(ISNUMBER(SEARCH("-",AJ23)),IF(LEN(LEFT(AJ23,FIND("-",AJ23)-1))=4,DATE(VALUE(LEFT(AJ23,4)),VALUE(MID(AJ23,6,2)),VALUE(RIGHT(AJ23,2))),DATE(VALUE(RIGHT(AJ23,4)),VALUE(MID(AJ23,4,2)),VALUE(LEFT(AJ23,2)))),DATE(VALUE(RIGHT(AJ23,4)),MATCH(MID(AJ23,4,3),{"Jan","Feb","Mar","Apr","May","Jun","Jul","Aug","Sep","Oct","Nov","Dec"},0),VALUE(LEFT(AJ23,2))))))</f>
        <v>45681</v>
      </c>
      <c r="C23" s="3" t="n">
        <f aca="false">IF(AK23="","",IF(ISNUMBER(SEARCH("/",AK23)),DATE(VALUE(RIGHT(AK23,4)),VALUE(LEFT(AK23,2)),VALUE(MID(AK23,4,2))),IF(ISNUMBER(SEARCH("-",AK23)),IF(LEN(LEFT(AK23,FIND("-",AK23)-1))=4,DATE(VALUE(LEFT(AK23,4)),VALUE(MID(AK23,6,2)),VALUE(RIGHT(AK23,2))),DATE(VALUE(RIGHT(AK23,4)),VALUE(MID(AK23,4,2)),VALUE(LEFT(AK23,2)))),DATE(VALUE(RIGHT(AK23,4)),MATCH(MID(AK23,4,3),{"Jan","Feb","Mar","Apr","May","Jun","Jul","Aug","Sep","Oct","Nov","Dec"},0),VALUE(LEFT(AK23,2))))))</f>
        <v>45687</v>
      </c>
      <c r="D23" s="4" t="s">
        <v>199</v>
      </c>
      <c r="E23" s="0" t="str">
        <f aca="false">PROPER(TRIM(AL23))</f>
        <v>Sneha Kapoor</v>
      </c>
      <c r="F23" s="0" t="str">
        <f aca="false">PROPER(TRIM(AM23))</f>
        <v>Consumer</v>
      </c>
      <c r="G23" s="0" t="str">
        <f aca="false">IF(TRIM(AN23)="","Unknown",PROPER(TRIM(AN23)))</f>
        <v>West</v>
      </c>
      <c r="H23" s="0" t="str">
        <f aca="false">PROPER(TRIM(AO23))</f>
        <v>Madhya Pradesh</v>
      </c>
      <c r="I23" s="0" t="str">
        <f aca="false">PROPER(TRIM(AP23))</f>
        <v>Indore</v>
      </c>
      <c r="J23" s="0" t="str">
        <f aca="false">PROPER(TRIM(AQ23))</f>
        <v>Furniture</v>
      </c>
      <c r="K23" s="0" t="str">
        <f aca="false">PROPER(TRIM(AR23))</f>
        <v>Furnishings</v>
      </c>
      <c r="M23" s="0" t="str">
        <f aca="false">IF(TRIM(AS23)="","Unknown",PROPER(TRIM(AS23)))</f>
        <v>Second Class</v>
      </c>
      <c r="N23" s="0" t="n">
        <v>4</v>
      </c>
      <c r="O23" s="0" t="n">
        <v>697.69</v>
      </c>
      <c r="P23" s="5" t="n">
        <f aca="false">IF(AT23="","",IF(ISNUMBER(AT23),AT23,VALUE(SUBSTITUTE(AT23,"%",""))/100))</f>
        <v>-0.23</v>
      </c>
      <c r="Q23" s="5" t="n">
        <f aca="false">IF(P23="",IF(AND(N23&lt;&gt;"",O23&lt;&gt;"",R23&lt;&gt;"",S23&lt;&gt;""),0,"REVIEW"),IF(OR(P23&lt;0,P23&gt;0.3),0,P23))</f>
        <v>0</v>
      </c>
      <c r="R23" s="0" t="n">
        <v>2790.76</v>
      </c>
      <c r="S23" s="0" t="n">
        <v>2037.71</v>
      </c>
      <c r="T23" s="6" t="n">
        <f aca="false">N23*O23*(1-Q23)</f>
        <v>2790.76</v>
      </c>
      <c r="U23" s="6" t="n">
        <f aca="false">T23-S23</f>
        <v>753.05</v>
      </c>
      <c r="V23" s="7" t="n">
        <f aca="false">IF(T23=0,0,U23/T23)</f>
        <v>0.26983689030945</v>
      </c>
      <c r="W23" s="4" t="n">
        <f aca="false">C23-B23</f>
        <v>6</v>
      </c>
      <c r="X23" s="0" t="str">
        <f aca="false">TEXT(B23,"mmmm")</f>
        <v>January</v>
      </c>
      <c r="Y23" s="4" t="n">
        <f aca="false">YEAR(B23)</f>
        <v>2025</v>
      </c>
      <c r="Z23" s="0" t="str">
        <f aca="false">PROPER(TRIM(AU23))</f>
        <v>Paid</v>
      </c>
      <c r="AA23" s="0" t="str">
        <f aca="false">PROPER(TRIM(AV23))</f>
        <v>Completed</v>
      </c>
      <c r="AB23" s="0" t="str">
        <f aca="false">IF(TRIM(AN23)="","Yes","No")</f>
        <v>No</v>
      </c>
      <c r="AC23" s="0" t="str">
        <f aca="false">IF(TRIM(AS23)="","Yes","No")</f>
        <v>No</v>
      </c>
      <c r="AD23" s="0" t="str">
        <f aca="false">IF(AT23="","Yes","No")</f>
        <v>No</v>
      </c>
      <c r="AE23" s="0" t="str">
        <f aca="false">IF(W23&lt;0,"Yes","No")</f>
        <v>No</v>
      </c>
      <c r="AF23" s="0" t="str">
        <f aca="false">IF(P23="","No",IF(OR(P23&lt;0,P23&gt;0.3),"Yes","No"))</f>
        <v>Yes</v>
      </c>
      <c r="AG23" s="4" t="s">
        <v>50</v>
      </c>
      <c r="AH23" s="0" t="str">
        <f aca="false">IF(AND(AA23="Completed",Z23="Paid"),"Yes","No")</f>
        <v>Yes</v>
      </c>
      <c r="AI23" s="0" t="str">
        <f aca="false">IF(OR(AE23="Yes",AF23="Yes",AG23="Yes"),"Invalid",IF(OR(AB23="Yes",AC23="Yes",AD23="Yes"),"Warning","Clean"))</f>
        <v>Invalid</v>
      </c>
      <c r="AJ23" s="4" t="s">
        <v>200</v>
      </c>
      <c r="AK23" s="4" t="s">
        <v>201</v>
      </c>
      <c r="AL23" s="4" t="s">
        <v>181</v>
      </c>
      <c r="AM23" s="4" t="s">
        <v>54</v>
      </c>
      <c r="AN23" s="4" t="s">
        <v>97</v>
      </c>
      <c r="AO23" s="4" t="s">
        <v>107</v>
      </c>
      <c r="AP23" s="4" t="s">
        <v>108</v>
      </c>
      <c r="AQ23" s="4" t="s">
        <v>72</v>
      </c>
      <c r="AR23" s="4" t="s">
        <v>90</v>
      </c>
      <c r="AS23" s="4" t="s">
        <v>60</v>
      </c>
      <c r="AT23" s="0" t="n">
        <v>-0.23</v>
      </c>
      <c r="AU23" s="4" t="s">
        <v>61</v>
      </c>
      <c r="AV23" s="4" t="s">
        <v>62</v>
      </c>
    </row>
    <row r="24" customFormat="false" ht="15" hidden="false" customHeight="false" outlineLevel="0" collapsed="false">
      <c r="A24" s="0" t="s">
        <v>202</v>
      </c>
      <c r="B24" s="3" t="n">
        <f aca="false">IF(AJ24="","",IF(ISNUMBER(SEARCH("/",AJ24)),DATE(VALUE(RIGHT(AJ24,4)),VALUE(LEFT(AJ24,2)),VALUE(MID(AJ24,4,2))),IF(ISNUMBER(SEARCH("-",AJ24)),IF(LEN(LEFT(AJ24,FIND("-",AJ24)-1))=4,DATE(VALUE(LEFT(AJ24,4)),VALUE(MID(AJ24,6,2)),VALUE(RIGHT(AJ24,2))),DATE(VALUE(RIGHT(AJ24,4)),VALUE(MID(AJ24,4,2)),VALUE(LEFT(AJ24,2)))),DATE(VALUE(RIGHT(AJ24,4)),MATCH(MID(AJ24,4,3),{"Jan","Feb","Mar","Apr","May","Jun","Jul","Aug","Sep","Oct","Nov","Dec"},0),VALUE(LEFT(AJ24,2))))))</f>
        <v>45676</v>
      </c>
      <c r="C24" s="3" t="n">
        <f aca="false">IF(AK24="","",IF(ISNUMBER(SEARCH("/",AK24)),DATE(VALUE(RIGHT(AK24,4)),VALUE(LEFT(AK24,2)),VALUE(MID(AK24,4,2))),IF(ISNUMBER(SEARCH("-",AK24)),IF(LEN(LEFT(AK24,FIND("-",AK24)-1))=4,DATE(VALUE(LEFT(AK24,4)),VALUE(MID(AK24,6,2)),VALUE(RIGHT(AK24,2))),DATE(VALUE(RIGHT(AK24,4)),VALUE(MID(AK24,4,2)),VALUE(LEFT(AK24,2)))),DATE(VALUE(RIGHT(AK24,4)),MATCH(MID(AK24,4,3),{"Jan","Feb","Mar","Apr","May","Jun","Jul","Aug","Sep","Oct","Nov","Dec"},0),VALUE(LEFT(AK24,2))))))</f>
        <v>45678</v>
      </c>
      <c r="D24" s="4" t="s">
        <v>203</v>
      </c>
      <c r="E24" s="0" t="str">
        <f aca="false">PROPER(TRIM(AL24))</f>
        <v>Mira Das</v>
      </c>
      <c r="F24" s="0" t="str">
        <f aca="false">PROPER(TRIM(AM24))</f>
        <v>Consumer</v>
      </c>
      <c r="G24" s="0" t="str">
        <f aca="false">IF(TRIM(AN24)="","Unknown",PROPER(TRIM(AN24)))</f>
        <v>South</v>
      </c>
      <c r="H24" s="0" t="str">
        <f aca="false">PROPER(TRIM(AO24))</f>
        <v>Telangana</v>
      </c>
      <c r="I24" s="0" t="str">
        <f aca="false">PROPER(TRIM(AP24))</f>
        <v>Hyderabad</v>
      </c>
      <c r="J24" s="0" t="str">
        <f aca="false">PROPER(TRIM(AQ24))</f>
        <v>Office Supplies</v>
      </c>
      <c r="K24" s="0" t="str">
        <f aca="false">PROPER(TRIM(AR24))</f>
        <v>Binders</v>
      </c>
      <c r="M24" s="0" t="str">
        <f aca="false">IF(TRIM(AS24)="","Unknown",PROPER(TRIM(AS24)))</f>
        <v>Standard Class</v>
      </c>
      <c r="N24" s="0" t="n">
        <v>8</v>
      </c>
      <c r="O24" s="0" t="n">
        <v>1219.34</v>
      </c>
      <c r="P24" s="5" t="n">
        <f aca="false">IF(AT24="","",IF(ISNUMBER(AT24),AT24,VALUE(SUBSTITUTE(AT24,"%",""))/100))</f>
        <v>0.15</v>
      </c>
      <c r="Q24" s="5" t="n">
        <f aca="false">IF(P24="",IF(AND(N24&lt;&gt;"",O24&lt;&gt;"",R24&lt;&gt;"",S24&lt;&gt;""),0,"REVIEW"),IF(OR(P24&lt;0,P24&gt;0.3),0,P24))</f>
        <v>0.15</v>
      </c>
      <c r="R24" s="0" t="n">
        <v>8291.51</v>
      </c>
      <c r="S24" s="0" t="n">
        <v>6685.03</v>
      </c>
      <c r="T24" s="6" t="n">
        <f aca="false">N24*O24*(1-Q24)</f>
        <v>8291.512</v>
      </c>
      <c r="U24" s="6" t="n">
        <f aca="false">T24-S24</f>
        <v>1606.482</v>
      </c>
      <c r="V24" s="7" t="n">
        <f aca="false">IF(T24=0,0,U24/T24)</f>
        <v>0.19375018693816</v>
      </c>
      <c r="W24" s="4" t="n">
        <f aca="false">C24-B24</f>
        <v>2</v>
      </c>
      <c r="X24" s="0" t="str">
        <f aca="false">TEXT(B24,"mmmm")</f>
        <v>January</v>
      </c>
      <c r="Y24" s="4" t="n">
        <f aca="false">YEAR(B24)</f>
        <v>2025</v>
      </c>
      <c r="Z24" s="0" t="str">
        <f aca="false">PROPER(TRIM(AU24))</f>
        <v>Failed</v>
      </c>
      <c r="AA24" s="0" t="str">
        <f aca="false">PROPER(TRIM(AV24))</f>
        <v>Returned</v>
      </c>
      <c r="AB24" s="0" t="str">
        <f aca="false">IF(TRIM(AN24)="","Yes","No")</f>
        <v>No</v>
      </c>
      <c r="AC24" s="0" t="str">
        <f aca="false">IF(TRIM(AS24)="","Yes","No")</f>
        <v>No</v>
      </c>
      <c r="AD24" s="0" t="str">
        <f aca="false">IF(AT24="","Yes","No")</f>
        <v>No</v>
      </c>
      <c r="AE24" s="0" t="str">
        <f aca="false">IF(W24&lt;0,"Yes","No")</f>
        <v>No</v>
      </c>
      <c r="AF24" s="0" t="str">
        <f aca="false">IF(P24="","No",IF(OR(P24&lt;0,P24&gt;0.3),"Yes","No"))</f>
        <v>No</v>
      </c>
      <c r="AG24" s="4" t="s">
        <v>50</v>
      </c>
      <c r="AH24" s="0" t="str">
        <f aca="false">IF(AND(AA24="Completed",Z24="Paid"),"Yes","No")</f>
        <v>No</v>
      </c>
      <c r="AI24" s="0" t="str">
        <f aca="false">IF(OR(AE24="Yes",AF24="Yes",AG24="Yes"),"Invalid",IF(OR(AB24="Yes",AC24="Yes",AD24="Yes"),"Warning","Clean"))</f>
        <v>Clean</v>
      </c>
      <c r="AJ24" s="4" t="s">
        <v>204</v>
      </c>
      <c r="AK24" s="4" t="s">
        <v>205</v>
      </c>
      <c r="AL24" s="4" t="s">
        <v>67</v>
      </c>
      <c r="AM24" s="4" t="s">
        <v>54</v>
      </c>
      <c r="AN24" s="4" t="s">
        <v>87</v>
      </c>
      <c r="AO24" s="4" t="s">
        <v>88</v>
      </c>
      <c r="AP24" s="4" t="s">
        <v>89</v>
      </c>
      <c r="AQ24" s="4" t="s">
        <v>58</v>
      </c>
      <c r="AR24" s="4" t="s">
        <v>206</v>
      </c>
      <c r="AS24" s="4" t="s">
        <v>91</v>
      </c>
      <c r="AT24" s="0" t="n">
        <v>0.15</v>
      </c>
      <c r="AU24" s="4" t="s">
        <v>207</v>
      </c>
      <c r="AV24" s="4" t="s">
        <v>142</v>
      </c>
    </row>
    <row r="25" customFormat="false" ht="15" hidden="false" customHeight="false" outlineLevel="0" collapsed="false">
      <c r="A25" s="0" t="s">
        <v>208</v>
      </c>
      <c r="B25" s="3" t="n">
        <f aca="false">IF(AJ25="","",IF(ISNUMBER(SEARCH("/",AJ25)),DATE(VALUE(RIGHT(AJ25,4)),VALUE(LEFT(AJ25,2)),VALUE(MID(AJ25,4,2))),IF(ISNUMBER(SEARCH("-",AJ25)),IF(LEN(LEFT(AJ25,FIND("-",AJ25)-1))=4,DATE(VALUE(LEFT(AJ25,4)),VALUE(MID(AJ25,6,2)),VALUE(RIGHT(AJ25,2))),DATE(VALUE(RIGHT(AJ25,4)),VALUE(MID(AJ25,4,2)),VALUE(LEFT(AJ25,2)))),DATE(VALUE(RIGHT(AJ25,4)),MATCH(MID(AJ25,4,3),{"Jan","Feb","Mar","Apr","May","Jun","Jul","Aug","Sep","Oct","Nov","Dec"},0),VALUE(LEFT(AJ25,2))))))</f>
        <v>45898</v>
      </c>
      <c r="C25" s="3" t="n">
        <f aca="false">IF(AK25="","",IF(ISNUMBER(SEARCH("/",AK25)),DATE(VALUE(RIGHT(AK25,4)),VALUE(LEFT(AK25,2)),VALUE(MID(AK25,4,2))),IF(ISNUMBER(SEARCH("-",AK25)),IF(LEN(LEFT(AK25,FIND("-",AK25)-1))=4,DATE(VALUE(LEFT(AK25,4)),VALUE(MID(AK25,6,2)),VALUE(RIGHT(AK25,2))),DATE(VALUE(RIGHT(AK25,4)),VALUE(MID(AK25,4,2)),VALUE(LEFT(AK25,2)))),DATE(VALUE(RIGHT(AK25,4)),MATCH(MID(AK25,4,3),{"Jan","Feb","Mar","Apr","May","Jun","Jul","Aug","Sep","Oct","Nov","Dec"},0),VALUE(LEFT(AK25,2))))))</f>
        <v>45900</v>
      </c>
      <c r="D25" s="4" t="s">
        <v>209</v>
      </c>
      <c r="E25" s="0" t="str">
        <f aca="false">PROPER(TRIM(AL25))</f>
        <v>Rahul Verma</v>
      </c>
      <c r="F25" s="0" t="str">
        <f aca="false">PROPER(TRIM(AM25))</f>
        <v>Home Office</v>
      </c>
      <c r="G25" s="0" t="str">
        <f aca="false">IF(TRIM(AN25)="","Unknown",PROPER(TRIM(AN25)))</f>
        <v>East</v>
      </c>
      <c r="H25" s="0" t="str">
        <f aca="false">PROPER(TRIM(AO25))</f>
        <v>Bihar</v>
      </c>
      <c r="I25" s="0" t="str">
        <f aca="false">PROPER(TRIM(AP25))</f>
        <v>Patna</v>
      </c>
      <c r="J25" s="0" t="str">
        <f aca="false">PROPER(TRIM(AQ25))</f>
        <v>Furniture</v>
      </c>
      <c r="K25" s="0" t="str">
        <f aca="false">PROPER(TRIM(AR25))</f>
        <v>Bookcases</v>
      </c>
      <c r="M25" s="0" t="str">
        <f aca="false">IF(TRIM(AS25)="","Unknown",PROPER(TRIM(AS25)))</f>
        <v>First Class</v>
      </c>
      <c r="N25" s="0" t="n">
        <v>4</v>
      </c>
      <c r="O25" s="0" t="n">
        <v>1958.01</v>
      </c>
      <c r="P25" s="5" t="n">
        <f aca="false">IF(AT25="","",IF(ISNUMBER(AT25),AT25,VALUE(SUBSTITUTE(AT25,"%",""))/100))</f>
        <v>0.2</v>
      </c>
      <c r="Q25" s="5" t="n">
        <f aca="false">IF(P25="",IF(AND(N25&lt;&gt;"",O25&lt;&gt;"",R25&lt;&gt;"",S25&lt;&gt;""),0,"REVIEW"),IF(OR(P25&lt;0,P25&gt;0.3),0,P25))</f>
        <v>0.2</v>
      </c>
      <c r="R25" s="0" t="n">
        <v>6265.63</v>
      </c>
      <c r="S25" s="0" t="n">
        <v>4321.86</v>
      </c>
      <c r="T25" s="6" t="n">
        <f aca="false">N25*O25*(1-Q25)</f>
        <v>6265.632</v>
      </c>
      <c r="U25" s="6" t="n">
        <f aca="false">T25-S25</f>
        <v>1943.772</v>
      </c>
      <c r="V25" s="7" t="n">
        <f aca="false">IF(T25=0,0,U25/T25)</f>
        <v>0.310227603536244</v>
      </c>
      <c r="W25" s="4" t="n">
        <f aca="false">C25-B25</f>
        <v>2</v>
      </c>
      <c r="X25" s="0" t="str">
        <f aca="false">TEXT(B25,"mmmm")</f>
        <v>August</v>
      </c>
      <c r="Y25" s="4" t="n">
        <f aca="false">YEAR(B25)</f>
        <v>2025</v>
      </c>
      <c r="Z25" s="0" t="str">
        <f aca="false">PROPER(TRIM(AU25))</f>
        <v>Paid</v>
      </c>
      <c r="AA25" s="0" t="str">
        <f aca="false">PROPER(TRIM(AV25))</f>
        <v>Completed</v>
      </c>
      <c r="AB25" s="0" t="str">
        <f aca="false">IF(TRIM(AN25)="","Yes","No")</f>
        <v>No</v>
      </c>
      <c r="AC25" s="0" t="str">
        <f aca="false">IF(TRIM(AS25)="","Yes","No")</f>
        <v>No</v>
      </c>
      <c r="AD25" s="0" t="str">
        <f aca="false">IF(AT25="","Yes","No")</f>
        <v>No</v>
      </c>
      <c r="AE25" s="0" t="str">
        <f aca="false">IF(W25&lt;0,"Yes","No")</f>
        <v>No</v>
      </c>
      <c r="AF25" s="0" t="str">
        <f aca="false">IF(P25="","No",IF(OR(P25&lt;0,P25&gt;0.3),"Yes","No"))</f>
        <v>No</v>
      </c>
      <c r="AG25" s="4" t="s">
        <v>50</v>
      </c>
      <c r="AH25" s="0" t="str">
        <f aca="false">IF(AND(AA25="Completed",Z25="Paid"),"Yes","No")</f>
        <v>Yes</v>
      </c>
      <c r="AI25" s="0" t="str">
        <f aca="false">IF(OR(AE25="Yes",AF25="Yes",AG25="Yes"),"Invalid",IF(OR(AB25="Yes",AC25="Yes",AD25="Yes"),"Warning","Clean"))</f>
        <v>Clean</v>
      </c>
      <c r="AJ25" s="4" t="s">
        <v>94</v>
      </c>
      <c r="AK25" s="4" t="s">
        <v>210</v>
      </c>
      <c r="AL25" s="4" t="s">
        <v>163</v>
      </c>
      <c r="AM25" s="4" t="s">
        <v>134</v>
      </c>
      <c r="AN25" s="4" t="s">
        <v>69</v>
      </c>
      <c r="AO25" s="4" t="s">
        <v>196</v>
      </c>
      <c r="AP25" s="4" t="s">
        <v>197</v>
      </c>
      <c r="AQ25" s="4" t="s">
        <v>72</v>
      </c>
      <c r="AR25" s="4" t="s">
        <v>211</v>
      </c>
      <c r="AS25" s="4" t="s">
        <v>81</v>
      </c>
      <c r="AT25" s="0" t="n">
        <v>0.2</v>
      </c>
      <c r="AU25" s="4" t="s">
        <v>61</v>
      </c>
      <c r="AV25" s="4" t="s">
        <v>62</v>
      </c>
    </row>
    <row r="26" customFormat="false" ht="15" hidden="false" customHeight="false" outlineLevel="0" collapsed="false">
      <c r="A26" s="0" t="s">
        <v>212</v>
      </c>
      <c r="B26" s="3" t="n">
        <f aca="false">IF(AJ26="","",IF(ISNUMBER(SEARCH("/",AJ26)),DATE(VALUE(RIGHT(AJ26,4)),VALUE(LEFT(AJ26,2)),VALUE(MID(AJ26,4,2))),IF(ISNUMBER(SEARCH("-",AJ26)),IF(LEN(LEFT(AJ26,FIND("-",AJ26)-1))=4,DATE(VALUE(LEFT(AJ26,4)),VALUE(MID(AJ26,6,2)),VALUE(RIGHT(AJ26,2))),DATE(VALUE(RIGHT(AJ26,4)),VALUE(MID(AJ26,4,2)),VALUE(LEFT(AJ26,2)))),DATE(VALUE(RIGHT(AJ26,4)),MATCH(MID(AJ26,4,3),{"Jan","Feb","Mar","Apr","May","Jun","Jul","Aug","Sep","Oct","Nov","Dec"},0),VALUE(LEFT(AJ26,2))))))</f>
        <v>45355</v>
      </c>
      <c r="C26" s="3" t="n">
        <f aca="false">IF(AK26="","",IF(ISNUMBER(SEARCH("/",AK26)),DATE(VALUE(RIGHT(AK26,4)),VALUE(LEFT(AK26,2)),VALUE(MID(AK26,4,2))),IF(ISNUMBER(SEARCH("-",AK26)),IF(LEN(LEFT(AK26,FIND("-",AK26)-1))=4,DATE(VALUE(LEFT(AK26,4)),VALUE(MID(AK26,6,2)),VALUE(RIGHT(AK26,2))),DATE(VALUE(RIGHT(AK26,4)),VALUE(MID(AK26,4,2)),VALUE(LEFT(AK26,2)))),DATE(VALUE(RIGHT(AK26,4)),MATCH(MID(AK26,4,3),{"Jan","Feb","Mar","Apr","May","Jun","Jul","Aug","Sep","Oct","Nov","Dec"},0),VALUE(LEFT(AK26,2))))))</f>
        <v>45352</v>
      </c>
      <c r="D26" s="4" t="s">
        <v>213</v>
      </c>
      <c r="E26" s="0" t="str">
        <f aca="false">PROPER(TRIM(AL26))</f>
        <v>Diya Patel</v>
      </c>
      <c r="F26" s="0" t="str">
        <f aca="false">PROPER(TRIM(AM26))</f>
        <v>Consumer</v>
      </c>
      <c r="G26" s="0" t="str">
        <f aca="false">IF(TRIM(AN26)="","Unknown",PROPER(TRIM(AN26)))</f>
        <v>North</v>
      </c>
      <c r="H26" s="0" t="str">
        <f aca="false">PROPER(TRIM(AO26))</f>
        <v>Punjab</v>
      </c>
      <c r="I26" s="0" t="str">
        <f aca="false">PROPER(TRIM(AP26))</f>
        <v>Ludhiana</v>
      </c>
      <c r="J26" s="0" t="str">
        <f aca="false">PROPER(TRIM(AQ26))</f>
        <v>Office Supplies</v>
      </c>
      <c r="K26" s="0" t="str">
        <f aca="false">PROPER(TRIM(AR26))</f>
        <v>Art</v>
      </c>
      <c r="M26" s="0" t="str">
        <f aca="false">IF(TRIM(AS26)="","Unknown",PROPER(TRIM(AS26)))</f>
        <v>Standard Class</v>
      </c>
      <c r="N26" s="0" t="n">
        <v>4</v>
      </c>
      <c r="O26" s="0" t="n">
        <v>4492.94</v>
      </c>
      <c r="P26" s="5" t="n">
        <f aca="false">IF(AT26="","",IF(ISNUMBER(AT26),AT26,VALUE(SUBSTITUTE(AT26,"%",""))/100))</f>
        <v>0.25</v>
      </c>
      <c r="Q26" s="5" t="n">
        <f aca="false">IF(P26="",IF(AND(N26&lt;&gt;"",O26&lt;&gt;"",R26&lt;&gt;"",S26&lt;&gt;""),0,"REVIEW"),IF(OR(P26&lt;0,P26&gt;0.3),0,P26))</f>
        <v>0.25</v>
      </c>
      <c r="R26" s="0" t="n">
        <v>13478.82</v>
      </c>
      <c r="S26" s="0" t="n">
        <v>10937.35</v>
      </c>
      <c r="T26" s="6" t="n">
        <f aca="false">N26*O26*(1-Q26)</f>
        <v>13478.82</v>
      </c>
      <c r="U26" s="6" t="n">
        <f aca="false">T26-S26</f>
        <v>2541.47</v>
      </c>
      <c r="V26" s="7" t="n">
        <f aca="false">IF(T26=0,0,U26/T26)</f>
        <v>0.188552855517026</v>
      </c>
      <c r="W26" s="4" t="n">
        <f aca="false">C26-B26</f>
        <v>-3</v>
      </c>
      <c r="X26" s="0" t="str">
        <f aca="false">TEXT(B26,"mmmm")</f>
        <v>March</v>
      </c>
      <c r="Y26" s="4" t="n">
        <f aca="false">YEAR(B26)</f>
        <v>2024</v>
      </c>
      <c r="Z26" s="0" t="str">
        <f aca="false">PROPER(TRIM(AU26))</f>
        <v>Pending</v>
      </c>
      <c r="AA26" s="0" t="str">
        <f aca="false">PROPER(TRIM(AV26))</f>
        <v>Cancelled</v>
      </c>
      <c r="AB26" s="0" t="str">
        <f aca="false">IF(TRIM(AN26)="","Yes","No")</f>
        <v>No</v>
      </c>
      <c r="AC26" s="0" t="str">
        <f aca="false">IF(TRIM(AS26)="","Yes","No")</f>
        <v>No</v>
      </c>
      <c r="AD26" s="0" t="str">
        <f aca="false">IF(AT26="","Yes","No")</f>
        <v>No</v>
      </c>
      <c r="AE26" s="0" t="str">
        <f aca="false">IF(W26&lt;0,"Yes","No")</f>
        <v>Yes</v>
      </c>
      <c r="AF26" s="0" t="str">
        <f aca="false">IF(P26="","No",IF(OR(P26&lt;0,P26&gt;0.3),"Yes","No"))</f>
        <v>No</v>
      </c>
      <c r="AG26" s="4" t="s">
        <v>50</v>
      </c>
      <c r="AH26" s="0" t="str">
        <f aca="false">IF(AND(AA26="Completed",Z26="Paid"),"Yes","No")</f>
        <v>No</v>
      </c>
      <c r="AI26" s="0" t="str">
        <f aca="false">IF(OR(AE26="Yes",AF26="Yes",AG26="Yes"),"Invalid",IF(OR(AB26="Yes",AC26="Yes",AD26="Yes"),"Warning","Clean"))</f>
        <v>Invalid</v>
      </c>
      <c r="AJ26" s="4" t="s">
        <v>214</v>
      </c>
      <c r="AK26" s="4" t="s">
        <v>215</v>
      </c>
      <c r="AL26" s="4" t="s">
        <v>216</v>
      </c>
      <c r="AM26" s="4" t="s">
        <v>54</v>
      </c>
      <c r="AN26" s="4" t="s">
        <v>168</v>
      </c>
      <c r="AO26" s="4" t="s">
        <v>169</v>
      </c>
      <c r="AP26" s="4" t="s">
        <v>170</v>
      </c>
      <c r="AQ26" s="4" t="s">
        <v>58</v>
      </c>
      <c r="AR26" s="4" t="s">
        <v>80</v>
      </c>
      <c r="AS26" s="4" t="s">
        <v>91</v>
      </c>
      <c r="AT26" s="0" t="n">
        <v>0.25</v>
      </c>
      <c r="AU26" s="4" t="s">
        <v>153</v>
      </c>
      <c r="AV26" s="4" t="s">
        <v>101</v>
      </c>
    </row>
    <row r="27" customFormat="false" ht="15" hidden="false" customHeight="false" outlineLevel="0" collapsed="false">
      <c r="A27" s="0" t="s">
        <v>217</v>
      </c>
      <c r="B27" s="3" t="n">
        <f aca="false">IF(AJ27="","",IF(ISNUMBER(SEARCH("/",AJ27)),DATE(VALUE(RIGHT(AJ27,4)),VALUE(LEFT(AJ27,2)),VALUE(MID(AJ27,4,2))),IF(ISNUMBER(SEARCH("-",AJ27)),IF(LEN(LEFT(AJ27,FIND("-",AJ27)-1))=4,DATE(VALUE(LEFT(AJ27,4)),VALUE(MID(AJ27,6,2)),VALUE(RIGHT(AJ27,2))),DATE(VALUE(RIGHT(AJ27,4)),VALUE(MID(AJ27,4,2)),VALUE(LEFT(AJ27,2)))),DATE(VALUE(RIGHT(AJ27,4)),MATCH(MID(AJ27,4,3),{"Jan","Feb","Mar","Apr","May","Jun","Jul","Aug","Sep","Oct","Nov","Dec"},0),VALUE(LEFT(AJ27,2))))))</f>
        <v>45576</v>
      </c>
      <c r="C27" s="3" t="n">
        <f aca="false">IF(AK27="","",IF(ISNUMBER(SEARCH("/",AK27)),DATE(VALUE(RIGHT(AK27,4)),VALUE(LEFT(AK27,2)),VALUE(MID(AK27,4,2))),IF(ISNUMBER(SEARCH("-",AK27)),IF(LEN(LEFT(AK27,FIND("-",AK27)-1))=4,DATE(VALUE(LEFT(AK27,4)),VALUE(MID(AK27,6,2)),VALUE(RIGHT(AK27,2))),DATE(VALUE(RIGHT(AK27,4)),VALUE(MID(AK27,4,2)),VALUE(LEFT(AK27,2)))),DATE(VALUE(RIGHT(AK27,4)),MATCH(MID(AK27,4,3),{"Jan","Feb","Mar","Apr","May","Jun","Jul","Aug","Sep","Oct","Nov","Dec"},0),VALUE(LEFT(AK27,2))))))</f>
        <v>45584</v>
      </c>
      <c r="D27" s="4" t="s">
        <v>218</v>
      </c>
      <c r="E27" s="0" t="str">
        <f aca="false">PROPER(TRIM(AL27))</f>
        <v>Arjun Bose</v>
      </c>
      <c r="F27" s="0" t="str">
        <f aca="false">PROPER(TRIM(AM27))</f>
        <v>Corporate</v>
      </c>
      <c r="G27" s="0" t="str">
        <f aca="false">IF(TRIM(AN27)="","Unknown",PROPER(TRIM(AN27)))</f>
        <v>East</v>
      </c>
      <c r="H27" s="0" t="str">
        <f aca="false">PROPER(TRIM(AO27))</f>
        <v>Assam</v>
      </c>
      <c r="I27" s="0" t="str">
        <f aca="false">PROPER(TRIM(AP27))</f>
        <v>Guwahati</v>
      </c>
      <c r="J27" s="0" t="str">
        <f aca="false">PROPER(TRIM(AQ27))</f>
        <v>Technology</v>
      </c>
      <c r="K27" s="0" t="str">
        <f aca="false">PROPER(TRIM(AR27))</f>
        <v>Accessories</v>
      </c>
      <c r="M27" s="0" t="str">
        <f aca="false">IF(TRIM(AS27)="","Unknown",PROPER(TRIM(AS27)))</f>
        <v>First Class</v>
      </c>
      <c r="N27" s="0" t="n">
        <v>2</v>
      </c>
      <c r="O27" s="0" t="n">
        <v>4315.2</v>
      </c>
      <c r="P27" s="5" t="n">
        <f aca="false">IF(AT27="","",IF(ISNUMBER(AT27),AT27,VALUE(SUBSTITUTE(AT27,"%",""))/100))</f>
        <v>0.15</v>
      </c>
      <c r="Q27" s="5" t="n">
        <f aca="false">IF(P27="",IF(AND(N27&lt;&gt;"",O27&lt;&gt;"",R27&lt;&gt;"",S27&lt;&gt;""),0,"REVIEW"),IF(OR(P27&lt;0,P27&gt;0.3),0,P27))</f>
        <v>0.15</v>
      </c>
      <c r="R27" s="0" t="n">
        <v>7335.84</v>
      </c>
      <c r="S27" s="0" t="n">
        <v>4968.41</v>
      </c>
      <c r="T27" s="6" t="n">
        <f aca="false">N27*O27*(1-Q27)</f>
        <v>7335.84</v>
      </c>
      <c r="U27" s="6" t="n">
        <f aca="false">T27-S27</f>
        <v>2367.43</v>
      </c>
      <c r="V27" s="7" t="n">
        <f aca="false">IF(T27=0,0,U27/T27)</f>
        <v>0.322721051713233</v>
      </c>
      <c r="W27" s="4" t="n">
        <f aca="false">C27-B27</f>
        <v>8</v>
      </c>
      <c r="X27" s="0" t="str">
        <f aca="false">TEXT(B27,"mmmm")</f>
        <v>October</v>
      </c>
      <c r="Y27" s="4" t="n">
        <f aca="false">YEAR(B27)</f>
        <v>2024</v>
      </c>
      <c r="Z27" s="0" t="str">
        <f aca="false">PROPER(TRIM(AU27))</f>
        <v>Paid</v>
      </c>
      <c r="AA27" s="0" t="str">
        <f aca="false">PROPER(TRIM(AV27))</f>
        <v>Completed</v>
      </c>
      <c r="AB27" s="0" t="str">
        <f aca="false">IF(TRIM(AN27)="","Yes","No")</f>
        <v>No</v>
      </c>
      <c r="AC27" s="0" t="str">
        <f aca="false">IF(TRIM(AS27)="","Yes","No")</f>
        <v>No</v>
      </c>
      <c r="AD27" s="0" t="str">
        <f aca="false">IF(AT27="","Yes","No")</f>
        <v>No</v>
      </c>
      <c r="AE27" s="0" t="str">
        <f aca="false">IF(W27&lt;0,"Yes","No")</f>
        <v>No</v>
      </c>
      <c r="AF27" s="0" t="str">
        <f aca="false">IF(P27="","No",IF(OR(P27&lt;0,P27&gt;0.3),"Yes","No"))</f>
        <v>No</v>
      </c>
      <c r="AG27" s="4" t="s">
        <v>50</v>
      </c>
      <c r="AH27" s="0" t="str">
        <f aca="false">IF(AND(AA27="Completed",Z27="Paid"),"Yes","No")</f>
        <v>Yes</v>
      </c>
      <c r="AI27" s="0" t="str">
        <f aca="false">IF(OR(AE27="Yes",AF27="Yes",AG27="Yes"),"Invalid",IF(OR(AB27="Yes",AC27="Yes",AD27="Yes"),"Warning","Clean"))</f>
        <v>Clean</v>
      </c>
      <c r="AJ27" s="4" t="s">
        <v>219</v>
      </c>
      <c r="AK27" s="4" t="s">
        <v>220</v>
      </c>
      <c r="AL27" s="4" t="s">
        <v>86</v>
      </c>
      <c r="AM27" s="4" t="s">
        <v>128</v>
      </c>
      <c r="AN27" s="4" t="s">
        <v>69</v>
      </c>
      <c r="AO27" s="4" t="s">
        <v>221</v>
      </c>
      <c r="AP27" s="4" t="s">
        <v>222</v>
      </c>
      <c r="AQ27" s="4" t="s">
        <v>109</v>
      </c>
      <c r="AR27" s="4" t="s">
        <v>110</v>
      </c>
      <c r="AS27" s="4" t="s">
        <v>81</v>
      </c>
      <c r="AT27" s="0" t="n">
        <v>0.15</v>
      </c>
      <c r="AU27" s="4" t="s">
        <v>61</v>
      </c>
      <c r="AV27" s="4" t="s">
        <v>62</v>
      </c>
    </row>
    <row r="28" customFormat="false" ht="15" hidden="false" customHeight="false" outlineLevel="0" collapsed="false">
      <c r="A28" s="0" t="s">
        <v>223</v>
      </c>
      <c r="B28" s="3" t="n">
        <f aca="false">IF(AJ28="","",IF(ISNUMBER(SEARCH("/",AJ28)),DATE(VALUE(RIGHT(AJ28,4)),VALUE(LEFT(AJ28,2)),VALUE(MID(AJ28,4,2))),IF(ISNUMBER(SEARCH("-",AJ28)),IF(LEN(LEFT(AJ28,FIND("-",AJ28)-1))=4,DATE(VALUE(LEFT(AJ28,4)),VALUE(MID(AJ28,6,2)),VALUE(RIGHT(AJ28,2))),DATE(VALUE(RIGHT(AJ28,4)),VALUE(MID(AJ28,4,2)),VALUE(LEFT(AJ28,2)))),DATE(VALUE(RIGHT(AJ28,4)),MATCH(MID(AJ28,4,3),{"Jan","Feb","Mar","Apr","May","Jun","Jul","Aug","Sep","Oct","Nov","Dec"},0),VALUE(LEFT(AJ28,2))))))</f>
        <v>45619</v>
      </c>
      <c r="C28" s="3" t="n">
        <f aca="false">IF(AK28="","",IF(ISNUMBER(SEARCH("/",AK28)),DATE(VALUE(RIGHT(AK28,4)),VALUE(LEFT(AK28,2)),VALUE(MID(AK28,4,2))),IF(ISNUMBER(SEARCH("-",AK28)),IF(LEN(LEFT(AK28,FIND("-",AK28)-1))=4,DATE(VALUE(LEFT(AK28,4)),VALUE(MID(AK28,6,2)),VALUE(RIGHT(AK28,2))),DATE(VALUE(RIGHT(AK28,4)),VALUE(MID(AK28,4,2)),VALUE(LEFT(AK28,2)))),DATE(VALUE(RIGHT(AK28,4)),MATCH(MID(AK28,4,3),{"Jan","Feb","Mar","Apr","May","Jun","Jul","Aug","Sep","Oct","Nov","Dec"},0),VALUE(LEFT(AK28,2))))))</f>
        <v>45619</v>
      </c>
      <c r="D28" s="4" t="s">
        <v>224</v>
      </c>
      <c r="E28" s="0" t="str">
        <f aca="false">PROPER(TRIM(AL28))</f>
        <v>Diya Patel</v>
      </c>
      <c r="F28" s="0" t="str">
        <f aca="false">PROPER(TRIM(AM28))</f>
        <v>Corporate</v>
      </c>
      <c r="G28" s="0" t="str">
        <f aca="false">IF(TRIM(AN28)="","Unknown",PROPER(TRIM(AN28)))</f>
        <v>North</v>
      </c>
      <c r="H28" s="0" t="str">
        <f aca="false">PROPER(TRIM(AO28))</f>
        <v>Uttar Pradesh</v>
      </c>
      <c r="I28" s="0" t="str">
        <f aca="false">PROPER(TRIM(AP28))</f>
        <v>Noida</v>
      </c>
      <c r="J28" s="0" t="str">
        <f aca="false">PROPER(TRIM(AQ28))</f>
        <v>Technology</v>
      </c>
      <c r="K28" s="0" t="str">
        <f aca="false">PROPER(TRIM(AR28))</f>
        <v>Phones</v>
      </c>
      <c r="M28" s="0" t="str">
        <f aca="false">IF(TRIM(AS28)="","Unknown",PROPER(TRIM(AS28)))</f>
        <v>Standard Class</v>
      </c>
      <c r="N28" s="0" t="n">
        <v>4</v>
      </c>
      <c r="O28" s="0" t="n">
        <v>716.13</v>
      </c>
      <c r="P28" s="5" t="n">
        <f aca="false">IF(AT28="","",IF(ISNUMBER(AT28),AT28,VALUE(SUBSTITUTE(AT28,"%",""))/100))</f>
        <v>0.1</v>
      </c>
      <c r="Q28" s="5" t="n">
        <f aca="false">IF(P28="",IF(AND(N28&lt;&gt;"",O28&lt;&gt;"",R28&lt;&gt;"",S28&lt;&gt;""),0,"REVIEW"),IF(OR(P28&lt;0,P28&gt;0.3),0,P28))</f>
        <v>0.1</v>
      </c>
      <c r="R28" s="0" t="n">
        <v>2578.07</v>
      </c>
      <c r="S28" s="0" t="n">
        <v>1527.55</v>
      </c>
      <c r="T28" s="6" t="n">
        <f aca="false">N28*O28*(1-Q28)</f>
        <v>2578.068</v>
      </c>
      <c r="U28" s="6" t="n">
        <f aca="false">T28-S28</f>
        <v>1050.518</v>
      </c>
      <c r="V28" s="7" t="n">
        <f aca="false">IF(T28=0,0,U28/T28)</f>
        <v>0.407482657555968</v>
      </c>
      <c r="W28" s="4" t="n">
        <f aca="false">C28-B28</f>
        <v>0</v>
      </c>
      <c r="X28" s="0" t="str">
        <f aca="false">TEXT(B28,"mmmm")</f>
        <v>November</v>
      </c>
      <c r="Y28" s="4" t="n">
        <f aca="false">YEAR(B28)</f>
        <v>2024</v>
      </c>
      <c r="Z28" s="0" t="str">
        <f aca="false">PROPER(TRIM(AU28))</f>
        <v>Paid</v>
      </c>
      <c r="AA28" s="0" t="str">
        <f aca="false">PROPER(TRIM(AV28))</f>
        <v>Returned</v>
      </c>
      <c r="AB28" s="0" t="str">
        <f aca="false">IF(TRIM(AN28)="","Yes","No")</f>
        <v>No</v>
      </c>
      <c r="AC28" s="0" t="str">
        <f aca="false">IF(TRIM(AS28)="","Yes","No")</f>
        <v>No</v>
      </c>
      <c r="AD28" s="0" t="str">
        <f aca="false">IF(AT28="","Yes","No")</f>
        <v>No</v>
      </c>
      <c r="AE28" s="0" t="str">
        <f aca="false">IF(W28&lt;0,"Yes","No")</f>
        <v>No</v>
      </c>
      <c r="AF28" s="0" t="str">
        <f aca="false">IF(P28="","No",IF(OR(P28&lt;0,P28&gt;0.3),"Yes","No"))</f>
        <v>No</v>
      </c>
      <c r="AG28" s="4" t="s">
        <v>50</v>
      </c>
      <c r="AH28" s="0" t="str">
        <f aca="false">IF(AND(AA28="Completed",Z28="Paid"),"Yes","No")</f>
        <v>No</v>
      </c>
      <c r="AI28" s="0" t="str">
        <f aca="false">IF(OR(AE28="Yes",AF28="Yes",AG28="Yes"),"Invalid",IF(OR(AB28="Yes",AC28="Yes",AD28="Yes"),"Warning","Clean"))</f>
        <v>Clean</v>
      </c>
      <c r="AJ28" s="4" t="s">
        <v>225</v>
      </c>
      <c r="AK28" s="4" t="s">
        <v>226</v>
      </c>
      <c r="AL28" s="4" t="s">
        <v>216</v>
      </c>
      <c r="AM28" s="4" t="s">
        <v>128</v>
      </c>
      <c r="AN28" s="4" t="s">
        <v>168</v>
      </c>
      <c r="AO28" s="4" t="s">
        <v>186</v>
      </c>
      <c r="AP28" s="4" t="s">
        <v>187</v>
      </c>
      <c r="AQ28" s="4" t="s">
        <v>109</v>
      </c>
      <c r="AR28" s="4" t="s">
        <v>227</v>
      </c>
      <c r="AS28" s="4" t="s">
        <v>91</v>
      </c>
      <c r="AT28" s="0" t="n">
        <v>0.1</v>
      </c>
      <c r="AU28" s="4" t="s">
        <v>228</v>
      </c>
      <c r="AV28" s="4" t="s">
        <v>142</v>
      </c>
    </row>
    <row r="29" customFormat="false" ht="15" hidden="false" customHeight="false" outlineLevel="0" collapsed="false">
      <c r="A29" s="0" t="s">
        <v>229</v>
      </c>
      <c r="B29" s="3" t="n">
        <f aca="false">IF(AJ29="","",IF(ISNUMBER(SEARCH("/",AJ29)),DATE(VALUE(RIGHT(AJ29,4)),VALUE(LEFT(AJ29,2)),VALUE(MID(AJ29,4,2))),IF(ISNUMBER(SEARCH("-",AJ29)),IF(LEN(LEFT(AJ29,FIND("-",AJ29)-1))=4,DATE(VALUE(LEFT(AJ29,4)),VALUE(MID(AJ29,6,2)),VALUE(RIGHT(AJ29,2))),DATE(VALUE(RIGHT(AJ29,4)),VALUE(MID(AJ29,4,2)),VALUE(LEFT(AJ29,2)))),DATE(VALUE(RIGHT(AJ29,4)),MATCH(MID(AJ29,4,3),{"Jan","Feb","Mar","Apr","May","Jun","Jul","Aug","Sep","Oct","Nov","Dec"},0),VALUE(LEFT(AJ29,2))))))</f>
        <v>45929</v>
      </c>
      <c r="C29" s="3" t="n">
        <f aca="false">IF(AK29="","",IF(ISNUMBER(SEARCH("/",AK29)),DATE(VALUE(RIGHT(AK29,4)),VALUE(LEFT(AK29,2)),VALUE(MID(AK29,4,2))),IF(ISNUMBER(SEARCH("-",AK29)),IF(LEN(LEFT(AK29,FIND("-",AK29)-1))=4,DATE(VALUE(LEFT(AK29,4)),VALUE(MID(AK29,6,2)),VALUE(RIGHT(AK29,2))),DATE(VALUE(RIGHT(AK29,4)),VALUE(MID(AK29,4,2)),VALUE(LEFT(AK29,2)))),DATE(VALUE(RIGHT(AK29,4)),MATCH(MID(AK29,4,3),{"Jan","Feb","Mar","Apr","May","Jun","Jul","Aug","Sep","Oct","Nov","Dec"},0),VALUE(LEFT(AK29,2))))))</f>
        <v>45935</v>
      </c>
      <c r="D29" s="4" t="s">
        <v>230</v>
      </c>
      <c r="E29" s="0" t="str">
        <f aca="false">PROPER(TRIM(AL29))</f>
        <v>Arjun Bose</v>
      </c>
      <c r="F29" s="0" t="str">
        <f aca="false">PROPER(TRIM(AM29))</f>
        <v>Small Business</v>
      </c>
      <c r="G29" s="0" t="str">
        <f aca="false">IF(TRIM(AN29)="","Unknown",PROPER(TRIM(AN29)))</f>
        <v>South</v>
      </c>
      <c r="H29" s="0" t="str">
        <f aca="false">PROPER(TRIM(AO29))</f>
        <v>Karnataka</v>
      </c>
      <c r="I29" s="0" t="str">
        <f aca="false">PROPER(TRIM(AP29))</f>
        <v>Bengaluru</v>
      </c>
      <c r="J29" s="0" t="str">
        <f aca="false">PROPER(TRIM(AQ29))</f>
        <v>Office Supplies</v>
      </c>
      <c r="K29" s="0" t="str">
        <f aca="false">PROPER(TRIM(AR29))</f>
        <v>Paper</v>
      </c>
      <c r="M29" s="0" t="str">
        <f aca="false">IF(TRIM(AS29)="","Unknown",PROPER(TRIM(AS29)))</f>
        <v>Second Class</v>
      </c>
      <c r="N29" s="0" t="n">
        <v>5</v>
      </c>
      <c r="O29" s="0" t="n">
        <v>1806.51</v>
      </c>
      <c r="P29" s="5" t="n">
        <f aca="false">IF(AT29="","",IF(ISNUMBER(AT29),AT29,VALUE(SUBSTITUTE(AT29,"%",""))/100))</f>
        <v>0.25</v>
      </c>
      <c r="Q29" s="5" t="n">
        <f aca="false">IF(P29="",IF(AND(N29&lt;&gt;"",O29&lt;&gt;"",R29&lt;&gt;"",S29&lt;&gt;""),0,"REVIEW"),IF(OR(P29&lt;0,P29&gt;0.3),0,P29))</f>
        <v>0.25</v>
      </c>
      <c r="R29" s="0" t="n">
        <v>6774.41</v>
      </c>
      <c r="S29" s="0" t="n">
        <v>4710.36</v>
      </c>
      <c r="T29" s="6" t="n">
        <f aca="false">N29*O29*(1-Q29)</f>
        <v>6774.4125</v>
      </c>
      <c r="U29" s="6" t="n">
        <f aca="false">T29-S29</f>
        <v>2064.0525</v>
      </c>
      <c r="V29" s="7" t="n">
        <f aca="false">IF(T29=0,0,U29/T29)</f>
        <v>0.304683616475968</v>
      </c>
      <c r="W29" s="4" t="n">
        <f aca="false">C29-B29</f>
        <v>6</v>
      </c>
      <c r="X29" s="0" t="str">
        <f aca="false">TEXT(B29,"mmmm")</f>
        <v>September</v>
      </c>
      <c r="Y29" s="4" t="n">
        <f aca="false">YEAR(B29)</f>
        <v>2025</v>
      </c>
      <c r="Z29" s="0" t="str">
        <f aca="false">PROPER(TRIM(AU29))</f>
        <v>Failed</v>
      </c>
      <c r="AA29" s="0" t="str">
        <f aca="false">PROPER(TRIM(AV29))</f>
        <v>Returned</v>
      </c>
      <c r="AB29" s="0" t="str">
        <f aca="false">IF(TRIM(AN29)="","Yes","No")</f>
        <v>No</v>
      </c>
      <c r="AC29" s="0" t="str">
        <f aca="false">IF(TRIM(AS29)="","Yes","No")</f>
        <v>No</v>
      </c>
      <c r="AD29" s="0" t="str">
        <f aca="false">IF(AT29="","Yes","No")</f>
        <v>No</v>
      </c>
      <c r="AE29" s="0" t="str">
        <f aca="false">IF(W29&lt;0,"Yes","No")</f>
        <v>No</v>
      </c>
      <c r="AF29" s="0" t="str">
        <f aca="false">IF(P29="","No",IF(OR(P29&lt;0,P29&gt;0.3),"Yes","No"))</f>
        <v>No</v>
      </c>
      <c r="AG29" s="4" t="s">
        <v>50</v>
      </c>
      <c r="AH29" s="0" t="str">
        <f aca="false">IF(AND(AA29="Completed",Z29="Paid"),"Yes","No")</f>
        <v>No</v>
      </c>
      <c r="AI29" s="0" t="str">
        <f aca="false">IF(OR(AE29="Yes",AF29="Yes",AG29="Yes"),"Invalid",IF(OR(AB29="Yes",AC29="Yes",AD29="Yes"),"Warning","Clean"))</f>
        <v>Clean</v>
      </c>
      <c r="AJ29" s="4" t="s">
        <v>231</v>
      </c>
      <c r="AK29" s="4" t="s">
        <v>232</v>
      </c>
      <c r="AL29" s="4" t="s">
        <v>86</v>
      </c>
      <c r="AM29" s="4" t="s">
        <v>68</v>
      </c>
      <c r="AN29" s="4" t="s">
        <v>87</v>
      </c>
      <c r="AO29" s="4" t="s">
        <v>233</v>
      </c>
      <c r="AP29" s="4" t="s">
        <v>234</v>
      </c>
      <c r="AQ29" s="4" t="s">
        <v>58</v>
      </c>
      <c r="AR29" s="4" t="s">
        <v>59</v>
      </c>
      <c r="AS29" s="4" t="s">
        <v>60</v>
      </c>
      <c r="AT29" s="0" t="n">
        <v>0.25</v>
      </c>
      <c r="AU29" s="4" t="s">
        <v>207</v>
      </c>
      <c r="AV29" s="4" t="s">
        <v>142</v>
      </c>
    </row>
    <row r="30" customFormat="false" ht="15" hidden="false" customHeight="false" outlineLevel="0" collapsed="false">
      <c r="A30" s="0" t="s">
        <v>235</v>
      </c>
      <c r="B30" s="3" t="n">
        <f aca="false">IF(AJ30="","",IF(ISNUMBER(SEARCH("/",AJ30)),DATE(VALUE(RIGHT(AJ30,4)),VALUE(LEFT(AJ30,2)),VALUE(MID(AJ30,4,2))),IF(ISNUMBER(SEARCH("-",AJ30)),IF(LEN(LEFT(AJ30,FIND("-",AJ30)-1))=4,DATE(VALUE(LEFT(AJ30,4)),VALUE(MID(AJ30,6,2)),VALUE(RIGHT(AJ30,2))),DATE(VALUE(RIGHT(AJ30,4)),VALUE(MID(AJ30,4,2)),VALUE(LEFT(AJ30,2)))),DATE(VALUE(RIGHT(AJ30,4)),MATCH(MID(AJ30,4,3),{"Jan","Feb","Mar","Apr","May","Jun","Jul","Aug","Sep","Oct","Nov","Dec"},0),VALUE(LEFT(AJ30,2))))))</f>
        <v>45576</v>
      </c>
      <c r="C30" s="3" t="n">
        <f aca="false">IF(AK30="","",IF(ISNUMBER(SEARCH("/",AK30)),DATE(VALUE(RIGHT(AK30,4)),VALUE(LEFT(AK30,2)),VALUE(MID(AK30,4,2))),IF(ISNUMBER(SEARCH("-",AK30)),IF(LEN(LEFT(AK30,FIND("-",AK30)-1))=4,DATE(VALUE(LEFT(AK30,4)),VALUE(MID(AK30,6,2)),VALUE(RIGHT(AK30,2))),DATE(VALUE(RIGHT(AK30,4)),VALUE(MID(AK30,4,2)),VALUE(LEFT(AK30,2)))),DATE(VALUE(RIGHT(AK30,4)),MATCH(MID(AK30,4,3),{"Jan","Feb","Mar","Apr","May","Jun","Jul","Aug","Sep","Oct","Nov","Dec"},0),VALUE(LEFT(AK30,2))))))</f>
        <v>45583</v>
      </c>
      <c r="D30" s="4" t="s">
        <v>236</v>
      </c>
      <c r="E30" s="0" t="str">
        <f aca="false">PROPER(TRIM(AL30))</f>
        <v>Ananya Rao</v>
      </c>
      <c r="F30" s="0" t="str">
        <f aca="false">PROPER(TRIM(AM30))</f>
        <v>Home Office</v>
      </c>
      <c r="G30" s="0" t="str">
        <f aca="false">IF(TRIM(AN30)="","Unknown",PROPER(TRIM(AN30)))</f>
        <v>West</v>
      </c>
      <c r="H30" s="0" t="str">
        <f aca="false">PROPER(TRIM(AO30))</f>
        <v>Gujarat</v>
      </c>
      <c r="I30" s="0" t="str">
        <f aca="false">PROPER(TRIM(AP30))</f>
        <v>Ahmedabad</v>
      </c>
      <c r="J30" s="0" t="str">
        <f aca="false">PROPER(TRIM(AQ30))</f>
        <v>Technology</v>
      </c>
      <c r="K30" s="0" t="str">
        <f aca="false">PROPER(TRIM(AR30))</f>
        <v>Phones</v>
      </c>
      <c r="M30" s="0" t="str">
        <f aca="false">IF(TRIM(AS30)="","Unknown",PROPER(TRIM(AS30)))</f>
        <v>Second Class</v>
      </c>
      <c r="N30" s="0" t="n">
        <v>2</v>
      </c>
      <c r="O30" s="0" t="n">
        <v>1942.22</v>
      </c>
      <c r="P30" s="5" t="n">
        <f aca="false">IF(AT30="","",IF(ISNUMBER(AT30),AT30,VALUE(SUBSTITUTE(AT30,"%",""))/100))</f>
        <v>0.25</v>
      </c>
      <c r="Q30" s="5" t="n">
        <f aca="false">IF(P30="",IF(AND(N30&lt;&gt;"",O30&lt;&gt;"",R30&lt;&gt;"",S30&lt;&gt;""),0,"REVIEW"),IF(OR(P30&lt;0,P30&gt;0.3),0,P30))</f>
        <v>0.25</v>
      </c>
      <c r="R30" s="0" t="n">
        <v>2913.33</v>
      </c>
      <c r="S30" s="0" t="n">
        <v>2122.33</v>
      </c>
      <c r="T30" s="6" t="n">
        <f aca="false">N30*O30*(1-Q30)</f>
        <v>2913.33</v>
      </c>
      <c r="U30" s="6" t="n">
        <f aca="false">T30-S30</f>
        <v>791</v>
      </c>
      <c r="V30" s="7" t="n">
        <f aca="false">IF(T30=0,0,U30/T30)</f>
        <v>0.271510608135707</v>
      </c>
      <c r="W30" s="4" t="n">
        <f aca="false">C30-B30</f>
        <v>7</v>
      </c>
      <c r="X30" s="0" t="str">
        <f aca="false">TEXT(B30,"mmmm")</f>
        <v>October</v>
      </c>
      <c r="Y30" s="4" t="n">
        <f aca="false">YEAR(B30)</f>
        <v>2024</v>
      </c>
      <c r="Z30" s="0" t="str">
        <f aca="false">PROPER(TRIM(AU30))</f>
        <v>Refunded</v>
      </c>
      <c r="AA30" s="0" t="str">
        <f aca="false">PROPER(TRIM(AV30))</f>
        <v>Cancelled</v>
      </c>
      <c r="AB30" s="0" t="str">
        <f aca="false">IF(TRIM(AN30)="","Yes","No")</f>
        <v>No</v>
      </c>
      <c r="AC30" s="0" t="str">
        <f aca="false">IF(TRIM(AS30)="","Yes","No")</f>
        <v>No</v>
      </c>
      <c r="AD30" s="0" t="str">
        <f aca="false">IF(AT30="","Yes","No")</f>
        <v>No</v>
      </c>
      <c r="AE30" s="0" t="str">
        <f aca="false">IF(W30&lt;0,"Yes","No")</f>
        <v>No</v>
      </c>
      <c r="AF30" s="0" t="str">
        <f aca="false">IF(P30="","No",IF(OR(P30&lt;0,P30&gt;0.3),"Yes","No"))</f>
        <v>No</v>
      </c>
      <c r="AG30" s="4" t="s">
        <v>50</v>
      </c>
      <c r="AH30" s="0" t="str">
        <f aca="false">IF(AND(AA30="Completed",Z30="Paid"),"Yes","No")</f>
        <v>No</v>
      </c>
      <c r="AI30" s="0" t="str">
        <f aca="false">IF(OR(AE30="Yes",AF30="Yes",AG30="Yes"),"Invalid",IF(OR(AB30="Yes",AC30="Yes",AD30="Yes"),"Warning","Clean"))</f>
        <v>Clean</v>
      </c>
      <c r="AJ30" s="4" t="s">
        <v>219</v>
      </c>
      <c r="AK30" s="4" t="s">
        <v>237</v>
      </c>
      <c r="AL30" s="4" t="s">
        <v>96</v>
      </c>
      <c r="AM30" s="4" t="s">
        <v>134</v>
      </c>
      <c r="AN30" s="4" t="s">
        <v>97</v>
      </c>
      <c r="AO30" s="4" t="s">
        <v>238</v>
      </c>
      <c r="AP30" s="4" t="s">
        <v>239</v>
      </c>
      <c r="AQ30" s="4" t="s">
        <v>109</v>
      </c>
      <c r="AR30" s="4" t="s">
        <v>227</v>
      </c>
      <c r="AS30" s="4" t="s">
        <v>60</v>
      </c>
      <c r="AT30" s="0" t="n">
        <v>0.25</v>
      </c>
      <c r="AU30" s="4" t="s">
        <v>141</v>
      </c>
      <c r="AV30" s="4" t="s">
        <v>101</v>
      </c>
    </row>
    <row r="31" customFormat="false" ht="15" hidden="false" customHeight="false" outlineLevel="0" collapsed="false">
      <c r="A31" s="0" t="s">
        <v>240</v>
      </c>
      <c r="B31" s="3" t="n">
        <f aca="false">IF(AJ31="","",IF(ISNUMBER(SEARCH("/",AJ31)),DATE(VALUE(RIGHT(AJ31,4)),VALUE(LEFT(AJ31,2)),VALUE(MID(AJ31,4,2))),IF(ISNUMBER(SEARCH("-",AJ31)),IF(LEN(LEFT(AJ31,FIND("-",AJ31)-1))=4,DATE(VALUE(LEFT(AJ31,4)),VALUE(MID(AJ31,6,2)),VALUE(RIGHT(AJ31,2))),DATE(VALUE(RIGHT(AJ31,4)),VALUE(MID(AJ31,4,2)),VALUE(LEFT(AJ31,2)))),DATE(VALUE(RIGHT(AJ31,4)),MATCH(MID(AJ31,4,3),{"Jan","Feb","Mar","Apr","May","Jun","Jul","Aug","Sep","Oct","Nov","Dec"},0),VALUE(LEFT(AJ31,2))))))</f>
        <v>45882</v>
      </c>
      <c r="C31" s="3" t="n">
        <f aca="false">IF(AK31="","",IF(ISNUMBER(SEARCH("/",AK31)),DATE(VALUE(RIGHT(AK31,4)),VALUE(LEFT(AK31,2)),VALUE(MID(AK31,4,2))),IF(ISNUMBER(SEARCH("-",AK31)),IF(LEN(LEFT(AK31,FIND("-",AK31)-1))=4,DATE(VALUE(LEFT(AK31,4)),VALUE(MID(AK31,6,2)),VALUE(RIGHT(AK31,2))),DATE(VALUE(RIGHT(AK31,4)),VALUE(MID(AK31,4,2)),VALUE(LEFT(AK31,2)))),DATE(VALUE(RIGHT(AK31,4)),MATCH(MID(AK31,4,3),{"Jan","Feb","Mar","Apr","May","Jun","Jul","Aug","Sep","Oct","Nov","Dec"},0),VALUE(LEFT(AK31,2))))))</f>
        <v>45882</v>
      </c>
      <c r="D31" s="4" t="s">
        <v>241</v>
      </c>
      <c r="E31" s="0" t="str">
        <f aca="false">PROPER(TRIM(AL31))</f>
        <v>Rohan Mehta</v>
      </c>
      <c r="F31" s="0" t="str">
        <f aca="false">PROPER(TRIM(AM31))</f>
        <v>Home Office</v>
      </c>
      <c r="G31" s="0" t="str">
        <f aca="false">IF(TRIM(AN31)="","Unknown",PROPER(TRIM(AN31)))</f>
        <v>South</v>
      </c>
      <c r="H31" s="0" t="str">
        <f aca="false">PROPER(TRIM(AO31))</f>
        <v>Kerala</v>
      </c>
      <c r="I31" s="0" t="str">
        <f aca="false">PROPER(TRIM(AP31))</f>
        <v>Kochi</v>
      </c>
      <c r="J31" s="0" t="str">
        <f aca="false">PROPER(TRIM(AQ31))</f>
        <v>Technology</v>
      </c>
      <c r="K31" s="0" t="str">
        <f aca="false">PROPER(TRIM(AR31))</f>
        <v>Phones</v>
      </c>
      <c r="M31" s="0" t="str">
        <f aca="false">IF(TRIM(AS31)="","Unknown",PROPER(TRIM(AS31)))</f>
        <v>Standard Class</v>
      </c>
      <c r="N31" s="0" t="n">
        <v>1</v>
      </c>
      <c r="O31" s="0" t="n">
        <v>256.01</v>
      </c>
      <c r="P31" s="5" t="n">
        <f aca="false">IF(AT31="","",IF(ISNUMBER(AT31),AT31,VALUE(SUBSTITUTE(AT31,"%",""))/100))</f>
        <v>0.15</v>
      </c>
      <c r="Q31" s="5" t="n">
        <f aca="false">IF(P31="",IF(AND(N31&lt;&gt;"",O31&lt;&gt;"",R31&lt;&gt;"",S31&lt;&gt;""),0,"REVIEW"),IF(OR(P31&lt;0,P31&gt;0.3),0,P31))</f>
        <v>0.15</v>
      </c>
      <c r="R31" s="0" t="n">
        <v>217.61</v>
      </c>
      <c r="S31" s="0" t="n">
        <v>119.77</v>
      </c>
      <c r="T31" s="6" t="n">
        <f aca="false">N31*O31*(1-Q31)</f>
        <v>217.6085</v>
      </c>
      <c r="U31" s="6" t="n">
        <f aca="false">T31-S31</f>
        <v>97.8385</v>
      </c>
      <c r="V31" s="7" t="n">
        <f aca="false">IF(T31=0,0,U31/T31)</f>
        <v>0.449607896750357</v>
      </c>
      <c r="W31" s="4" t="n">
        <f aca="false">C31-B31</f>
        <v>0</v>
      </c>
      <c r="X31" s="0" t="str">
        <f aca="false">TEXT(B31,"mmmm")</f>
        <v>August</v>
      </c>
      <c r="Y31" s="4" t="n">
        <f aca="false">YEAR(B31)</f>
        <v>2025</v>
      </c>
      <c r="Z31" s="0" t="str">
        <f aca="false">PROPER(TRIM(AU31))</f>
        <v>Paid</v>
      </c>
      <c r="AA31" s="0" t="str">
        <f aca="false">PROPER(TRIM(AV31))</f>
        <v>Completed</v>
      </c>
      <c r="AB31" s="0" t="str">
        <f aca="false">IF(TRIM(AN31)="","Yes","No")</f>
        <v>No</v>
      </c>
      <c r="AC31" s="0" t="str">
        <f aca="false">IF(TRIM(AS31)="","Yes","No")</f>
        <v>No</v>
      </c>
      <c r="AD31" s="0" t="str">
        <f aca="false">IF(AT31="","Yes","No")</f>
        <v>No</v>
      </c>
      <c r="AE31" s="0" t="str">
        <f aca="false">IF(W31&lt;0,"Yes","No")</f>
        <v>No</v>
      </c>
      <c r="AF31" s="0" t="str">
        <f aca="false">IF(P31="","No",IF(OR(P31&lt;0,P31&gt;0.3),"Yes","No"))</f>
        <v>No</v>
      </c>
      <c r="AG31" s="4" t="s">
        <v>50</v>
      </c>
      <c r="AH31" s="0" t="str">
        <f aca="false">IF(AND(AA31="Completed",Z31="Paid"),"Yes","No")</f>
        <v>Yes</v>
      </c>
      <c r="AI31" s="0" t="str">
        <f aca="false">IF(OR(AE31="Yes",AF31="Yes",AG31="Yes"),"Invalid",IF(OR(AB31="Yes",AC31="Yes",AD31="Yes"),"Warning","Clean"))</f>
        <v>Clean</v>
      </c>
      <c r="AJ31" s="4" t="s">
        <v>242</v>
      </c>
      <c r="AK31" s="4" t="s">
        <v>243</v>
      </c>
      <c r="AL31" s="4" t="s">
        <v>191</v>
      </c>
      <c r="AM31" s="4" t="s">
        <v>134</v>
      </c>
      <c r="AN31" s="4" t="s">
        <v>87</v>
      </c>
      <c r="AO31" s="4" t="s">
        <v>244</v>
      </c>
      <c r="AP31" s="4" t="s">
        <v>245</v>
      </c>
      <c r="AQ31" s="4" t="s">
        <v>109</v>
      </c>
      <c r="AR31" s="4" t="s">
        <v>227</v>
      </c>
      <c r="AS31" s="4" t="s">
        <v>91</v>
      </c>
      <c r="AT31" s="0" t="n">
        <v>0.15</v>
      </c>
      <c r="AU31" s="4" t="s">
        <v>61</v>
      </c>
      <c r="AV31" s="4" t="s">
        <v>62</v>
      </c>
    </row>
    <row r="32" customFormat="false" ht="15" hidden="false" customHeight="false" outlineLevel="0" collapsed="false">
      <c r="A32" s="0" t="s">
        <v>246</v>
      </c>
      <c r="B32" s="3" t="n">
        <f aca="false">IF(AJ32="","",IF(ISNUMBER(SEARCH("/",AJ32)),DATE(VALUE(RIGHT(AJ32,4)),VALUE(LEFT(AJ32,2)),VALUE(MID(AJ32,4,2))),IF(ISNUMBER(SEARCH("-",AJ32)),IF(LEN(LEFT(AJ32,FIND("-",AJ32)-1))=4,DATE(VALUE(LEFT(AJ32,4)),VALUE(MID(AJ32,6,2)),VALUE(RIGHT(AJ32,2))),DATE(VALUE(RIGHT(AJ32,4)),VALUE(MID(AJ32,4,2)),VALUE(LEFT(AJ32,2)))),DATE(VALUE(RIGHT(AJ32,4)),MATCH(MID(AJ32,4,3),{"Jan","Feb","Mar","Apr","May","Jun","Jul","Aug","Sep","Oct","Nov","Dec"},0),VALUE(LEFT(AJ32,2))))))</f>
        <v>45331</v>
      </c>
      <c r="C32" s="3" t="n">
        <f aca="false">IF(AK32="","",IF(ISNUMBER(SEARCH("/",AK32)),DATE(VALUE(RIGHT(AK32,4)),VALUE(LEFT(AK32,2)),VALUE(MID(AK32,4,2))),IF(ISNUMBER(SEARCH("-",AK32)),IF(LEN(LEFT(AK32,FIND("-",AK32)-1))=4,DATE(VALUE(LEFT(AK32,4)),VALUE(MID(AK32,6,2)),VALUE(RIGHT(AK32,2))),DATE(VALUE(RIGHT(AK32,4)),VALUE(MID(AK32,4,2)),VALUE(LEFT(AK32,2)))),DATE(VALUE(RIGHT(AK32,4)),MATCH(MID(AK32,4,3),{"Jan","Feb","Mar","Apr","May","Jun","Jul","Aug","Sep","Oct","Nov","Dec"},0),VALUE(LEFT(AK32,2))))))</f>
        <v>45334</v>
      </c>
      <c r="D32" s="4" t="s">
        <v>247</v>
      </c>
      <c r="E32" s="0" t="str">
        <f aca="false">PROPER(TRIM(AL32))</f>
        <v>Ananya Rao</v>
      </c>
      <c r="F32" s="0" t="str">
        <f aca="false">PROPER(TRIM(AM32))</f>
        <v>Corporate</v>
      </c>
      <c r="G32" s="0" t="str">
        <f aca="false">IF(TRIM(AN32)="","Unknown",PROPER(TRIM(AN32)))</f>
        <v>West</v>
      </c>
      <c r="H32" s="0" t="str">
        <f aca="false">PROPER(TRIM(AO32))</f>
        <v>Goa</v>
      </c>
      <c r="I32" s="0" t="str">
        <f aca="false">PROPER(TRIM(AP32))</f>
        <v>Panaji</v>
      </c>
      <c r="J32" s="0" t="str">
        <f aca="false">PROPER(TRIM(AQ32))</f>
        <v>Office Supplies</v>
      </c>
      <c r="K32" s="0" t="str">
        <f aca="false">PROPER(TRIM(AR32))</f>
        <v>Labels</v>
      </c>
      <c r="M32" s="0" t="str">
        <f aca="false">IF(TRIM(AS32)="","Unknown",PROPER(TRIM(AS32)))</f>
        <v>First Class</v>
      </c>
      <c r="N32" s="0" t="n">
        <v>1</v>
      </c>
      <c r="O32" s="0" t="n">
        <v>3421.77</v>
      </c>
      <c r="P32" s="5" t="n">
        <f aca="false">IF(AT32="","",IF(ISNUMBER(AT32),AT32,VALUE(SUBSTITUTE(AT32,"%",""))/100))</f>
        <v>0.1</v>
      </c>
      <c r="Q32" s="5" t="n">
        <f aca="false">IF(P32="",IF(AND(N32&lt;&gt;"",O32&lt;&gt;"",R32&lt;&gt;"",S32&lt;&gt;""),0,"REVIEW"),IF(OR(P32&lt;0,P32&gt;0.3),0,P32))</f>
        <v>0.1</v>
      </c>
      <c r="R32" s="0" t="n">
        <v>3079.59</v>
      </c>
      <c r="S32" s="0" t="n">
        <v>2001.89</v>
      </c>
      <c r="T32" s="6" t="n">
        <f aca="false">N32*O32*(1-Q32)</f>
        <v>3079.593</v>
      </c>
      <c r="U32" s="6" t="n">
        <f aca="false">T32-S32</f>
        <v>1077.703</v>
      </c>
      <c r="V32" s="7" t="n">
        <f aca="false">IF(T32=0,0,U32/T32)</f>
        <v>0.349949814796955</v>
      </c>
      <c r="W32" s="4" t="n">
        <f aca="false">C32-B32</f>
        <v>3</v>
      </c>
      <c r="X32" s="0" t="str">
        <f aca="false">TEXT(B32,"mmmm")</f>
        <v>February</v>
      </c>
      <c r="Y32" s="4" t="n">
        <f aca="false">YEAR(B32)</f>
        <v>2024</v>
      </c>
      <c r="Z32" s="0" t="str">
        <f aca="false">PROPER(TRIM(AU32))</f>
        <v>Paid</v>
      </c>
      <c r="AA32" s="0" t="str">
        <f aca="false">PROPER(TRIM(AV32))</f>
        <v>Completed</v>
      </c>
      <c r="AB32" s="0" t="str">
        <f aca="false">IF(TRIM(AN32)="","Yes","No")</f>
        <v>No</v>
      </c>
      <c r="AC32" s="0" t="str">
        <f aca="false">IF(TRIM(AS32)="","Yes","No")</f>
        <v>No</v>
      </c>
      <c r="AD32" s="0" t="str">
        <f aca="false">IF(AT32="","Yes","No")</f>
        <v>No</v>
      </c>
      <c r="AE32" s="0" t="str">
        <f aca="false">IF(W32&lt;0,"Yes","No")</f>
        <v>No</v>
      </c>
      <c r="AF32" s="0" t="str">
        <f aca="false">IF(P32="","No",IF(OR(P32&lt;0,P32&gt;0.3),"Yes","No"))</f>
        <v>No</v>
      </c>
      <c r="AG32" s="4" t="s">
        <v>50</v>
      </c>
      <c r="AH32" s="0" t="str">
        <f aca="false">IF(AND(AA32="Completed",Z32="Paid"),"Yes","No")</f>
        <v>Yes</v>
      </c>
      <c r="AI32" s="0" t="str">
        <f aca="false">IF(OR(AE32="Yes",AF32="Yes",AG32="Yes"),"Invalid",IF(OR(AB32="Yes",AC32="Yes",AD32="Yes"),"Warning","Clean"))</f>
        <v>Clean</v>
      </c>
      <c r="AJ32" s="4" t="s">
        <v>248</v>
      </c>
      <c r="AK32" s="4" t="s">
        <v>249</v>
      </c>
      <c r="AL32" s="4" t="s">
        <v>96</v>
      </c>
      <c r="AM32" s="4" t="s">
        <v>128</v>
      </c>
      <c r="AN32" s="4" t="s">
        <v>97</v>
      </c>
      <c r="AO32" s="4" t="s">
        <v>250</v>
      </c>
      <c r="AP32" s="4" t="s">
        <v>251</v>
      </c>
      <c r="AQ32" s="4" t="s">
        <v>58</v>
      </c>
      <c r="AR32" s="4" t="s">
        <v>129</v>
      </c>
      <c r="AS32" s="4" t="s">
        <v>81</v>
      </c>
      <c r="AT32" s="0" t="n">
        <v>0.1</v>
      </c>
      <c r="AU32" s="4" t="s">
        <v>61</v>
      </c>
      <c r="AV32" s="4" t="s">
        <v>62</v>
      </c>
    </row>
    <row r="33" customFormat="false" ht="15" hidden="false" customHeight="false" outlineLevel="0" collapsed="false">
      <c r="A33" s="0" t="s">
        <v>252</v>
      </c>
      <c r="B33" s="3" t="n">
        <f aca="false">IF(AJ33="","",IF(ISNUMBER(SEARCH("/",AJ33)),DATE(VALUE(RIGHT(AJ33,4)),VALUE(LEFT(AJ33,2)),VALUE(MID(AJ33,4,2))),IF(ISNUMBER(SEARCH("-",AJ33)),IF(LEN(LEFT(AJ33,FIND("-",AJ33)-1))=4,DATE(VALUE(LEFT(AJ33,4)),VALUE(MID(AJ33,6,2)),VALUE(RIGHT(AJ33,2))),DATE(VALUE(RIGHT(AJ33,4)),VALUE(MID(AJ33,4,2)),VALUE(LEFT(AJ33,2)))),DATE(VALUE(RIGHT(AJ33,4)),MATCH(MID(AJ33,4,3),{"Jan","Feb","Mar","Apr","May","Jun","Jul","Aug","Sep","Oct","Nov","Dec"},0),VALUE(LEFT(AJ33,2))))))</f>
        <v>45823</v>
      </c>
      <c r="C33" s="3" t="n">
        <f aca="false">IF(AK33="","",IF(ISNUMBER(SEARCH("/",AK33)),DATE(VALUE(RIGHT(AK33,4)),VALUE(LEFT(AK33,2)),VALUE(MID(AK33,4,2))),IF(ISNUMBER(SEARCH("-",AK33)),IF(LEN(LEFT(AK33,FIND("-",AK33)-1))=4,DATE(VALUE(LEFT(AK33,4)),VALUE(MID(AK33,6,2)),VALUE(RIGHT(AK33,2))),DATE(VALUE(RIGHT(AK33,4)),VALUE(MID(AK33,4,2)),VALUE(LEFT(AK33,2)))),DATE(VALUE(RIGHT(AK33,4)),MATCH(MID(AK33,4,3),{"Jan","Feb","Mar","Apr","May","Jun","Jul","Aug","Sep","Oct","Nov","Dec"},0),VALUE(LEFT(AK33,2))))))</f>
        <v>45827</v>
      </c>
      <c r="D33" s="4" t="s">
        <v>253</v>
      </c>
      <c r="E33" s="0" t="str">
        <f aca="false">PROPER(TRIM(AL33))</f>
        <v>Karan Malhotra</v>
      </c>
      <c r="F33" s="0" t="str">
        <f aca="false">PROPER(TRIM(AM33))</f>
        <v>Small Business</v>
      </c>
      <c r="G33" s="0" t="str">
        <f aca="false">IF(TRIM(AN33)="","Unknown",PROPER(TRIM(AN33)))</f>
        <v>West</v>
      </c>
      <c r="H33" s="0" t="str">
        <f aca="false">PROPER(TRIM(AO33))</f>
        <v>Madhya Pradesh</v>
      </c>
      <c r="I33" s="0" t="str">
        <f aca="false">PROPER(TRIM(AP33))</f>
        <v>Indore</v>
      </c>
      <c r="J33" s="0" t="str">
        <f aca="false">PROPER(TRIM(AQ33))</f>
        <v>Office Supplies</v>
      </c>
      <c r="K33" s="0" t="str">
        <f aca="false">PROPER(TRIM(AR33))</f>
        <v>Paper</v>
      </c>
      <c r="M33" s="0" t="str">
        <f aca="false">IF(TRIM(AS33)="","Unknown",PROPER(TRIM(AS33)))</f>
        <v>Second Class</v>
      </c>
      <c r="N33" s="0" t="n">
        <v>9</v>
      </c>
      <c r="O33" s="0" t="n">
        <v>3092.55</v>
      </c>
      <c r="P33" s="5" t="n">
        <f aca="false">IF(AT33="","",IF(ISNUMBER(AT33),AT33,VALUE(SUBSTITUTE(AT33,"%",""))/100))</f>
        <v>0</v>
      </c>
      <c r="Q33" s="5" t="n">
        <f aca="false">IF(P33="",IF(AND(N33&lt;&gt;"",O33&lt;&gt;"",R33&lt;&gt;"",S33&lt;&gt;""),0,"REVIEW"),IF(OR(P33&lt;0,P33&gt;0.3),0,P33))</f>
        <v>0</v>
      </c>
      <c r="R33" s="0" t="n">
        <v>27832.95</v>
      </c>
      <c r="S33" s="0" t="n">
        <v>17769.75</v>
      </c>
      <c r="T33" s="6" t="n">
        <f aca="false">N33*O33*(1-Q33)</f>
        <v>27832.95</v>
      </c>
      <c r="U33" s="6" t="n">
        <f aca="false">T33-S33</f>
        <v>10063.2</v>
      </c>
      <c r="V33" s="7" t="n">
        <f aca="false">IF(T33=0,0,U33/T33)</f>
        <v>0.361557075336966</v>
      </c>
      <c r="W33" s="4" t="n">
        <f aca="false">C33-B33</f>
        <v>4</v>
      </c>
      <c r="X33" s="0" t="str">
        <f aca="false">TEXT(B33,"mmmm")</f>
        <v>June</v>
      </c>
      <c r="Y33" s="4" t="n">
        <f aca="false">YEAR(B33)</f>
        <v>2025</v>
      </c>
      <c r="Z33" s="0" t="str">
        <f aca="false">PROPER(TRIM(AU33))</f>
        <v>Failed</v>
      </c>
      <c r="AA33" s="0" t="str">
        <f aca="false">PROPER(TRIM(AV33))</f>
        <v>Returned</v>
      </c>
      <c r="AB33" s="0" t="str">
        <f aca="false">IF(TRIM(AN33)="","Yes","No")</f>
        <v>No</v>
      </c>
      <c r="AC33" s="0" t="str">
        <f aca="false">IF(TRIM(AS33)="","Yes","No")</f>
        <v>No</v>
      </c>
      <c r="AD33" s="0" t="str">
        <f aca="false">IF(AT33="","Yes","No")</f>
        <v>No</v>
      </c>
      <c r="AE33" s="0" t="str">
        <f aca="false">IF(W33&lt;0,"Yes","No")</f>
        <v>No</v>
      </c>
      <c r="AF33" s="0" t="str">
        <f aca="false">IF(P33="","No",IF(OR(P33&lt;0,P33&gt;0.3),"Yes","No"))</f>
        <v>No</v>
      </c>
      <c r="AG33" s="4" t="s">
        <v>50</v>
      </c>
      <c r="AH33" s="0" t="str">
        <f aca="false">IF(AND(AA33="Completed",Z33="Paid"),"Yes","No")</f>
        <v>No</v>
      </c>
      <c r="AI33" s="0" t="str">
        <f aca="false">IF(OR(AE33="Yes",AF33="Yes",AG33="Yes"),"Invalid",IF(OR(AB33="Yes",AC33="Yes",AD33="Yes"),"Warning","Clean"))</f>
        <v>Clean</v>
      </c>
      <c r="AJ33" s="4" t="s">
        <v>254</v>
      </c>
      <c r="AK33" s="4" t="s">
        <v>255</v>
      </c>
      <c r="AL33" s="4" t="s">
        <v>53</v>
      </c>
      <c r="AM33" s="4" t="s">
        <v>68</v>
      </c>
      <c r="AN33" s="4" t="s">
        <v>97</v>
      </c>
      <c r="AO33" s="4" t="s">
        <v>107</v>
      </c>
      <c r="AP33" s="4" t="s">
        <v>108</v>
      </c>
      <c r="AQ33" s="4" t="s">
        <v>58</v>
      </c>
      <c r="AR33" s="4" t="s">
        <v>59</v>
      </c>
      <c r="AS33" s="4" t="s">
        <v>60</v>
      </c>
      <c r="AT33" s="0" t="n">
        <v>0</v>
      </c>
      <c r="AU33" s="4" t="s">
        <v>207</v>
      </c>
      <c r="AV33" s="4" t="s">
        <v>142</v>
      </c>
    </row>
    <row r="34" customFormat="false" ht="15" hidden="false" customHeight="false" outlineLevel="0" collapsed="false">
      <c r="A34" s="0" t="s">
        <v>256</v>
      </c>
      <c r="B34" s="3" t="n">
        <f aca="false">IF(AJ34="","",IF(ISNUMBER(SEARCH("/",AJ34)),DATE(VALUE(RIGHT(AJ34,4)),VALUE(LEFT(AJ34,2)),VALUE(MID(AJ34,4,2))),IF(ISNUMBER(SEARCH("-",AJ34)),IF(LEN(LEFT(AJ34,FIND("-",AJ34)-1))=4,DATE(VALUE(LEFT(AJ34,4)),VALUE(MID(AJ34,6,2)),VALUE(RIGHT(AJ34,2))),DATE(VALUE(RIGHT(AJ34,4)),VALUE(MID(AJ34,4,2)),VALUE(LEFT(AJ34,2)))),DATE(VALUE(RIGHT(AJ34,4)),MATCH(MID(AJ34,4,3),{"Jan","Feb","Mar","Apr","May","Jun","Jul","Aug","Sep","Oct","Nov","Dec"},0),VALUE(LEFT(AJ34,2))))))</f>
        <v>45618</v>
      </c>
      <c r="C34" s="3" t="n">
        <f aca="false">IF(AK34="","",IF(ISNUMBER(SEARCH("/",AK34)),DATE(VALUE(RIGHT(AK34,4)),VALUE(LEFT(AK34,2)),VALUE(MID(AK34,4,2))),IF(ISNUMBER(SEARCH("-",AK34)),IF(LEN(LEFT(AK34,FIND("-",AK34)-1))=4,DATE(VALUE(LEFT(AK34,4)),VALUE(MID(AK34,6,2)),VALUE(RIGHT(AK34,2))),DATE(VALUE(RIGHT(AK34,4)),VALUE(MID(AK34,4,2)),VALUE(LEFT(AK34,2)))),DATE(VALUE(RIGHT(AK34,4)),MATCH(MID(AK34,4,3),{"Jan","Feb","Mar","Apr","May","Jun","Jul","Aug","Sep","Oct","Nov","Dec"},0),VALUE(LEFT(AK34,2))))))</f>
        <v>45622</v>
      </c>
      <c r="D34" s="4" t="s">
        <v>257</v>
      </c>
      <c r="E34" s="0" t="str">
        <f aca="false">PROPER(TRIM(AL34))</f>
        <v>Aarav Sharma</v>
      </c>
      <c r="F34" s="0" t="str">
        <f aca="false">PROPER(TRIM(AM34))</f>
        <v>Corporate</v>
      </c>
      <c r="G34" s="0" t="str">
        <f aca="false">IF(TRIM(AN34)="","Unknown",PROPER(TRIM(AN34)))</f>
        <v>South</v>
      </c>
      <c r="H34" s="0" t="str">
        <f aca="false">PROPER(TRIM(AO34))</f>
        <v>Andhra Pradesh</v>
      </c>
      <c r="I34" s="0" t="str">
        <f aca="false">PROPER(TRIM(AP34))</f>
        <v>Vijayawada</v>
      </c>
      <c r="J34" s="0" t="str">
        <f aca="false">PROPER(TRIM(AQ34))</f>
        <v>Technology</v>
      </c>
      <c r="K34" s="0" t="str">
        <f aca="false">PROPER(TRIM(AR34))</f>
        <v>Phones</v>
      </c>
      <c r="M34" s="0" t="str">
        <f aca="false">IF(TRIM(AS34)="","Unknown",PROPER(TRIM(AS34)))</f>
        <v>Second Class</v>
      </c>
      <c r="N34" s="0" t="n">
        <v>3</v>
      </c>
      <c r="O34" s="0" t="n">
        <v>4001.25</v>
      </c>
      <c r="P34" s="5" t="str">
        <f aca="false">IF(AT34="","",IF(ISNUMBER(AT34),AT34,VALUE(SUBSTITUTE(AT34,"%",""))/100))</f>
        <v/>
      </c>
      <c r="Q34" s="5" t="n">
        <f aca="false">IF(P34="",IF(AND(N34&lt;&gt;"",O34&lt;&gt;"",R34&lt;&gt;"",S34&lt;&gt;""),0,"REVIEW"),IF(OR(P34&lt;0,P34&gt;0.3),0,P34))</f>
        <v>0</v>
      </c>
      <c r="R34" s="0" t="n">
        <v>9002.81</v>
      </c>
      <c r="S34" s="0" t="n">
        <v>7529.92</v>
      </c>
      <c r="T34" s="6" t="n">
        <f aca="false">N34*O34*(1-Q34)</f>
        <v>12003.75</v>
      </c>
      <c r="U34" s="6" t="n">
        <f aca="false">T34-S34</f>
        <v>4473.83</v>
      </c>
      <c r="V34" s="7" t="n">
        <f aca="false">IF(T34=0,0,U34/T34)</f>
        <v>0.372702697073831</v>
      </c>
      <c r="W34" s="4" t="n">
        <f aca="false">C34-B34</f>
        <v>4</v>
      </c>
      <c r="X34" s="0" t="str">
        <f aca="false">TEXT(B34,"mmmm")</f>
        <v>November</v>
      </c>
      <c r="Y34" s="4" t="n">
        <f aca="false">YEAR(B34)</f>
        <v>2024</v>
      </c>
      <c r="Z34" s="0" t="str">
        <f aca="false">PROPER(TRIM(AU34))</f>
        <v>Paid</v>
      </c>
      <c r="AA34" s="0" t="str">
        <f aca="false">PROPER(TRIM(AV34))</f>
        <v>Completed</v>
      </c>
      <c r="AB34" s="0" t="str">
        <f aca="false">IF(TRIM(AN34)="","Yes","No")</f>
        <v>No</v>
      </c>
      <c r="AC34" s="0" t="str">
        <f aca="false">IF(TRIM(AS34)="","Yes","No")</f>
        <v>No</v>
      </c>
      <c r="AD34" s="0" t="str">
        <f aca="false">IF(AT34="","Yes","No")</f>
        <v>Yes</v>
      </c>
      <c r="AE34" s="0" t="str">
        <f aca="false">IF(W34&lt;0,"Yes","No")</f>
        <v>No</v>
      </c>
      <c r="AF34" s="0" t="str">
        <f aca="false">IF(P34="","No",IF(OR(P34&lt;0,P34&gt;0.3),"Yes","No"))</f>
        <v>No</v>
      </c>
      <c r="AG34" s="4" t="s">
        <v>50</v>
      </c>
      <c r="AH34" s="0" t="str">
        <f aca="false">IF(AND(AA34="Completed",Z34="Paid"),"Yes","No")</f>
        <v>Yes</v>
      </c>
      <c r="AI34" s="0" t="str">
        <f aca="false">IF(OR(AE34="Yes",AF34="Yes",AG34="Yes"),"Invalid",IF(OR(AB34="Yes",AC34="Yes",AD34="Yes"),"Warning","Clean"))</f>
        <v>Warning</v>
      </c>
      <c r="AJ34" s="4" t="s">
        <v>258</v>
      </c>
      <c r="AK34" s="4" t="s">
        <v>259</v>
      </c>
      <c r="AL34" s="4" t="s">
        <v>176</v>
      </c>
      <c r="AM34" s="4" t="s">
        <v>128</v>
      </c>
      <c r="AN34" s="4" t="s">
        <v>87</v>
      </c>
      <c r="AO34" s="4" t="s">
        <v>121</v>
      </c>
      <c r="AP34" s="4" t="s">
        <v>122</v>
      </c>
      <c r="AQ34" s="4" t="s">
        <v>109</v>
      </c>
      <c r="AR34" s="4" t="s">
        <v>227</v>
      </c>
      <c r="AS34" s="4" t="s">
        <v>60</v>
      </c>
      <c r="AU34" s="4" t="s">
        <v>61</v>
      </c>
      <c r="AV34" s="4" t="s">
        <v>62</v>
      </c>
    </row>
    <row r="35" customFormat="false" ht="15" hidden="false" customHeight="false" outlineLevel="0" collapsed="false">
      <c r="A35" s="0" t="s">
        <v>260</v>
      </c>
      <c r="B35" s="3" t="n">
        <f aca="false">IF(AJ35="","",IF(ISNUMBER(SEARCH("/",AJ35)),DATE(VALUE(RIGHT(AJ35,4)),VALUE(LEFT(AJ35,2)),VALUE(MID(AJ35,4,2))),IF(ISNUMBER(SEARCH("-",AJ35)),IF(LEN(LEFT(AJ35,FIND("-",AJ35)-1))=4,DATE(VALUE(LEFT(AJ35,4)),VALUE(MID(AJ35,6,2)),VALUE(RIGHT(AJ35,2))),DATE(VALUE(RIGHT(AJ35,4)),VALUE(MID(AJ35,4,2)),VALUE(LEFT(AJ35,2)))),DATE(VALUE(RIGHT(AJ35,4)),MATCH(MID(AJ35,4,3),{"Jan","Feb","Mar","Apr","May","Jun","Jul","Aug","Sep","Oct","Nov","Dec"},0),VALUE(LEFT(AJ35,2))))))</f>
        <v>45495</v>
      </c>
      <c r="C35" s="3" t="n">
        <f aca="false">IF(AK35="","",IF(ISNUMBER(SEARCH("/",AK35)),DATE(VALUE(RIGHT(AK35,4)),VALUE(LEFT(AK35,2)),VALUE(MID(AK35,4,2))),IF(ISNUMBER(SEARCH("-",AK35)),IF(LEN(LEFT(AK35,FIND("-",AK35)-1))=4,DATE(VALUE(LEFT(AK35,4)),VALUE(MID(AK35,6,2)),VALUE(RIGHT(AK35,2))),DATE(VALUE(RIGHT(AK35,4)),VALUE(MID(AK35,4,2)),VALUE(LEFT(AK35,2)))),DATE(VALUE(RIGHT(AK35,4)),MATCH(MID(AK35,4,3),{"Jan","Feb","Mar","Apr","May","Jun","Jul","Aug","Sep","Oct","Nov","Dec"},0),VALUE(LEFT(AK35,2))))))</f>
        <v>45500</v>
      </c>
      <c r="D35" s="4" t="s">
        <v>261</v>
      </c>
      <c r="E35" s="0" t="str">
        <f aca="false">PROPER(TRIM(AL35))</f>
        <v>Priya Menon</v>
      </c>
      <c r="F35" s="0" t="str">
        <f aca="false">PROPER(TRIM(AM35))</f>
        <v>Home Office</v>
      </c>
      <c r="G35" s="0" t="str">
        <f aca="false">IF(TRIM(AN35)="","Unknown",PROPER(TRIM(AN35)))</f>
        <v>West</v>
      </c>
      <c r="H35" s="0" t="str">
        <f aca="false">PROPER(TRIM(AO35))</f>
        <v>Goa</v>
      </c>
      <c r="I35" s="0" t="str">
        <f aca="false">PROPER(TRIM(AP35))</f>
        <v>Panaji</v>
      </c>
      <c r="J35" s="0" t="str">
        <f aca="false">PROPER(TRIM(AQ35))</f>
        <v>Furniture</v>
      </c>
      <c r="K35" s="0" t="str">
        <f aca="false">PROPER(TRIM(AR35))</f>
        <v>Tables</v>
      </c>
      <c r="M35" s="0" t="str">
        <f aca="false">IF(TRIM(AS35)="","Unknown",PROPER(TRIM(AS35)))</f>
        <v>Same Day</v>
      </c>
      <c r="N35" s="0" t="n">
        <v>7</v>
      </c>
      <c r="O35" s="0" t="n">
        <v>492.41</v>
      </c>
      <c r="P35" s="5" t="n">
        <f aca="false">IF(AT35="","",IF(ISNUMBER(AT35),AT35,VALUE(SUBSTITUTE(AT35,"%",""))/100))</f>
        <v>0.25</v>
      </c>
      <c r="Q35" s="5" t="n">
        <f aca="false">IF(P35="",IF(AND(N35&lt;&gt;"",O35&lt;&gt;"",R35&lt;&gt;"",S35&lt;&gt;""),0,"REVIEW"),IF(OR(P35&lt;0,P35&gt;0.3),0,P35))</f>
        <v>0.25</v>
      </c>
      <c r="R35" s="0" t="n">
        <v>2585.15</v>
      </c>
      <c r="S35" s="0" t="n">
        <v>2070.73</v>
      </c>
      <c r="T35" s="6" t="n">
        <f aca="false">N35*O35*(1-Q35)</f>
        <v>2585.1525</v>
      </c>
      <c r="U35" s="6" t="n">
        <f aca="false">T35-S35</f>
        <v>514.4225</v>
      </c>
      <c r="V35" s="7" t="n">
        <f aca="false">IF(T35=0,0,U35/T35)</f>
        <v>0.198991162030093</v>
      </c>
      <c r="W35" s="4" t="n">
        <f aca="false">C35-B35</f>
        <v>5</v>
      </c>
      <c r="X35" s="0" t="str">
        <f aca="false">TEXT(B35,"mmmm")</f>
        <v>July</v>
      </c>
      <c r="Y35" s="4" t="n">
        <f aca="false">YEAR(B35)</f>
        <v>2024</v>
      </c>
      <c r="Z35" s="0" t="str">
        <f aca="false">PROPER(TRIM(AU35))</f>
        <v>Paid</v>
      </c>
      <c r="AA35" s="0" t="str">
        <f aca="false">PROPER(TRIM(AV35))</f>
        <v>Completed</v>
      </c>
      <c r="AB35" s="0" t="str">
        <f aca="false">IF(TRIM(AN35)="","Yes","No")</f>
        <v>No</v>
      </c>
      <c r="AC35" s="0" t="str">
        <f aca="false">IF(TRIM(AS35)="","Yes","No")</f>
        <v>No</v>
      </c>
      <c r="AD35" s="0" t="str">
        <f aca="false">IF(AT35="","Yes","No")</f>
        <v>No</v>
      </c>
      <c r="AE35" s="0" t="str">
        <f aca="false">IF(W35&lt;0,"Yes","No")</f>
        <v>No</v>
      </c>
      <c r="AF35" s="0" t="str">
        <f aca="false">IF(P35="","No",IF(OR(P35&lt;0,P35&gt;0.3),"Yes","No"))</f>
        <v>No</v>
      </c>
      <c r="AG35" s="4" t="s">
        <v>50</v>
      </c>
      <c r="AH35" s="0" t="str">
        <f aca="false">IF(AND(AA35="Completed",Z35="Paid"),"Yes","No")</f>
        <v>Yes</v>
      </c>
      <c r="AI35" s="0" t="str">
        <f aca="false">IF(OR(AE35="Yes",AF35="Yes",AG35="Yes"),"Invalid",IF(OR(AB35="Yes",AC35="Yes",AD35="Yes"),"Warning","Clean"))</f>
        <v>Clean</v>
      </c>
      <c r="AJ35" s="4" t="s">
        <v>262</v>
      </c>
      <c r="AK35" s="4" t="s">
        <v>263</v>
      </c>
      <c r="AL35" s="4" t="s">
        <v>158</v>
      </c>
      <c r="AM35" s="4" t="s">
        <v>134</v>
      </c>
      <c r="AN35" s="4" t="s">
        <v>97</v>
      </c>
      <c r="AO35" s="4" t="s">
        <v>250</v>
      </c>
      <c r="AP35" s="4" t="s">
        <v>251</v>
      </c>
      <c r="AQ35" s="4" t="s">
        <v>72</v>
      </c>
      <c r="AR35" s="4" t="s">
        <v>73</v>
      </c>
      <c r="AS35" s="4" t="s">
        <v>74</v>
      </c>
      <c r="AT35" s="0" t="n">
        <v>0.25</v>
      </c>
      <c r="AU35" s="4" t="s">
        <v>61</v>
      </c>
      <c r="AV35" s="4" t="s">
        <v>62</v>
      </c>
    </row>
    <row r="36" customFormat="false" ht="15" hidden="false" customHeight="false" outlineLevel="0" collapsed="false">
      <c r="A36" s="0" t="s">
        <v>264</v>
      </c>
      <c r="B36" s="3" t="n">
        <f aca="false">IF(AJ36="","",IF(ISNUMBER(SEARCH("/",AJ36)),DATE(VALUE(RIGHT(AJ36,4)),VALUE(LEFT(AJ36,2)),VALUE(MID(AJ36,4,2))),IF(ISNUMBER(SEARCH("-",AJ36)),IF(LEN(LEFT(AJ36,FIND("-",AJ36)-1))=4,DATE(VALUE(LEFT(AJ36,4)),VALUE(MID(AJ36,6,2)),VALUE(RIGHT(AJ36,2))),DATE(VALUE(RIGHT(AJ36,4)),VALUE(MID(AJ36,4,2)),VALUE(LEFT(AJ36,2)))),DATE(VALUE(RIGHT(AJ36,4)),MATCH(MID(AJ36,4,3),{"Jan","Feb","Mar","Apr","May","Jun","Jul","Aug","Sep","Oct","Nov","Dec"},0),VALUE(LEFT(AJ36,2))))))</f>
        <v>45688</v>
      </c>
      <c r="C36" s="3" t="n">
        <f aca="false">IF(AK36="","",IF(ISNUMBER(SEARCH("/",AK36)),DATE(VALUE(RIGHT(AK36,4)),VALUE(LEFT(AK36,2)),VALUE(MID(AK36,4,2))),IF(ISNUMBER(SEARCH("-",AK36)),IF(LEN(LEFT(AK36,FIND("-",AK36)-1))=4,DATE(VALUE(LEFT(AK36,4)),VALUE(MID(AK36,6,2)),VALUE(RIGHT(AK36,2))),DATE(VALUE(RIGHT(AK36,4)),VALUE(MID(AK36,4,2)),VALUE(LEFT(AK36,2)))),DATE(VALUE(RIGHT(AK36,4)),MATCH(MID(AK36,4,3),{"Jan","Feb","Mar","Apr","May","Jun","Jul","Aug","Sep","Oct","Nov","Dec"},0),VALUE(LEFT(AK36,2))))))</f>
        <v>45693</v>
      </c>
      <c r="D36" s="4" t="s">
        <v>265</v>
      </c>
      <c r="E36" s="0" t="str">
        <f aca="false">PROPER(TRIM(AL36))</f>
        <v>Priya Menon</v>
      </c>
      <c r="F36" s="0" t="str">
        <f aca="false">PROPER(TRIM(AM36))</f>
        <v>Home Office</v>
      </c>
      <c r="G36" s="0" t="str">
        <f aca="false">IF(TRIM(AN36)="","Unknown",PROPER(TRIM(AN36)))</f>
        <v>East</v>
      </c>
      <c r="H36" s="0" t="str">
        <f aca="false">PROPER(TRIM(AO36))</f>
        <v>West Bengal</v>
      </c>
      <c r="I36" s="0" t="str">
        <f aca="false">PROPER(TRIM(AP36))</f>
        <v>Kolkata</v>
      </c>
      <c r="J36" s="0" t="str">
        <f aca="false">PROPER(TRIM(AQ36))</f>
        <v>Furniture</v>
      </c>
      <c r="K36" s="0" t="str">
        <f aca="false">PROPER(TRIM(AR36))</f>
        <v>Chairs</v>
      </c>
      <c r="M36" s="0" t="str">
        <f aca="false">IF(TRIM(AS36)="","Unknown",PROPER(TRIM(AS36)))</f>
        <v>Unknown</v>
      </c>
      <c r="N36" s="0" t="n">
        <v>2</v>
      </c>
      <c r="O36" s="0" t="n">
        <v>4159.69</v>
      </c>
      <c r="P36" s="5" t="n">
        <f aca="false">IF(AT36="","",IF(ISNUMBER(AT36),AT36,VALUE(SUBSTITUTE(AT36,"%",""))/100))</f>
        <v>0.2</v>
      </c>
      <c r="Q36" s="5" t="n">
        <f aca="false">IF(P36="",IF(AND(N36&lt;&gt;"",O36&lt;&gt;"",R36&lt;&gt;"",S36&lt;&gt;""),0,"REVIEW"),IF(OR(P36&lt;0,P36&gt;0.3),0,P36))</f>
        <v>0.2</v>
      </c>
      <c r="R36" s="0" t="n">
        <v>6655.5</v>
      </c>
      <c r="S36" s="0" t="n">
        <v>4340.21</v>
      </c>
      <c r="T36" s="6" t="n">
        <f aca="false">N36*O36*(1-Q36)</f>
        <v>6655.504</v>
      </c>
      <c r="U36" s="6" t="n">
        <f aca="false">T36-S36</f>
        <v>2315.294</v>
      </c>
      <c r="V36" s="7" t="n">
        <f aca="false">IF(T36=0,0,U36/T36)</f>
        <v>0.347876584553176</v>
      </c>
      <c r="W36" s="4" t="n">
        <f aca="false">C36-B36</f>
        <v>5</v>
      </c>
      <c r="X36" s="0" t="str">
        <f aca="false">TEXT(B36,"mmmm")</f>
        <v>January</v>
      </c>
      <c r="Y36" s="4" t="n">
        <f aca="false">YEAR(B36)</f>
        <v>2025</v>
      </c>
      <c r="Z36" s="0" t="str">
        <f aca="false">PROPER(TRIM(AU36))</f>
        <v>Paid</v>
      </c>
      <c r="AA36" s="0" t="str">
        <f aca="false">PROPER(TRIM(AV36))</f>
        <v>Completed</v>
      </c>
      <c r="AB36" s="0" t="str">
        <f aca="false">IF(TRIM(AN36)="","Yes","No")</f>
        <v>No</v>
      </c>
      <c r="AC36" s="0" t="str">
        <f aca="false">IF(TRIM(AS36)="","Yes","No")</f>
        <v>Yes</v>
      </c>
      <c r="AD36" s="0" t="str">
        <f aca="false">IF(AT36="","Yes","No")</f>
        <v>No</v>
      </c>
      <c r="AE36" s="0" t="str">
        <f aca="false">IF(W36&lt;0,"Yes","No")</f>
        <v>No</v>
      </c>
      <c r="AF36" s="0" t="str">
        <f aca="false">IF(P36="","No",IF(OR(P36&lt;0,P36&gt;0.3),"Yes","No"))</f>
        <v>No</v>
      </c>
      <c r="AG36" s="4" t="s">
        <v>50</v>
      </c>
      <c r="AH36" s="0" t="str">
        <f aca="false">IF(AND(AA36="Completed",Z36="Paid"),"Yes","No")</f>
        <v>Yes</v>
      </c>
      <c r="AI36" s="0" t="str">
        <f aca="false">IF(OR(AE36="Yes",AF36="Yes",AG36="Yes"),"Invalid",IF(OR(AB36="Yes",AC36="Yes",AD36="Yes"),"Warning","Clean"))</f>
        <v>Warning</v>
      </c>
      <c r="AJ36" s="4" t="s">
        <v>266</v>
      </c>
      <c r="AK36" s="4" t="s">
        <v>267</v>
      </c>
      <c r="AL36" s="4" t="s">
        <v>158</v>
      </c>
      <c r="AM36" s="4" t="s">
        <v>134</v>
      </c>
      <c r="AN36" s="4" t="s">
        <v>69</v>
      </c>
      <c r="AO36" s="4" t="s">
        <v>139</v>
      </c>
      <c r="AP36" s="4" t="s">
        <v>140</v>
      </c>
      <c r="AQ36" s="4" t="s">
        <v>72</v>
      </c>
      <c r="AR36" s="4" t="s">
        <v>100</v>
      </c>
      <c r="AT36" s="0" t="n">
        <v>0.2</v>
      </c>
      <c r="AU36" s="4" t="s">
        <v>61</v>
      </c>
      <c r="AV36" s="4" t="s">
        <v>62</v>
      </c>
    </row>
    <row r="37" customFormat="false" ht="15" hidden="false" customHeight="false" outlineLevel="0" collapsed="false">
      <c r="A37" s="0" t="s">
        <v>268</v>
      </c>
      <c r="B37" s="3" t="n">
        <f aca="false">IF(AJ37="","",IF(ISNUMBER(SEARCH("/",AJ37)),DATE(VALUE(RIGHT(AJ37,4)),VALUE(LEFT(AJ37,2)),VALUE(MID(AJ37,4,2))),IF(ISNUMBER(SEARCH("-",AJ37)),IF(LEN(LEFT(AJ37,FIND("-",AJ37)-1))=4,DATE(VALUE(LEFT(AJ37,4)),VALUE(MID(AJ37,6,2)),VALUE(RIGHT(AJ37,2))),DATE(VALUE(RIGHT(AJ37,4)),VALUE(MID(AJ37,4,2)),VALUE(LEFT(AJ37,2)))),DATE(VALUE(RIGHT(AJ37,4)),MATCH(MID(AJ37,4,3),{"Jan","Feb","Mar","Apr","May","Jun","Jul","Aug","Sep","Oct","Nov","Dec"},0),VALUE(LEFT(AJ37,2))))))</f>
        <v>45441</v>
      </c>
      <c r="C37" s="3" t="n">
        <f aca="false">IF(AK37="","",IF(ISNUMBER(SEARCH("/",AK37)),DATE(VALUE(RIGHT(AK37,4)),VALUE(LEFT(AK37,2)),VALUE(MID(AK37,4,2))),IF(ISNUMBER(SEARCH("-",AK37)),IF(LEN(LEFT(AK37,FIND("-",AK37)-1))=4,DATE(VALUE(LEFT(AK37,4)),VALUE(MID(AK37,6,2)),VALUE(RIGHT(AK37,2))),DATE(VALUE(RIGHT(AK37,4)),VALUE(MID(AK37,4,2)),VALUE(LEFT(AK37,2)))),DATE(VALUE(RIGHT(AK37,4)),MATCH(MID(AK37,4,3),{"Jan","Feb","Mar","Apr","May","Jun","Jul","Aug","Sep","Oct","Nov","Dec"},0),VALUE(LEFT(AK37,2))))))</f>
        <v>45441</v>
      </c>
      <c r="D37" s="4" t="s">
        <v>269</v>
      </c>
      <c r="E37" s="0" t="str">
        <f aca="false">PROPER(TRIM(AL37))</f>
        <v>Sneha Kapoor</v>
      </c>
      <c r="F37" s="0" t="str">
        <f aca="false">PROPER(TRIM(AM37))</f>
        <v>Small Business</v>
      </c>
      <c r="G37" s="0" t="str">
        <f aca="false">IF(TRIM(AN37)="","Unknown",PROPER(TRIM(AN37)))</f>
        <v>West</v>
      </c>
      <c r="H37" s="0" t="str">
        <f aca="false">PROPER(TRIM(AO37))</f>
        <v>Gujarat</v>
      </c>
      <c r="I37" s="0" t="str">
        <f aca="false">PROPER(TRIM(AP37))</f>
        <v>Ahmedabad</v>
      </c>
      <c r="J37" s="0" t="str">
        <f aca="false">PROPER(TRIM(AQ37))</f>
        <v>Furniture</v>
      </c>
      <c r="K37" s="0" t="str">
        <f aca="false">PROPER(TRIM(AR37))</f>
        <v>Bookcases</v>
      </c>
      <c r="M37" s="0" t="str">
        <f aca="false">IF(TRIM(AS37)="","Unknown",PROPER(TRIM(AS37)))</f>
        <v>Second Class</v>
      </c>
      <c r="N37" s="0" t="n">
        <v>8</v>
      </c>
      <c r="O37" s="0" t="n">
        <v>2507.12</v>
      </c>
      <c r="P37" s="5" t="n">
        <f aca="false">IF(AT37="","",IF(ISNUMBER(AT37),AT37,VALUE(SUBSTITUTE(AT37,"%",""))/100))</f>
        <v>0.05</v>
      </c>
      <c r="Q37" s="5" t="n">
        <f aca="false">IF(P37="",IF(AND(N37&lt;&gt;"",O37&lt;&gt;"",R37&lt;&gt;"",S37&lt;&gt;""),0,"REVIEW"),IF(OR(P37&lt;0,P37&gt;0.3),0,P37))</f>
        <v>0.05</v>
      </c>
      <c r="R37" s="0" t="n">
        <v>19054.11</v>
      </c>
      <c r="S37" s="0" t="n">
        <v>15313.83</v>
      </c>
      <c r="T37" s="6" t="n">
        <f aca="false">N37*O37*(1-Q37)</f>
        <v>19054.112</v>
      </c>
      <c r="U37" s="6" t="n">
        <f aca="false">T37-S37</f>
        <v>3740.282</v>
      </c>
      <c r="V37" s="7" t="n">
        <f aca="false">IF(T37=0,0,U37/T37)</f>
        <v>0.196297890974924</v>
      </c>
      <c r="W37" s="4" t="n">
        <f aca="false">C37-B37</f>
        <v>0</v>
      </c>
      <c r="X37" s="0" t="str">
        <f aca="false">TEXT(B37,"mmmm")</f>
        <v>May</v>
      </c>
      <c r="Y37" s="4" t="n">
        <f aca="false">YEAR(B37)</f>
        <v>2024</v>
      </c>
      <c r="Z37" s="0" t="str">
        <f aca="false">PROPER(TRIM(AU37))</f>
        <v>Pending</v>
      </c>
      <c r="AA37" s="0" t="str">
        <f aca="false">PROPER(TRIM(AV37))</f>
        <v>Returned</v>
      </c>
      <c r="AB37" s="0" t="str">
        <f aca="false">IF(TRIM(AN37)="","Yes","No")</f>
        <v>No</v>
      </c>
      <c r="AC37" s="0" t="str">
        <f aca="false">IF(TRIM(AS37)="","Yes","No")</f>
        <v>No</v>
      </c>
      <c r="AD37" s="0" t="str">
        <f aca="false">IF(AT37="","Yes","No")</f>
        <v>No</v>
      </c>
      <c r="AE37" s="0" t="str">
        <f aca="false">IF(W37&lt;0,"Yes","No")</f>
        <v>No</v>
      </c>
      <c r="AF37" s="0" t="str">
        <f aca="false">IF(P37="","No",IF(OR(P37&lt;0,P37&gt;0.3),"Yes","No"))</f>
        <v>No</v>
      </c>
      <c r="AG37" s="4" t="s">
        <v>50</v>
      </c>
      <c r="AH37" s="0" t="str">
        <f aca="false">IF(AND(AA37="Completed",Z37="Paid"),"Yes","No")</f>
        <v>No</v>
      </c>
      <c r="AI37" s="0" t="str">
        <f aca="false">IF(OR(AE37="Yes",AF37="Yes",AG37="Yes"),"Invalid",IF(OR(AB37="Yes",AC37="Yes",AD37="Yes"),"Warning","Clean"))</f>
        <v>Clean</v>
      </c>
      <c r="AJ37" s="4" t="s">
        <v>270</v>
      </c>
      <c r="AK37" s="4" t="s">
        <v>271</v>
      </c>
      <c r="AL37" s="4" t="s">
        <v>181</v>
      </c>
      <c r="AM37" s="4" t="s">
        <v>68</v>
      </c>
      <c r="AN37" s="4" t="s">
        <v>97</v>
      </c>
      <c r="AO37" s="4" t="s">
        <v>238</v>
      </c>
      <c r="AP37" s="4" t="s">
        <v>239</v>
      </c>
      <c r="AQ37" s="4" t="s">
        <v>72</v>
      </c>
      <c r="AR37" s="4" t="s">
        <v>211</v>
      </c>
      <c r="AS37" s="4" t="s">
        <v>60</v>
      </c>
      <c r="AT37" s="0" t="n">
        <v>0.05</v>
      </c>
      <c r="AU37" s="4" t="s">
        <v>153</v>
      </c>
      <c r="AV37" s="4" t="s">
        <v>142</v>
      </c>
    </row>
    <row r="38" customFormat="false" ht="15" hidden="false" customHeight="false" outlineLevel="0" collapsed="false">
      <c r="A38" s="0" t="s">
        <v>272</v>
      </c>
      <c r="B38" s="3" t="n">
        <f aca="false">IF(AJ38="","",IF(ISNUMBER(SEARCH("/",AJ38)),DATE(VALUE(RIGHT(AJ38,4)),VALUE(LEFT(AJ38,2)),VALUE(MID(AJ38,4,2))),IF(ISNUMBER(SEARCH("-",AJ38)),IF(LEN(LEFT(AJ38,FIND("-",AJ38)-1))=4,DATE(VALUE(LEFT(AJ38,4)),VALUE(MID(AJ38,6,2)),VALUE(RIGHT(AJ38,2))),DATE(VALUE(RIGHT(AJ38,4)),VALUE(MID(AJ38,4,2)),VALUE(LEFT(AJ38,2)))),DATE(VALUE(RIGHT(AJ38,4)),MATCH(MID(AJ38,4,3),{"Jan","Feb","Mar","Apr","May","Jun","Jul","Aug","Sep","Oct","Nov","Dec"},0),VALUE(LEFT(AJ38,2))))))</f>
        <v>45590</v>
      </c>
      <c r="C38" s="3" t="n">
        <f aca="false">IF(AK38="","",IF(ISNUMBER(SEARCH("/",AK38)),DATE(VALUE(RIGHT(AK38,4)),VALUE(LEFT(AK38,2)),VALUE(MID(AK38,4,2))),IF(ISNUMBER(SEARCH("-",AK38)),IF(LEN(LEFT(AK38,FIND("-",AK38)-1))=4,DATE(VALUE(LEFT(AK38,4)),VALUE(MID(AK38,6,2)),VALUE(RIGHT(AK38,2))),DATE(VALUE(RIGHT(AK38,4)),VALUE(MID(AK38,4,2)),VALUE(LEFT(AK38,2)))),DATE(VALUE(RIGHT(AK38,4)),MATCH(MID(AK38,4,3),{"Jan","Feb","Mar","Apr","May","Jun","Jul","Aug","Sep","Oct","Nov","Dec"},0),VALUE(LEFT(AK38,2))))))</f>
        <v>45593</v>
      </c>
      <c r="D38" s="4" t="s">
        <v>273</v>
      </c>
      <c r="E38" s="0" t="str">
        <f aca="false">PROPER(TRIM(AL38))</f>
        <v>Rohan Mehta</v>
      </c>
      <c r="F38" s="0" t="str">
        <f aca="false">PROPER(TRIM(AM38))</f>
        <v>Corporate</v>
      </c>
      <c r="G38" s="0" t="str">
        <f aca="false">IF(TRIM(AN38)="","Unknown",PROPER(TRIM(AN38)))</f>
        <v>West</v>
      </c>
      <c r="H38" s="0" t="str">
        <f aca="false">PROPER(TRIM(AO38))</f>
        <v>Maharashtra</v>
      </c>
      <c r="I38" s="0" t="str">
        <f aca="false">PROPER(TRIM(AP38))</f>
        <v>Mumbai</v>
      </c>
      <c r="J38" s="0" t="str">
        <f aca="false">PROPER(TRIM(AQ38))</f>
        <v>Furniture</v>
      </c>
      <c r="K38" s="0" t="str">
        <f aca="false">PROPER(TRIM(AR38))</f>
        <v>Bookcases</v>
      </c>
      <c r="M38" s="0" t="str">
        <f aca="false">IF(TRIM(AS38)="","Unknown",PROPER(TRIM(AS38)))</f>
        <v>Second Class</v>
      </c>
      <c r="N38" s="0" t="n">
        <v>3</v>
      </c>
      <c r="O38" s="0" t="n">
        <v>3126.47</v>
      </c>
      <c r="P38" s="5" t="n">
        <f aca="false">IF(AT38="","",IF(ISNUMBER(AT38),AT38,VALUE(SUBSTITUTE(AT38,"%",""))/100))</f>
        <v>0</v>
      </c>
      <c r="Q38" s="5" t="n">
        <f aca="false">IF(P38="",IF(AND(N38&lt;&gt;"",O38&lt;&gt;"",R38&lt;&gt;"",S38&lt;&gt;""),0,"REVIEW"),IF(OR(P38&lt;0,P38&gt;0.3),0,P38))</f>
        <v>0</v>
      </c>
      <c r="R38" s="0" t="n">
        <v>9379.41</v>
      </c>
      <c r="S38" s="0" t="n">
        <v>6670.85</v>
      </c>
      <c r="T38" s="6" t="n">
        <f aca="false">N38*O38*(1-Q38)</f>
        <v>9379.41</v>
      </c>
      <c r="U38" s="6" t="n">
        <f aca="false">T38-S38</f>
        <v>2708.56</v>
      </c>
      <c r="V38" s="7" t="n">
        <f aca="false">IF(T38=0,0,U38/T38)</f>
        <v>0.288777225859622</v>
      </c>
      <c r="W38" s="4" t="n">
        <f aca="false">C38-B38</f>
        <v>3</v>
      </c>
      <c r="X38" s="0" t="str">
        <f aca="false">TEXT(B38,"mmmm")</f>
        <v>October</v>
      </c>
      <c r="Y38" s="4" t="n">
        <f aca="false">YEAR(B38)</f>
        <v>2024</v>
      </c>
      <c r="Z38" s="0" t="str">
        <f aca="false">PROPER(TRIM(AU38))</f>
        <v>Paid</v>
      </c>
      <c r="AA38" s="0" t="str">
        <f aca="false">PROPER(TRIM(AV38))</f>
        <v>Returned</v>
      </c>
      <c r="AB38" s="0" t="str">
        <f aca="false">IF(TRIM(AN38)="","Yes","No")</f>
        <v>No</v>
      </c>
      <c r="AC38" s="0" t="str">
        <f aca="false">IF(TRIM(AS38)="","Yes","No")</f>
        <v>No</v>
      </c>
      <c r="AD38" s="0" t="str">
        <f aca="false">IF(AT38="","Yes","No")</f>
        <v>No</v>
      </c>
      <c r="AE38" s="0" t="str">
        <f aca="false">IF(W38&lt;0,"Yes","No")</f>
        <v>No</v>
      </c>
      <c r="AF38" s="0" t="str">
        <f aca="false">IF(P38="","No",IF(OR(P38&lt;0,P38&gt;0.3),"Yes","No"))</f>
        <v>No</v>
      </c>
      <c r="AG38" s="4" t="s">
        <v>50</v>
      </c>
      <c r="AH38" s="0" t="str">
        <f aca="false">IF(AND(AA38="Completed",Z38="Paid"),"Yes","No")</f>
        <v>No</v>
      </c>
      <c r="AI38" s="0" t="str">
        <f aca="false">IF(OR(AE38="Yes",AF38="Yes",AG38="Yes"),"Invalid",IF(OR(AB38="Yes",AC38="Yes",AD38="Yes"),"Warning","Clean"))</f>
        <v>Clean</v>
      </c>
      <c r="AJ38" s="4" t="s">
        <v>274</v>
      </c>
      <c r="AK38" s="4" t="s">
        <v>275</v>
      </c>
      <c r="AL38" s="4" t="s">
        <v>191</v>
      </c>
      <c r="AM38" s="4" t="s">
        <v>128</v>
      </c>
      <c r="AN38" s="4" t="s">
        <v>97</v>
      </c>
      <c r="AO38" s="4" t="s">
        <v>98</v>
      </c>
      <c r="AP38" s="4" t="s">
        <v>99</v>
      </c>
      <c r="AQ38" s="4" t="s">
        <v>72</v>
      </c>
      <c r="AR38" s="4" t="s">
        <v>211</v>
      </c>
      <c r="AS38" s="4" t="s">
        <v>60</v>
      </c>
      <c r="AT38" s="0" t="n">
        <v>0</v>
      </c>
      <c r="AU38" s="4" t="s">
        <v>61</v>
      </c>
      <c r="AV38" s="4" t="s">
        <v>142</v>
      </c>
    </row>
    <row r="39" customFormat="false" ht="15" hidden="false" customHeight="false" outlineLevel="0" collapsed="false">
      <c r="A39" s="0" t="s">
        <v>276</v>
      </c>
      <c r="B39" s="3" t="n">
        <f aca="false">IF(AJ39="","",IF(ISNUMBER(SEARCH("/",AJ39)),DATE(VALUE(RIGHT(AJ39,4)),VALUE(LEFT(AJ39,2)),VALUE(MID(AJ39,4,2))),IF(ISNUMBER(SEARCH("-",AJ39)),IF(LEN(LEFT(AJ39,FIND("-",AJ39)-1))=4,DATE(VALUE(LEFT(AJ39,4)),VALUE(MID(AJ39,6,2)),VALUE(RIGHT(AJ39,2))),DATE(VALUE(RIGHT(AJ39,4)),VALUE(MID(AJ39,4,2)),VALUE(LEFT(AJ39,2)))),DATE(VALUE(RIGHT(AJ39,4)),MATCH(MID(AJ39,4,3),{"Jan","Feb","Mar","Apr","May","Jun","Jul","Aug","Sep","Oct","Nov","Dec"},0),VALUE(LEFT(AJ39,2))))))</f>
        <v>45867</v>
      </c>
      <c r="C39" s="3" t="n">
        <f aca="false">IF(AK39="","",IF(ISNUMBER(SEARCH("/",AK39)),DATE(VALUE(RIGHT(AK39,4)),VALUE(LEFT(AK39,2)),VALUE(MID(AK39,4,2))),IF(ISNUMBER(SEARCH("-",AK39)),IF(LEN(LEFT(AK39,FIND("-",AK39)-1))=4,DATE(VALUE(LEFT(AK39,4)),VALUE(MID(AK39,6,2)),VALUE(RIGHT(AK39,2))),DATE(VALUE(RIGHT(AK39,4)),VALUE(MID(AK39,4,2)),VALUE(LEFT(AK39,2)))),DATE(VALUE(RIGHT(AK39,4)),MATCH(MID(AK39,4,3),{"Jan","Feb","Mar","Apr","May","Jun","Jul","Aug","Sep","Oct","Nov","Dec"},0),VALUE(LEFT(AK39,2))))))</f>
        <v>45867</v>
      </c>
      <c r="D39" s="4" t="s">
        <v>277</v>
      </c>
      <c r="E39" s="0" t="str">
        <f aca="false">PROPER(TRIM(AL39))</f>
        <v>Diya Patel</v>
      </c>
      <c r="F39" s="0" t="str">
        <f aca="false">PROPER(TRIM(AM39))</f>
        <v>Consumer</v>
      </c>
      <c r="G39" s="0" t="str">
        <f aca="false">IF(TRIM(AN39)="","Unknown",PROPER(TRIM(AN39)))</f>
        <v>West</v>
      </c>
      <c r="H39" s="0" t="str">
        <f aca="false">PROPER(TRIM(AO39))</f>
        <v>Maharashtra</v>
      </c>
      <c r="I39" s="0" t="str">
        <f aca="false">PROPER(TRIM(AP39))</f>
        <v>Mumbai</v>
      </c>
      <c r="J39" s="0" t="str">
        <f aca="false">PROPER(TRIM(AQ39))</f>
        <v>Technology</v>
      </c>
      <c r="K39" s="0" t="str">
        <f aca="false">PROPER(TRIM(AR39))</f>
        <v>Copiers</v>
      </c>
      <c r="M39" s="0" t="str">
        <f aca="false">IF(TRIM(AS39)="","Unknown",PROPER(TRIM(AS39)))</f>
        <v>Standard Class</v>
      </c>
      <c r="N39" s="0" t="n">
        <v>4</v>
      </c>
      <c r="O39" s="0" t="n">
        <v>1327.54</v>
      </c>
      <c r="P39" s="5" t="n">
        <f aca="false">IF(AT39="","",IF(ISNUMBER(AT39),AT39,VALUE(SUBSTITUTE(AT39,"%",""))/100))</f>
        <v>0.2</v>
      </c>
      <c r="Q39" s="5" t="n">
        <f aca="false">IF(P39="",IF(AND(N39&lt;&gt;"",O39&lt;&gt;"",R39&lt;&gt;"",S39&lt;&gt;""),0,"REVIEW"),IF(OR(P39&lt;0,P39&gt;0.3),0,P39))</f>
        <v>0.2</v>
      </c>
      <c r="R39" s="0" t="n">
        <v>4248.13</v>
      </c>
      <c r="S39" s="0" t="n">
        <v>3321.09</v>
      </c>
      <c r="T39" s="6" t="n">
        <f aca="false">N39*O39*(1-Q39)</f>
        <v>4248.128</v>
      </c>
      <c r="U39" s="6" t="n">
        <f aca="false">T39-S39</f>
        <v>927.038</v>
      </c>
      <c r="V39" s="7" t="n">
        <f aca="false">IF(T39=0,0,U39/T39)</f>
        <v>0.218222708920258</v>
      </c>
      <c r="W39" s="4" t="n">
        <f aca="false">C39-B39</f>
        <v>0</v>
      </c>
      <c r="X39" s="0" t="str">
        <f aca="false">TEXT(B39,"mmmm")</f>
        <v>July</v>
      </c>
      <c r="Y39" s="4" t="n">
        <f aca="false">YEAR(B39)</f>
        <v>2025</v>
      </c>
      <c r="Z39" s="0" t="str">
        <f aca="false">PROPER(TRIM(AU39))</f>
        <v>Paid</v>
      </c>
      <c r="AA39" s="0" t="str">
        <f aca="false">PROPER(TRIM(AV39))</f>
        <v>Completed</v>
      </c>
      <c r="AB39" s="0" t="str">
        <f aca="false">IF(TRIM(AN39)="","Yes","No")</f>
        <v>No</v>
      </c>
      <c r="AC39" s="0" t="str">
        <f aca="false">IF(TRIM(AS39)="","Yes","No")</f>
        <v>No</v>
      </c>
      <c r="AD39" s="0" t="str">
        <f aca="false">IF(AT39="","Yes","No")</f>
        <v>No</v>
      </c>
      <c r="AE39" s="0" t="str">
        <f aca="false">IF(W39&lt;0,"Yes","No")</f>
        <v>No</v>
      </c>
      <c r="AF39" s="0" t="str">
        <f aca="false">IF(P39="","No",IF(OR(P39&lt;0,P39&gt;0.3),"Yes","No"))</f>
        <v>No</v>
      </c>
      <c r="AG39" s="4" t="s">
        <v>50</v>
      </c>
      <c r="AH39" s="0" t="str">
        <f aca="false">IF(AND(AA39="Completed",Z39="Paid"),"Yes","No")</f>
        <v>Yes</v>
      </c>
      <c r="AI39" s="0" t="str">
        <f aca="false">IF(OR(AE39="Yes",AF39="Yes",AG39="Yes"),"Invalid",IF(OR(AB39="Yes",AC39="Yes",AD39="Yes"),"Warning","Clean"))</f>
        <v>Clean</v>
      </c>
      <c r="AJ39" s="4" t="s">
        <v>278</v>
      </c>
      <c r="AK39" s="4" t="s">
        <v>278</v>
      </c>
      <c r="AL39" s="4" t="s">
        <v>216</v>
      </c>
      <c r="AM39" s="4" t="s">
        <v>54</v>
      </c>
      <c r="AN39" s="4" t="s">
        <v>97</v>
      </c>
      <c r="AO39" s="4" t="s">
        <v>98</v>
      </c>
      <c r="AP39" s="4" t="s">
        <v>99</v>
      </c>
      <c r="AQ39" s="4" t="s">
        <v>109</v>
      </c>
      <c r="AR39" s="4" t="s">
        <v>116</v>
      </c>
      <c r="AS39" s="4" t="s">
        <v>279</v>
      </c>
      <c r="AT39" s="0" t="n">
        <v>0.2</v>
      </c>
      <c r="AU39" s="4" t="s">
        <v>61</v>
      </c>
      <c r="AV39" s="4" t="s">
        <v>62</v>
      </c>
    </row>
    <row r="40" customFormat="false" ht="15" hidden="false" customHeight="false" outlineLevel="0" collapsed="false">
      <c r="A40" s="0" t="s">
        <v>280</v>
      </c>
      <c r="B40" s="3" t="n">
        <f aca="false">IF(AJ40="","",IF(ISNUMBER(SEARCH("/",AJ40)),DATE(VALUE(RIGHT(AJ40,4)),VALUE(LEFT(AJ40,2)),VALUE(MID(AJ40,4,2))),IF(ISNUMBER(SEARCH("-",AJ40)),IF(LEN(LEFT(AJ40,FIND("-",AJ40)-1))=4,DATE(VALUE(LEFT(AJ40,4)),VALUE(MID(AJ40,6,2)),VALUE(RIGHT(AJ40,2))),DATE(VALUE(RIGHT(AJ40,4)),VALUE(MID(AJ40,4,2)),VALUE(LEFT(AJ40,2)))),DATE(VALUE(RIGHT(AJ40,4)),MATCH(MID(AJ40,4,3),{"Jan","Feb","Mar","Apr","May","Jun","Jul","Aug","Sep","Oct","Nov","Dec"},0),VALUE(LEFT(AJ40,2))))))</f>
        <v>45460</v>
      </c>
      <c r="C40" s="3" t="n">
        <f aca="false">IF(AK40="","",IF(ISNUMBER(SEARCH("/",AK40)),DATE(VALUE(RIGHT(AK40,4)),VALUE(LEFT(AK40,2)),VALUE(MID(AK40,4,2))),IF(ISNUMBER(SEARCH("-",AK40)),IF(LEN(LEFT(AK40,FIND("-",AK40)-1))=4,DATE(VALUE(LEFT(AK40,4)),VALUE(MID(AK40,6,2)),VALUE(RIGHT(AK40,2))),DATE(VALUE(RIGHT(AK40,4)),VALUE(MID(AK40,4,2)),VALUE(LEFT(AK40,2)))),DATE(VALUE(RIGHT(AK40,4)),MATCH(MID(AK40,4,3),{"Jan","Feb","Mar","Apr","May","Jun","Jul","Aug","Sep","Oct","Nov","Dec"},0),VALUE(LEFT(AK40,2))))))</f>
        <v>45465</v>
      </c>
      <c r="D40" s="4" t="s">
        <v>281</v>
      </c>
      <c r="E40" s="0" t="str">
        <f aca="false">PROPER(TRIM(AL40))</f>
        <v>Aarav Sharma</v>
      </c>
      <c r="F40" s="0" t="str">
        <f aca="false">PROPER(TRIM(AM40))</f>
        <v>Corporate</v>
      </c>
      <c r="G40" s="0" t="str">
        <f aca="false">IF(TRIM(AN40)="","Unknown",PROPER(TRIM(AN40)))</f>
        <v>West</v>
      </c>
      <c r="H40" s="0" t="str">
        <f aca="false">PROPER(TRIM(AO40))</f>
        <v>Gujarat</v>
      </c>
      <c r="I40" s="0" t="str">
        <f aca="false">PROPER(TRIM(AP40))</f>
        <v>Ahmedabad</v>
      </c>
      <c r="J40" s="0" t="str">
        <f aca="false">PROPER(TRIM(AQ40))</f>
        <v>Technology</v>
      </c>
      <c r="K40" s="0" t="str">
        <f aca="false">PROPER(TRIM(AR40))</f>
        <v>Phones</v>
      </c>
      <c r="M40" s="0" t="str">
        <f aca="false">IF(TRIM(AS40)="","Unknown",PROPER(TRIM(AS40)))</f>
        <v>First Class</v>
      </c>
      <c r="N40" s="0" t="n">
        <v>7</v>
      </c>
      <c r="O40" s="0" t="n">
        <v>2210.68</v>
      </c>
      <c r="P40" s="5" t="n">
        <f aca="false">IF(AT40="","",IF(ISNUMBER(AT40),AT40,VALUE(SUBSTITUTE(AT40,"%",""))/100))</f>
        <v>0.1</v>
      </c>
      <c r="Q40" s="5" t="n">
        <f aca="false">IF(P40="",IF(AND(N40&lt;&gt;"",O40&lt;&gt;"",R40&lt;&gt;"",S40&lt;&gt;""),0,"REVIEW"),IF(OR(P40&lt;0,P40&gt;0.3),0,P40))</f>
        <v>0.1</v>
      </c>
      <c r="R40" s="0" t="n">
        <v>13927.28</v>
      </c>
      <c r="S40" s="0" t="n">
        <v>10504.87</v>
      </c>
      <c r="T40" s="6" t="n">
        <f aca="false">N40*O40*(1-Q40)</f>
        <v>13927.284</v>
      </c>
      <c r="U40" s="6" t="n">
        <f aca="false">T40-S40</f>
        <v>3422.414</v>
      </c>
      <c r="V40" s="7" t="n">
        <f aca="false">IF(T40=0,0,U40/T40)</f>
        <v>0.245734487786707</v>
      </c>
      <c r="W40" s="4" t="n">
        <f aca="false">C40-B40</f>
        <v>5</v>
      </c>
      <c r="X40" s="0" t="str">
        <f aca="false">TEXT(B40,"mmmm")</f>
        <v>June</v>
      </c>
      <c r="Y40" s="4" t="n">
        <f aca="false">YEAR(B40)</f>
        <v>2024</v>
      </c>
      <c r="Z40" s="0" t="str">
        <f aca="false">PROPER(TRIM(AU40))</f>
        <v>Paid</v>
      </c>
      <c r="AA40" s="0" t="str">
        <f aca="false">PROPER(TRIM(AV40))</f>
        <v>Completed</v>
      </c>
      <c r="AB40" s="0" t="str">
        <f aca="false">IF(TRIM(AN40)="","Yes","No")</f>
        <v>No</v>
      </c>
      <c r="AC40" s="0" t="str">
        <f aca="false">IF(TRIM(AS40)="","Yes","No")</f>
        <v>No</v>
      </c>
      <c r="AD40" s="0" t="str">
        <f aca="false">IF(AT40="","Yes","No")</f>
        <v>No</v>
      </c>
      <c r="AE40" s="0" t="str">
        <f aca="false">IF(W40&lt;0,"Yes","No")</f>
        <v>No</v>
      </c>
      <c r="AF40" s="0" t="str">
        <f aca="false">IF(P40="","No",IF(OR(P40&lt;0,P40&gt;0.3),"Yes","No"))</f>
        <v>No</v>
      </c>
      <c r="AG40" s="4" t="s">
        <v>50</v>
      </c>
      <c r="AH40" s="0" t="str">
        <f aca="false">IF(AND(AA40="Completed",Z40="Paid"),"Yes","No")</f>
        <v>Yes</v>
      </c>
      <c r="AI40" s="0" t="str">
        <f aca="false">IF(OR(AE40="Yes",AF40="Yes",AG40="Yes"),"Invalid",IF(OR(AB40="Yes",AC40="Yes",AD40="Yes"),"Warning","Clean"))</f>
        <v>Clean</v>
      </c>
      <c r="AJ40" s="4" t="s">
        <v>282</v>
      </c>
      <c r="AK40" s="4" t="s">
        <v>283</v>
      </c>
      <c r="AL40" s="4" t="s">
        <v>176</v>
      </c>
      <c r="AM40" s="4" t="s">
        <v>128</v>
      </c>
      <c r="AN40" s="4" t="s">
        <v>97</v>
      </c>
      <c r="AO40" s="4" t="s">
        <v>238</v>
      </c>
      <c r="AP40" s="4" t="s">
        <v>239</v>
      </c>
      <c r="AQ40" s="4" t="s">
        <v>109</v>
      </c>
      <c r="AR40" s="4" t="s">
        <v>227</v>
      </c>
      <c r="AS40" s="4" t="s">
        <v>81</v>
      </c>
      <c r="AT40" s="0" t="n">
        <v>0.1</v>
      </c>
      <c r="AU40" s="4" t="s">
        <v>61</v>
      </c>
      <c r="AV40" s="4" t="s">
        <v>62</v>
      </c>
    </row>
    <row r="41" customFormat="false" ht="15" hidden="false" customHeight="false" outlineLevel="0" collapsed="false">
      <c r="A41" s="0" t="s">
        <v>284</v>
      </c>
      <c r="B41" s="3" t="n">
        <f aca="false">IF(AJ41="","",IF(ISNUMBER(SEARCH("/",AJ41)),DATE(VALUE(RIGHT(AJ41,4)),VALUE(LEFT(AJ41,2)),VALUE(MID(AJ41,4,2))),IF(ISNUMBER(SEARCH("-",AJ41)),IF(LEN(LEFT(AJ41,FIND("-",AJ41)-1))=4,DATE(VALUE(LEFT(AJ41,4)),VALUE(MID(AJ41,6,2)),VALUE(RIGHT(AJ41,2))),DATE(VALUE(RIGHT(AJ41,4)),VALUE(MID(AJ41,4,2)),VALUE(LEFT(AJ41,2)))),DATE(VALUE(RIGHT(AJ41,4)),MATCH(MID(AJ41,4,3),{"Jan","Feb","Mar","Apr","May","Jun","Jul","Aug","Sep","Oct","Nov","Dec"},0),VALUE(LEFT(AJ41,2))))))</f>
        <v>45637</v>
      </c>
      <c r="C41" s="3" t="n">
        <f aca="false">IF(AK41="","",IF(ISNUMBER(SEARCH("/",AK41)),DATE(VALUE(RIGHT(AK41,4)),VALUE(LEFT(AK41,2)),VALUE(MID(AK41,4,2))),IF(ISNUMBER(SEARCH("-",AK41)),IF(LEN(LEFT(AK41,FIND("-",AK41)-1))=4,DATE(VALUE(LEFT(AK41,4)),VALUE(MID(AK41,6,2)),VALUE(RIGHT(AK41,2))),DATE(VALUE(RIGHT(AK41,4)),VALUE(MID(AK41,4,2)),VALUE(LEFT(AK41,2)))),DATE(VALUE(RIGHT(AK41,4)),MATCH(MID(AK41,4,3),{"Jan","Feb","Mar","Apr","May","Jun","Jul","Aug","Sep","Oct","Nov","Dec"},0),VALUE(LEFT(AK41,2))))))</f>
        <v>45637</v>
      </c>
      <c r="D41" s="4" t="s">
        <v>285</v>
      </c>
      <c r="E41" s="0" t="str">
        <f aca="false">PROPER(TRIM(AL41))</f>
        <v>Mira Das</v>
      </c>
      <c r="F41" s="0" t="str">
        <f aca="false">PROPER(TRIM(AM41))</f>
        <v>Small Business</v>
      </c>
      <c r="G41" s="0" t="str">
        <f aca="false">IF(TRIM(AN41)="","Unknown",PROPER(TRIM(AN41)))</f>
        <v>West</v>
      </c>
      <c r="H41" s="0" t="str">
        <f aca="false">PROPER(TRIM(AO41))</f>
        <v>Madhya Pradesh</v>
      </c>
      <c r="I41" s="0" t="str">
        <f aca="false">PROPER(TRIM(AP41))</f>
        <v>Indore</v>
      </c>
      <c r="J41" s="0" t="str">
        <f aca="false">PROPER(TRIM(AQ41))</f>
        <v>Technology</v>
      </c>
      <c r="K41" s="0" t="str">
        <f aca="false">PROPER(TRIM(AR41))</f>
        <v>Copiers</v>
      </c>
      <c r="M41" s="0" t="str">
        <f aca="false">IF(TRIM(AS41)="","Unknown",PROPER(TRIM(AS41)))</f>
        <v>First Class</v>
      </c>
      <c r="N41" s="0" t="n">
        <v>4</v>
      </c>
      <c r="O41" s="0" t="n">
        <v>1370.92</v>
      </c>
      <c r="P41" s="5" t="n">
        <f aca="false">IF(AT41="","",IF(ISNUMBER(AT41),AT41,VALUE(SUBSTITUTE(AT41,"%",""))/100))</f>
        <v>0.1</v>
      </c>
      <c r="Q41" s="5" t="n">
        <f aca="false">IF(P41="",IF(AND(N41&lt;&gt;"",O41&lt;&gt;"",R41&lt;&gt;"",S41&lt;&gt;""),0,"REVIEW"),IF(OR(P41&lt;0,P41&gt;0.3),0,P41))</f>
        <v>0.1</v>
      </c>
      <c r="R41" s="0" t="n">
        <v>4935.31</v>
      </c>
      <c r="S41" s="0" t="n">
        <v>3374.77</v>
      </c>
      <c r="T41" s="6" t="n">
        <f aca="false">N41*O41*(1-Q41)</f>
        <v>4935.312</v>
      </c>
      <c r="U41" s="6" t="n">
        <f aca="false">T41-S41</f>
        <v>1560.542</v>
      </c>
      <c r="V41" s="7" t="n">
        <f aca="false">IF(T41=0,0,U41/T41)</f>
        <v>0.316199259540228</v>
      </c>
      <c r="W41" s="4" t="n">
        <f aca="false">C41-B41</f>
        <v>0</v>
      </c>
      <c r="X41" s="0" t="str">
        <f aca="false">TEXT(B41,"mmmm")</f>
        <v>December</v>
      </c>
      <c r="Y41" s="4" t="n">
        <f aca="false">YEAR(B41)</f>
        <v>2024</v>
      </c>
      <c r="Z41" s="0" t="str">
        <f aca="false">PROPER(TRIM(AU41))</f>
        <v>Pending</v>
      </c>
      <c r="AA41" s="0" t="str">
        <f aca="false">PROPER(TRIM(AV41))</f>
        <v>Returned</v>
      </c>
      <c r="AB41" s="0" t="str">
        <f aca="false">IF(TRIM(AN41)="","Yes","No")</f>
        <v>No</v>
      </c>
      <c r="AC41" s="0" t="str">
        <f aca="false">IF(TRIM(AS41)="","Yes","No")</f>
        <v>No</v>
      </c>
      <c r="AD41" s="0" t="str">
        <f aca="false">IF(AT41="","Yes","No")</f>
        <v>No</v>
      </c>
      <c r="AE41" s="0" t="str">
        <f aca="false">IF(W41&lt;0,"Yes","No")</f>
        <v>No</v>
      </c>
      <c r="AF41" s="0" t="str">
        <f aca="false">IF(P41="","No",IF(OR(P41&lt;0,P41&gt;0.3),"Yes","No"))</f>
        <v>No</v>
      </c>
      <c r="AG41" s="4" t="s">
        <v>50</v>
      </c>
      <c r="AH41" s="0" t="str">
        <f aca="false">IF(AND(AA41="Completed",Z41="Paid"),"Yes","No")</f>
        <v>No</v>
      </c>
      <c r="AI41" s="0" t="str">
        <f aca="false">IF(OR(AE41="Yes",AF41="Yes",AG41="Yes"),"Invalid",IF(OR(AB41="Yes",AC41="Yes",AD41="Yes"),"Warning","Clean"))</f>
        <v>Clean</v>
      </c>
      <c r="AJ41" s="4" t="s">
        <v>286</v>
      </c>
      <c r="AK41" s="4" t="s">
        <v>287</v>
      </c>
      <c r="AL41" s="4" t="s">
        <v>67</v>
      </c>
      <c r="AM41" s="4" t="s">
        <v>68</v>
      </c>
      <c r="AN41" s="4" t="s">
        <v>97</v>
      </c>
      <c r="AO41" s="4" t="s">
        <v>107</v>
      </c>
      <c r="AP41" s="4" t="s">
        <v>108</v>
      </c>
      <c r="AQ41" s="4" t="s">
        <v>109</v>
      </c>
      <c r="AR41" s="4" t="s">
        <v>116</v>
      </c>
      <c r="AS41" s="4" t="s">
        <v>81</v>
      </c>
      <c r="AT41" s="0" t="n">
        <v>0.1</v>
      </c>
      <c r="AU41" s="4" t="s">
        <v>153</v>
      </c>
      <c r="AV41" s="4" t="s">
        <v>142</v>
      </c>
    </row>
    <row r="42" customFormat="false" ht="15" hidden="false" customHeight="false" outlineLevel="0" collapsed="false">
      <c r="A42" s="0" t="s">
        <v>288</v>
      </c>
      <c r="B42" s="3" t="n">
        <f aca="false">IF(AJ42="","",IF(ISNUMBER(SEARCH("/",AJ42)),DATE(VALUE(RIGHT(AJ42,4)),VALUE(LEFT(AJ42,2)),VALUE(MID(AJ42,4,2))),IF(ISNUMBER(SEARCH("-",AJ42)),IF(LEN(LEFT(AJ42,FIND("-",AJ42)-1))=4,DATE(VALUE(LEFT(AJ42,4)),VALUE(MID(AJ42,6,2)),VALUE(RIGHT(AJ42,2))),DATE(VALUE(RIGHT(AJ42,4)),VALUE(MID(AJ42,4,2)),VALUE(LEFT(AJ42,2)))),DATE(VALUE(RIGHT(AJ42,4)),MATCH(MID(AJ42,4,3),{"Jan","Feb","Mar","Apr","May","Jun","Jul","Aug","Sep","Oct","Nov","Dec"},0),VALUE(LEFT(AJ42,2))))))</f>
        <v>45575</v>
      </c>
      <c r="C42" s="3" t="n">
        <f aca="false">IF(AK42="","",IF(ISNUMBER(SEARCH("/",AK42)),DATE(VALUE(RIGHT(AK42,4)),VALUE(LEFT(AK42,2)),VALUE(MID(AK42,4,2))),IF(ISNUMBER(SEARCH("-",AK42)),IF(LEN(LEFT(AK42,FIND("-",AK42)-1))=4,DATE(VALUE(LEFT(AK42,4)),VALUE(MID(AK42,6,2)),VALUE(RIGHT(AK42,2))),DATE(VALUE(RIGHT(AK42,4)),VALUE(MID(AK42,4,2)),VALUE(LEFT(AK42,2)))),DATE(VALUE(RIGHT(AK42,4)),MATCH(MID(AK42,4,3),{"Jan","Feb","Mar","Apr","May","Jun","Jul","Aug","Sep","Oct","Nov","Dec"},0),VALUE(LEFT(AK42,2))))))</f>
        <v>45581</v>
      </c>
      <c r="D42" s="4" t="s">
        <v>289</v>
      </c>
      <c r="E42" s="0" t="str">
        <f aca="false">PROPER(TRIM(AL42))</f>
        <v>Isha Nair</v>
      </c>
      <c r="F42" s="0" t="str">
        <f aca="false">PROPER(TRIM(AM42))</f>
        <v>Home Office</v>
      </c>
      <c r="G42" s="0" t="str">
        <f aca="false">IF(TRIM(AN42)="","Unknown",PROPER(TRIM(AN42)))</f>
        <v>West</v>
      </c>
      <c r="H42" s="0" t="str">
        <f aca="false">PROPER(TRIM(AO42))</f>
        <v>Rajasthan</v>
      </c>
      <c r="I42" s="0" t="str">
        <f aca="false">PROPER(TRIM(AP42))</f>
        <v>Udaipur</v>
      </c>
      <c r="J42" s="0" t="str">
        <f aca="false">PROPER(TRIM(AQ42))</f>
        <v>Technology</v>
      </c>
      <c r="K42" s="0" t="str">
        <f aca="false">PROPER(TRIM(AR42))</f>
        <v>Copiers</v>
      </c>
      <c r="M42" s="0" t="str">
        <f aca="false">IF(TRIM(AS42)="","Unknown",PROPER(TRIM(AS42)))</f>
        <v>Standard Class</v>
      </c>
      <c r="N42" s="0" t="n">
        <v>7</v>
      </c>
      <c r="O42" s="0" t="n">
        <v>2509.27</v>
      </c>
      <c r="P42" s="5" t="n">
        <f aca="false">IF(AT42="","",IF(ISNUMBER(AT42),AT42,VALUE(SUBSTITUTE(AT42,"%",""))/100))</f>
        <v>0.2</v>
      </c>
      <c r="Q42" s="5" t="n">
        <f aca="false">IF(P42="",IF(AND(N42&lt;&gt;"",O42&lt;&gt;"",R42&lt;&gt;"",S42&lt;&gt;""),0,"REVIEW"),IF(OR(P42&lt;0,P42&gt;0.3),0,P42))</f>
        <v>0.2</v>
      </c>
      <c r="R42" s="0" t="n">
        <v>14051.91</v>
      </c>
      <c r="S42" s="0" t="n">
        <v>11990.37</v>
      </c>
      <c r="T42" s="6" t="n">
        <f aca="false">N42*O42*(1-Q42)</f>
        <v>14051.912</v>
      </c>
      <c r="U42" s="6" t="n">
        <f aca="false">T42-S42</f>
        <v>2061.542</v>
      </c>
      <c r="V42" s="7" t="n">
        <f aca="false">IF(T42=0,0,U42/T42)</f>
        <v>0.146709003016814</v>
      </c>
      <c r="W42" s="4" t="n">
        <f aca="false">C42-B42</f>
        <v>6</v>
      </c>
      <c r="X42" s="0" t="str">
        <f aca="false">TEXT(B42,"mmmm")</f>
        <v>October</v>
      </c>
      <c r="Y42" s="4" t="n">
        <f aca="false">YEAR(B42)</f>
        <v>2024</v>
      </c>
      <c r="Z42" s="0" t="str">
        <f aca="false">PROPER(TRIM(AU42))</f>
        <v>Paid</v>
      </c>
      <c r="AA42" s="0" t="str">
        <f aca="false">PROPER(TRIM(AV42))</f>
        <v>Completed</v>
      </c>
      <c r="AB42" s="0" t="str">
        <f aca="false">IF(TRIM(AN42)="","Yes","No")</f>
        <v>No</v>
      </c>
      <c r="AC42" s="0" t="str">
        <f aca="false">IF(TRIM(AS42)="","Yes","No")</f>
        <v>No</v>
      </c>
      <c r="AD42" s="0" t="str">
        <f aca="false">IF(AT42="","Yes","No")</f>
        <v>No</v>
      </c>
      <c r="AE42" s="0" t="str">
        <f aca="false">IF(W42&lt;0,"Yes","No")</f>
        <v>No</v>
      </c>
      <c r="AF42" s="0" t="str">
        <f aca="false">IF(P42="","No",IF(OR(P42&lt;0,P42&gt;0.3),"Yes","No"))</f>
        <v>No</v>
      </c>
      <c r="AG42" s="4" t="s">
        <v>50</v>
      </c>
      <c r="AH42" s="0" t="str">
        <f aca="false">IF(AND(AA42="Completed",Z42="Paid"),"Yes","No")</f>
        <v>Yes</v>
      </c>
      <c r="AI42" s="0" t="str">
        <f aca="false">IF(OR(AE42="Yes",AF42="Yes",AG42="Yes"),"Invalid",IF(OR(AB42="Yes",AC42="Yes",AD42="Yes"),"Warning","Clean"))</f>
        <v>Clean</v>
      </c>
      <c r="AJ42" s="4" t="s">
        <v>290</v>
      </c>
      <c r="AK42" s="4" t="s">
        <v>291</v>
      </c>
      <c r="AL42" s="4" t="s">
        <v>79</v>
      </c>
      <c r="AM42" s="4" t="s">
        <v>134</v>
      </c>
      <c r="AN42" s="4" t="s">
        <v>97</v>
      </c>
      <c r="AO42" s="4" t="s">
        <v>56</v>
      </c>
      <c r="AP42" s="4" t="s">
        <v>152</v>
      </c>
      <c r="AQ42" s="4" t="s">
        <v>109</v>
      </c>
      <c r="AR42" s="4" t="s">
        <v>116</v>
      </c>
      <c r="AS42" s="4" t="s">
        <v>91</v>
      </c>
      <c r="AT42" s="0" t="n">
        <v>0.2</v>
      </c>
      <c r="AU42" s="4" t="s">
        <v>61</v>
      </c>
      <c r="AV42" s="4" t="s">
        <v>62</v>
      </c>
    </row>
    <row r="43" customFormat="false" ht="15" hidden="false" customHeight="false" outlineLevel="0" collapsed="false">
      <c r="A43" s="0" t="s">
        <v>292</v>
      </c>
      <c r="B43" s="3" t="n">
        <f aca="false">IF(AJ43="","",IF(ISNUMBER(SEARCH("/",AJ43)),DATE(VALUE(RIGHT(AJ43,4)),VALUE(LEFT(AJ43,2)),VALUE(MID(AJ43,4,2))),IF(ISNUMBER(SEARCH("-",AJ43)),IF(LEN(LEFT(AJ43,FIND("-",AJ43)-1))=4,DATE(VALUE(LEFT(AJ43,4)),VALUE(MID(AJ43,6,2)),VALUE(RIGHT(AJ43,2))),DATE(VALUE(RIGHT(AJ43,4)),VALUE(MID(AJ43,4,2)),VALUE(LEFT(AJ43,2)))),DATE(VALUE(RIGHT(AJ43,4)),MATCH(MID(AJ43,4,3),{"Jan","Feb","Mar","Apr","May","Jun","Jul","Aug","Sep","Oct","Nov","Dec"},0),VALUE(LEFT(AJ43,2))))))</f>
        <v>45363</v>
      </c>
      <c r="C43" s="3" t="n">
        <f aca="false">IF(AK43="","",IF(ISNUMBER(SEARCH("/",AK43)),DATE(VALUE(RIGHT(AK43,4)),VALUE(LEFT(AK43,2)),VALUE(MID(AK43,4,2))),IF(ISNUMBER(SEARCH("-",AK43)),IF(LEN(LEFT(AK43,FIND("-",AK43)-1))=4,DATE(VALUE(LEFT(AK43,4)),VALUE(MID(AK43,6,2)),VALUE(RIGHT(AK43,2))),DATE(VALUE(RIGHT(AK43,4)),VALUE(MID(AK43,4,2)),VALUE(LEFT(AK43,2)))),DATE(VALUE(RIGHT(AK43,4)),MATCH(MID(AK43,4,3),{"Jan","Feb","Mar","Apr","May","Jun","Jul","Aug","Sep","Oct","Nov","Dec"},0),VALUE(LEFT(AK43,2))))))</f>
        <v>45368</v>
      </c>
      <c r="D43" s="4" t="s">
        <v>293</v>
      </c>
      <c r="E43" s="0" t="str">
        <f aca="false">PROPER(TRIM(AL43))</f>
        <v>Aarav Sharma</v>
      </c>
      <c r="F43" s="0" t="str">
        <f aca="false">PROPER(TRIM(AM43))</f>
        <v>Small Business</v>
      </c>
      <c r="G43" s="0" t="str">
        <f aca="false">IF(TRIM(AN43)="","Unknown",PROPER(TRIM(AN43)))</f>
        <v>East</v>
      </c>
      <c r="H43" s="0" t="str">
        <f aca="false">PROPER(TRIM(AO43))</f>
        <v>Odisha</v>
      </c>
      <c r="I43" s="0" t="str">
        <f aca="false">PROPER(TRIM(AP43))</f>
        <v>Bhubaneswar</v>
      </c>
      <c r="J43" s="0" t="str">
        <f aca="false">PROPER(TRIM(AQ43))</f>
        <v>Furniture</v>
      </c>
      <c r="K43" s="0" t="str">
        <f aca="false">PROPER(TRIM(AR43))</f>
        <v>Bookcases</v>
      </c>
      <c r="M43" s="0" t="str">
        <f aca="false">IF(TRIM(AS43)="","Unknown",PROPER(TRIM(AS43)))</f>
        <v>Same Day</v>
      </c>
      <c r="N43" s="0" t="n">
        <v>8</v>
      </c>
      <c r="O43" s="0" t="n">
        <v>855.81</v>
      </c>
      <c r="P43" s="5" t="n">
        <f aca="false">IF(AT43="","",IF(ISNUMBER(AT43),AT43,VALUE(SUBSTITUTE(AT43,"%",""))/100))</f>
        <v>0</v>
      </c>
      <c r="Q43" s="5" t="n">
        <f aca="false">IF(P43="",IF(AND(N43&lt;&gt;"",O43&lt;&gt;"",R43&lt;&gt;"",S43&lt;&gt;""),0,"REVIEW"),IF(OR(P43&lt;0,P43&gt;0.3),0,P43))</f>
        <v>0</v>
      </c>
      <c r="R43" s="0" t="n">
        <v>6846.48</v>
      </c>
      <c r="S43" s="0" t="n">
        <v>4239.89</v>
      </c>
      <c r="T43" s="6" t="n">
        <f aca="false">N43*O43*(1-Q43)</f>
        <v>6846.48</v>
      </c>
      <c r="U43" s="6" t="n">
        <f aca="false">T43-S43</f>
        <v>2606.59</v>
      </c>
      <c r="V43" s="7" t="n">
        <f aca="false">IF(T43=0,0,U43/T43)</f>
        <v>0.380719727509611</v>
      </c>
      <c r="W43" s="4" t="n">
        <f aca="false">C43-B43</f>
        <v>5</v>
      </c>
      <c r="X43" s="0" t="str">
        <f aca="false">TEXT(B43,"mmmm")</f>
        <v>March</v>
      </c>
      <c r="Y43" s="4" t="n">
        <f aca="false">YEAR(B43)</f>
        <v>2024</v>
      </c>
      <c r="Z43" s="0" t="str">
        <f aca="false">PROPER(TRIM(AU43))</f>
        <v>Pending</v>
      </c>
      <c r="AA43" s="0" t="str">
        <f aca="false">PROPER(TRIM(AV43))</f>
        <v>Cancelled</v>
      </c>
      <c r="AB43" s="0" t="str">
        <f aca="false">IF(TRIM(AN43)="","Yes","No")</f>
        <v>No</v>
      </c>
      <c r="AC43" s="0" t="str">
        <f aca="false">IF(TRIM(AS43)="","Yes","No")</f>
        <v>No</v>
      </c>
      <c r="AD43" s="0" t="str">
        <f aca="false">IF(AT43="","Yes","No")</f>
        <v>No</v>
      </c>
      <c r="AE43" s="0" t="str">
        <f aca="false">IF(W43&lt;0,"Yes","No")</f>
        <v>No</v>
      </c>
      <c r="AF43" s="0" t="str">
        <f aca="false">IF(P43="","No",IF(OR(P43&lt;0,P43&gt;0.3),"Yes","No"))</f>
        <v>No</v>
      </c>
      <c r="AG43" s="4" t="s">
        <v>50</v>
      </c>
      <c r="AH43" s="0" t="str">
        <f aca="false">IF(AND(AA43="Completed",Z43="Paid"),"Yes","No")</f>
        <v>No</v>
      </c>
      <c r="AI43" s="0" t="str">
        <f aca="false">IF(OR(AE43="Yes",AF43="Yes",AG43="Yes"),"Invalid",IF(OR(AB43="Yes",AC43="Yes",AD43="Yes"),"Warning","Clean"))</f>
        <v>Clean</v>
      </c>
      <c r="AJ43" s="4" t="s">
        <v>294</v>
      </c>
      <c r="AK43" s="4" t="s">
        <v>295</v>
      </c>
      <c r="AL43" s="4" t="s">
        <v>176</v>
      </c>
      <c r="AM43" s="4" t="s">
        <v>68</v>
      </c>
      <c r="AN43" s="4" t="s">
        <v>69</v>
      </c>
      <c r="AO43" s="4" t="s">
        <v>70</v>
      </c>
      <c r="AP43" s="4" t="s">
        <v>71</v>
      </c>
      <c r="AQ43" s="4" t="s">
        <v>72</v>
      </c>
      <c r="AR43" s="4" t="s">
        <v>211</v>
      </c>
      <c r="AS43" s="4" t="s">
        <v>74</v>
      </c>
      <c r="AT43" s="0" t="n">
        <v>0</v>
      </c>
      <c r="AU43" s="4" t="s">
        <v>153</v>
      </c>
      <c r="AV43" s="4" t="s">
        <v>101</v>
      </c>
    </row>
    <row r="44" customFormat="false" ht="15" hidden="false" customHeight="false" outlineLevel="0" collapsed="false">
      <c r="A44" s="0" t="s">
        <v>296</v>
      </c>
      <c r="B44" s="3" t="n">
        <f aca="false">IF(AJ44="","",IF(ISNUMBER(SEARCH("/",AJ44)),DATE(VALUE(RIGHT(AJ44,4)),VALUE(LEFT(AJ44,2)),VALUE(MID(AJ44,4,2))),IF(ISNUMBER(SEARCH("-",AJ44)),IF(LEN(LEFT(AJ44,FIND("-",AJ44)-1))=4,DATE(VALUE(LEFT(AJ44,4)),VALUE(MID(AJ44,6,2)),VALUE(RIGHT(AJ44,2))),DATE(VALUE(RIGHT(AJ44,4)),VALUE(MID(AJ44,4,2)),VALUE(LEFT(AJ44,2)))),DATE(VALUE(RIGHT(AJ44,4)),MATCH(MID(AJ44,4,3),{"Jan","Feb","Mar","Apr","May","Jun","Jul","Aug","Sep","Oct","Nov","Dec"},0),VALUE(LEFT(AJ44,2))))))</f>
        <v>45940</v>
      </c>
      <c r="C44" s="3" t="n">
        <f aca="false">IF(AK44="","",IF(ISNUMBER(SEARCH("/",AK44)),DATE(VALUE(RIGHT(AK44,4)),VALUE(LEFT(AK44,2)),VALUE(MID(AK44,4,2))),IF(ISNUMBER(SEARCH("-",AK44)),IF(LEN(LEFT(AK44,FIND("-",AK44)-1))=4,DATE(VALUE(LEFT(AK44,4)),VALUE(MID(AK44,6,2)),VALUE(RIGHT(AK44,2))),DATE(VALUE(RIGHT(AK44,4)),VALUE(MID(AK44,4,2)),VALUE(LEFT(AK44,2)))),DATE(VALUE(RIGHT(AK44,4)),MATCH(MID(AK44,4,3),{"Jan","Feb","Mar","Apr","May","Jun","Jul","Aug","Sep","Oct","Nov","Dec"},0),VALUE(LEFT(AK44,2))))))</f>
        <v>45945</v>
      </c>
      <c r="D44" s="4" t="s">
        <v>297</v>
      </c>
      <c r="E44" s="0" t="str">
        <f aca="false">PROPER(TRIM(AL44))</f>
        <v>Arjun Bose</v>
      </c>
      <c r="F44" s="0" t="str">
        <f aca="false">PROPER(TRIM(AM44))</f>
        <v>Corporate</v>
      </c>
      <c r="G44" s="0" t="str">
        <f aca="false">IF(TRIM(AN44)="","Unknown",PROPER(TRIM(AN44)))</f>
        <v>East</v>
      </c>
      <c r="H44" s="0" t="str">
        <f aca="false">PROPER(TRIM(AO44))</f>
        <v>Jharkhand</v>
      </c>
      <c r="I44" s="0" t="str">
        <f aca="false">PROPER(TRIM(AP44))</f>
        <v>Ranchi</v>
      </c>
      <c r="J44" s="0" t="str">
        <f aca="false">PROPER(TRIM(AQ44))</f>
        <v>Technology</v>
      </c>
      <c r="K44" s="0" t="str">
        <f aca="false">PROPER(TRIM(AR44))</f>
        <v>Phones</v>
      </c>
      <c r="M44" s="0" t="str">
        <f aca="false">IF(TRIM(AS44)="","Unknown",PROPER(TRIM(AS44)))</f>
        <v>Standard Class</v>
      </c>
      <c r="N44" s="0" t="n">
        <v>8</v>
      </c>
      <c r="O44" s="0" t="n">
        <v>979.87</v>
      </c>
      <c r="P44" s="5" t="n">
        <f aca="false">IF(AT44="","",IF(ISNUMBER(AT44),AT44,VALUE(SUBSTITUTE(AT44,"%",""))/100))</f>
        <v>0.05</v>
      </c>
      <c r="Q44" s="5" t="n">
        <f aca="false">IF(P44="",IF(AND(N44&lt;&gt;"",O44&lt;&gt;"",R44&lt;&gt;"",S44&lt;&gt;""),0,"REVIEW"),IF(OR(P44&lt;0,P44&gt;0.3),0,P44))</f>
        <v>0.05</v>
      </c>
      <c r="R44" s="0" t="n">
        <v>7447.01</v>
      </c>
      <c r="S44" s="0" t="n">
        <v>4496.22</v>
      </c>
      <c r="T44" s="6" t="n">
        <f aca="false">N44*O44*(1-Q44)</f>
        <v>7447.012</v>
      </c>
      <c r="U44" s="6" t="n">
        <f aca="false">T44-S44</f>
        <v>2950.792</v>
      </c>
      <c r="V44" s="7" t="n">
        <f aca="false">IF(T44=0,0,U44/T44)</f>
        <v>0.396238383931703</v>
      </c>
      <c r="W44" s="4" t="n">
        <f aca="false">C44-B44</f>
        <v>5</v>
      </c>
      <c r="X44" s="0" t="str">
        <f aca="false">TEXT(B44,"mmmm")</f>
        <v>October</v>
      </c>
      <c r="Y44" s="4" t="n">
        <f aca="false">YEAR(B44)</f>
        <v>2025</v>
      </c>
      <c r="Z44" s="0" t="str">
        <f aca="false">PROPER(TRIM(AU44))</f>
        <v>Paid</v>
      </c>
      <c r="AA44" s="0" t="str">
        <f aca="false">PROPER(TRIM(AV44))</f>
        <v>Completed</v>
      </c>
      <c r="AB44" s="0" t="str">
        <f aca="false">IF(TRIM(AN44)="","Yes","No")</f>
        <v>No</v>
      </c>
      <c r="AC44" s="0" t="str">
        <f aca="false">IF(TRIM(AS44)="","Yes","No")</f>
        <v>No</v>
      </c>
      <c r="AD44" s="0" t="str">
        <f aca="false">IF(AT44="","Yes","No")</f>
        <v>No</v>
      </c>
      <c r="AE44" s="0" t="str">
        <f aca="false">IF(W44&lt;0,"Yes","No")</f>
        <v>No</v>
      </c>
      <c r="AF44" s="0" t="str">
        <f aca="false">IF(P44="","No",IF(OR(P44&lt;0,P44&gt;0.3),"Yes","No"))</f>
        <v>No</v>
      </c>
      <c r="AG44" s="4" t="s">
        <v>50</v>
      </c>
      <c r="AH44" s="0" t="str">
        <f aca="false">IF(AND(AA44="Completed",Z44="Paid"),"Yes","No")</f>
        <v>Yes</v>
      </c>
      <c r="AI44" s="0" t="str">
        <f aca="false">IF(OR(AE44="Yes",AF44="Yes",AG44="Yes"),"Invalid",IF(OR(AB44="Yes",AC44="Yes",AD44="Yes"),"Warning","Clean"))</f>
        <v>Clean</v>
      </c>
      <c r="AJ44" s="4" t="s">
        <v>298</v>
      </c>
      <c r="AK44" s="4" t="s">
        <v>299</v>
      </c>
      <c r="AL44" s="4" t="s">
        <v>86</v>
      </c>
      <c r="AM44" s="4" t="s">
        <v>128</v>
      </c>
      <c r="AN44" s="4" t="s">
        <v>69</v>
      </c>
      <c r="AO44" s="4" t="s">
        <v>300</v>
      </c>
      <c r="AP44" s="4" t="s">
        <v>301</v>
      </c>
      <c r="AQ44" s="4" t="s">
        <v>109</v>
      </c>
      <c r="AR44" s="4" t="s">
        <v>227</v>
      </c>
      <c r="AS44" s="4" t="s">
        <v>91</v>
      </c>
      <c r="AT44" s="0" t="n">
        <v>0.05</v>
      </c>
      <c r="AU44" s="4" t="s">
        <v>61</v>
      </c>
      <c r="AV44" s="4" t="s">
        <v>62</v>
      </c>
    </row>
    <row r="45" customFormat="false" ht="15" hidden="false" customHeight="false" outlineLevel="0" collapsed="false">
      <c r="A45" s="0" t="s">
        <v>302</v>
      </c>
      <c r="B45" s="3" t="n">
        <f aca="false">IF(AJ45="","",IF(ISNUMBER(SEARCH("/",AJ45)),DATE(VALUE(RIGHT(AJ45,4)),VALUE(LEFT(AJ45,2)),VALUE(MID(AJ45,4,2))),IF(ISNUMBER(SEARCH("-",AJ45)),IF(LEN(LEFT(AJ45,FIND("-",AJ45)-1))=4,DATE(VALUE(LEFT(AJ45,4)),VALUE(MID(AJ45,6,2)),VALUE(RIGHT(AJ45,2))),DATE(VALUE(RIGHT(AJ45,4)),VALUE(MID(AJ45,4,2)),VALUE(LEFT(AJ45,2)))),DATE(VALUE(RIGHT(AJ45,4)),MATCH(MID(AJ45,4,3),{"Jan","Feb","Mar","Apr","May","Jun","Jul","Aug","Sep","Oct","Nov","Dec"},0),VALUE(LEFT(AJ45,2))))))</f>
        <v>45481</v>
      </c>
      <c r="C45" s="3" t="n">
        <f aca="false">IF(AK45="","",IF(ISNUMBER(SEARCH("/",AK45)),DATE(VALUE(RIGHT(AK45,4)),VALUE(LEFT(AK45,2)),VALUE(MID(AK45,4,2))),IF(ISNUMBER(SEARCH("-",AK45)),IF(LEN(LEFT(AK45,FIND("-",AK45)-1))=4,DATE(VALUE(LEFT(AK45,4)),VALUE(MID(AK45,6,2)),VALUE(RIGHT(AK45,2))),DATE(VALUE(RIGHT(AK45,4)),VALUE(MID(AK45,4,2)),VALUE(LEFT(AK45,2)))),DATE(VALUE(RIGHT(AK45,4)),MATCH(MID(AK45,4,3),{"Jan","Feb","Mar","Apr","May","Jun","Jul","Aug","Sep","Oct","Nov","Dec"},0),VALUE(LEFT(AK45,2))))))</f>
        <v>45487</v>
      </c>
      <c r="D45" s="4" t="s">
        <v>303</v>
      </c>
      <c r="E45" s="0" t="str">
        <f aca="false">PROPER(TRIM(AL45))</f>
        <v>Priya Menon</v>
      </c>
      <c r="F45" s="0" t="str">
        <f aca="false">PROPER(TRIM(AM45))</f>
        <v>Small Business</v>
      </c>
      <c r="G45" s="0" t="str">
        <f aca="false">IF(TRIM(AN45)="","Unknown",PROPER(TRIM(AN45)))</f>
        <v>East</v>
      </c>
      <c r="H45" s="0" t="str">
        <f aca="false">PROPER(TRIM(AO45))</f>
        <v>Odisha</v>
      </c>
      <c r="I45" s="0" t="str">
        <f aca="false">PROPER(TRIM(AP45))</f>
        <v>Bhubaneswar</v>
      </c>
      <c r="J45" s="0" t="str">
        <f aca="false">PROPER(TRIM(AQ45))</f>
        <v>Furniture</v>
      </c>
      <c r="K45" s="0" t="str">
        <f aca="false">PROPER(TRIM(AR45))</f>
        <v>Furnishings</v>
      </c>
      <c r="M45" s="0" t="str">
        <f aca="false">IF(TRIM(AS45)="","Unknown",PROPER(TRIM(AS45)))</f>
        <v>Same Day</v>
      </c>
      <c r="N45" s="0" t="n">
        <v>3</v>
      </c>
      <c r="O45" s="0" t="n">
        <v>1010.23</v>
      </c>
      <c r="P45" s="5" t="n">
        <f aca="false">IF(AT45="","",IF(ISNUMBER(AT45),AT45,VALUE(SUBSTITUTE(AT45,"%",""))/100))</f>
        <v>0</v>
      </c>
      <c r="Q45" s="5" t="n">
        <f aca="false">IF(P45="",IF(AND(N45&lt;&gt;"",O45&lt;&gt;"",R45&lt;&gt;"",S45&lt;&gt;""),0,"REVIEW"),IF(OR(P45&lt;0,P45&gt;0.3),0,P45))</f>
        <v>0</v>
      </c>
      <c r="R45" s="0" t="n">
        <v>3030.69</v>
      </c>
      <c r="S45" s="0" t="n">
        <v>1721.08</v>
      </c>
      <c r="T45" s="6" t="n">
        <f aca="false">N45*O45*(1-Q45)</f>
        <v>3030.69</v>
      </c>
      <c r="U45" s="6" t="n">
        <f aca="false">T45-S45</f>
        <v>1309.61</v>
      </c>
      <c r="V45" s="7" t="n">
        <f aca="false">IF(T45=0,0,U45/T45)</f>
        <v>0.432116118771633</v>
      </c>
      <c r="W45" s="4" t="n">
        <f aca="false">C45-B45</f>
        <v>6</v>
      </c>
      <c r="X45" s="0" t="str">
        <f aca="false">TEXT(B45,"mmmm")</f>
        <v>July</v>
      </c>
      <c r="Y45" s="4" t="n">
        <f aca="false">YEAR(B45)</f>
        <v>2024</v>
      </c>
      <c r="Z45" s="0" t="str">
        <f aca="false">PROPER(TRIM(AU45))</f>
        <v>Paid</v>
      </c>
      <c r="AA45" s="0" t="str">
        <f aca="false">PROPER(TRIM(AV45))</f>
        <v>Completed</v>
      </c>
      <c r="AB45" s="0" t="str">
        <f aca="false">IF(TRIM(AN45)="","Yes","No")</f>
        <v>No</v>
      </c>
      <c r="AC45" s="0" t="str">
        <f aca="false">IF(TRIM(AS45)="","Yes","No")</f>
        <v>No</v>
      </c>
      <c r="AD45" s="0" t="str">
        <f aca="false">IF(AT45="","Yes","No")</f>
        <v>No</v>
      </c>
      <c r="AE45" s="0" t="str">
        <f aca="false">IF(W45&lt;0,"Yes","No")</f>
        <v>No</v>
      </c>
      <c r="AF45" s="0" t="str">
        <f aca="false">IF(P45="","No",IF(OR(P45&lt;0,P45&gt;0.3),"Yes","No"))</f>
        <v>No</v>
      </c>
      <c r="AG45" s="4" t="s">
        <v>50</v>
      </c>
      <c r="AH45" s="0" t="str">
        <f aca="false">IF(AND(AA45="Completed",Z45="Paid"),"Yes","No")</f>
        <v>Yes</v>
      </c>
      <c r="AI45" s="0" t="str">
        <f aca="false">IF(OR(AE45="Yes",AF45="Yes",AG45="Yes"),"Invalid",IF(OR(AB45="Yes",AC45="Yes",AD45="Yes"),"Warning","Clean"))</f>
        <v>Clean</v>
      </c>
      <c r="AJ45" s="4" t="s">
        <v>304</v>
      </c>
      <c r="AK45" s="4" t="s">
        <v>305</v>
      </c>
      <c r="AL45" s="4" t="s">
        <v>158</v>
      </c>
      <c r="AM45" s="4" t="s">
        <v>68</v>
      </c>
      <c r="AN45" s="4" t="s">
        <v>69</v>
      </c>
      <c r="AO45" s="4" t="s">
        <v>70</v>
      </c>
      <c r="AP45" s="4" t="s">
        <v>71</v>
      </c>
      <c r="AQ45" s="4" t="s">
        <v>72</v>
      </c>
      <c r="AR45" s="4" t="s">
        <v>90</v>
      </c>
      <c r="AS45" s="4" t="s">
        <v>74</v>
      </c>
      <c r="AT45" s="0" t="n">
        <v>0</v>
      </c>
      <c r="AU45" s="4" t="s">
        <v>61</v>
      </c>
      <c r="AV45" s="4" t="s">
        <v>62</v>
      </c>
    </row>
    <row r="46" customFormat="false" ht="15" hidden="false" customHeight="false" outlineLevel="0" collapsed="false">
      <c r="A46" s="0" t="s">
        <v>306</v>
      </c>
      <c r="B46" s="3" t="n">
        <f aca="false">IF(AJ46="","",IF(ISNUMBER(SEARCH("/",AJ46)),DATE(VALUE(RIGHT(AJ46,4)),VALUE(LEFT(AJ46,2)),VALUE(MID(AJ46,4,2))),IF(ISNUMBER(SEARCH("-",AJ46)),IF(LEN(LEFT(AJ46,FIND("-",AJ46)-1))=4,DATE(VALUE(LEFT(AJ46,4)),VALUE(MID(AJ46,6,2)),VALUE(RIGHT(AJ46,2))),DATE(VALUE(RIGHT(AJ46,4)),VALUE(MID(AJ46,4,2)),VALUE(LEFT(AJ46,2)))),DATE(VALUE(RIGHT(AJ46,4)),MATCH(MID(AJ46,4,3),{"Jan","Feb","Mar","Apr","May","Jun","Jul","Aug","Sep","Oct","Nov","Dec"},0),VALUE(LEFT(AJ46,2))))))</f>
        <v>45465</v>
      </c>
      <c r="C46" s="3" t="n">
        <f aca="false">IF(AK46="","",IF(ISNUMBER(SEARCH("/",AK46)),DATE(VALUE(RIGHT(AK46,4)),VALUE(LEFT(AK46,2)),VALUE(MID(AK46,4,2))),IF(ISNUMBER(SEARCH("-",AK46)),IF(LEN(LEFT(AK46,FIND("-",AK46)-1))=4,DATE(VALUE(LEFT(AK46,4)),VALUE(MID(AK46,6,2)),VALUE(RIGHT(AK46,2))),DATE(VALUE(RIGHT(AK46,4)),VALUE(MID(AK46,4,2)),VALUE(LEFT(AK46,2)))),DATE(VALUE(RIGHT(AK46,4)),MATCH(MID(AK46,4,3),{"Jan","Feb","Mar","Apr","May","Jun","Jul","Aug","Sep","Oct","Nov","Dec"},0),VALUE(LEFT(AK46,2))))))</f>
        <v>45468</v>
      </c>
      <c r="D46" s="4" t="s">
        <v>307</v>
      </c>
      <c r="E46" s="0" t="str">
        <f aca="false">PROPER(TRIM(AL46))</f>
        <v>Rohan Mehta</v>
      </c>
      <c r="F46" s="0" t="str">
        <f aca="false">PROPER(TRIM(AM46))</f>
        <v>Small Business</v>
      </c>
      <c r="G46" s="0" t="str">
        <f aca="false">IF(TRIM(AN46)="","Unknown",PROPER(TRIM(AN46)))</f>
        <v>North</v>
      </c>
      <c r="H46" s="0" t="str">
        <f aca="false">PROPER(TRIM(AO46))</f>
        <v>Haryana</v>
      </c>
      <c r="I46" s="0" t="str">
        <f aca="false">PROPER(TRIM(AP46))</f>
        <v>Gurugram</v>
      </c>
      <c r="J46" s="0" t="str">
        <f aca="false">PROPER(TRIM(AQ46))</f>
        <v>Furniture</v>
      </c>
      <c r="K46" s="0" t="str">
        <f aca="false">PROPER(TRIM(AR46))</f>
        <v>Chairs</v>
      </c>
      <c r="M46" s="0" t="str">
        <f aca="false">IF(TRIM(AS46)="","Unknown",PROPER(TRIM(AS46)))</f>
        <v>Standard Class</v>
      </c>
      <c r="N46" s="0" t="n">
        <v>9</v>
      </c>
      <c r="O46" s="0" t="n">
        <v>3329.77</v>
      </c>
      <c r="P46" s="5" t="n">
        <f aca="false">IF(AT46="","",IF(ISNUMBER(AT46),AT46,VALUE(SUBSTITUTE(AT46,"%",""))/100))</f>
        <v>0.1</v>
      </c>
      <c r="Q46" s="5" t="n">
        <f aca="false">IF(P46="",IF(AND(N46&lt;&gt;"",O46&lt;&gt;"",R46&lt;&gt;"",S46&lt;&gt;""),0,"REVIEW"),IF(OR(P46&lt;0,P46&gt;0.3),0,P46))</f>
        <v>0.1</v>
      </c>
      <c r="R46" s="0" t="n">
        <v>26971.14</v>
      </c>
      <c r="S46" s="0" t="n">
        <v>17376.2</v>
      </c>
      <c r="T46" s="6" t="n">
        <f aca="false">N46*O46*(1-Q46)</f>
        <v>26971.137</v>
      </c>
      <c r="U46" s="6" t="n">
        <f aca="false">T46-S46</f>
        <v>9594.937</v>
      </c>
      <c r="V46" s="7" t="n">
        <f aca="false">IF(T46=0,0,U46/T46)</f>
        <v>0.355748332003949</v>
      </c>
      <c r="W46" s="4" t="n">
        <f aca="false">C46-B46</f>
        <v>3</v>
      </c>
      <c r="X46" s="0" t="str">
        <f aca="false">TEXT(B46,"mmmm")</f>
        <v>June</v>
      </c>
      <c r="Y46" s="4" t="n">
        <f aca="false">YEAR(B46)</f>
        <v>2024</v>
      </c>
      <c r="Z46" s="0" t="str">
        <f aca="false">PROPER(TRIM(AU46))</f>
        <v>Paid</v>
      </c>
      <c r="AA46" s="0" t="str">
        <f aca="false">PROPER(TRIM(AV46))</f>
        <v>Completed</v>
      </c>
      <c r="AB46" s="0" t="str">
        <f aca="false">IF(TRIM(AN46)="","Yes","No")</f>
        <v>No</v>
      </c>
      <c r="AC46" s="0" t="str">
        <f aca="false">IF(TRIM(AS46)="","Yes","No")</f>
        <v>No</v>
      </c>
      <c r="AD46" s="0" t="str">
        <f aca="false">IF(AT46="","Yes","No")</f>
        <v>No</v>
      </c>
      <c r="AE46" s="0" t="str">
        <f aca="false">IF(W46&lt;0,"Yes","No")</f>
        <v>No</v>
      </c>
      <c r="AF46" s="0" t="str">
        <f aca="false">IF(P46="","No",IF(OR(P46&lt;0,P46&gt;0.3),"Yes","No"))</f>
        <v>No</v>
      </c>
      <c r="AG46" s="4" t="s">
        <v>50</v>
      </c>
      <c r="AH46" s="0" t="str">
        <f aca="false">IF(AND(AA46="Completed",Z46="Paid"),"Yes","No")</f>
        <v>Yes</v>
      </c>
      <c r="AI46" s="0" t="str">
        <f aca="false">IF(OR(AE46="Yes",AF46="Yes",AG46="Yes"),"Invalid",IF(OR(AB46="Yes",AC46="Yes",AD46="Yes"),"Warning","Clean"))</f>
        <v>Clean</v>
      </c>
      <c r="AJ46" s="4" t="s">
        <v>308</v>
      </c>
      <c r="AK46" s="4" t="s">
        <v>309</v>
      </c>
      <c r="AL46" s="4" t="s">
        <v>191</v>
      </c>
      <c r="AM46" s="4" t="s">
        <v>68</v>
      </c>
      <c r="AN46" s="4" t="s">
        <v>168</v>
      </c>
      <c r="AO46" s="4" t="s">
        <v>310</v>
      </c>
      <c r="AP46" s="4" t="s">
        <v>311</v>
      </c>
      <c r="AQ46" s="4" t="s">
        <v>72</v>
      </c>
      <c r="AR46" s="4" t="s">
        <v>100</v>
      </c>
      <c r="AS46" s="4" t="s">
        <v>91</v>
      </c>
      <c r="AT46" s="0" t="n">
        <v>0.1</v>
      </c>
      <c r="AU46" s="4" t="s">
        <v>61</v>
      </c>
      <c r="AV46" s="4" t="s">
        <v>62</v>
      </c>
    </row>
    <row r="47" customFormat="false" ht="15" hidden="false" customHeight="false" outlineLevel="0" collapsed="false">
      <c r="A47" s="0" t="s">
        <v>312</v>
      </c>
      <c r="B47" s="3" t="n">
        <f aca="false">IF(AJ47="","",IF(ISNUMBER(SEARCH("/",AJ47)),DATE(VALUE(RIGHT(AJ47,4)),VALUE(LEFT(AJ47,2)),VALUE(MID(AJ47,4,2))),IF(ISNUMBER(SEARCH("-",AJ47)),IF(LEN(LEFT(AJ47,FIND("-",AJ47)-1))=4,DATE(VALUE(LEFT(AJ47,4)),VALUE(MID(AJ47,6,2)),VALUE(RIGHT(AJ47,2))),DATE(VALUE(RIGHT(AJ47,4)),VALUE(MID(AJ47,4,2)),VALUE(LEFT(AJ47,2)))),DATE(VALUE(RIGHT(AJ47,4)),MATCH(MID(AJ47,4,3),{"Jan","Feb","Mar","Apr","May","Jun","Jul","Aug","Sep","Oct","Nov","Dec"},0),VALUE(LEFT(AJ47,2))))))</f>
        <v>45309</v>
      </c>
      <c r="C47" s="3" t="n">
        <f aca="false">IF(AK47="","",IF(ISNUMBER(SEARCH("/",AK47)),DATE(VALUE(RIGHT(AK47,4)),VALUE(LEFT(AK47,2)),VALUE(MID(AK47,4,2))),IF(ISNUMBER(SEARCH("-",AK47)),IF(LEN(LEFT(AK47,FIND("-",AK47)-1))=4,DATE(VALUE(LEFT(AK47,4)),VALUE(MID(AK47,6,2)),VALUE(RIGHT(AK47,2))),DATE(VALUE(RIGHT(AK47,4)),VALUE(MID(AK47,4,2)),VALUE(LEFT(AK47,2)))),DATE(VALUE(RIGHT(AK47,4)),MATCH(MID(AK47,4,3),{"Jan","Feb","Mar","Apr","May","Jun","Jul","Aug","Sep","Oct","Nov","Dec"},0),VALUE(LEFT(AK47,2))))))</f>
        <v>45315</v>
      </c>
      <c r="D47" s="4" t="s">
        <v>313</v>
      </c>
      <c r="E47" s="0" t="str">
        <f aca="false">PROPER(TRIM(AL47))</f>
        <v>Isha Nair</v>
      </c>
      <c r="F47" s="0" t="str">
        <f aca="false">PROPER(TRIM(AM47))</f>
        <v>Home Office</v>
      </c>
      <c r="G47" s="0" t="str">
        <f aca="false">IF(TRIM(AN47)="","Unknown",PROPER(TRIM(AN47)))</f>
        <v>East</v>
      </c>
      <c r="H47" s="0" t="str">
        <f aca="false">PROPER(TRIM(AO47))</f>
        <v>Bihar</v>
      </c>
      <c r="I47" s="0" t="str">
        <f aca="false">PROPER(TRIM(AP47))</f>
        <v>Patna</v>
      </c>
      <c r="J47" s="0" t="str">
        <f aca="false">PROPER(TRIM(AQ47))</f>
        <v>Office Supplies</v>
      </c>
      <c r="K47" s="0" t="str">
        <f aca="false">PROPER(TRIM(AR47))</f>
        <v>Art</v>
      </c>
      <c r="M47" s="0" t="str">
        <f aca="false">IF(TRIM(AS47)="","Unknown",PROPER(TRIM(AS47)))</f>
        <v>Second Class</v>
      </c>
      <c r="N47" s="0" t="n">
        <v>8</v>
      </c>
      <c r="O47" s="0" t="n">
        <v>3927.82</v>
      </c>
      <c r="P47" s="5" t="n">
        <f aca="false">IF(AT47="","",IF(ISNUMBER(AT47),AT47,VALUE(SUBSTITUTE(AT47,"%",""))/100))</f>
        <v>0.05</v>
      </c>
      <c r="Q47" s="5" t="n">
        <f aca="false">IF(P47="",IF(AND(N47&lt;&gt;"",O47&lt;&gt;"",R47&lt;&gt;"",S47&lt;&gt;""),0,"REVIEW"),IF(OR(P47&lt;0,P47&gt;0.3),0,P47))</f>
        <v>0.05</v>
      </c>
      <c r="R47" s="0" t="n">
        <v>29851.43</v>
      </c>
      <c r="S47" s="0" t="n">
        <v>17487.48</v>
      </c>
      <c r="T47" s="6" t="n">
        <f aca="false">N47*O47*(1-Q47)</f>
        <v>29851.432</v>
      </c>
      <c r="U47" s="6" t="n">
        <f aca="false">T47-S47</f>
        <v>12363.952</v>
      </c>
      <c r="V47" s="7" t="n">
        <f aca="false">IF(T47=0,0,U47/T47)</f>
        <v>0.414182877390941</v>
      </c>
      <c r="W47" s="4" t="n">
        <f aca="false">C47-B47</f>
        <v>6</v>
      </c>
      <c r="X47" s="0" t="str">
        <f aca="false">TEXT(B47,"mmmm")</f>
        <v>January</v>
      </c>
      <c r="Y47" s="4" t="n">
        <f aca="false">YEAR(B47)</f>
        <v>2024</v>
      </c>
      <c r="Z47" s="0" t="str">
        <f aca="false">PROPER(TRIM(AU47))</f>
        <v>Pending</v>
      </c>
      <c r="AA47" s="0" t="str">
        <f aca="false">PROPER(TRIM(AV47))</f>
        <v>Returned</v>
      </c>
      <c r="AB47" s="0" t="str">
        <f aca="false">IF(TRIM(AN47)="","Yes","No")</f>
        <v>No</v>
      </c>
      <c r="AC47" s="0" t="str">
        <f aca="false">IF(TRIM(AS47)="","Yes","No")</f>
        <v>No</v>
      </c>
      <c r="AD47" s="0" t="str">
        <f aca="false">IF(AT47="","Yes","No")</f>
        <v>No</v>
      </c>
      <c r="AE47" s="0" t="str">
        <f aca="false">IF(W47&lt;0,"Yes","No")</f>
        <v>No</v>
      </c>
      <c r="AF47" s="0" t="str">
        <f aca="false">IF(P47="","No",IF(OR(P47&lt;0,P47&gt;0.3),"Yes","No"))</f>
        <v>No</v>
      </c>
      <c r="AG47" s="4" t="s">
        <v>50</v>
      </c>
      <c r="AH47" s="0" t="str">
        <f aca="false">IF(AND(AA47="Completed",Z47="Paid"),"Yes","No")</f>
        <v>No</v>
      </c>
      <c r="AI47" s="0" t="str">
        <f aca="false">IF(OR(AE47="Yes",AF47="Yes",AG47="Yes"),"Invalid",IF(OR(AB47="Yes",AC47="Yes",AD47="Yes"),"Warning","Clean"))</f>
        <v>Clean</v>
      </c>
      <c r="AJ47" s="4" t="s">
        <v>314</v>
      </c>
      <c r="AK47" s="4" t="s">
        <v>315</v>
      </c>
      <c r="AL47" s="4" t="s">
        <v>79</v>
      </c>
      <c r="AM47" s="4" t="s">
        <v>134</v>
      </c>
      <c r="AN47" s="4" t="s">
        <v>69</v>
      </c>
      <c r="AO47" s="4" t="s">
        <v>196</v>
      </c>
      <c r="AP47" s="4" t="s">
        <v>197</v>
      </c>
      <c r="AQ47" s="4" t="s">
        <v>58</v>
      </c>
      <c r="AR47" s="4" t="s">
        <v>80</v>
      </c>
      <c r="AS47" s="4" t="s">
        <v>60</v>
      </c>
      <c r="AT47" s="0" t="n">
        <v>0.05</v>
      </c>
      <c r="AU47" s="4" t="s">
        <v>153</v>
      </c>
      <c r="AV47" s="4" t="s">
        <v>142</v>
      </c>
    </row>
    <row r="48" customFormat="false" ht="15" hidden="false" customHeight="false" outlineLevel="0" collapsed="false">
      <c r="A48" s="0" t="s">
        <v>316</v>
      </c>
      <c r="B48" s="3" t="n">
        <f aca="false">IF(AJ48="","",IF(ISNUMBER(SEARCH("/",AJ48)),DATE(VALUE(RIGHT(AJ48,4)),VALUE(LEFT(AJ48,2)),VALUE(MID(AJ48,4,2))),IF(ISNUMBER(SEARCH("-",AJ48)),IF(LEN(LEFT(AJ48,FIND("-",AJ48)-1))=4,DATE(VALUE(LEFT(AJ48,4)),VALUE(MID(AJ48,6,2)),VALUE(RIGHT(AJ48,2))),DATE(VALUE(RIGHT(AJ48,4)),VALUE(MID(AJ48,4,2)),VALUE(LEFT(AJ48,2)))),DATE(VALUE(RIGHT(AJ48,4)),MATCH(MID(AJ48,4,3),{"Jan","Feb","Mar","Apr","May","Jun","Jul","Aug","Sep","Oct","Nov","Dec"},0),VALUE(LEFT(AJ48,2))))))</f>
        <v>45492</v>
      </c>
      <c r="C48" s="3" t="n">
        <f aca="false">IF(AK48="","",IF(ISNUMBER(SEARCH("/",AK48)),DATE(VALUE(RIGHT(AK48,4)),VALUE(LEFT(AK48,2)),VALUE(MID(AK48,4,2))),IF(ISNUMBER(SEARCH("-",AK48)),IF(LEN(LEFT(AK48,FIND("-",AK48)-1))=4,DATE(VALUE(LEFT(AK48,4)),VALUE(MID(AK48,6,2)),VALUE(RIGHT(AK48,2))),DATE(VALUE(RIGHT(AK48,4)),VALUE(MID(AK48,4,2)),VALUE(LEFT(AK48,2)))),DATE(VALUE(RIGHT(AK48,4)),MATCH(MID(AK48,4,3),{"Jan","Feb","Mar","Apr","May","Jun","Jul","Aug","Sep","Oct","Nov","Dec"},0),VALUE(LEFT(AK48,2))))))</f>
        <v>45492</v>
      </c>
      <c r="D48" s="4" t="s">
        <v>317</v>
      </c>
      <c r="E48" s="0" t="str">
        <f aca="false">PROPER(TRIM(AL48))</f>
        <v>Ananya Rao</v>
      </c>
      <c r="F48" s="0" t="str">
        <f aca="false">PROPER(TRIM(AM48))</f>
        <v>Small Business</v>
      </c>
      <c r="G48" s="0" t="str">
        <f aca="false">IF(TRIM(AN48)="","Unknown",PROPER(TRIM(AN48)))</f>
        <v>South</v>
      </c>
      <c r="H48" s="0" t="str">
        <f aca="false">PROPER(TRIM(AO48))</f>
        <v>Kerala</v>
      </c>
      <c r="I48" s="0" t="str">
        <f aca="false">PROPER(TRIM(AP48))</f>
        <v>Kochi</v>
      </c>
      <c r="J48" s="0" t="str">
        <f aca="false">PROPER(TRIM(AQ48))</f>
        <v>Furniture</v>
      </c>
      <c r="K48" s="0" t="str">
        <f aca="false">PROPER(TRIM(AR48))</f>
        <v>Bookcases</v>
      </c>
      <c r="M48" s="0" t="str">
        <f aca="false">IF(TRIM(AS48)="","Unknown",PROPER(TRIM(AS48)))</f>
        <v>Standard Class</v>
      </c>
      <c r="N48" s="0" t="n">
        <v>9</v>
      </c>
      <c r="O48" s="0" t="n">
        <v>2386.79</v>
      </c>
      <c r="P48" s="5" t="n">
        <f aca="false">IF(AT48="","",IF(ISNUMBER(AT48),AT48,VALUE(SUBSTITUTE(AT48,"%",""))/100))</f>
        <v>0.25</v>
      </c>
      <c r="Q48" s="5" t="n">
        <f aca="false">IF(P48="",IF(AND(N48&lt;&gt;"",O48&lt;&gt;"",R48&lt;&gt;"",S48&lt;&gt;""),0,"REVIEW"),IF(OR(P48&lt;0,P48&gt;0.3),0,P48))</f>
        <v>0.25</v>
      </c>
      <c r="R48" s="0" t="n">
        <v>16110.83</v>
      </c>
      <c r="S48" s="0" t="n">
        <v>10680.03</v>
      </c>
      <c r="T48" s="6" t="n">
        <f aca="false">N48*O48*(1-Q48)</f>
        <v>16110.8325</v>
      </c>
      <c r="U48" s="6" t="n">
        <f aca="false">T48-S48</f>
        <v>5430.8025</v>
      </c>
      <c r="V48" s="7" t="n">
        <f aca="false">IF(T48=0,0,U48/T48)</f>
        <v>0.337090122437807</v>
      </c>
      <c r="W48" s="4" t="n">
        <f aca="false">C48-B48</f>
        <v>0</v>
      </c>
      <c r="X48" s="0" t="str">
        <f aca="false">TEXT(B48,"mmmm")</f>
        <v>July</v>
      </c>
      <c r="Y48" s="4" t="n">
        <f aca="false">YEAR(B48)</f>
        <v>2024</v>
      </c>
      <c r="Z48" s="0" t="str">
        <f aca="false">PROPER(TRIM(AU48))</f>
        <v>Refunded</v>
      </c>
      <c r="AA48" s="0" t="str">
        <f aca="false">PROPER(TRIM(AV48))</f>
        <v>Returned</v>
      </c>
      <c r="AB48" s="0" t="str">
        <f aca="false">IF(TRIM(AN48)="","Yes","No")</f>
        <v>No</v>
      </c>
      <c r="AC48" s="0" t="str">
        <f aca="false">IF(TRIM(AS48)="","Yes","No")</f>
        <v>No</v>
      </c>
      <c r="AD48" s="0" t="str">
        <f aca="false">IF(AT48="","Yes","No")</f>
        <v>No</v>
      </c>
      <c r="AE48" s="0" t="str">
        <f aca="false">IF(W48&lt;0,"Yes","No")</f>
        <v>No</v>
      </c>
      <c r="AF48" s="0" t="str">
        <f aca="false">IF(P48="","No",IF(OR(P48&lt;0,P48&gt;0.3),"Yes","No"))</f>
        <v>No</v>
      </c>
      <c r="AG48" s="4" t="s">
        <v>50</v>
      </c>
      <c r="AH48" s="0" t="str">
        <f aca="false">IF(AND(AA48="Completed",Z48="Paid"),"Yes","No")</f>
        <v>No</v>
      </c>
      <c r="AI48" s="0" t="str">
        <f aca="false">IF(OR(AE48="Yes",AF48="Yes",AG48="Yes"),"Invalid",IF(OR(AB48="Yes",AC48="Yes",AD48="Yes"),"Warning","Clean"))</f>
        <v>Clean</v>
      </c>
      <c r="AJ48" s="4" t="s">
        <v>318</v>
      </c>
      <c r="AK48" s="4" t="s">
        <v>318</v>
      </c>
      <c r="AL48" s="4" t="s">
        <v>96</v>
      </c>
      <c r="AM48" s="4" t="s">
        <v>68</v>
      </c>
      <c r="AN48" s="4" t="s">
        <v>87</v>
      </c>
      <c r="AO48" s="4" t="s">
        <v>244</v>
      </c>
      <c r="AP48" s="4" t="s">
        <v>245</v>
      </c>
      <c r="AQ48" s="4" t="s">
        <v>72</v>
      </c>
      <c r="AR48" s="4" t="s">
        <v>211</v>
      </c>
      <c r="AS48" s="4" t="s">
        <v>91</v>
      </c>
      <c r="AT48" s="0" t="n">
        <v>0.25</v>
      </c>
      <c r="AU48" s="4" t="s">
        <v>141</v>
      </c>
      <c r="AV48" s="4" t="s">
        <v>142</v>
      </c>
    </row>
    <row r="49" customFormat="false" ht="15" hidden="false" customHeight="false" outlineLevel="0" collapsed="false">
      <c r="A49" s="0" t="s">
        <v>319</v>
      </c>
      <c r="B49" s="3" t="n">
        <f aca="false">IF(AJ49="","",IF(ISNUMBER(SEARCH("/",AJ49)),DATE(VALUE(RIGHT(AJ49,4)),VALUE(LEFT(AJ49,2)),VALUE(MID(AJ49,4,2))),IF(ISNUMBER(SEARCH("-",AJ49)),IF(LEN(LEFT(AJ49,FIND("-",AJ49)-1))=4,DATE(VALUE(LEFT(AJ49,4)),VALUE(MID(AJ49,6,2)),VALUE(RIGHT(AJ49,2))),DATE(VALUE(RIGHT(AJ49,4)),VALUE(MID(AJ49,4,2)),VALUE(LEFT(AJ49,2)))),DATE(VALUE(RIGHT(AJ49,4)),MATCH(MID(AJ49,4,3),{"Jan","Feb","Mar","Apr","May","Jun","Jul","Aug","Sep","Oct","Nov","Dec"},0),VALUE(LEFT(AJ49,2))))))</f>
        <v>45516</v>
      </c>
      <c r="C49" s="3" t="n">
        <f aca="false">IF(AK49="","",IF(ISNUMBER(SEARCH("/",AK49)),DATE(VALUE(RIGHT(AK49,4)),VALUE(LEFT(AK49,2)),VALUE(MID(AK49,4,2))),IF(ISNUMBER(SEARCH("-",AK49)),IF(LEN(LEFT(AK49,FIND("-",AK49)-1))=4,DATE(VALUE(LEFT(AK49,4)),VALUE(MID(AK49,6,2)),VALUE(RIGHT(AK49,2))),DATE(VALUE(RIGHT(AK49,4)),VALUE(MID(AK49,4,2)),VALUE(LEFT(AK49,2)))),DATE(VALUE(RIGHT(AK49,4)),MATCH(MID(AK49,4,3),{"Jan","Feb","Mar","Apr","May","Jun","Jul","Aug","Sep","Oct","Nov","Dec"},0),VALUE(LEFT(AK49,2))))))</f>
        <v>45516</v>
      </c>
      <c r="D49" s="4" t="s">
        <v>320</v>
      </c>
      <c r="E49" s="0" t="str">
        <f aca="false">PROPER(TRIM(AL49))</f>
        <v>Rahul Verma</v>
      </c>
      <c r="F49" s="0" t="str">
        <f aca="false">PROPER(TRIM(AM49))</f>
        <v>Corporate</v>
      </c>
      <c r="G49" s="0" t="str">
        <f aca="false">IF(TRIM(AN49)="","Unknown",PROPER(TRIM(AN49)))</f>
        <v>South</v>
      </c>
      <c r="H49" s="0" t="str">
        <f aca="false">PROPER(TRIM(AO49))</f>
        <v>Tamil Nadu</v>
      </c>
      <c r="I49" s="0" t="str">
        <f aca="false">PROPER(TRIM(AP49))</f>
        <v>Chennai</v>
      </c>
      <c r="J49" s="0" t="str">
        <f aca="false">PROPER(TRIM(AQ49))</f>
        <v>Office Supplies</v>
      </c>
      <c r="K49" s="0" t="str">
        <f aca="false">PROPER(TRIM(AR49))</f>
        <v>Storage</v>
      </c>
      <c r="M49" s="0" t="str">
        <f aca="false">IF(TRIM(AS49)="","Unknown",PROPER(TRIM(AS49)))</f>
        <v>Standard Class</v>
      </c>
      <c r="N49" s="0" t="n">
        <v>8</v>
      </c>
      <c r="O49" s="0" t="n">
        <v>2445.31</v>
      </c>
      <c r="P49" s="5" t="n">
        <f aca="false">IF(AT49="","",IF(ISNUMBER(AT49),AT49,VALUE(SUBSTITUTE(AT49,"%",""))/100))</f>
        <v>0.1</v>
      </c>
      <c r="Q49" s="5" t="n">
        <f aca="false">IF(P49="",IF(AND(N49&lt;&gt;"",O49&lt;&gt;"",R49&lt;&gt;"",S49&lt;&gt;""),0,"REVIEW"),IF(OR(P49&lt;0,P49&gt;0.3),0,P49))</f>
        <v>0.1</v>
      </c>
      <c r="R49" s="0" t="n">
        <v>17606.23</v>
      </c>
      <c r="S49" s="0" t="n">
        <v>12438.96</v>
      </c>
      <c r="T49" s="6" t="n">
        <f aca="false">N49*O49*(1-Q49)</f>
        <v>17606.232</v>
      </c>
      <c r="U49" s="6" t="n">
        <f aca="false">T49-S49</f>
        <v>5167.272</v>
      </c>
      <c r="V49" s="7" t="n">
        <f aca="false">IF(T49=0,0,U49/T49)</f>
        <v>0.293491077477566</v>
      </c>
      <c r="W49" s="4" t="n">
        <f aca="false">C49-B49</f>
        <v>0</v>
      </c>
      <c r="X49" s="0" t="str">
        <f aca="false">TEXT(B49,"mmmm")</f>
        <v>August</v>
      </c>
      <c r="Y49" s="4" t="n">
        <f aca="false">YEAR(B49)</f>
        <v>2024</v>
      </c>
      <c r="Z49" s="0" t="str">
        <f aca="false">PROPER(TRIM(AU49))</f>
        <v>Paid</v>
      </c>
      <c r="AA49" s="0" t="str">
        <f aca="false">PROPER(TRIM(AV49))</f>
        <v>Completed</v>
      </c>
      <c r="AB49" s="0" t="str">
        <f aca="false">IF(TRIM(AN49)="","Yes","No")</f>
        <v>No</v>
      </c>
      <c r="AC49" s="0" t="str">
        <f aca="false">IF(TRIM(AS49)="","Yes","No")</f>
        <v>No</v>
      </c>
      <c r="AD49" s="0" t="str">
        <f aca="false">IF(AT49="","Yes","No")</f>
        <v>No</v>
      </c>
      <c r="AE49" s="0" t="str">
        <f aca="false">IF(W49&lt;0,"Yes","No")</f>
        <v>No</v>
      </c>
      <c r="AF49" s="0" t="str">
        <f aca="false">IF(P49="","No",IF(OR(P49&lt;0,P49&gt;0.3),"Yes","No"))</f>
        <v>No</v>
      </c>
      <c r="AG49" s="4" t="s">
        <v>50</v>
      </c>
      <c r="AH49" s="0" t="str">
        <f aca="false">IF(AND(AA49="Completed",Z49="Paid"),"Yes","No")</f>
        <v>Yes</v>
      </c>
      <c r="AI49" s="0" t="str">
        <f aca="false">IF(OR(AE49="Yes",AF49="Yes",AG49="Yes"),"Invalid",IF(OR(AB49="Yes",AC49="Yes",AD49="Yes"),"Warning","Clean"))</f>
        <v>Clean</v>
      </c>
      <c r="AJ49" s="4" t="s">
        <v>321</v>
      </c>
      <c r="AK49" s="4" t="s">
        <v>322</v>
      </c>
      <c r="AL49" s="4" t="s">
        <v>163</v>
      </c>
      <c r="AM49" s="4" t="s">
        <v>128</v>
      </c>
      <c r="AN49" s="4" t="s">
        <v>87</v>
      </c>
      <c r="AO49" s="4" t="s">
        <v>323</v>
      </c>
      <c r="AP49" s="4" t="s">
        <v>324</v>
      </c>
      <c r="AQ49" s="4" t="s">
        <v>58</v>
      </c>
      <c r="AR49" s="4" t="s">
        <v>171</v>
      </c>
      <c r="AS49" s="4" t="s">
        <v>91</v>
      </c>
      <c r="AT49" s="0" t="n">
        <v>0.1</v>
      </c>
      <c r="AU49" s="4" t="s">
        <v>61</v>
      </c>
      <c r="AV49" s="4" t="s">
        <v>62</v>
      </c>
    </row>
    <row r="50" customFormat="false" ht="15" hidden="false" customHeight="false" outlineLevel="0" collapsed="false">
      <c r="A50" s="0" t="s">
        <v>325</v>
      </c>
      <c r="B50" s="3" t="n">
        <f aca="false">IF(AJ50="","",IF(ISNUMBER(SEARCH("/",AJ50)),DATE(VALUE(RIGHT(AJ50,4)),VALUE(LEFT(AJ50,2)),VALUE(MID(AJ50,4,2))),IF(ISNUMBER(SEARCH("-",AJ50)),IF(LEN(LEFT(AJ50,FIND("-",AJ50)-1))=4,DATE(VALUE(LEFT(AJ50,4)),VALUE(MID(AJ50,6,2)),VALUE(RIGHT(AJ50,2))),DATE(VALUE(RIGHT(AJ50,4)),VALUE(MID(AJ50,4,2)),VALUE(LEFT(AJ50,2)))),DATE(VALUE(RIGHT(AJ50,4)),MATCH(MID(AJ50,4,3),{"Jan","Feb","Mar","Apr","May","Jun","Jul","Aug","Sep","Oct","Nov","Dec"},0),VALUE(LEFT(AJ50,2))))))</f>
        <v>45687</v>
      </c>
      <c r="C50" s="3" t="n">
        <f aca="false">IF(AK50="","",IF(ISNUMBER(SEARCH("/",AK50)),DATE(VALUE(RIGHT(AK50,4)),VALUE(LEFT(AK50,2)),VALUE(MID(AK50,4,2))),IF(ISNUMBER(SEARCH("-",AK50)),IF(LEN(LEFT(AK50,FIND("-",AK50)-1))=4,DATE(VALUE(LEFT(AK50,4)),VALUE(MID(AK50,6,2)),VALUE(RIGHT(AK50,2))),DATE(VALUE(RIGHT(AK50,4)),VALUE(MID(AK50,4,2)),VALUE(LEFT(AK50,2)))),DATE(VALUE(RIGHT(AK50,4)),MATCH(MID(AK50,4,3),{"Jan","Feb","Mar","Apr","May","Jun","Jul","Aug","Sep","Oct","Nov","Dec"},0),VALUE(LEFT(AK50,2))))))</f>
        <v>45693</v>
      </c>
      <c r="D50" s="4" t="s">
        <v>326</v>
      </c>
      <c r="E50" s="0" t="str">
        <f aca="false">PROPER(TRIM(AL50))</f>
        <v>Neha Gupta</v>
      </c>
      <c r="F50" s="0" t="str">
        <f aca="false">PROPER(TRIM(AM50))</f>
        <v>Corporate</v>
      </c>
      <c r="G50" s="0" t="str">
        <f aca="false">IF(TRIM(AN50)="","Unknown",PROPER(TRIM(AN50)))</f>
        <v>West</v>
      </c>
      <c r="H50" s="0" t="str">
        <f aca="false">PROPER(TRIM(AO50))</f>
        <v>Maharashtra</v>
      </c>
      <c r="I50" s="0" t="str">
        <f aca="false">PROPER(TRIM(AP50))</f>
        <v>Mumbai</v>
      </c>
      <c r="J50" s="0" t="str">
        <f aca="false">PROPER(TRIM(AQ50))</f>
        <v>Furniture</v>
      </c>
      <c r="K50" s="0" t="str">
        <f aca="false">PROPER(TRIM(AR50))</f>
        <v>Chairs</v>
      </c>
      <c r="M50" s="0" t="str">
        <f aca="false">IF(TRIM(AS50)="","Unknown",PROPER(TRIM(AS50)))</f>
        <v>Second Class</v>
      </c>
      <c r="N50" s="0" t="n">
        <v>7</v>
      </c>
      <c r="O50" s="0" t="n">
        <v>4063.66</v>
      </c>
      <c r="P50" s="5" t="n">
        <f aca="false">IF(AT50="","",IF(ISNUMBER(AT50),AT50,VALUE(SUBSTITUTE(AT50,"%",""))/100))</f>
        <v>0</v>
      </c>
      <c r="Q50" s="5" t="n">
        <f aca="false">IF(P50="",IF(AND(N50&lt;&gt;"",O50&lt;&gt;"",R50&lt;&gt;"",S50&lt;&gt;""),0,"REVIEW"),IF(OR(P50&lt;0,P50&gt;0.3),0,P50))</f>
        <v>0</v>
      </c>
      <c r="R50" s="0" t="n">
        <v>28445.62</v>
      </c>
      <c r="S50" s="0" t="n">
        <v>20938.59</v>
      </c>
      <c r="T50" s="6" t="n">
        <f aca="false">N50*O50*(1-Q50)</f>
        <v>28445.62</v>
      </c>
      <c r="U50" s="6" t="n">
        <f aca="false">T50-S50</f>
        <v>7507.03</v>
      </c>
      <c r="V50" s="7" t="n">
        <f aca="false">IF(T50=0,0,U50/T50)</f>
        <v>0.263908116609868</v>
      </c>
      <c r="W50" s="4" t="n">
        <f aca="false">C50-B50</f>
        <v>6</v>
      </c>
      <c r="X50" s="0" t="str">
        <f aca="false">TEXT(B50,"mmmm")</f>
        <v>January</v>
      </c>
      <c r="Y50" s="4" t="n">
        <f aca="false">YEAR(B50)</f>
        <v>2025</v>
      </c>
      <c r="Z50" s="0" t="str">
        <f aca="false">PROPER(TRIM(AU50))</f>
        <v>Paid</v>
      </c>
      <c r="AA50" s="0" t="str">
        <f aca="false">PROPER(TRIM(AV50))</f>
        <v>Completed</v>
      </c>
      <c r="AB50" s="0" t="str">
        <f aca="false">IF(TRIM(AN50)="","Yes","No")</f>
        <v>No</v>
      </c>
      <c r="AC50" s="0" t="str">
        <f aca="false">IF(TRIM(AS50)="","Yes","No")</f>
        <v>No</v>
      </c>
      <c r="AD50" s="0" t="str">
        <f aca="false">IF(AT50="","Yes","No")</f>
        <v>No</v>
      </c>
      <c r="AE50" s="0" t="str">
        <f aca="false">IF(W50&lt;0,"Yes","No")</f>
        <v>No</v>
      </c>
      <c r="AF50" s="0" t="str">
        <f aca="false">IF(P50="","No",IF(OR(P50&lt;0,P50&gt;0.3),"Yes","No"))</f>
        <v>No</v>
      </c>
      <c r="AG50" s="4" t="s">
        <v>50</v>
      </c>
      <c r="AH50" s="0" t="str">
        <f aca="false">IF(AND(AA50="Completed",Z50="Paid"),"Yes","No")</f>
        <v>Yes</v>
      </c>
      <c r="AI50" s="0" t="str">
        <f aca="false">IF(OR(AE50="Yes",AF50="Yes",AG50="Yes"),"Invalid",IF(OR(AB50="Yes",AC50="Yes",AD50="Yes"),"Warning","Clean"))</f>
        <v>Clean</v>
      </c>
      <c r="AJ50" s="4" t="s">
        <v>327</v>
      </c>
      <c r="AK50" s="4" t="s">
        <v>328</v>
      </c>
      <c r="AL50" s="4" t="s">
        <v>115</v>
      </c>
      <c r="AM50" s="4" t="s">
        <v>128</v>
      </c>
      <c r="AN50" s="4" t="s">
        <v>97</v>
      </c>
      <c r="AO50" s="4" t="s">
        <v>98</v>
      </c>
      <c r="AP50" s="4" t="s">
        <v>99</v>
      </c>
      <c r="AQ50" s="4" t="s">
        <v>72</v>
      </c>
      <c r="AR50" s="4" t="s">
        <v>100</v>
      </c>
      <c r="AS50" s="4" t="s">
        <v>329</v>
      </c>
      <c r="AT50" s="0" t="n">
        <v>0</v>
      </c>
      <c r="AU50" s="4" t="s">
        <v>61</v>
      </c>
      <c r="AV50" s="4" t="s">
        <v>62</v>
      </c>
    </row>
    <row r="51" customFormat="false" ht="15" hidden="false" customHeight="false" outlineLevel="0" collapsed="false">
      <c r="A51" s="0" t="s">
        <v>330</v>
      </c>
      <c r="B51" s="3" t="n">
        <f aca="false">IF(AJ51="","",IF(ISNUMBER(SEARCH("/",AJ51)),DATE(VALUE(RIGHT(AJ51,4)),VALUE(LEFT(AJ51,2)),VALUE(MID(AJ51,4,2))),IF(ISNUMBER(SEARCH("-",AJ51)),IF(LEN(LEFT(AJ51,FIND("-",AJ51)-1))=4,DATE(VALUE(LEFT(AJ51,4)),VALUE(MID(AJ51,6,2)),VALUE(RIGHT(AJ51,2))),DATE(VALUE(RIGHT(AJ51,4)),VALUE(MID(AJ51,4,2)),VALUE(LEFT(AJ51,2)))),DATE(VALUE(RIGHT(AJ51,4)),MATCH(MID(AJ51,4,3),{"Jan","Feb","Mar","Apr","May","Jun","Jul","Aug","Sep","Oct","Nov","Dec"},0),VALUE(LEFT(AJ51,2))))))</f>
        <v>45388</v>
      </c>
      <c r="C51" s="3" t="n">
        <f aca="false">IF(AK51="","",IF(ISNUMBER(SEARCH("/",AK51)),DATE(VALUE(RIGHT(AK51,4)),VALUE(LEFT(AK51,2)),VALUE(MID(AK51,4,2))),IF(ISNUMBER(SEARCH("-",AK51)),IF(LEN(LEFT(AK51,FIND("-",AK51)-1))=4,DATE(VALUE(LEFT(AK51,4)),VALUE(MID(AK51,6,2)),VALUE(RIGHT(AK51,2))),DATE(VALUE(RIGHT(AK51,4)),VALUE(MID(AK51,4,2)),VALUE(LEFT(AK51,2)))),DATE(VALUE(RIGHT(AK51,4)),MATCH(MID(AK51,4,3),{"Jan","Feb","Mar","Apr","May","Jun","Jul","Aug","Sep","Oct","Nov","Dec"},0),VALUE(LEFT(AK51,2))))))</f>
        <v>45395</v>
      </c>
      <c r="D51" s="4" t="s">
        <v>331</v>
      </c>
      <c r="E51" s="0" t="str">
        <f aca="false">PROPER(TRIM(AL51))</f>
        <v>Aarav Sharma</v>
      </c>
      <c r="F51" s="0" t="str">
        <f aca="false">PROPER(TRIM(AM51))</f>
        <v>Home Office</v>
      </c>
      <c r="G51" s="0" t="str">
        <f aca="false">IF(TRIM(AN51)="","Unknown",PROPER(TRIM(AN51)))</f>
        <v>North</v>
      </c>
      <c r="H51" s="0" t="str">
        <f aca="false">PROPER(TRIM(AO51))</f>
        <v>Uttar Pradesh</v>
      </c>
      <c r="I51" s="0" t="str">
        <f aca="false">PROPER(TRIM(AP51))</f>
        <v>Noida</v>
      </c>
      <c r="J51" s="0" t="str">
        <f aca="false">PROPER(TRIM(AQ51))</f>
        <v>Technology</v>
      </c>
      <c r="K51" s="0" t="str">
        <f aca="false">PROPER(TRIM(AR51))</f>
        <v>Copiers</v>
      </c>
      <c r="M51" s="0" t="str">
        <f aca="false">IF(TRIM(AS51)="","Unknown",PROPER(TRIM(AS51)))</f>
        <v>Second Class</v>
      </c>
      <c r="N51" s="0" t="n">
        <v>9</v>
      </c>
      <c r="O51" s="0" t="n">
        <v>792.11</v>
      </c>
      <c r="P51" s="5" t="n">
        <f aca="false">IF(AT51="","",IF(ISNUMBER(AT51),AT51,VALUE(SUBSTITUTE(AT51,"%",""))/100))</f>
        <v>0.05</v>
      </c>
      <c r="Q51" s="5" t="n">
        <f aca="false">IF(P51="",IF(AND(N51&lt;&gt;"",O51&lt;&gt;"",R51&lt;&gt;"",S51&lt;&gt;""),0,"REVIEW"),IF(OR(P51&lt;0,P51&gt;0.3),0,P51))</f>
        <v>0.05</v>
      </c>
      <c r="R51" s="0" t="n">
        <v>6772.54</v>
      </c>
      <c r="S51" s="0" t="n">
        <v>5755.46</v>
      </c>
      <c r="T51" s="6" t="n">
        <f aca="false">N51*O51*(1-Q51)</f>
        <v>6772.5405</v>
      </c>
      <c r="U51" s="6" t="n">
        <f aca="false">T51-S51</f>
        <v>1017.0805</v>
      </c>
      <c r="V51" s="7" t="n">
        <f aca="false">IF(T51=0,0,U51/T51)</f>
        <v>0.150177101192676</v>
      </c>
      <c r="W51" s="4" t="n">
        <f aca="false">C51-B51</f>
        <v>7</v>
      </c>
      <c r="X51" s="0" t="str">
        <f aca="false">TEXT(B51,"mmmm")</f>
        <v>April</v>
      </c>
      <c r="Y51" s="4" t="n">
        <f aca="false">YEAR(B51)</f>
        <v>2024</v>
      </c>
      <c r="Z51" s="0" t="str">
        <f aca="false">PROPER(TRIM(AU51))</f>
        <v>Paid</v>
      </c>
      <c r="AA51" s="0" t="str">
        <f aca="false">PROPER(TRIM(AV51))</f>
        <v>Completed</v>
      </c>
      <c r="AB51" s="0" t="str">
        <f aca="false">IF(TRIM(AN51)="","Yes","No")</f>
        <v>No</v>
      </c>
      <c r="AC51" s="0" t="str">
        <f aca="false">IF(TRIM(AS51)="","Yes","No")</f>
        <v>No</v>
      </c>
      <c r="AD51" s="0" t="str">
        <f aca="false">IF(AT51="","Yes","No")</f>
        <v>No</v>
      </c>
      <c r="AE51" s="0" t="str">
        <f aca="false">IF(W51&lt;0,"Yes","No")</f>
        <v>No</v>
      </c>
      <c r="AF51" s="0" t="str">
        <f aca="false">IF(P51="","No",IF(OR(P51&lt;0,P51&gt;0.3),"Yes","No"))</f>
        <v>No</v>
      </c>
      <c r="AG51" s="4" t="s">
        <v>50</v>
      </c>
      <c r="AH51" s="0" t="str">
        <f aca="false">IF(AND(AA51="Completed",Z51="Paid"),"Yes","No")</f>
        <v>Yes</v>
      </c>
      <c r="AI51" s="0" t="str">
        <f aca="false">IF(OR(AE51="Yes",AF51="Yes",AG51="Yes"),"Invalid",IF(OR(AB51="Yes",AC51="Yes",AD51="Yes"),"Warning","Clean"))</f>
        <v>Clean</v>
      </c>
      <c r="AJ51" s="4" t="s">
        <v>332</v>
      </c>
      <c r="AK51" s="4" t="s">
        <v>333</v>
      </c>
      <c r="AL51" s="4" t="s">
        <v>176</v>
      </c>
      <c r="AM51" s="4" t="s">
        <v>134</v>
      </c>
      <c r="AN51" s="4" t="s">
        <v>168</v>
      </c>
      <c r="AO51" s="4" t="s">
        <v>186</v>
      </c>
      <c r="AP51" s="4" t="s">
        <v>187</v>
      </c>
      <c r="AQ51" s="4" t="s">
        <v>109</v>
      </c>
      <c r="AR51" s="4" t="s">
        <v>116</v>
      </c>
      <c r="AS51" s="4" t="s">
        <v>60</v>
      </c>
      <c r="AT51" s="0" t="n">
        <v>0.05</v>
      </c>
      <c r="AU51" s="4" t="s">
        <v>61</v>
      </c>
      <c r="AV51" s="4" t="s">
        <v>62</v>
      </c>
    </row>
    <row r="52" customFormat="false" ht="15" hidden="false" customHeight="false" outlineLevel="0" collapsed="false">
      <c r="A52" s="0" t="s">
        <v>334</v>
      </c>
      <c r="B52" s="3" t="n">
        <f aca="false">IF(AJ52="","",IF(ISNUMBER(SEARCH("/",AJ52)),DATE(VALUE(RIGHT(AJ52,4)),VALUE(LEFT(AJ52,2)),VALUE(MID(AJ52,4,2))),IF(ISNUMBER(SEARCH("-",AJ52)),IF(LEN(LEFT(AJ52,FIND("-",AJ52)-1))=4,DATE(VALUE(LEFT(AJ52,4)),VALUE(MID(AJ52,6,2)),VALUE(RIGHT(AJ52,2))),DATE(VALUE(RIGHT(AJ52,4)),VALUE(MID(AJ52,4,2)),VALUE(LEFT(AJ52,2)))),DATE(VALUE(RIGHT(AJ52,4)),MATCH(MID(AJ52,4,3),{"Jan","Feb","Mar","Apr","May","Jun","Jul","Aug","Sep","Oct","Nov","Dec"},0),VALUE(LEFT(AJ52,2))))))</f>
        <v>45788</v>
      </c>
      <c r="C52" s="3" t="n">
        <f aca="false">IF(AK52="","",IF(ISNUMBER(SEARCH("/",AK52)),DATE(VALUE(RIGHT(AK52,4)),VALUE(LEFT(AK52,2)),VALUE(MID(AK52,4,2))),IF(ISNUMBER(SEARCH("-",AK52)),IF(LEN(LEFT(AK52,FIND("-",AK52)-1))=4,DATE(VALUE(LEFT(AK52,4)),VALUE(MID(AK52,6,2)),VALUE(RIGHT(AK52,2))),DATE(VALUE(RIGHT(AK52,4)),VALUE(MID(AK52,4,2)),VALUE(LEFT(AK52,2)))),DATE(VALUE(RIGHT(AK52,4)),MATCH(MID(AK52,4,3),{"Jan","Feb","Mar","Apr","May","Jun","Jul","Aug","Sep","Oct","Nov","Dec"},0),VALUE(LEFT(AK52,2))))))</f>
        <v>45796</v>
      </c>
      <c r="D52" s="4" t="s">
        <v>335</v>
      </c>
      <c r="E52" s="0" t="str">
        <f aca="false">PROPER(TRIM(AL52))</f>
        <v>Sneha Kapoor</v>
      </c>
      <c r="F52" s="0" t="str">
        <f aca="false">PROPER(TRIM(AM52))</f>
        <v>Consumer</v>
      </c>
      <c r="G52" s="0" t="str">
        <f aca="false">IF(TRIM(AN52)="","Unknown",PROPER(TRIM(AN52)))</f>
        <v>East</v>
      </c>
      <c r="H52" s="0" t="str">
        <f aca="false">PROPER(TRIM(AO52))</f>
        <v>West Bengal</v>
      </c>
      <c r="I52" s="0" t="str">
        <f aca="false">PROPER(TRIM(AP52))</f>
        <v>Kolkata</v>
      </c>
      <c r="J52" s="0" t="str">
        <f aca="false">PROPER(TRIM(AQ52))</f>
        <v>Technology</v>
      </c>
      <c r="K52" s="0" t="str">
        <f aca="false">PROPER(TRIM(AR52))</f>
        <v>Copiers</v>
      </c>
      <c r="M52" s="0" t="str">
        <f aca="false">IF(TRIM(AS52)="","Unknown",PROPER(TRIM(AS52)))</f>
        <v>Standard Class</v>
      </c>
      <c r="N52" s="0" t="n">
        <v>1</v>
      </c>
      <c r="O52" s="0" t="n">
        <v>2382.8</v>
      </c>
      <c r="P52" s="5" t="n">
        <f aca="false">IF(AT52="","",IF(ISNUMBER(AT52),AT52,VALUE(SUBSTITUTE(AT52,"%",""))/100))</f>
        <v>0.15</v>
      </c>
      <c r="Q52" s="5" t="n">
        <f aca="false">IF(P52="",IF(AND(N52&lt;&gt;"",O52&lt;&gt;"",R52&lt;&gt;"",S52&lt;&gt;""),0,"REVIEW"),IF(OR(P52&lt;0,P52&gt;0.3),0,P52))</f>
        <v>0.15</v>
      </c>
      <c r="R52" s="0" t="n">
        <v>2025.38</v>
      </c>
      <c r="S52" s="0" t="n">
        <v>1140.65</v>
      </c>
      <c r="T52" s="6" t="n">
        <f aca="false">N52*O52*(1-Q52)</f>
        <v>2025.38</v>
      </c>
      <c r="U52" s="6" t="n">
        <f aca="false">T52-S52</f>
        <v>884.73</v>
      </c>
      <c r="V52" s="7" t="n">
        <f aca="false">IF(T52=0,0,U52/T52)</f>
        <v>0.436821732218152</v>
      </c>
      <c r="W52" s="4" t="n">
        <f aca="false">C52-B52</f>
        <v>8</v>
      </c>
      <c r="X52" s="0" t="str">
        <f aca="false">TEXT(B52,"mmmm")</f>
        <v>May</v>
      </c>
      <c r="Y52" s="4" t="n">
        <f aca="false">YEAR(B52)</f>
        <v>2025</v>
      </c>
      <c r="Z52" s="0" t="str">
        <f aca="false">PROPER(TRIM(AU52))</f>
        <v>Paid</v>
      </c>
      <c r="AA52" s="0" t="str">
        <f aca="false">PROPER(TRIM(AV52))</f>
        <v>Completed</v>
      </c>
      <c r="AB52" s="0" t="str">
        <f aca="false">IF(TRIM(AN52)="","Yes","No")</f>
        <v>No</v>
      </c>
      <c r="AC52" s="0" t="str">
        <f aca="false">IF(TRIM(AS52)="","Yes","No")</f>
        <v>No</v>
      </c>
      <c r="AD52" s="0" t="str">
        <f aca="false">IF(AT52="","Yes","No")</f>
        <v>No</v>
      </c>
      <c r="AE52" s="0" t="str">
        <f aca="false">IF(W52&lt;0,"Yes","No")</f>
        <v>No</v>
      </c>
      <c r="AF52" s="0" t="str">
        <f aca="false">IF(P52="","No",IF(OR(P52&lt;0,P52&gt;0.3),"Yes","No"))</f>
        <v>No</v>
      </c>
      <c r="AG52" s="4" t="s">
        <v>50</v>
      </c>
      <c r="AH52" s="0" t="str">
        <f aca="false">IF(AND(AA52="Completed",Z52="Paid"),"Yes","No")</f>
        <v>Yes</v>
      </c>
      <c r="AI52" s="0" t="str">
        <f aca="false">IF(OR(AE52="Yes",AF52="Yes",AG52="Yes"),"Invalid",IF(OR(AB52="Yes",AC52="Yes",AD52="Yes"),"Warning","Clean"))</f>
        <v>Clean</v>
      </c>
      <c r="AJ52" s="4" t="s">
        <v>336</v>
      </c>
      <c r="AK52" s="4" t="s">
        <v>337</v>
      </c>
      <c r="AL52" s="4" t="s">
        <v>181</v>
      </c>
      <c r="AM52" s="4" t="s">
        <v>54</v>
      </c>
      <c r="AN52" s="4" t="s">
        <v>69</v>
      </c>
      <c r="AO52" s="4" t="s">
        <v>139</v>
      </c>
      <c r="AP52" s="4" t="s">
        <v>140</v>
      </c>
      <c r="AQ52" s="4" t="s">
        <v>109</v>
      </c>
      <c r="AR52" s="4" t="s">
        <v>116</v>
      </c>
      <c r="AS52" s="4" t="s">
        <v>91</v>
      </c>
      <c r="AT52" s="0" t="n">
        <v>0.15</v>
      </c>
      <c r="AU52" s="4" t="s">
        <v>61</v>
      </c>
      <c r="AV52" s="4" t="s">
        <v>62</v>
      </c>
    </row>
    <row r="53" customFormat="false" ht="15" hidden="false" customHeight="false" outlineLevel="0" collapsed="false">
      <c r="A53" s="0" t="s">
        <v>338</v>
      </c>
      <c r="B53" s="3" t="n">
        <f aca="false">IF(AJ53="","",IF(ISNUMBER(SEARCH("/",AJ53)),DATE(VALUE(RIGHT(AJ53,4)),VALUE(LEFT(AJ53,2)),VALUE(MID(AJ53,4,2))),IF(ISNUMBER(SEARCH("-",AJ53)),IF(LEN(LEFT(AJ53,FIND("-",AJ53)-1))=4,DATE(VALUE(LEFT(AJ53,4)),VALUE(MID(AJ53,6,2)),VALUE(RIGHT(AJ53,2))),DATE(VALUE(RIGHT(AJ53,4)),VALUE(MID(AJ53,4,2)),VALUE(LEFT(AJ53,2)))),DATE(VALUE(RIGHT(AJ53,4)),MATCH(MID(AJ53,4,3),{"Jan","Feb","Mar","Apr","May","Jun","Jul","Aug","Sep","Oct","Nov","Dec"},0),VALUE(LEFT(AJ53,2))))))</f>
        <v>45406</v>
      </c>
      <c r="C53" s="3" t="n">
        <f aca="false">IF(AK53="","",IF(ISNUMBER(SEARCH("/",AK53)),DATE(VALUE(RIGHT(AK53,4)),VALUE(LEFT(AK53,2)),VALUE(MID(AK53,4,2))),IF(ISNUMBER(SEARCH("-",AK53)),IF(LEN(LEFT(AK53,FIND("-",AK53)-1))=4,DATE(VALUE(LEFT(AK53,4)),VALUE(MID(AK53,6,2)),VALUE(RIGHT(AK53,2))),DATE(VALUE(RIGHT(AK53,4)),VALUE(MID(AK53,4,2)),VALUE(LEFT(AK53,2)))),DATE(VALUE(RIGHT(AK53,4)),MATCH(MID(AK53,4,3),{"Jan","Feb","Mar","Apr","May","Jun","Jul","Aug","Sep","Oct","Nov","Dec"},0),VALUE(LEFT(AK53,2))))))</f>
        <v>45411</v>
      </c>
      <c r="D53" s="4" t="s">
        <v>339</v>
      </c>
      <c r="E53" s="0" t="str">
        <f aca="false">PROPER(TRIM(AL53))</f>
        <v>Ananya Rao</v>
      </c>
      <c r="F53" s="0" t="str">
        <f aca="false">PROPER(TRIM(AM53))</f>
        <v>Corporate</v>
      </c>
      <c r="G53" s="0" t="str">
        <f aca="false">IF(TRIM(AN53)="","Unknown",PROPER(TRIM(AN53)))</f>
        <v>South</v>
      </c>
      <c r="H53" s="0" t="str">
        <f aca="false">PROPER(TRIM(AO53))</f>
        <v>Telangana</v>
      </c>
      <c r="I53" s="0" t="str">
        <f aca="false">PROPER(TRIM(AP53))</f>
        <v>Hyderabad</v>
      </c>
      <c r="J53" s="0" t="str">
        <f aca="false">PROPER(TRIM(AQ53))</f>
        <v>Office Supplies</v>
      </c>
      <c r="K53" s="0" t="str">
        <f aca="false">PROPER(TRIM(AR53))</f>
        <v>Art</v>
      </c>
      <c r="M53" s="0" t="str">
        <f aca="false">IF(TRIM(AS53)="","Unknown",PROPER(TRIM(AS53)))</f>
        <v>Standard Class</v>
      </c>
      <c r="N53" s="0" t="n">
        <v>6</v>
      </c>
      <c r="O53" s="0" t="n">
        <v>1528.08</v>
      </c>
      <c r="P53" s="5" t="n">
        <f aca="false">IF(AT53="","",IF(ISNUMBER(AT53),AT53,VALUE(SUBSTITUTE(AT53,"%",""))/100))</f>
        <v>0</v>
      </c>
      <c r="Q53" s="5" t="n">
        <f aca="false">IF(P53="",IF(AND(N53&lt;&gt;"",O53&lt;&gt;"",R53&lt;&gt;"",S53&lt;&gt;""),0,"REVIEW"),IF(OR(P53&lt;0,P53&gt;0.3),0,P53))</f>
        <v>0</v>
      </c>
      <c r="R53" s="0" t="n">
        <v>9168.48</v>
      </c>
      <c r="S53" s="0" t="n">
        <v>7439.77</v>
      </c>
      <c r="T53" s="6" t="n">
        <f aca="false">N53*O53*(1-Q53)</f>
        <v>9168.48</v>
      </c>
      <c r="U53" s="6" t="n">
        <f aca="false">T53-S53</f>
        <v>1728.71</v>
      </c>
      <c r="V53" s="7" t="n">
        <f aca="false">IF(T53=0,0,U53/T53)</f>
        <v>0.188549246985324</v>
      </c>
      <c r="W53" s="4" t="n">
        <f aca="false">C53-B53</f>
        <v>5</v>
      </c>
      <c r="X53" s="0" t="str">
        <f aca="false">TEXT(B53,"mmmm")</f>
        <v>April</v>
      </c>
      <c r="Y53" s="4" t="n">
        <f aca="false">YEAR(B53)</f>
        <v>2024</v>
      </c>
      <c r="Z53" s="0" t="str">
        <f aca="false">PROPER(TRIM(AU53))</f>
        <v>Paid</v>
      </c>
      <c r="AA53" s="0" t="str">
        <f aca="false">PROPER(TRIM(AV53))</f>
        <v>Completed</v>
      </c>
      <c r="AB53" s="0" t="str">
        <f aca="false">IF(TRIM(AN53)="","Yes","No")</f>
        <v>No</v>
      </c>
      <c r="AC53" s="0" t="str">
        <f aca="false">IF(TRIM(AS53)="","Yes","No")</f>
        <v>No</v>
      </c>
      <c r="AD53" s="0" t="str">
        <f aca="false">IF(AT53="","Yes","No")</f>
        <v>No</v>
      </c>
      <c r="AE53" s="0" t="str">
        <f aca="false">IF(W53&lt;0,"Yes","No")</f>
        <v>No</v>
      </c>
      <c r="AF53" s="0" t="str">
        <f aca="false">IF(P53="","No",IF(OR(P53&lt;0,P53&gt;0.3),"Yes","No"))</f>
        <v>No</v>
      </c>
      <c r="AG53" s="4" t="s">
        <v>50</v>
      </c>
      <c r="AH53" s="0" t="str">
        <f aca="false">IF(AND(AA53="Completed",Z53="Paid"),"Yes","No")</f>
        <v>Yes</v>
      </c>
      <c r="AI53" s="0" t="str">
        <f aca="false">IF(OR(AE53="Yes",AF53="Yes",AG53="Yes"),"Invalid",IF(OR(AB53="Yes",AC53="Yes",AD53="Yes"),"Warning","Clean"))</f>
        <v>Clean</v>
      </c>
      <c r="AJ53" s="4" t="s">
        <v>340</v>
      </c>
      <c r="AK53" s="4" t="s">
        <v>341</v>
      </c>
      <c r="AL53" s="4" t="s">
        <v>342</v>
      </c>
      <c r="AM53" s="4" t="s">
        <v>128</v>
      </c>
      <c r="AN53" s="4" t="s">
        <v>87</v>
      </c>
      <c r="AO53" s="4" t="s">
        <v>88</v>
      </c>
      <c r="AP53" s="4" t="s">
        <v>89</v>
      </c>
      <c r="AQ53" s="4" t="s">
        <v>58</v>
      </c>
      <c r="AR53" s="4" t="s">
        <v>80</v>
      </c>
      <c r="AS53" s="4" t="s">
        <v>91</v>
      </c>
      <c r="AT53" s="0" t="n">
        <v>0</v>
      </c>
      <c r="AU53" s="4" t="s">
        <v>61</v>
      </c>
      <c r="AV53" s="4" t="s">
        <v>62</v>
      </c>
    </row>
    <row r="54" customFormat="false" ht="15" hidden="false" customHeight="false" outlineLevel="0" collapsed="false">
      <c r="A54" s="0" t="s">
        <v>343</v>
      </c>
      <c r="B54" s="3" t="n">
        <f aca="false">IF(AJ54="","",IF(ISNUMBER(SEARCH("/",AJ54)),DATE(VALUE(RIGHT(AJ54,4)),VALUE(LEFT(AJ54,2)),VALUE(MID(AJ54,4,2))),IF(ISNUMBER(SEARCH("-",AJ54)),IF(LEN(LEFT(AJ54,FIND("-",AJ54)-1))=4,DATE(VALUE(LEFT(AJ54,4)),VALUE(MID(AJ54,6,2)),VALUE(RIGHT(AJ54,2))),DATE(VALUE(RIGHT(AJ54,4)),VALUE(MID(AJ54,4,2)),VALUE(LEFT(AJ54,2)))),DATE(VALUE(RIGHT(AJ54,4)),MATCH(MID(AJ54,4,3),{"Jan","Feb","Mar","Apr","May","Jun","Jul","Aug","Sep","Oct","Nov","Dec"},0),VALUE(LEFT(AJ54,2))))))</f>
        <v>45591</v>
      </c>
      <c r="C54" s="3" t="n">
        <f aca="false">IF(AK54="","",IF(ISNUMBER(SEARCH("/",AK54)),DATE(VALUE(RIGHT(AK54,4)),VALUE(LEFT(AK54,2)),VALUE(MID(AK54,4,2))),IF(ISNUMBER(SEARCH("-",AK54)),IF(LEN(LEFT(AK54,FIND("-",AK54)-1))=4,DATE(VALUE(LEFT(AK54,4)),VALUE(MID(AK54,6,2)),VALUE(RIGHT(AK54,2))),DATE(VALUE(RIGHT(AK54,4)),VALUE(MID(AK54,4,2)),VALUE(LEFT(AK54,2)))),DATE(VALUE(RIGHT(AK54,4)),MATCH(MID(AK54,4,3),{"Jan","Feb","Mar","Apr","May","Jun","Jul","Aug","Sep","Oct","Nov","Dec"},0),VALUE(LEFT(AK54,2))))))</f>
        <v>45593</v>
      </c>
      <c r="D54" s="4" t="s">
        <v>344</v>
      </c>
      <c r="E54" s="0" t="str">
        <f aca="false">PROPER(TRIM(AL54))</f>
        <v>Kabir Singh</v>
      </c>
      <c r="F54" s="0" t="str">
        <f aca="false">PROPER(TRIM(AM54))</f>
        <v>Small Business</v>
      </c>
      <c r="G54" s="0" t="str">
        <f aca="false">IF(TRIM(AN54)="","Unknown",PROPER(TRIM(AN54)))</f>
        <v>North</v>
      </c>
      <c r="H54" s="0" t="str">
        <f aca="false">PROPER(TRIM(AO54))</f>
        <v>Rajasthan</v>
      </c>
      <c r="I54" s="0" t="str">
        <f aca="false">PROPER(TRIM(AP54))</f>
        <v>Jaipur</v>
      </c>
      <c r="J54" s="0" t="str">
        <f aca="false">PROPER(TRIM(AQ54))</f>
        <v>Furniture</v>
      </c>
      <c r="K54" s="0" t="str">
        <f aca="false">PROPER(TRIM(AR54))</f>
        <v>Chairs</v>
      </c>
      <c r="M54" s="0" t="str">
        <f aca="false">IF(TRIM(AS54)="","Unknown",PROPER(TRIM(AS54)))</f>
        <v>First Class</v>
      </c>
      <c r="N54" s="0" t="n">
        <v>9</v>
      </c>
      <c r="O54" s="0" t="n">
        <v>1399.63</v>
      </c>
      <c r="P54" s="5" t="n">
        <f aca="false">IF(AT54="","",IF(ISNUMBER(AT54),AT54,VALUE(SUBSTITUTE(AT54,"%",""))/100))</f>
        <v>0</v>
      </c>
      <c r="Q54" s="5" t="n">
        <f aca="false">IF(P54="",IF(AND(N54&lt;&gt;"",O54&lt;&gt;"",R54&lt;&gt;"",S54&lt;&gt;""),0,"REVIEW"),IF(OR(P54&lt;0,P54&gt;0.3),0,P54))</f>
        <v>0</v>
      </c>
      <c r="R54" s="0" t="n">
        <v>12596.67</v>
      </c>
      <c r="S54" s="0" t="n">
        <v>10603.29</v>
      </c>
      <c r="T54" s="6" t="n">
        <f aca="false">N54*O54*(1-Q54)</f>
        <v>12596.67</v>
      </c>
      <c r="U54" s="6" t="n">
        <f aca="false">T54-S54</f>
        <v>1993.38</v>
      </c>
      <c r="V54" s="7" t="n">
        <f aca="false">IF(T54=0,0,U54/T54)</f>
        <v>0.158246584216305</v>
      </c>
      <c r="W54" s="4" t="n">
        <f aca="false">C54-B54</f>
        <v>2</v>
      </c>
      <c r="X54" s="0" t="str">
        <f aca="false">TEXT(B54,"mmmm")</f>
        <v>October</v>
      </c>
      <c r="Y54" s="4" t="n">
        <f aca="false">YEAR(B54)</f>
        <v>2024</v>
      </c>
      <c r="Z54" s="0" t="str">
        <f aca="false">PROPER(TRIM(AU54))</f>
        <v>Failed</v>
      </c>
      <c r="AA54" s="0" t="str">
        <f aca="false">PROPER(TRIM(AV54))</f>
        <v>Cancelled</v>
      </c>
      <c r="AB54" s="0" t="str">
        <f aca="false">IF(TRIM(AN54)="","Yes","No")</f>
        <v>No</v>
      </c>
      <c r="AC54" s="0" t="str">
        <f aca="false">IF(TRIM(AS54)="","Yes","No")</f>
        <v>No</v>
      </c>
      <c r="AD54" s="0" t="str">
        <f aca="false">IF(AT54="","Yes","No")</f>
        <v>No</v>
      </c>
      <c r="AE54" s="0" t="str">
        <f aca="false">IF(W54&lt;0,"Yes","No")</f>
        <v>No</v>
      </c>
      <c r="AF54" s="0" t="str">
        <f aca="false">IF(P54="","No",IF(OR(P54&lt;0,P54&gt;0.3),"Yes","No"))</f>
        <v>No</v>
      </c>
      <c r="AG54" s="4" t="s">
        <v>50</v>
      </c>
      <c r="AH54" s="0" t="str">
        <f aca="false">IF(AND(AA54="Completed",Z54="Paid"),"Yes","No")</f>
        <v>No</v>
      </c>
      <c r="AI54" s="0" t="str">
        <f aca="false">IF(OR(AE54="Yes",AF54="Yes",AG54="Yes"),"Invalid",IF(OR(AB54="Yes",AC54="Yes",AD54="Yes"),"Warning","Clean"))</f>
        <v>Clean</v>
      </c>
      <c r="AJ54" s="4" t="s">
        <v>345</v>
      </c>
      <c r="AK54" s="4" t="s">
        <v>346</v>
      </c>
      <c r="AL54" s="4" t="s">
        <v>347</v>
      </c>
      <c r="AM54" s="4" t="s">
        <v>68</v>
      </c>
      <c r="AN54" s="4" t="s">
        <v>168</v>
      </c>
      <c r="AO54" s="4" t="s">
        <v>56</v>
      </c>
      <c r="AP54" s="4" t="s">
        <v>57</v>
      </c>
      <c r="AQ54" s="4" t="s">
        <v>72</v>
      </c>
      <c r="AR54" s="4" t="s">
        <v>100</v>
      </c>
      <c r="AS54" s="4" t="s">
        <v>81</v>
      </c>
      <c r="AT54" s="0" t="n">
        <v>0</v>
      </c>
      <c r="AU54" s="4" t="s">
        <v>207</v>
      </c>
      <c r="AV54" s="4" t="s">
        <v>101</v>
      </c>
    </row>
    <row r="55" customFormat="false" ht="15" hidden="false" customHeight="false" outlineLevel="0" collapsed="false">
      <c r="A55" s="0" t="s">
        <v>348</v>
      </c>
      <c r="B55" s="3" t="n">
        <f aca="false">IF(AJ55="","",IF(ISNUMBER(SEARCH("/",AJ55)),DATE(VALUE(RIGHT(AJ55,4)),VALUE(LEFT(AJ55,2)),VALUE(MID(AJ55,4,2))),IF(ISNUMBER(SEARCH("-",AJ55)),IF(LEN(LEFT(AJ55,FIND("-",AJ55)-1))=4,DATE(VALUE(LEFT(AJ55,4)),VALUE(MID(AJ55,6,2)),VALUE(RIGHT(AJ55,2))),DATE(VALUE(RIGHT(AJ55,4)),VALUE(MID(AJ55,4,2)),VALUE(LEFT(AJ55,2)))),DATE(VALUE(RIGHT(AJ55,4)),MATCH(MID(AJ55,4,3),{"Jan","Feb","Mar","Apr","May","Jun","Jul","Aug","Sep","Oct","Nov","Dec"},0),VALUE(LEFT(AJ55,2))))))</f>
        <v>45747</v>
      </c>
      <c r="C55" s="3" t="n">
        <f aca="false">IF(AK55="","",IF(ISNUMBER(SEARCH("/",AK55)),DATE(VALUE(RIGHT(AK55,4)),VALUE(LEFT(AK55,2)),VALUE(MID(AK55,4,2))),IF(ISNUMBER(SEARCH("-",AK55)),IF(LEN(LEFT(AK55,FIND("-",AK55)-1))=4,DATE(VALUE(LEFT(AK55,4)),VALUE(MID(AK55,6,2)),VALUE(RIGHT(AK55,2))),DATE(VALUE(RIGHT(AK55,4)),VALUE(MID(AK55,4,2)),VALUE(LEFT(AK55,2)))),DATE(VALUE(RIGHT(AK55,4)),MATCH(MID(AK55,4,3),{"Jan","Feb","Mar","Apr","May","Jun","Jul","Aug","Sep","Oct","Nov","Dec"},0),VALUE(LEFT(AK55,2))))))</f>
        <v>45747</v>
      </c>
      <c r="D55" s="4" t="s">
        <v>349</v>
      </c>
      <c r="E55" s="0" t="str">
        <f aca="false">PROPER(TRIM(AL55))</f>
        <v>Kabir Singh</v>
      </c>
      <c r="F55" s="0" t="str">
        <f aca="false">PROPER(TRIM(AM55))</f>
        <v>Home Office</v>
      </c>
      <c r="G55" s="0" t="str">
        <f aca="false">IF(TRIM(AN55)="","Unknown",PROPER(TRIM(AN55)))</f>
        <v>West</v>
      </c>
      <c r="H55" s="0" t="str">
        <f aca="false">PROPER(TRIM(AO55))</f>
        <v>Gujarat</v>
      </c>
      <c r="I55" s="0" t="str">
        <f aca="false">PROPER(TRIM(AP55))</f>
        <v>Ahmedabad</v>
      </c>
      <c r="J55" s="0" t="str">
        <f aca="false">PROPER(TRIM(AQ55))</f>
        <v>Office Supplies</v>
      </c>
      <c r="K55" s="0" t="str">
        <f aca="false">PROPER(TRIM(AR55))</f>
        <v>Storage</v>
      </c>
      <c r="M55" s="0" t="str">
        <f aca="false">IF(TRIM(AS55)="","Unknown",PROPER(TRIM(AS55)))</f>
        <v>First Class</v>
      </c>
      <c r="N55" s="0" t="n">
        <v>5</v>
      </c>
      <c r="O55" s="0" t="n">
        <v>1207.47</v>
      </c>
      <c r="P55" s="5" t="n">
        <f aca="false">IF(AT55="","",IF(ISNUMBER(AT55),AT55,VALUE(SUBSTITUTE(AT55,"%",""))/100))</f>
        <v>0.15</v>
      </c>
      <c r="Q55" s="5" t="n">
        <f aca="false">IF(P55="",IF(AND(N55&lt;&gt;"",O55&lt;&gt;"",R55&lt;&gt;"",S55&lt;&gt;""),0,"REVIEW"),IF(OR(P55&lt;0,P55&gt;0.3),0,P55))</f>
        <v>0.15</v>
      </c>
      <c r="R55" s="0" t="n">
        <v>5131.75</v>
      </c>
      <c r="S55" s="0" t="n">
        <v>2838.68</v>
      </c>
      <c r="T55" s="6" t="n">
        <f aca="false">N55*O55*(1-Q55)</f>
        <v>5131.7475</v>
      </c>
      <c r="U55" s="6" t="n">
        <f aca="false">T55-S55</f>
        <v>2293.0675</v>
      </c>
      <c r="V55" s="7" t="n">
        <f aca="false">IF(T55=0,0,U55/T55)</f>
        <v>0.446839502528135</v>
      </c>
      <c r="W55" s="4" t="n">
        <f aca="false">C55-B55</f>
        <v>0</v>
      </c>
      <c r="X55" s="0" t="str">
        <f aca="false">TEXT(B55,"mmmm")</f>
        <v>March</v>
      </c>
      <c r="Y55" s="4" t="n">
        <f aca="false">YEAR(B55)</f>
        <v>2025</v>
      </c>
      <c r="Z55" s="0" t="str">
        <f aca="false">PROPER(TRIM(AU55))</f>
        <v>Paid</v>
      </c>
      <c r="AA55" s="0" t="str">
        <f aca="false">PROPER(TRIM(AV55))</f>
        <v>Completed</v>
      </c>
      <c r="AB55" s="0" t="str">
        <f aca="false">IF(TRIM(AN55)="","Yes","No")</f>
        <v>No</v>
      </c>
      <c r="AC55" s="0" t="str">
        <f aca="false">IF(TRIM(AS55)="","Yes","No")</f>
        <v>No</v>
      </c>
      <c r="AD55" s="0" t="str">
        <f aca="false">IF(AT55="","Yes","No")</f>
        <v>No</v>
      </c>
      <c r="AE55" s="0" t="str">
        <f aca="false">IF(W55&lt;0,"Yes","No")</f>
        <v>No</v>
      </c>
      <c r="AF55" s="0" t="str">
        <f aca="false">IF(P55="","No",IF(OR(P55&lt;0,P55&gt;0.3),"Yes","No"))</f>
        <v>No</v>
      </c>
      <c r="AG55" s="4" t="s">
        <v>50</v>
      </c>
      <c r="AH55" s="0" t="str">
        <f aca="false">IF(AND(AA55="Completed",Z55="Paid"),"Yes","No")</f>
        <v>Yes</v>
      </c>
      <c r="AI55" s="0" t="str">
        <f aca="false">IF(OR(AE55="Yes",AF55="Yes",AG55="Yes"),"Invalid",IF(OR(AB55="Yes",AC55="Yes",AD55="Yes"),"Warning","Clean"))</f>
        <v>Clean</v>
      </c>
      <c r="AJ55" s="4" t="s">
        <v>350</v>
      </c>
      <c r="AK55" s="4" t="s">
        <v>351</v>
      </c>
      <c r="AL55" s="4" t="s">
        <v>347</v>
      </c>
      <c r="AM55" s="4" t="s">
        <v>134</v>
      </c>
      <c r="AN55" s="4" t="s">
        <v>97</v>
      </c>
      <c r="AO55" s="4" t="s">
        <v>238</v>
      </c>
      <c r="AP55" s="4" t="s">
        <v>239</v>
      </c>
      <c r="AQ55" s="4" t="s">
        <v>58</v>
      </c>
      <c r="AR55" s="4" t="s">
        <v>171</v>
      </c>
      <c r="AS55" s="4" t="s">
        <v>81</v>
      </c>
      <c r="AT55" s="0" t="n">
        <v>0.15</v>
      </c>
      <c r="AU55" s="4" t="s">
        <v>61</v>
      </c>
      <c r="AV55" s="4" t="s">
        <v>62</v>
      </c>
    </row>
    <row r="56" customFormat="false" ht="15" hidden="false" customHeight="false" outlineLevel="0" collapsed="false">
      <c r="A56" s="0" t="s">
        <v>352</v>
      </c>
      <c r="B56" s="3" t="n">
        <f aca="false">IF(AJ56="","",IF(ISNUMBER(SEARCH("/",AJ56)),DATE(VALUE(RIGHT(AJ56,4)),VALUE(LEFT(AJ56,2)),VALUE(MID(AJ56,4,2))),IF(ISNUMBER(SEARCH("-",AJ56)),IF(LEN(LEFT(AJ56,FIND("-",AJ56)-1))=4,DATE(VALUE(LEFT(AJ56,4)),VALUE(MID(AJ56,6,2)),VALUE(RIGHT(AJ56,2))),DATE(VALUE(RIGHT(AJ56,4)),VALUE(MID(AJ56,4,2)),VALUE(LEFT(AJ56,2)))),DATE(VALUE(RIGHT(AJ56,4)),MATCH(MID(AJ56,4,3),{"Jan","Feb","Mar","Apr","May","Jun","Jul","Aug","Sep","Oct","Nov","Dec"},0),VALUE(LEFT(AJ56,2))))))</f>
        <v>45807</v>
      </c>
      <c r="C56" s="3" t="n">
        <f aca="false">IF(AK56="","",IF(ISNUMBER(SEARCH("/",AK56)),DATE(VALUE(RIGHT(AK56,4)),VALUE(LEFT(AK56,2)),VALUE(MID(AK56,4,2))),IF(ISNUMBER(SEARCH("-",AK56)),IF(LEN(LEFT(AK56,FIND("-",AK56)-1))=4,DATE(VALUE(LEFT(AK56,4)),VALUE(MID(AK56,6,2)),VALUE(RIGHT(AK56,2))),DATE(VALUE(RIGHT(AK56,4)),VALUE(MID(AK56,4,2)),VALUE(LEFT(AK56,2)))),DATE(VALUE(RIGHT(AK56,4)),MATCH(MID(AK56,4,3),{"Jan","Feb","Mar","Apr","May","Jun","Jul","Aug","Sep","Oct","Nov","Dec"},0),VALUE(LEFT(AK56,2))))))</f>
        <v>45810</v>
      </c>
      <c r="D56" s="4" t="s">
        <v>353</v>
      </c>
      <c r="E56" s="0" t="str">
        <f aca="false">PROPER(TRIM(AL56))</f>
        <v>Arjun Bose</v>
      </c>
      <c r="F56" s="0" t="str">
        <f aca="false">PROPER(TRIM(AM56))</f>
        <v>Corporate</v>
      </c>
      <c r="G56" s="0" t="str">
        <f aca="false">IF(TRIM(AN56)="","Unknown",PROPER(TRIM(AN56)))</f>
        <v>South</v>
      </c>
      <c r="H56" s="0" t="str">
        <f aca="false">PROPER(TRIM(AO56))</f>
        <v>Tamil Nadu</v>
      </c>
      <c r="I56" s="0" t="str">
        <f aca="false">PROPER(TRIM(AP56))</f>
        <v>Chennai</v>
      </c>
      <c r="J56" s="0" t="str">
        <f aca="false">PROPER(TRIM(AQ56))</f>
        <v>Office Supplies</v>
      </c>
      <c r="K56" s="0" t="str">
        <f aca="false">PROPER(TRIM(AR56))</f>
        <v>Labels</v>
      </c>
      <c r="M56" s="0" t="str">
        <f aca="false">IF(TRIM(AS56)="","Unknown",PROPER(TRIM(AS56)))</f>
        <v>Same Day</v>
      </c>
      <c r="N56" s="0" t="n">
        <v>8</v>
      </c>
      <c r="O56" s="0" t="n">
        <v>474.37</v>
      </c>
      <c r="P56" s="5" t="n">
        <f aca="false">IF(AT56="","",IF(ISNUMBER(AT56),AT56,VALUE(SUBSTITUTE(AT56,"%",""))/100))</f>
        <v>0.1</v>
      </c>
      <c r="Q56" s="5" t="n">
        <f aca="false">IF(P56="",IF(AND(N56&lt;&gt;"",O56&lt;&gt;"",R56&lt;&gt;"",S56&lt;&gt;""),0,"REVIEW"),IF(OR(P56&lt;0,P56&gt;0.3),0,P56))</f>
        <v>0.1</v>
      </c>
      <c r="R56" s="0" t="n">
        <v>3415.46</v>
      </c>
      <c r="S56" s="0" t="n">
        <v>1993.23</v>
      </c>
      <c r="T56" s="6" t="n">
        <f aca="false">N56*O56*(1-Q56)</f>
        <v>3415.464</v>
      </c>
      <c r="U56" s="6" t="n">
        <f aca="false">T56-S56</f>
        <v>1422.234</v>
      </c>
      <c r="V56" s="7" t="n">
        <f aca="false">IF(T56=0,0,U56/T56)</f>
        <v>0.416410186141619</v>
      </c>
      <c r="W56" s="4" t="n">
        <f aca="false">C56-B56</f>
        <v>3</v>
      </c>
      <c r="X56" s="0" t="str">
        <f aca="false">TEXT(B56,"mmmm")</f>
        <v>May</v>
      </c>
      <c r="Y56" s="4" t="n">
        <f aca="false">YEAR(B56)</f>
        <v>2025</v>
      </c>
      <c r="Z56" s="0" t="str">
        <f aca="false">PROPER(TRIM(AU56))</f>
        <v>Failed</v>
      </c>
      <c r="AA56" s="0" t="str">
        <f aca="false">PROPER(TRIM(AV56))</f>
        <v>Cancelled</v>
      </c>
      <c r="AB56" s="0" t="str">
        <f aca="false">IF(TRIM(AN56)="","Yes","No")</f>
        <v>No</v>
      </c>
      <c r="AC56" s="0" t="str">
        <f aca="false">IF(TRIM(AS56)="","Yes","No")</f>
        <v>No</v>
      </c>
      <c r="AD56" s="0" t="str">
        <f aca="false">IF(AT56="","Yes","No")</f>
        <v>No</v>
      </c>
      <c r="AE56" s="0" t="str">
        <f aca="false">IF(W56&lt;0,"Yes","No")</f>
        <v>No</v>
      </c>
      <c r="AF56" s="0" t="str">
        <f aca="false">IF(P56="","No",IF(OR(P56&lt;0,P56&gt;0.3),"Yes","No"))</f>
        <v>No</v>
      </c>
      <c r="AG56" s="4" t="s">
        <v>50</v>
      </c>
      <c r="AH56" s="0" t="str">
        <f aca="false">IF(AND(AA56="Completed",Z56="Paid"),"Yes","No")</f>
        <v>No</v>
      </c>
      <c r="AI56" s="0" t="str">
        <f aca="false">IF(OR(AE56="Yes",AF56="Yes",AG56="Yes"),"Invalid",IF(OR(AB56="Yes",AC56="Yes",AD56="Yes"),"Warning","Clean"))</f>
        <v>Clean</v>
      </c>
      <c r="AJ56" s="4" t="s">
        <v>354</v>
      </c>
      <c r="AK56" s="4" t="s">
        <v>355</v>
      </c>
      <c r="AL56" s="4" t="s">
        <v>86</v>
      </c>
      <c r="AM56" s="4" t="s">
        <v>128</v>
      </c>
      <c r="AN56" s="4" t="s">
        <v>87</v>
      </c>
      <c r="AO56" s="4" t="s">
        <v>323</v>
      </c>
      <c r="AP56" s="4" t="s">
        <v>324</v>
      </c>
      <c r="AQ56" s="4" t="s">
        <v>58</v>
      </c>
      <c r="AR56" s="4" t="s">
        <v>129</v>
      </c>
      <c r="AS56" s="4" t="s">
        <v>74</v>
      </c>
      <c r="AT56" s="0" t="n">
        <v>0.1</v>
      </c>
      <c r="AU56" s="4" t="s">
        <v>207</v>
      </c>
      <c r="AV56" s="4" t="s">
        <v>101</v>
      </c>
    </row>
    <row r="57" customFormat="false" ht="15" hidden="false" customHeight="false" outlineLevel="0" collapsed="false">
      <c r="A57" s="0" t="s">
        <v>356</v>
      </c>
      <c r="B57" s="3" t="n">
        <f aca="false">IF(AJ57="","",IF(ISNUMBER(SEARCH("/",AJ57)),DATE(VALUE(RIGHT(AJ57,4)),VALUE(LEFT(AJ57,2)),VALUE(MID(AJ57,4,2))),IF(ISNUMBER(SEARCH("-",AJ57)),IF(LEN(LEFT(AJ57,FIND("-",AJ57)-1))=4,DATE(VALUE(LEFT(AJ57,4)),VALUE(MID(AJ57,6,2)),VALUE(RIGHT(AJ57,2))),DATE(VALUE(RIGHT(AJ57,4)),VALUE(MID(AJ57,4,2)),VALUE(LEFT(AJ57,2)))),DATE(VALUE(RIGHT(AJ57,4)),MATCH(MID(AJ57,4,3),{"Jan","Feb","Mar","Apr","May","Jun","Jul","Aug","Sep","Oct","Nov","Dec"},0),VALUE(LEFT(AJ57,2))))))</f>
        <v>45839</v>
      </c>
      <c r="C57" s="3" t="n">
        <f aca="false">IF(AK57="","",IF(ISNUMBER(SEARCH("/",AK57)),DATE(VALUE(RIGHT(AK57,4)),VALUE(LEFT(AK57,2)),VALUE(MID(AK57,4,2))),IF(ISNUMBER(SEARCH("-",AK57)),IF(LEN(LEFT(AK57,FIND("-",AK57)-1))=4,DATE(VALUE(LEFT(AK57,4)),VALUE(MID(AK57,6,2)),VALUE(RIGHT(AK57,2))),DATE(VALUE(RIGHT(AK57,4)),VALUE(MID(AK57,4,2)),VALUE(LEFT(AK57,2)))),DATE(VALUE(RIGHT(AK57,4)),MATCH(MID(AK57,4,3),{"Jan","Feb","Mar","Apr","May","Jun","Jul","Aug","Sep","Oct","Nov","Dec"},0),VALUE(LEFT(AK57,2))))))</f>
        <v>45841</v>
      </c>
      <c r="D57" s="4" t="s">
        <v>357</v>
      </c>
      <c r="E57" s="0" t="str">
        <f aca="false">PROPER(TRIM(AL57))</f>
        <v>Mira Das</v>
      </c>
      <c r="F57" s="0" t="str">
        <f aca="false">PROPER(TRIM(AM57))</f>
        <v>Small Business</v>
      </c>
      <c r="G57" s="0" t="str">
        <f aca="false">IF(TRIM(AN57)="","Unknown",PROPER(TRIM(AN57)))</f>
        <v>South</v>
      </c>
      <c r="H57" s="0" t="str">
        <f aca="false">PROPER(TRIM(AO57))</f>
        <v>Andhra Pradesh</v>
      </c>
      <c r="I57" s="0" t="str">
        <f aca="false">PROPER(TRIM(AP57))</f>
        <v>Vijayawada</v>
      </c>
      <c r="J57" s="0" t="str">
        <f aca="false">PROPER(TRIM(AQ57))</f>
        <v>Technology</v>
      </c>
      <c r="K57" s="0" t="str">
        <f aca="false">PROPER(TRIM(AR57))</f>
        <v>Machines</v>
      </c>
      <c r="M57" s="0" t="str">
        <f aca="false">IF(TRIM(AS57)="","Unknown",PROPER(TRIM(AS57)))</f>
        <v>Same Day</v>
      </c>
      <c r="N57" s="0" t="n">
        <v>3</v>
      </c>
      <c r="O57" s="0" t="n">
        <v>1516.24</v>
      </c>
      <c r="P57" s="5" t="n">
        <f aca="false">IF(AT57="","",IF(ISNUMBER(AT57),AT57,VALUE(SUBSTITUTE(AT57,"%",""))/100))</f>
        <v>0.25</v>
      </c>
      <c r="Q57" s="5" t="n">
        <f aca="false">IF(P57="",IF(AND(N57&lt;&gt;"",O57&lt;&gt;"",R57&lt;&gt;"",S57&lt;&gt;""),0,"REVIEW"),IF(OR(P57&lt;0,P57&gt;0.3),0,P57))</f>
        <v>0.25</v>
      </c>
      <c r="R57" s="0" t="n">
        <v>3411.54</v>
      </c>
      <c r="S57" s="0" t="n">
        <v>2803.13</v>
      </c>
      <c r="T57" s="6" t="n">
        <f aca="false">N57*O57*(1-Q57)</f>
        <v>3411.54</v>
      </c>
      <c r="U57" s="6" t="n">
        <f aca="false">T57-S57</f>
        <v>608.41</v>
      </c>
      <c r="V57" s="7" t="n">
        <f aca="false">IF(T57=0,0,U57/T57)</f>
        <v>0.178338814728832</v>
      </c>
      <c r="W57" s="4" t="n">
        <f aca="false">C57-B57</f>
        <v>2</v>
      </c>
      <c r="X57" s="0" t="str">
        <f aca="false">TEXT(B57,"mmmm")</f>
        <v>July</v>
      </c>
      <c r="Y57" s="4" t="n">
        <f aca="false">YEAR(B57)</f>
        <v>2025</v>
      </c>
      <c r="Z57" s="0" t="str">
        <f aca="false">PROPER(TRIM(AU57))</f>
        <v>Paid</v>
      </c>
      <c r="AA57" s="0" t="str">
        <f aca="false">PROPER(TRIM(AV57))</f>
        <v>Completed</v>
      </c>
      <c r="AB57" s="0" t="str">
        <f aca="false">IF(TRIM(AN57)="","Yes","No")</f>
        <v>No</v>
      </c>
      <c r="AC57" s="0" t="str">
        <f aca="false">IF(TRIM(AS57)="","Yes","No")</f>
        <v>No</v>
      </c>
      <c r="AD57" s="0" t="str">
        <f aca="false">IF(AT57="","Yes","No")</f>
        <v>No</v>
      </c>
      <c r="AE57" s="0" t="str">
        <f aca="false">IF(W57&lt;0,"Yes","No")</f>
        <v>No</v>
      </c>
      <c r="AF57" s="0" t="str">
        <f aca="false">IF(P57="","No",IF(OR(P57&lt;0,P57&gt;0.3),"Yes","No"))</f>
        <v>No</v>
      </c>
      <c r="AG57" s="4" t="s">
        <v>50</v>
      </c>
      <c r="AH57" s="0" t="str">
        <f aca="false">IF(AND(AA57="Completed",Z57="Paid"),"Yes","No")</f>
        <v>Yes</v>
      </c>
      <c r="AI57" s="0" t="str">
        <f aca="false">IF(OR(AE57="Yes",AF57="Yes",AG57="Yes"),"Invalid",IF(OR(AB57="Yes",AC57="Yes",AD57="Yes"),"Warning","Clean"))</f>
        <v>Clean</v>
      </c>
      <c r="AJ57" s="4" t="s">
        <v>358</v>
      </c>
      <c r="AK57" s="4" t="s">
        <v>359</v>
      </c>
      <c r="AL57" s="4" t="s">
        <v>67</v>
      </c>
      <c r="AM57" s="4" t="s">
        <v>68</v>
      </c>
      <c r="AN57" s="4" t="s">
        <v>87</v>
      </c>
      <c r="AO57" s="4" t="s">
        <v>121</v>
      </c>
      <c r="AP57" s="4" t="s">
        <v>122</v>
      </c>
      <c r="AQ57" s="4" t="s">
        <v>109</v>
      </c>
      <c r="AR57" s="4" t="s">
        <v>360</v>
      </c>
      <c r="AS57" s="4" t="s">
        <v>74</v>
      </c>
      <c r="AT57" s="0" t="n">
        <v>0.25</v>
      </c>
      <c r="AU57" s="4" t="s">
        <v>61</v>
      </c>
      <c r="AV57" s="4" t="s">
        <v>62</v>
      </c>
    </row>
    <row r="58" customFormat="false" ht="15" hidden="false" customHeight="false" outlineLevel="0" collapsed="false">
      <c r="A58" s="0" t="s">
        <v>361</v>
      </c>
      <c r="B58" s="3" t="n">
        <f aca="false">IF(AJ58="","",IF(ISNUMBER(SEARCH("/",AJ58)),DATE(VALUE(RIGHT(AJ58,4)),VALUE(LEFT(AJ58,2)),VALUE(MID(AJ58,4,2))),IF(ISNUMBER(SEARCH("-",AJ58)),IF(LEN(LEFT(AJ58,FIND("-",AJ58)-1))=4,DATE(VALUE(LEFT(AJ58,4)),VALUE(MID(AJ58,6,2)),VALUE(RIGHT(AJ58,2))),DATE(VALUE(RIGHT(AJ58,4)),VALUE(MID(AJ58,4,2)),VALUE(LEFT(AJ58,2)))),DATE(VALUE(RIGHT(AJ58,4)),MATCH(MID(AJ58,4,3),{"Jan","Feb","Mar","Apr","May","Jun","Jul","Aug","Sep","Oct","Nov","Dec"},0),VALUE(LEFT(AJ58,2))))))</f>
        <v>45662</v>
      </c>
      <c r="C58" s="3" t="n">
        <f aca="false">IF(AK58="","",IF(ISNUMBER(SEARCH("/",AK58)),DATE(VALUE(RIGHT(AK58,4)),VALUE(LEFT(AK58,2)),VALUE(MID(AK58,4,2))),IF(ISNUMBER(SEARCH("-",AK58)),IF(LEN(LEFT(AK58,FIND("-",AK58)-1))=4,DATE(VALUE(LEFT(AK58,4)),VALUE(MID(AK58,6,2)),VALUE(RIGHT(AK58,2))),DATE(VALUE(RIGHT(AK58,4)),VALUE(MID(AK58,4,2)),VALUE(LEFT(AK58,2)))),DATE(VALUE(RIGHT(AK58,4)),MATCH(MID(AK58,4,3),{"Jan","Feb","Mar","Apr","May","Jun","Jul","Aug","Sep","Oct","Nov","Dec"},0),VALUE(LEFT(AK58,2))))))</f>
        <v>45663</v>
      </c>
      <c r="D58" s="4" t="s">
        <v>362</v>
      </c>
      <c r="E58" s="0" t="str">
        <f aca="false">PROPER(TRIM(AL58))</f>
        <v>Karan Malhotra</v>
      </c>
      <c r="F58" s="0" t="str">
        <f aca="false">PROPER(TRIM(AM58))</f>
        <v>Consumer</v>
      </c>
      <c r="G58" s="0" t="str">
        <f aca="false">IF(TRIM(AN58)="","Unknown",PROPER(TRIM(AN58)))</f>
        <v>South</v>
      </c>
      <c r="H58" s="0" t="str">
        <f aca="false">PROPER(TRIM(AO58))</f>
        <v>Karnataka</v>
      </c>
      <c r="I58" s="0" t="str">
        <f aca="false">PROPER(TRIM(AP58))</f>
        <v>Bengaluru</v>
      </c>
      <c r="J58" s="0" t="str">
        <f aca="false">PROPER(TRIM(AQ58))</f>
        <v>Office Supplies</v>
      </c>
      <c r="K58" s="0" t="str">
        <f aca="false">PROPER(TRIM(AR58))</f>
        <v>Binders</v>
      </c>
      <c r="M58" s="0" t="str">
        <f aca="false">IF(TRIM(AS58)="","Unknown",PROPER(TRIM(AS58)))</f>
        <v>Second Class</v>
      </c>
      <c r="N58" s="0" t="n">
        <v>3</v>
      </c>
      <c r="O58" s="0" t="n">
        <v>3155.61</v>
      </c>
      <c r="P58" s="5" t="n">
        <f aca="false">IF(AT58="","",IF(ISNUMBER(AT58),AT58,VALUE(SUBSTITUTE(AT58,"%",""))/100))</f>
        <v>0</v>
      </c>
      <c r="Q58" s="5" t="n">
        <f aca="false">IF(P58="",IF(AND(N58&lt;&gt;"",O58&lt;&gt;"",R58&lt;&gt;"",S58&lt;&gt;""),0,"REVIEW"),IF(OR(P58&lt;0,P58&gt;0.3),0,P58))</f>
        <v>0</v>
      </c>
      <c r="R58" s="0" t="n">
        <v>9466.83</v>
      </c>
      <c r="S58" s="0" t="n">
        <v>6557.83</v>
      </c>
      <c r="T58" s="6" t="n">
        <f aca="false">N58*O58*(1-Q58)</f>
        <v>9466.83</v>
      </c>
      <c r="U58" s="6" t="n">
        <f aca="false">T58-S58</f>
        <v>2909</v>
      </c>
      <c r="V58" s="7" t="n">
        <f aca="false">IF(T58=0,0,U58/T58)</f>
        <v>0.307283430673203</v>
      </c>
      <c r="W58" s="4" t="n">
        <f aca="false">C58-B58</f>
        <v>1</v>
      </c>
      <c r="X58" s="0" t="str">
        <f aca="false">TEXT(B58,"mmmm")</f>
        <v>January</v>
      </c>
      <c r="Y58" s="4" t="n">
        <f aca="false">YEAR(B58)</f>
        <v>2025</v>
      </c>
      <c r="Z58" s="0" t="str">
        <f aca="false">PROPER(TRIM(AU58))</f>
        <v>Refunded</v>
      </c>
      <c r="AA58" s="0" t="str">
        <f aca="false">PROPER(TRIM(AV58))</f>
        <v>Cancelled</v>
      </c>
      <c r="AB58" s="0" t="str">
        <f aca="false">IF(TRIM(AN58)="","Yes","No")</f>
        <v>No</v>
      </c>
      <c r="AC58" s="0" t="str">
        <f aca="false">IF(TRIM(AS58)="","Yes","No")</f>
        <v>No</v>
      </c>
      <c r="AD58" s="0" t="str">
        <f aca="false">IF(AT58="","Yes","No")</f>
        <v>No</v>
      </c>
      <c r="AE58" s="0" t="str">
        <f aca="false">IF(W58&lt;0,"Yes","No")</f>
        <v>No</v>
      </c>
      <c r="AF58" s="0" t="str">
        <f aca="false">IF(P58="","No",IF(OR(P58&lt;0,P58&gt;0.3),"Yes","No"))</f>
        <v>No</v>
      </c>
      <c r="AG58" s="4" t="s">
        <v>50</v>
      </c>
      <c r="AH58" s="0" t="str">
        <f aca="false">IF(AND(AA58="Completed",Z58="Paid"),"Yes","No")</f>
        <v>No</v>
      </c>
      <c r="AI58" s="0" t="str">
        <f aca="false">IF(OR(AE58="Yes",AF58="Yes",AG58="Yes"),"Invalid",IF(OR(AB58="Yes",AC58="Yes",AD58="Yes"),"Warning","Clean"))</f>
        <v>Clean</v>
      </c>
      <c r="AJ58" s="4" t="s">
        <v>363</v>
      </c>
      <c r="AK58" s="4" t="s">
        <v>364</v>
      </c>
      <c r="AL58" s="4" t="s">
        <v>53</v>
      </c>
      <c r="AM58" s="4" t="s">
        <v>54</v>
      </c>
      <c r="AN58" s="4" t="s">
        <v>87</v>
      </c>
      <c r="AO58" s="4" t="s">
        <v>233</v>
      </c>
      <c r="AP58" s="4" t="s">
        <v>234</v>
      </c>
      <c r="AQ58" s="4" t="s">
        <v>58</v>
      </c>
      <c r="AR58" s="4" t="s">
        <v>206</v>
      </c>
      <c r="AS58" s="4" t="s">
        <v>60</v>
      </c>
      <c r="AT58" s="0" t="n">
        <v>0</v>
      </c>
      <c r="AU58" s="4" t="s">
        <v>141</v>
      </c>
      <c r="AV58" s="4" t="s">
        <v>101</v>
      </c>
    </row>
    <row r="59" customFormat="false" ht="15" hidden="false" customHeight="false" outlineLevel="0" collapsed="false">
      <c r="A59" s="0" t="s">
        <v>365</v>
      </c>
      <c r="B59" s="3" t="n">
        <f aca="false">IF(AJ59="","",IF(ISNUMBER(SEARCH("/",AJ59)),DATE(VALUE(RIGHT(AJ59,4)),VALUE(LEFT(AJ59,2)),VALUE(MID(AJ59,4,2))),IF(ISNUMBER(SEARCH("-",AJ59)),IF(LEN(LEFT(AJ59,FIND("-",AJ59)-1))=4,DATE(VALUE(LEFT(AJ59,4)),VALUE(MID(AJ59,6,2)),VALUE(RIGHT(AJ59,2))),DATE(VALUE(RIGHT(AJ59,4)),VALUE(MID(AJ59,4,2)),VALUE(LEFT(AJ59,2)))),DATE(VALUE(RIGHT(AJ59,4)),MATCH(MID(AJ59,4,3),{"Jan","Feb","Mar","Apr","May","Jun","Jul","Aug","Sep","Oct","Nov","Dec"},0),VALUE(LEFT(AJ59,2))))))</f>
        <v>45329</v>
      </c>
      <c r="C59" s="3" t="n">
        <f aca="false">IF(AK59="","",IF(ISNUMBER(SEARCH("/",AK59)),DATE(VALUE(RIGHT(AK59,4)),VALUE(LEFT(AK59,2)),VALUE(MID(AK59,4,2))),IF(ISNUMBER(SEARCH("-",AK59)),IF(LEN(LEFT(AK59,FIND("-",AK59)-1))=4,DATE(VALUE(LEFT(AK59,4)),VALUE(MID(AK59,6,2)),VALUE(RIGHT(AK59,2))),DATE(VALUE(RIGHT(AK59,4)),VALUE(MID(AK59,4,2)),VALUE(LEFT(AK59,2)))),DATE(VALUE(RIGHT(AK59,4)),MATCH(MID(AK59,4,3),{"Jan","Feb","Mar","Apr","May","Jun","Jul","Aug","Sep","Oct","Nov","Dec"},0),VALUE(LEFT(AK59,2))))))</f>
        <v>45337</v>
      </c>
      <c r="D59" s="4" t="s">
        <v>366</v>
      </c>
      <c r="E59" s="0" t="str">
        <f aca="false">PROPER(TRIM(AL59))</f>
        <v>Priya Menon</v>
      </c>
      <c r="F59" s="0" t="str">
        <f aca="false">PROPER(TRIM(AM59))</f>
        <v>Consumer</v>
      </c>
      <c r="G59" s="0" t="str">
        <f aca="false">IF(TRIM(AN59)="","Unknown",PROPER(TRIM(AN59)))</f>
        <v>West</v>
      </c>
      <c r="H59" s="0" t="str">
        <f aca="false">PROPER(TRIM(AO59))</f>
        <v>Goa</v>
      </c>
      <c r="I59" s="0" t="str">
        <f aca="false">PROPER(TRIM(AP59))</f>
        <v>Panaji</v>
      </c>
      <c r="J59" s="0" t="str">
        <f aca="false">PROPER(TRIM(AQ59))</f>
        <v>Furniture</v>
      </c>
      <c r="K59" s="0" t="str">
        <f aca="false">PROPER(TRIM(AR59))</f>
        <v>Chairs</v>
      </c>
      <c r="M59" s="0" t="str">
        <f aca="false">IF(TRIM(AS59)="","Unknown",PROPER(TRIM(AS59)))</f>
        <v>Same Day</v>
      </c>
      <c r="N59" s="0" t="n">
        <v>5</v>
      </c>
      <c r="O59" s="0" t="n">
        <v>255.87</v>
      </c>
      <c r="P59" s="5" t="n">
        <f aca="false">IF(AT59="","",IF(ISNUMBER(AT59),AT59,VALUE(SUBSTITUTE(AT59,"%",""))/100))</f>
        <v>0</v>
      </c>
      <c r="Q59" s="5" t="n">
        <f aca="false">IF(P59="",IF(AND(N59&lt;&gt;"",O59&lt;&gt;"",R59&lt;&gt;"",S59&lt;&gt;""),0,"REVIEW"),IF(OR(P59&lt;0,P59&gt;0.3),0,P59))</f>
        <v>0</v>
      </c>
      <c r="R59" s="0" t="n">
        <v>1279.35</v>
      </c>
      <c r="S59" s="0" t="n">
        <v>1091.54</v>
      </c>
      <c r="T59" s="6" t="n">
        <f aca="false">N59*O59*(1-Q59)</f>
        <v>1279.35</v>
      </c>
      <c r="U59" s="6" t="n">
        <f aca="false">T59-S59</f>
        <v>187.81</v>
      </c>
      <c r="V59" s="7" t="n">
        <f aca="false">IF(T59=0,0,U59/T59)</f>
        <v>0.146801109938641</v>
      </c>
      <c r="W59" s="4" t="n">
        <f aca="false">C59-B59</f>
        <v>8</v>
      </c>
      <c r="X59" s="0" t="str">
        <f aca="false">TEXT(B59,"mmmm")</f>
        <v>February</v>
      </c>
      <c r="Y59" s="4" t="n">
        <f aca="false">YEAR(B59)</f>
        <v>2024</v>
      </c>
      <c r="Z59" s="0" t="str">
        <f aca="false">PROPER(TRIM(AU59))</f>
        <v>Paid</v>
      </c>
      <c r="AA59" s="0" t="str">
        <f aca="false">PROPER(TRIM(AV59))</f>
        <v>Completed</v>
      </c>
      <c r="AB59" s="0" t="str">
        <f aca="false">IF(TRIM(AN59)="","Yes","No")</f>
        <v>No</v>
      </c>
      <c r="AC59" s="0" t="str">
        <f aca="false">IF(TRIM(AS59)="","Yes","No")</f>
        <v>No</v>
      </c>
      <c r="AD59" s="0" t="str">
        <f aca="false">IF(AT59="","Yes","No")</f>
        <v>No</v>
      </c>
      <c r="AE59" s="0" t="str">
        <f aca="false">IF(W59&lt;0,"Yes","No")</f>
        <v>No</v>
      </c>
      <c r="AF59" s="0" t="str">
        <f aca="false">IF(P59="","No",IF(OR(P59&lt;0,P59&gt;0.3),"Yes","No"))</f>
        <v>No</v>
      </c>
      <c r="AG59" s="4" t="s">
        <v>50</v>
      </c>
      <c r="AH59" s="0" t="str">
        <f aca="false">IF(AND(AA59="Completed",Z59="Paid"),"Yes","No")</f>
        <v>Yes</v>
      </c>
      <c r="AI59" s="0" t="str">
        <f aca="false">IF(OR(AE59="Yes",AF59="Yes",AG59="Yes"),"Invalid",IF(OR(AB59="Yes",AC59="Yes",AD59="Yes"),"Warning","Clean"))</f>
        <v>Clean</v>
      </c>
      <c r="AJ59" s="4" t="s">
        <v>367</v>
      </c>
      <c r="AK59" s="4" t="s">
        <v>368</v>
      </c>
      <c r="AL59" s="4" t="s">
        <v>158</v>
      </c>
      <c r="AM59" s="4" t="s">
        <v>54</v>
      </c>
      <c r="AN59" s="4" t="s">
        <v>97</v>
      </c>
      <c r="AO59" s="4" t="s">
        <v>250</v>
      </c>
      <c r="AP59" s="4" t="s">
        <v>251</v>
      </c>
      <c r="AQ59" s="4" t="s">
        <v>72</v>
      </c>
      <c r="AR59" s="4" t="s">
        <v>100</v>
      </c>
      <c r="AS59" s="4" t="s">
        <v>74</v>
      </c>
      <c r="AT59" s="0" t="n">
        <v>0</v>
      </c>
      <c r="AU59" s="4" t="s">
        <v>61</v>
      </c>
      <c r="AV59" s="4" t="s">
        <v>62</v>
      </c>
    </row>
    <row r="60" customFormat="false" ht="15" hidden="false" customHeight="false" outlineLevel="0" collapsed="false">
      <c r="A60" s="0" t="s">
        <v>369</v>
      </c>
      <c r="B60" s="3" t="n">
        <f aca="false">IF(AJ60="","",IF(ISNUMBER(SEARCH("/",AJ60)),DATE(VALUE(RIGHT(AJ60,4)),VALUE(LEFT(AJ60,2)),VALUE(MID(AJ60,4,2))),IF(ISNUMBER(SEARCH("-",AJ60)),IF(LEN(LEFT(AJ60,FIND("-",AJ60)-1))=4,DATE(VALUE(LEFT(AJ60,4)),VALUE(MID(AJ60,6,2)),VALUE(RIGHT(AJ60,2))),DATE(VALUE(RIGHT(AJ60,4)),VALUE(MID(AJ60,4,2)),VALUE(LEFT(AJ60,2)))),DATE(VALUE(RIGHT(AJ60,4)),MATCH(MID(AJ60,4,3),{"Jan","Feb","Mar","Apr","May","Jun","Jul","Aug","Sep","Oct","Nov","Dec"},0),VALUE(LEFT(AJ60,2))))))</f>
        <v>45536</v>
      </c>
      <c r="C60" s="3" t="n">
        <f aca="false">IF(AK60="","",IF(ISNUMBER(SEARCH("/",AK60)),DATE(VALUE(RIGHT(AK60,4)),VALUE(LEFT(AK60,2)),VALUE(MID(AK60,4,2))),IF(ISNUMBER(SEARCH("-",AK60)),IF(LEN(LEFT(AK60,FIND("-",AK60)-1))=4,DATE(VALUE(LEFT(AK60,4)),VALUE(MID(AK60,6,2)),VALUE(RIGHT(AK60,2))),DATE(VALUE(RIGHT(AK60,4)),VALUE(MID(AK60,4,2)),VALUE(LEFT(AK60,2)))),DATE(VALUE(RIGHT(AK60,4)),MATCH(MID(AK60,4,3),{"Jan","Feb","Mar","Apr","May","Jun","Jul","Aug","Sep","Oct","Nov","Dec"},0),VALUE(LEFT(AK60,2))))))</f>
        <v>45542</v>
      </c>
      <c r="D60" s="4" t="s">
        <v>370</v>
      </c>
      <c r="E60" s="0" t="str">
        <f aca="false">PROPER(TRIM(AL60))</f>
        <v>Isha Nair</v>
      </c>
      <c r="F60" s="0" t="str">
        <f aca="false">PROPER(TRIM(AM60))</f>
        <v>Home Office</v>
      </c>
      <c r="G60" s="0" t="str">
        <f aca="false">IF(TRIM(AN60)="","Unknown",PROPER(TRIM(AN60)))</f>
        <v>North</v>
      </c>
      <c r="H60" s="0" t="str">
        <f aca="false">PROPER(TRIM(AO60))</f>
        <v>Rajasthan</v>
      </c>
      <c r="I60" s="0" t="str">
        <f aca="false">PROPER(TRIM(AP60))</f>
        <v>Jaipur</v>
      </c>
      <c r="J60" s="0" t="str">
        <f aca="false">PROPER(TRIM(AQ60))</f>
        <v>Office Supplies</v>
      </c>
      <c r="K60" s="0" t="str">
        <f aca="false">PROPER(TRIM(AR60))</f>
        <v>Storage</v>
      </c>
      <c r="M60" s="0" t="str">
        <f aca="false">IF(TRIM(AS60)="","Unknown",PROPER(TRIM(AS60)))</f>
        <v>Unknown</v>
      </c>
      <c r="N60" s="0" t="n">
        <v>9</v>
      </c>
      <c r="O60" s="0" t="n">
        <v>1389.48</v>
      </c>
      <c r="P60" s="5" t="n">
        <f aca="false">IF(AT60="","",IF(ISNUMBER(AT60),AT60,VALUE(SUBSTITUTE(AT60,"%",""))/100))</f>
        <v>0.1</v>
      </c>
      <c r="Q60" s="5" t="n">
        <f aca="false">IF(P60="",IF(AND(N60&lt;&gt;"",O60&lt;&gt;"",R60&lt;&gt;"",S60&lt;&gt;""),0,"REVIEW"),IF(OR(P60&lt;0,P60&gt;0.3),0,P60))</f>
        <v>0.1</v>
      </c>
      <c r="R60" s="0" t="n">
        <v>11254.79</v>
      </c>
      <c r="S60" s="0" t="n">
        <v>6578.06</v>
      </c>
      <c r="T60" s="6" t="n">
        <f aca="false">N60*O60*(1-Q60)</f>
        <v>11254.788</v>
      </c>
      <c r="U60" s="6" t="n">
        <f aca="false">T60-S60</f>
        <v>4676.728</v>
      </c>
      <c r="V60" s="7" t="n">
        <f aca="false">IF(T60=0,0,U60/T60)</f>
        <v>0.415532305006545</v>
      </c>
      <c r="W60" s="4" t="n">
        <f aca="false">C60-B60</f>
        <v>6</v>
      </c>
      <c r="X60" s="0" t="str">
        <f aca="false">TEXT(B60,"mmmm")</f>
        <v>September</v>
      </c>
      <c r="Y60" s="4" t="n">
        <f aca="false">YEAR(B60)</f>
        <v>2024</v>
      </c>
      <c r="Z60" s="0" t="str">
        <f aca="false">PROPER(TRIM(AU60))</f>
        <v>Pending</v>
      </c>
      <c r="AA60" s="0" t="str">
        <f aca="false">PROPER(TRIM(AV60))</f>
        <v>Returned</v>
      </c>
      <c r="AB60" s="0" t="str">
        <f aca="false">IF(TRIM(AN60)="","Yes","No")</f>
        <v>No</v>
      </c>
      <c r="AC60" s="0" t="str">
        <f aca="false">IF(TRIM(AS60)="","Yes","No")</f>
        <v>Yes</v>
      </c>
      <c r="AD60" s="0" t="str">
        <f aca="false">IF(AT60="","Yes","No")</f>
        <v>No</v>
      </c>
      <c r="AE60" s="0" t="str">
        <f aca="false">IF(W60&lt;0,"Yes","No")</f>
        <v>No</v>
      </c>
      <c r="AF60" s="0" t="str">
        <f aca="false">IF(P60="","No",IF(OR(P60&lt;0,P60&gt;0.3),"Yes","No"))</f>
        <v>No</v>
      </c>
      <c r="AG60" s="4" t="s">
        <v>50</v>
      </c>
      <c r="AH60" s="0" t="str">
        <f aca="false">IF(AND(AA60="Completed",Z60="Paid"),"Yes","No")</f>
        <v>No</v>
      </c>
      <c r="AI60" s="0" t="str">
        <f aca="false">IF(OR(AE60="Yes",AF60="Yes",AG60="Yes"),"Invalid",IF(OR(AB60="Yes",AC60="Yes",AD60="Yes"),"Warning","Clean"))</f>
        <v>Warning</v>
      </c>
      <c r="AJ60" s="4" t="s">
        <v>371</v>
      </c>
      <c r="AK60" s="4" t="s">
        <v>372</v>
      </c>
      <c r="AL60" s="4" t="s">
        <v>79</v>
      </c>
      <c r="AM60" s="4" t="s">
        <v>134</v>
      </c>
      <c r="AN60" s="4" t="s">
        <v>168</v>
      </c>
      <c r="AO60" s="4" t="s">
        <v>56</v>
      </c>
      <c r="AP60" s="4" t="s">
        <v>57</v>
      </c>
      <c r="AQ60" s="4" t="s">
        <v>58</v>
      </c>
      <c r="AR60" s="4" t="s">
        <v>171</v>
      </c>
      <c r="AT60" s="0" t="n">
        <v>0.1</v>
      </c>
      <c r="AU60" s="4" t="s">
        <v>153</v>
      </c>
      <c r="AV60" s="4" t="s">
        <v>142</v>
      </c>
    </row>
    <row r="61" customFormat="false" ht="15" hidden="false" customHeight="false" outlineLevel="0" collapsed="false">
      <c r="A61" s="0" t="s">
        <v>373</v>
      </c>
      <c r="B61" s="3" t="n">
        <f aca="false">IF(AJ61="","",IF(ISNUMBER(SEARCH("/",AJ61)),DATE(VALUE(RIGHT(AJ61,4)),VALUE(LEFT(AJ61,2)),VALUE(MID(AJ61,4,2))),IF(ISNUMBER(SEARCH("-",AJ61)),IF(LEN(LEFT(AJ61,FIND("-",AJ61)-1))=4,DATE(VALUE(LEFT(AJ61,4)),VALUE(MID(AJ61,6,2)),VALUE(RIGHT(AJ61,2))),DATE(VALUE(RIGHT(AJ61,4)),VALUE(MID(AJ61,4,2)),VALUE(LEFT(AJ61,2)))),DATE(VALUE(RIGHT(AJ61,4)),MATCH(MID(AJ61,4,3),{"Jan","Feb","Mar","Apr","May","Jun","Jul","Aug","Sep","Oct","Nov","Dec"},0),VALUE(LEFT(AJ61,2))))))</f>
        <v>45493</v>
      </c>
      <c r="C61" s="3" t="n">
        <f aca="false">IF(AK61="","",IF(ISNUMBER(SEARCH("/",AK61)),DATE(VALUE(RIGHT(AK61,4)),VALUE(LEFT(AK61,2)),VALUE(MID(AK61,4,2))),IF(ISNUMBER(SEARCH("-",AK61)),IF(LEN(LEFT(AK61,FIND("-",AK61)-1))=4,DATE(VALUE(LEFT(AK61,4)),VALUE(MID(AK61,6,2)),VALUE(RIGHT(AK61,2))),DATE(VALUE(RIGHT(AK61,4)),VALUE(MID(AK61,4,2)),VALUE(LEFT(AK61,2)))),DATE(VALUE(RIGHT(AK61,4)),MATCH(MID(AK61,4,3),{"Jan","Feb","Mar","Apr","May","Jun","Jul","Aug","Sep","Oct","Nov","Dec"},0),VALUE(LEFT(AK61,2))))))</f>
        <v>45498</v>
      </c>
      <c r="D61" s="4" t="s">
        <v>374</v>
      </c>
      <c r="E61" s="0" t="str">
        <f aca="false">PROPER(TRIM(AL61))</f>
        <v>Priya Menon</v>
      </c>
      <c r="F61" s="0" t="str">
        <f aca="false">PROPER(TRIM(AM61))</f>
        <v>Corporate</v>
      </c>
      <c r="G61" s="0" t="str">
        <f aca="false">IF(TRIM(AN61)="","Unknown",PROPER(TRIM(AN61)))</f>
        <v>East</v>
      </c>
      <c r="H61" s="0" t="str">
        <f aca="false">PROPER(TRIM(AO61))</f>
        <v>Assam</v>
      </c>
      <c r="I61" s="0" t="str">
        <f aca="false">PROPER(TRIM(AP61))</f>
        <v>Guwahati</v>
      </c>
      <c r="J61" s="0" t="str">
        <f aca="false">PROPER(TRIM(AQ61))</f>
        <v>Office Supplies</v>
      </c>
      <c r="K61" s="0" t="str">
        <f aca="false">PROPER(TRIM(AR61))</f>
        <v>Labels</v>
      </c>
      <c r="M61" s="0" t="str">
        <f aca="false">IF(TRIM(AS61)="","Unknown",PROPER(TRIM(AS61)))</f>
        <v>Same Day</v>
      </c>
      <c r="N61" s="0" t="n">
        <v>5</v>
      </c>
      <c r="O61" s="0" t="n">
        <v>4133.85</v>
      </c>
      <c r="P61" s="5" t="n">
        <f aca="false">IF(AT61="","",IF(ISNUMBER(AT61),AT61,VALUE(SUBSTITUTE(AT61,"%",""))/100))</f>
        <v>0.2</v>
      </c>
      <c r="Q61" s="5" t="n">
        <f aca="false">IF(P61="",IF(AND(N61&lt;&gt;"",O61&lt;&gt;"",R61&lt;&gt;"",S61&lt;&gt;""),0,"REVIEW"),IF(OR(P61&lt;0,P61&gt;0.3),0,P61))</f>
        <v>0.2</v>
      </c>
      <c r="R61" s="0" t="n">
        <v>16535.4</v>
      </c>
      <c r="S61" s="0" t="n">
        <v>12990.21</v>
      </c>
      <c r="T61" s="6" t="n">
        <f aca="false">N61*O61*(1-Q61)</f>
        <v>16535.4</v>
      </c>
      <c r="U61" s="6" t="n">
        <f aca="false">T61-S61</f>
        <v>3545.19</v>
      </c>
      <c r="V61" s="7" t="n">
        <f aca="false">IF(T61=0,0,U61/T61)</f>
        <v>0.214400014514315</v>
      </c>
      <c r="W61" s="4" t="n">
        <f aca="false">C61-B61</f>
        <v>5</v>
      </c>
      <c r="X61" s="0" t="str">
        <f aca="false">TEXT(B61,"mmmm")</f>
        <v>July</v>
      </c>
      <c r="Y61" s="4" t="n">
        <f aca="false">YEAR(B61)</f>
        <v>2024</v>
      </c>
      <c r="Z61" s="0" t="str">
        <f aca="false">PROPER(TRIM(AU61))</f>
        <v>Paid</v>
      </c>
      <c r="AA61" s="0" t="str">
        <f aca="false">PROPER(TRIM(AV61))</f>
        <v>Cancelled</v>
      </c>
      <c r="AB61" s="0" t="str">
        <f aca="false">IF(TRIM(AN61)="","Yes","No")</f>
        <v>No</v>
      </c>
      <c r="AC61" s="0" t="str">
        <f aca="false">IF(TRIM(AS61)="","Yes","No")</f>
        <v>No</v>
      </c>
      <c r="AD61" s="0" t="str">
        <f aca="false">IF(AT61="","Yes","No")</f>
        <v>No</v>
      </c>
      <c r="AE61" s="0" t="str">
        <f aca="false">IF(W61&lt;0,"Yes","No")</f>
        <v>No</v>
      </c>
      <c r="AF61" s="0" t="str">
        <f aca="false">IF(P61="","No",IF(OR(P61&lt;0,P61&gt;0.3),"Yes","No"))</f>
        <v>No</v>
      </c>
      <c r="AG61" s="4" t="s">
        <v>50</v>
      </c>
      <c r="AH61" s="0" t="str">
        <f aca="false">IF(AND(AA61="Completed",Z61="Paid"),"Yes","No")</f>
        <v>No</v>
      </c>
      <c r="AI61" s="0" t="str">
        <f aca="false">IF(OR(AE61="Yes",AF61="Yes",AG61="Yes"),"Invalid",IF(OR(AB61="Yes",AC61="Yes",AD61="Yes"),"Warning","Clean"))</f>
        <v>Clean</v>
      </c>
      <c r="AJ61" s="4" t="s">
        <v>375</v>
      </c>
      <c r="AK61" s="4" t="s">
        <v>376</v>
      </c>
      <c r="AL61" s="4" t="s">
        <v>158</v>
      </c>
      <c r="AM61" s="4" t="s">
        <v>128</v>
      </c>
      <c r="AN61" s="4" t="s">
        <v>69</v>
      </c>
      <c r="AO61" s="4" t="s">
        <v>221</v>
      </c>
      <c r="AP61" s="4" t="s">
        <v>222</v>
      </c>
      <c r="AQ61" s="4" t="s">
        <v>58</v>
      </c>
      <c r="AR61" s="4" t="s">
        <v>129</v>
      </c>
      <c r="AS61" s="4" t="s">
        <v>74</v>
      </c>
      <c r="AT61" s="0" t="n">
        <v>0.2</v>
      </c>
      <c r="AU61" s="4" t="s">
        <v>61</v>
      </c>
      <c r="AV61" s="4" t="s">
        <v>101</v>
      </c>
    </row>
    <row r="62" customFormat="false" ht="15" hidden="false" customHeight="false" outlineLevel="0" collapsed="false">
      <c r="A62" s="0" t="s">
        <v>377</v>
      </c>
      <c r="B62" s="3" t="n">
        <f aca="false">IF(AJ62="","",IF(ISNUMBER(SEARCH("/",AJ62)),DATE(VALUE(RIGHT(AJ62,4)),VALUE(LEFT(AJ62,2)),VALUE(MID(AJ62,4,2))),IF(ISNUMBER(SEARCH("-",AJ62)),IF(LEN(LEFT(AJ62,FIND("-",AJ62)-1))=4,DATE(VALUE(LEFT(AJ62,4)),VALUE(MID(AJ62,6,2)),VALUE(RIGHT(AJ62,2))),DATE(VALUE(RIGHT(AJ62,4)),VALUE(MID(AJ62,4,2)),VALUE(LEFT(AJ62,2)))),DATE(VALUE(RIGHT(AJ62,4)),MATCH(MID(AJ62,4,3),{"Jan","Feb","Mar","Apr","May","Jun","Jul","Aug","Sep","Oct","Nov","Dec"},0),VALUE(LEFT(AJ62,2))))))</f>
        <v>45486</v>
      </c>
      <c r="C62" s="3" t="n">
        <f aca="false">IF(AK62="","",IF(ISNUMBER(SEARCH("/",AK62)),DATE(VALUE(RIGHT(AK62,4)),VALUE(LEFT(AK62,2)),VALUE(MID(AK62,4,2))),IF(ISNUMBER(SEARCH("-",AK62)),IF(LEN(LEFT(AK62,FIND("-",AK62)-1))=4,DATE(VALUE(LEFT(AK62,4)),VALUE(MID(AK62,6,2)),VALUE(RIGHT(AK62,2))),DATE(VALUE(RIGHT(AK62,4)),VALUE(MID(AK62,4,2)),VALUE(LEFT(AK62,2)))),DATE(VALUE(RIGHT(AK62,4)),MATCH(MID(AK62,4,3),{"Jan","Feb","Mar","Apr","May","Jun","Jul","Aug","Sep","Oct","Nov","Dec"},0),VALUE(LEFT(AK62,2))))))</f>
        <v>45492</v>
      </c>
      <c r="D62" s="4" t="s">
        <v>378</v>
      </c>
      <c r="E62" s="0" t="str">
        <f aca="false">PROPER(TRIM(AL62))</f>
        <v>Ananya Rao</v>
      </c>
      <c r="F62" s="0" t="str">
        <f aca="false">PROPER(TRIM(AM62))</f>
        <v>Corporate</v>
      </c>
      <c r="G62" s="0" t="str">
        <f aca="false">IF(TRIM(AN62)="","Unknown",PROPER(TRIM(AN62)))</f>
        <v>East</v>
      </c>
      <c r="H62" s="0" t="str">
        <f aca="false">PROPER(TRIM(AO62))</f>
        <v>Assam</v>
      </c>
      <c r="I62" s="0" t="str">
        <f aca="false">PROPER(TRIM(AP62))</f>
        <v>Guwahati</v>
      </c>
      <c r="J62" s="0" t="str">
        <f aca="false">PROPER(TRIM(AQ62))</f>
        <v>Office Supplies</v>
      </c>
      <c r="K62" s="0" t="str">
        <f aca="false">PROPER(TRIM(AR62))</f>
        <v>Labels</v>
      </c>
      <c r="M62" s="0" t="str">
        <f aca="false">IF(TRIM(AS62)="","Unknown",PROPER(TRIM(AS62)))</f>
        <v>Same Day</v>
      </c>
      <c r="N62" s="0" t="n">
        <v>3</v>
      </c>
      <c r="O62" s="0" t="n">
        <v>275.76</v>
      </c>
      <c r="P62" s="5" t="n">
        <f aca="false">IF(AT62="","",IF(ISNUMBER(AT62),AT62,VALUE(SUBSTITUTE(AT62,"%",""))/100))</f>
        <v>0.2</v>
      </c>
      <c r="Q62" s="5" t="n">
        <f aca="false">IF(P62="",IF(AND(N62&lt;&gt;"",O62&lt;&gt;"",R62&lt;&gt;"",S62&lt;&gt;""),0,"REVIEW"),IF(OR(P62&lt;0,P62&gt;0.3),0,P62))</f>
        <v>0.2</v>
      </c>
      <c r="R62" s="0" t="n">
        <v>661.82</v>
      </c>
      <c r="S62" s="0" t="n">
        <v>481.47</v>
      </c>
      <c r="T62" s="6" t="n">
        <f aca="false">N62*O62*(1-Q62)</f>
        <v>661.824</v>
      </c>
      <c r="U62" s="6" t="n">
        <f aca="false">T62-S62</f>
        <v>180.354</v>
      </c>
      <c r="V62" s="7" t="n">
        <f aca="false">IF(T62=0,0,U62/T62)</f>
        <v>0.272510516391065</v>
      </c>
      <c r="W62" s="4" t="n">
        <f aca="false">C62-B62</f>
        <v>6</v>
      </c>
      <c r="X62" s="0" t="str">
        <f aca="false">TEXT(B62,"mmmm")</f>
        <v>July</v>
      </c>
      <c r="Y62" s="4" t="n">
        <f aca="false">YEAR(B62)</f>
        <v>2024</v>
      </c>
      <c r="Z62" s="0" t="str">
        <f aca="false">PROPER(TRIM(AU62))</f>
        <v>Refunded</v>
      </c>
      <c r="AA62" s="0" t="str">
        <f aca="false">PROPER(TRIM(AV62))</f>
        <v>Cancelled</v>
      </c>
      <c r="AB62" s="0" t="str">
        <f aca="false">IF(TRIM(AN62)="","Yes","No")</f>
        <v>No</v>
      </c>
      <c r="AC62" s="0" t="str">
        <f aca="false">IF(TRIM(AS62)="","Yes","No")</f>
        <v>No</v>
      </c>
      <c r="AD62" s="0" t="str">
        <f aca="false">IF(AT62="","Yes","No")</f>
        <v>No</v>
      </c>
      <c r="AE62" s="0" t="str">
        <f aca="false">IF(W62&lt;0,"Yes","No")</f>
        <v>No</v>
      </c>
      <c r="AF62" s="0" t="str">
        <f aca="false">IF(P62="","No",IF(OR(P62&lt;0,P62&gt;0.3),"Yes","No"))</f>
        <v>No</v>
      </c>
      <c r="AG62" s="4" t="s">
        <v>50</v>
      </c>
      <c r="AH62" s="0" t="str">
        <f aca="false">IF(AND(AA62="Completed",Z62="Paid"),"Yes","No")</f>
        <v>No</v>
      </c>
      <c r="AI62" s="0" t="str">
        <f aca="false">IF(OR(AE62="Yes",AF62="Yes",AG62="Yes"),"Invalid",IF(OR(AB62="Yes",AC62="Yes",AD62="Yes"),"Warning","Clean"))</f>
        <v>Clean</v>
      </c>
      <c r="AJ62" s="4" t="s">
        <v>379</v>
      </c>
      <c r="AK62" s="4" t="s">
        <v>380</v>
      </c>
      <c r="AL62" s="4" t="s">
        <v>96</v>
      </c>
      <c r="AM62" s="4" t="s">
        <v>128</v>
      </c>
      <c r="AN62" s="4" t="s">
        <v>69</v>
      </c>
      <c r="AO62" s="4" t="s">
        <v>221</v>
      </c>
      <c r="AP62" s="4" t="s">
        <v>222</v>
      </c>
      <c r="AQ62" s="4" t="s">
        <v>58</v>
      </c>
      <c r="AR62" s="4" t="s">
        <v>129</v>
      </c>
      <c r="AS62" s="4" t="s">
        <v>74</v>
      </c>
      <c r="AT62" s="0" t="n">
        <v>0.2</v>
      </c>
      <c r="AU62" s="4" t="s">
        <v>141</v>
      </c>
      <c r="AV62" s="4" t="s">
        <v>101</v>
      </c>
    </row>
    <row r="63" customFormat="false" ht="15" hidden="false" customHeight="false" outlineLevel="0" collapsed="false">
      <c r="A63" s="0" t="s">
        <v>381</v>
      </c>
      <c r="B63" s="3" t="n">
        <f aca="false">IF(AJ63="","",IF(ISNUMBER(SEARCH("/",AJ63)),DATE(VALUE(RIGHT(AJ63,4)),VALUE(LEFT(AJ63,2)),VALUE(MID(AJ63,4,2))),IF(ISNUMBER(SEARCH("-",AJ63)),IF(LEN(LEFT(AJ63,FIND("-",AJ63)-1))=4,DATE(VALUE(LEFT(AJ63,4)),VALUE(MID(AJ63,6,2)),VALUE(RIGHT(AJ63,2))),DATE(VALUE(RIGHT(AJ63,4)),VALUE(MID(AJ63,4,2)),VALUE(LEFT(AJ63,2)))),DATE(VALUE(RIGHT(AJ63,4)),MATCH(MID(AJ63,4,3),{"Jan","Feb","Mar","Apr","May","Jun","Jul","Aug","Sep","Oct","Nov","Dec"},0),VALUE(LEFT(AJ63,2))))))</f>
        <v>45398</v>
      </c>
      <c r="C63" s="3" t="n">
        <f aca="false">IF(AK63="","",IF(ISNUMBER(SEARCH("/",AK63)),DATE(VALUE(RIGHT(AK63,4)),VALUE(LEFT(AK63,2)),VALUE(MID(AK63,4,2))),IF(ISNUMBER(SEARCH("-",AK63)),IF(LEN(LEFT(AK63,FIND("-",AK63)-1))=4,DATE(VALUE(LEFT(AK63,4)),VALUE(MID(AK63,6,2)),VALUE(RIGHT(AK63,2))),DATE(VALUE(RIGHT(AK63,4)),VALUE(MID(AK63,4,2)),VALUE(LEFT(AK63,2)))),DATE(VALUE(RIGHT(AK63,4)),MATCH(MID(AK63,4,3),{"Jan","Feb","Mar","Apr","May","Jun","Jul","Aug","Sep","Oct","Nov","Dec"},0),VALUE(LEFT(AK63,2))))))</f>
        <v>45398</v>
      </c>
      <c r="D63" s="4" t="s">
        <v>382</v>
      </c>
      <c r="E63" s="0" t="str">
        <f aca="false">PROPER(TRIM(AL63))</f>
        <v>Vikram Iyer</v>
      </c>
      <c r="F63" s="0" t="str">
        <f aca="false">PROPER(TRIM(AM63))</f>
        <v>Home Office</v>
      </c>
      <c r="G63" s="0" t="str">
        <f aca="false">IF(TRIM(AN63)="","Unknown",PROPER(TRIM(AN63)))</f>
        <v>East</v>
      </c>
      <c r="H63" s="0" t="str">
        <f aca="false">PROPER(TRIM(AO63))</f>
        <v>Bihar</v>
      </c>
      <c r="I63" s="0" t="str">
        <f aca="false">PROPER(TRIM(AP63))</f>
        <v>Patna</v>
      </c>
      <c r="J63" s="0" t="str">
        <f aca="false">PROPER(TRIM(AQ63))</f>
        <v>Furniture</v>
      </c>
      <c r="K63" s="0" t="str">
        <f aca="false">PROPER(TRIM(AR63))</f>
        <v>Bookcases</v>
      </c>
      <c r="M63" s="0" t="str">
        <f aca="false">IF(TRIM(AS63)="","Unknown",PROPER(TRIM(AS63)))</f>
        <v>Standard Class</v>
      </c>
      <c r="N63" s="0" t="n">
        <v>1</v>
      </c>
      <c r="O63" s="0" t="n">
        <v>949.59</v>
      </c>
      <c r="P63" s="5" t="n">
        <f aca="false">IF(AT63="","",IF(ISNUMBER(AT63),AT63,VALUE(SUBSTITUTE(AT63,"%",""))/100))</f>
        <v>0</v>
      </c>
      <c r="Q63" s="5" t="n">
        <f aca="false">IF(P63="",IF(AND(N63&lt;&gt;"",O63&lt;&gt;"",R63&lt;&gt;"",S63&lt;&gt;""),0,"REVIEW"),IF(OR(P63&lt;0,P63&gt;0.3),0,P63))</f>
        <v>0</v>
      </c>
      <c r="R63" s="0" t="n">
        <v>949.59</v>
      </c>
      <c r="S63" s="0" t="n">
        <v>751.25</v>
      </c>
      <c r="T63" s="6" t="n">
        <f aca="false">N63*O63*(1-Q63)</f>
        <v>949.59</v>
      </c>
      <c r="U63" s="6" t="n">
        <f aca="false">T63-S63</f>
        <v>198.34</v>
      </c>
      <c r="V63" s="7" t="n">
        <f aca="false">IF(T63=0,0,U63/T63)</f>
        <v>0.208869090870797</v>
      </c>
      <c r="W63" s="4" t="n">
        <f aca="false">C63-B63</f>
        <v>0</v>
      </c>
      <c r="X63" s="0" t="str">
        <f aca="false">TEXT(B63,"mmmm")</f>
        <v>April</v>
      </c>
      <c r="Y63" s="4" t="n">
        <f aca="false">YEAR(B63)</f>
        <v>2024</v>
      </c>
      <c r="Z63" s="0" t="str">
        <f aca="false">PROPER(TRIM(AU63))</f>
        <v>Paid</v>
      </c>
      <c r="AA63" s="0" t="str">
        <f aca="false">PROPER(TRIM(AV63))</f>
        <v>Completed</v>
      </c>
      <c r="AB63" s="0" t="str">
        <f aca="false">IF(TRIM(AN63)="","Yes","No")</f>
        <v>No</v>
      </c>
      <c r="AC63" s="0" t="str">
        <f aca="false">IF(TRIM(AS63)="","Yes","No")</f>
        <v>No</v>
      </c>
      <c r="AD63" s="0" t="str">
        <f aca="false">IF(AT63="","Yes","No")</f>
        <v>No</v>
      </c>
      <c r="AE63" s="0" t="str">
        <f aca="false">IF(W63&lt;0,"Yes","No")</f>
        <v>No</v>
      </c>
      <c r="AF63" s="0" t="str">
        <f aca="false">IF(P63="","No",IF(OR(P63&lt;0,P63&gt;0.3),"Yes","No"))</f>
        <v>No</v>
      </c>
      <c r="AG63" s="4" t="s">
        <v>50</v>
      </c>
      <c r="AH63" s="0" t="str">
        <f aca="false">IF(AND(AA63="Completed",Z63="Paid"),"Yes","No")</f>
        <v>Yes</v>
      </c>
      <c r="AI63" s="0" t="str">
        <f aca="false">IF(OR(AE63="Yes",AF63="Yes",AG63="Yes"),"Invalid",IF(OR(AB63="Yes",AC63="Yes",AD63="Yes"),"Warning","Clean"))</f>
        <v>Clean</v>
      </c>
      <c r="AJ63" s="4" t="s">
        <v>383</v>
      </c>
      <c r="AK63" s="4" t="s">
        <v>384</v>
      </c>
      <c r="AL63" s="4" t="s">
        <v>106</v>
      </c>
      <c r="AM63" s="4" t="s">
        <v>134</v>
      </c>
      <c r="AN63" s="4" t="s">
        <v>69</v>
      </c>
      <c r="AO63" s="4" t="s">
        <v>196</v>
      </c>
      <c r="AP63" s="4" t="s">
        <v>197</v>
      </c>
      <c r="AQ63" s="4" t="s">
        <v>72</v>
      </c>
      <c r="AR63" s="4" t="s">
        <v>211</v>
      </c>
      <c r="AS63" s="4" t="s">
        <v>91</v>
      </c>
      <c r="AT63" s="0" t="n">
        <v>0</v>
      </c>
      <c r="AU63" s="4" t="s">
        <v>61</v>
      </c>
      <c r="AV63" s="4" t="s">
        <v>62</v>
      </c>
    </row>
    <row r="64" customFormat="false" ht="15" hidden="false" customHeight="false" outlineLevel="0" collapsed="false">
      <c r="A64" s="0" t="s">
        <v>385</v>
      </c>
      <c r="B64" s="3" t="n">
        <f aca="false">IF(AJ64="","",IF(ISNUMBER(SEARCH("/",AJ64)),DATE(VALUE(RIGHT(AJ64,4)),VALUE(LEFT(AJ64,2)),VALUE(MID(AJ64,4,2))),IF(ISNUMBER(SEARCH("-",AJ64)),IF(LEN(LEFT(AJ64,FIND("-",AJ64)-1))=4,DATE(VALUE(LEFT(AJ64,4)),VALUE(MID(AJ64,6,2)),VALUE(RIGHT(AJ64,2))),DATE(VALUE(RIGHT(AJ64,4)),VALUE(MID(AJ64,4,2)),VALUE(LEFT(AJ64,2)))),DATE(VALUE(RIGHT(AJ64,4)),MATCH(MID(AJ64,4,3),{"Jan","Feb","Mar","Apr","May","Jun","Jul","Aug","Sep","Oct","Nov","Dec"},0),VALUE(LEFT(AJ64,2))))))</f>
        <v>45595</v>
      </c>
      <c r="C64" s="3" t="n">
        <f aca="false">IF(AK64="","",IF(ISNUMBER(SEARCH("/",AK64)),DATE(VALUE(RIGHT(AK64,4)),VALUE(LEFT(AK64,2)),VALUE(MID(AK64,4,2))),IF(ISNUMBER(SEARCH("-",AK64)),IF(LEN(LEFT(AK64,FIND("-",AK64)-1))=4,DATE(VALUE(LEFT(AK64,4)),VALUE(MID(AK64,6,2)),VALUE(RIGHT(AK64,2))),DATE(VALUE(RIGHT(AK64,4)),VALUE(MID(AK64,4,2)),VALUE(LEFT(AK64,2)))),DATE(VALUE(RIGHT(AK64,4)),MATCH(MID(AK64,4,3),{"Jan","Feb","Mar","Apr","May","Jun","Jul","Aug","Sep","Oct","Nov","Dec"},0),VALUE(LEFT(AK64,2))))))</f>
        <v>45598</v>
      </c>
      <c r="D64" s="4" t="s">
        <v>386</v>
      </c>
      <c r="E64" s="0" t="str">
        <f aca="false">PROPER(TRIM(AL64))</f>
        <v>Sneha Kapoor</v>
      </c>
      <c r="F64" s="0" t="str">
        <f aca="false">PROPER(TRIM(AM64))</f>
        <v>Home Office</v>
      </c>
      <c r="G64" s="0" t="str">
        <f aca="false">IF(TRIM(AN64)="","Unknown",PROPER(TRIM(AN64)))</f>
        <v>North</v>
      </c>
      <c r="H64" s="0" t="str">
        <f aca="false">PROPER(TRIM(AO64))</f>
        <v>Rajasthan</v>
      </c>
      <c r="I64" s="0" t="str">
        <f aca="false">PROPER(TRIM(AP64))</f>
        <v>Jaipur</v>
      </c>
      <c r="J64" s="0" t="str">
        <f aca="false">PROPER(TRIM(AQ64))</f>
        <v>Technology</v>
      </c>
      <c r="K64" s="0" t="str">
        <f aca="false">PROPER(TRIM(AR64))</f>
        <v>Phones</v>
      </c>
      <c r="M64" s="0" t="str">
        <f aca="false">IF(TRIM(AS64)="","Unknown",PROPER(TRIM(AS64)))</f>
        <v>Standard Class</v>
      </c>
      <c r="N64" s="0" t="n">
        <v>9</v>
      </c>
      <c r="O64" s="0" t="n">
        <v>3042.29</v>
      </c>
      <c r="P64" s="5" t="n">
        <f aca="false">IF(AT64="","",IF(ISNUMBER(AT64),AT64,VALUE(SUBSTITUTE(AT64,"%",""))/100))</f>
        <v>0.2</v>
      </c>
      <c r="Q64" s="5" t="n">
        <f aca="false">IF(P64="",IF(AND(N64&lt;&gt;"",O64&lt;&gt;"",R64&lt;&gt;"",S64&lt;&gt;""),0,"REVIEW"),IF(OR(P64&lt;0,P64&gt;0.3),0,P64))</f>
        <v>0.2</v>
      </c>
      <c r="R64" s="0" t="n">
        <v>21904.49</v>
      </c>
      <c r="S64" s="0" t="n">
        <v>13570.55</v>
      </c>
      <c r="T64" s="6" t="n">
        <f aca="false">N64*O64*(1-Q64)</f>
        <v>21904.488</v>
      </c>
      <c r="U64" s="6" t="n">
        <f aca="false">T64-S64</f>
        <v>8333.938</v>
      </c>
      <c r="V64" s="7" t="n">
        <f aca="false">IF(T64=0,0,U64/T64)</f>
        <v>0.380467144450032</v>
      </c>
      <c r="W64" s="4" t="n">
        <f aca="false">C64-B64</f>
        <v>3</v>
      </c>
      <c r="X64" s="0" t="str">
        <f aca="false">TEXT(B64,"mmmm")</f>
        <v>October</v>
      </c>
      <c r="Y64" s="4" t="n">
        <f aca="false">YEAR(B64)</f>
        <v>2024</v>
      </c>
      <c r="Z64" s="0" t="str">
        <f aca="false">PROPER(TRIM(AU64))</f>
        <v>Paid</v>
      </c>
      <c r="AA64" s="0" t="str">
        <f aca="false">PROPER(TRIM(AV64))</f>
        <v>Completed</v>
      </c>
      <c r="AB64" s="0" t="str">
        <f aca="false">IF(TRIM(AN64)="","Yes","No")</f>
        <v>No</v>
      </c>
      <c r="AC64" s="0" t="str">
        <f aca="false">IF(TRIM(AS64)="","Yes","No")</f>
        <v>No</v>
      </c>
      <c r="AD64" s="0" t="str">
        <f aca="false">IF(AT64="","Yes","No")</f>
        <v>No</v>
      </c>
      <c r="AE64" s="0" t="str">
        <f aca="false">IF(W64&lt;0,"Yes","No")</f>
        <v>No</v>
      </c>
      <c r="AF64" s="0" t="str">
        <f aca="false">IF(P64="","No",IF(OR(P64&lt;0,P64&gt;0.3),"Yes","No"))</f>
        <v>No</v>
      </c>
      <c r="AG64" s="4" t="s">
        <v>50</v>
      </c>
      <c r="AH64" s="0" t="str">
        <f aca="false">IF(AND(AA64="Completed",Z64="Paid"),"Yes","No")</f>
        <v>Yes</v>
      </c>
      <c r="AI64" s="0" t="str">
        <f aca="false">IF(OR(AE64="Yes",AF64="Yes",AG64="Yes"),"Invalid",IF(OR(AB64="Yes",AC64="Yes",AD64="Yes"),"Warning","Clean"))</f>
        <v>Clean</v>
      </c>
      <c r="AJ64" s="4" t="s">
        <v>387</v>
      </c>
      <c r="AK64" s="4" t="s">
        <v>388</v>
      </c>
      <c r="AL64" s="4" t="s">
        <v>181</v>
      </c>
      <c r="AM64" s="4" t="s">
        <v>134</v>
      </c>
      <c r="AN64" s="4" t="s">
        <v>168</v>
      </c>
      <c r="AO64" s="4" t="s">
        <v>56</v>
      </c>
      <c r="AP64" s="4" t="s">
        <v>57</v>
      </c>
      <c r="AQ64" s="4" t="s">
        <v>109</v>
      </c>
      <c r="AR64" s="4" t="s">
        <v>227</v>
      </c>
      <c r="AS64" s="4" t="s">
        <v>91</v>
      </c>
      <c r="AT64" s="0" t="n">
        <v>0.2</v>
      </c>
      <c r="AU64" s="4" t="s">
        <v>61</v>
      </c>
      <c r="AV64" s="4" t="s">
        <v>62</v>
      </c>
    </row>
    <row r="65" customFormat="false" ht="15" hidden="false" customHeight="false" outlineLevel="0" collapsed="false">
      <c r="A65" s="0" t="s">
        <v>389</v>
      </c>
      <c r="B65" s="3" t="n">
        <f aca="false">IF(AJ65="","",IF(ISNUMBER(SEARCH("/",AJ65)),DATE(VALUE(RIGHT(AJ65,4)),VALUE(LEFT(AJ65,2)),VALUE(MID(AJ65,4,2))),IF(ISNUMBER(SEARCH("-",AJ65)),IF(LEN(LEFT(AJ65,FIND("-",AJ65)-1))=4,DATE(VALUE(LEFT(AJ65,4)),VALUE(MID(AJ65,6,2)),VALUE(RIGHT(AJ65,2))),DATE(VALUE(RIGHT(AJ65,4)),VALUE(MID(AJ65,4,2)),VALUE(LEFT(AJ65,2)))),DATE(VALUE(RIGHT(AJ65,4)),MATCH(MID(AJ65,4,3),{"Jan","Feb","Mar","Apr","May","Jun","Jul","Aug","Sep","Oct","Nov","Dec"},0),VALUE(LEFT(AJ65,2))))))</f>
        <v>45316</v>
      </c>
      <c r="C65" s="3" t="n">
        <f aca="false">IF(AK65="","",IF(ISNUMBER(SEARCH("/",AK65)),DATE(VALUE(RIGHT(AK65,4)),VALUE(LEFT(AK65,2)),VALUE(MID(AK65,4,2))),IF(ISNUMBER(SEARCH("-",AK65)),IF(LEN(LEFT(AK65,FIND("-",AK65)-1))=4,DATE(VALUE(LEFT(AK65,4)),VALUE(MID(AK65,6,2)),VALUE(RIGHT(AK65,2))),DATE(VALUE(RIGHT(AK65,4)),VALUE(MID(AK65,4,2)),VALUE(LEFT(AK65,2)))),DATE(VALUE(RIGHT(AK65,4)),MATCH(MID(AK65,4,3),{"Jan","Feb","Mar","Apr","May","Jun","Jul","Aug","Sep","Oct","Nov","Dec"},0),VALUE(LEFT(AK65,2))))))</f>
        <v>45323</v>
      </c>
      <c r="D65" s="4" t="s">
        <v>390</v>
      </c>
      <c r="E65" s="0" t="str">
        <f aca="false">PROPER(TRIM(AL65))</f>
        <v>Sneha Kapoor</v>
      </c>
      <c r="F65" s="0" t="str">
        <f aca="false">PROPER(TRIM(AM65))</f>
        <v>Home Office</v>
      </c>
      <c r="G65" s="0" t="str">
        <f aca="false">IF(TRIM(AN65)="","Unknown",PROPER(TRIM(AN65)))</f>
        <v>North</v>
      </c>
      <c r="H65" s="0" t="str">
        <f aca="false">PROPER(TRIM(AO65))</f>
        <v>Haryana</v>
      </c>
      <c r="I65" s="0" t="str">
        <f aca="false">PROPER(TRIM(AP65))</f>
        <v>Gurugram</v>
      </c>
      <c r="J65" s="0" t="str">
        <f aca="false">PROPER(TRIM(AQ65))</f>
        <v>Office Supplies</v>
      </c>
      <c r="K65" s="0" t="str">
        <f aca="false">PROPER(TRIM(AR65))</f>
        <v>Binders</v>
      </c>
      <c r="M65" s="0" t="str">
        <f aca="false">IF(TRIM(AS65)="","Unknown",PROPER(TRIM(AS65)))</f>
        <v>Same Day</v>
      </c>
      <c r="N65" s="0" t="n">
        <v>2</v>
      </c>
      <c r="O65" s="0" t="n">
        <v>2832.77</v>
      </c>
      <c r="P65" s="5" t="n">
        <f aca="false">IF(AT65="","",IF(ISNUMBER(AT65),AT65,VALUE(SUBSTITUTE(AT65,"%",""))/100))</f>
        <v>0.15</v>
      </c>
      <c r="Q65" s="5" t="n">
        <f aca="false">IF(P65="",IF(AND(N65&lt;&gt;"",O65&lt;&gt;"",R65&lt;&gt;"",S65&lt;&gt;""),0,"REVIEW"),IF(OR(P65&lt;0,P65&gt;0.3),0,P65))</f>
        <v>0.15</v>
      </c>
      <c r="R65" s="0" t="n">
        <v>4815.71</v>
      </c>
      <c r="S65" s="0" t="n">
        <v>3027.75</v>
      </c>
      <c r="T65" s="6" t="n">
        <f aca="false">N65*O65*(1-Q65)</f>
        <v>4815.709</v>
      </c>
      <c r="U65" s="6" t="n">
        <f aca="false">T65-S65</f>
        <v>1787.959</v>
      </c>
      <c r="V65" s="7" t="n">
        <f aca="false">IF(T65=0,0,U65/T65)</f>
        <v>0.3712763790337</v>
      </c>
      <c r="W65" s="4" t="n">
        <f aca="false">C65-B65</f>
        <v>7</v>
      </c>
      <c r="X65" s="0" t="str">
        <f aca="false">TEXT(B65,"mmmm")</f>
        <v>January</v>
      </c>
      <c r="Y65" s="4" t="n">
        <f aca="false">YEAR(B65)</f>
        <v>2024</v>
      </c>
      <c r="Z65" s="0" t="str">
        <f aca="false">PROPER(TRIM(AU65))</f>
        <v>Paid</v>
      </c>
      <c r="AA65" s="0" t="str">
        <f aca="false">PROPER(TRIM(AV65))</f>
        <v>Completed</v>
      </c>
      <c r="AB65" s="0" t="str">
        <f aca="false">IF(TRIM(AN65)="","Yes","No")</f>
        <v>No</v>
      </c>
      <c r="AC65" s="0" t="str">
        <f aca="false">IF(TRIM(AS65)="","Yes","No")</f>
        <v>No</v>
      </c>
      <c r="AD65" s="0" t="str">
        <f aca="false">IF(AT65="","Yes","No")</f>
        <v>No</v>
      </c>
      <c r="AE65" s="0" t="str">
        <f aca="false">IF(W65&lt;0,"Yes","No")</f>
        <v>No</v>
      </c>
      <c r="AF65" s="0" t="str">
        <f aca="false">IF(P65="","No",IF(OR(P65&lt;0,P65&gt;0.3),"Yes","No"))</f>
        <v>No</v>
      </c>
      <c r="AG65" s="4" t="s">
        <v>50</v>
      </c>
      <c r="AH65" s="0" t="str">
        <f aca="false">IF(AND(AA65="Completed",Z65="Paid"),"Yes","No")</f>
        <v>Yes</v>
      </c>
      <c r="AI65" s="0" t="str">
        <f aca="false">IF(OR(AE65="Yes",AF65="Yes",AG65="Yes"),"Invalid",IF(OR(AB65="Yes",AC65="Yes",AD65="Yes"),"Warning","Clean"))</f>
        <v>Clean</v>
      </c>
      <c r="AJ65" s="4" t="s">
        <v>391</v>
      </c>
      <c r="AK65" s="4" t="s">
        <v>392</v>
      </c>
      <c r="AL65" s="4" t="s">
        <v>181</v>
      </c>
      <c r="AM65" s="4" t="s">
        <v>134</v>
      </c>
      <c r="AN65" s="4" t="s">
        <v>168</v>
      </c>
      <c r="AO65" s="4" t="s">
        <v>310</v>
      </c>
      <c r="AP65" s="4" t="s">
        <v>311</v>
      </c>
      <c r="AQ65" s="4" t="s">
        <v>58</v>
      </c>
      <c r="AR65" s="4" t="s">
        <v>206</v>
      </c>
      <c r="AS65" s="4" t="s">
        <v>74</v>
      </c>
      <c r="AT65" s="0" t="n">
        <v>0.15</v>
      </c>
      <c r="AU65" s="4" t="s">
        <v>228</v>
      </c>
      <c r="AV65" s="4" t="s">
        <v>62</v>
      </c>
    </row>
    <row r="66" customFormat="false" ht="15" hidden="false" customHeight="false" outlineLevel="0" collapsed="false">
      <c r="A66" s="0" t="s">
        <v>393</v>
      </c>
      <c r="B66" s="3" t="n">
        <f aca="false">IF(AJ66="","",IF(ISNUMBER(SEARCH("/",AJ66)),DATE(VALUE(RIGHT(AJ66,4)),VALUE(LEFT(AJ66,2)),VALUE(MID(AJ66,4,2))),IF(ISNUMBER(SEARCH("-",AJ66)),IF(LEN(LEFT(AJ66,FIND("-",AJ66)-1))=4,DATE(VALUE(LEFT(AJ66,4)),VALUE(MID(AJ66,6,2)),VALUE(RIGHT(AJ66,2))),DATE(VALUE(RIGHT(AJ66,4)),VALUE(MID(AJ66,4,2)),VALUE(LEFT(AJ66,2)))),DATE(VALUE(RIGHT(AJ66,4)),MATCH(MID(AJ66,4,3),{"Jan","Feb","Mar","Apr","May","Jun","Jul","Aug","Sep","Oct","Nov","Dec"},0),VALUE(LEFT(AJ66,2))))))</f>
        <v>45649</v>
      </c>
      <c r="C66" s="3" t="n">
        <f aca="false">IF(AK66="","",IF(ISNUMBER(SEARCH("/",AK66)),DATE(VALUE(RIGHT(AK66,4)),VALUE(LEFT(AK66,2)),VALUE(MID(AK66,4,2))),IF(ISNUMBER(SEARCH("-",AK66)),IF(LEN(LEFT(AK66,FIND("-",AK66)-1))=4,DATE(VALUE(LEFT(AK66,4)),VALUE(MID(AK66,6,2)),VALUE(RIGHT(AK66,2))),DATE(VALUE(RIGHT(AK66,4)),VALUE(MID(AK66,4,2)),VALUE(LEFT(AK66,2)))),DATE(VALUE(RIGHT(AK66,4)),MATCH(MID(AK66,4,3),{"Jan","Feb","Mar","Apr","May","Jun","Jul","Aug","Sep","Oct","Nov","Dec"},0),VALUE(LEFT(AK66,2))))))</f>
        <v>45655</v>
      </c>
      <c r="D66" s="4" t="s">
        <v>394</v>
      </c>
      <c r="E66" s="0" t="str">
        <f aca="false">PROPER(TRIM(AL66))</f>
        <v>Aarav Sharma</v>
      </c>
      <c r="F66" s="0" t="str">
        <f aca="false">PROPER(TRIM(AM66))</f>
        <v>Corporate</v>
      </c>
      <c r="G66" s="0" t="str">
        <f aca="false">IF(TRIM(AN66)="","Unknown",PROPER(TRIM(AN66)))</f>
        <v>East</v>
      </c>
      <c r="H66" s="0" t="str">
        <f aca="false">PROPER(TRIM(AO66))</f>
        <v>Jharkhand</v>
      </c>
      <c r="I66" s="0" t="str">
        <f aca="false">PROPER(TRIM(AP66))</f>
        <v>Ranchi</v>
      </c>
      <c r="J66" s="0" t="str">
        <f aca="false">PROPER(TRIM(AQ66))</f>
        <v>Office Supplies</v>
      </c>
      <c r="K66" s="0" t="str">
        <f aca="false">PROPER(TRIM(AR66))</f>
        <v>Paper</v>
      </c>
      <c r="M66" s="0" t="str">
        <f aca="false">IF(TRIM(AS66)="","Unknown",PROPER(TRIM(AS66)))</f>
        <v>First Class</v>
      </c>
      <c r="N66" s="0" t="n">
        <v>7</v>
      </c>
      <c r="O66" s="0" t="n">
        <v>447.84</v>
      </c>
      <c r="P66" s="5" t="n">
        <f aca="false">IF(AT66="","",IF(ISNUMBER(AT66),AT66,VALUE(SUBSTITUTE(AT66,"%",""))/100))</f>
        <v>0</v>
      </c>
      <c r="Q66" s="5" t="n">
        <f aca="false">IF(P66="",IF(AND(N66&lt;&gt;"",O66&lt;&gt;"",R66&lt;&gt;"",S66&lt;&gt;""),0,"REVIEW"),IF(OR(P66&lt;0,P66&gt;0.3),0,P66))</f>
        <v>0</v>
      </c>
      <c r="R66" s="0" t="n">
        <v>3134.88</v>
      </c>
      <c r="S66" s="0" t="n">
        <v>2367.63</v>
      </c>
      <c r="T66" s="6" t="n">
        <f aca="false">N66*O66*(1-Q66)</f>
        <v>3134.88</v>
      </c>
      <c r="U66" s="6" t="n">
        <f aca="false">T66-S66</f>
        <v>767.25</v>
      </c>
      <c r="V66" s="7" t="n">
        <f aca="false">IF(T66=0,0,U66/T66)</f>
        <v>0.244746210381259</v>
      </c>
      <c r="W66" s="4" t="n">
        <f aca="false">C66-B66</f>
        <v>6</v>
      </c>
      <c r="X66" s="0" t="str">
        <f aca="false">TEXT(B66,"mmmm")</f>
        <v>December</v>
      </c>
      <c r="Y66" s="4" t="n">
        <f aca="false">YEAR(B66)</f>
        <v>2024</v>
      </c>
      <c r="Z66" s="0" t="str">
        <f aca="false">PROPER(TRIM(AU66))</f>
        <v>Refunded</v>
      </c>
      <c r="AA66" s="0" t="str">
        <f aca="false">PROPER(TRIM(AV66))</f>
        <v>Returned</v>
      </c>
      <c r="AB66" s="0" t="str">
        <f aca="false">IF(TRIM(AN66)="","Yes","No")</f>
        <v>No</v>
      </c>
      <c r="AC66" s="0" t="str">
        <f aca="false">IF(TRIM(AS66)="","Yes","No")</f>
        <v>No</v>
      </c>
      <c r="AD66" s="0" t="str">
        <f aca="false">IF(AT66="","Yes","No")</f>
        <v>No</v>
      </c>
      <c r="AE66" s="0" t="str">
        <f aca="false">IF(W66&lt;0,"Yes","No")</f>
        <v>No</v>
      </c>
      <c r="AF66" s="0" t="str">
        <f aca="false">IF(P66="","No",IF(OR(P66&lt;0,P66&gt;0.3),"Yes","No"))</f>
        <v>No</v>
      </c>
      <c r="AG66" s="4" t="s">
        <v>50</v>
      </c>
      <c r="AH66" s="0" t="str">
        <f aca="false">IF(AND(AA66="Completed",Z66="Paid"),"Yes","No")</f>
        <v>No</v>
      </c>
      <c r="AI66" s="0" t="str">
        <f aca="false">IF(OR(AE66="Yes",AF66="Yes",AG66="Yes"),"Invalid",IF(OR(AB66="Yes",AC66="Yes",AD66="Yes"),"Warning","Clean"))</f>
        <v>Clean</v>
      </c>
      <c r="AJ66" s="4" t="s">
        <v>395</v>
      </c>
      <c r="AK66" s="4" t="s">
        <v>396</v>
      </c>
      <c r="AL66" s="4" t="s">
        <v>176</v>
      </c>
      <c r="AM66" s="4" t="s">
        <v>128</v>
      </c>
      <c r="AN66" s="4" t="s">
        <v>69</v>
      </c>
      <c r="AO66" s="4" t="s">
        <v>300</v>
      </c>
      <c r="AP66" s="4" t="s">
        <v>301</v>
      </c>
      <c r="AQ66" s="4" t="s">
        <v>58</v>
      </c>
      <c r="AR66" s="4" t="s">
        <v>59</v>
      </c>
      <c r="AS66" s="4" t="s">
        <v>81</v>
      </c>
      <c r="AT66" s="0" t="n">
        <v>0</v>
      </c>
      <c r="AU66" s="4" t="s">
        <v>141</v>
      </c>
      <c r="AV66" s="4" t="s">
        <v>142</v>
      </c>
    </row>
    <row r="67" customFormat="false" ht="15" hidden="false" customHeight="false" outlineLevel="0" collapsed="false">
      <c r="A67" s="0" t="s">
        <v>397</v>
      </c>
      <c r="B67" s="3" t="n">
        <f aca="false">IF(AJ67="","",IF(ISNUMBER(SEARCH("/",AJ67)),DATE(VALUE(RIGHT(AJ67,4)),VALUE(LEFT(AJ67,2)),VALUE(MID(AJ67,4,2))),IF(ISNUMBER(SEARCH("-",AJ67)),IF(LEN(LEFT(AJ67,FIND("-",AJ67)-1))=4,DATE(VALUE(LEFT(AJ67,4)),VALUE(MID(AJ67,6,2)),VALUE(RIGHT(AJ67,2))),DATE(VALUE(RIGHT(AJ67,4)),VALUE(MID(AJ67,4,2)),VALUE(LEFT(AJ67,2)))),DATE(VALUE(RIGHT(AJ67,4)),MATCH(MID(AJ67,4,3),{"Jan","Feb","Mar","Apr","May","Jun","Jul","Aug","Sep","Oct","Nov","Dec"},0),VALUE(LEFT(AJ67,2))))))</f>
        <v>45404</v>
      </c>
      <c r="C67" s="3" t="n">
        <f aca="false">IF(AK67="","",IF(ISNUMBER(SEARCH("/",AK67)),DATE(VALUE(RIGHT(AK67,4)),VALUE(LEFT(AK67,2)),VALUE(MID(AK67,4,2))),IF(ISNUMBER(SEARCH("-",AK67)),IF(LEN(LEFT(AK67,FIND("-",AK67)-1))=4,DATE(VALUE(LEFT(AK67,4)),VALUE(MID(AK67,6,2)),VALUE(RIGHT(AK67,2))),DATE(VALUE(RIGHT(AK67,4)),VALUE(MID(AK67,4,2)),VALUE(LEFT(AK67,2)))),DATE(VALUE(RIGHT(AK67,4)),MATCH(MID(AK67,4,3),{"Jan","Feb","Mar","Apr","May","Jun","Jul","Aug","Sep","Oct","Nov","Dec"},0),VALUE(LEFT(AK67,2))))))</f>
        <v>45409</v>
      </c>
      <c r="D67" s="4" t="s">
        <v>398</v>
      </c>
      <c r="E67" s="0" t="str">
        <f aca="false">PROPER(TRIM(AL67))</f>
        <v>Mira Das</v>
      </c>
      <c r="F67" s="0" t="str">
        <f aca="false">PROPER(TRIM(AM67))</f>
        <v>Home Office</v>
      </c>
      <c r="G67" s="0" t="str">
        <f aca="false">IF(TRIM(AN67)="","Unknown",PROPER(TRIM(AN67)))</f>
        <v>West</v>
      </c>
      <c r="H67" s="0" t="str">
        <f aca="false">PROPER(TRIM(AO67))</f>
        <v>Maharashtra</v>
      </c>
      <c r="I67" s="0" t="str">
        <f aca="false">PROPER(TRIM(AP67))</f>
        <v>Mumbai</v>
      </c>
      <c r="J67" s="0" t="str">
        <f aca="false">PROPER(TRIM(AQ67))</f>
        <v>Office Supplies</v>
      </c>
      <c r="K67" s="0" t="str">
        <f aca="false">PROPER(TRIM(AR67))</f>
        <v>Paper</v>
      </c>
      <c r="M67" s="0" t="str">
        <f aca="false">IF(TRIM(AS67)="","Unknown",PROPER(TRIM(AS67)))</f>
        <v>Second Class</v>
      </c>
      <c r="N67" s="0" t="n">
        <v>1</v>
      </c>
      <c r="O67" s="0" t="n">
        <v>4280.19</v>
      </c>
      <c r="P67" s="5" t="n">
        <f aca="false">IF(AT67="","",IF(ISNUMBER(AT67),AT67,VALUE(SUBSTITUTE(AT67,"%",""))/100))</f>
        <v>0.05</v>
      </c>
      <c r="Q67" s="5" t="n">
        <f aca="false">IF(P67="",IF(AND(N67&lt;&gt;"",O67&lt;&gt;"",R67&lt;&gt;"",S67&lt;&gt;""),0,"REVIEW"),IF(OR(P67&lt;0,P67&gt;0.3),0,P67))</f>
        <v>0.05</v>
      </c>
      <c r="R67" s="0" t="n">
        <v>4066.18</v>
      </c>
      <c r="S67" s="0" t="n">
        <v>2628.92</v>
      </c>
      <c r="T67" s="6" t="n">
        <f aca="false">N67*O67*(1-Q67)</f>
        <v>4066.1805</v>
      </c>
      <c r="U67" s="6" t="n">
        <f aca="false">T67-S67</f>
        <v>1437.2605</v>
      </c>
      <c r="V67" s="7" t="n">
        <f aca="false">IF(T67=0,0,U67/T67)</f>
        <v>0.353466969801267</v>
      </c>
      <c r="W67" s="4" t="n">
        <f aca="false">C67-B67</f>
        <v>5</v>
      </c>
      <c r="X67" s="0" t="str">
        <f aca="false">TEXT(B67,"mmmm")</f>
        <v>April</v>
      </c>
      <c r="Y67" s="4" t="n">
        <f aca="false">YEAR(B67)</f>
        <v>2024</v>
      </c>
      <c r="Z67" s="0" t="str">
        <f aca="false">PROPER(TRIM(AU67))</f>
        <v>Paid</v>
      </c>
      <c r="AA67" s="0" t="str">
        <f aca="false">PROPER(TRIM(AV67))</f>
        <v>Completed</v>
      </c>
      <c r="AB67" s="0" t="str">
        <f aca="false">IF(TRIM(AN67)="","Yes","No")</f>
        <v>No</v>
      </c>
      <c r="AC67" s="0" t="str">
        <f aca="false">IF(TRIM(AS67)="","Yes","No")</f>
        <v>No</v>
      </c>
      <c r="AD67" s="0" t="str">
        <f aca="false">IF(AT67="","Yes","No")</f>
        <v>No</v>
      </c>
      <c r="AE67" s="0" t="str">
        <f aca="false">IF(W67&lt;0,"Yes","No")</f>
        <v>No</v>
      </c>
      <c r="AF67" s="0" t="str">
        <f aca="false">IF(P67="","No",IF(OR(P67&lt;0,P67&gt;0.3),"Yes","No"))</f>
        <v>No</v>
      </c>
      <c r="AG67" s="4" t="s">
        <v>50</v>
      </c>
      <c r="AH67" s="0" t="str">
        <f aca="false">IF(AND(AA67="Completed",Z67="Paid"),"Yes","No")</f>
        <v>Yes</v>
      </c>
      <c r="AI67" s="0" t="str">
        <f aca="false">IF(OR(AE67="Yes",AF67="Yes",AG67="Yes"),"Invalid",IF(OR(AB67="Yes",AC67="Yes",AD67="Yes"),"Warning","Clean"))</f>
        <v>Clean</v>
      </c>
      <c r="AJ67" s="4" t="s">
        <v>399</v>
      </c>
      <c r="AK67" s="4" t="s">
        <v>400</v>
      </c>
      <c r="AL67" s="4" t="s">
        <v>67</v>
      </c>
      <c r="AM67" s="4" t="s">
        <v>134</v>
      </c>
      <c r="AN67" s="4" t="s">
        <v>97</v>
      </c>
      <c r="AO67" s="4" t="s">
        <v>98</v>
      </c>
      <c r="AP67" s="4" t="s">
        <v>99</v>
      </c>
      <c r="AQ67" s="4" t="s">
        <v>58</v>
      </c>
      <c r="AR67" s="4" t="s">
        <v>59</v>
      </c>
      <c r="AS67" s="4" t="s">
        <v>60</v>
      </c>
      <c r="AT67" s="0" t="n">
        <v>0.05</v>
      </c>
      <c r="AU67" s="4" t="s">
        <v>61</v>
      </c>
      <c r="AV67" s="4" t="s">
        <v>62</v>
      </c>
    </row>
    <row r="68" customFormat="false" ht="15" hidden="false" customHeight="false" outlineLevel="0" collapsed="false">
      <c r="A68" s="0" t="s">
        <v>401</v>
      </c>
      <c r="B68" s="3" t="n">
        <f aca="false">IF(AJ68="","",IF(ISNUMBER(SEARCH("/",AJ68)),DATE(VALUE(RIGHT(AJ68,4)),VALUE(LEFT(AJ68,2)),VALUE(MID(AJ68,4,2))),IF(ISNUMBER(SEARCH("-",AJ68)),IF(LEN(LEFT(AJ68,FIND("-",AJ68)-1))=4,DATE(VALUE(LEFT(AJ68,4)),VALUE(MID(AJ68,6,2)),VALUE(RIGHT(AJ68,2))),DATE(VALUE(RIGHT(AJ68,4)),VALUE(MID(AJ68,4,2)),VALUE(LEFT(AJ68,2)))),DATE(VALUE(RIGHT(AJ68,4)),MATCH(MID(AJ68,4,3),{"Jan","Feb","Mar","Apr","May","Jun","Jul","Aug","Sep","Oct","Nov","Dec"},0),VALUE(LEFT(AJ68,2))))))</f>
        <v>45897</v>
      </c>
      <c r="C68" s="3" t="n">
        <f aca="false">IF(AK68="","",IF(ISNUMBER(SEARCH("/",AK68)),DATE(VALUE(RIGHT(AK68,4)),VALUE(LEFT(AK68,2)),VALUE(MID(AK68,4,2))),IF(ISNUMBER(SEARCH("-",AK68)),IF(LEN(LEFT(AK68,FIND("-",AK68)-1))=4,DATE(VALUE(LEFT(AK68,4)),VALUE(MID(AK68,6,2)),VALUE(RIGHT(AK68,2))),DATE(VALUE(RIGHT(AK68,4)),VALUE(MID(AK68,4,2)),VALUE(LEFT(AK68,2)))),DATE(VALUE(RIGHT(AK68,4)),MATCH(MID(AK68,4,3),{"Jan","Feb","Mar","Apr","May","Jun","Jul","Aug","Sep","Oct","Nov","Dec"},0),VALUE(LEFT(AK68,2))))))</f>
        <v>45901</v>
      </c>
      <c r="D68" s="4" t="s">
        <v>402</v>
      </c>
      <c r="E68" s="0" t="str">
        <f aca="false">PROPER(TRIM(AL68))</f>
        <v>Karan Malhotra</v>
      </c>
      <c r="F68" s="0" t="str">
        <f aca="false">PROPER(TRIM(AM68))</f>
        <v>Small Business</v>
      </c>
      <c r="G68" s="0" t="str">
        <f aca="false">IF(TRIM(AN68)="","Unknown",PROPER(TRIM(AN68)))</f>
        <v>South</v>
      </c>
      <c r="H68" s="0" t="str">
        <f aca="false">PROPER(TRIM(AO68))</f>
        <v>Tamil Nadu</v>
      </c>
      <c r="I68" s="0" t="str">
        <f aca="false">PROPER(TRIM(AP68))</f>
        <v>Chennai</v>
      </c>
      <c r="J68" s="0" t="str">
        <f aca="false">PROPER(TRIM(AQ68))</f>
        <v>Technology</v>
      </c>
      <c r="K68" s="0" t="str">
        <f aca="false">PROPER(TRIM(AR68))</f>
        <v>Accessories</v>
      </c>
      <c r="M68" s="0" t="str">
        <f aca="false">IF(TRIM(AS68)="","Unknown",PROPER(TRIM(AS68)))</f>
        <v>Same Day</v>
      </c>
      <c r="N68" s="0" t="n">
        <v>7</v>
      </c>
      <c r="O68" s="0" t="n">
        <v>1057.46</v>
      </c>
      <c r="P68" s="5" t="n">
        <f aca="false">IF(AT68="","",IF(ISNUMBER(AT68),AT68,VALUE(SUBSTITUTE(AT68,"%",""))/100))</f>
        <v>0.05</v>
      </c>
      <c r="Q68" s="5" t="n">
        <f aca="false">IF(P68="",IF(AND(N68&lt;&gt;"",O68&lt;&gt;"",R68&lt;&gt;"",S68&lt;&gt;""),0,"REVIEW"),IF(OR(P68&lt;0,P68&gt;0.3),0,P68))</f>
        <v>0.05</v>
      </c>
      <c r="R68" s="0" t="n">
        <v>7032.11</v>
      </c>
      <c r="S68" s="0" t="n">
        <v>4610.34</v>
      </c>
      <c r="T68" s="6" t="n">
        <f aca="false">N68*O68*(1-Q68)</f>
        <v>7032.109</v>
      </c>
      <c r="U68" s="6" t="n">
        <f aca="false">T68-S68</f>
        <v>2421.769</v>
      </c>
      <c r="V68" s="7" t="n">
        <f aca="false">IF(T68=0,0,U68/T68)</f>
        <v>0.344387295475653</v>
      </c>
      <c r="W68" s="4" t="n">
        <f aca="false">C68-B68</f>
        <v>4</v>
      </c>
      <c r="X68" s="0" t="str">
        <f aca="false">TEXT(B68,"mmmm")</f>
        <v>August</v>
      </c>
      <c r="Y68" s="4" t="n">
        <f aca="false">YEAR(B68)</f>
        <v>2025</v>
      </c>
      <c r="Z68" s="0" t="str">
        <f aca="false">PROPER(TRIM(AU68))</f>
        <v>Paid</v>
      </c>
      <c r="AA68" s="0" t="str">
        <f aca="false">PROPER(TRIM(AV68))</f>
        <v>Completed</v>
      </c>
      <c r="AB68" s="0" t="str">
        <f aca="false">IF(TRIM(AN68)="","Yes","No")</f>
        <v>No</v>
      </c>
      <c r="AC68" s="0" t="str">
        <f aca="false">IF(TRIM(AS68)="","Yes","No")</f>
        <v>No</v>
      </c>
      <c r="AD68" s="0" t="str">
        <f aca="false">IF(AT68="","Yes","No")</f>
        <v>No</v>
      </c>
      <c r="AE68" s="0" t="str">
        <f aca="false">IF(W68&lt;0,"Yes","No")</f>
        <v>No</v>
      </c>
      <c r="AF68" s="0" t="str">
        <f aca="false">IF(P68="","No",IF(OR(P68&lt;0,P68&gt;0.3),"Yes","No"))</f>
        <v>No</v>
      </c>
      <c r="AG68" s="4" t="s">
        <v>50</v>
      </c>
      <c r="AH68" s="0" t="str">
        <f aca="false">IF(AND(AA68="Completed",Z68="Paid"),"Yes","No")</f>
        <v>Yes</v>
      </c>
      <c r="AI68" s="0" t="str">
        <f aca="false">IF(OR(AE68="Yes",AF68="Yes",AG68="Yes"),"Invalid",IF(OR(AB68="Yes",AC68="Yes",AD68="Yes"),"Warning","Clean"))</f>
        <v>Clean</v>
      </c>
      <c r="AJ68" s="4" t="s">
        <v>403</v>
      </c>
      <c r="AK68" s="4" t="s">
        <v>404</v>
      </c>
      <c r="AL68" s="4" t="s">
        <v>53</v>
      </c>
      <c r="AM68" s="4" t="s">
        <v>68</v>
      </c>
      <c r="AN68" s="4" t="s">
        <v>87</v>
      </c>
      <c r="AO68" s="4" t="s">
        <v>323</v>
      </c>
      <c r="AP68" s="4" t="s">
        <v>324</v>
      </c>
      <c r="AQ68" s="4" t="s">
        <v>109</v>
      </c>
      <c r="AR68" s="4" t="s">
        <v>110</v>
      </c>
      <c r="AS68" s="4" t="s">
        <v>74</v>
      </c>
      <c r="AT68" s="0" t="n">
        <v>0.05</v>
      </c>
      <c r="AU68" s="4" t="s">
        <v>61</v>
      </c>
      <c r="AV68" s="4" t="s">
        <v>62</v>
      </c>
    </row>
    <row r="69" customFormat="false" ht="15" hidden="false" customHeight="false" outlineLevel="0" collapsed="false">
      <c r="A69" s="0" t="s">
        <v>405</v>
      </c>
      <c r="B69" s="3" t="n">
        <f aca="false">IF(AJ69="","",IF(ISNUMBER(SEARCH("/",AJ69)),DATE(VALUE(RIGHT(AJ69,4)),VALUE(LEFT(AJ69,2)),VALUE(MID(AJ69,4,2))),IF(ISNUMBER(SEARCH("-",AJ69)),IF(LEN(LEFT(AJ69,FIND("-",AJ69)-1))=4,DATE(VALUE(LEFT(AJ69,4)),VALUE(MID(AJ69,6,2)),VALUE(RIGHT(AJ69,2))),DATE(VALUE(RIGHT(AJ69,4)),VALUE(MID(AJ69,4,2)),VALUE(LEFT(AJ69,2)))),DATE(VALUE(RIGHT(AJ69,4)),MATCH(MID(AJ69,4,3),{"Jan","Feb","Mar","Apr","May","Jun","Jul","Aug","Sep","Oct","Nov","Dec"},0),VALUE(LEFT(AJ69,2))))))</f>
        <v>45691</v>
      </c>
      <c r="C69" s="3" t="n">
        <f aca="false">IF(AK69="","",IF(ISNUMBER(SEARCH("/",AK69)),DATE(VALUE(RIGHT(AK69,4)),VALUE(LEFT(AK69,2)),VALUE(MID(AK69,4,2))),IF(ISNUMBER(SEARCH("-",AK69)),IF(LEN(LEFT(AK69,FIND("-",AK69)-1))=4,DATE(VALUE(LEFT(AK69,4)),VALUE(MID(AK69,6,2)),VALUE(RIGHT(AK69,2))),DATE(VALUE(RIGHT(AK69,4)),VALUE(MID(AK69,4,2)),VALUE(LEFT(AK69,2)))),DATE(VALUE(RIGHT(AK69,4)),MATCH(MID(AK69,4,3),{"Jan","Feb","Mar","Apr","May","Jun","Jul","Aug","Sep","Oct","Nov","Dec"},0),VALUE(LEFT(AK69,2))))))</f>
        <v>45695</v>
      </c>
      <c r="D69" s="4" t="s">
        <v>406</v>
      </c>
      <c r="E69" s="0" t="str">
        <f aca="false">PROPER(TRIM(AL69))</f>
        <v>Kabir Singh</v>
      </c>
      <c r="F69" s="0" t="str">
        <f aca="false">PROPER(TRIM(AM69))</f>
        <v>Consumer</v>
      </c>
      <c r="G69" s="0" t="str">
        <f aca="false">IF(TRIM(AN69)="","Unknown",PROPER(TRIM(AN69)))</f>
        <v>North</v>
      </c>
      <c r="H69" s="0" t="str">
        <f aca="false">PROPER(TRIM(AO69))</f>
        <v>Haryana</v>
      </c>
      <c r="I69" s="0" t="str">
        <f aca="false">PROPER(TRIM(AP69))</f>
        <v>Gurugram</v>
      </c>
      <c r="J69" s="0" t="str">
        <f aca="false">PROPER(TRIM(AQ69))</f>
        <v>Office Supplies</v>
      </c>
      <c r="K69" s="0" t="str">
        <f aca="false">PROPER(TRIM(AR69))</f>
        <v>Paper</v>
      </c>
      <c r="M69" s="0" t="str">
        <f aca="false">IF(TRIM(AS69)="","Unknown",PROPER(TRIM(AS69)))</f>
        <v>First Class</v>
      </c>
      <c r="N69" s="0" t="n">
        <v>7</v>
      </c>
      <c r="O69" s="0" t="n">
        <v>3609.34</v>
      </c>
      <c r="P69" s="5" t="n">
        <f aca="false">IF(AT69="","",IF(ISNUMBER(AT69),AT69,VALUE(SUBSTITUTE(AT69,"%",""))/100))</f>
        <v>0.05</v>
      </c>
      <c r="Q69" s="5" t="n">
        <f aca="false">IF(P69="",IF(AND(N69&lt;&gt;"",O69&lt;&gt;"",R69&lt;&gt;"",S69&lt;&gt;""),0,"REVIEW"),IF(OR(P69&lt;0,P69&gt;0.3),0,P69))</f>
        <v>0.05</v>
      </c>
      <c r="R69" s="0" t="n">
        <v>24002.11</v>
      </c>
      <c r="S69" s="0" t="n">
        <v>18707.57</v>
      </c>
      <c r="T69" s="6" t="n">
        <f aca="false">N69*O69*(1-Q69)</f>
        <v>24002.111</v>
      </c>
      <c r="U69" s="6" t="n">
        <f aca="false">T69-S69</f>
        <v>5294.541</v>
      </c>
      <c r="V69" s="7" t="n">
        <f aca="false">IF(T69=0,0,U69/T69)</f>
        <v>0.220586472581516</v>
      </c>
      <c r="W69" s="4" t="n">
        <f aca="false">C69-B69</f>
        <v>4</v>
      </c>
      <c r="X69" s="0" t="str">
        <f aca="false">TEXT(B69,"mmmm")</f>
        <v>February</v>
      </c>
      <c r="Y69" s="4" t="n">
        <f aca="false">YEAR(B69)</f>
        <v>2025</v>
      </c>
      <c r="Z69" s="0" t="str">
        <f aca="false">PROPER(TRIM(AU69))</f>
        <v>Paid</v>
      </c>
      <c r="AA69" s="0" t="str">
        <f aca="false">PROPER(TRIM(AV69))</f>
        <v>Completed</v>
      </c>
      <c r="AB69" s="0" t="str">
        <f aca="false">IF(TRIM(AN69)="","Yes","No")</f>
        <v>No</v>
      </c>
      <c r="AC69" s="0" t="str">
        <f aca="false">IF(TRIM(AS69)="","Yes","No")</f>
        <v>No</v>
      </c>
      <c r="AD69" s="0" t="str">
        <f aca="false">IF(AT69="","Yes","No")</f>
        <v>No</v>
      </c>
      <c r="AE69" s="0" t="str">
        <f aca="false">IF(W69&lt;0,"Yes","No")</f>
        <v>No</v>
      </c>
      <c r="AF69" s="0" t="str">
        <f aca="false">IF(P69="","No",IF(OR(P69&lt;0,P69&gt;0.3),"Yes","No"))</f>
        <v>No</v>
      </c>
      <c r="AG69" s="4" t="s">
        <v>50</v>
      </c>
      <c r="AH69" s="0" t="str">
        <f aca="false">IF(AND(AA69="Completed",Z69="Paid"),"Yes","No")</f>
        <v>Yes</v>
      </c>
      <c r="AI69" s="0" t="str">
        <f aca="false">IF(OR(AE69="Yes",AF69="Yes",AG69="Yes"),"Invalid",IF(OR(AB69="Yes",AC69="Yes",AD69="Yes"),"Warning","Clean"))</f>
        <v>Clean</v>
      </c>
      <c r="AJ69" s="4" t="s">
        <v>407</v>
      </c>
      <c r="AK69" s="4" t="s">
        <v>408</v>
      </c>
      <c r="AL69" s="4" t="s">
        <v>347</v>
      </c>
      <c r="AM69" s="4" t="s">
        <v>54</v>
      </c>
      <c r="AN69" s="4" t="s">
        <v>168</v>
      </c>
      <c r="AO69" s="4" t="s">
        <v>310</v>
      </c>
      <c r="AP69" s="4" t="s">
        <v>311</v>
      </c>
      <c r="AQ69" s="4" t="s">
        <v>58</v>
      </c>
      <c r="AR69" s="4" t="s">
        <v>59</v>
      </c>
      <c r="AS69" s="4" t="s">
        <v>81</v>
      </c>
      <c r="AT69" s="0" t="n">
        <v>0.05</v>
      </c>
      <c r="AU69" s="4" t="s">
        <v>61</v>
      </c>
      <c r="AV69" s="4" t="s">
        <v>62</v>
      </c>
    </row>
    <row r="70" customFormat="false" ht="15" hidden="false" customHeight="false" outlineLevel="0" collapsed="false">
      <c r="A70" s="0" t="s">
        <v>409</v>
      </c>
      <c r="B70" s="3" t="n">
        <f aca="false">IF(AJ70="","",IF(ISNUMBER(SEARCH("/",AJ70)),DATE(VALUE(RIGHT(AJ70,4)),VALUE(LEFT(AJ70,2)),VALUE(MID(AJ70,4,2))),IF(ISNUMBER(SEARCH("-",AJ70)),IF(LEN(LEFT(AJ70,FIND("-",AJ70)-1))=4,DATE(VALUE(LEFT(AJ70,4)),VALUE(MID(AJ70,6,2)),VALUE(RIGHT(AJ70,2))),DATE(VALUE(RIGHT(AJ70,4)),VALUE(MID(AJ70,4,2)),VALUE(LEFT(AJ70,2)))),DATE(VALUE(RIGHT(AJ70,4)),MATCH(MID(AJ70,4,3),{"Jan","Feb","Mar","Apr","May","Jun","Jul","Aug","Sep","Oct","Nov","Dec"},0),VALUE(LEFT(AJ70,2))))))</f>
        <v>45606</v>
      </c>
      <c r="C70" s="3" t="n">
        <f aca="false">IF(AK70="","",IF(ISNUMBER(SEARCH("/",AK70)),DATE(VALUE(RIGHT(AK70,4)),VALUE(LEFT(AK70,2)),VALUE(MID(AK70,4,2))),IF(ISNUMBER(SEARCH("-",AK70)),IF(LEN(LEFT(AK70,FIND("-",AK70)-1))=4,DATE(VALUE(LEFT(AK70,4)),VALUE(MID(AK70,6,2)),VALUE(RIGHT(AK70,2))),DATE(VALUE(RIGHT(AK70,4)),VALUE(MID(AK70,4,2)),VALUE(LEFT(AK70,2)))),DATE(VALUE(RIGHT(AK70,4)),MATCH(MID(AK70,4,3),{"Jan","Feb","Mar","Apr","May","Jun","Jul","Aug","Sep","Oct","Nov","Dec"},0),VALUE(LEFT(AK70,2))))))</f>
        <v>45609</v>
      </c>
      <c r="D70" s="4" t="s">
        <v>410</v>
      </c>
      <c r="E70" s="0" t="str">
        <f aca="false">PROPER(TRIM(AL70))</f>
        <v>Isha Nair</v>
      </c>
      <c r="F70" s="0" t="str">
        <f aca="false">PROPER(TRIM(AM70))</f>
        <v>Corporate</v>
      </c>
      <c r="G70" s="0" t="str">
        <f aca="false">IF(TRIM(AN70)="","Unknown",PROPER(TRIM(AN70)))</f>
        <v>East</v>
      </c>
      <c r="H70" s="0" t="str">
        <f aca="false">PROPER(TRIM(AO70))</f>
        <v>Jharkhand</v>
      </c>
      <c r="I70" s="0" t="str">
        <f aca="false">PROPER(TRIM(AP70))</f>
        <v>Ranchi</v>
      </c>
      <c r="J70" s="0" t="str">
        <f aca="false">PROPER(TRIM(AQ70))</f>
        <v>Office Supplies</v>
      </c>
      <c r="K70" s="0" t="str">
        <f aca="false">PROPER(TRIM(AR70))</f>
        <v>Storage</v>
      </c>
      <c r="M70" s="0" t="str">
        <f aca="false">IF(TRIM(AS70)="","Unknown",PROPER(TRIM(AS70)))</f>
        <v>Second Class</v>
      </c>
      <c r="N70" s="0" t="n">
        <v>9</v>
      </c>
      <c r="O70" s="0" t="n">
        <v>2211.12</v>
      </c>
      <c r="P70" s="5" t="n">
        <f aca="false">IF(AT70="","",IF(ISNUMBER(AT70),AT70,VALUE(SUBSTITUTE(AT70,"%",""))/100))</f>
        <v>0</v>
      </c>
      <c r="Q70" s="5" t="n">
        <f aca="false">IF(P70="",IF(AND(N70&lt;&gt;"",O70&lt;&gt;"",R70&lt;&gt;"",S70&lt;&gt;""),0,"REVIEW"),IF(OR(P70&lt;0,P70&gt;0.3),0,P70))</f>
        <v>0</v>
      </c>
      <c r="R70" s="0" t="n">
        <v>19900.08</v>
      </c>
      <c r="S70" s="0" t="n">
        <v>10962.66</v>
      </c>
      <c r="T70" s="6" t="n">
        <f aca="false">N70*O70*(1-Q70)</f>
        <v>19900.08</v>
      </c>
      <c r="U70" s="6" t="n">
        <f aca="false">T70-S70</f>
        <v>8937.42</v>
      </c>
      <c r="V70" s="7" t="n">
        <f aca="false">IF(T70=0,0,U70/T70)</f>
        <v>0.44911477742803</v>
      </c>
      <c r="W70" s="4" t="n">
        <f aca="false">C70-B70</f>
        <v>3</v>
      </c>
      <c r="X70" s="0" t="str">
        <f aca="false">TEXT(B70,"mmmm")</f>
        <v>November</v>
      </c>
      <c r="Y70" s="4" t="n">
        <f aca="false">YEAR(B70)</f>
        <v>2024</v>
      </c>
      <c r="Z70" s="0" t="str">
        <f aca="false">PROPER(TRIM(AU70))</f>
        <v>Failed</v>
      </c>
      <c r="AA70" s="0" t="str">
        <f aca="false">PROPER(TRIM(AV70))</f>
        <v>Returned</v>
      </c>
      <c r="AB70" s="0" t="str">
        <f aca="false">IF(TRIM(AN70)="","Yes","No")</f>
        <v>No</v>
      </c>
      <c r="AC70" s="0" t="str">
        <f aca="false">IF(TRIM(AS70)="","Yes","No")</f>
        <v>No</v>
      </c>
      <c r="AD70" s="0" t="str">
        <f aca="false">IF(AT70="","Yes","No")</f>
        <v>No</v>
      </c>
      <c r="AE70" s="0" t="str">
        <f aca="false">IF(W70&lt;0,"Yes","No")</f>
        <v>No</v>
      </c>
      <c r="AF70" s="0" t="str">
        <f aca="false">IF(P70="","No",IF(OR(P70&lt;0,P70&gt;0.3),"Yes","No"))</f>
        <v>No</v>
      </c>
      <c r="AG70" s="4" t="s">
        <v>50</v>
      </c>
      <c r="AH70" s="0" t="str">
        <f aca="false">IF(AND(AA70="Completed",Z70="Paid"),"Yes","No")</f>
        <v>No</v>
      </c>
      <c r="AI70" s="0" t="str">
        <f aca="false">IF(OR(AE70="Yes",AF70="Yes",AG70="Yes"),"Invalid",IF(OR(AB70="Yes",AC70="Yes",AD70="Yes"),"Warning","Clean"))</f>
        <v>Clean</v>
      </c>
      <c r="AJ70" s="4" t="s">
        <v>126</v>
      </c>
      <c r="AK70" s="4" t="s">
        <v>411</v>
      </c>
      <c r="AL70" s="4" t="s">
        <v>79</v>
      </c>
      <c r="AM70" s="4" t="s">
        <v>128</v>
      </c>
      <c r="AN70" s="4" t="s">
        <v>69</v>
      </c>
      <c r="AO70" s="4" t="s">
        <v>300</v>
      </c>
      <c r="AP70" s="4" t="s">
        <v>301</v>
      </c>
      <c r="AQ70" s="4" t="s">
        <v>58</v>
      </c>
      <c r="AR70" s="4" t="s">
        <v>171</v>
      </c>
      <c r="AS70" s="4" t="s">
        <v>60</v>
      </c>
      <c r="AT70" s="0" t="n">
        <v>0</v>
      </c>
      <c r="AU70" s="4" t="s">
        <v>207</v>
      </c>
      <c r="AV70" s="4" t="s">
        <v>142</v>
      </c>
    </row>
    <row r="71" customFormat="false" ht="15" hidden="false" customHeight="false" outlineLevel="0" collapsed="false">
      <c r="A71" s="0" t="s">
        <v>412</v>
      </c>
      <c r="B71" s="3" t="n">
        <f aca="false">IF(AJ71="","",IF(ISNUMBER(SEARCH("/",AJ71)),DATE(VALUE(RIGHT(AJ71,4)),VALUE(LEFT(AJ71,2)),VALUE(MID(AJ71,4,2))),IF(ISNUMBER(SEARCH("-",AJ71)),IF(LEN(LEFT(AJ71,FIND("-",AJ71)-1))=4,DATE(VALUE(LEFT(AJ71,4)),VALUE(MID(AJ71,6,2)),VALUE(RIGHT(AJ71,2))),DATE(VALUE(RIGHT(AJ71,4)),VALUE(MID(AJ71,4,2)),VALUE(LEFT(AJ71,2)))),DATE(VALUE(RIGHT(AJ71,4)),MATCH(MID(AJ71,4,3),{"Jan","Feb","Mar","Apr","May","Jun","Jul","Aug","Sep","Oct","Nov","Dec"},0),VALUE(LEFT(AJ71,2))))))</f>
        <v>45391</v>
      </c>
      <c r="C71" s="3" t="n">
        <f aca="false">IF(AK71="","",IF(ISNUMBER(SEARCH("/",AK71)),DATE(VALUE(RIGHT(AK71,4)),VALUE(LEFT(AK71,2)),VALUE(MID(AK71,4,2))),IF(ISNUMBER(SEARCH("-",AK71)),IF(LEN(LEFT(AK71,FIND("-",AK71)-1))=4,DATE(VALUE(LEFT(AK71,4)),VALUE(MID(AK71,6,2)),VALUE(RIGHT(AK71,2))),DATE(VALUE(RIGHT(AK71,4)),VALUE(MID(AK71,4,2)),VALUE(LEFT(AK71,2)))),DATE(VALUE(RIGHT(AK71,4)),MATCH(MID(AK71,4,3),{"Jan","Feb","Mar","Apr","May","Jun","Jul","Aug","Sep","Oct","Nov","Dec"},0),VALUE(LEFT(AK71,2))))))</f>
        <v>45396</v>
      </c>
      <c r="D71" s="4" t="s">
        <v>413</v>
      </c>
      <c r="E71" s="0" t="str">
        <f aca="false">PROPER(TRIM(AL71))</f>
        <v>Neha Gupta</v>
      </c>
      <c r="F71" s="0" t="str">
        <f aca="false">PROPER(TRIM(AM71))</f>
        <v>Small Business</v>
      </c>
      <c r="G71" s="0" t="str">
        <f aca="false">IF(TRIM(AN71)="","Unknown",PROPER(TRIM(AN71)))</f>
        <v>West</v>
      </c>
      <c r="H71" s="0" t="str">
        <f aca="false">PROPER(TRIM(AO71))</f>
        <v>Gujarat</v>
      </c>
      <c r="I71" s="0" t="str">
        <f aca="false">PROPER(TRIM(AP71))</f>
        <v>Ahmedabad</v>
      </c>
      <c r="J71" s="0" t="str">
        <f aca="false">PROPER(TRIM(AQ71))</f>
        <v>Technology</v>
      </c>
      <c r="K71" s="0" t="str">
        <f aca="false">PROPER(TRIM(AR71))</f>
        <v>Machines</v>
      </c>
      <c r="M71" s="0" t="str">
        <f aca="false">IF(TRIM(AS71)="","Unknown",PROPER(TRIM(AS71)))</f>
        <v>Same Day</v>
      </c>
      <c r="N71" s="0" t="n">
        <v>7</v>
      </c>
      <c r="O71" s="0" t="n">
        <v>3417.09</v>
      </c>
      <c r="P71" s="5" t="n">
        <f aca="false">IF(AT71="","",IF(ISNUMBER(AT71),AT71,VALUE(SUBSTITUTE(AT71,"%",""))/100))</f>
        <v>0.1</v>
      </c>
      <c r="Q71" s="5" t="n">
        <f aca="false">IF(P71="",IF(AND(N71&lt;&gt;"",O71&lt;&gt;"",R71&lt;&gt;"",S71&lt;&gt;""),0,"REVIEW"),IF(OR(P71&lt;0,P71&gt;0.3),0,P71))</f>
        <v>0.1</v>
      </c>
      <c r="R71" s="0" t="n">
        <v>21527.67</v>
      </c>
      <c r="S71" s="0" t="n">
        <v>18287.58</v>
      </c>
      <c r="T71" s="6" t="n">
        <f aca="false">N71*O71*(1-Q71)</f>
        <v>21527.667</v>
      </c>
      <c r="U71" s="6" t="n">
        <f aca="false">T71-S71</f>
        <v>3240.087</v>
      </c>
      <c r="V71" s="7" t="n">
        <f aca="false">IF(T71=0,0,U71/T71)</f>
        <v>0.150508041582026</v>
      </c>
      <c r="W71" s="4" t="n">
        <f aca="false">C71-B71</f>
        <v>5</v>
      </c>
      <c r="X71" s="0" t="str">
        <f aca="false">TEXT(B71,"mmmm")</f>
        <v>April</v>
      </c>
      <c r="Y71" s="4" t="n">
        <f aca="false">YEAR(B71)</f>
        <v>2024</v>
      </c>
      <c r="Z71" s="0" t="str">
        <f aca="false">PROPER(TRIM(AU71))</f>
        <v>Refunded</v>
      </c>
      <c r="AA71" s="0" t="str">
        <f aca="false">PROPER(TRIM(AV71))</f>
        <v>Returned</v>
      </c>
      <c r="AB71" s="0" t="str">
        <f aca="false">IF(TRIM(AN71)="","Yes","No")</f>
        <v>No</v>
      </c>
      <c r="AC71" s="0" t="str">
        <f aca="false">IF(TRIM(AS71)="","Yes","No")</f>
        <v>No</v>
      </c>
      <c r="AD71" s="0" t="str">
        <f aca="false">IF(AT71="","Yes","No")</f>
        <v>No</v>
      </c>
      <c r="AE71" s="0" t="str">
        <f aca="false">IF(W71&lt;0,"Yes","No")</f>
        <v>No</v>
      </c>
      <c r="AF71" s="0" t="str">
        <f aca="false">IF(P71="","No",IF(OR(P71&lt;0,P71&gt;0.3),"Yes","No"))</f>
        <v>No</v>
      </c>
      <c r="AG71" s="4" t="s">
        <v>50</v>
      </c>
      <c r="AH71" s="0" t="str">
        <f aca="false">IF(AND(AA71="Completed",Z71="Paid"),"Yes","No")</f>
        <v>No</v>
      </c>
      <c r="AI71" s="0" t="str">
        <f aca="false">IF(OR(AE71="Yes",AF71="Yes",AG71="Yes"),"Invalid",IF(OR(AB71="Yes",AC71="Yes",AD71="Yes"),"Warning","Clean"))</f>
        <v>Clean</v>
      </c>
      <c r="AJ71" s="4" t="s">
        <v>414</v>
      </c>
      <c r="AK71" s="4" t="s">
        <v>415</v>
      </c>
      <c r="AL71" s="4" t="s">
        <v>115</v>
      </c>
      <c r="AM71" s="4" t="s">
        <v>68</v>
      </c>
      <c r="AN71" s="4" t="s">
        <v>97</v>
      </c>
      <c r="AO71" s="4" t="s">
        <v>238</v>
      </c>
      <c r="AP71" s="4" t="s">
        <v>239</v>
      </c>
      <c r="AQ71" s="4" t="s">
        <v>109</v>
      </c>
      <c r="AR71" s="4" t="s">
        <v>360</v>
      </c>
      <c r="AS71" s="4" t="s">
        <v>74</v>
      </c>
      <c r="AT71" s="0" t="n">
        <v>0.1</v>
      </c>
      <c r="AU71" s="4" t="s">
        <v>141</v>
      </c>
      <c r="AV71" s="4" t="s">
        <v>142</v>
      </c>
    </row>
    <row r="72" customFormat="false" ht="15" hidden="false" customHeight="false" outlineLevel="0" collapsed="false">
      <c r="A72" s="0" t="s">
        <v>416</v>
      </c>
      <c r="B72" s="3" t="n">
        <f aca="false">IF(AJ72="","",IF(ISNUMBER(SEARCH("/",AJ72)),DATE(VALUE(RIGHT(AJ72,4)),VALUE(LEFT(AJ72,2)),VALUE(MID(AJ72,4,2))),IF(ISNUMBER(SEARCH("-",AJ72)),IF(LEN(LEFT(AJ72,FIND("-",AJ72)-1))=4,DATE(VALUE(LEFT(AJ72,4)),VALUE(MID(AJ72,6,2)),VALUE(RIGHT(AJ72,2))),DATE(VALUE(RIGHT(AJ72,4)),VALUE(MID(AJ72,4,2)),VALUE(LEFT(AJ72,2)))),DATE(VALUE(RIGHT(AJ72,4)),MATCH(MID(AJ72,4,3),{"Jan","Feb","Mar","Apr","May","Jun","Jul","Aug","Sep","Oct","Nov","Dec"},0),VALUE(LEFT(AJ72,2))))))</f>
        <v>45891</v>
      </c>
      <c r="C72" s="3" t="n">
        <f aca="false">IF(AK72="","",IF(ISNUMBER(SEARCH("/",AK72)),DATE(VALUE(RIGHT(AK72,4)),VALUE(LEFT(AK72,2)),VALUE(MID(AK72,4,2))),IF(ISNUMBER(SEARCH("-",AK72)),IF(LEN(LEFT(AK72,FIND("-",AK72)-1))=4,DATE(VALUE(LEFT(AK72,4)),VALUE(MID(AK72,6,2)),VALUE(RIGHT(AK72,2))),DATE(VALUE(RIGHT(AK72,4)),VALUE(MID(AK72,4,2)),VALUE(LEFT(AK72,2)))),DATE(VALUE(RIGHT(AK72,4)),MATCH(MID(AK72,4,3),{"Jan","Feb","Mar","Apr","May","Jun","Jul","Aug","Sep","Oct","Nov","Dec"},0),VALUE(LEFT(AK72,2))))))</f>
        <v>45896</v>
      </c>
      <c r="D72" s="4" t="s">
        <v>417</v>
      </c>
      <c r="E72" s="0" t="str">
        <f aca="false">PROPER(TRIM(AL72))</f>
        <v>Karan Malhotra</v>
      </c>
      <c r="F72" s="0" t="str">
        <f aca="false">PROPER(TRIM(AM72))</f>
        <v>Corporate</v>
      </c>
      <c r="G72" s="0" t="str">
        <f aca="false">IF(TRIM(AN72)="","Unknown",PROPER(TRIM(AN72)))</f>
        <v>South</v>
      </c>
      <c r="H72" s="0" t="str">
        <f aca="false">PROPER(TRIM(AO72))</f>
        <v>Andhra Pradesh</v>
      </c>
      <c r="I72" s="0" t="str">
        <f aca="false">PROPER(TRIM(AP72))</f>
        <v>Vijayawada</v>
      </c>
      <c r="J72" s="0" t="str">
        <f aca="false">PROPER(TRIM(AQ72))</f>
        <v>Technology</v>
      </c>
      <c r="K72" s="0" t="str">
        <f aca="false">PROPER(TRIM(AR72))</f>
        <v>Phones</v>
      </c>
      <c r="M72" s="0" t="str">
        <f aca="false">IF(TRIM(AS72)="","Unknown",PROPER(TRIM(AS72)))</f>
        <v>First Class</v>
      </c>
      <c r="N72" s="0" t="n">
        <v>2</v>
      </c>
      <c r="O72" s="0" t="n">
        <v>905.87</v>
      </c>
      <c r="P72" s="5" t="n">
        <f aca="false">IF(AT72="","",IF(ISNUMBER(AT72),AT72,VALUE(SUBSTITUTE(AT72,"%",""))/100))</f>
        <v>0.15</v>
      </c>
      <c r="Q72" s="5" t="n">
        <f aca="false">IF(P72="",IF(AND(N72&lt;&gt;"",O72&lt;&gt;"",R72&lt;&gt;"",S72&lt;&gt;""),0,"REVIEW"),IF(OR(P72&lt;0,P72&gt;0.3),0,P72))</f>
        <v>0.15</v>
      </c>
      <c r="R72" s="0" t="n">
        <v>1539.98</v>
      </c>
      <c r="S72" s="0" t="n">
        <v>1070.2</v>
      </c>
      <c r="T72" s="6" t="n">
        <f aca="false">N72*O72*(1-Q72)</f>
        <v>1539.979</v>
      </c>
      <c r="U72" s="6" t="n">
        <f aca="false">T72-S72</f>
        <v>469.779</v>
      </c>
      <c r="V72" s="7" t="n">
        <f aca="false">IF(T72=0,0,U72/T72)</f>
        <v>0.305055458548461</v>
      </c>
      <c r="W72" s="4" t="n">
        <f aca="false">C72-B72</f>
        <v>5</v>
      </c>
      <c r="X72" s="0" t="str">
        <f aca="false">TEXT(B72,"mmmm")</f>
        <v>August</v>
      </c>
      <c r="Y72" s="4" t="n">
        <f aca="false">YEAR(B72)</f>
        <v>2025</v>
      </c>
      <c r="Z72" s="0" t="str">
        <f aca="false">PROPER(TRIM(AU72))</f>
        <v>Paid</v>
      </c>
      <c r="AA72" s="0" t="str">
        <f aca="false">PROPER(TRIM(AV72))</f>
        <v>Completed</v>
      </c>
      <c r="AB72" s="0" t="str">
        <f aca="false">IF(TRIM(AN72)="","Yes","No")</f>
        <v>No</v>
      </c>
      <c r="AC72" s="0" t="str">
        <f aca="false">IF(TRIM(AS72)="","Yes","No")</f>
        <v>No</v>
      </c>
      <c r="AD72" s="0" t="str">
        <f aca="false">IF(AT72="","Yes","No")</f>
        <v>No</v>
      </c>
      <c r="AE72" s="0" t="str">
        <f aca="false">IF(W72&lt;0,"Yes","No")</f>
        <v>No</v>
      </c>
      <c r="AF72" s="0" t="str">
        <f aca="false">IF(P72="","No",IF(OR(P72&lt;0,P72&gt;0.3),"Yes","No"))</f>
        <v>No</v>
      </c>
      <c r="AG72" s="4" t="s">
        <v>50</v>
      </c>
      <c r="AH72" s="0" t="str">
        <f aca="false">IF(AND(AA72="Completed",Z72="Paid"),"Yes","No")</f>
        <v>Yes</v>
      </c>
      <c r="AI72" s="0" t="str">
        <f aca="false">IF(OR(AE72="Yes",AF72="Yes",AG72="Yes"),"Invalid",IF(OR(AB72="Yes",AC72="Yes",AD72="Yes"),"Warning","Clean"))</f>
        <v>Clean</v>
      </c>
      <c r="AJ72" s="4" t="s">
        <v>418</v>
      </c>
      <c r="AK72" s="4" t="s">
        <v>419</v>
      </c>
      <c r="AL72" s="4" t="s">
        <v>53</v>
      </c>
      <c r="AM72" s="4" t="s">
        <v>128</v>
      </c>
      <c r="AN72" s="4" t="s">
        <v>87</v>
      </c>
      <c r="AO72" s="4" t="s">
        <v>121</v>
      </c>
      <c r="AP72" s="4" t="s">
        <v>122</v>
      </c>
      <c r="AQ72" s="4" t="s">
        <v>109</v>
      </c>
      <c r="AR72" s="4" t="s">
        <v>227</v>
      </c>
      <c r="AS72" s="4" t="s">
        <v>81</v>
      </c>
      <c r="AT72" s="0" t="n">
        <v>0.15</v>
      </c>
      <c r="AU72" s="4" t="s">
        <v>61</v>
      </c>
      <c r="AV72" s="4" t="s">
        <v>62</v>
      </c>
    </row>
    <row r="73" customFormat="false" ht="15" hidden="false" customHeight="false" outlineLevel="0" collapsed="false">
      <c r="A73" s="0" t="s">
        <v>420</v>
      </c>
      <c r="B73" s="3" t="n">
        <f aca="false">IF(AJ73="","",IF(ISNUMBER(SEARCH("/",AJ73)),DATE(VALUE(RIGHT(AJ73,4)),VALUE(LEFT(AJ73,2)),VALUE(MID(AJ73,4,2))),IF(ISNUMBER(SEARCH("-",AJ73)),IF(LEN(LEFT(AJ73,FIND("-",AJ73)-1))=4,DATE(VALUE(LEFT(AJ73,4)),VALUE(MID(AJ73,6,2)),VALUE(RIGHT(AJ73,2))),DATE(VALUE(RIGHT(AJ73,4)),VALUE(MID(AJ73,4,2)),VALUE(LEFT(AJ73,2)))),DATE(VALUE(RIGHT(AJ73,4)),MATCH(MID(AJ73,4,3),{"Jan","Feb","Mar","Apr","May","Jun","Jul","Aug","Sep","Oct","Nov","Dec"},0),VALUE(LEFT(AJ73,2))))))</f>
        <v>45763</v>
      </c>
      <c r="C73" s="3" t="n">
        <f aca="false">IF(AK73="","",IF(ISNUMBER(SEARCH("/",AK73)),DATE(VALUE(RIGHT(AK73,4)),VALUE(LEFT(AK73,2)),VALUE(MID(AK73,4,2))),IF(ISNUMBER(SEARCH("-",AK73)),IF(LEN(LEFT(AK73,FIND("-",AK73)-1))=4,DATE(VALUE(LEFT(AK73,4)),VALUE(MID(AK73,6,2)),VALUE(RIGHT(AK73,2))),DATE(VALUE(RIGHT(AK73,4)),VALUE(MID(AK73,4,2)),VALUE(LEFT(AK73,2)))),DATE(VALUE(RIGHT(AK73,4)),MATCH(MID(AK73,4,3),{"Jan","Feb","Mar","Apr","May","Jun","Jul","Aug","Sep","Oct","Nov","Dec"},0),VALUE(LEFT(AK73,2))))))</f>
        <v>45770</v>
      </c>
      <c r="D73" s="4" t="s">
        <v>421</v>
      </c>
      <c r="E73" s="0" t="str">
        <f aca="false">PROPER(TRIM(AL73))</f>
        <v>Mira Das</v>
      </c>
      <c r="F73" s="0" t="str">
        <f aca="false">PROPER(TRIM(AM73))</f>
        <v>Small Business</v>
      </c>
      <c r="G73" s="0" t="str">
        <f aca="false">IF(TRIM(AN73)="","Unknown",PROPER(TRIM(AN73)))</f>
        <v>West</v>
      </c>
      <c r="H73" s="0" t="str">
        <f aca="false">PROPER(TRIM(AO73))</f>
        <v>Goa</v>
      </c>
      <c r="I73" s="0" t="str">
        <f aca="false">PROPER(TRIM(AP73))</f>
        <v>Panaji</v>
      </c>
      <c r="J73" s="0" t="str">
        <f aca="false">PROPER(TRIM(AQ73))</f>
        <v>Technology</v>
      </c>
      <c r="K73" s="0" t="str">
        <f aca="false">PROPER(TRIM(AR73))</f>
        <v>Machines</v>
      </c>
      <c r="M73" s="0" t="str">
        <f aca="false">IF(TRIM(AS73)="","Unknown",PROPER(TRIM(AS73)))</f>
        <v>Standard Class</v>
      </c>
      <c r="N73" s="0" t="n">
        <v>6</v>
      </c>
      <c r="O73" s="0" t="n">
        <v>2027.32</v>
      </c>
      <c r="P73" s="5" t="n">
        <f aca="false">IF(AT73="","",IF(ISNUMBER(AT73),AT73,VALUE(SUBSTITUTE(AT73,"%",""))/100))</f>
        <v>0.1</v>
      </c>
      <c r="Q73" s="5" t="n">
        <f aca="false">IF(P73="",IF(AND(N73&lt;&gt;"",O73&lt;&gt;"",R73&lt;&gt;"",S73&lt;&gt;""),0,"REVIEW"),IF(OR(P73&lt;0,P73&gt;0.3),0,P73))</f>
        <v>0.1</v>
      </c>
      <c r="R73" s="0" t="n">
        <v>10947.53</v>
      </c>
      <c r="S73" s="0" t="n">
        <v>6447.36</v>
      </c>
      <c r="T73" s="6" t="n">
        <f aca="false">N73*O73*(1-Q73)</f>
        <v>10947.528</v>
      </c>
      <c r="U73" s="6" t="n">
        <f aca="false">T73-S73</f>
        <v>4500.168</v>
      </c>
      <c r="V73" s="7" t="n">
        <f aca="false">IF(T73=0,0,U73/T73)</f>
        <v>0.411067046368824</v>
      </c>
      <c r="W73" s="4" t="n">
        <f aca="false">C73-B73</f>
        <v>7</v>
      </c>
      <c r="X73" s="0" t="str">
        <f aca="false">TEXT(B73,"mmmm")</f>
        <v>April</v>
      </c>
      <c r="Y73" s="4" t="n">
        <f aca="false">YEAR(B73)</f>
        <v>2025</v>
      </c>
      <c r="Z73" s="0" t="str">
        <f aca="false">PROPER(TRIM(AU73))</f>
        <v>Paid</v>
      </c>
      <c r="AA73" s="0" t="str">
        <f aca="false">PROPER(TRIM(AV73))</f>
        <v>Completed</v>
      </c>
      <c r="AB73" s="0" t="str">
        <f aca="false">IF(TRIM(AN73)="","Yes","No")</f>
        <v>No</v>
      </c>
      <c r="AC73" s="0" t="str">
        <f aca="false">IF(TRIM(AS73)="","Yes","No")</f>
        <v>No</v>
      </c>
      <c r="AD73" s="0" t="str">
        <f aca="false">IF(AT73="","Yes","No")</f>
        <v>No</v>
      </c>
      <c r="AE73" s="0" t="str">
        <f aca="false">IF(W73&lt;0,"Yes","No")</f>
        <v>No</v>
      </c>
      <c r="AF73" s="0" t="str">
        <f aca="false">IF(P73="","No",IF(OR(P73&lt;0,P73&gt;0.3),"Yes","No"))</f>
        <v>No</v>
      </c>
      <c r="AG73" s="4" t="s">
        <v>50</v>
      </c>
      <c r="AH73" s="0" t="str">
        <f aca="false">IF(AND(AA73="Completed",Z73="Paid"),"Yes","No")</f>
        <v>Yes</v>
      </c>
      <c r="AI73" s="0" t="str">
        <f aca="false">IF(OR(AE73="Yes",AF73="Yes",AG73="Yes"),"Invalid",IF(OR(AB73="Yes",AC73="Yes",AD73="Yes"),"Warning","Clean"))</f>
        <v>Clean</v>
      </c>
      <c r="AJ73" s="4" t="s">
        <v>114</v>
      </c>
      <c r="AK73" s="4" t="s">
        <v>422</v>
      </c>
      <c r="AL73" s="4" t="s">
        <v>67</v>
      </c>
      <c r="AM73" s="4" t="s">
        <v>423</v>
      </c>
      <c r="AN73" s="4" t="s">
        <v>97</v>
      </c>
      <c r="AO73" s="4" t="s">
        <v>250</v>
      </c>
      <c r="AP73" s="4" t="s">
        <v>251</v>
      </c>
      <c r="AQ73" s="4" t="s">
        <v>109</v>
      </c>
      <c r="AR73" s="4" t="s">
        <v>360</v>
      </c>
      <c r="AS73" s="4" t="s">
        <v>91</v>
      </c>
      <c r="AT73" s="0" t="n">
        <v>0.1</v>
      </c>
      <c r="AU73" s="4" t="s">
        <v>61</v>
      </c>
      <c r="AV73" s="4" t="s">
        <v>62</v>
      </c>
    </row>
    <row r="74" customFormat="false" ht="15" hidden="false" customHeight="false" outlineLevel="0" collapsed="false">
      <c r="A74" s="0" t="s">
        <v>424</v>
      </c>
      <c r="B74" s="3" t="n">
        <f aca="false">IF(AJ74="","",IF(ISNUMBER(SEARCH("/",AJ74)),DATE(VALUE(RIGHT(AJ74,4)),VALUE(LEFT(AJ74,2)),VALUE(MID(AJ74,4,2))),IF(ISNUMBER(SEARCH("-",AJ74)),IF(LEN(LEFT(AJ74,FIND("-",AJ74)-1))=4,DATE(VALUE(LEFT(AJ74,4)),VALUE(MID(AJ74,6,2)),VALUE(RIGHT(AJ74,2))),DATE(VALUE(RIGHT(AJ74,4)),VALUE(MID(AJ74,4,2)),VALUE(LEFT(AJ74,2)))),DATE(VALUE(RIGHT(AJ74,4)),MATCH(MID(AJ74,4,3),{"Jan","Feb","Mar","Apr","May","Jun","Jul","Aug","Sep","Oct","Nov","Dec"},0),VALUE(LEFT(AJ74,2))))))</f>
        <v>45333</v>
      </c>
      <c r="C74" s="3" t="n">
        <f aca="false">IF(AK74="","",IF(ISNUMBER(SEARCH("/",AK74)),DATE(VALUE(RIGHT(AK74,4)),VALUE(LEFT(AK74,2)),VALUE(MID(AK74,4,2))),IF(ISNUMBER(SEARCH("-",AK74)),IF(LEN(LEFT(AK74,FIND("-",AK74)-1))=4,DATE(VALUE(LEFT(AK74,4)),VALUE(MID(AK74,6,2)),VALUE(RIGHT(AK74,2))),DATE(VALUE(RIGHT(AK74,4)),VALUE(MID(AK74,4,2)),VALUE(LEFT(AK74,2)))),DATE(VALUE(RIGHT(AK74,4)),MATCH(MID(AK74,4,3),{"Jan","Feb","Mar","Apr","May","Jun","Jul","Aug","Sep","Oct","Nov","Dec"},0),VALUE(LEFT(AK74,2))))))</f>
        <v>45329</v>
      </c>
      <c r="D74" s="4" t="s">
        <v>425</v>
      </c>
      <c r="E74" s="0" t="str">
        <f aca="false">PROPER(TRIM(AL74))</f>
        <v>Karan Malhotra</v>
      </c>
      <c r="F74" s="0" t="str">
        <f aca="false">PROPER(TRIM(AM74))</f>
        <v>Home Office</v>
      </c>
      <c r="G74" s="0" t="str">
        <f aca="false">IF(TRIM(AN74)="","Unknown",PROPER(TRIM(AN74)))</f>
        <v>South</v>
      </c>
      <c r="H74" s="0" t="str">
        <f aca="false">PROPER(TRIM(AO74))</f>
        <v>Tamil Nadu</v>
      </c>
      <c r="I74" s="0" t="str">
        <f aca="false">PROPER(TRIM(AP74))</f>
        <v>Chennai</v>
      </c>
      <c r="J74" s="0" t="str">
        <f aca="false">PROPER(TRIM(AQ74))</f>
        <v>Furniture</v>
      </c>
      <c r="K74" s="0" t="str">
        <f aca="false">PROPER(TRIM(AR74))</f>
        <v>Tables</v>
      </c>
      <c r="M74" s="0" t="str">
        <f aca="false">IF(TRIM(AS74)="","Unknown",PROPER(TRIM(AS74)))</f>
        <v>First Class</v>
      </c>
      <c r="N74" s="0" t="n">
        <v>7</v>
      </c>
      <c r="O74" s="0" t="n">
        <v>2287.47</v>
      </c>
      <c r="P74" s="5" t="n">
        <f aca="false">IF(AT74="","",IF(ISNUMBER(AT74),AT74,VALUE(SUBSTITUTE(AT74,"%",""))/100))</f>
        <v>0.15</v>
      </c>
      <c r="Q74" s="5" t="n">
        <f aca="false">IF(P74="",IF(AND(N74&lt;&gt;"",O74&lt;&gt;"",R74&lt;&gt;"",S74&lt;&gt;""),0,"REVIEW"),IF(OR(P74&lt;0,P74&gt;0.3),0,P74))</f>
        <v>0.15</v>
      </c>
      <c r="R74" s="0" t="n">
        <v>13610.45</v>
      </c>
      <c r="S74" s="0" t="n">
        <v>10039.05</v>
      </c>
      <c r="T74" s="6" t="n">
        <f aca="false">N74*O74*(1-Q74)</f>
        <v>13610.4465</v>
      </c>
      <c r="U74" s="6" t="n">
        <f aca="false">T74-S74</f>
        <v>3571.3965</v>
      </c>
      <c r="V74" s="7" t="n">
        <f aca="false">IF(T74=0,0,U74/T74)</f>
        <v>0.262401126957885</v>
      </c>
      <c r="W74" s="4" t="n">
        <f aca="false">C74-B74</f>
        <v>-4</v>
      </c>
      <c r="X74" s="0" t="str">
        <f aca="false">TEXT(B74,"mmmm")</f>
        <v>February</v>
      </c>
      <c r="Y74" s="4" t="n">
        <f aca="false">YEAR(B74)</f>
        <v>2024</v>
      </c>
      <c r="Z74" s="0" t="str">
        <f aca="false">PROPER(TRIM(AU74))</f>
        <v>Paid</v>
      </c>
      <c r="AA74" s="0" t="str">
        <f aca="false">PROPER(TRIM(AV74))</f>
        <v>Completed</v>
      </c>
      <c r="AB74" s="0" t="str">
        <f aca="false">IF(TRIM(AN74)="","Yes","No")</f>
        <v>No</v>
      </c>
      <c r="AC74" s="0" t="str">
        <f aca="false">IF(TRIM(AS74)="","Yes","No")</f>
        <v>No</v>
      </c>
      <c r="AD74" s="0" t="str">
        <f aca="false">IF(AT74="","Yes","No")</f>
        <v>No</v>
      </c>
      <c r="AE74" s="0" t="str">
        <f aca="false">IF(W74&lt;0,"Yes","No")</f>
        <v>Yes</v>
      </c>
      <c r="AF74" s="0" t="str">
        <f aca="false">IF(P74="","No",IF(OR(P74&lt;0,P74&gt;0.3),"Yes","No"))</f>
        <v>No</v>
      </c>
      <c r="AG74" s="4" t="s">
        <v>50</v>
      </c>
      <c r="AH74" s="0" t="str">
        <f aca="false">IF(AND(AA74="Completed",Z74="Paid"),"Yes","No")</f>
        <v>Yes</v>
      </c>
      <c r="AI74" s="0" t="str">
        <f aca="false">IF(OR(AE74="Yes",AF74="Yes",AG74="Yes"),"Invalid",IF(OR(AB74="Yes",AC74="Yes",AD74="Yes"),"Warning","Clean"))</f>
        <v>Invalid</v>
      </c>
      <c r="AJ74" s="4" t="s">
        <v>426</v>
      </c>
      <c r="AK74" s="4" t="s">
        <v>427</v>
      </c>
      <c r="AL74" s="4" t="s">
        <v>53</v>
      </c>
      <c r="AM74" s="4" t="s">
        <v>134</v>
      </c>
      <c r="AN74" s="4" t="s">
        <v>87</v>
      </c>
      <c r="AO74" s="4" t="s">
        <v>323</v>
      </c>
      <c r="AP74" s="4" t="s">
        <v>324</v>
      </c>
      <c r="AQ74" s="4" t="s">
        <v>72</v>
      </c>
      <c r="AR74" s="4" t="s">
        <v>73</v>
      </c>
      <c r="AS74" s="4" t="s">
        <v>81</v>
      </c>
      <c r="AT74" s="0" t="n">
        <v>0.15</v>
      </c>
      <c r="AU74" s="4" t="s">
        <v>61</v>
      </c>
      <c r="AV74" s="4" t="s">
        <v>62</v>
      </c>
    </row>
    <row r="75" customFormat="false" ht="15" hidden="false" customHeight="false" outlineLevel="0" collapsed="false">
      <c r="A75" s="0" t="s">
        <v>428</v>
      </c>
      <c r="B75" s="3" t="n">
        <f aca="false">IF(AJ75="","",IF(ISNUMBER(SEARCH("/",AJ75)),DATE(VALUE(RIGHT(AJ75,4)),VALUE(LEFT(AJ75,2)),VALUE(MID(AJ75,4,2))),IF(ISNUMBER(SEARCH("-",AJ75)),IF(LEN(LEFT(AJ75,FIND("-",AJ75)-1))=4,DATE(VALUE(LEFT(AJ75,4)),VALUE(MID(AJ75,6,2)),VALUE(RIGHT(AJ75,2))),DATE(VALUE(RIGHT(AJ75,4)),VALUE(MID(AJ75,4,2)),VALUE(LEFT(AJ75,2)))),DATE(VALUE(RIGHT(AJ75,4)),MATCH(MID(AJ75,4,3),{"Jan","Feb","Mar","Apr","May","Jun","Jul","Aug","Sep","Oct","Nov","Dec"},0),VALUE(LEFT(AJ75,2))))))</f>
        <v>45745</v>
      </c>
      <c r="C75" s="3" t="n">
        <f aca="false">IF(AK75="","",IF(ISNUMBER(SEARCH("/",AK75)),DATE(VALUE(RIGHT(AK75,4)),VALUE(LEFT(AK75,2)),VALUE(MID(AK75,4,2))),IF(ISNUMBER(SEARCH("-",AK75)),IF(LEN(LEFT(AK75,FIND("-",AK75)-1))=4,DATE(VALUE(LEFT(AK75,4)),VALUE(MID(AK75,6,2)),VALUE(RIGHT(AK75,2))),DATE(VALUE(RIGHT(AK75,4)),VALUE(MID(AK75,4,2)),VALUE(LEFT(AK75,2)))),DATE(VALUE(RIGHT(AK75,4)),MATCH(MID(AK75,4,3),{"Jan","Feb","Mar","Apr","May","Jun","Jul","Aug","Sep","Oct","Nov","Dec"},0),VALUE(LEFT(AK75,2))))))</f>
        <v>45750</v>
      </c>
      <c r="D75" s="4" t="s">
        <v>429</v>
      </c>
      <c r="E75" s="0" t="str">
        <f aca="false">PROPER(TRIM(AL75))</f>
        <v>Sneha Kapoor</v>
      </c>
      <c r="F75" s="0" t="str">
        <f aca="false">PROPER(TRIM(AM75))</f>
        <v>Corporate</v>
      </c>
      <c r="G75" s="0" t="str">
        <f aca="false">IF(TRIM(AN75)="","Unknown",PROPER(TRIM(AN75)))</f>
        <v>East</v>
      </c>
      <c r="H75" s="0" t="str">
        <f aca="false">PROPER(TRIM(AO75))</f>
        <v>West Bengal</v>
      </c>
      <c r="I75" s="0" t="str">
        <f aca="false">PROPER(TRIM(AP75))</f>
        <v>Kolkata</v>
      </c>
      <c r="J75" s="0" t="str">
        <f aca="false">PROPER(TRIM(AQ75))</f>
        <v>Furniture</v>
      </c>
      <c r="K75" s="0" t="str">
        <f aca="false">PROPER(TRIM(AR75))</f>
        <v>Bookcases</v>
      </c>
      <c r="M75" s="0" t="str">
        <f aca="false">IF(TRIM(AS75)="","Unknown",PROPER(TRIM(AS75)))</f>
        <v>First Class</v>
      </c>
      <c r="N75" s="0" t="n">
        <v>5</v>
      </c>
      <c r="O75" s="0" t="n">
        <v>1425.74</v>
      </c>
      <c r="P75" s="5" t="n">
        <f aca="false">IF(AT75="","",IF(ISNUMBER(AT75),AT75,VALUE(SUBSTITUTE(AT75,"%",""))/100))</f>
        <v>0</v>
      </c>
      <c r="Q75" s="5" t="n">
        <f aca="false">IF(P75="",IF(AND(N75&lt;&gt;"",O75&lt;&gt;"",R75&lt;&gt;"",S75&lt;&gt;""),0,"REVIEW"),IF(OR(P75&lt;0,P75&gt;0.3),0,P75))</f>
        <v>0</v>
      </c>
      <c r="R75" s="0" t="n">
        <v>7128.7</v>
      </c>
      <c r="S75" s="0" t="n">
        <v>4382.15</v>
      </c>
      <c r="T75" s="6" t="n">
        <f aca="false">N75*O75*(1-Q75)</f>
        <v>7128.7</v>
      </c>
      <c r="U75" s="6" t="n">
        <f aca="false">T75-S75</f>
        <v>2746.55</v>
      </c>
      <c r="V75" s="7" t="n">
        <f aca="false">IF(T75=0,0,U75/T75)</f>
        <v>0.385280626201131</v>
      </c>
      <c r="W75" s="4" t="n">
        <f aca="false">C75-B75</f>
        <v>5</v>
      </c>
      <c r="X75" s="0" t="str">
        <f aca="false">TEXT(B75,"mmmm")</f>
        <v>March</v>
      </c>
      <c r="Y75" s="4" t="n">
        <f aca="false">YEAR(B75)</f>
        <v>2025</v>
      </c>
      <c r="Z75" s="0" t="str">
        <f aca="false">PROPER(TRIM(AU75))</f>
        <v>Paid</v>
      </c>
      <c r="AA75" s="0" t="str">
        <f aca="false">PROPER(TRIM(AV75))</f>
        <v>Completed</v>
      </c>
      <c r="AB75" s="0" t="str">
        <f aca="false">IF(TRIM(AN75)="","Yes","No")</f>
        <v>No</v>
      </c>
      <c r="AC75" s="0" t="str">
        <f aca="false">IF(TRIM(AS75)="","Yes","No")</f>
        <v>No</v>
      </c>
      <c r="AD75" s="0" t="str">
        <f aca="false">IF(AT75="","Yes","No")</f>
        <v>No</v>
      </c>
      <c r="AE75" s="0" t="str">
        <f aca="false">IF(W75&lt;0,"Yes","No")</f>
        <v>No</v>
      </c>
      <c r="AF75" s="0" t="str">
        <f aca="false">IF(P75="","No",IF(OR(P75&lt;0,P75&gt;0.3),"Yes","No"))</f>
        <v>No</v>
      </c>
      <c r="AG75" s="4" t="s">
        <v>50</v>
      </c>
      <c r="AH75" s="0" t="str">
        <f aca="false">IF(AND(AA75="Completed",Z75="Paid"),"Yes","No")</f>
        <v>Yes</v>
      </c>
      <c r="AI75" s="0" t="str">
        <f aca="false">IF(OR(AE75="Yes",AF75="Yes",AG75="Yes"),"Invalid",IF(OR(AB75="Yes",AC75="Yes",AD75="Yes"),"Warning","Clean"))</f>
        <v>Clean</v>
      </c>
      <c r="AJ75" s="4" t="s">
        <v>430</v>
      </c>
      <c r="AK75" s="4" t="s">
        <v>431</v>
      </c>
      <c r="AL75" s="4" t="s">
        <v>181</v>
      </c>
      <c r="AM75" s="4" t="s">
        <v>128</v>
      </c>
      <c r="AN75" s="4" t="s">
        <v>69</v>
      </c>
      <c r="AO75" s="4" t="s">
        <v>139</v>
      </c>
      <c r="AP75" s="4" t="s">
        <v>140</v>
      </c>
      <c r="AQ75" s="4" t="s">
        <v>72</v>
      </c>
      <c r="AR75" s="4" t="s">
        <v>211</v>
      </c>
      <c r="AS75" s="4" t="s">
        <v>81</v>
      </c>
      <c r="AT75" s="0" t="n">
        <v>0</v>
      </c>
      <c r="AU75" s="4" t="s">
        <v>61</v>
      </c>
      <c r="AV75" s="4" t="s">
        <v>62</v>
      </c>
    </row>
    <row r="76" customFormat="false" ht="15" hidden="false" customHeight="false" outlineLevel="0" collapsed="false">
      <c r="A76" s="0" t="s">
        <v>432</v>
      </c>
      <c r="B76" s="3" t="n">
        <f aca="false">IF(AJ76="","",IF(ISNUMBER(SEARCH("/",AJ76)),DATE(VALUE(RIGHT(AJ76,4)),VALUE(LEFT(AJ76,2)),VALUE(MID(AJ76,4,2))),IF(ISNUMBER(SEARCH("-",AJ76)),IF(LEN(LEFT(AJ76,FIND("-",AJ76)-1))=4,DATE(VALUE(LEFT(AJ76,4)),VALUE(MID(AJ76,6,2)),VALUE(RIGHT(AJ76,2))),DATE(VALUE(RIGHT(AJ76,4)),VALUE(MID(AJ76,4,2)),VALUE(LEFT(AJ76,2)))),DATE(VALUE(RIGHT(AJ76,4)),MATCH(MID(AJ76,4,3),{"Jan","Feb","Mar","Apr","May","Jun","Jul","Aug","Sep","Oct","Nov","Dec"},0),VALUE(LEFT(AJ76,2))))))</f>
        <v>45715</v>
      </c>
      <c r="C76" s="3" t="n">
        <f aca="false">IF(AK76="","",IF(ISNUMBER(SEARCH("/",AK76)),DATE(VALUE(RIGHT(AK76,4)),VALUE(LEFT(AK76,2)),VALUE(MID(AK76,4,2))),IF(ISNUMBER(SEARCH("-",AK76)),IF(LEN(LEFT(AK76,FIND("-",AK76)-1))=4,DATE(VALUE(LEFT(AK76,4)),VALUE(MID(AK76,6,2)),VALUE(RIGHT(AK76,2))),DATE(VALUE(RIGHT(AK76,4)),VALUE(MID(AK76,4,2)),VALUE(LEFT(AK76,2)))),DATE(VALUE(RIGHT(AK76,4)),MATCH(MID(AK76,4,3),{"Jan","Feb","Mar","Apr","May","Jun","Jul","Aug","Sep","Oct","Nov","Dec"},0),VALUE(LEFT(AK76,2))))))</f>
        <v>45717</v>
      </c>
      <c r="D76" s="4" t="s">
        <v>433</v>
      </c>
      <c r="E76" s="0" t="str">
        <f aca="false">PROPER(TRIM(AL76))</f>
        <v>Vikram Iyer</v>
      </c>
      <c r="F76" s="0" t="str">
        <f aca="false">PROPER(TRIM(AM76))</f>
        <v>Small Business</v>
      </c>
      <c r="G76" s="0" t="str">
        <f aca="false">IF(TRIM(AN76)="","Unknown",PROPER(TRIM(AN76)))</f>
        <v>East</v>
      </c>
      <c r="H76" s="0" t="str">
        <f aca="false">PROPER(TRIM(AO76))</f>
        <v>West Bengal</v>
      </c>
      <c r="I76" s="0" t="str">
        <f aca="false">PROPER(TRIM(AP76))</f>
        <v>Kolkata</v>
      </c>
      <c r="J76" s="0" t="str">
        <f aca="false">PROPER(TRIM(AQ76))</f>
        <v>Furniture</v>
      </c>
      <c r="K76" s="0" t="str">
        <f aca="false">PROPER(TRIM(AR76))</f>
        <v>Chairs</v>
      </c>
      <c r="M76" s="0" t="str">
        <f aca="false">IF(TRIM(AS76)="","Unknown",PROPER(TRIM(AS76)))</f>
        <v>Standard Class</v>
      </c>
      <c r="N76" s="0" t="n">
        <v>6</v>
      </c>
      <c r="O76" s="0" t="n">
        <v>551.64</v>
      </c>
      <c r="P76" s="5" t="n">
        <f aca="false">IF(AT76="","",IF(ISNUMBER(AT76),AT76,VALUE(SUBSTITUTE(AT76,"%",""))/100))</f>
        <v>0</v>
      </c>
      <c r="Q76" s="5" t="n">
        <f aca="false">IF(P76="",IF(AND(N76&lt;&gt;"",O76&lt;&gt;"",R76&lt;&gt;"",S76&lt;&gt;""),0,"REVIEW"),IF(OR(P76&lt;0,P76&gt;0.3),0,P76))</f>
        <v>0</v>
      </c>
      <c r="R76" s="0" t="n">
        <v>3309.84</v>
      </c>
      <c r="S76" s="0" t="n">
        <v>2671.08</v>
      </c>
      <c r="T76" s="6" t="n">
        <f aca="false">N76*O76*(1-Q76)</f>
        <v>3309.84</v>
      </c>
      <c r="U76" s="6" t="n">
        <f aca="false">T76-S76</f>
        <v>638.76</v>
      </c>
      <c r="V76" s="7" t="n">
        <f aca="false">IF(T76=0,0,U76/T76)</f>
        <v>0.192988180697556</v>
      </c>
      <c r="W76" s="4" t="n">
        <f aca="false">C76-B76</f>
        <v>2</v>
      </c>
      <c r="X76" s="0" t="str">
        <f aca="false">TEXT(B76,"mmmm")</f>
        <v>February</v>
      </c>
      <c r="Y76" s="4" t="n">
        <f aca="false">YEAR(B76)</f>
        <v>2025</v>
      </c>
      <c r="Z76" s="0" t="str">
        <f aca="false">PROPER(TRIM(AU76))</f>
        <v>Paid</v>
      </c>
      <c r="AA76" s="0" t="str">
        <f aca="false">PROPER(TRIM(AV76))</f>
        <v>Completed</v>
      </c>
      <c r="AB76" s="0" t="str">
        <f aca="false">IF(TRIM(AN76)="","Yes","No")</f>
        <v>No</v>
      </c>
      <c r="AC76" s="0" t="str">
        <f aca="false">IF(TRIM(AS76)="","Yes","No")</f>
        <v>No</v>
      </c>
      <c r="AD76" s="0" t="str">
        <f aca="false">IF(AT76="","Yes","No")</f>
        <v>No</v>
      </c>
      <c r="AE76" s="0" t="str">
        <f aca="false">IF(W76&lt;0,"Yes","No")</f>
        <v>No</v>
      </c>
      <c r="AF76" s="0" t="str">
        <f aca="false">IF(P76="","No",IF(OR(P76&lt;0,P76&gt;0.3),"Yes","No"))</f>
        <v>No</v>
      </c>
      <c r="AG76" s="4" t="s">
        <v>50</v>
      </c>
      <c r="AH76" s="0" t="str">
        <f aca="false">IF(AND(AA76="Completed",Z76="Paid"),"Yes","No")</f>
        <v>Yes</v>
      </c>
      <c r="AI76" s="0" t="str">
        <f aca="false">IF(OR(AE76="Yes",AF76="Yes",AG76="Yes"),"Invalid",IF(OR(AB76="Yes",AC76="Yes",AD76="Yes"),"Warning","Clean"))</f>
        <v>Clean</v>
      </c>
      <c r="AJ76" s="4" t="s">
        <v>434</v>
      </c>
      <c r="AK76" s="4" t="s">
        <v>435</v>
      </c>
      <c r="AL76" s="4" t="s">
        <v>106</v>
      </c>
      <c r="AM76" s="4" t="s">
        <v>68</v>
      </c>
      <c r="AN76" s="4" t="s">
        <v>69</v>
      </c>
      <c r="AO76" s="4" t="s">
        <v>139</v>
      </c>
      <c r="AP76" s="4" t="s">
        <v>140</v>
      </c>
      <c r="AQ76" s="4" t="s">
        <v>72</v>
      </c>
      <c r="AR76" s="4" t="s">
        <v>100</v>
      </c>
      <c r="AS76" s="4" t="s">
        <v>91</v>
      </c>
      <c r="AT76" s="0" t="n">
        <v>0</v>
      </c>
      <c r="AU76" s="4" t="s">
        <v>61</v>
      </c>
      <c r="AV76" s="4" t="s">
        <v>62</v>
      </c>
    </row>
    <row r="77" customFormat="false" ht="15" hidden="false" customHeight="false" outlineLevel="0" collapsed="false">
      <c r="A77" s="0" t="s">
        <v>436</v>
      </c>
      <c r="B77" s="3" t="n">
        <f aca="false">IF(AJ77="","",IF(ISNUMBER(SEARCH("/",AJ77)),DATE(VALUE(RIGHT(AJ77,4)),VALUE(LEFT(AJ77,2)),VALUE(MID(AJ77,4,2))),IF(ISNUMBER(SEARCH("-",AJ77)),IF(LEN(LEFT(AJ77,FIND("-",AJ77)-1))=4,DATE(VALUE(LEFT(AJ77,4)),VALUE(MID(AJ77,6,2)),VALUE(RIGHT(AJ77,2))),DATE(VALUE(RIGHT(AJ77,4)),VALUE(MID(AJ77,4,2)),VALUE(LEFT(AJ77,2)))),DATE(VALUE(RIGHT(AJ77,4)),MATCH(MID(AJ77,4,3),{"Jan","Feb","Mar","Apr","May","Jun","Jul","Aug","Sep","Oct","Nov","Dec"},0),VALUE(LEFT(AJ77,2))))))</f>
        <v>45891</v>
      </c>
      <c r="C77" s="3" t="n">
        <f aca="false">IF(AK77="","",IF(ISNUMBER(SEARCH("/",AK77)),DATE(VALUE(RIGHT(AK77,4)),VALUE(LEFT(AK77,2)),VALUE(MID(AK77,4,2))),IF(ISNUMBER(SEARCH("-",AK77)),IF(LEN(LEFT(AK77,FIND("-",AK77)-1))=4,DATE(VALUE(LEFT(AK77,4)),VALUE(MID(AK77,6,2)),VALUE(RIGHT(AK77,2))),DATE(VALUE(RIGHT(AK77,4)),VALUE(MID(AK77,4,2)),VALUE(LEFT(AK77,2)))),DATE(VALUE(RIGHT(AK77,4)),MATCH(MID(AK77,4,3),{"Jan","Feb","Mar","Apr","May","Jun","Jul","Aug","Sep","Oct","Nov","Dec"},0),VALUE(LEFT(AK77,2))))))</f>
        <v>45896</v>
      </c>
      <c r="D77" s="4" t="s">
        <v>437</v>
      </c>
      <c r="E77" s="0" t="str">
        <f aca="false">PROPER(TRIM(AL77))</f>
        <v>Priya Menon</v>
      </c>
      <c r="F77" s="0" t="str">
        <f aca="false">PROPER(TRIM(AM77))</f>
        <v>Small Business</v>
      </c>
      <c r="G77" s="0" t="str">
        <f aca="false">IF(TRIM(AN77)="","Unknown",PROPER(TRIM(AN77)))</f>
        <v>East</v>
      </c>
      <c r="H77" s="0" t="str">
        <f aca="false">PROPER(TRIM(AO77))</f>
        <v>Odisha</v>
      </c>
      <c r="I77" s="0" t="str">
        <f aca="false">PROPER(TRIM(AP77))</f>
        <v>Bhubaneswar</v>
      </c>
      <c r="J77" s="0" t="str">
        <f aca="false">PROPER(TRIM(AQ77))</f>
        <v>Office Supplies</v>
      </c>
      <c r="K77" s="0" t="str">
        <f aca="false">PROPER(TRIM(AR77))</f>
        <v>Labels</v>
      </c>
      <c r="M77" s="0" t="str">
        <f aca="false">IF(TRIM(AS77)="","Unknown",PROPER(TRIM(AS77)))</f>
        <v>First Class</v>
      </c>
      <c r="N77" s="0" t="n">
        <v>3</v>
      </c>
      <c r="O77" s="0" t="n">
        <v>3294.82</v>
      </c>
      <c r="P77" s="5" t="n">
        <f aca="false">IF(AT77="","",IF(ISNUMBER(AT77),AT77,VALUE(SUBSTITUTE(AT77,"%",""))/100))</f>
        <v>0.2</v>
      </c>
      <c r="Q77" s="5" t="n">
        <f aca="false">IF(P77="",IF(AND(N77&lt;&gt;"",O77&lt;&gt;"",R77&lt;&gt;"",S77&lt;&gt;""),0,"REVIEW"),IF(OR(P77&lt;0,P77&gt;0.3),0,P77))</f>
        <v>0.2</v>
      </c>
      <c r="R77" s="0" t="n">
        <v>7907.57</v>
      </c>
      <c r="S77" s="0" t="n">
        <v>5391.18</v>
      </c>
      <c r="T77" s="6" t="n">
        <f aca="false">N77*O77*(1-Q77)</f>
        <v>7907.568</v>
      </c>
      <c r="U77" s="6" t="n">
        <f aca="false">T77-S77</f>
        <v>2516.388</v>
      </c>
      <c r="V77" s="7" t="n">
        <f aca="false">IF(T77=0,0,U77/T77)</f>
        <v>0.318225274825332</v>
      </c>
      <c r="W77" s="4" t="n">
        <f aca="false">C77-B77</f>
        <v>5</v>
      </c>
      <c r="X77" s="0" t="str">
        <f aca="false">TEXT(B77,"mmmm")</f>
        <v>August</v>
      </c>
      <c r="Y77" s="4" t="n">
        <f aca="false">YEAR(B77)</f>
        <v>2025</v>
      </c>
      <c r="Z77" s="0" t="str">
        <f aca="false">PROPER(TRIM(AU77))</f>
        <v>Paid</v>
      </c>
      <c r="AA77" s="0" t="str">
        <f aca="false">PROPER(TRIM(AV77))</f>
        <v>Completed</v>
      </c>
      <c r="AB77" s="0" t="str">
        <f aca="false">IF(TRIM(AN77)="","Yes","No")</f>
        <v>No</v>
      </c>
      <c r="AC77" s="0" t="str">
        <f aca="false">IF(TRIM(AS77)="","Yes","No")</f>
        <v>No</v>
      </c>
      <c r="AD77" s="0" t="str">
        <f aca="false">IF(AT77="","Yes","No")</f>
        <v>No</v>
      </c>
      <c r="AE77" s="0" t="str">
        <f aca="false">IF(W77&lt;0,"Yes","No")</f>
        <v>No</v>
      </c>
      <c r="AF77" s="0" t="str">
        <f aca="false">IF(P77="","No",IF(OR(P77&lt;0,P77&gt;0.3),"Yes","No"))</f>
        <v>No</v>
      </c>
      <c r="AG77" s="4" t="s">
        <v>50</v>
      </c>
      <c r="AH77" s="0" t="str">
        <f aca="false">IF(AND(AA77="Completed",Z77="Paid"),"Yes","No")</f>
        <v>Yes</v>
      </c>
      <c r="AI77" s="0" t="str">
        <f aca="false">IF(OR(AE77="Yes",AF77="Yes",AG77="Yes"),"Invalid",IF(OR(AB77="Yes",AC77="Yes",AD77="Yes"),"Warning","Clean"))</f>
        <v>Clean</v>
      </c>
      <c r="AJ77" s="4" t="s">
        <v>438</v>
      </c>
      <c r="AK77" s="4" t="s">
        <v>439</v>
      </c>
      <c r="AL77" s="4" t="s">
        <v>158</v>
      </c>
      <c r="AM77" s="4" t="s">
        <v>68</v>
      </c>
      <c r="AN77" s="4" t="s">
        <v>69</v>
      </c>
      <c r="AO77" s="4" t="s">
        <v>70</v>
      </c>
      <c r="AP77" s="4" t="s">
        <v>71</v>
      </c>
      <c r="AQ77" s="4" t="s">
        <v>58</v>
      </c>
      <c r="AR77" s="4" t="s">
        <v>129</v>
      </c>
      <c r="AS77" s="4" t="s">
        <v>81</v>
      </c>
      <c r="AT77" s="0" t="n">
        <v>0.2</v>
      </c>
      <c r="AU77" s="4" t="s">
        <v>61</v>
      </c>
      <c r="AV77" s="4" t="s">
        <v>62</v>
      </c>
    </row>
    <row r="78" customFormat="false" ht="15" hidden="false" customHeight="false" outlineLevel="0" collapsed="false">
      <c r="A78" s="0" t="s">
        <v>440</v>
      </c>
      <c r="B78" s="3" t="n">
        <f aca="false">IF(AJ78="","",IF(ISNUMBER(SEARCH("/",AJ78)),DATE(VALUE(RIGHT(AJ78,4)),VALUE(LEFT(AJ78,2)),VALUE(MID(AJ78,4,2))),IF(ISNUMBER(SEARCH("-",AJ78)),IF(LEN(LEFT(AJ78,FIND("-",AJ78)-1))=4,DATE(VALUE(LEFT(AJ78,4)),VALUE(MID(AJ78,6,2)),VALUE(RIGHT(AJ78,2))),DATE(VALUE(RIGHT(AJ78,4)),VALUE(MID(AJ78,4,2)),VALUE(LEFT(AJ78,2)))),DATE(VALUE(RIGHT(AJ78,4)),MATCH(MID(AJ78,4,3),{"Jan","Feb","Mar","Apr","May","Jun","Jul","Aug","Sep","Oct","Nov","Dec"},0),VALUE(LEFT(AJ78,2))))))</f>
        <v>45599</v>
      </c>
      <c r="C78" s="3" t="n">
        <f aca="false">IF(AK78="","",IF(ISNUMBER(SEARCH("/",AK78)),DATE(VALUE(RIGHT(AK78,4)),VALUE(LEFT(AK78,2)),VALUE(MID(AK78,4,2))),IF(ISNUMBER(SEARCH("-",AK78)),IF(LEN(LEFT(AK78,FIND("-",AK78)-1))=4,DATE(VALUE(LEFT(AK78,4)),VALUE(MID(AK78,6,2)),VALUE(RIGHT(AK78,2))),DATE(VALUE(RIGHT(AK78,4)),VALUE(MID(AK78,4,2)),VALUE(LEFT(AK78,2)))),DATE(VALUE(RIGHT(AK78,4)),MATCH(MID(AK78,4,3),{"Jan","Feb","Mar","Apr","May","Jun","Jul","Aug","Sep","Oct","Nov","Dec"},0),VALUE(LEFT(AK78,2))))))</f>
        <v>45607</v>
      </c>
      <c r="D78" s="4" t="s">
        <v>441</v>
      </c>
      <c r="E78" s="0" t="str">
        <f aca="false">PROPER(TRIM(AL78))</f>
        <v>Ananya Rao</v>
      </c>
      <c r="F78" s="0" t="str">
        <f aca="false">PROPER(TRIM(AM78))</f>
        <v>Corporate</v>
      </c>
      <c r="G78" s="0" t="str">
        <f aca="false">IF(TRIM(AN78)="","Unknown",PROPER(TRIM(AN78)))</f>
        <v>East</v>
      </c>
      <c r="H78" s="0" t="str">
        <f aca="false">PROPER(TRIM(AO78))</f>
        <v>Jharkhand</v>
      </c>
      <c r="I78" s="0" t="str">
        <f aca="false">PROPER(TRIM(AP78))</f>
        <v>Ranchi</v>
      </c>
      <c r="J78" s="0" t="str">
        <f aca="false">PROPER(TRIM(AQ78))</f>
        <v>Office Supplies</v>
      </c>
      <c r="K78" s="0" t="str">
        <f aca="false">PROPER(TRIM(AR78))</f>
        <v>Labels</v>
      </c>
      <c r="M78" s="0" t="str">
        <f aca="false">IF(TRIM(AS78)="","Unknown",PROPER(TRIM(AS78)))</f>
        <v>Second Class</v>
      </c>
      <c r="N78" s="0" t="n">
        <v>3</v>
      </c>
      <c r="O78" s="0" t="n">
        <v>3406.27</v>
      </c>
      <c r="P78" s="5" t="n">
        <f aca="false">IF(AT78="","",IF(ISNUMBER(AT78),AT78,VALUE(SUBSTITUTE(AT78,"%",""))/100))</f>
        <v>0</v>
      </c>
      <c r="Q78" s="5" t="n">
        <f aca="false">IF(P78="",IF(AND(N78&lt;&gt;"",O78&lt;&gt;"",R78&lt;&gt;"",S78&lt;&gt;""),0,"REVIEW"),IF(OR(P78&lt;0,P78&gt;0.3),0,P78))</f>
        <v>0</v>
      </c>
      <c r="R78" s="0" t="n">
        <v>10218.81</v>
      </c>
      <c r="S78" s="0" t="n">
        <v>7616.97</v>
      </c>
      <c r="T78" s="6" t="n">
        <f aca="false">N78*O78*(1-Q78)</f>
        <v>10218.81</v>
      </c>
      <c r="U78" s="6" t="n">
        <f aca="false">T78-S78</f>
        <v>2601.84</v>
      </c>
      <c r="V78" s="7" t="n">
        <f aca="false">IF(T78=0,0,U78/T78)</f>
        <v>0.254612816952267</v>
      </c>
      <c r="W78" s="4" t="n">
        <f aca="false">C78-B78</f>
        <v>8</v>
      </c>
      <c r="X78" s="0" t="str">
        <f aca="false">TEXT(B78,"mmmm")</f>
        <v>November</v>
      </c>
      <c r="Y78" s="4" t="n">
        <f aca="false">YEAR(B78)</f>
        <v>2024</v>
      </c>
      <c r="Z78" s="0" t="str">
        <f aca="false">PROPER(TRIM(AU78))</f>
        <v>Paid</v>
      </c>
      <c r="AA78" s="0" t="str">
        <f aca="false">PROPER(TRIM(AV78))</f>
        <v>Completed</v>
      </c>
      <c r="AB78" s="0" t="str">
        <f aca="false">IF(TRIM(AN78)="","Yes","No")</f>
        <v>No</v>
      </c>
      <c r="AC78" s="0" t="str">
        <f aca="false">IF(TRIM(AS78)="","Yes","No")</f>
        <v>No</v>
      </c>
      <c r="AD78" s="0" t="str">
        <f aca="false">IF(AT78="","Yes","No")</f>
        <v>No</v>
      </c>
      <c r="AE78" s="0" t="str">
        <f aca="false">IF(W78&lt;0,"Yes","No")</f>
        <v>No</v>
      </c>
      <c r="AF78" s="0" t="str">
        <f aca="false">IF(P78="","No",IF(OR(P78&lt;0,P78&gt;0.3),"Yes","No"))</f>
        <v>No</v>
      </c>
      <c r="AG78" s="4" t="s">
        <v>50</v>
      </c>
      <c r="AH78" s="0" t="str">
        <f aca="false">IF(AND(AA78="Completed",Z78="Paid"),"Yes","No")</f>
        <v>Yes</v>
      </c>
      <c r="AI78" s="0" t="str">
        <f aca="false">IF(OR(AE78="Yes",AF78="Yes",AG78="Yes"),"Invalid",IF(OR(AB78="Yes",AC78="Yes",AD78="Yes"),"Warning","Clean"))</f>
        <v>Clean</v>
      </c>
      <c r="AJ78" s="4" t="s">
        <v>442</v>
      </c>
      <c r="AK78" s="4" t="s">
        <v>443</v>
      </c>
      <c r="AL78" s="4" t="s">
        <v>96</v>
      </c>
      <c r="AM78" s="4" t="s">
        <v>128</v>
      </c>
      <c r="AN78" s="4" t="s">
        <v>69</v>
      </c>
      <c r="AO78" s="4" t="s">
        <v>300</v>
      </c>
      <c r="AP78" s="4" t="s">
        <v>301</v>
      </c>
      <c r="AQ78" s="4" t="s">
        <v>58</v>
      </c>
      <c r="AR78" s="4" t="s">
        <v>129</v>
      </c>
      <c r="AS78" s="4" t="s">
        <v>60</v>
      </c>
      <c r="AT78" s="0" t="n">
        <v>0</v>
      </c>
      <c r="AU78" s="4" t="s">
        <v>61</v>
      </c>
      <c r="AV78" s="4" t="s">
        <v>62</v>
      </c>
    </row>
    <row r="79" customFormat="false" ht="15" hidden="false" customHeight="false" outlineLevel="0" collapsed="false">
      <c r="A79" s="0" t="s">
        <v>444</v>
      </c>
      <c r="B79" s="3" t="n">
        <f aca="false">IF(AJ79="","",IF(ISNUMBER(SEARCH("/",AJ79)),DATE(VALUE(RIGHT(AJ79,4)),VALUE(LEFT(AJ79,2)),VALUE(MID(AJ79,4,2))),IF(ISNUMBER(SEARCH("-",AJ79)),IF(LEN(LEFT(AJ79,FIND("-",AJ79)-1))=4,DATE(VALUE(LEFT(AJ79,4)),VALUE(MID(AJ79,6,2)),VALUE(RIGHT(AJ79,2))),DATE(VALUE(RIGHT(AJ79,4)),VALUE(MID(AJ79,4,2)),VALUE(LEFT(AJ79,2)))),DATE(VALUE(RIGHT(AJ79,4)),MATCH(MID(AJ79,4,3),{"Jan","Feb","Mar","Apr","May","Jun","Jul","Aug","Sep","Oct","Nov","Dec"},0),VALUE(LEFT(AJ79,2))))))</f>
        <v>45846</v>
      </c>
      <c r="C79" s="3" t="n">
        <f aca="false">IF(AK79="","",IF(ISNUMBER(SEARCH("/",AK79)),DATE(VALUE(RIGHT(AK79,4)),VALUE(LEFT(AK79,2)),VALUE(MID(AK79,4,2))),IF(ISNUMBER(SEARCH("-",AK79)),IF(LEN(LEFT(AK79,FIND("-",AK79)-1))=4,DATE(VALUE(LEFT(AK79,4)),VALUE(MID(AK79,6,2)),VALUE(RIGHT(AK79,2))),DATE(VALUE(RIGHT(AK79,4)),VALUE(MID(AK79,4,2)),VALUE(LEFT(AK79,2)))),DATE(VALUE(RIGHT(AK79,4)),MATCH(MID(AK79,4,3),{"Jan","Feb","Mar","Apr","May","Jun","Jul","Aug","Sep","Oct","Nov","Dec"},0),VALUE(LEFT(AK79,2))))))</f>
        <v>45850</v>
      </c>
      <c r="D79" s="4" t="s">
        <v>445</v>
      </c>
      <c r="E79" s="0" t="str">
        <f aca="false">PROPER(TRIM(AL79))</f>
        <v>Rohan Mehta</v>
      </c>
      <c r="F79" s="0" t="str">
        <f aca="false">PROPER(TRIM(AM79))</f>
        <v>Home Office</v>
      </c>
      <c r="G79" s="0" t="str">
        <f aca="false">IF(TRIM(AN79)="","Unknown",PROPER(TRIM(AN79)))</f>
        <v>North</v>
      </c>
      <c r="H79" s="0" t="str">
        <f aca="false">PROPER(TRIM(AO79))</f>
        <v>Uttar Pradesh</v>
      </c>
      <c r="I79" s="0" t="str">
        <f aca="false">PROPER(TRIM(AP79))</f>
        <v>Noida</v>
      </c>
      <c r="J79" s="0" t="str">
        <f aca="false">PROPER(TRIM(AQ79))</f>
        <v>Furniture</v>
      </c>
      <c r="K79" s="0" t="str">
        <f aca="false">PROPER(TRIM(AR79))</f>
        <v>Furnishings</v>
      </c>
      <c r="M79" s="0" t="str">
        <f aca="false">IF(TRIM(AS79)="","Unknown",PROPER(TRIM(AS79)))</f>
        <v>Standard Class</v>
      </c>
      <c r="N79" s="0" t="n">
        <v>1</v>
      </c>
      <c r="O79" s="0" t="n">
        <v>2582.2</v>
      </c>
      <c r="P79" s="5" t="n">
        <f aca="false">IF(AT79="","",IF(ISNUMBER(AT79),AT79,VALUE(SUBSTITUTE(AT79,"%",""))/100))</f>
        <v>0.15</v>
      </c>
      <c r="Q79" s="5" t="n">
        <f aca="false">IF(P79="",IF(AND(N79&lt;&gt;"",O79&lt;&gt;"",R79&lt;&gt;"",S79&lt;&gt;""),0,"REVIEW"),IF(OR(P79&lt;0,P79&gt;0.3),0,P79))</f>
        <v>0.15</v>
      </c>
      <c r="R79" s="0" t="n">
        <v>2194.87</v>
      </c>
      <c r="S79" s="0" t="n">
        <v>1223.17</v>
      </c>
      <c r="T79" s="6" t="n">
        <f aca="false">N79*O79*(1-Q79)</f>
        <v>2194.87</v>
      </c>
      <c r="U79" s="6" t="n">
        <f aca="false">T79-S79</f>
        <v>971.7</v>
      </c>
      <c r="V79" s="7" t="n">
        <f aca="false">IF(T79=0,0,U79/T79)</f>
        <v>0.442714147079326</v>
      </c>
      <c r="W79" s="4" t="n">
        <f aca="false">C79-B79</f>
        <v>4</v>
      </c>
      <c r="X79" s="0" t="str">
        <f aca="false">TEXT(B79,"mmmm")</f>
        <v>July</v>
      </c>
      <c r="Y79" s="4" t="n">
        <f aca="false">YEAR(B79)</f>
        <v>2025</v>
      </c>
      <c r="Z79" s="0" t="str">
        <f aca="false">PROPER(TRIM(AU79))</f>
        <v>Refunded</v>
      </c>
      <c r="AA79" s="0" t="str">
        <f aca="false">PROPER(TRIM(AV79))</f>
        <v>Cancelled</v>
      </c>
      <c r="AB79" s="0" t="str">
        <f aca="false">IF(TRIM(AN79)="","Yes","No")</f>
        <v>No</v>
      </c>
      <c r="AC79" s="0" t="str">
        <f aca="false">IF(TRIM(AS79)="","Yes","No")</f>
        <v>No</v>
      </c>
      <c r="AD79" s="0" t="str">
        <f aca="false">IF(AT79="","Yes","No")</f>
        <v>No</v>
      </c>
      <c r="AE79" s="0" t="str">
        <f aca="false">IF(W79&lt;0,"Yes","No")</f>
        <v>No</v>
      </c>
      <c r="AF79" s="0" t="str">
        <f aca="false">IF(P79="","No",IF(OR(P79&lt;0,P79&gt;0.3),"Yes","No"))</f>
        <v>No</v>
      </c>
      <c r="AG79" s="4" t="s">
        <v>50</v>
      </c>
      <c r="AH79" s="0" t="str">
        <f aca="false">IF(AND(AA79="Completed",Z79="Paid"),"Yes","No")</f>
        <v>No</v>
      </c>
      <c r="AI79" s="0" t="str">
        <f aca="false">IF(OR(AE79="Yes",AF79="Yes",AG79="Yes"),"Invalid",IF(OR(AB79="Yes",AC79="Yes",AD79="Yes"),"Warning","Clean"))</f>
        <v>Clean</v>
      </c>
      <c r="AJ79" s="4" t="s">
        <v>446</v>
      </c>
      <c r="AK79" s="4" t="s">
        <v>447</v>
      </c>
      <c r="AL79" s="4" t="s">
        <v>191</v>
      </c>
      <c r="AM79" s="4" t="s">
        <v>134</v>
      </c>
      <c r="AN79" s="4" t="s">
        <v>168</v>
      </c>
      <c r="AO79" s="4" t="s">
        <v>186</v>
      </c>
      <c r="AP79" s="4" t="s">
        <v>187</v>
      </c>
      <c r="AQ79" s="4" t="s">
        <v>72</v>
      </c>
      <c r="AR79" s="4" t="s">
        <v>90</v>
      </c>
      <c r="AS79" s="4" t="s">
        <v>91</v>
      </c>
      <c r="AT79" s="0" t="n">
        <v>0.15</v>
      </c>
      <c r="AU79" s="4" t="s">
        <v>141</v>
      </c>
      <c r="AV79" s="4" t="s">
        <v>101</v>
      </c>
    </row>
    <row r="80" customFormat="false" ht="15" hidden="false" customHeight="false" outlineLevel="0" collapsed="false">
      <c r="A80" s="0" t="s">
        <v>448</v>
      </c>
      <c r="B80" s="3" t="n">
        <f aca="false">IF(AJ80="","",IF(ISNUMBER(SEARCH("/",AJ80)),DATE(VALUE(RIGHT(AJ80,4)),VALUE(LEFT(AJ80,2)),VALUE(MID(AJ80,4,2))),IF(ISNUMBER(SEARCH("-",AJ80)),IF(LEN(LEFT(AJ80,FIND("-",AJ80)-1))=4,DATE(VALUE(LEFT(AJ80,4)),VALUE(MID(AJ80,6,2)),VALUE(RIGHT(AJ80,2))),DATE(VALUE(RIGHT(AJ80,4)),VALUE(MID(AJ80,4,2)),VALUE(LEFT(AJ80,2)))),DATE(VALUE(RIGHT(AJ80,4)),MATCH(MID(AJ80,4,3),{"Jan","Feb","Mar","Apr","May","Jun","Jul","Aug","Sep","Oct","Nov","Dec"},0),VALUE(LEFT(AJ80,2))))))</f>
        <v>45854</v>
      </c>
      <c r="C80" s="3" t="n">
        <f aca="false">IF(AK80="","",IF(ISNUMBER(SEARCH("/",AK80)),DATE(VALUE(RIGHT(AK80,4)),VALUE(LEFT(AK80,2)),VALUE(MID(AK80,4,2))),IF(ISNUMBER(SEARCH("-",AK80)),IF(LEN(LEFT(AK80,FIND("-",AK80)-1))=4,DATE(VALUE(LEFT(AK80,4)),VALUE(MID(AK80,6,2)),VALUE(RIGHT(AK80,2))),DATE(VALUE(RIGHT(AK80,4)),VALUE(MID(AK80,4,2)),VALUE(LEFT(AK80,2)))),DATE(VALUE(RIGHT(AK80,4)),MATCH(MID(AK80,4,3),{"Jan","Feb","Mar","Apr","May","Jun","Jul","Aug","Sep","Oct","Nov","Dec"},0),VALUE(LEFT(AK80,2))))))</f>
        <v>45859</v>
      </c>
      <c r="D80" s="4" t="s">
        <v>449</v>
      </c>
      <c r="E80" s="0" t="str">
        <f aca="false">PROPER(TRIM(AL80))</f>
        <v>Sneha Kapoor</v>
      </c>
      <c r="F80" s="0" t="str">
        <f aca="false">PROPER(TRIM(AM80))</f>
        <v>Corporate</v>
      </c>
      <c r="G80" s="0" t="str">
        <f aca="false">IF(TRIM(AN80)="","Unknown",PROPER(TRIM(AN80)))</f>
        <v>East</v>
      </c>
      <c r="H80" s="0" t="str">
        <f aca="false">PROPER(TRIM(AO80))</f>
        <v>West Bengal</v>
      </c>
      <c r="I80" s="0" t="str">
        <f aca="false">PROPER(TRIM(AP80))</f>
        <v>Kolkata</v>
      </c>
      <c r="J80" s="0" t="str">
        <f aca="false">PROPER(TRIM(AQ80))</f>
        <v>Furniture</v>
      </c>
      <c r="K80" s="0" t="str">
        <f aca="false">PROPER(TRIM(AR80))</f>
        <v>Tables</v>
      </c>
      <c r="M80" s="0" t="str">
        <f aca="false">IF(TRIM(AS80)="","Unknown",PROPER(TRIM(AS80)))</f>
        <v>First Class</v>
      </c>
      <c r="N80" s="0" t="n">
        <v>5</v>
      </c>
      <c r="O80" s="0" t="n">
        <v>2129.51</v>
      </c>
      <c r="P80" s="5" t="n">
        <f aca="false">IF(AT80="","",IF(ISNUMBER(AT80),AT80,VALUE(SUBSTITUTE(AT80,"%",""))/100))</f>
        <v>0.15</v>
      </c>
      <c r="Q80" s="5" t="n">
        <f aca="false">IF(P80="",IF(AND(N80&lt;&gt;"",O80&lt;&gt;"",R80&lt;&gt;"",S80&lt;&gt;""),0,"REVIEW"),IF(OR(P80&lt;0,P80&gt;0.3),0,P80))</f>
        <v>0.15</v>
      </c>
      <c r="R80" s="0" t="n">
        <v>9050.42</v>
      </c>
      <c r="S80" s="0" t="n">
        <v>6778.85</v>
      </c>
      <c r="T80" s="6" t="n">
        <f aca="false">N80*O80*(1-Q80)</f>
        <v>9050.4175</v>
      </c>
      <c r="U80" s="6" t="n">
        <f aca="false">T80-S80</f>
        <v>2271.5675</v>
      </c>
      <c r="V80" s="7" t="n">
        <f aca="false">IF(T80=0,0,U80/T80)</f>
        <v>0.250990354864845</v>
      </c>
      <c r="W80" s="4" t="n">
        <f aca="false">C80-B80</f>
        <v>5</v>
      </c>
      <c r="X80" s="0" t="str">
        <f aca="false">TEXT(B80,"mmmm")</f>
        <v>July</v>
      </c>
      <c r="Y80" s="4" t="n">
        <f aca="false">YEAR(B80)</f>
        <v>2025</v>
      </c>
      <c r="Z80" s="0" t="str">
        <f aca="false">PROPER(TRIM(AU80))</f>
        <v>Paid</v>
      </c>
      <c r="AA80" s="0" t="str">
        <f aca="false">PROPER(TRIM(AV80))</f>
        <v>Completed</v>
      </c>
      <c r="AB80" s="0" t="str">
        <f aca="false">IF(TRIM(AN80)="","Yes","No")</f>
        <v>No</v>
      </c>
      <c r="AC80" s="0" t="str">
        <f aca="false">IF(TRIM(AS80)="","Yes","No")</f>
        <v>No</v>
      </c>
      <c r="AD80" s="0" t="str">
        <f aca="false">IF(AT80="","Yes","No")</f>
        <v>No</v>
      </c>
      <c r="AE80" s="0" t="str">
        <f aca="false">IF(W80&lt;0,"Yes","No")</f>
        <v>No</v>
      </c>
      <c r="AF80" s="0" t="str">
        <f aca="false">IF(P80="","No",IF(OR(P80&lt;0,P80&gt;0.3),"Yes","No"))</f>
        <v>No</v>
      </c>
      <c r="AG80" s="4" t="s">
        <v>50</v>
      </c>
      <c r="AH80" s="0" t="str">
        <f aca="false">IF(AND(AA80="Completed",Z80="Paid"),"Yes","No")</f>
        <v>Yes</v>
      </c>
      <c r="AI80" s="0" t="str">
        <f aca="false">IF(OR(AE80="Yes",AF80="Yes",AG80="Yes"),"Invalid",IF(OR(AB80="Yes",AC80="Yes",AD80="Yes"),"Warning","Clean"))</f>
        <v>Clean</v>
      </c>
      <c r="AJ80" s="4" t="s">
        <v>450</v>
      </c>
      <c r="AK80" s="4" t="s">
        <v>451</v>
      </c>
      <c r="AL80" s="4" t="s">
        <v>181</v>
      </c>
      <c r="AM80" s="4" t="s">
        <v>128</v>
      </c>
      <c r="AN80" s="4" t="s">
        <v>69</v>
      </c>
      <c r="AO80" s="4" t="s">
        <v>139</v>
      </c>
      <c r="AP80" s="4" t="s">
        <v>140</v>
      </c>
      <c r="AQ80" s="4" t="s">
        <v>72</v>
      </c>
      <c r="AR80" s="4" t="s">
        <v>73</v>
      </c>
      <c r="AS80" s="4" t="s">
        <v>81</v>
      </c>
      <c r="AT80" s="0" t="n">
        <v>0.15</v>
      </c>
      <c r="AU80" s="4" t="s">
        <v>61</v>
      </c>
      <c r="AV80" s="4" t="s">
        <v>62</v>
      </c>
    </row>
    <row r="81" customFormat="false" ht="15" hidden="false" customHeight="false" outlineLevel="0" collapsed="false">
      <c r="A81" s="0" t="s">
        <v>452</v>
      </c>
      <c r="B81" s="3" t="n">
        <f aca="false">IF(AJ81="","",IF(ISNUMBER(SEARCH("/",AJ81)),DATE(VALUE(RIGHT(AJ81,4)),VALUE(LEFT(AJ81,2)),VALUE(MID(AJ81,4,2))),IF(ISNUMBER(SEARCH("-",AJ81)),IF(LEN(LEFT(AJ81,FIND("-",AJ81)-1))=4,DATE(VALUE(LEFT(AJ81,4)),VALUE(MID(AJ81,6,2)),VALUE(RIGHT(AJ81,2))),DATE(VALUE(RIGHT(AJ81,4)),VALUE(MID(AJ81,4,2)),VALUE(LEFT(AJ81,2)))),DATE(VALUE(RIGHT(AJ81,4)),MATCH(MID(AJ81,4,3),{"Jan","Feb","Mar","Apr","May","Jun","Jul","Aug","Sep","Oct","Nov","Dec"},0),VALUE(LEFT(AJ81,2))))))</f>
        <v>45927</v>
      </c>
      <c r="C81" s="3" t="n">
        <f aca="false">IF(AK81="","",IF(ISNUMBER(SEARCH("/",AK81)),DATE(VALUE(RIGHT(AK81,4)),VALUE(LEFT(AK81,2)),VALUE(MID(AK81,4,2))),IF(ISNUMBER(SEARCH("-",AK81)),IF(LEN(LEFT(AK81,FIND("-",AK81)-1))=4,DATE(VALUE(LEFT(AK81,4)),VALUE(MID(AK81,6,2)),VALUE(RIGHT(AK81,2))),DATE(VALUE(RIGHT(AK81,4)),VALUE(MID(AK81,4,2)),VALUE(LEFT(AK81,2)))),DATE(VALUE(RIGHT(AK81,4)),MATCH(MID(AK81,4,3),{"Jan","Feb","Mar","Apr","May","Jun","Jul","Aug","Sep","Oct","Nov","Dec"},0),VALUE(LEFT(AK81,2))))))</f>
        <v>45933</v>
      </c>
      <c r="D81" s="4" t="s">
        <v>453</v>
      </c>
      <c r="E81" s="0" t="str">
        <f aca="false">PROPER(TRIM(AL81))</f>
        <v>Diya Patel</v>
      </c>
      <c r="F81" s="0" t="str">
        <f aca="false">PROPER(TRIM(AM81))</f>
        <v>Home Office</v>
      </c>
      <c r="G81" s="0" t="str">
        <f aca="false">IF(TRIM(AN81)="","Unknown",PROPER(TRIM(AN81)))</f>
        <v>South</v>
      </c>
      <c r="H81" s="0" t="str">
        <f aca="false">PROPER(TRIM(AO81))</f>
        <v>Tamil Nadu</v>
      </c>
      <c r="I81" s="0" t="str">
        <f aca="false">PROPER(TRIM(AP81))</f>
        <v>Chennai</v>
      </c>
      <c r="J81" s="0" t="str">
        <f aca="false">PROPER(TRIM(AQ81))</f>
        <v>Furniture</v>
      </c>
      <c r="K81" s="0" t="str">
        <f aca="false">PROPER(TRIM(AR81))</f>
        <v>Chairs</v>
      </c>
      <c r="M81" s="0" t="str">
        <f aca="false">IF(TRIM(AS81)="","Unknown",PROPER(TRIM(AS81)))</f>
        <v>Same Day</v>
      </c>
      <c r="N81" s="0" t="n">
        <v>9</v>
      </c>
      <c r="O81" s="0" t="n">
        <v>4131.52</v>
      </c>
      <c r="P81" s="5" t="n">
        <f aca="false">IF(AT81="","",IF(ISNUMBER(AT81),AT81,VALUE(SUBSTITUTE(AT81,"%",""))/100))</f>
        <v>0.1</v>
      </c>
      <c r="Q81" s="5" t="n">
        <f aca="false">IF(P81="",IF(AND(N81&lt;&gt;"",O81&lt;&gt;"",R81&lt;&gt;"",S81&lt;&gt;""),0,"REVIEW"),IF(OR(P81&lt;0,P81&gt;0.3),0,P81))</f>
        <v>0.1</v>
      </c>
      <c r="R81" s="0" t="n">
        <v>33465.31</v>
      </c>
      <c r="S81" s="0" t="n">
        <v>24781.26</v>
      </c>
      <c r="T81" s="6" t="n">
        <f aca="false">N81*O81*(1-Q81)</f>
        <v>33465.312</v>
      </c>
      <c r="U81" s="6" t="n">
        <f aca="false">T81-S81</f>
        <v>8684.05200000001</v>
      </c>
      <c r="V81" s="7" t="n">
        <f aca="false">IF(T81=0,0,U81/T81)</f>
        <v>0.259494129324119</v>
      </c>
      <c r="W81" s="4" t="n">
        <f aca="false">C81-B81</f>
        <v>6</v>
      </c>
      <c r="X81" s="0" t="str">
        <f aca="false">TEXT(B81,"mmmm")</f>
        <v>September</v>
      </c>
      <c r="Y81" s="4" t="n">
        <f aca="false">YEAR(B81)</f>
        <v>2025</v>
      </c>
      <c r="Z81" s="0" t="str">
        <f aca="false">PROPER(TRIM(AU81))</f>
        <v>Paid</v>
      </c>
      <c r="AA81" s="0" t="str">
        <f aca="false">PROPER(TRIM(AV81))</f>
        <v>Completed</v>
      </c>
      <c r="AB81" s="0" t="str">
        <f aca="false">IF(TRIM(AN81)="","Yes","No")</f>
        <v>No</v>
      </c>
      <c r="AC81" s="0" t="str">
        <f aca="false">IF(TRIM(AS81)="","Yes","No")</f>
        <v>No</v>
      </c>
      <c r="AD81" s="0" t="str">
        <f aca="false">IF(AT81="","Yes","No")</f>
        <v>No</v>
      </c>
      <c r="AE81" s="0" t="str">
        <f aca="false">IF(W81&lt;0,"Yes","No")</f>
        <v>No</v>
      </c>
      <c r="AF81" s="0" t="str">
        <f aca="false">IF(P81="","No",IF(OR(P81&lt;0,P81&gt;0.3),"Yes","No"))</f>
        <v>No</v>
      </c>
      <c r="AG81" s="4" t="s">
        <v>50</v>
      </c>
      <c r="AH81" s="0" t="str">
        <f aca="false">IF(AND(AA81="Completed",Z81="Paid"),"Yes","No")</f>
        <v>Yes</v>
      </c>
      <c r="AI81" s="0" t="str">
        <f aca="false">IF(OR(AE81="Yes",AF81="Yes",AG81="Yes"),"Invalid",IF(OR(AB81="Yes",AC81="Yes",AD81="Yes"),"Warning","Clean"))</f>
        <v>Clean</v>
      </c>
      <c r="AJ81" s="4" t="s">
        <v>454</v>
      </c>
      <c r="AK81" s="4" t="s">
        <v>455</v>
      </c>
      <c r="AL81" s="4" t="s">
        <v>216</v>
      </c>
      <c r="AM81" s="4" t="s">
        <v>134</v>
      </c>
      <c r="AN81" s="4" t="s">
        <v>87</v>
      </c>
      <c r="AO81" s="4" t="s">
        <v>323</v>
      </c>
      <c r="AP81" s="4" t="s">
        <v>324</v>
      </c>
      <c r="AQ81" s="4" t="s">
        <v>456</v>
      </c>
      <c r="AR81" s="4" t="s">
        <v>100</v>
      </c>
      <c r="AS81" s="4" t="s">
        <v>74</v>
      </c>
      <c r="AT81" s="0" t="n">
        <v>0.1</v>
      </c>
      <c r="AU81" s="4" t="s">
        <v>61</v>
      </c>
      <c r="AV81" s="4" t="s">
        <v>62</v>
      </c>
    </row>
    <row r="82" customFormat="false" ht="15" hidden="false" customHeight="false" outlineLevel="0" collapsed="false">
      <c r="A82" s="0" t="s">
        <v>457</v>
      </c>
      <c r="B82" s="3" t="n">
        <f aca="false">IF(AJ82="","",IF(ISNUMBER(SEARCH("/",AJ82)),DATE(VALUE(RIGHT(AJ82,4)),VALUE(LEFT(AJ82,2)),VALUE(MID(AJ82,4,2))),IF(ISNUMBER(SEARCH("-",AJ82)),IF(LEN(LEFT(AJ82,FIND("-",AJ82)-1))=4,DATE(VALUE(LEFT(AJ82,4)),VALUE(MID(AJ82,6,2)),VALUE(RIGHT(AJ82,2))),DATE(VALUE(RIGHT(AJ82,4)),VALUE(MID(AJ82,4,2)),VALUE(LEFT(AJ82,2)))),DATE(VALUE(RIGHT(AJ82,4)),MATCH(MID(AJ82,4,3),{"Jan","Feb","Mar","Apr","May","Jun","Jul","Aug","Sep","Oct","Nov","Dec"},0),VALUE(LEFT(AJ82,2))))))</f>
        <v>45514</v>
      </c>
      <c r="C82" s="3" t="n">
        <f aca="false">IF(AK82="","",IF(ISNUMBER(SEARCH("/",AK82)),DATE(VALUE(RIGHT(AK82,4)),VALUE(LEFT(AK82,2)),VALUE(MID(AK82,4,2))),IF(ISNUMBER(SEARCH("-",AK82)),IF(LEN(LEFT(AK82,FIND("-",AK82)-1))=4,DATE(VALUE(LEFT(AK82,4)),VALUE(MID(AK82,6,2)),VALUE(RIGHT(AK82,2))),DATE(VALUE(RIGHT(AK82,4)),VALUE(MID(AK82,4,2)),VALUE(LEFT(AK82,2)))),DATE(VALUE(RIGHT(AK82,4)),MATCH(MID(AK82,4,3),{"Jan","Feb","Mar","Apr","May","Jun","Jul","Aug","Sep","Oct","Nov","Dec"},0),VALUE(LEFT(AK82,2))))))</f>
        <v>45518</v>
      </c>
      <c r="D82" s="4" t="s">
        <v>458</v>
      </c>
      <c r="E82" s="0" t="str">
        <f aca="false">PROPER(TRIM(AL82))</f>
        <v>Aarav Sharma</v>
      </c>
      <c r="F82" s="0" t="str">
        <f aca="false">PROPER(TRIM(AM82))</f>
        <v>Small Business</v>
      </c>
      <c r="G82" s="0" t="str">
        <f aca="false">IF(TRIM(AN82)="","Unknown",PROPER(TRIM(AN82)))</f>
        <v>North</v>
      </c>
      <c r="H82" s="0" t="str">
        <f aca="false">PROPER(TRIM(AO82))</f>
        <v>Delhi</v>
      </c>
      <c r="I82" s="0" t="str">
        <f aca="false">PROPER(TRIM(AP82))</f>
        <v>New Delhi</v>
      </c>
      <c r="J82" s="0" t="str">
        <f aca="false">PROPER(TRIM(AQ82))</f>
        <v>Office Supplies</v>
      </c>
      <c r="K82" s="0" t="str">
        <f aca="false">PROPER(TRIM(AR82))</f>
        <v>Storage</v>
      </c>
      <c r="M82" s="0" t="str">
        <f aca="false">IF(TRIM(AS82)="","Unknown",PROPER(TRIM(AS82)))</f>
        <v>Second Class</v>
      </c>
      <c r="N82" s="0" t="n">
        <v>4</v>
      </c>
      <c r="O82" s="0" t="n">
        <v>1182.32</v>
      </c>
      <c r="P82" s="5" t="n">
        <f aca="false">IF(AT82="","",IF(ISNUMBER(AT82),AT82,VALUE(SUBSTITUTE(AT82,"%",""))/100))</f>
        <v>0.1</v>
      </c>
      <c r="Q82" s="5" t="n">
        <f aca="false">IF(P82="",IF(AND(N82&lt;&gt;"",O82&lt;&gt;"",R82&lt;&gt;"",S82&lt;&gt;""),0,"REVIEW"),IF(OR(P82&lt;0,P82&gt;0.3),0,P82))</f>
        <v>0.1</v>
      </c>
      <c r="R82" s="0" t="n">
        <v>4256.35</v>
      </c>
      <c r="S82" s="0" t="n">
        <v>2495.33</v>
      </c>
      <c r="T82" s="6" t="n">
        <f aca="false">N82*O82*(1-Q82)</f>
        <v>4256.352</v>
      </c>
      <c r="U82" s="6" t="n">
        <f aca="false">T82-S82</f>
        <v>1761.022</v>
      </c>
      <c r="V82" s="7" t="n">
        <f aca="false">IF(T82=0,0,U82/T82)</f>
        <v>0.413739747088587</v>
      </c>
      <c r="W82" s="4" t="n">
        <f aca="false">C82-B82</f>
        <v>4</v>
      </c>
      <c r="X82" s="0" t="str">
        <f aca="false">TEXT(B82,"mmmm")</f>
        <v>August</v>
      </c>
      <c r="Y82" s="4" t="n">
        <f aca="false">YEAR(B82)</f>
        <v>2024</v>
      </c>
      <c r="Z82" s="0" t="str">
        <f aca="false">PROPER(TRIM(AU82))</f>
        <v>Pending</v>
      </c>
      <c r="AA82" s="0" t="str">
        <f aca="false">PROPER(TRIM(AV82))</f>
        <v>Returned</v>
      </c>
      <c r="AB82" s="0" t="str">
        <f aca="false">IF(TRIM(AN82)="","Yes","No")</f>
        <v>No</v>
      </c>
      <c r="AC82" s="0" t="str">
        <f aca="false">IF(TRIM(AS82)="","Yes","No")</f>
        <v>No</v>
      </c>
      <c r="AD82" s="0" t="str">
        <f aca="false">IF(AT82="","Yes","No")</f>
        <v>No</v>
      </c>
      <c r="AE82" s="0" t="str">
        <f aca="false">IF(W82&lt;0,"Yes","No")</f>
        <v>No</v>
      </c>
      <c r="AF82" s="0" t="str">
        <f aca="false">IF(P82="","No",IF(OR(P82&lt;0,P82&gt;0.3),"Yes","No"))</f>
        <v>No</v>
      </c>
      <c r="AG82" s="4" t="s">
        <v>50</v>
      </c>
      <c r="AH82" s="0" t="str">
        <f aca="false">IF(AND(AA82="Completed",Z82="Paid"),"Yes","No")</f>
        <v>No</v>
      </c>
      <c r="AI82" s="0" t="str">
        <f aca="false">IF(OR(AE82="Yes",AF82="Yes",AG82="Yes"),"Invalid",IF(OR(AB82="Yes",AC82="Yes",AD82="Yes"),"Warning","Clean"))</f>
        <v>Clean</v>
      </c>
      <c r="AJ82" s="4" t="s">
        <v>459</v>
      </c>
      <c r="AK82" s="4" t="s">
        <v>460</v>
      </c>
      <c r="AL82" s="4" t="s">
        <v>176</v>
      </c>
      <c r="AM82" s="4" t="s">
        <v>68</v>
      </c>
      <c r="AN82" s="4" t="s">
        <v>168</v>
      </c>
      <c r="AO82" s="4" t="s">
        <v>461</v>
      </c>
      <c r="AP82" s="4" t="s">
        <v>462</v>
      </c>
      <c r="AQ82" s="4" t="s">
        <v>58</v>
      </c>
      <c r="AR82" s="4" t="s">
        <v>171</v>
      </c>
      <c r="AS82" s="4" t="s">
        <v>60</v>
      </c>
      <c r="AT82" s="0" t="n">
        <v>0.1</v>
      </c>
      <c r="AU82" s="4" t="s">
        <v>153</v>
      </c>
      <c r="AV82" s="4" t="s">
        <v>142</v>
      </c>
    </row>
    <row r="83" customFormat="false" ht="15" hidden="false" customHeight="false" outlineLevel="0" collapsed="false">
      <c r="A83" s="0" t="s">
        <v>463</v>
      </c>
      <c r="B83" s="3" t="n">
        <f aca="false">IF(AJ83="","",IF(ISNUMBER(SEARCH("/",AJ83)),DATE(VALUE(RIGHT(AJ83,4)),VALUE(LEFT(AJ83,2)),VALUE(MID(AJ83,4,2))),IF(ISNUMBER(SEARCH("-",AJ83)),IF(LEN(LEFT(AJ83,FIND("-",AJ83)-1))=4,DATE(VALUE(LEFT(AJ83,4)),VALUE(MID(AJ83,6,2)),VALUE(RIGHT(AJ83,2))),DATE(VALUE(RIGHT(AJ83,4)),VALUE(MID(AJ83,4,2)),VALUE(LEFT(AJ83,2)))),DATE(VALUE(RIGHT(AJ83,4)),MATCH(MID(AJ83,4,3),{"Jan","Feb","Mar","Apr","May","Jun","Jul","Aug","Sep","Oct","Nov","Dec"},0),VALUE(LEFT(AJ83,2))))))</f>
        <v>45732</v>
      </c>
      <c r="C83" s="3" t="n">
        <f aca="false">IF(AK83="","",IF(ISNUMBER(SEARCH("/",AK83)),DATE(VALUE(RIGHT(AK83,4)),VALUE(LEFT(AK83,2)),VALUE(MID(AK83,4,2))),IF(ISNUMBER(SEARCH("-",AK83)),IF(LEN(LEFT(AK83,FIND("-",AK83)-1))=4,DATE(VALUE(LEFT(AK83,4)),VALUE(MID(AK83,6,2)),VALUE(RIGHT(AK83,2))),DATE(VALUE(RIGHT(AK83,4)),VALUE(MID(AK83,4,2)),VALUE(LEFT(AK83,2)))),DATE(VALUE(RIGHT(AK83,4)),MATCH(MID(AK83,4,3),{"Jan","Feb","Mar","Apr","May","Jun","Jul","Aug","Sep","Oct","Nov","Dec"},0),VALUE(LEFT(AK83,2))))))</f>
        <v>45733</v>
      </c>
      <c r="D83" s="4" t="s">
        <v>464</v>
      </c>
      <c r="E83" s="0" t="str">
        <f aca="false">PROPER(TRIM(AL83))</f>
        <v>Karan Malhotra</v>
      </c>
      <c r="F83" s="0" t="str">
        <f aca="false">PROPER(TRIM(AM83))</f>
        <v>Home Office</v>
      </c>
      <c r="G83" s="0" t="str">
        <f aca="false">IF(TRIM(AN83)="","Unknown",PROPER(TRIM(AN83)))</f>
        <v>West</v>
      </c>
      <c r="H83" s="0" t="str">
        <f aca="false">PROPER(TRIM(AO83))</f>
        <v>Goa</v>
      </c>
      <c r="I83" s="0" t="str">
        <f aca="false">PROPER(TRIM(AP83))</f>
        <v>Panaji</v>
      </c>
      <c r="J83" s="0" t="str">
        <f aca="false">PROPER(TRIM(AQ83))</f>
        <v>Office Supplies</v>
      </c>
      <c r="K83" s="0" t="str">
        <f aca="false">PROPER(TRIM(AR83))</f>
        <v>Labels</v>
      </c>
      <c r="M83" s="0" t="str">
        <f aca="false">IF(TRIM(AS83)="","Unknown",PROPER(TRIM(AS83)))</f>
        <v>Same Day</v>
      </c>
      <c r="N83" s="0" t="n">
        <v>3</v>
      </c>
      <c r="O83" s="0" t="n">
        <v>1841.91</v>
      </c>
      <c r="P83" s="5" t="n">
        <f aca="false">IF(AT83="","",IF(ISNUMBER(AT83),AT83,VALUE(SUBSTITUTE(AT83,"%",""))/100))</f>
        <v>0</v>
      </c>
      <c r="Q83" s="5" t="n">
        <f aca="false">IF(P83="",IF(AND(N83&lt;&gt;"",O83&lt;&gt;"",R83&lt;&gt;"",S83&lt;&gt;""),0,"REVIEW"),IF(OR(P83&lt;0,P83&gt;0.3),0,P83))</f>
        <v>0</v>
      </c>
      <c r="R83" s="0" t="n">
        <v>5525.73</v>
      </c>
      <c r="S83" s="0" t="n">
        <v>3093.42</v>
      </c>
      <c r="T83" s="6" t="n">
        <f aca="false">N83*O83*(1-Q83)</f>
        <v>5525.73</v>
      </c>
      <c r="U83" s="6" t="n">
        <f aca="false">T83-S83</f>
        <v>2432.31</v>
      </c>
      <c r="V83" s="7" t="n">
        <f aca="false">IF(T83=0,0,U83/T83)</f>
        <v>0.440178944682422</v>
      </c>
      <c r="W83" s="4" t="n">
        <f aca="false">C83-B83</f>
        <v>1</v>
      </c>
      <c r="X83" s="0" t="str">
        <f aca="false">TEXT(B83,"mmmm")</f>
        <v>March</v>
      </c>
      <c r="Y83" s="4" t="n">
        <f aca="false">YEAR(B83)</f>
        <v>2025</v>
      </c>
      <c r="Z83" s="0" t="str">
        <f aca="false">PROPER(TRIM(AU83))</f>
        <v>Paid</v>
      </c>
      <c r="AA83" s="0" t="str">
        <f aca="false">PROPER(TRIM(AV83))</f>
        <v>Completed</v>
      </c>
      <c r="AB83" s="0" t="str">
        <f aca="false">IF(TRIM(AN83)="","Yes","No")</f>
        <v>No</v>
      </c>
      <c r="AC83" s="0" t="str">
        <f aca="false">IF(TRIM(AS83)="","Yes","No")</f>
        <v>No</v>
      </c>
      <c r="AD83" s="0" t="str">
        <f aca="false">IF(AT83="","Yes","No")</f>
        <v>No</v>
      </c>
      <c r="AE83" s="0" t="str">
        <f aca="false">IF(W83&lt;0,"Yes","No")</f>
        <v>No</v>
      </c>
      <c r="AF83" s="0" t="str">
        <f aca="false">IF(P83="","No",IF(OR(P83&lt;0,P83&gt;0.3),"Yes","No"))</f>
        <v>No</v>
      </c>
      <c r="AG83" s="4" t="s">
        <v>50</v>
      </c>
      <c r="AH83" s="0" t="str">
        <f aca="false">IF(AND(AA83="Completed",Z83="Paid"),"Yes","No")</f>
        <v>Yes</v>
      </c>
      <c r="AI83" s="0" t="str">
        <f aca="false">IF(OR(AE83="Yes",AF83="Yes",AG83="Yes"),"Invalid",IF(OR(AB83="Yes",AC83="Yes",AD83="Yes"),"Warning","Clean"))</f>
        <v>Clean</v>
      </c>
      <c r="AJ83" s="4" t="s">
        <v>465</v>
      </c>
      <c r="AK83" s="4" t="s">
        <v>466</v>
      </c>
      <c r="AL83" s="4" t="s">
        <v>53</v>
      </c>
      <c r="AM83" s="4" t="s">
        <v>134</v>
      </c>
      <c r="AN83" s="4" t="s">
        <v>97</v>
      </c>
      <c r="AO83" s="4" t="s">
        <v>250</v>
      </c>
      <c r="AP83" s="4" t="s">
        <v>251</v>
      </c>
      <c r="AQ83" s="4" t="s">
        <v>58</v>
      </c>
      <c r="AR83" s="4" t="s">
        <v>129</v>
      </c>
      <c r="AS83" s="4" t="s">
        <v>74</v>
      </c>
      <c r="AT83" s="0" t="n">
        <v>0</v>
      </c>
      <c r="AU83" s="4" t="s">
        <v>61</v>
      </c>
      <c r="AV83" s="4" t="s">
        <v>62</v>
      </c>
    </row>
    <row r="84" customFormat="false" ht="15" hidden="false" customHeight="false" outlineLevel="0" collapsed="false">
      <c r="A84" s="0" t="s">
        <v>467</v>
      </c>
      <c r="B84" s="3" t="n">
        <f aca="false">IF(AJ84="","",IF(ISNUMBER(SEARCH("/",AJ84)),DATE(VALUE(RIGHT(AJ84,4)),VALUE(LEFT(AJ84,2)),VALUE(MID(AJ84,4,2))),IF(ISNUMBER(SEARCH("-",AJ84)),IF(LEN(LEFT(AJ84,FIND("-",AJ84)-1))=4,DATE(VALUE(LEFT(AJ84,4)),VALUE(MID(AJ84,6,2)),VALUE(RIGHT(AJ84,2))),DATE(VALUE(RIGHT(AJ84,4)),VALUE(MID(AJ84,4,2)),VALUE(LEFT(AJ84,2)))),DATE(VALUE(RIGHT(AJ84,4)),MATCH(MID(AJ84,4,3),{"Jan","Feb","Mar","Apr","May","Jun","Jul","Aug","Sep","Oct","Nov","Dec"},0),VALUE(LEFT(AJ84,2))))))</f>
        <v>45507</v>
      </c>
      <c r="C84" s="3" t="n">
        <f aca="false">IF(AK84="","",IF(ISNUMBER(SEARCH("/",AK84)),DATE(VALUE(RIGHT(AK84,4)),VALUE(LEFT(AK84,2)),VALUE(MID(AK84,4,2))),IF(ISNUMBER(SEARCH("-",AK84)),IF(LEN(LEFT(AK84,FIND("-",AK84)-1))=4,DATE(VALUE(LEFT(AK84,4)),VALUE(MID(AK84,6,2)),VALUE(RIGHT(AK84,2))),DATE(VALUE(RIGHT(AK84,4)),VALUE(MID(AK84,4,2)),VALUE(LEFT(AK84,2)))),DATE(VALUE(RIGHT(AK84,4)),MATCH(MID(AK84,4,3),{"Jan","Feb","Mar","Apr","May","Jun","Jul","Aug","Sep","Oct","Nov","Dec"},0),VALUE(LEFT(AK84,2))))))</f>
        <v>45508</v>
      </c>
      <c r="D84" s="4" t="s">
        <v>468</v>
      </c>
      <c r="E84" s="0" t="str">
        <f aca="false">PROPER(TRIM(AL84))</f>
        <v>Arjun Bose</v>
      </c>
      <c r="F84" s="0" t="str">
        <f aca="false">PROPER(TRIM(AM84))</f>
        <v>Consumer</v>
      </c>
      <c r="G84" s="0" t="str">
        <f aca="false">IF(TRIM(AN84)="","Unknown",PROPER(TRIM(AN84)))</f>
        <v>North</v>
      </c>
      <c r="H84" s="0" t="str">
        <f aca="false">PROPER(TRIM(AO84))</f>
        <v>Uttar Pradesh</v>
      </c>
      <c r="I84" s="0" t="str">
        <f aca="false">PROPER(TRIM(AP84))</f>
        <v>Noida</v>
      </c>
      <c r="J84" s="0" t="str">
        <f aca="false">PROPER(TRIM(AQ84))</f>
        <v>Technology</v>
      </c>
      <c r="K84" s="0" t="str">
        <f aca="false">PROPER(TRIM(AR84))</f>
        <v>Copiers</v>
      </c>
      <c r="M84" s="0" t="str">
        <f aca="false">IF(TRIM(AS84)="","Unknown",PROPER(TRIM(AS84)))</f>
        <v>Second Class</v>
      </c>
      <c r="N84" s="0" t="n">
        <v>6</v>
      </c>
      <c r="O84" s="0" t="n">
        <v>1001.73</v>
      </c>
      <c r="P84" s="5" t="n">
        <f aca="false">IF(AT84="","",IF(ISNUMBER(AT84),AT84,VALUE(SUBSTITUTE(AT84,"%",""))/100))</f>
        <v>0</v>
      </c>
      <c r="Q84" s="5" t="n">
        <f aca="false">IF(P84="",IF(AND(N84&lt;&gt;"",O84&lt;&gt;"",R84&lt;&gt;"",S84&lt;&gt;""),0,"REVIEW"),IF(OR(P84&lt;0,P84&gt;0.3),0,P84))</f>
        <v>0</v>
      </c>
      <c r="R84" s="0" t="n">
        <v>6010.38</v>
      </c>
      <c r="S84" s="0" t="n">
        <v>3762.85</v>
      </c>
      <c r="T84" s="6" t="n">
        <f aca="false">N84*O84*(1-Q84)</f>
        <v>6010.38</v>
      </c>
      <c r="U84" s="6" t="n">
        <f aca="false">T84-S84</f>
        <v>2247.53</v>
      </c>
      <c r="V84" s="7" t="n">
        <f aca="false">IF(T84=0,0,U84/T84)</f>
        <v>0.373941414685927</v>
      </c>
      <c r="W84" s="4" t="n">
        <f aca="false">C84-B84</f>
        <v>1</v>
      </c>
      <c r="X84" s="0" t="str">
        <f aca="false">TEXT(B84,"mmmm")</f>
        <v>August</v>
      </c>
      <c r="Y84" s="4" t="n">
        <f aca="false">YEAR(B84)</f>
        <v>2024</v>
      </c>
      <c r="Z84" s="0" t="str">
        <f aca="false">PROPER(TRIM(AU84))</f>
        <v>Failed</v>
      </c>
      <c r="AA84" s="0" t="str">
        <f aca="false">PROPER(TRIM(AV84))</f>
        <v>Returned</v>
      </c>
      <c r="AB84" s="0" t="str">
        <f aca="false">IF(TRIM(AN84)="","Yes","No")</f>
        <v>No</v>
      </c>
      <c r="AC84" s="0" t="str">
        <f aca="false">IF(TRIM(AS84)="","Yes","No")</f>
        <v>No</v>
      </c>
      <c r="AD84" s="0" t="str">
        <f aca="false">IF(AT84="","Yes","No")</f>
        <v>No</v>
      </c>
      <c r="AE84" s="0" t="str">
        <f aca="false">IF(W84&lt;0,"Yes","No")</f>
        <v>No</v>
      </c>
      <c r="AF84" s="0" t="str">
        <f aca="false">IF(P84="","No",IF(OR(P84&lt;0,P84&gt;0.3),"Yes","No"))</f>
        <v>No</v>
      </c>
      <c r="AG84" s="4" t="s">
        <v>50</v>
      </c>
      <c r="AH84" s="0" t="str">
        <f aca="false">IF(AND(AA84="Completed",Z84="Paid"),"Yes","No")</f>
        <v>No</v>
      </c>
      <c r="AI84" s="0" t="str">
        <f aca="false">IF(OR(AE84="Yes",AF84="Yes",AG84="Yes"),"Invalid",IF(OR(AB84="Yes",AC84="Yes",AD84="Yes"),"Warning","Clean"))</f>
        <v>Clean</v>
      </c>
      <c r="AJ84" s="4" t="s">
        <v>469</v>
      </c>
      <c r="AK84" s="4" t="s">
        <v>470</v>
      </c>
      <c r="AL84" s="4" t="s">
        <v>86</v>
      </c>
      <c r="AM84" s="4" t="s">
        <v>54</v>
      </c>
      <c r="AN84" s="4" t="s">
        <v>168</v>
      </c>
      <c r="AO84" s="4" t="s">
        <v>186</v>
      </c>
      <c r="AP84" s="4" t="s">
        <v>187</v>
      </c>
      <c r="AQ84" s="4" t="s">
        <v>109</v>
      </c>
      <c r="AR84" s="4" t="s">
        <v>116</v>
      </c>
      <c r="AS84" s="4" t="s">
        <v>60</v>
      </c>
      <c r="AT84" s="0" t="n">
        <v>0</v>
      </c>
      <c r="AU84" s="4" t="s">
        <v>207</v>
      </c>
      <c r="AV84" s="4" t="s">
        <v>142</v>
      </c>
    </row>
    <row r="85" customFormat="false" ht="15" hidden="false" customHeight="false" outlineLevel="0" collapsed="false">
      <c r="A85" s="0" t="s">
        <v>471</v>
      </c>
      <c r="B85" s="3" t="n">
        <f aca="false">IF(AJ85="","",IF(ISNUMBER(SEARCH("/",AJ85)),DATE(VALUE(RIGHT(AJ85,4)),VALUE(LEFT(AJ85,2)),VALUE(MID(AJ85,4,2))),IF(ISNUMBER(SEARCH("-",AJ85)),IF(LEN(LEFT(AJ85,FIND("-",AJ85)-1))=4,DATE(VALUE(LEFT(AJ85,4)),VALUE(MID(AJ85,6,2)),VALUE(RIGHT(AJ85,2))),DATE(VALUE(RIGHT(AJ85,4)),VALUE(MID(AJ85,4,2)),VALUE(LEFT(AJ85,2)))),DATE(VALUE(RIGHT(AJ85,4)),MATCH(MID(AJ85,4,3),{"Jan","Feb","Mar","Apr","May","Jun","Jul","Aug","Sep","Oct","Nov","Dec"},0),VALUE(LEFT(AJ85,2))))))</f>
        <v>45591</v>
      </c>
      <c r="C85" s="3" t="n">
        <f aca="false">IF(AK85="","",IF(ISNUMBER(SEARCH("/",AK85)),DATE(VALUE(RIGHT(AK85,4)),VALUE(LEFT(AK85,2)),VALUE(MID(AK85,4,2))),IF(ISNUMBER(SEARCH("-",AK85)),IF(LEN(LEFT(AK85,FIND("-",AK85)-1))=4,DATE(VALUE(LEFT(AK85,4)),VALUE(MID(AK85,6,2)),VALUE(RIGHT(AK85,2))),DATE(VALUE(RIGHT(AK85,4)),VALUE(MID(AK85,4,2)),VALUE(LEFT(AK85,2)))),DATE(VALUE(RIGHT(AK85,4)),MATCH(MID(AK85,4,3),{"Jan","Feb","Mar","Apr","May","Jun","Jul","Aug","Sep","Oct","Nov","Dec"},0),VALUE(LEFT(AK85,2))))))</f>
        <v>45594</v>
      </c>
      <c r="D85" s="4" t="s">
        <v>472</v>
      </c>
      <c r="E85" s="0" t="str">
        <f aca="false">PROPER(TRIM(AL85))</f>
        <v>Aditi Sen</v>
      </c>
      <c r="F85" s="0" t="str">
        <f aca="false">PROPER(TRIM(AM85))</f>
        <v>Home Office</v>
      </c>
      <c r="G85" s="0" t="str">
        <f aca="false">IF(TRIM(AN85)="","Unknown",PROPER(TRIM(AN85)))</f>
        <v>West</v>
      </c>
      <c r="H85" s="0" t="str">
        <f aca="false">PROPER(TRIM(AO85))</f>
        <v>Maharashtra</v>
      </c>
      <c r="I85" s="0" t="str">
        <f aca="false">PROPER(TRIM(AP85))</f>
        <v>Mumbai</v>
      </c>
      <c r="J85" s="0" t="str">
        <f aca="false">PROPER(TRIM(AQ85))</f>
        <v>Furniture</v>
      </c>
      <c r="K85" s="0" t="str">
        <f aca="false">PROPER(TRIM(AR85))</f>
        <v>Tables</v>
      </c>
      <c r="M85" s="0" t="str">
        <f aca="false">IF(TRIM(AS85)="","Unknown",PROPER(TRIM(AS85)))</f>
        <v>Second Class</v>
      </c>
      <c r="N85" s="0" t="n">
        <v>9</v>
      </c>
      <c r="O85" s="0" t="n">
        <v>131.74</v>
      </c>
      <c r="P85" s="5" t="n">
        <f aca="false">IF(AT85="","",IF(ISNUMBER(AT85),AT85,VALUE(SUBSTITUTE(AT85,"%",""))/100))</f>
        <v>0.2</v>
      </c>
      <c r="Q85" s="5" t="n">
        <f aca="false">IF(P85="",IF(AND(N85&lt;&gt;"",O85&lt;&gt;"",R85&lt;&gt;"",S85&lt;&gt;""),0,"REVIEW"),IF(OR(P85&lt;0,P85&gt;0.3),0,P85))</f>
        <v>0.2</v>
      </c>
      <c r="R85" s="0" t="n">
        <v>948.53</v>
      </c>
      <c r="S85" s="0" t="n">
        <v>674.62</v>
      </c>
      <c r="T85" s="6" t="n">
        <f aca="false">N85*O85*(1-Q85)</f>
        <v>948.528</v>
      </c>
      <c r="U85" s="6" t="n">
        <f aca="false">T85-S85</f>
        <v>273.908</v>
      </c>
      <c r="V85" s="7" t="n">
        <f aca="false">IF(T85=0,0,U85/T85)</f>
        <v>0.288771654605874</v>
      </c>
      <c r="W85" s="4" t="n">
        <f aca="false">C85-B85</f>
        <v>3</v>
      </c>
      <c r="X85" s="0" t="str">
        <f aca="false">TEXT(B85,"mmmm")</f>
        <v>October</v>
      </c>
      <c r="Y85" s="4" t="n">
        <f aca="false">YEAR(B85)</f>
        <v>2024</v>
      </c>
      <c r="Z85" s="0" t="str">
        <f aca="false">PROPER(TRIM(AU85))</f>
        <v>Paid</v>
      </c>
      <c r="AA85" s="0" t="str">
        <f aca="false">PROPER(TRIM(AV85))</f>
        <v>Completed</v>
      </c>
      <c r="AB85" s="0" t="str">
        <f aca="false">IF(TRIM(AN85)="","Yes","No")</f>
        <v>No</v>
      </c>
      <c r="AC85" s="0" t="str">
        <f aca="false">IF(TRIM(AS85)="","Yes","No")</f>
        <v>No</v>
      </c>
      <c r="AD85" s="0" t="str">
        <f aca="false">IF(AT85="","Yes","No")</f>
        <v>No</v>
      </c>
      <c r="AE85" s="0" t="str">
        <f aca="false">IF(W85&lt;0,"Yes","No")</f>
        <v>No</v>
      </c>
      <c r="AF85" s="0" t="str">
        <f aca="false">IF(P85="","No",IF(OR(P85&lt;0,P85&gt;0.3),"Yes","No"))</f>
        <v>No</v>
      </c>
      <c r="AG85" s="4" t="s">
        <v>50</v>
      </c>
      <c r="AH85" s="0" t="str">
        <f aca="false">IF(AND(AA85="Completed",Z85="Paid"),"Yes","No")</f>
        <v>Yes</v>
      </c>
      <c r="AI85" s="0" t="str">
        <f aca="false">IF(OR(AE85="Yes",AF85="Yes",AG85="Yes"),"Invalid",IF(OR(AB85="Yes",AC85="Yes",AD85="Yes"),"Warning","Clean"))</f>
        <v>Clean</v>
      </c>
      <c r="AJ85" s="4" t="s">
        <v>345</v>
      </c>
      <c r="AK85" s="4" t="s">
        <v>473</v>
      </c>
      <c r="AL85" s="4" t="s">
        <v>127</v>
      </c>
      <c r="AM85" s="4" t="s">
        <v>134</v>
      </c>
      <c r="AN85" s="4" t="s">
        <v>97</v>
      </c>
      <c r="AO85" s="4" t="s">
        <v>98</v>
      </c>
      <c r="AP85" s="4" t="s">
        <v>99</v>
      </c>
      <c r="AQ85" s="4" t="s">
        <v>72</v>
      </c>
      <c r="AR85" s="4" t="s">
        <v>73</v>
      </c>
      <c r="AS85" s="4" t="s">
        <v>60</v>
      </c>
      <c r="AT85" s="0" t="n">
        <v>0.2</v>
      </c>
      <c r="AU85" s="4" t="s">
        <v>61</v>
      </c>
      <c r="AV85" s="4" t="s">
        <v>62</v>
      </c>
    </row>
    <row r="86" customFormat="false" ht="15" hidden="false" customHeight="false" outlineLevel="0" collapsed="false">
      <c r="A86" s="0" t="s">
        <v>474</v>
      </c>
      <c r="B86" s="3" t="n">
        <f aca="false">IF(AJ86="","",IF(ISNUMBER(SEARCH("/",AJ86)),DATE(VALUE(RIGHT(AJ86,4)),VALUE(LEFT(AJ86,2)),VALUE(MID(AJ86,4,2))),IF(ISNUMBER(SEARCH("-",AJ86)),IF(LEN(LEFT(AJ86,FIND("-",AJ86)-1))=4,DATE(VALUE(LEFT(AJ86,4)),VALUE(MID(AJ86,6,2)),VALUE(RIGHT(AJ86,2))),DATE(VALUE(RIGHT(AJ86,4)),VALUE(MID(AJ86,4,2)),VALUE(LEFT(AJ86,2)))),DATE(VALUE(RIGHT(AJ86,4)),MATCH(MID(AJ86,4,3),{"Jan","Feb","Mar","Apr","May","Jun","Jul","Aug","Sep","Oct","Nov","Dec"},0),VALUE(LEFT(AJ86,2))))))</f>
        <v>45566</v>
      </c>
      <c r="C86" s="3" t="n">
        <f aca="false">IF(AK86="","",IF(ISNUMBER(SEARCH("/",AK86)),DATE(VALUE(RIGHT(AK86,4)),VALUE(LEFT(AK86,2)),VALUE(MID(AK86,4,2))),IF(ISNUMBER(SEARCH("-",AK86)),IF(LEN(LEFT(AK86,FIND("-",AK86)-1))=4,DATE(VALUE(LEFT(AK86,4)),VALUE(MID(AK86,6,2)),VALUE(RIGHT(AK86,2))),DATE(VALUE(RIGHT(AK86,4)),VALUE(MID(AK86,4,2)),VALUE(LEFT(AK86,2)))),DATE(VALUE(RIGHT(AK86,4)),MATCH(MID(AK86,4,3),{"Jan","Feb","Mar","Apr","May","Jun","Jul","Aug","Sep","Oct","Nov","Dec"},0),VALUE(LEFT(AK86,2))))))</f>
        <v>45568</v>
      </c>
      <c r="D86" s="4" t="s">
        <v>475</v>
      </c>
      <c r="E86" s="0" t="str">
        <f aca="false">PROPER(TRIM(AL86))</f>
        <v>Rohan Mehta</v>
      </c>
      <c r="F86" s="0" t="str">
        <f aca="false">PROPER(TRIM(AM86))</f>
        <v>Corporate</v>
      </c>
      <c r="G86" s="0" t="str">
        <f aca="false">IF(TRIM(AN86)="","Unknown",PROPER(TRIM(AN86)))</f>
        <v>South</v>
      </c>
      <c r="H86" s="0" t="str">
        <f aca="false">PROPER(TRIM(AO86))</f>
        <v>Tamil Nadu</v>
      </c>
      <c r="I86" s="0" t="str">
        <f aca="false">PROPER(TRIM(AP86))</f>
        <v>Chennai</v>
      </c>
      <c r="J86" s="0" t="str">
        <f aca="false">PROPER(TRIM(AQ86))</f>
        <v>Technology</v>
      </c>
      <c r="K86" s="0" t="str">
        <f aca="false">PROPER(TRIM(AR86))</f>
        <v>Phones</v>
      </c>
      <c r="M86" s="0" t="str">
        <f aca="false">IF(TRIM(AS86)="","Unknown",PROPER(TRIM(AS86)))</f>
        <v>Second Class</v>
      </c>
      <c r="N86" s="0" t="n">
        <v>6</v>
      </c>
      <c r="O86" s="0" t="n">
        <v>570.28</v>
      </c>
      <c r="P86" s="5" t="n">
        <f aca="false">IF(AT86="","",IF(ISNUMBER(AT86),AT86,VALUE(SUBSTITUTE(AT86,"%",""))/100))</f>
        <v>0.2</v>
      </c>
      <c r="Q86" s="5" t="n">
        <f aca="false">IF(P86="",IF(AND(N86&lt;&gt;"",O86&lt;&gt;"",R86&lt;&gt;"",S86&lt;&gt;""),0,"REVIEW"),IF(OR(P86&lt;0,P86&gt;0.3),0,P86))</f>
        <v>0.2</v>
      </c>
      <c r="R86" s="0" t="n">
        <v>2737.34</v>
      </c>
      <c r="S86" s="0" t="n">
        <v>2085.44</v>
      </c>
      <c r="T86" s="6" t="n">
        <f aca="false">N86*O86*(1-Q86)</f>
        <v>2737.344</v>
      </c>
      <c r="U86" s="6" t="n">
        <f aca="false">T86-S86</f>
        <v>651.904</v>
      </c>
      <c r="V86" s="7" t="n">
        <f aca="false">IF(T86=0,0,U86/T86)</f>
        <v>0.238152018891305</v>
      </c>
      <c r="W86" s="4" t="n">
        <f aca="false">C86-B86</f>
        <v>2</v>
      </c>
      <c r="X86" s="0" t="str">
        <f aca="false">TEXT(B86,"mmmm")</f>
        <v>October</v>
      </c>
      <c r="Y86" s="4" t="n">
        <f aca="false">YEAR(B86)</f>
        <v>2024</v>
      </c>
      <c r="Z86" s="0" t="str">
        <f aca="false">PROPER(TRIM(AU86))</f>
        <v>Paid</v>
      </c>
      <c r="AA86" s="0" t="str">
        <f aca="false">PROPER(TRIM(AV86))</f>
        <v>Completed</v>
      </c>
      <c r="AB86" s="0" t="str">
        <f aca="false">IF(TRIM(AN86)="","Yes","No")</f>
        <v>No</v>
      </c>
      <c r="AC86" s="0" t="str">
        <f aca="false">IF(TRIM(AS86)="","Yes","No")</f>
        <v>No</v>
      </c>
      <c r="AD86" s="0" t="str">
        <f aca="false">IF(AT86="","Yes","No")</f>
        <v>No</v>
      </c>
      <c r="AE86" s="0" t="str">
        <f aca="false">IF(W86&lt;0,"Yes","No")</f>
        <v>No</v>
      </c>
      <c r="AF86" s="0" t="str">
        <f aca="false">IF(P86="","No",IF(OR(P86&lt;0,P86&gt;0.3),"Yes","No"))</f>
        <v>No</v>
      </c>
      <c r="AG86" s="4" t="s">
        <v>50</v>
      </c>
      <c r="AH86" s="0" t="str">
        <f aca="false">IF(AND(AA86="Completed",Z86="Paid"),"Yes","No")</f>
        <v>Yes</v>
      </c>
      <c r="AI86" s="0" t="str">
        <f aca="false">IF(OR(AE86="Yes",AF86="Yes",AG86="Yes"),"Invalid",IF(OR(AB86="Yes",AC86="Yes",AD86="Yes"),"Warning","Clean"))</f>
        <v>Clean</v>
      </c>
      <c r="AJ86" s="4" t="s">
        <v>476</v>
      </c>
      <c r="AK86" s="4" t="s">
        <v>477</v>
      </c>
      <c r="AL86" s="4" t="s">
        <v>191</v>
      </c>
      <c r="AM86" s="4" t="s">
        <v>128</v>
      </c>
      <c r="AN86" s="4" t="s">
        <v>87</v>
      </c>
      <c r="AO86" s="4" t="s">
        <v>323</v>
      </c>
      <c r="AP86" s="4" t="s">
        <v>324</v>
      </c>
      <c r="AQ86" s="4" t="s">
        <v>478</v>
      </c>
      <c r="AR86" s="4" t="s">
        <v>227</v>
      </c>
      <c r="AS86" s="4" t="s">
        <v>60</v>
      </c>
      <c r="AT86" s="0" t="n">
        <v>0.2</v>
      </c>
      <c r="AU86" s="4" t="s">
        <v>61</v>
      </c>
      <c r="AV86" s="4" t="s">
        <v>62</v>
      </c>
    </row>
    <row r="87" customFormat="false" ht="15" hidden="false" customHeight="false" outlineLevel="0" collapsed="false">
      <c r="A87" s="0" t="s">
        <v>479</v>
      </c>
      <c r="B87" s="3" t="n">
        <f aca="false">IF(AJ87="","",IF(ISNUMBER(SEARCH("/",AJ87)),DATE(VALUE(RIGHT(AJ87,4)),VALUE(LEFT(AJ87,2)),VALUE(MID(AJ87,4,2))),IF(ISNUMBER(SEARCH("-",AJ87)),IF(LEN(LEFT(AJ87,FIND("-",AJ87)-1))=4,DATE(VALUE(LEFT(AJ87,4)),VALUE(MID(AJ87,6,2)),VALUE(RIGHT(AJ87,2))),DATE(VALUE(RIGHT(AJ87,4)),VALUE(MID(AJ87,4,2)),VALUE(LEFT(AJ87,2)))),DATE(VALUE(RIGHT(AJ87,4)),MATCH(MID(AJ87,4,3),{"Jan","Feb","Mar","Apr","May","Jun","Jul","Aug","Sep","Oct","Nov","Dec"},0),VALUE(LEFT(AJ87,2))))))</f>
        <v>45503</v>
      </c>
      <c r="C87" s="3" t="n">
        <f aca="false">IF(AK87="","",IF(ISNUMBER(SEARCH("/",AK87)),DATE(VALUE(RIGHT(AK87,4)),VALUE(LEFT(AK87,2)),VALUE(MID(AK87,4,2))),IF(ISNUMBER(SEARCH("-",AK87)),IF(LEN(LEFT(AK87,FIND("-",AK87)-1))=4,DATE(VALUE(LEFT(AK87,4)),VALUE(MID(AK87,6,2)),VALUE(RIGHT(AK87,2))),DATE(VALUE(RIGHT(AK87,4)),VALUE(MID(AK87,4,2)),VALUE(LEFT(AK87,2)))),DATE(VALUE(RIGHT(AK87,4)),MATCH(MID(AK87,4,3),{"Jan","Feb","Mar","Apr","May","Jun","Jul","Aug","Sep","Oct","Nov","Dec"},0),VALUE(LEFT(AK87,2))))))</f>
        <v>45509</v>
      </c>
      <c r="D87" s="4" t="s">
        <v>480</v>
      </c>
      <c r="E87" s="0" t="str">
        <f aca="false">PROPER(TRIM(AL87))</f>
        <v>Kabir Singh</v>
      </c>
      <c r="F87" s="0" t="str">
        <f aca="false">PROPER(TRIM(AM87))</f>
        <v>Corporate</v>
      </c>
      <c r="G87" s="0" t="str">
        <f aca="false">IF(TRIM(AN87)="","Unknown",PROPER(TRIM(AN87)))</f>
        <v>North</v>
      </c>
      <c r="H87" s="0" t="str">
        <f aca="false">PROPER(TRIM(AO87))</f>
        <v>Delhi</v>
      </c>
      <c r="I87" s="0" t="str">
        <f aca="false">PROPER(TRIM(AP87))</f>
        <v>New Delhi</v>
      </c>
      <c r="J87" s="0" t="str">
        <f aca="false">PROPER(TRIM(AQ87))</f>
        <v>Office Supplies</v>
      </c>
      <c r="K87" s="0" t="str">
        <f aca="false">PROPER(TRIM(AR87))</f>
        <v>Binders</v>
      </c>
      <c r="M87" s="0" t="str">
        <f aca="false">IF(TRIM(AS87)="","Unknown",PROPER(TRIM(AS87)))</f>
        <v>Standard Class</v>
      </c>
      <c r="N87" s="0" t="n">
        <v>1</v>
      </c>
      <c r="O87" s="0" t="n">
        <v>608.64</v>
      </c>
      <c r="P87" s="5" t="n">
        <f aca="false">IF(AT87="","",IF(ISNUMBER(AT87),AT87,VALUE(SUBSTITUTE(AT87,"%",""))/100))</f>
        <v>0</v>
      </c>
      <c r="Q87" s="5" t="n">
        <f aca="false">IF(P87="",IF(AND(N87&lt;&gt;"",O87&lt;&gt;"",R87&lt;&gt;"",S87&lt;&gt;""),0,"REVIEW"),IF(OR(P87&lt;0,P87&gt;0.3),0,P87))</f>
        <v>0</v>
      </c>
      <c r="R87" s="0" t="n">
        <v>608.64</v>
      </c>
      <c r="S87" s="0" t="n">
        <v>343.99</v>
      </c>
      <c r="T87" s="6" t="n">
        <f aca="false">N87*O87*(1-Q87)</f>
        <v>608.64</v>
      </c>
      <c r="U87" s="6" t="n">
        <f aca="false">T87-S87</f>
        <v>264.65</v>
      </c>
      <c r="V87" s="7" t="n">
        <f aca="false">IF(T87=0,0,U87/T87)</f>
        <v>0.434821898002103</v>
      </c>
      <c r="W87" s="4" t="n">
        <f aca="false">C87-B87</f>
        <v>6</v>
      </c>
      <c r="X87" s="0" t="str">
        <f aca="false">TEXT(B87,"mmmm")</f>
        <v>July</v>
      </c>
      <c r="Y87" s="4" t="n">
        <f aca="false">YEAR(B87)</f>
        <v>2024</v>
      </c>
      <c r="Z87" s="0" t="str">
        <f aca="false">PROPER(TRIM(AU87))</f>
        <v>Paid</v>
      </c>
      <c r="AA87" s="0" t="str">
        <f aca="false">PROPER(TRIM(AV87))</f>
        <v>Cancelled</v>
      </c>
      <c r="AB87" s="0" t="str">
        <f aca="false">IF(TRIM(AN87)="","Yes","No")</f>
        <v>No</v>
      </c>
      <c r="AC87" s="0" t="str">
        <f aca="false">IF(TRIM(AS87)="","Yes","No")</f>
        <v>No</v>
      </c>
      <c r="AD87" s="0" t="str">
        <f aca="false">IF(AT87="","Yes","No")</f>
        <v>No</v>
      </c>
      <c r="AE87" s="0" t="str">
        <f aca="false">IF(W87&lt;0,"Yes","No")</f>
        <v>No</v>
      </c>
      <c r="AF87" s="0" t="str">
        <f aca="false">IF(P87="","No",IF(OR(P87&lt;0,P87&gt;0.3),"Yes","No"))</f>
        <v>No</v>
      </c>
      <c r="AG87" s="4" t="s">
        <v>50</v>
      </c>
      <c r="AH87" s="0" t="str">
        <f aca="false">IF(AND(AA87="Completed",Z87="Paid"),"Yes","No")</f>
        <v>No</v>
      </c>
      <c r="AI87" s="0" t="str">
        <f aca="false">IF(OR(AE87="Yes",AF87="Yes",AG87="Yes"),"Invalid",IF(OR(AB87="Yes",AC87="Yes",AD87="Yes"),"Warning","Clean"))</f>
        <v>Clean</v>
      </c>
      <c r="AJ87" s="4" t="s">
        <v>481</v>
      </c>
      <c r="AK87" s="4" t="s">
        <v>482</v>
      </c>
      <c r="AL87" s="4" t="s">
        <v>347</v>
      </c>
      <c r="AM87" s="4" t="s">
        <v>128</v>
      </c>
      <c r="AN87" s="4" t="s">
        <v>168</v>
      </c>
      <c r="AO87" s="4" t="s">
        <v>461</v>
      </c>
      <c r="AP87" s="4" t="s">
        <v>462</v>
      </c>
      <c r="AQ87" s="4" t="s">
        <v>58</v>
      </c>
      <c r="AR87" s="4" t="s">
        <v>206</v>
      </c>
      <c r="AS87" s="4" t="s">
        <v>91</v>
      </c>
      <c r="AT87" s="0" t="n">
        <v>0</v>
      </c>
      <c r="AU87" s="4" t="s">
        <v>61</v>
      </c>
      <c r="AV87" s="4" t="s">
        <v>101</v>
      </c>
    </row>
    <row r="88" customFormat="false" ht="15" hidden="false" customHeight="false" outlineLevel="0" collapsed="false">
      <c r="A88" s="0" t="s">
        <v>483</v>
      </c>
      <c r="B88" s="3" t="n">
        <f aca="false">IF(AJ88="","",IF(ISNUMBER(SEARCH("/",AJ88)),DATE(VALUE(RIGHT(AJ88,4)),VALUE(LEFT(AJ88,2)),VALUE(MID(AJ88,4,2))),IF(ISNUMBER(SEARCH("-",AJ88)),IF(LEN(LEFT(AJ88,FIND("-",AJ88)-1))=4,DATE(VALUE(LEFT(AJ88,4)),VALUE(MID(AJ88,6,2)),VALUE(RIGHT(AJ88,2))),DATE(VALUE(RIGHT(AJ88,4)),VALUE(MID(AJ88,4,2)),VALUE(LEFT(AJ88,2)))),DATE(VALUE(RIGHT(AJ88,4)),MATCH(MID(AJ88,4,3),{"Jan","Feb","Mar","Apr","May","Jun","Jul","Aug","Sep","Oct","Nov","Dec"},0),VALUE(LEFT(AJ88,2))))))</f>
        <v>45474</v>
      </c>
      <c r="C88" s="3" t="n">
        <f aca="false">IF(AK88="","",IF(ISNUMBER(SEARCH("/",AK88)),DATE(VALUE(RIGHT(AK88,4)),VALUE(LEFT(AK88,2)),VALUE(MID(AK88,4,2))),IF(ISNUMBER(SEARCH("-",AK88)),IF(LEN(LEFT(AK88,FIND("-",AK88)-1))=4,DATE(VALUE(LEFT(AK88,4)),VALUE(MID(AK88,6,2)),VALUE(RIGHT(AK88,2))),DATE(VALUE(RIGHT(AK88,4)),VALUE(MID(AK88,4,2)),VALUE(LEFT(AK88,2)))),DATE(VALUE(RIGHT(AK88,4)),MATCH(MID(AK88,4,3),{"Jan","Feb","Mar","Apr","May","Jun","Jul","Aug","Sep","Oct","Nov","Dec"},0),VALUE(LEFT(AK88,2))))))</f>
        <v>45474</v>
      </c>
      <c r="D88" s="4" t="s">
        <v>484</v>
      </c>
      <c r="E88" s="0" t="str">
        <f aca="false">PROPER(TRIM(AL88))</f>
        <v>Ananya Rao</v>
      </c>
      <c r="F88" s="0" t="str">
        <f aca="false">PROPER(TRIM(AM88))</f>
        <v>Small Business</v>
      </c>
      <c r="G88" s="0" t="str">
        <f aca="false">IF(TRIM(AN88)="","Unknown",PROPER(TRIM(AN88)))</f>
        <v>North</v>
      </c>
      <c r="H88" s="0" t="str">
        <f aca="false">PROPER(TRIM(AO88))</f>
        <v>Delhi</v>
      </c>
      <c r="I88" s="0" t="str">
        <f aca="false">PROPER(TRIM(AP88))</f>
        <v>New Delhi</v>
      </c>
      <c r="J88" s="0" t="str">
        <f aca="false">PROPER(TRIM(AQ88))</f>
        <v>Technology</v>
      </c>
      <c r="K88" s="0" t="str">
        <f aca="false">PROPER(TRIM(AR88))</f>
        <v>Copiers</v>
      </c>
      <c r="M88" s="0" t="str">
        <f aca="false">IF(TRIM(AS88)="","Unknown",PROPER(TRIM(AS88)))</f>
        <v>Second Class</v>
      </c>
      <c r="N88" s="0" t="n">
        <v>3</v>
      </c>
      <c r="O88" s="0" t="n">
        <v>885.28</v>
      </c>
      <c r="P88" s="5" t="n">
        <f aca="false">IF(AT88="","",IF(ISNUMBER(AT88),AT88,VALUE(SUBSTITUTE(AT88,"%",""))/100))</f>
        <v>0.1</v>
      </c>
      <c r="Q88" s="5" t="n">
        <f aca="false">IF(P88="",IF(AND(N88&lt;&gt;"",O88&lt;&gt;"",R88&lt;&gt;"",S88&lt;&gt;""),0,"REVIEW"),IF(OR(P88&lt;0,P88&gt;0.3),0,P88))</f>
        <v>0.1</v>
      </c>
      <c r="R88" s="0" t="n">
        <v>2390.26</v>
      </c>
      <c r="S88" s="0" t="n">
        <v>1495.94</v>
      </c>
      <c r="T88" s="6" t="n">
        <f aca="false">N88*O88*(1-Q88)</f>
        <v>2390.256</v>
      </c>
      <c r="U88" s="6" t="n">
        <f aca="false">T88-S88</f>
        <v>894.316</v>
      </c>
      <c r="V88" s="7" t="n">
        <f aca="false">IF(T88=0,0,U88/T88)</f>
        <v>0.374150718584118</v>
      </c>
      <c r="W88" s="4" t="n">
        <f aca="false">C88-B88</f>
        <v>0</v>
      </c>
      <c r="X88" s="0" t="str">
        <f aca="false">TEXT(B88,"mmmm")</f>
        <v>July</v>
      </c>
      <c r="Y88" s="4" t="n">
        <f aca="false">YEAR(B88)</f>
        <v>2024</v>
      </c>
      <c r="Z88" s="0" t="str">
        <f aca="false">PROPER(TRIM(AU88))</f>
        <v>Refunded</v>
      </c>
      <c r="AA88" s="0" t="str">
        <f aca="false">PROPER(TRIM(AV88))</f>
        <v>Cancelled</v>
      </c>
      <c r="AB88" s="0" t="str">
        <f aca="false">IF(TRIM(AN88)="","Yes","No")</f>
        <v>No</v>
      </c>
      <c r="AC88" s="0" t="str">
        <f aca="false">IF(TRIM(AS88)="","Yes","No")</f>
        <v>No</v>
      </c>
      <c r="AD88" s="0" t="str">
        <f aca="false">IF(AT88="","Yes","No")</f>
        <v>No</v>
      </c>
      <c r="AE88" s="0" t="str">
        <f aca="false">IF(W88&lt;0,"Yes","No")</f>
        <v>No</v>
      </c>
      <c r="AF88" s="0" t="str">
        <f aca="false">IF(P88="","No",IF(OR(P88&lt;0,P88&gt;0.3),"Yes","No"))</f>
        <v>No</v>
      </c>
      <c r="AG88" s="4" t="s">
        <v>50</v>
      </c>
      <c r="AH88" s="0" t="str">
        <f aca="false">IF(AND(AA88="Completed",Z88="Paid"),"Yes","No")</f>
        <v>No</v>
      </c>
      <c r="AI88" s="0" t="str">
        <f aca="false">IF(OR(AE88="Yes",AF88="Yes",AG88="Yes"),"Invalid",IF(OR(AB88="Yes",AC88="Yes",AD88="Yes"),"Warning","Clean"))</f>
        <v>Clean</v>
      </c>
      <c r="AJ88" s="4" t="s">
        <v>485</v>
      </c>
      <c r="AK88" s="4" t="s">
        <v>485</v>
      </c>
      <c r="AL88" s="4" t="s">
        <v>96</v>
      </c>
      <c r="AM88" s="4" t="s">
        <v>68</v>
      </c>
      <c r="AN88" s="4" t="s">
        <v>168</v>
      </c>
      <c r="AO88" s="4" t="s">
        <v>461</v>
      </c>
      <c r="AP88" s="4" t="s">
        <v>462</v>
      </c>
      <c r="AQ88" s="4" t="s">
        <v>109</v>
      </c>
      <c r="AR88" s="4" t="s">
        <v>116</v>
      </c>
      <c r="AS88" s="4" t="s">
        <v>60</v>
      </c>
      <c r="AT88" s="0" t="n">
        <v>0.1</v>
      </c>
      <c r="AU88" s="4" t="s">
        <v>141</v>
      </c>
      <c r="AV88" s="4" t="s">
        <v>101</v>
      </c>
    </row>
    <row r="89" customFormat="false" ht="15" hidden="false" customHeight="false" outlineLevel="0" collapsed="false">
      <c r="A89" s="0" t="s">
        <v>486</v>
      </c>
      <c r="B89" s="3" t="n">
        <f aca="false">IF(AJ89="","",IF(ISNUMBER(SEARCH("/",AJ89)),DATE(VALUE(RIGHT(AJ89,4)),VALUE(LEFT(AJ89,2)),VALUE(MID(AJ89,4,2))),IF(ISNUMBER(SEARCH("-",AJ89)),IF(LEN(LEFT(AJ89,FIND("-",AJ89)-1))=4,DATE(VALUE(LEFT(AJ89,4)),VALUE(MID(AJ89,6,2)),VALUE(RIGHT(AJ89,2))),DATE(VALUE(RIGHT(AJ89,4)),VALUE(MID(AJ89,4,2)),VALUE(LEFT(AJ89,2)))),DATE(VALUE(RIGHT(AJ89,4)),MATCH(MID(AJ89,4,3),{"Jan","Feb","Mar","Apr","May","Jun","Jul","Aug","Sep","Oct","Nov","Dec"},0),VALUE(LEFT(AJ89,2))))))</f>
        <v>45506</v>
      </c>
      <c r="C89" s="3" t="n">
        <f aca="false">IF(AK89="","",IF(ISNUMBER(SEARCH("/",AK89)),DATE(VALUE(RIGHT(AK89,4)),VALUE(LEFT(AK89,2)),VALUE(MID(AK89,4,2))),IF(ISNUMBER(SEARCH("-",AK89)),IF(LEN(LEFT(AK89,FIND("-",AK89)-1))=4,DATE(VALUE(LEFT(AK89,4)),VALUE(MID(AK89,6,2)),VALUE(RIGHT(AK89,2))),DATE(VALUE(RIGHT(AK89,4)),VALUE(MID(AK89,4,2)),VALUE(LEFT(AK89,2)))),DATE(VALUE(RIGHT(AK89,4)),MATCH(MID(AK89,4,3),{"Jan","Feb","Mar","Apr","May","Jun","Jul","Aug","Sep","Oct","Nov","Dec"},0),VALUE(LEFT(AK89,2))))))</f>
        <v>45507</v>
      </c>
      <c r="D89" s="4" t="s">
        <v>487</v>
      </c>
      <c r="E89" s="0" t="str">
        <f aca="false">PROPER(TRIM(AL89))</f>
        <v>Vikram Iyer</v>
      </c>
      <c r="F89" s="0" t="str">
        <f aca="false">PROPER(TRIM(AM89))</f>
        <v>Consumer</v>
      </c>
      <c r="G89" s="0" t="str">
        <f aca="false">IF(TRIM(AN89)="","Unknown",PROPER(TRIM(AN89)))</f>
        <v>East</v>
      </c>
      <c r="H89" s="0" t="str">
        <f aca="false">PROPER(TRIM(AO89))</f>
        <v>Assam</v>
      </c>
      <c r="I89" s="0" t="str">
        <f aca="false">PROPER(TRIM(AP89))</f>
        <v>Guwahati</v>
      </c>
      <c r="J89" s="0" t="str">
        <f aca="false">PROPER(TRIM(AQ89))</f>
        <v>Office Supplies</v>
      </c>
      <c r="K89" s="0" t="str">
        <f aca="false">PROPER(TRIM(AR89))</f>
        <v>Binders</v>
      </c>
      <c r="M89" s="0" t="str">
        <f aca="false">IF(TRIM(AS89)="","Unknown",PROPER(TRIM(AS89)))</f>
        <v>Standard Class</v>
      </c>
      <c r="N89" s="0" t="n">
        <v>7</v>
      </c>
      <c r="O89" s="0" t="n">
        <v>3345.22</v>
      </c>
      <c r="P89" s="5" t="n">
        <f aca="false">IF(AT89="","",IF(ISNUMBER(AT89),AT89,VALUE(SUBSTITUTE(AT89,"%",""))/100))</f>
        <v>0</v>
      </c>
      <c r="Q89" s="5" t="n">
        <f aca="false">IF(P89="",IF(AND(N89&lt;&gt;"",O89&lt;&gt;"",R89&lt;&gt;"",S89&lt;&gt;""),0,"REVIEW"),IF(OR(P89&lt;0,P89&gt;0.3),0,P89))</f>
        <v>0</v>
      </c>
      <c r="R89" s="0" t="n">
        <v>23416.54</v>
      </c>
      <c r="S89" s="0" t="n">
        <v>15490.89</v>
      </c>
      <c r="T89" s="6" t="n">
        <f aca="false">N89*O89*(1-Q89)</f>
        <v>23416.54</v>
      </c>
      <c r="U89" s="6" t="n">
        <f aca="false">T89-S89</f>
        <v>7925.65</v>
      </c>
      <c r="V89" s="7" t="n">
        <f aca="false">IF(T89=0,0,U89/T89)</f>
        <v>0.338463752544142</v>
      </c>
      <c r="W89" s="4" t="n">
        <f aca="false">C89-B89</f>
        <v>1</v>
      </c>
      <c r="X89" s="0" t="str">
        <f aca="false">TEXT(B89,"mmmm")</f>
        <v>August</v>
      </c>
      <c r="Y89" s="4" t="n">
        <f aca="false">YEAR(B89)</f>
        <v>2024</v>
      </c>
      <c r="Z89" s="0" t="str">
        <f aca="false">PROPER(TRIM(AU89))</f>
        <v>Paid</v>
      </c>
      <c r="AA89" s="0" t="str">
        <f aca="false">PROPER(TRIM(AV89))</f>
        <v>Completed</v>
      </c>
      <c r="AB89" s="0" t="str">
        <f aca="false">IF(TRIM(AN89)="","Yes","No")</f>
        <v>No</v>
      </c>
      <c r="AC89" s="0" t="str">
        <f aca="false">IF(TRIM(AS89)="","Yes","No")</f>
        <v>No</v>
      </c>
      <c r="AD89" s="0" t="str">
        <f aca="false">IF(AT89="","Yes","No")</f>
        <v>No</v>
      </c>
      <c r="AE89" s="0" t="str">
        <f aca="false">IF(W89&lt;0,"Yes","No")</f>
        <v>No</v>
      </c>
      <c r="AF89" s="0" t="str">
        <f aca="false">IF(P89="","No",IF(OR(P89&lt;0,P89&gt;0.3),"Yes","No"))</f>
        <v>No</v>
      </c>
      <c r="AG89" s="4" t="s">
        <v>50</v>
      </c>
      <c r="AH89" s="0" t="str">
        <f aca="false">IF(AND(AA89="Completed",Z89="Paid"),"Yes","No")</f>
        <v>Yes</v>
      </c>
      <c r="AI89" s="0" t="str">
        <f aca="false">IF(OR(AE89="Yes",AF89="Yes",AG89="Yes"),"Invalid",IF(OR(AB89="Yes",AC89="Yes",AD89="Yes"),"Warning","Clean"))</f>
        <v>Clean</v>
      </c>
      <c r="AJ89" s="4" t="s">
        <v>488</v>
      </c>
      <c r="AK89" s="4" t="s">
        <v>469</v>
      </c>
      <c r="AL89" s="4" t="s">
        <v>106</v>
      </c>
      <c r="AM89" s="4" t="s">
        <v>54</v>
      </c>
      <c r="AN89" s="4" t="s">
        <v>69</v>
      </c>
      <c r="AO89" s="4" t="s">
        <v>221</v>
      </c>
      <c r="AP89" s="4" t="s">
        <v>222</v>
      </c>
      <c r="AQ89" s="4" t="s">
        <v>58</v>
      </c>
      <c r="AR89" s="4" t="s">
        <v>206</v>
      </c>
      <c r="AS89" s="4" t="s">
        <v>91</v>
      </c>
      <c r="AT89" s="0" t="n">
        <v>0</v>
      </c>
      <c r="AU89" s="4" t="s">
        <v>61</v>
      </c>
      <c r="AV89" s="4" t="s">
        <v>62</v>
      </c>
    </row>
    <row r="90" customFormat="false" ht="15" hidden="false" customHeight="false" outlineLevel="0" collapsed="false">
      <c r="A90" s="0" t="s">
        <v>489</v>
      </c>
      <c r="B90" s="3" t="n">
        <f aca="false">IF(AJ90="","",IF(ISNUMBER(SEARCH("/",AJ90)),DATE(VALUE(RIGHT(AJ90,4)),VALUE(LEFT(AJ90,2)),VALUE(MID(AJ90,4,2))),IF(ISNUMBER(SEARCH("-",AJ90)),IF(LEN(LEFT(AJ90,FIND("-",AJ90)-1))=4,DATE(VALUE(LEFT(AJ90,4)),VALUE(MID(AJ90,6,2)),VALUE(RIGHT(AJ90,2))),DATE(VALUE(RIGHT(AJ90,4)),VALUE(MID(AJ90,4,2)),VALUE(LEFT(AJ90,2)))),DATE(VALUE(RIGHT(AJ90,4)),MATCH(MID(AJ90,4,3),{"Jan","Feb","Mar","Apr","May","Jun","Jul","Aug","Sep","Oct","Nov","Dec"},0),VALUE(LEFT(AJ90,2))))))</f>
        <v>45375</v>
      </c>
      <c r="C90" s="3" t="n">
        <f aca="false">IF(AK90="","",IF(ISNUMBER(SEARCH("/",AK90)),DATE(VALUE(RIGHT(AK90,4)),VALUE(LEFT(AK90,2)),VALUE(MID(AK90,4,2))),IF(ISNUMBER(SEARCH("-",AK90)),IF(LEN(LEFT(AK90,FIND("-",AK90)-1))=4,DATE(VALUE(LEFT(AK90,4)),VALUE(MID(AK90,6,2)),VALUE(RIGHT(AK90,2))),DATE(VALUE(RIGHT(AK90,4)),VALUE(MID(AK90,4,2)),VALUE(LEFT(AK90,2)))),DATE(VALUE(RIGHT(AK90,4)),MATCH(MID(AK90,4,3),{"Jan","Feb","Mar","Apr","May","Jun","Jul","Aug","Sep","Oct","Nov","Dec"},0),VALUE(LEFT(AK90,2))))))</f>
        <v>45378</v>
      </c>
      <c r="D90" s="4" t="s">
        <v>490</v>
      </c>
      <c r="E90" s="0" t="str">
        <f aca="false">PROPER(TRIM(AL90))</f>
        <v>Rohan Mehta</v>
      </c>
      <c r="F90" s="0" t="str">
        <f aca="false">PROPER(TRIM(AM90))</f>
        <v>Small Business</v>
      </c>
      <c r="G90" s="0" t="str">
        <f aca="false">IF(TRIM(AN90)="","Unknown",PROPER(TRIM(AN90)))</f>
        <v>West</v>
      </c>
      <c r="H90" s="0" t="str">
        <f aca="false">PROPER(TRIM(AO90))</f>
        <v>Maharashtra</v>
      </c>
      <c r="I90" s="0" t="str">
        <f aca="false">PROPER(TRIM(AP90))</f>
        <v>Mumbai</v>
      </c>
      <c r="J90" s="0" t="str">
        <f aca="false">PROPER(TRIM(AQ90))</f>
        <v>Furniture</v>
      </c>
      <c r="K90" s="0" t="str">
        <f aca="false">PROPER(TRIM(AR90))</f>
        <v>Bookcases</v>
      </c>
      <c r="M90" s="0" t="str">
        <f aca="false">IF(TRIM(AS90)="","Unknown",PROPER(TRIM(AS90)))</f>
        <v>Standard Class</v>
      </c>
      <c r="N90" s="0" t="n">
        <v>2</v>
      </c>
      <c r="O90" s="0" t="n">
        <v>3284.75</v>
      </c>
      <c r="P90" s="5" t="n">
        <f aca="false">IF(AT90="","",IF(ISNUMBER(AT90),AT90,VALUE(SUBSTITUTE(AT90,"%",""))/100))</f>
        <v>0.05</v>
      </c>
      <c r="Q90" s="5" t="n">
        <f aca="false">IF(P90="",IF(AND(N90&lt;&gt;"",O90&lt;&gt;"",R90&lt;&gt;"",S90&lt;&gt;""),0,"REVIEW"),IF(OR(P90&lt;0,P90&gt;0.3),0,P90))</f>
        <v>0.05</v>
      </c>
      <c r="R90" s="0" t="n">
        <v>6241.02</v>
      </c>
      <c r="S90" s="0" t="n">
        <v>5345.88</v>
      </c>
      <c r="T90" s="6" t="n">
        <f aca="false">N90*O90*(1-Q90)</f>
        <v>6241.025</v>
      </c>
      <c r="U90" s="6" t="n">
        <f aca="false">T90-S90</f>
        <v>895.145</v>
      </c>
      <c r="V90" s="7" t="n">
        <f aca="false">IF(T90=0,0,U90/T90)</f>
        <v>0.143429164279906</v>
      </c>
      <c r="W90" s="4" t="n">
        <f aca="false">C90-B90</f>
        <v>3</v>
      </c>
      <c r="X90" s="0" t="str">
        <f aca="false">TEXT(B90,"mmmm")</f>
        <v>March</v>
      </c>
      <c r="Y90" s="4" t="n">
        <f aca="false">YEAR(B90)</f>
        <v>2024</v>
      </c>
      <c r="Z90" s="0" t="str">
        <f aca="false">PROPER(TRIM(AU90))</f>
        <v>Paid</v>
      </c>
      <c r="AA90" s="0" t="str">
        <f aca="false">PROPER(TRIM(AV90))</f>
        <v>Completed</v>
      </c>
      <c r="AB90" s="0" t="str">
        <f aca="false">IF(TRIM(AN90)="","Yes","No")</f>
        <v>No</v>
      </c>
      <c r="AC90" s="0" t="str">
        <f aca="false">IF(TRIM(AS90)="","Yes","No")</f>
        <v>No</v>
      </c>
      <c r="AD90" s="0" t="str">
        <f aca="false">IF(AT90="","Yes","No")</f>
        <v>No</v>
      </c>
      <c r="AE90" s="0" t="str">
        <f aca="false">IF(W90&lt;0,"Yes","No")</f>
        <v>No</v>
      </c>
      <c r="AF90" s="0" t="str">
        <f aca="false">IF(P90="","No",IF(OR(P90&lt;0,P90&gt;0.3),"Yes","No"))</f>
        <v>No</v>
      </c>
      <c r="AG90" s="4" t="s">
        <v>50</v>
      </c>
      <c r="AH90" s="0" t="str">
        <f aca="false">IF(AND(AA90="Completed",Z90="Paid"),"Yes","No")</f>
        <v>Yes</v>
      </c>
      <c r="AI90" s="0" t="str">
        <f aca="false">IF(OR(AE90="Yes",AF90="Yes",AG90="Yes"),"Invalid",IF(OR(AB90="Yes",AC90="Yes",AD90="Yes"),"Warning","Clean"))</f>
        <v>Clean</v>
      </c>
      <c r="AJ90" s="4" t="s">
        <v>491</v>
      </c>
      <c r="AK90" s="4" t="s">
        <v>492</v>
      </c>
      <c r="AL90" s="4" t="s">
        <v>191</v>
      </c>
      <c r="AM90" s="4" t="s">
        <v>68</v>
      </c>
      <c r="AN90" s="4" t="s">
        <v>97</v>
      </c>
      <c r="AO90" s="4" t="s">
        <v>98</v>
      </c>
      <c r="AP90" s="4" t="s">
        <v>99</v>
      </c>
      <c r="AQ90" s="4" t="s">
        <v>72</v>
      </c>
      <c r="AR90" s="4" t="s">
        <v>211</v>
      </c>
      <c r="AS90" s="4" t="s">
        <v>91</v>
      </c>
      <c r="AT90" s="0" t="n">
        <v>0.05</v>
      </c>
      <c r="AU90" s="4" t="s">
        <v>61</v>
      </c>
      <c r="AV90" s="4" t="s">
        <v>62</v>
      </c>
    </row>
    <row r="91" customFormat="false" ht="15" hidden="false" customHeight="false" outlineLevel="0" collapsed="false">
      <c r="A91" s="0" t="s">
        <v>493</v>
      </c>
      <c r="B91" s="3" t="n">
        <f aca="false">IF(AJ91="","",IF(ISNUMBER(SEARCH("/",AJ91)),DATE(VALUE(RIGHT(AJ91,4)),VALUE(LEFT(AJ91,2)),VALUE(MID(AJ91,4,2))),IF(ISNUMBER(SEARCH("-",AJ91)),IF(LEN(LEFT(AJ91,FIND("-",AJ91)-1))=4,DATE(VALUE(LEFT(AJ91,4)),VALUE(MID(AJ91,6,2)),VALUE(RIGHT(AJ91,2))),DATE(VALUE(RIGHT(AJ91,4)),VALUE(MID(AJ91,4,2)),VALUE(LEFT(AJ91,2)))),DATE(VALUE(RIGHT(AJ91,4)),MATCH(MID(AJ91,4,3),{"Jan","Feb","Mar","Apr","May","Jun","Jul","Aug","Sep","Oct","Nov","Dec"},0),VALUE(LEFT(AJ91,2))))))</f>
        <v>45540</v>
      </c>
      <c r="C91" s="3" t="n">
        <f aca="false">IF(AK91="","",IF(ISNUMBER(SEARCH("/",AK91)),DATE(VALUE(RIGHT(AK91,4)),VALUE(LEFT(AK91,2)),VALUE(MID(AK91,4,2))),IF(ISNUMBER(SEARCH("-",AK91)),IF(LEN(LEFT(AK91,FIND("-",AK91)-1))=4,DATE(VALUE(LEFT(AK91,4)),VALUE(MID(AK91,6,2)),VALUE(RIGHT(AK91,2))),DATE(VALUE(RIGHT(AK91,4)),VALUE(MID(AK91,4,2)),VALUE(LEFT(AK91,2)))),DATE(VALUE(RIGHT(AK91,4)),MATCH(MID(AK91,4,3),{"Jan","Feb","Mar","Apr","May","Jun","Jul","Aug","Sep","Oct","Nov","Dec"},0),VALUE(LEFT(AK91,2))))))</f>
        <v>45540</v>
      </c>
      <c r="D91" s="4" t="s">
        <v>494</v>
      </c>
      <c r="E91" s="0" t="str">
        <f aca="false">PROPER(TRIM(AL91))</f>
        <v>Kabir Singh</v>
      </c>
      <c r="F91" s="0" t="str">
        <f aca="false">PROPER(TRIM(AM91))</f>
        <v>Consumer</v>
      </c>
      <c r="G91" s="0" t="str">
        <f aca="false">IF(TRIM(AN91)="","Unknown",PROPER(TRIM(AN91)))</f>
        <v>South</v>
      </c>
      <c r="H91" s="0" t="str">
        <f aca="false">PROPER(TRIM(AO91))</f>
        <v>Andhra Pradesh</v>
      </c>
      <c r="I91" s="0" t="str">
        <f aca="false">PROPER(TRIM(AP91))</f>
        <v>Vijayawada</v>
      </c>
      <c r="J91" s="0" t="str">
        <f aca="false">PROPER(TRIM(AQ91))</f>
        <v>Furniture</v>
      </c>
      <c r="K91" s="0" t="str">
        <f aca="false">PROPER(TRIM(AR91))</f>
        <v>Bookcases</v>
      </c>
      <c r="M91" s="0" t="str">
        <f aca="false">IF(TRIM(AS91)="","Unknown",PROPER(TRIM(AS91)))</f>
        <v>Standard Class</v>
      </c>
      <c r="N91" s="0" t="n">
        <v>7</v>
      </c>
      <c r="O91" s="0" t="n">
        <v>3761.09</v>
      </c>
      <c r="P91" s="5" t="n">
        <f aca="false">IF(AT91="","",IF(ISNUMBER(AT91),AT91,VALUE(SUBSTITUTE(AT91,"%",""))/100))</f>
        <v>0.2</v>
      </c>
      <c r="Q91" s="5" t="n">
        <f aca="false">IF(P91="",IF(AND(N91&lt;&gt;"",O91&lt;&gt;"",R91&lt;&gt;"",S91&lt;&gt;""),0,"REVIEW"),IF(OR(P91&lt;0,P91&gt;0.3),0,P91))</f>
        <v>0.2</v>
      </c>
      <c r="R91" s="0" t="n">
        <v>21062.1</v>
      </c>
      <c r="S91" s="0" t="n">
        <v>12057.13</v>
      </c>
      <c r="T91" s="6" t="n">
        <f aca="false">N91*O91*(1-Q91)</f>
        <v>21062.104</v>
      </c>
      <c r="U91" s="6" t="n">
        <f aca="false">T91-S91</f>
        <v>9004.974</v>
      </c>
      <c r="V91" s="7" t="n">
        <f aca="false">IF(T91=0,0,U91/T91)</f>
        <v>0.427543895899479</v>
      </c>
      <c r="W91" s="4" t="n">
        <f aca="false">C91-B91</f>
        <v>0</v>
      </c>
      <c r="X91" s="0" t="str">
        <f aca="false">TEXT(B91,"mmmm")</f>
        <v>September</v>
      </c>
      <c r="Y91" s="4" t="n">
        <f aca="false">YEAR(B91)</f>
        <v>2024</v>
      </c>
      <c r="Z91" s="0" t="str">
        <f aca="false">PROPER(TRIM(AU91))</f>
        <v>Pending</v>
      </c>
      <c r="AA91" s="0" t="str">
        <f aca="false">PROPER(TRIM(AV91))</f>
        <v>Cancelled</v>
      </c>
      <c r="AB91" s="0" t="str">
        <f aca="false">IF(TRIM(AN91)="","Yes","No")</f>
        <v>No</v>
      </c>
      <c r="AC91" s="0" t="str">
        <f aca="false">IF(TRIM(AS91)="","Yes","No")</f>
        <v>No</v>
      </c>
      <c r="AD91" s="0" t="str">
        <f aca="false">IF(AT91="","Yes","No")</f>
        <v>No</v>
      </c>
      <c r="AE91" s="0" t="str">
        <f aca="false">IF(W91&lt;0,"Yes","No")</f>
        <v>No</v>
      </c>
      <c r="AF91" s="0" t="str">
        <f aca="false">IF(P91="","No",IF(OR(P91&lt;0,P91&gt;0.3),"Yes","No"))</f>
        <v>No</v>
      </c>
      <c r="AG91" s="4" t="s">
        <v>50</v>
      </c>
      <c r="AH91" s="0" t="str">
        <f aca="false">IF(AND(AA91="Completed",Z91="Paid"),"Yes","No")</f>
        <v>No</v>
      </c>
      <c r="AI91" s="0" t="str">
        <f aca="false">IF(OR(AE91="Yes",AF91="Yes",AG91="Yes"),"Invalid",IF(OR(AB91="Yes",AC91="Yes",AD91="Yes"),"Warning","Clean"))</f>
        <v>Clean</v>
      </c>
      <c r="AJ91" s="4" t="s">
        <v>66</v>
      </c>
      <c r="AK91" s="4" t="s">
        <v>66</v>
      </c>
      <c r="AL91" s="4" t="s">
        <v>347</v>
      </c>
      <c r="AM91" s="4" t="s">
        <v>54</v>
      </c>
      <c r="AN91" s="4" t="s">
        <v>87</v>
      </c>
      <c r="AO91" s="4" t="s">
        <v>121</v>
      </c>
      <c r="AP91" s="4" t="s">
        <v>122</v>
      </c>
      <c r="AQ91" s="4" t="s">
        <v>72</v>
      </c>
      <c r="AR91" s="4" t="s">
        <v>211</v>
      </c>
      <c r="AS91" s="4" t="s">
        <v>91</v>
      </c>
      <c r="AT91" s="0" t="n">
        <v>0.2</v>
      </c>
      <c r="AU91" s="4" t="s">
        <v>153</v>
      </c>
      <c r="AV91" s="4" t="s">
        <v>101</v>
      </c>
    </row>
    <row r="92" customFormat="false" ht="15" hidden="false" customHeight="false" outlineLevel="0" collapsed="false">
      <c r="A92" s="0" t="s">
        <v>495</v>
      </c>
      <c r="B92" s="3" t="n">
        <f aca="false">IF(AJ92="","",IF(ISNUMBER(SEARCH("/",AJ92)),DATE(VALUE(RIGHT(AJ92,4)),VALUE(LEFT(AJ92,2)),VALUE(MID(AJ92,4,2))),IF(ISNUMBER(SEARCH("-",AJ92)),IF(LEN(LEFT(AJ92,FIND("-",AJ92)-1))=4,DATE(VALUE(LEFT(AJ92,4)),VALUE(MID(AJ92,6,2)),VALUE(RIGHT(AJ92,2))),DATE(VALUE(RIGHT(AJ92,4)),VALUE(MID(AJ92,4,2)),VALUE(LEFT(AJ92,2)))),DATE(VALUE(RIGHT(AJ92,4)),MATCH(MID(AJ92,4,3),{"Jan","Feb","Mar","Apr","May","Jun","Jul","Aug","Sep","Oct","Nov","Dec"},0),VALUE(LEFT(AJ92,2))))))</f>
        <v>45893</v>
      </c>
      <c r="C92" s="3" t="n">
        <f aca="false">IF(AK92="","",IF(ISNUMBER(SEARCH("/",AK92)),DATE(VALUE(RIGHT(AK92,4)),VALUE(LEFT(AK92,2)),VALUE(MID(AK92,4,2))),IF(ISNUMBER(SEARCH("-",AK92)),IF(LEN(LEFT(AK92,FIND("-",AK92)-1))=4,DATE(VALUE(LEFT(AK92,4)),VALUE(MID(AK92,6,2)),VALUE(RIGHT(AK92,2))),DATE(VALUE(RIGHT(AK92,4)),VALUE(MID(AK92,4,2)),VALUE(LEFT(AK92,2)))),DATE(VALUE(RIGHT(AK92,4)),MATCH(MID(AK92,4,3),{"Jan","Feb","Mar","Apr","May","Jun","Jul","Aug","Sep","Oct","Nov","Dec"},0),VALUE(LEFT(AK92,2))))))</f>
        <v>45898</v>
      </c>
      <c r="D92" s="4" t="s">
        <v>496</v>
      </c>
      <c r="E92" s="0" t="str">
        <f aca="false">PROPER(TRIM(AL92))</f>
        <v>Aarav Sharma</v>
      </c>
      <c r="F92" s="0" t="str">
        <f aca="false">PROPER(TRIM(AM92))</f>
        <v>Small Business</v>
      </c>
      <c r="G92" s="0" t="str">
        <f aca="false">IF(TRIM(AN92)="","Unknown",PROPER(TRIM(AN92)))</f>
        <v>East</v>
      </c>
      <c r="H92" s="0" t="str">
        <f aca="false">PROPER(TRIM(AO92))</f>
        <v>Bihar</v>
      </c>
      <c r="I92" s="0" t="str">
        <f aca="false">PROPER(TRIM(AP92))</f>
        <v>Patna</v>
      </c>
      <c r="J92" s="0" t="str">
        <f aca="false">PROPER(TRIM(AQ92))</f>
        <v>Technology</v>
      </c>
      <c r="K92" s="0" t="str">
        <f aca="false">PROPER(TRIM(AR92))</f>
        <v>Copiers</v>
      </c>
      <c r="M92" s="0" t="str">
        <f aca="false">IF(TRIM(AS92)="","Unknown",PROPER(TRIM(AS92)))</f>
        <v>First Class</v>
      </c>
      <c r="N92" s="0" t="n">
        <v>3</v>
      </c>
      <c r="O92" s="0" t="n">
        <v>3703.96</v>
      </c>
      <c r="P92" s="5" t="n">
        <f aca="false">IF(AT92="","",IF(ISNUMBER(AT92),AT92,VALUE(SUBSTITUTE(AT92,"%",""))/100))</f>
        <v>0.15</v>
      </c>
      <c r="Q92" s="5" t="n">
        <f aca="false">IF(P92="",IF(AND(N92&lt;&gt;"",O92&lt;&gt;"",R92&lt;&gt;"",S92&lt;&gt;""),0,"REVIEW"),IF(OR(P92&lt;0,P92&gt;0.3),0,P92))</f>
        <v>0.15</v>
      </c>
      <c r="R92" s="0" t="n">
        <v>9445.1</v>
      </c>
      <c r="S92" s="0" t="n">
        <v>5586.28</v>
      </c>
      <c r="T92" s="6" t="n">
        <f aca="false">N92*O92*(1-Q92)</f>
        <v>9445.098</v>
      </c>
      <c r="U92" s="6" t="n">
        <f aca="false">T92-S92</f>
        <v>3858.818</v>
      </c>
      <c r="V92" s="7" t="n">
        <f aca="false">IF(T92=0,0,U92/T92)</f>
        <v>0.4085524575817</v>
      </c>
      <c r="W92" s="4" t="n">
        <f aca="false">C92-B92</f>
        <v>5</v>
      </c>
      <c r="X92" s="0" t="str">
        <f aca="false">TEXT(B92,"mmmm")</f>
        <v>August</v>
      </c>
      <c r="Y92" s="4" t="n">
        <f aca="false">YEAR(B92)</f>
        <v>2025</v>
      </c>
      <c r="Z92" s="0" t="str">
        <f aca="false">PROPER(TRIM(AU92))</f>
        <v>Paid</v>
      </c>
      <c r="AA92" s="0" t="str">
        <f aca="false">PROPER(TRIM(AV92))</f>
        <v>Completed</v>
      </c>
      <c r="AB92" s="0" t="str">
        <f aca="false">IF(TRIM(AN92)="","Yes","No")</f>
        <v>No</v>
      </c>
      <c r="AC92" s="0" t="str">
        <f aca="false">IF(TRIM(AS92)="","Yes","No")</f>
        <v>No</v>
      </c>
      <c r="AD92" s="0" t="str">
        <f aca="false">IF(AT92="","Yes","No")</f>
        <v>No</v>
      </c>
      <c r="AE92" s="0" t="str">
        <f aca="false">IF(W92&lt;0,"Yes","No")</f>
        <v>No</v>
      </c>
      <c r="AF92" s="0" t="str">
        <f aca="false">IF(P92="","No",IF(OR(P92&lt;0,P92&gt;0.3),"Yes","No"))</f>
        <v>No</v>
      </c>
      <c r="AG92" s="4" t="s">
        <v>497</v>
      </c>
      <c r="AH92" s="0" t="str">
        <f aca="false">IF(AND(AA92="Completed",Z92="Paid"),"Yes","No")</f>
        <v>Yes</v>
      </c>
      <c r="AI92" s="0" t="str">
        <f aca="false">IF(OR(AE92="Yes",AF92="Yes",AG92="Yes"),"Invalid",IF(OR(AB92="Yes",AC92="Yes",AD92="Yes"),"Warning","Clean"))</f>
        <v>Invalid</v>
      </c>
      <c r="AJ92" s="4" t="s">
        <v>498</v>
      </c>
      <c r="AK92" s="4" t="s">
        <v>94</v>
      </c>
      <c r="AL92" s="4" t="s">
        <v>176</v>
      </c>
      <c r="AM92" s="4" t="s">
        <v>68</v>
      </c>
      <c r="AN92" s="4" t="s">
        <v>69</v>
      </c>
      <c r="AO92" s="4" t="s">
        <v>196</v>
      </c>
      <c r="AP92" s="4" t="s">
        <v>197</v>
      </c>
      <c r="AQ92" s="4" t="s">
        <v>109</v>
      </c>
      <c r="AR92" s="4" t="s">
        <v>116</v>
      </c>
      <c r="AS92" s="4" t="s">
        <v>81</v>
      </c>
      <c r="AT92" s="0" t="n">
        <v>0.15</v>
      </c>
      <c r="AU92" s="4" t="s">
        <v>61</v>
      </c>
      <c r="AV92" s="4" t="s">
        <v>62</v>
      </c>
    </row>
    <row r="93" customFormat="false" ht="15" hidden="false" customHeight="false" outlineLevel="0" collapsed="false">
      <c r="A93" s="0" t="s">
        <v>499</v>
      </c>
      <c r="B93" s="3" t="n">
        <f aca="false">IF(AJ93="","",IF(ISNUMBER(SEARCH("/",AJ93)),DATE(VALUE(RIGHT(AJ93,4)),VALUE(LEFT(AJ93,2)),VALUE(MID(AJ93,4,2))),IF(ISNUMBER(SEARCH("-",AJ93)),IF(LEN(LEFT(AJ93,FIND("-",AJ93)-1))=4,DATE(VALUE(LEFT(AJ93,4)),VALUE(MID(AJ93,6,2)),VALUE(RIGHT(AJ93,2))),DATE(VALUE(RIGHT(AJ93,4)),VALUE(MID(AJ93,4,2)),VALUE(LEFT(AJ93,2)))),DATE(VALUE(RIGHT(AJ93,4)),MATCH(MID(AJ93,4,3),{"Jan","Feb","Mar","Apr","May","Jun","Jul","Aug","Sep","Oct","Nov","Dec"},0),VALUE(LEFT(AJ93,2))))))</f>
        <v>45718</v>
      </c>
      <c r="C93" s="3" t="n">
        <f aca="false">IF(AK93="","",IF(ISNUMBER(SEARCH("/",AK93)),DATE(VALUE(RIGHT(AK93,4)),VALUE(LEFT(AK93,2)),VALUE(MID(AK93,4,2))),IF(ISNUMBER(SEARCH("-",AK93)),IF(LEN(LEFT(AK93,FIND("-",AK93)-1))=4,DATE(VALUE(LEFT(AK93,4)),VALUE(MID(AK93,6,2)),VALUE(RIGHT(AK93,2))),DATE(VALUE(RIGHT(AK93,4)),VALUE(MID(AK93,4,2)),VALUE(LEFT(AK93,2)))),DATE(VALUE(RIGHT(AK93,4)),MATCH(MID(AK93,4,3),{"Jan","Feb","Mar","Apr","May","Jun","Jul","Aug","Sep","Oct","Nov","Dec"},0),VALUE(LEFT(AK93,2))))))</f>
        <v>45724</v>
      </c>
      <c r="D93" s="4" t="s">
        <v>500</v>
      </c>
      <c r="E93" s="0" t="str">
        <f aca="false">PROPER(TRIM(AL93))</f>
        <v>Sneha Kapoor</v>
      </c>
      <c r="F93" s="0" t="str">
        <f aca="false">PROPER(TRIM(AM93))</f>
        <v>Corporate</v>
      </c>
      <c r="G93" s="0" t="str">
        <f aca="false">IF(TRIM(AN93)="","Unknown",PROPER(TRIM(AN93)))</f>
        <v>West</v>
      </c>
      <c r="H93" s="0" t="str">
        <f aca="false">PROPER(TRIM(AO93))</f>
        <v>Madhya Pradesh</v>
      </c>
      <c r="I93" s="0" t="str">
        <f aca="false">PROPER(TRIM(AP93))</f>
        <v>Indore</v>
      </c>
      <c r="J93" s="0" t="str">
        <f aca="false">PROPER(TRIM(AQ93))</f>
        <v>Technology</v>
      </c>
      <c r="K93" s="0" t="str">
        <f aca="false">PROPER(TRIM(AR93))</f>
        <v>Copiers</v>
      </c>
      <c r="M93" s="0" t="str">
        <f aca="false">IF(TRIM(AS93)="","Unknown",PROPER(TRIM(AS93)))</f>
        <v>Second Class</v>
      </c>
      <c r="N93" s="0" t="n">
        <v>9</v>
      </c>
      <c r="O93" s="0" t="n">
        <v>269.68</v>
      </c>
      <c r="P93" s="5" t="n">
        <f aca="false">IF(AT93="","",IF(ISNUMBER(AT93),AT93,VALUE(SUBSTITUTE(AT93,"%",""))/100))</f>
        <v>0</v>
      </c>
      <c r="Q93" s="5" t="n">
        <f aca="false">IF(P93="",IF(AND(N93&lt;&gt;"",O93&lt;&gt;"",R93&lt;&gt;"",S93&lt;&gt;""),0,"REVIEW"),IF(OR(P93&lt;0,P93&gt;0.3),0,P93))</f>
        <v>0</v>
      </c>
      <c r="R93" s="0" t="n">
        <v>2427.12</v>
      </c>
      <c r="S93" s="0" t="n">
        <v>1538.35</v>
      </c>
      <c r="T93" s="6" t="n">
        <f aca="false">N93*O93*(1-Q93)</f>
        <v>2427.12</v>
      </c>
      <c r="U93" s="6" t="n">
        <f aca="false">T93-S93</f>
        <v>888.77</v>
      </c>
      <c r="V93" s="7" t="n">
        <f aca="false">IF(T93=0,0,U93/T93)</f>
        <v>0.366182965819572</v>
      </c>
      <c r="W93" s="4" t="n">
        <f aca="false">C93-B93</f>
        <v>6</v>
      </c>
      <c r="X93" s="0" t="str">
        <f aca="false">TEXT(B93,"mmmm")</f>
        <v>March</v>
      </c>
      <c r="Y93" s="4" t="n">
        <f aca="false">YEAR(B93)</f>
        <v>2025</v>
      </c>
      <c r="Z93" s="0" t="str">
        <f aca="false">PROPER(TRIM(AU93))</f>
        <v>Paid</v>
      </c>
      <c r="AA93" s="0" t="str">
        <f aca="false">PROPER(TRIM(AV93))</f>
        <v>Completed</v>
      </c>
      <c r="AB93" s="0" t="str">
        <f aca="false">IF(TRIM(AN93)="","Yes","No")</f>
        <v>No</v>
      </c>
      <c r="AC93" s="0" t="str">
        <f aca="false">IF(TRIM(AS93)="","Yes","No")</f>
        <v>No</v>
      </c>
      <c r="AD93" s="0" t="str">
        <f aca="false">IF(AT93="","Yes","No")</f>
        <v>No</v>
      </c>
      <c r="AE93" s="0" t="str">
        <f aca="false">IF(W93&lt;0,"Yes","No")</f>
        <v>No</v>
      </c>
      <c r="AF93" s="0" t="str">
        <f aca="false">IF(P93="","No",IF(OR(P93&lt;0,P93&gt;0.3),"Yes","No"))</f>
        <v>No</v>
      </c>
      <c r="AG93" s="4" t="s">
        <v>50</v>
      </c>
      <c r="AH93" s="0" t="str">
        <f aca="false">IF(AND(AA93="Completed",Z93="Paid"),"Yes","No")</f>
        <v>Yes</v>
      </c>
      <c r="AI93" s="0" t="str">
        <f aca="false">IF(OR(AE93="Yes",AF93="Yes",AG93="Yes"),"Invalid",IF(OR(AB93="Yes",AC93="Yes",AD93="Yes"),"Warning","Clean"))</f>
        <v>Clean</v>
      </c>
      <c r="AJ93" s="4" t="s">
        <v>501</v>
      </c>
      <c r="AK93" s="4" t="s">
        <v>502</v>
      </c>
      <c r="AL93" s="4" t="s">
        <v>181</v>
      </c>
      <c r="AM93" s="4" t="s">
        <v>128</v>
      </c>
      <c r="AN93" s="4" t="s">
        <v>97</v>
      </c>
      <c r="AO93" s="4" t="s">
        <v>107</v>
      </c>
      <c r="AP93" s="4" t="s">
        <v>108</v>
      </c>
      <c r="AQ93" s="4" t="s">
        <v>109</v>
      </c>
      <c r="AR93" s="4" t="s">
        <v>116</v>
      </c>
      <c r="AS93" s="4" t="s">
        <v>60</v>
      </c>
      <c r="AT93" s="0" t="n">
        <v>0</v>
      </c>
      <c r="AU93" s="4" t="s">
        <v>61</v>
      </c>
      <c r="AV93" s="4" t="s">
        <v>62</v>
      </c>
    </row>
    <row r="94" customFormat="false" ht="15" hidden="false" customHeight="false" outlineLevel="0" collapsed="false">
      <c r="A94" s="0" t="s">
        <v>503</v>
      </c>
      <c r="B94" s="3" t="n">
        <f aca="false">IF(AJ94="","",IF(ISNUMBER(SEARCH("/",AJ94)),DATE(VALUE(RIGHT(AJ94,4)),VALUE(LEFT(AJ94,2)),VALUE(MID(AJ94,4,2))),IF(ISNUMBER(SEARCH("-",AJ94)),IF(LEN(LEFT(AJ94,FIND("-",AJ94)-1))=4,DATE(VALUE(LEFT(AJ94,4)),VALUE(MID(AJ94,6,2)),VALUE(RIGHT(AJ94,2))),DATE(VALUE(RIGHT(AJ94,4)),VALUE(MID(AJ94,4,2)),VALUE(LEFT(AJ94,2)))),DATE(VALUE(RIGHT(AJ94,4)),MATCH(MID(AJ94,4,3),{"Jan","Feb","Mar","Apr","May","Jun","Jul","Aug","Sep","Oct","Nov","Dec"},0),VALUE(LEFT(AJ94,2))))))</f>
        <v>45680</v>
      </c>
      <c r="C94" s="3" t="n">
        <f aca="false">IF(AK94="","",IF(ISNUMBER(SEARCH("/",AK94)),DATE(VALUE(RIGHT(AK94,4)),VALUE(LEFT(AK94,2)),VALUE(MID(AK94,4,2))),IF(ISNUMBER(SEARCH("-",AK94)),IF(LEN(LEFT(AK94,FIND("-",AK94)-1))=4,DATE(VALUE(LEFT(AK94,4)),VALUE(MID(AK94,6,2)),VALUE(RIGHT(AK94,2))),DATE(VALUE(RIGHT(AK94,4)),VALUE(MID(AK94,4,2)),VALUE(LEFT(AK94,2)))),DATE(VALUE(RIGHT(AK94,4)),MATCH(MID(AK94,4,3),{"Jan","Feb","Mar","Apr","May","Jun","Jul","Aug","Sep","Oct","Nov","Dec"},0),VALUE(LEFT(AK94,2))))))</f>
        <v>45683</v>
      </c>
      <c r="D94" s="4" t="s">
        <v>504</v>
      </c>
      <c r="E94" s="0" t="str">
        <f aca="false">PROPER(TRIM(AL94))</f>
        <v>Aarav Sharma</v>
      </c>
      <c r="F94" s="0" t="str">
        <f aca="false">PROPER(TRIM(AM94))</f>
        <v>Consumer</v>
      </c>
      <c r="G94" s="0" t="str">
        <f aca="false">IF(TRIM(AN94)="","Unknown",PROPER(TRIM(AN94)))</f>
        <v>West</v>
      </c>
      <c r="H94" s="0" t="str">
        <f aca="false">PROPER(TRIM(AO94))</f>
        <v>Madhya Pradesh</v>
      </c>
      <c r="I94" s="0" t="str">
        <f aca="false">PROPER(TRIM(AP94))</f>
        <v>Indore</v>
      </c>
      <c r="J94" s="0" t="str">
        <f aca="false">PROPER(TRIM(AQ94))</f>
        <v>Office Supplies</v>
      </c>
      <c r="K94" s="0" t="str">
        <f aca="false">PROPER(TRIM(AR94))</f>
        <v>Paper</v>
      </c>
      <c r="M94" s="0" t="str">
        <f aca="false">IF(TRIM(AS94)="","Unknown",PROPER(TRIM(AS94)))</f>
        <v>Standard Class</v>
      </c>
      <c r="N94" s="0" t="n">
        <v>9</v>
      </c>
      <c r="O94" s="0" t="n">
        <v>4458.26</v>
      </c>
      <c r="P94" s="5" t="n">
        <f aca="false">IF(AT94="","",IF(ISNUMBER(AT94),AT94,VALUE(SUBSTITUTE(AT94,"%",""))/100))</f>
        <v>0.1</v>
      </c>
      <c r="Q94" s="5" t="n">
        <f aca="false">IF(P94="",IF(AND(N94&lt;&gt;"",O94&lt;&gt;"",R94&lt;&gt;"",S94&lt;&gt;""),0,"REVIEW"),IF(OR(P94&lt;0,P94&gt;0.3),0,P94))</f>
        <v>0.1</v>
      </c>
      <c r="R94" s="0" t="n">
        <v>36111.91</v>
      </c>
      <c r="S94" s="0" t="n">
        <v>29194.5</v>
      </c>
      <c r="T94" s="6" t="n">
        <f aca="false">N94*O94*(1-Q94)</f>
        <v>36111.906</v>
      </c>
      <c r="U94" s="6" t="n">
        <f aca="false">T94-S94</f>
        <v>6917.406</v>
      </c>
      <c r="V94" s="7" t="n">
        <f aca="false">IF(T94=0,0,U94/T94)</f>
        <v>0.191554718823205</v>
      </c>
      <c r="W94" s="4" t="n">
        <f aca="false">C94-B94</f>
        <v>3</v>
      </c>
      <c r="X94" s="0" t="str">
        <f aca="false">TEXT(B94,"mmmm")</f>
        <v>January</v>
      </c>
      <c r="Y94" s="4" t="n">
        <f aca="false">YEAR(B94)</f>
        <v>2025</v>
      </c>
      <c r="Z94" s="0" t="str">
        <f aca="false">PROPER(TRIM(AU94))</f>
        <v>Paid</v>
      </c>
      <c r="AA94" s="0" t="str">
        <f aca="false">PROPER(TRIM(AV94))</f>
        <v>Completed</v>
      </c>
      <c r="AB94" s="0" t="str">
        <f aca="false">IF(TRIM(AN94)="","Yes","No")</f>
        <v>No</v>
      </c>
      <c r="AC94" s="0" t="str">
        <f aca="false">IF(TRIM(AS94)="","Yes","No")</f>
        <v>No</v>
      </c>
      <c r="AD94" s="0" t="str">
        <f aca="false">IF(AT94="","Yes","No")</f>
        <v>No</v>
      </c>
      <c r="AE94" s="0" t="str">
        <f aca="false">IF(W94&lt;0,"Yes","No")</f>
        <v>No</v>
      </c>
      <c r="AF94" s="0" t="str">
        <f aca="false">IF(P94="","No",IF(OR(P94&lt;0,P94&gt;0.3),"Yes","No"))</f>
        <v>No</v>
      </c>
      <c r="AG94" s="4" t="s">
        <v>50</v>
      </c>
      <c r="AH94" s="0" t="str">
        <f aca="false">IF(AND(AA94="Completed",Z94="Paid"),"Yes","No")</f>
        <v>Yes</v>
      </c>
      <c r="AI94" s="0" t="str">
        <f aca="false">IF(OR(AE94="Yes",AF94="Yes",AG94="Yes"),"Invalid",IF(OR(AB94="Yes",AC94="Yes",AD94="Yes"),"Warning","Clean"))</f>
        <v>Clean</v>
      </c>
      <c r="AJ94" s="4" t="s">
        <v>195</v>
      </c>
      <c r="AK94" s="4" t="s">
        <v>505</v>
      </c>
      <c r="AL94" s="4" t="s">
        <v>176</v>
      </c>
      <c r="AM94" s="4" t="s">
        <v>54</v>
      </c>
      <c r="AN94" s="4" t="s">
        <v>97</v>
      </c>
      <c r="AO94" s="4" t="s">
        <v>107</v>
      </c>
      <c r="AP94" s="4" t="s">
        <v>108</v>
      </c>
      <c r="AQ94" s="4" t="s">
        <v>58</v>
      </c>
      <c r="AR94" s="4" t="s">
        <v>59</v>
      </c>
      <c r="AS94" s="4" t="s">
        <v>91</v>
      </c>
      <c r="AT94" s="0" t="n">
        <v>0.1</v>
      </c>
      <c r="AU94" s="4" t="s">
        <v>61</v>
      </c>
      <c r="AV94" s="4" t="s">
        <v>62</v>
      </c>
    </row>
    <row r="95" customFormat="false" ht="15" hidden="false" customHeight="false" outlineLevel="0" collapsed="false">
      <c r="A95" s="0" t="s">
        <v>506</v>
      </c>
      <c r="B95" s="3" t="n">
        <f aca="false">IF(AJ95="","",IF(ISNUMBER(SEARCH("/",AJ95)),DATE(VALUE(RIGHT(AJ95,4)),VALUE(LEFT(AJ95,2)),VALUE(MID(AJ95,4,2))),IF(ISNUMBER(SEARCH("-",AJ95)),IF(LEN(LEFT(AJ95,FIND("-",AJ95)-1))=4,DATE(VALUE(LEFT(AJ95,4)),VALUE(MID(AJ95,6,2)),VALUE(RIGHT(AJ95,2))),DATE(VALUE(RIGHT(AJ95,4)),VALUE(MID(AJ95,4,2)),VALUE(LEFT(AJ95,2)))),DATE(VALUE(RIGHT(AJ95,4)),MATCH(MID(AJ95,4,3),{"Jan","Feb","Mar","Apr","May","Jun","Jul","Aug","Sep","Oct","Nov","Dec"},0),VALUE(LEFT(AJ95,2))))))</f>
        <v>45298</v>
      </c>
      <c r="C95" s="3" t="n">
        <f aca="false">IF(AK95="","",IF(ISNUMBER(SEARCH("/",AK95)),DATE(VALUE(RIGHT(AK95,4)),VALUE(LEFT(AK95,2)),VALUE(MID(AK95,4,2))),IF(ISNUMBER(SEARCH("-",AK95)),IF(LEN(LEFT(AK95,FIND("-",AK95)-1))=4,DATE(VALUE(LEFT(AK95,4)),VALUE(MID(AK95,6,2)),VALUE(RIGHT(AK95,2))),DATE(VALUE(RIGHT(AK95,4)),VALUE(MID(AK95,4,2)),VALUE(LEFT(AK95,2)))),DATE(VALUE(RIGHT(AK95,4)),MATCH(MID(AK95,4,3),{"Jan","Feb","Mar","Apr","May","Jun","Jul","Aug","Sep","Oct","Nov","Dec"},0),VALUE(LEFT(AK95,2))))))</f>
        <v>45304</v>
      </c>
      <c r="D95" s="4" t="s">
        <v>507</v>
      </c>
      <c r="E95" s="0" t="str">
        <f aca="false">PROPER(TRIM(AL95))</f>
        <v>Rohan Mehta</v>
      </c>
      <c r="F95" s="0" t="str">
        <f aca="false">PROPER(TRIM(AM95))</f>
        <v>Corporate</v>
      </c>
      <c r="G95" s="0" t="str">
        <f aca="false">IF(TRIM(AN95)="","Unknown",PROPER(TRIM(AN95)))</f>
        <v>North</v>
      </c>
      <c r="H95" s="0" t="str">
        <f aca="false">PROPER(TRIM(AO95))</f>
        <v>Uttar Pradesh</v>
      </c>
      <c r="I95" s="0" t="str">
        <f aca="false">PROPER(TRIM(AP95))</f>
        <v>Noida</v>
      </c>
      <c r="J95" s="0" t="str">
        <f aca="false">PROPER(TRIM(AQ95))</f>
        <v>Office Supplies</v>
      </c>
      <c r="K95" s="0" t="str">
        <f aca="false">PROPER(TRIM(AR95))</f>
        <v>Binders</v>
      </c>
      <c r="M95" s="0" t="str">
        <f aca="false">IF(TRIM(AS95)="","Unknown",PROPER(TRIM(AS95)))</f>
        <v>Standard Class</v>
      </c>
      <c r="N95" s="0" t="n">
        <v>7</v>
      </c>
      <c r="O95" s="0" t="n">
        <v>2788.97</v>
      </c>
      <c r="P95" s="5" t="n">
        <f aca="false">IF(AT95="","",IF(ISNUMBER(AT95),AT95,VALUE(SUBSTITUTE(AT95,"%",""))/100))</f>
        <v>-0.09</v>
      </c>
      <c r="Q95" s="5" t="n">
        <f aca="false">IF(P95="",IF(AND(N95&lt;&gt;"",O95&lt;&gt;"",R95&lt;&gt;"",S95&lt;&gt;""),0,"REVIEW"),IF(OR(P95&lt;0,P95&gt;0.3),0,P95))</f>
        <v>0</v>
      </c>
      <c r="R95" s="0" t="n">
        <v>19522.79</v>
      </c>
      <c r="S95" s="0" t="n">
        <v>12455.78</v>
      </c>
      <c r="T95" s="6" t="n">
        <f aca="false">N95*O95*(1-Q95)</f>
        <v>19522.79</v>
      </c>
      <c r="U95" s="6" t="n">
        <f aca="false">T95-S95</f>
        <v>7067.01</v>
      </c>
      <c r="V95" s="7" t="n">
        <f aca="false">IF(T95=0,0,U95/T95)</f>
        <v>0.361987707699565</v>
      </c>
      <c r="W95" s="4" t="n">
        <f aca="false">C95-B95</f>
        <v>6</v>
      </c>
      <c r="X95" s="0" t="str">
        <f aca="false">TEXT(B95,"mmmm")</f>
        <v>January</v>
      </c>
      <c r="Y95" s="4" t="n">
        <f aca="false">YEAR(B95)</f>
        <v>2024</v>
      </c>
      <c r="Z95" s="0" t="str">
        <f aca="false">PROPER(TRIM(AU95))</f>
        <v>Paid</v>
      </c>
      <c r="AA95" s="0" t="str">
        <f aca="false">PROPER(TRIM(AV95))</f>
        <v>Completed</v>
      </c>
      <c r="AB95" s="0" t="str">
        <f aca="false">IF(TRIM(AN95)="","Yes","No")</f>
        <v>No</v>
      </c>
      <c r="AC95" s="0" t="str">
        <f aca="false">IF(TRIM(AS95)="","Yes","No")</f>
        <v>No</v>
      </c>
      <c r="AD95" s="0" t="str">
        <f aca="false">IF(AT95="","Yes","No")</f>
        <v>No</v>
      </c>
      <c r="AE95" s="0" t="str">
        <f aca="false">IF(W95&lt;0,"Yes","No")</f>
        <v>No</v>
      </c>
      <c r="AF95" s="0" t="str">
        <f aca="false">IF(P95="","No",IF(OR(P95&lt;0,P95&gt;0.3),"Yes","No"))</f>
        <v>Yes</v>
      </c>
      <c r="AG95" s="4" t="s">
        <v>50</v>
      </c>
      <c r="AH95" s="0" t="str">
        <f aca="false">IF(AND(AA95="Completed",Z95="Paid"),"Yes","No")</f>
        <v>Yes</v>
      </c>
      <c r="AI95" s="0" t="str">
        <f aca="false">IF(OR(AE95="Yes",AF95="Yes",AG95="Yes"),"Invalid",IF(OR(AB95="Yes",AC95="Yes",AD95="Yes"),"Warning","Clean"))</f>
        <v>Invalid</v>
      </c>
      <c r="AJ95" s="4" t="s">
        <v>179</v>
      </c>
      <c r="AK95" s="4" t="s">
        <v>508</v>
      </c>
      <c r="AL95" s="4" t="s">
        <v>191</v>
      </c>
      <c r="AM95" s="4" t="s">
        <v>128</v>
      </c>
      <c r="AN95" s="4" t="s">
        <v>168</v>
      </c>
      <c r="AO95" s="4" t="s">
        <v>186</v>
      </c>
      <c r="AP95" s="4" t="s">
        <v>187</v>
      </c>
      <c r="AQ95" s="4" t="s">
        <v>58</v>
      </c>
      <c r="AR95" s="4" t="s">
        <v>206</v>
      </c>
      <c r="AS95" s="4" t="s">
        <v>91</v>
      </c>
      <c r="AT95" s="0" t="n">
        <v>-0.09</v>
      </c>
      <c r="AU95" s="4" t="s">
        <v>61</v>
      </c>
      <c r="AV95" s="4" t="s">
        <v>62</v>
      </c>
    </row>
    <row r="96" customFormat="false" ht="15" hidden="false" customHeight="false" outlineLevel="0" collapsed="false">
      <c r="A96" s="0" t="s">
        <v>509</v>
      </c>
      <c r="B96" s="3" t="n">
        <f aca="false">IF(AJ96="","",IF(ISNUMBER(SEARCH("/",AJ96)),DATE(VALUE(RIGHT(AJ96,4)),VALUE(LEFT(AJ96,2)),VALUE(MID(AJ96,4,2))),IF(ISNUMBER(SEARCH("-",AJ96)),IF(LEN(LEFT(AJ96,FIND("-",AJ96)-1))=4,DATE(VALUE(LEFT(AJ96,4)),VALUE(MID(AJ96,6,2)),VALUE(RIGHT(AJ96,2))),DATE(VALUE(RIGHT(AJ96,4)),VALUE(MID(AJ96,4,2)),VALUE(LEFT(AJ96,2)))),DATE(VALUE(RIGHT(AJ96,4)),MATCH(MID(AJ96,4,3),{"Jan","Feb","Mar","Apr","May","Jun","Jul","Aug","Sep","Oct","Nov","Dec"},0),VALUE(LEFT(AJ96,2))))))</f>
        <v>45541</v>
      </c>
      <c r="C96" s="3" t="n">
        <f aca="false">IF(AK96="","",IF(ISNUMBER(SEARCH("/",AK96)),DATE(VALUE(RIGHT(AK96,4)),VALUE(LEFT(AK96,2)),VALUE(MID(AK96,4,2))),IF(ISNUMBER(SEARCH("-",AK96)),IF(LEN(LEFT(AK96,FIND("-",AK96)-1))=4,DATE(VALUE(LEFT(AK96,4)),VALUE(MID(AK96,6,2)),VALUE(RIGHT(AK96,2))),DATE(VALUE(RIGHT(AK96,4)),VALUE(MID(AK96,4,2)),VALUE(LEFT(AK96,2)))),DATE(VALUE(RIGHT(AK96,4)),MATCH(MID(AK96,4,3),{"Jan","Feb","Mar","Apr","May","Jun","Jul","Aug","Sep","Oct","Nov","Dec"},0),VALUE(LEFT(AK96,2))))))</f>
        <v>45544</v>
      </c>
      <c r="D96" s="4" t="s">
        <v>510</v>
      </c>
      <c r="E96" s="0" t="str">
        <f aca="false">PROPER(TRIM(AL96))</f>
        <v>Diya Patel</v>
      </c>
      <c r="F96" s="0" t="str">
        <f aca="false">PROPER(TRIM(AM96))</f>
        <v>Consumer</v>
      </c>
      <c r="G96" s="0" t="str">
        <f aca="false">IF(TRIM(AN96)="","Unknown",PROPER(TRIM(AN96)))</f>
        <v>North</v>
      </c>
      <c r="H96" s="0" t="str">
        <f aca="false">PROPER(TRIM(AO96))</f>
        <v>Haryana</v>
      </c>
      <c r="I96" s="0" t="str">
        <f aca="false">PROPER(TRIM(AP96))</f>
        <v>Gurugram</v>
      </c>
      <c r="J96" s="0" t="str">
        <f aca="false">PROPER(TRIM(AQ96))</f>
        <v>Technology</v>
      </c>
      <c r="K96" s="0" t="str">
        <f aca="false">PROPER(TRIM(AR96))</f>
        <v>Phones</v>
      </c>
      <c r="M96" s="0" t="str">
        <f aca="false">IF(TRIM(AS96)="","Unknown",PROPER(TRIM(AS96)))</f>
        <v>Second Class</v>
      </c>
      <c r="N96" s="0" t="n">
        <v>7</v>
      </c>
      <c r="O96" s="0" t="n">
        <v>3781.53</v>
      </c>
      <c r="P96" s="5" t="n">
        <f aca="false">IF(AT96="","",IF(ISNUMBER(AT96),AT96,VALUE(SUBSTITUTE(AT96,"%",""))/100))</f>
        <v>0</v>
      </c>
      <c r="Q96" s="5" t="n">
        <f aca="false">IF(P96="",IF(AND(N96&lt;&gt;"",O96&lt;&gt;"",R96&lt;&gt;"",S96&lt;&gt;""),0,"REVIEW"),IF(OR(P96&lt;0,P96&gt;0.3),0,P96))</f>
        <v>0</v>
      </c>
      <c r="R96" s="0" t="n">
        <v>26470.71</v>
      </c>
      <c r="S96" s="0" t="n">
        <v>21367.6</v>
      </c>
      <c r="T96" s="6" t="n">
        <f aca="false">N96*O96*(1-Q96)</f>
        <v>26470.71</v>
      </c>
      <c r="U96" s="6" t="n">
        <f aca="false">T96-S96</f>
        <v>5103.11</v>
      </c>
      <c r="V96" s="7" t="n">
        <f aca="false">IF(T96=0,0,U96/T96)</f>
        <v>0.192783268752519</v>
      </c>
      <c r="W96" s="4" t="n">
        <f aca="false">C96-B96</f>
        <v>3</v>
      </c>
      <c r="X96" s="0" t="str">
        <f aca="false">TEXT(B96,"mmmm")</f>
        <v>September</v>
      </c>
      <c r="Y96" s="4" t="n">
        <f aca="false">YEAR(B96)</f>
        <v>2024</v>
      </c>
      <c r="Z96" s="0" t="str">
        <f aca="false">PROPER(TRIM(AU96))</f>
        <v>Pending</v>
      </c>
      <c r="AA96" s="0" t="str">
        <f aca="false">PROPER(TRIM(AV96))</f>
        <v>Cancelled</v>
      </c>
      <c r="AB96" s="0" t="str">
        <f aca="false">IF(TRIM(AN96)="","Yes","No")</f>
        <v>No</v>
      </c>
      <c r="AC96" s="0" t="str">
        <f aca="false">IF(TRIM(AS96)="","Yes","No")</f>
        <v>No</v>
      </c>
      <c r="AD96" s="0" t="str">
        <f aca="false">IF(AT96="","Yes","No")</f>
        <v>No</v>
      </c>
      <c r="AE96" s="0" t="str">
        <f aca="false">IF(W96&lt;0,"Yes","No")</f>
        <v>No</v>
      </c>
      <c r="AF96" s="0" t="str">
        <f aca="false">IF(P96="","No",IF(OR(P96&lt;0,P96&gt;0.3),"Yes","No"))</f>
        <v>No</v>
      </c>
      <c r="AG96" s="4" t="s">
        <v>50</v>
      </c>
      <c r="AH96" s="0" t="str">
        <f aca="false">IF(AND(AA96="Completed",Z96="Paid"),"Yes","No")</f>
        <v>No</v>
      </c>
      <c r="AI96" s="0" t="str">
        <f aca="false">IF(OR(AE96="Yes",AF96="Yes",AG96="Yes"),"Invalid",IF(OR(AB96="Yes",AC96="Yes",AD96="Yes"),"Warning","Clean"))</f>
        <v>Clean</v>
      </c>
      <c r="AJ96" s="4" t="s">
        <v>511</v>
      </c>
      <c r="AK96" s="4" t="s">
        <v>512</v>
      </c>
      <c r="AL96" s="4" t="s">
        <v>216</v>
      </c>
      <c r="AM96" s="4" t="s">
        <v>54</v>
      </c>
      <c r="AN96" s="4" t="s">
        <v>168</v>
      </c>
      <c r="AO96" s="4" t="s">
        <v>310</v>
      </c>
      <c r="AP96" s="4" t="s">
        <v>311</v>
      </c>
      <c r="AQ96" s="4" t="s">
        <v>109</v>
      </c>
      <c r="AR96" s="4" t="s">
        <v>227</v>
      </c>
      <c r="AS96" s="4" t="s">
        <v>60</v>
      </c>
      <c r="AT96" s="0" t="n">
        <v>0</v>
      </c>
      <c r="AU96" s="4" t="s">
        <v>153</v>
      </c>
      <c r="AV96" s="4" t="s">
        <v>101</v>
      </c>
    </row>
    <row r="97" customFormat="false" ht="15" hidden="false" customHeight="false" outlineLevel="0" collapsed="false">
      <c r="A97" s="0" t="s">
        <v>513</v>
      </c>
      <c r="B97" s="3" t="n">
        <f aca="false">IF(AJ97="","",IF(ISNUMBER(SEARCH("/",AJ97)),DATE(VALUE(RIGHT(AJ97,4)),VALUE(LEFT(AJ97,2)),VALUE(MID(AJ97,4,2))),IF(ISNUMBER(SEARCH("-",AJ97)),IF(LEN(LEFT(AJ97,FIND("-",AJ97)-1))=4,DATE(VALUE(LEFT(AJ97,4)),VALUE(MID(AJ97,6,2)),VALUE(RIGHT(AJ97,2))),DATE(VALUE(RIGHT(AJ97,4)),VALUE(MID(AJ97,4,2)),VALUE(LEFT(AJ97,2)))),DATE(VALUE(RIGHT(AJ97,4)),MATCH(MID(AJ97,4,3),{"Jan","Feb","Mar","Apr","May","Jun","Jul","Aug","Sep","Oct","Nov","Dec"},0),VALUE(LEFT(AJ97,2))))))</f>
        <v>45905</v>
      </c>
      <c r="C97" s="3" t="n">
        <f aca="false">IF(AK97="","",IF(ISNUMBER(SEARCH("/",AK97)),DATE(VALUE(RIGHT(AK97,4)),VALUE(LEFT(AK97,2)),VALUE(MID(AK97,4,2))),IF(ISNUMBER(SEARCH("-",AK97)),IF(LEN(LEFT(AK97,FIND("-",AK97)-1))=4,DATE(VALUE(LEFT(AK97,4)),VALUE(MID(AK97,6,2)),VALUE(RIGHT(AK97,2))),DATE(VALUE(RIGHT(AK97,4)),VALUE(MID(AK97,4,2)),VALUE(LEFT(AK97,2)))),DATE(VALUE(RIGHT(AK97,4)),MATCH(MID(AK97,4,3),{"Jan","Feb","Mar","Apr","May","Jun","Jul","Aug","Sep","Oct","Nov","Dec"},0),VALUE(LEFT(AK97,2))))))</f>
        <v>45910</v>
      </c>
      <c r="D97" s="4" t="s">
        <v>514</v>
      </c>
      <c r="E97" s="0" t="str">
        <f aca="false">PROPER(TRIM(AL97))</f>
        <v>Sneha Kapoor</v>
      </c>
      <c r="F97" s="0" t="str">
        <f aca="false">PROPER(TRIM(AM97))</f>
        <v>Corporate</v>
      </c>
      <c r="G97" s="0" t="str">
        <f aca="false">IF(TRIM(AN97)="","Unknown",PROPER(TRIM(AN97)))</f>
        <v>West</v>
      </c>
      <c r="H97" s="0" t="str">
        <f aca="false">PROPER(TRIM(AO97))</f>
        <v>Goa</v>
      </c>
      <c r="I97" s="0" t="str">
        <f aca="false">PROPER(TRIM(AP97))</f>
        <v>Panaji</v>
      </c>
      <c r="J97" s="0" t="str">
        <f aca="false">PROPER(TRIM(AQ97))</f>
        <v>Furniture</v>
      </c>
      <c r="K97" s="0" t="str">
        <f aca="false">PROPER(TRIM(AR97))</f>
        <v>Bookcases</v>
      </c>
      <c r="M97" s="0" t="str">
        <f aca="false">IF(TRIM(AS97)="","Unknown",PROPER(TRIM(AS97)))</f>
        <v>Same Day</v>
      </c>
      <c r="N97" s="0" t="n">
        <v>6</v>
      </c>
      <c r="O97" s="0" t="n">
        <v>1754.13</v>
      </c>
      <c r="P97" s="5" t="n">
        <f aca="false">IF(AT97="","",IF(ISNUMBER(AT97),AT97,VALUE(SUBSTITUTE(AT97,"%",""))/100))</f>
        <v>0</v>
      </c>
      <c r="Q97" s="5" t="n">
        <f aca="false">IF(P97="",IF(AND(N97&lt;&gt;"",O97&lt;&gt;"",R97&lt;&gt;"",S97&lt;&gt;""),0,"REVIEW"),IF(OR(P97&lt;0,P97&gt;0.3),0,P97))</f>
        <v>0</v>
      </c>
      <c r="R97" s="0" t="n">
        <v>10524.78</v>
      </c>
      <c r="S97" s="0" t="n">
        <v>8841.05</v>
      </c>
      <c r="T97" s="6" t="n">
        <f aca="false">N97*O97*(1-Q97)</f>
        <v>10524.78</v>
      </c>
      <c r="U97" s="6" t="n">
        <f aca="false">T97-S97</f>
        <v>1683.73</v>
      </c>
      <c r="V97" s="7" t="n">
        <f aca="false">IF(T97=0,0,U97/T97)</f>
        <v>0.15997769074508</v>
      </c>
      <c r="W97" s="4" t="n">
        <f aca="false">C97-B97</f>
        <v>5</v>
      </c>
      <c r="X97" s="0" t="str">
        <f aca="false">TEXT(B97,"mmmm")</f>
        <v>September</v>
      </c>
      <c r="Y97" s="4" t="n">
        <f aca="false">YEAR(B97)</f>
        <v>2025</v>
      </c>
      <c r="Z97" s="0" t="str">
        <f aca="false">PROPER(TRIM(AU97))</f>
        <v>Paid</v>
      </c>
      <c r="AA97" s="0" t="str">
        <f aca="false">PROPER(TRIM(AV97))</f>
        <v>Completed</v>
      </c>
      <c r="AB97" s="0" t="str">
        <f aca="false">IF(TRIM(AN97)="","Yes","No")</f>
        <v>No</v>
      </c>
      <c r="AC97" s="0" t="str">
        <f aca="false">IF(TRIM(AS97)="","Yes","No")</f>
        <v>No</v>
      </c>
      <c r="AD97" s="0" t="str">
        <f aca="false">IF(AT97="","Yes","No")</f>
        <v>No</v>
      </c>
      <c r="AE97" s="0" t="str">
        <f aca="false">IF(W97&lt;0,"Yes","No")</f>
        <v>No</v>
      </c>
      <c r="AF97" s="0" t="str">
        <f aca="false">IF(P97="","No",IF(OR(P97&lt;0,P97&gt;0.3),"Yes","No"))</f>
        <v>No</v>
      </c>
      <c r="AG97" s="4" t="s">
        <v>50</v>
      </c>
      <c r="AH97" s="0" t="str">
        <f aca="false">IF(AND(AA97="Completed",Z97="Paid"),"Yes","No")</f>
        <v>Yes</v>
      </c>
      <c r="AI97" s="0" t="str">
        <f aca="false">IF(OR(AE97="Yes",AF97="Yes",AG97="Yes"),"Invalid",IF(OR(AB97="Yes",AC97="Yes",AD97="Yes"),"Warning","Clean"))</f>
        <v>Clean</v>
      </c>
      <c r="AJ97" s="4" t="s">
        <v>515</v>
      </c>
      <c r="AK97" s="4" t="s">
        <v>516</v>
      </c>
      <c r="AL97" s="4" t="s">
        <v>181</v>
      </c>
      <c r="AM97" s="4" t="s">
        <v>128</v>
      </c>
      <c r="AN97" s="4" t="s">
        <v>97</v>
      </c>
      <c r="AO97" s="4" t="s">
        <v>250</v>
      </c>
      <c r="AP97" s="4" t="s">
        <v>251</v>
      </c>
      <c r="AQ97" s="4" t="s">
        <v>72</v>
      </c>
      <c r="AR97" s="4" t="s">
        <v>211</v>
      </c>
      <c r="AS97" s="4" t="s">
        <v>74</v>
      </c>
      <c r="AT97" s="0" t="n">
        <v>0</v>
      </c>
      <c r="AU97" s="4" t="s">
        <v>61</v>
      </c>
      <c r="AV97" s="4" t="s">
        <v>62</v>
      </c>
    </row>
    <row r="98" customFormat="false" ht="15" hidden="false" customHeight="false" outlineLevel="0" collapsed="false">
      <c r="A98" s="0" t="s">
        <v>517</v>
      </c>
      <c r="B98" s="3" t="n">
        <f aca="false">IF(AJ98="","",IF(ISNUMBER(SEARCH("/",AJ98)),DATE(VALUE(RIGHT(AJ98,4)),VALUE(LEFT(AJ98,2)),VALUE(MID(AJ98,4,2))),IF(ISNUMBER(SEARCH("-",AJ98)),IF(LEN(LEFT(AJ98,FIND("-",AJ98)-1))=4,DATE(VALUE(LEFT(AJ98,4)),VALUE(MID(AJ98,6,2)),VALUE(RIGHT(AJ98,2))),DATE(VALUE(RIGHT(AJ98,4)),VALUE(MID(AJ98,4,2)),VALUE(LEFT(AJ98,2)))),DATE(VALUE(RIGHT(AJ98,4)),MATCH(MID(AJ98,4,3),{"Jan","Feb","Mar","Apr","May","Jun","Jul","Aug","Sep","Oct","Nov","Dec"},0),VALUE(LEFT(AJ98,2))))))</f>
        <v>45448</v>
      </c>
      <c r="C98" s="3" t="n">
        <f aca="false">IF(AK98="","",IF(ISNUMBER(SEARCH("/",AK98)),DATE(VALUE(RIGHT(AK98,4)),VALUE(LEFT(AK98,2)),VALUE(MID(AK98,4,2))),IF(ISNUMBER(SEARCH("-",AK98)),IF(LEN(LEFT(AK98,FIND("-",AK98)-1))=4,DATE(VALUE(LEFT(AK98,4)),VALUE(MID(AK98,6,2)),VALUE(RIGHT(AK98,2))),DATE(VALUE(RIGHT(AK98,4)),VALUE(MID(AK98,4,2)),VALUE(LEFT(AK98,2)))),DATE(VALUE(RIGHT(AK98,4)),MATCH(MID(AK98,4,3),{"Jan","Feb","Mar","Apr","May","Jun","Jul","Aug","Sep","Oct","Nov","Dec"},0),VALUE(LEFT(AK98,2))))))</f>
        <v>45450</v>
      </c>
      <c r="D98" s="4" t="s">
        <v>518</v>
      </c>
      <c r="E98" s="0" t="str">
        <f aca="false">PROPER(TRIM(AL98))</f>
        <v>Rahul Verma</v>
      </c>
      <c r="F98" s="0" t="str">
        <f aca="false">PROPER(TRIM(AM98))</f>
        <v>Home Office</v>
      </c>
      <c r="G98" s="0" t="str">
        <f aca="false">IF(TRIM(AN98)="","Unknown",PROPER(TRIM(AN98)))</f>
        <v>East</v>
      </c>
      <c r="H98" s="0" t="str">
        <f aca="false">PROPER(TRIM(AO98))</f>
        <v>Odisha</v>
      </c>
      <c r="I98" s="0" t="str">
        <f aca="false">PROPER(TRIM(AP98))</f>
        <v>Bhubaneswar</v>
      </c>
      <c r="J98" s="0" t="str">
        <f aca="false">PROPER(TRIM(AQ98))</f>
        <v>Technology</v>
      </c>
      <c r="K98" s="0" t="str">
        <f aca="false">PROPER(TRIM(AR98))</f>
        <v>Copiers</v>
      </c>
      <c r="M98" s="0" t="str">
        <f aca="false">IF(TRIM(AS98)="","Unknown",PROPER(TRIM(AS98)))</f>
        <v>Second Class</v>
      </c>
      <c r="N98" s="0" t="n">
        <v>2</v>
      </c>
      <c r="O98" s="0" t="n">
        <v>2259.24</v>
      </c>
      <c r="P98" s="5" t="n">
        <f aca="false">IF(AT98="","",IF(ISNUMBER(AT98),AT98,VALUE(SUBSTITUTE(AT98,"%",""))/100))</f>
        <v>0.15</v>
      </c>
      <c r="Q98" s="5" t="n">
        <f aca="false">IF(P98="",IF(AND(N98&lt;&gt;"",O98&lt;&gt;"",R98&lt;&gt;"",S98&lt;&gt;""),0,"REVIEW"),IF(OR(P98&lt;0,P98&gt;0.3),0,P98))</f>
        <v>0.15</v>
      </c>
      <c r="R98" s="0" t="n">
        <v>3840.71</v>
      </c>
      <c r="S98" s="0" t="n">
        <v>2516.29</v>
      </c>
      <c r="T98" s="6" t="n">
        <f aca="false">N98*O98*(1-Q98)</f>
        <v>3840.708</v>
      </c>
      <c r="U98" s="6" t="n">
        <f aca="false">T98-S98</f>
        <v>1324.418</v>
      </c>
      <c r="V98" s="7" t="n">
        <f aca="false">IF(T98=0,0,U98/T98)</f>
        <v>0.34483694152224</v>
      </c>
      <c r="W98" s="4" t="n">
        <f aca="false">C98-B98</f>
        <v>2</v>
      </c>
      <c r="X98" s="0" t="str">
        <f aca="false">TEXT(B98,"mmmm")</f>
        <v>June</v>
      </c>
      <c r="Y98" s="4" t="n">
        <f aca="false">YEAR(B98)</f>
        <v>2024</v>
      </c>
      <c r="Z98" s="0" t="str">
        <f aca="false">PROPER(TRIM(AU98))</f>
        <v>Paid</v>
      </c>
      <c r="AA98" s="0" t="str">
        <f aca="false">PROPER(TRIM(AV98))</f>
        <v>Completed</v>
      </c>
      <c r="AB98" s="0" t="str">
        <f aca="false">IF(TRIM(AN98)="","Yes","No")</f>
        <v>No</v>
      </c>
      <c r="AC98" s="0" t="str">
        <f aca="false">IF(TRIM(AS98)="","Yes","No")</f>
        <v>No</v>
      </c>
      <c r="AD98" s="0" t="str">
        <f aca="false">IF(AT98="","Yes","No")</f>
        <v>No</v>
      </c>
      <c r="AE98" s="0" t="str">
        <f aca="false">IF(W98&lt;0,"Yes","No")</f>
        <v>No</v>
      </c>
      <c r="AF98" s="0" t="str">
        <f aca="false">IF(P98="","No",IF(OR(P98&lt;0,P98&gt;0.3),"Yes","No"))</f>
        <v>No</v>
      </c>
      <c r="AG98" s="4" t="s">
        <v>50</v>
      </c>
      <c r="AH98" s="0" t="str">
        <f aca="false">IF(AND(AA98="Completed",Z98="Paid"),"Yes","No")</f>
        <v>Yes</v>
      </c>
      <c r="AI98" s="0" t="str">
        <f aca="false">IF(OR(AE98="Yes",AF98="Yes",AG98="Yes"),"Invalid",IF(OR(AB98="Yes",AC98="Yes",AD98="Yes"),"Warning","Clean"))</f>
        <v>Clean</v>
      </c>
      <c r="AJ98" s="4" t="s">
        <v>519</v>
      </c>
      <c r="AK98" s="4" t="s">
        <v>520</v>
      </c>
      <c r="AL98" s="4" t="s">
        <v>163</v>
      </c>
      <c r="AM98" s="4" t="s">
        <v>134</v>
      </c>
      <c r="AN98" s="4" t="s">
        <v>69</v>
      </c>
      <c r="AO98" s="4" t="s">
        <v>70</v>
      </c>
      <c r="AP98" s="4" t="s">
        <v>71</v>
      </c>
      <c r="AQ98" s="4" t="s">
        <v>109</v>
      </c>
      <c r="AR98" s="4" t="s">
        <v>116</v>
      </c>
      <c r="AS98" s="4" t="s">
        <v>60</v>
      </c>
      <c r="AT98" s="0" t="n">
        <v>0.15</v>
      </c>
      <c r="AU98" s="4" t="s">
        <v>61</v>
      </c>
      <c r="AV98" s="4" t="s">
        <v>62</v>
      </c>
    </row>
    <row r="99" customFormat="false" ht="15" hidden="false" customHeight="false" outlineLevel="0" collapsed="false">
      <c r="A99" s="0" t="s">
        <v>521</v>
      </c>
      <c r="B99" s="3" t="n">
        <f aca="false">IF(AJ99="","",IF(ISNUMBER(SEARCH("/",AJ99)),DATE(VALUE(RIGHT(AJ99,4)),VALUE(LEFT(AJ99,2)),VALUE(MID(AJ99,4,2))),IF(ISNUMBER(SEARCH("-",AJ99)),IF(LEN(LEFT(AJ99,FIND("-",AJ99)-1))=4,DATE(VALUE(LEFT(AJ99,4)),VALUE(MID(AJ99,6,2)),VALUE(RIGHT(AJ99,2))),DATE(VALUE(RIGHT(AJ99,4)),VALUE(MID(AJ99,4,2)),VALUE(LEFT(AJ99,2)))),DATE(VALUE(RIGHT(AJ99,4)),MATCH(MID(AJ99,4,3),{"Jan","Feb","Mar","Apr","May","Jun","Jul","Aug","Sep","Oct","Nov","Dec"},0),VALUE(LEFT(AJ99,2))))))</f>
        <v>45877</v>
      </c>
      <c r="C99" s="3" t="n">
        <f aca="false">IF(AK99="","",IF(ISNUMBER(SEARCH("/",AK99)),DATE(VALUE(RIGHT(AK99,4)),VALUE(LEFT(AK99,2)),VALUE(MID(AK99,4,2))),IF(ISNUMBER(SEARCH("-",AK99)),IF(LEN(LEFT(AK99,FIND("-",AK99)-1))=4,DATE(VALUE(LEFT(AK99,4)),VALUE(MID(AK99,6,2)),VALUE(RIGHT(AK99,2))),DATE(VALUE(RIGHT(AK99,4)),VALUE(MID(AK99,4,2)),VALUE(LEFT(AK99,2)))),DATE(VALUE(RIGHT(AK99,4)),MATCH(MID(AK99,4,3),{"Jan","Feb","Mar","Apr","May","Jun","Jul","Aug","Sep","Oct","Nov","Dec"},0),VALUE(LEFT(AK99,2))))))</f>
        <v>45880</v>
      </c>
      <c r="D99" s="4" t="s">
        <v>522</v>
      </c>
      <c r="E99" s="0" t="str">
        <f aca="false">PROPER(TRIM(AL99))</f>
        <v>Diya Patel</v>
      </c>
      <c r="F99" s="0" t="str">
        <f aca="false">PROPER(TRIM(AM99))</f>
        <v>Small Business</v>
      </c>
      <c r="G99" s="0" t="str">
        <f aca="false">IF(TRIM(AN99)="","Unknown",PROPER(TRIM(AN99)))</f>
        <v>West</v>
      </c>
      <c r="H99" s="0" t="str">
        <f aca="false">PROPER(TRIM(AO99))</f>
        <v>Gujarat</v>
      </c>
      <c r="I99" s="0" t="str">
        <f aca="false">PROPER(TRIM(AP99))</f>
        <v>Ahmedabad</v>
      </c>
      <c r="J99" s="0" t="str">
        <f aca="false">PROPER(TRIM(AQ99))</f>
        <v>Office Supplies</v>
      </c>
      <c r="K99" s="0" t="str">
        <f aca="false">PROPER(TRIM(AR99))</f>
        <v>Storage</v>
      </c>
      <c r="M99" s="0" t="str">
        <f aca="false">IF(TRIM(AS99)="","Unknown",PROPER(TRIM(AS99)))</f>
        <v>Same Day</v>
      </c>
      <c r="N99" s="0" t="n">
        <v>5</v>
      </c>
      <c r="O99" s="0" t="n">
        <v>3602.36</v>
      </c>
      <c r="P99" s="5" t="n">
        <f aca="false">IF(AT99="","",IF(ISNUMBER(AT99),AT99,VALUE(SUBSTITUTE(AT99,"%",""))/100))</f>
        <v>0.2</v>
      </c>
      <c r="Q99" s="5" t="n">
        <f aca="false">IF(P99="",IF(AND(N99&lt;&gt;"",O99&lt;&gt;"",R99&lt;&gt;"",S99&lt;&gt;""),0,"REVIEW"),IF(OR(P99&lt;0,P99&gt;0.3),0,P99))</f>
        <v>0.2</v>
      </c>
      <c r="R99" s="0" t="n">
        <v>14409.44</v>
      </c>
      <c r="S99" s="0" t="n">
        <v>8809.97</v>
      </c>
      <c r="T99" s="6" t="n">
        <f aca="false">N99*O99*(1-Q99)</f>
        <v>14409.44</v>
      </c>
      <c r="U99" s="6" t="n">
        <f aca="false">T99-S99</f>
        <v>5599.47</v>
      </c>
      <c r="V99" s="7" t="n">
        <f aca="false">IF(T99=0,0,U99/T99)</f>
        <v>0.38859733619072</v>
      </c>
      <c r="W99" s="4" t="n">
        <f aca="false">C99-B99</f>
        <v>3</v>
      </c>
      <c r="X99" s="0" t="str">
        <f aca="false">TEXT(B99,"mmmm")</f>
        <v>August</v>
      </c>
      <c r="Y99" s="4" t="n">
        <f aca="false">YEAR(B99)</f>
        <v>2025</v>
      </c>
      <c r="Z99" s="0" t="str">
        <f aca="false">PROPER(TRIM(AU99))</f>
        <v>Pending</v>
      </c>
      <c r="AA99" s="0" t="str">
        <f aca="false">PROPER(TRIM(AV99))</f>
        <v>Returned</v>
      </c>
      <c r="AB99" s="0" t="str">
        <f aca="false">IF(TRIM(AN99)="","Yes","No")</f>
        <v>No</v>
      </c>
      <c r="AC99" s="0" t="str">
        <f aca="false">IF(TRIM(AS99)="","Yes","No")</f>
        <v>No</v>
      </c>
      <c r="AD99" s="0" t="str">
        <f aca="false">IF(AT99="","Yes","No")</f>
        <v>No</v>
      </c>
      <c r="AE99" s="0" t="str">
        <f aca="false">IF(W99&lt;0,"Yes","No")</f>
        <v>No</v>
      </c>
      <c r="AF99" s="0" t="str">
        <f aca="false">IF(P99="","No",IF(OR(P99&lt;0,P99&gt;0.3),"Yes","No"))</f>
        <v>No</v>
      </c>
      <c r="AG99" s="4" t="s">
        <v>50</v>
      </c>
      <c r="AH99" s="0" t="str">
        <f aca="false">IF(AND(AA99="Completed",Z99="Paid"),"Yes","No")</f>
        <v>No</v>
      </c>
      <c r="AI99" s="0" t="str">
        <f aca="false">IF(OR(AE99="Yes",AF99="Yes",AG99="Yes"),"Invalid",IF(OR(AB99="Yes",AC99="Yes",AD99="Yes"),"Warning","Clean"))</f>
        <v>Clean</v>
      </c>
      <c r="AJ99" s="4" t="s">
        <v>523</v>
      </c>
      <c r="AK99" s="4" t="s">
        <v>524</v>
      </c>
      <c r="AL99" s="4" t="s">
        <v>216</v>
      </c>
      <c r="AM99" s="4" t="s">
        <v>68</v>
      </c>
      <c r="AN99" s="4" t="s">
        <v>97</v>
      </c>
      <c r="AO99" s="4" t="s">
        <v>238</v>
      </c>
      <c r="AP99" s="4" t="s">
        <v>239</v>
      </c>
      <c r="AQ99" s="4" t="s">
        <v>58</v>
      </c>
      <c r="AR99" s="4" t="s">
        <v>171</v>
      </c>
      <c r="AS99" s="4" t="s">
        <v>74</v>
      </c>
      <c r="AT99" s="0" t="n">
        <v>0.2</v>
      </c>
      <c r="AU99" s="4" t="s">
        <v>153</v>
      </c>
      <c r="AV99" s="4" t="s">
        <v>142</v>
      </c>
    </row>
    <row r="100" customFormat="false" ht="15" hidden="false" customHeight="false" outlineLevel="0" collapsed="false">
      <c r="A100" s="0" t="s">
        <v>525</v>
      </c>
      <c r="B100" s="3" t="n">
        <f aca="false">IF(AJ100="","",IF(ISNUMBER(SEARCH("/",AJ100)),DATE(VALUE(RIGHT(AJ100,4)),VALUE(LEFT(AJ100,2)),VALUE(MID(AJ100,4,2))),IF(ISNUMBER(SEARCH("-",AJ100)),IF(LEN(LEFT(AJ100,FIND("-",AJ100)-1))=4,DATE(VALUE(LEFT(AJ100,4)),VALUE(MID(AJ100,6,2)),VALUE(RIGHT(AJ100,2))),DATE(VALUE(RIGHT(AJ100,4)),VALUE(MID(AJ100,4,2)),VALUE(LEFT(AJ100,2)))),DATE(VALUE(RIGHT(AJ100,4)),MATCH(MID(AJ100,4,3),{"Jan","Feb","Mar","Apr","May","Jun","Jul","Aug","Sep","Oct","Nov","Dec"},0),VALUE(LEFT(AJ100,2))))))</f>
        <v>45317</v>
      </c>
      <c r="C100" s="3" t="n">
        <f aca="false">IF(AK100="","",IF(ISNUMBER(SEARCH("/",AK100)),DATE(VALUE(RIGHT(AK100,4)),VALUE(LEFT(AK100,2)),VALUE(MID(AK100,4,2))),IF(ISNUMBER(SEARCH("-",AK100)),IF(LEN(LEFT(AK100,FIND("-",AK100)-1))=4,DATE(VALUE(LEFT(AK100,4)),VALUE(MID(AK100,6,2)),VALUE(RIGHT(AK100,2))),DATE(VALUE(RIGHT(AK100,4)),VALUE(MID(AK100,4,2)),VALUE(LEFT(AK100,2)))),DATE(VALUE(RIGHT(AK100,4)),MATCH(MID(AK100,4,3),{"Jan","Feb","Mar","Apr","May","Jun","Jul","Aug","Sep","Oct","Nov","Dec"},0),VALUE(LEFT(AK100,2))))))</f>
        <v>45323</v>
      </c>
      <c r="D100" s="4" t="s">
        <v>526</v>
      </c>
      <c r="E100" s="0" t="str">
        <f aca="false">PROPER(TRIM(AL100))</f>
        <v>Rohan Mehta</v>
      </c>
      <c r="F100" s="0" t="str">
        <f aca="false">PROPER(TRIM(AM100))</f>
        <v>Home Office</v>
      </c>
      <c r="G100" s="0" t="str">
        <f aca="false">IF(TRIM(AN100)="","Unknown",PROPER(TRIM(AN100)))</f>
        <v>South</v>
      </c>
      <c r="H100" s="0" t="str">
        <f aca="false">PROPER(TRIM(AO100))</f>
        <v>Kerala</v>
      </c>
      <c r="I100" s="0" t="str">
        <f aca="false">PROPER(TRIM(AP100))</f>
        <v>Kochi</v>
      </c>
      <c r="J100" s="0" t="str">
        <f aca="false">PROPER(TRIM(AQ100))</f>
        <v>Technology</v>
      </c>
      <c r="K100" s="0" t="str">
        <f aca="false">PROPER(TRIM(AR100))</f>
        <v>Copiers</v>
      </c>
      <c r="M100" s="0" t="str">
        <f aca="false">IF(TRIM(AS100)="","Unknown",PROPER(TRIM(AS100)))</f>
        <v>Unknown</v>
      </c>
      <c r="N100" s="0" t="n">
        <v>8</v>
      </c>
      <c r="O100" s="0" t="n">
        <v>2108.93</v>
      </c>
      <c r="P100" s="5" t="n">
        <f aca="false">IF(AT100="","",IF(ISNUMBER(AT100),AT100,VALUE(SUBSTITUTE(AT100,"%",""))/100))</f>
        <v>0.1</v>
      </c>
      <c r="Q100" s="5" t="n">
        <f aca="false">IF(P100="",IF(AND(N100&lt;&gt;"",O100&lt;&gt;"",R100&lt;&gt;"",S100&lt;&gt;""),0,"REVIEW"),IF(OR(P100&lt;0,P100&gt;0.3),0,P100))</f>
        <v>0.1</v>
      </c>
      <c r="R100" s="0" t="n">
        <v>15184.3</v>
      </c>
      <c r="S100" s="0" t="n">
        <v>11270.74</v>
      </c>
      <c r="T100" s="6" t="n">
        <f aca="false">N100*O100*(1-Q100)</f>
        <v>15184.296</v>
      </c>
      <c r="U100" s="6" t="n">
        <f aca="false">T100-S100</f>
        <v>3913.556</v>
      </c>
      <c r="V100" s="7" t="n">
        <f aca="false">IF(T100=0,0,U100/T100)</f>
        <v>0.257737072564971</v>
      </c>
      <c r="W100" s="4" t="n">
        <f aca="false">C100-B100</f>
        <v>6</v>
      </c>
      <c r="X100" s="0" t="str">
        <f aca="false">TEXT(B100,"mmmm")</f>
        <v>January</v>
      </c>
      <c r="Y100" s="4" t="n">
        <f aca="false">YEAR(B100)</f>
        <v>2024</v>
      </c>
      <c r="Z100" s="0" t="str">
        <f aca="false">PROPER(TRIM(AU100))</f>
        <v>Paid</v>
      </c>
      <c r="AA100" s="0" t="str">
        <f aca="false">PROPER(TRIM(AV100))</f>
        <v>Completed</v>
      </c>
      <c r="AB100" s="0" t="str">
        <f aca="false">IF(TRIM(AN100)="","Yes","No")</f>
        <v>No</v>
      </c>
      <c r="AC100" s="0" t="str">
        <f aca="false">IF(TRIM(AS100)="","Yes","No")</f>
        <v>Yes</v>
      </c>
      <c r="AD100" s="0" t="str">
        <f aca="false">IF(AT100="","Yes","No")</f>
        <v>No</v>
      </c>
      <c r="AE100" s="0" t="str">
        <f aca="false">IF(W100&lt;0,"Yes","No")</f>
        <v>No</v>
      </c>
      <c r="AF100" s="0" t="str">
        <f aca="false">IF(P100="","No",IF(OR(P100&lt;0,P100&gt;0.3),"Yes","No"))</f>
        <v>No</v>
      </c>
      <c r="AG100" s="4" t="s">
        <v>50</v>
      </c>
      <c r="AH100" s="0" t="str">
        <f aca="false">IF(AND(AA100="Completed",Z100="Paid"),"Yes","No")</f>
        <v>Yes</v>
      </c>
      <c r="AI100" s="0" t="str">
        <f aca="false">IF(OR(AE100="Yes",AF100="Yes",AG100="Yes"),"Invalid",IF(OR(AB100="Yes",AC100="Yes",AD100="Yes"),"Warning","Clean"))</f>
        <v>Warning</v>
      </c>
      <c r="AJ100" s="4" t="s">
        <v>527</v>
      </c>
      <c r="AK100" s="4" t="s">
        <v>528</v>
      </c>
      <c r="AL100" s="4" t="s">
        <v>191</v>
      </c>
      <c r="AM100" s="4" t="s">
        <v>134</v>
      </c>
      <c r="AN100" s="4" t="s">
        <v>87</v>
      </c>
      <c r="AO100" s="4" t="s">
        <v>244</v>
      </c>
      <c r="AP100" s="4" t="s">
        <v>245</v>
      </c>
      <c r="AQ100" s="4" t="s">
        <v>109</v>
      </c>
      <c r="AR100" s="4" t="s">
        <v>116</v>
      </c>
      <c r="AT100" s="0" t="n">
        <v>0.1</v>
      </c>
      <c r="AU100" s="4" t="s">
        <v>61</v>
      </c>
      <c r="AV100" s="4" t="s">
        <v>62</v>
      </c>
    </row>
    <row r="101" customFormat="false" ht="15" hidden="false" customHeight="false" outlineLevel="0" collapsed="false">
      <c r="A101" s="0" t="s">
        <v>529</v>
      </c>
      <c r="B101" s="3" t="n">
        <f aca="false">IF(AJ101="","",IF(ISNUMBER(SEARCH("/",AJ101)),DATE(VALUE(RIGHT(AJ101,4)),VALUE(LEFT(AJ101,2)),VALUE(MID(AJ101,4,2))),IF(ISNUMBER(SEARCH("-",AJ101)),IF(LEN(LEFT(AJ101,FIND("-",AJ101)-1))=4,DATE(VALUE(LEFT(AJ101,4)),VALUE(MID(AJ101,6,2)),VALUE(RIGHT(AJ101,2))),DATE(VALUE(RIGHT(AJ101,4)),VALUE(MID(AJ101,4,2)),VALUE(LEFT(AJ101,2)))),DATE(VALUE(RIGHT(AJ101,4)),MATCH(MID(AJ101,4,3),{"Jan","Feb","Mar","Apr","May","Jun","Jul","Aug","Sep","Oct","Nov","Dec"},0),VALUE(LEFT(AJ101,2))))))</f>
        <v>45668</v>
      </c>
      <c r="C101" s="3" t="n">
        <f aca="false">IF(AK101="","",IF(ISNUMBER(SEARCH("/",AK101)),DATE(VALUE(RIGHT(AK101,4)),VALUE(LEFT(AK101,2)),VALUE(MID(AK101,4,2))),IF(ISNUMBER(SEARCH("-",AK101)),IF(LEN(LEFT(AK101,FIND("-",AK101)-1))=4,DATE(VALUE(LEFT(AK101,4)),VALUE(MID(AK101,6,2)),VALUE(RIGHT(AK101,2))),DATE(VALUE(RIGHT(AK101,4)),VALUE(MID(AK101,4,2)),VALUE(LEFT(AK101,2)))),DATE(VALUE(RIGHT(AK101,4)),MATCH(MID(AK101,4,3),{"Jan","Feb","Mar","Apr","May","Jun","Jul","Aug","Sep","Oct","Nov","Dec"},0),VALUE(LEFT(AK101,2))))))</f>
        <v>45668</v>
      </c>
      <c r="D101" s="4" t="s">
        <v>530</v>
      </c>
      <c r="E101" s="0" t="str">
        <f aca="false">PROPER(TRIM(AL101))</f>
        <v>Aditi Sen</v>
      </c>
      <c r="F101" s="0" t="str">
        <f aca="false">PROPER(TRIM(AM101))</f>
        <v>Small Business</v>
      </c>
      <c r="G101" s="0" t="str">
        <f aca="false">IF(TRIM(AN101)="","Unknown",PROPER(TRIM(AN101)))</f>
        <v>West</v>
      </c>
      <c r="H101" s="0" t="str">
        <f aca="false">PROPER(TRIM(AO101))</f>
        <v>Rajasthan</v>
      </c>
      <c r="I101" s="0" t="str">
        <f aca="false">PROPER(TRIM(AP101))</f>
        <v>Udaipur</v>
      </c>
      <c r="J101" s="0" t="str">
        <f aca="false">PROPER(TRIM(AQ101))</f>
        <v>Technology</v>
      </c>
      <c r="K101" s="0" t="str">
        <f aca="false">PROPER(TRIM(AR101))</f>
        <v>Accessories</v>
      </c>
      <c r="M101" s="0" t="str">
        <f aca="false">IF(TRIM(AS101)="","Unknown",PROPER(TRIM(AS101)))</f>
        <v>Same Day</v>
      </c>
      <c r="N101" s="0" t="n">
        <v>3</v>
      </c>
      <c r="O101" s="0" t="n">
        <v>2165.29</v>
      </c>
      <c r="P101" s="5" t="n">
        <f aca="false">IF(AT101="","",IF(ISNUMBER(AT101),AT101,VALUE(SUBSTITUTE(AT101,"%",""))/100))</f>
        <v>0</v>
      </c>
      <c r="Q101" s="5" t="n">
        <f aca="false">IF(P101="",IF(AND(N101&lt;&gt;"",O101&lt;&gt;"",R101&lt;&gt;"",S101&lt;&gt;""),0,"REVIEW"),IF(OR(P101&lt;0,P101&gt;0.3),0,P101))</f>
        <v>0</v>
      </c>
      <c r="R101" s="0" t="n">
        <v>6495.87</v>
      </c>
      <c r="S101" s="0" t="n">
        <v>4700.89</v>
      </c>
      <c r="T101" s="6" t="n">
        <f aca="false">N101*O101*(1-Q101)</f>
        <v>6495.87</v>
      </c>
      <c r="U101" s="6" t="n">
        <f aca="false">T101-S101</f>
        <v>1794.98</v>
      </c>
      <c r="V101" s="7" t="n">
        <f aca="false">IF(T101=0,0,U101/T101)</f>
        <v>0.27632634273777</v>
      </c>
      <c r="W101" s="4" t="n">
        <f aca="false">C101-B101</f>
        <v>0</v>
      </c>
      <c r="X101" s="0" t="str">
        <f aca="false">TEXT(B101,"mmmm")</f>
        <v>January</v>
      </c>
      <c r="Y101" s="4" t="n">
        <f aca="false">YEAR(B101)</f>
        <v>2025</v>
      </c>
      <c r="Z101" s="0" t="str">
        <f aca="false">PROPER(TRIM(AU101))</f>
        <v>Paid</v>
      </c>
      <c r="AA101" s="0" t="str">
        <f aca="false">PROPER(TRIM(AV101))</f>
        <v>Completed</v>
      </c>
      <c r="AB101" s="0" t="str">
        <f aca="false">IF(TRIM(AN101)="","Yes","No")</f>
        <v>No</v>
      </c>
      <c r="AC101" s="0" t="str">
        <f aca="false">IF(TRIM(AS101)="","Yes","No")</f>
        <v>No</v>
      </c>
      <c r="AD101" s="0" t="str">
        <f aca="false">IF(AT101="","Yes","No")</f>
        <v>No</v>
      </c>
      <c r="AE101" s="0" t="str">
        <f aca="false">IF(W101&lt;0,"Yes","No")</f>
        <v>No</v>
      </c>
      <c r="AF101" s="0" t="str">
        <f aca="false">IF(P101="","No",IF(OR(P101&lt;0,P101&gt;0.3),"Yes","No"))</f>
        <v>No</v>
      </c>
      <c r="AG101" s="4" t="s">
        <v>50</v>
      </c>
      <c r="AH101" s="0" t="str">
        <f aca="false">IF(AND(AA101="Completed",Z101="Paid"),"Yes","No")</f>
        <v>Yes</v>
      </c>
      <c r="AI101" s="0" t="str">
        <f aca="false">IF(OR(AE101="Yes",AF101="Yes",AG101="Yes"),"Invalid",IF(OR(AB101="Yes",AC101="Yes",AD101="Yes"),"Warning","Clean"))</f>
        <v>Clean</v>
      </c>
      <c r="AJ101" s="4" t="s">
        <v>531</v>
      </c>
      <c r="AK101" s="4" t="s">
        <v>531</v>
      </c>
      <c r="AL101" s="4" t="s">
        <v>127</v>
      </c>
      <c r="AM101" s="4" t="s">
        <v>68</v>
      </c>
      <c r="AN101" s="4" t="s">
        <v>97</v>
      </c>
      <c r="AO101" s="4" t="s">
        <v>56</v>
      </c>
      <c r="AP101" s="4" t="s">
        <v>152</v>
      </c>
      <c r="AQ101" s="4" t="s">
        <v>109</v>
      </c>
      <c r="AR101" s="4" t="s">
        <v>110</v>
      </c>
      <c r="AS101" s="4" t="s">
        <v>74</v>
      </c>
      <c r="AT101" s="0" t="n">
        <v>0</v>
      </c>
      <c r="AU101" s="4" t="s">
        <v>61</v>
      </c>
      <c r="AV101" s="4" t="s">
        <v>62</v>
      </c>
    </row>
    <row r="102" customFormat="false" ht="15" hidden="false" customHeight="false" outlineLevel="0" collapsed="false">
      <c r="A102" s="0" t="s">
        <v>532</v>
      </c>
      <c r="B102" s="3" t="n">
        <f aca="false">IF(AJ102="","",IF(ISNUMBER(SEARCH("/",AJ102)),DATE(VALUE(RIGHT(AJ102,4)),VALUE(LEFT(AJ102,2)),VALUE(MID(AJ102,4,2))),IF(ISNUMBER(SEARCH("-",AJ102)),IF(LEN(LEFT(AJ102,FIND("-",AJ102)-1))=4,DATE(VALUE(LEFT(AJ102,4)),VALUE(MID(AJ102,6,2)),VALUE(RIGHT(AJ102,2))),DATE(VALUE(RIGHT(AJ102,4)),VALUE(MID(AJ102,4,2)),VALUE(LEFT(AJ102,2)))),DATE(VALUE(RIGHT(AJ102,4)),MATCH(MID(AJ102,4,3),{"Jan","Feb","Mar","Apr","May","Jun","Jul","Aug","Sep","Oct","Nov","Dec"},0),VALUE(LEFT(AJ102,2))))))</f>
        <v>45912</v>
      </c>
      <c r="C102" s="3" t="n">
        <f aca="false">IF(AK102="","",IF(ISNUMBER(SEARCH("/",AK102)),DATE(VALUE(RIGHT(AK102,4)),VALUE(LEFT(AK102,2)),VALUE(MID(AK102,4,2))),IF(ISNUMBER(SEARCH("-",AK102)),IF(LEN(LEFT(AK102,FIND("-",AK102)-1))=4,DATE(VALUE(LEFT(AK102,4)),VALUE(MID(AK102,6,2)),VALUE(RIGHT(AK102,2))),DATE(VALUE(RIGHT(AK102,4)),VALUE(MID(AK102,4,2)),VALUE(LEFT(AK102,2)))),DATE(VALUE(RIGHT(AK102,4)),MATCH(MID(AK102,4,3),{"Jan","Feb","Mar","Apr","May","Jun","Jul","Aug","Sep","Oct","Nov","Dec"},0),VALUE(LEFT(AK102,2))))))</f>
        <v>45918</v>
      </c>
      <c r="D102" s="4" t="s">
        <v>533</v>
      </c>
      <c r="E102" s="0" t="str">
        <f aca="false">PROPER(TRIM(AL102))</f>
        <v>Aarav Sharma</v>
      </c>
      <c r="F102" s="0" t="str">
        <f aca="false">PROPER(TRIM(AM102))</f>
        <v>Home Office</v>
      </c>
      <c r="G102" s="0" t="str">
        <f aca="false">IF(TRIM(AN102)="","Unknown",PROPER(TRIM(AN102)))</f>
        <v>South</v>
      </c>
      <c r="H102" s="0" t="str">
        <f aca="false">PROPER(TRIM(AO102))</f>
        <v>Kerala</v>
      </c>
      <c r="I102" s="0" t="str">
        <f aca="false">PROPER(TRIM(AP102))</f>
        <v>Kochi</v>
      </c>
      <c r="J102" s="0" t="str">
        <f aca="false">PROPER(TRIM(AQ102))</f>
        <v>Office Supplies</v>
      </c>
      <c r="K102" s="0" t="str">
        <f aca="false">PROPER(TRIM(AR102))</f>
        <v>Storage</v>
      </c>
      <c r="M102" s="0" t="str">
        <f aca="false">IF(TRIM(AS102)="","Unknown",PROPER(TRIM(AS102)))</f>
        <v>Standard Class</v>
      </c>
      <c r="N102" s="0" t="n">
        <v>6</v>
      </c>
      <c r="O102" s="0" t="n">
        <v>1673.8</v>
      </c>
      <c r="P102" s="5" t="n">
        <f aca="false">IF(AT102="","",IF(ISNUMBER(AT102),AT102,VALUE(SUBSTITUTE(AT102,"%",""))/100))</f>
        <v>0.05</v>
      </c>
      <c r="Q102" s="5" t="n">
        <f aca="false">IF(P102="",IF(AND(N102&lt;&gt;"",O102&lt;&gt;"",R102&lt;&gt;"",S102&lt;&gt;""),0,"REVIEW"),IF(OR(P102&lt;0,P102&gt;0.3),0,P102))</f>
        <v>0.05</v>
      </c>
      <c r="R102" s="0" t="n">
        <v>9540.66</v>
      </c>
      <c r="S102" s="0" t="n">
        <v>5561.49</v>
      </c>
      <c r="T102" s="6" t="n">
        <f aca="false">N102*O102*(1-Q102)</f>
        <v>9540.66</v>
      </c>
      <c r="U102" s="6" t="n">
        <f aca="false">T102-S102</f>
        <v>3979.17</v>
      </c>
      <c r="V102" s="7" t="n">
        <f aca="false">IF(T102=0,0,U102/T102)</f>
        <v>0.417074919345202</v>
      </c>
      <c r="W102" s="4" t="n">
        <f aca="false">C102-B102</f>
        <v>6</v>
      </c>
      <c r="X102" s="0" t="str">
        <f aca="false">TEXT(B102,"mmmm")</f>
        <v>September</v>
      </c>
      <c r="Y102" s="4" t="n">
        <f aca="false">YEAR(B102)</f>
        <v>2025</v>
      </c>
      <c r="Z102" s="0" t="str">
        <f aca="false">PROPER(TRIM(AU102))</f>
        <v>Paid</v>
      </c>
      <c r="AA102" s="0" t="str">
        <f aca="false">PROPER(TRIM(AV102))</f>
        <v>Completed</v>
      </c>
      <c r="AB102" s="0" t="str">
        <f aca="false">IF(TRIM(AN102)="","Yes","No")</f>
        <v>No</v>
      </c>
      <c r="AC102" s="0" t="str">
        <f aca="false">IF(TRIM(AS102)="","Yes","No")</f>
        <v>No</v>
      </c>
      <c r="AD102" s="0" t="str">
        <f aca="false">IF(AT102="","Yes","No")</f>
        <v>No</v>
      </c>
      <c r="AE102" s="0" t="str">
        <f aca="false">IF(W102&lt;0,"Yes","No")</f>
        <v>No</v>
      </c>
      <c r="AF102" s="0" t="str">
        <f aca="false">IF(P102="","No",IF(OR(P102&lt;0,P102&gt;0.3),"Yes","No"))</f>
        <v>No</v>
      </c>
      <c r="AG102" s="4" t="s">
        <v>50</v>
      </c>
      <c r="AH102" s="0" t="str">
        <f aca="false">IF(AND(AA102="Completed",Z102="Paid"),"Yes","No")</f>
        <v>Yes</v>
      </c>
      <c r="AI102" s="0" t="str">
        <f aca="false">IF(OR(AE102="Yes",AF102="Yes",AG102="Yes"),"Invalid",IF(OR(AB102="Yes",AC102="Yes",AD102="Yes"),"Warning","Clean"))</f>
        <v>Clean</v>
      </c>
      <c r="AJ102" s="4" t="s">
        <v>534</v>
      </c>
      <c r="AK102" s="4" t="s">
        <v>535</v>
      </c>
      <c r="AL102" s="4" t="s">
        <v>176</v>
      </c>
      <c r="AM102" s="4" t="s">
        <v>134</v>
      </c>
      <c r="AN102" s="4" t="s">
        <v>87</v>
      </c>
      <c r="AO102" s="4" t="s">
        <v>244</v>
      </c>
      <c r="AP102" s="4" t="s">
        <v>245</v>
      </c>
      <c r="AQ102" s="4" t="s">
        <v>58</v>
      </c>
      <c r="AR102" s="4" t="s">
        <v>171</v>
      </c>
      <c r="AS102" s="4" t="s">
        <v>91</v>
      </c>
      <c r="AT102" s="0" t="n">
        <v>0.05</v>
      </c>
      <c r="AU102" s="4" t="s">
        <v>61</v>
      </c>
      <c r="AV102" s="4" t="s">
        <v>62</v>
      </c>
    </row>
    <row r="103" customFormat="false" ht="15" hidden="false" customHeight="false" outlineLevel="0" collapsed="false">
      <c r="A103" s="0" t="s">
        <v>536</v>
      </c>
      <c r="B103" s="3" t="n">
        <f aca="false">IF(AJ103="","",IF(ISNUMBER(SEARCH("/",AJ103)),DATE(VALUE(RIGHT(AJ103,4)),VALUE(LEFT(AJ103,2)),VALUE(MID(AJ103,4,2))),IF(ISNUMBER(SEARCH("-",AJ103)),IF(LEN(LEFT(AJ103,FIND("-",AJ103)-1))=4,DATE(VALUE(LEFT(AJ103,4)),VALUE(MID(AJ103,6,2)),VALUE(RIGHT(AJ103,2))),DATE(VALUE(RIGHT(AJ103,4)),VALUE(MID(AJ103,4,2)),VALUE(LEFT(AJ103,2)))),DATE(VALUE(RIGHT(AJ103,4)),MATCH(MID(AJ103,4,3),{"Jan","Feb","Mar","Apr","May","Jun","Jul","Aug","Sep","Oct","Nov","Dec"},0),VALUE(LEFT(AJ103,2))))))</f>
        <v>45465</v>
      </c>
      <c r="C103" s="3" t="n">
        <f aca="false">IF(AK103="","",IF(ISNUMBER(SEARCH("/",AK103)),DATE(VALUE(RIGHT(AK103,4)),VALUE(LEFT(AK103,2)),VALUE(MID(AK103,4,2))),IF(ISNUMBER(SEARCH("-",AK103)),IF(LEN(LEFT(AK103,FIND("-",AK103)-1))=4,DATE(VALUE(LEFT(AK103,4)),VALUE(MID(AK103,6,2)),VALUE(RIGHT(AK103,2))),DATE(VALUE(RIGHT(AK103,4)),VALUE(MID(AK103,4,2)),VALUE(LEFT(AK103,2)))),DATE(VALUE(RIGHT(AK103,4)),MATCH(MID(AK103,4,3),{"Jan","Feb","Mar","Apr","May","Jun","Jul","Aug","Sep","Oct","Nov","Dec"},0),VALUE(LEFT(AK103,2))))))</f>
        <v>45469</v>
      </c>
      <c r="D103" s="4" t="s">
        <v>537</v>
      </c>
      <c r="E103" s="0" t="str">
        <f aca="false">PROPER(TRIM(AL103))</f>
        <v>Rohan Mehta</v>
      </c>
      <c r="F103" s="0" t="str">
        <f aca="false">PROPER(TRIM(AM103))</f>
        <v>Home Office</v>
      </c>
      <c r="G103" s="0" t="str">
        <f aca="false">IF(TRIM(AN103)="","Unknown",PROPER(TRIM(AN103)))</f>
        <v>East</v>
      </c>
      <c r="H103" s="0" t="str">
        <f aca="false">PROPER(TRIM(AO103))</f>
        <v>Bihar</v>
      </c>
      <c r="I103" s="0" t="str">
        <f aca="false">PROPER(TRIM(AP103))</f>
        <v>Patna</v>
      </c>
      <c r="J103" s="0" t="str">
        <f aca="false">PROPER(TRIM(AQ103))</f>
        <v>Furniture</v>
      </c>
      <c r="K103" s="0" t="str">
        <f aca="false">PROPER(TRIM(AR103))</f>
        <v>Furnishings</v>
      </c>
      <c r="M103" s="0" t="str">
        <f aca="false">IF(TRIM(AS103)="","Unknown",PROPER(TRIM(AS103)))</f>
        <v>First Class</v>
      </c>
      <c r="N103" s="0" t="n">
        <v>5</v>
      </c>
      <c r="O103" s="0" t="n">
        <v>4396.52</v>
      </c>
      <c r="P103" s="5" t="n">
        <f aca="false">IF(AT103="","",IF(ISNUMBER(AT103),AT103,VALUE(SUBSTITUTE(AT103,"%",""))/100))</f>
        <v>0.25</v>
      </c>
      <c r="Q103" s="5" t="n">
        <f aca="false">IF(P103="",IF(AND(N103&lt;&gt;"",O103&lt;&gt;"",R103&lt;&gt;"",S103&lt;&gt;""),0,"REVIEW"),IF(OR(P103&lt;0,P103&gt;0.3),0,P103))</f>
        <v>0.25</v>
      </c>
      <c r="R103" s="0" t="n">
        <v>16486.95</v>
      </c>
      <c r="S103" s="0" t="n">
        <v>12054.14</v>
      </c>
      <c r="T103" s="6" t="n">
        <f aca="false">N103*O103*(1-Q103)</f>
        <v>16486.95</v>
      </c>
      <c r="U103" s="6" t="n">
        <f aca="false">T103-S103</f>
        <v>4432.81</v>
      </c>
      <c r="V103" s="7" t="n">
        <f aca="false">IF(T103=0,0,U103/T103)</f>
        <v>0.268867801503614</v>
      </c>
      <c r="W103" s="4" t="n">
        <f aca="false">C103-B103</f>
        <v>4</v>
      </c>
      <c r="X103" s="0" t="str">
        <f aca="false">TEXT(B103,"mmmm")</f>
        <v>June</v>
      </c>
      <c r="Y103" s="4" t="n">
        <f aca="false">YEAR(B103)</f>
        <v>2024</v>
      </c>
      <c r="Z103" s="0" t="str">
        <f aca="false">PROPER(TRIM(AU103))</f>
        <v>Paid</v>
      </c>
      <c r="AA103" s="0" t="str">
        <f aca="false">PROPER(TRIM(AV103))</f>
        <v>Completed</v>
      </c>
      <c r="AB103" s="0" t="str">
        <f aca="false">IF(TRIM(AN103)="","Yes","No")</f>
        <v>No</v>
      </c>
      <c r="AC103" s="0" t="str">
        <f aca="false">IF(TRIM(AS103)="","Yes","No")</f>
        <v>No</v>
      </c>
      <c r="AD103" s="0" t="str">
        <f aca="false">IF(AT103="","Yes","No")</f>
        <v>No</v>
      </c>
      <c r="AE103" s="0" t="str">
        <f aca="false">IF(W103&lt;0,"Yes","No")</f>
        <v>No</v>
      </c>
      <c r="AF103" s="0" t="str">
        <f aca="false">IF(P103="","No",IF(OR(P103&lt;0,P103&gt;0.3),"Yes","No"))</f>
        <v>No</v>
      </c>
      <c r="AG103" s="4" t="s">
        <v>50</v>
      </c>
      <c r="AH103" s="0" t="str">
        <f aca="false">IF(AND(AA103="Completed",Z103="Paid"),"Yes","No")</f>
        <v>Yes</v>
      </c>
      <c r="AI103" s="0" t="str">
        <f aca="false">IF(OR(AE103="Yes",AF103="Yes",AG103="Yes"),"Invalid",IF(OR(AB103="Yes",AC103="Yes",AD103="Yes"),"Warning","Clean"))</f>
        <v>Clean</v>
      </c>
      <c r="AJ103" s="4" t="s">
        <v>308</v>
      </c>
      <c r="AK103" s="4" t="s">
        <v>538</v>
      </c>
      <c r="AL103" s="4" t="s">
        <v>191</v>
      </c>
      <c r="AM103" s="4" t="s">
        <v>539</v>
      </c>
      <c r="AN103" s="4" t="s">
        <v>69</v>
      </c>
      <c r="AO103" s="4" t="s">
        <v>196</v>
      </c>
      <c r="AP103" s="4" t="s">
        <v>197</v>
      </c>
      <c r="AQ103" s="4" t="s">
        <v>72</v>
      </c>
      <c r="AR103" s="4" t="s">
        <v>90</v>
      </c>
      <c r="AS103" s="4" t="s">
        <v>81</v>
      </c>
      <c r="AT103" s="0" t="n">
        <v>0.25</v>
      </c>
      <c r="AU103" s="4" t="s">
        <v>61</v>
      </c>
      <c r="AV103" s="4" t="s">
        <v>62</v>
      </c>
    </row>
    <row r="104" customFormat="false" ht="15" hidden="false" customHeight="false" outlineLevel="0" collapsed="false">
      <c r="A104" s="0" t="s">
        <v>540</v>
      </c>
      <c r="B104" s="3" t="n">
        <f aca="false">IF(AJ104="","",IF(ISNUMBER(SEARCH("/",AJ104)),DATE(VALUE(RIGHT(AJ104,4)),VALUE(LEFT(AJ104,2)),VALUE(MID(AJ104,4,2))),IF(ISNUMBER(SEARCH("-",AJ104)),IF(LEN(LEFT(AJ104,FIND("-",AJ104)-1))=4,DATE(VALUE(LEFT(AJ104,4)),VALUE(MID(AJ104,6,2)),VALUE(RIGHT(AJ104,2))),DATE(VALUE(RIGHT(AJ104,4)),VALUE(MID(AJ104,4,2)),VALUE(LEFT(AJ104,2)))),DATE(VALUE(RIGHT(AJ104,4)),MATCH(MID(AJ104,4,3),{"Jan","Feb","Mar","Apr","May","Jun","Jul","Aug","Sep","Oct","Nov","Dec"},0),VALUE(LEFT(AJ104,2))))))</f>
        <v>45850</v>
      </c>
      <c r="C104" s="3" t="n">
        <f aca="false">IF(AK104="","",IF(ISNUMBER(SEARCH("/",AK104)),DATE(VALUE(RIGHT(AK104,4)),VALUE(LEFT(AK104,2)),VALUE(MID(AK104,4,2))),IF(ISNUMBER(SEARCH("-",AK104)),IF(LEN(LEFT(AK104,FIND("-",AK104)-1))=4,DATE(VALUE(LEFT(AK104,4)),VALUE(MID(AK104,6,2)),VALUE(RIGHT(AK104,2))),DATE(VALUE(RIGHT(AK104,4)),VALUE(MID(AK104,4,2)),VALUE(LEFT(AK104,2)))),DATE(VALUE(RIGHT(AK104,4)),MATCH(MID(AK104,4,3),{"Jan","Feb","Mar","Apr","May","Jun","Jul","Aug","Sep","Oct","Nov","Dec"},0),VALUE(LEFT(AK104,2))))))</f>
        <v>45854</v>
      </c>
      <c r="D104" s="4" t="s">
        <v>541</v>
      </c>
      <c r="E104" s="0" t="str">
        <f aca="false">PROPER(TRIM(AL104))</f>
        <v>Vikram Iyer</v>
      </c>
      <c r="F104" s="0" t="str">
        <f aca="false">PROPER(TRIM(AM104))</f>
        <v>Consumer</v>
      </c>
      <c r="G104" s="0" t="str">
        <f aca="false">IF(TRIM(AN104)="","Unknown",PROPER(TRIM(AN104)))</f>
        <v>South</v>
      </c>
      <c r="H104" s="0" t="str">
        <f aca="false">PROPER(TRIM(AO104))</f>
        <v>Karnataka</v>
      </c>
      <c r="I104" s="0" t="str">
        <f aca="false">PROPER(TRIM(AP104))</f>
        <v>Bengaluru</v>
      </c>
      <c r="J104" s="0" t="str">
        <f aca="false">PROPER(TRIM(AQ104))</f>
        <v>Furniture</v>
      </c>
      <c r="K104" s="0" t="str">
        <f aca="false">PROPER(TRIM(AR104))</f>
        <v>Chairs</v>
      </c>
      <c r="M104" s="0" t="str">
        <f aca="false">IF(TRIM(AS104)="","Unknown",PROPER(TRIM(AS104)))</f>
        <v>First Class</v>
      </c>
      <c r="N104" s="0" t="n">
        <v>4</v>
      </c>
      <c r="O104" s="0" t="n">
        <v>2865.71</v>
      </c>
      <c r="P104" s="5" t="n">
        <f aca="false">IF(AT104="","",IF(ISNUMBER(AT104),AT104,VALUE(SUBSTITUTE(AT104,"%",""))/100))</f>
        <v>0</v>
      </c>
      <c r="Q104" s="5" t="n">
        <f aca="false">IF(P104="",IF(AND(N104&lt;&gt;"",O104&lt;&gt;"",R104&lt;&gt;"",S104&lt;&gt;""),0,"REVIEW"),IF(OR(P104&lt;0,P104&gt;0.3),0,P104))</f>
        <v>0</v>
      </c>
      <c r="R104" s="0" t="n">
        <v>11462.84</v>
      </c>
      <c r="S104" s="0" t="n">
        <v>8979.78</v>
      </c>
      <c r="T104" s="6" t="n">
        <f aca="false">N104*O104*(1-Q104)</f>
        <v>11462.84</v>
      </c>
      <c r="U104" s="6" t="n">
        <f aca="false">T104-S104</f>
        <v>2483.06</v>
      </c>
      <c r="V104" s="7" t="n">
        <f aca="false">IF(T104=0,0,U104/T104)</f>
        <v>0.216618220266531</v>
      </c>
      <c r="W104" s="4" t="n">
        <f aca="false">C104-B104</f>
        <v>4</v>
      </c>
      <c r="X104" s="0" t="str">
        <f aca="false">TEXT(B104,"mmmm")</f>
        <v>July</v>
      </c>
      <c r="Y104" s="4" t="n">
        <f aca="false">YEAR(B104)</f>
        <v>2025</v>
      </c>
      <c r="Z104" s="0" t="str">
        <f aca="false">PROPER(TRIM(AU104))</f>
        <v>Refunded</v>
      </c>
      <c r="AA104" s="0" t="str">
        <f aca="false">PROPER(TRIM(AV104))</f>
        <v>Cancelled</v>
      </c>
      <c r="AB104" s="0" t="str">
        <f aca="false">IF(TRIM(AN104)="","Yes","No")</f>
        <v>No</v>
      </c>
      <c r="AC104" s="0" t="str">
        <f aca="false">IF(TRIM(AS104)="","Yes","No")</f>
        <v>No</v>
      </c>
      <c r="AD104" s="0" t="str">
        <f aca="false">IF(AT104="","Yes","No")</f>
        <v>No</v>
      </c>
      <c r="AE104" s="0" t="str">
        <f aca="false">IF(W104&lt;0,"Yes","No")</f>
        <v>No</v>
      </c>
      <c r="AF104" s="0" t="str">
        <f aca="false">IF(P104="","No",IF(OR(P104&lt;0,P104&gt;0.3),"Yes","No"))</f>
        <v>No</v>
      </c>
      <c r="AG104" s="4" t="s">
        <v>50</v>
      </c>
      <c r="AH104" s="0" t="str">
        <f aca="false">IF(AND(AA104="Completed",Z104="Paid"),"Yes","No")</f>
        <v>No</v>
      </c>
      <c r="AI104" s="0" t="str">
        <f aca="false">IF(OR(AE104="Yes",AF104="Yes",AG104="Yes"),"Invalid",IF(OR(AB104="Yes",AC104="Yes",AD104="Yes"),"Warning","Clean"))</f>
        <v>Clean</v>
      </c>
      <c r="AJ104" s="4" t="s">
        <v>542</v>
      </c>
      <c r="AK104" s="4" t="s">
        <v>543</v>
      </c>
      <c r="AL104" s="4" t="s">
        <v>106</v>
      </c>
      <c r="AM104" s="4" t="s">
        <v>54</v>
      </c>
      <c r="AN104" s="4" t="s">
        <v>87</v>
      </c>
      <c r="AO104" s="4" t="s">
        <v>233</v>
      </c>
      <c r="AP104" s="4" t="s">
        <v>234</v>
      </c>
      <c r="AQ104" s="4" t="s">
        <v>72</v>
      </c>
      <c r="AR104" s="4" t="s">
        <v>100</v>
      </c>
      <c r="AS104" s="4" t="s">
        <v>81</v>
      </c>
      <c r="AT104" s="0" t="n">
        <v>0</v>
      </c>
      <c r="AU104" s="4" t="s">
        <v>141</v>
      </c>
      <c r="AV104" s="4" t="s">
        <v>101</v>
      </c>
    </row>
    <row r="105" customFormat="false" ht="15" hidden="false" customHeight="false" outlineLevel="0" collapsed="false">
      <c r="A105" s="0" t="s">
        <v>544</v>
      </c>
      <c r="B105" s="3" t="n">
        <f aca="false">IF(AJ105="","",IF(ISNUMBER(SEARCH("/",AJ105)),DATE(VALUE(RIGHT(AJ105,4)),VALUE(LEFT(AJ105,2)),VALUE(MID(AJ105,4,2))),IF(ISNUMBER(SEARCH("-",AJ105)),IF(LEN(LEFT(AJ105,FIND("-",AJ105)-1))=4,DATE(VALUE(LEFT(AJ105,4)),VALUE(MID(AJ105,6,2)),VALUE(RIGHT(AJ105,2))),DATE(VALUE(RIGHT(AJ105,4)),VALUE(MID(AJ105,4,2)),VALUE(LEFT(AJ105,2)))),DATE(VALUE(RIGHT(AJ105,4)),MATCH(MID(AJ105,4,3),{"Jan","Feb","Mar","Apr","May","Jun","Jul","Aug","Sep","Oct","Nov","Dec"},0),VALUE(LEFT(AJ105,2))))))</f>
        <v>45779</v>
      </c>
      <c r="C105" s="3" t="n">
        <f aca="false">IF(AK105="","",IF(ISNUMBER(SEARCH("/",AK105)),DATE(VALUE(RIGHT(AK105,4)),VALUE(LEFT(AK105,2)),VALUE(MID(AK105,4,2))),IF(ISNUMBER(SEARCH("-",AK105)),IF(LEN(LEFT(AK105,FIND("-",AK105)-1))=4,DATE(VALUE(LEFT(AK105,4)),VALUE(MID(AK105,6,2)),VALUE(RIGHT(AK105,2))),DATE(VALUE(RIGHT(AK105,4)),VALUE(MID(AK105,4,2)),VALUE(LEFT(AK105,2)))),DATE(VALUE(RIGHT(AK105,4)),MATCH(MID(AK105,4,3),{"Jan","Feb","Mar","Apr","May","Jun","Jul","Aug","Sep","Oct","Nov","Dec"},0),VALUE(LEFT(AK105,2))))))</f>
        <v>45787</v>
      </c>
      <c r="D105" s="4" t="s">
        <v>545</v>
      </c>
      <c r="E105" s="0" t="str">
        <f aca="false">PROPER(TRIM(AL105))</f>
        <v>Kabir Singh</v>
      </c>
      <c r="F105" s="0" t="str">
        <f aca="false">PROPER(TRIM(AM105))</f>
        <v>Corporate</v>
      </c>
      <c r="G105" s="0" t="str">
        <f aca="false">IF(TRIM(AN105)="","Unknown",PROPER(TRIM(AN105)))</f>
        <v>West</v>
      </c>
      <c r="H105" s="0" t="str">
        <f aca="false">PROPER(TRIM(AO105))</f>
        <v>Maharashtra</v>
      </c>
      <c r="I105" s="0" t="str">
        <f aca="false">PROPER(TRIM(AP105))</f>
        <v>Mumbai</v>
      </c>
      <c r="J105" s="0" t="str">
        <f aca="false">PROPER(TRIM(AQ105))</f>
        <v>Furniture</v>
      </c>
      <c r="K105" s="0" t="str">
        <f aca="false">PROPER(TRIM(AR105))</f>
        <v>Tables</v>
      </c>
      <c r="M105" s="0" t="str">
        <f aca="false">IF(TRIM(AS105)="","Unknown",PROPER(TRIM(AS105)))</f>
        <v>First Class</v>
      </c>
      <c r="N105" s="0" t="n">
        <v>4</v>
      </c>
      <c r="O105" s="0" t="n">
        <v>2440.34</v>
      </c>
      <c r="P105" s="5" t="n">
        <f aca="false">IF(AT105="","",IF(ISNUMBER(AT105),AT105,VALUE(SUBSTITUTE(AT105,"%",""))/100))</f>
        <v>0.2</v>
      </c>
      <c r="Q105" s="5" t="n">
        <f aca="false">IF(P105="",IF(AND(N105&lt;&gt;"",O105&lt;&gt;"",R105&lt;&gt;"",S105&lt;&gt;""),0,"REVIEW"),IF(OR(P105&lt;0,P105&gt;0.3),0,P105))</f>
        <v>0.2</v>
      </c>
      <c r="R105" s="0" t="n">
        <v>7809.09</v>
      </c>
      <c r="S105" s="0" t="n">
        <v>6657.75</v>
      </c>
      <c r="T105" s="6" t="n">
        <f aca="false">N105*O105*(1-Q105)</f>
        <v>7809.088</v>
      </c>
      <c r="U105" s="6" t="n">
        <f aca="false">T105-S105</f>
        <v>1151.338</v>
      </c>
      <c r="V105" s="7" t="n">
        <f aca="false">IF(T105=0,0,U105/T105)</f>
        <v>0.147435654457985</v>
      </c>
      <c r="W105" s="4" t="n">
        <f aca="false">C105-B105</f>
        <v>8</v>
      </c>
      <c r="X105" s="0" t="str">
        <f aca="false">TEXT(B105,"mmmm")</f>
        <v>May</v>
      </c>
      <c r="Y105" s="4" t="n">
        <f aca="false">YEAR(B105)</f>
        <v>2025</v>
      </c>
      <c r="Z105" s="0" t="str">
        <f aca="false">PROPER(TRIM(AU105))</f>
        <v>Paid</v>
      </c>
      <c r="AA105" s="0" t="str">
        <f aca="false">PROPER(TRIM(AV105))</f>
        <v>Completed</v>
      </c>
      <c r="AB105" s="0" t="str">
        <f aca="false">IF(TRIM(AN105)="","Yes","No")</f>
        <v>No</v>
      </c>
      <c r="AC105" s="0" t="str">
        <f aca="false">IF(TRIM(AS105)="","Yes","No")</f>
        <v>No</v>
      </c>
      <c r="AD105" s="0" t="str">
        <f aca="false">IF(AT105="","Yes","No")</f>
        <v>No</v>
      </c>
      <c r="AE105" s="0" t="str">
        <f aca="false">IF(W105&lt;0,"Yes","No")</f>
        <v>No</v>
      </c>
      <c r="AF105" s="0" t="str">
        <f aca="false">IF(P105="","No",IF(OR(P105&lt;0,P105&gt;0.3),"Yes","No"))</f>
        <v>No</v>
      </c>
      <c r="AG105" s="4" t="s">
        <v>50</v>
      </c>
      <c r="AH105" s="0" t="str">
        <f aca="false">IF(AND(AA105="Completed",Z105="Paid"),"Yes","No")</f>
        <v>Yes</v>
      </c>
      <c r="AI105" s="0" t="str">
        <f aca="false">IF(OR(AE105="Yes",AF105="Yes",AG105="Yes"),"Invalid",IF(OR(AB105="Yes",AC105="Yes",AD105="Yes"),"Warning","Clean"))</f>
        <v>Clean</v>
      </c>
      <c r="AJ105" s="4" t="s">
        <v>546</v>
      </c>
      <c r="AK105" s="4" t="s">
        <v>547</v>
      </c>
      <c r="AL105" s="4" t="s">
        <v>347</v>
      </c>
      <c r="AM105" s="4" t="s">
        <v>128</v>
      </c>
      <c r="AN105" s="4" t="s">
        <v>97</v>
      </c>
      <c r="AO105" s="4" t="s">
        <v>98</v>
      </c>
      <c r="AP105" s="4" t="s">
        <v>99</v>
      </c>
      <c r="AQ105" s="4" t="s">
        <v>72</v>
      </c>
      <c r="AR105" s="4" t="s">
        <v>73</v>
      </c>
      <c r="AS105" s="4" t="s">
        <v>81</v>
      </c>
      <c r="AT105" s="0" t="n">
        <v>0.2</v>
      </c>
      <c r="AU105" s="4" t="s">
        <v>61</v>
      </c>
      <c r="AV105" s="4" t="s">
        <v>62</v>
      </c>
    </row>
    <row r="106" customFormat="false" ht="15" hidden="false" customHeight="false" outlineLevel="0" collapsed="false">
      <c r="A106" s="0" t="s">
        <v>548</v>
      </c>
      <c r="B106" s="3" t="n">
        <f aca="false">IF(AJ106="","",IF(ISNUMBER(SEARCH("/",AJ106)),DATE(VALUE(RIGHT(AJ106,4)),VALUE(LEFT(AJ106,2)),VALUE(MID(AJ106,4,2))),IF(ISNUMBER(SEARCH("-",AJ106)),IF(LEN(LEFT(AJ106,FIND("-",AJ106)-1))=4,DATE(VALUE(LEFT(AJ106,4)),VALUE(MID(AJ106,6,2)),VALUE(RIGHT(AJ106,2))),DATE(VALUE(RIGHT(AJ106,4)),VALUE(MID(AJ106,4,2)),VALUE(LEFT(AJ106,2)))),DATE(VALUE(RIGHT(AJ106,4)),MATCH(MID(AJ106,4,3),{"Jan","Feb","Mar","Apr","May","Jun","Jul","Aug","Sep","Oct","Nov","Dec"},0),VALUE(LEFT(AJ106,2))))))</f>
        <v>45689</v>
      </c>
      <c r="C106" s="3" t="n">
        <f aca="false">IF(AK106="","",IF(ISNUMBER(SEARCH("/",AK106)),DATE(VALUE(RIGHT(AK106,4)),VALUE(LEFT(AK106,2)),VALUE(MID(AK106,4,2))),IF(ISNUMBER(SEARCH("-",AK106)),IF(LEN(LEFT(AK106,FIND("-",AK106)-1))=4,DATE(VALUE(LEFT(AK106,4)),VALUE(MID(AK106,6,2)),VALUE(RIGHT(AK106,2))),DATE(VALUE(RIGHT(AK106,4)),VALUE(MID(AK106,4,2)),VALUE(LEFT(AK106,2)))),DATE(VALUE(RIGHT(AK106,4)),MATCH(MID(AK106,4,3),{"Jan","Feb","Mar","Apr","May","Jun","Jul","Aug","Sep","Oct","Nov","Dec"},0),VALUE(LEFT(AK106,2))))))</f>
        <v>45696</v>
      </c>
      <c r="D106" s="4" t="s">
        <v>549</v>
      </c>
      <c r="E106" s="0" t="str">
        <f aca="false">PROPER(TRIM(AL106))</f>
        <v>Ananya Rao</v>
      </c>
      <c r="F106" s="0" t="str">
        <f aca="false">PROPER(TRIM(AM106))</f>
        <v>Consumer</v>
      </c>
      <c r="G106" s="0" t="str">
        <f aca="false">IF(TRIM(AN106)="","Unknown",PROPER(TRIM(AN106)))</f>
        <v>South</v>
      </c>
      <c r="H106" s="0" t="str">
        <f aca="false">PROPER(TRIM(AO106))</f>
        <v>Karnataka</v>
      </c>
      <c r="I106" s="0" t="str">
        <f aca="false">PROPER(TRIM(AP106))</f>
        <v>Bengaluru</v>
      </c>
      <c r="J106" s="0" t="str">
        <f aca="false">PROPER(TRIM(AQ106))</f>
        <v>Office Supplies</v>
      </c>
      <c r="K106" s="0" t="str">
        <f aca="false">PROPER(TRIM(AR106))</f>
        <v>Labels</v>
      </c>
      <c r="M106" s="0" t="str">
        <f aca="false">IF(TRIM(AS106)="","Unknown",PROPER(TRIM(AS106)))</f>
        <v>Same Day</v>
      </c>
      <c r="N106" s="0" t="n">
        <v>5</v>
      </c>
      <c r="O106" s="0" t="n">
        <v>2112.54</v>
      </c>
      <c r="P106" s="5" t="n">
        <f aca="false">IF(AT106="","",IF(ISNUMBER(AT106),AT106,VALUE(SUBSTITUTE(AT106,"%",""))/100))</f>
        <v>0.25</v>
      </c>
      <c r="Q106" s="5" t="n">
        <f aca="false">IF(P106="",IF(AND(N106&lt;&gt;"",O106&lt;&gt;"",R106&lt;&gt;"",S106&lt;&gt;""),0,"REVIEW"),IF(OR(P106&lt;0,P106&gt;0.3),0,P106))</f>
        <v>0.25</v>
      </c>
      <c r="R106" s="0" t="n">
        <v>8260.46</v>
      </c>
      <c r="S106" s="0" t="n">
        <v>5619.95</v>
      </c>
      <c r="T106" s="6" t="n">
        <f aca="false">N106*O106*(1-Q106)</f>
        <v>7922.025</v>
      </c>
      <c r="U106" s="6" t="n">
        <f aca="false">T106-S106</f>
        <v>2302.075</v>
      </c>
      <c r="V106" s="7" t="n">
        <f aca="false">IF(T106=0,0,U106/T106)</f>
        <v>0.290591736330042</v>
      </c>
      <c r="W106" s="4" t="n">
        <f aca="false">C106-B106</f>
        <v>7</v>
      </c>
      <c r="X106" s="0" t="str">
        <f aca="false">TEXT(B106,"mmmm")</f>
        <v>February</v>
      </c>
      <c r="Y106" s="4" t="n">
        <f aca="false">YEAR(B106)</f>
        <v>2025</v>
      </c>
      <c r="Z106" s="0" t="str">
        <f aca="false">PROPER(TRIM(AU106))</f>
        <v>Paid</v>
      </c>
      <c r="AA106" s="0" t="str">
        <f aca="false">PROPER(TRIM(AV106))</f>
        <v>Cancelled</v>
      </c>
      <c r="AB106" s="0" t="str">
        <f aca="false">IF(TRIM(AN106)="","Yes","No")</f>
        <v>No</v>
      </c>
      <c r="AC106" s="0" t="str">
        <f aca="false">IF(TRIM(AS106)="","Yes","No")</f>
        <v>No</v>
      </c>
      <c r="AD106" s="0" t="str">
        <f aca="false">IF(AT106="","Yes","No")</f>
        <v>No</v>
      </c>
      <c r="AE106" s="0" t="str">
        <f aca="false">IF(W106&lt;0,"Yes","No")</f>
        <v>No</v>
      </c>
      <c r="AF106" s="0" t="str">
        <f aca="false">IF(P106="","No",IF(OR(P106&lt;0,P106&gt;0.3),"Yes","No"))</f>
        <v>No</v>
      </c>
      <c r="AG106" s="4" t="s">
        <v>50</v>
      </c>
      <c r="AH106" s="0" t="str">
        <f aca="false">IF(AND(AA106="Completed",Z106="Paid"),"Yes","No")</f>
        <v>No</v>
      </c>
      <c r="AI106" s="0" t="str">
        <f aca="false">IF(OR(AE106="Yes",AF106="Yes",AG106="Yes"),"Invalid",IF(OR(AB106="Yes",AC106="Yes",AD106="Yes"),"Warning","Clean"))</f>
        <v>Clean</v>
      </c>
      <c r="AJ106" s="4" t="s">
        <v>550</v>
      </c>
      <c r="AK106" s="4" t="s">
        <v>551</v>
      </c>
      <c r="AL106" s="4" t="s">
        <v>96</v>
      </c>
      <c r="AM106" s="4" t="s">
        <v>54</v>
      </c>
      <c r="AN106" s="4" t="s">
        <v>87</v>
      </c>
      <c r="AO106" s="4" t="s">
        <v>233</v>
      </c>
      <c r="AP106" s="4" t="s">
        <v>234</v>
      </c>
      <c r="AQ106" s="4" t="s">
        <v>58</v>
      </c>
      <c r="AR106" s="4" t="s">
        <v>129</v>
      </c>
      <c r="AS106" s="4" t="s">
        <v>74</v>
      </c>
      <c r="AT106" s="0" t="n">
        <v>0.25</v>
      </c>
      <c r="AU106" s="4" t="s">
        <v>61</v>
      </c>
      <c r="AV106" s="4" t="s">
        <v>101</v>
      </c>
    </row>
    <row r="107" customFormat="false" ht="15" hidden="false" customHeight="false" outlineLevel="0" collapsed="false">
      <c r="A107" s="0" t="s">
        <v>552</v>
      </c>
      <c r="B107" s="3" t="n">
        <f aca="false">IF(AJ107="","",IF(ISNUMBER(SEARCH("/",AJ107)),DATE(VALUE(RIGHT(AJ107,4)),VALUE(LEFT(AJ107,2)),VALUE(MID(AJ107,4,2))),IF(ISNUMBER(SEARCH("-",AJ107)),IF(LEN(LEFT(AJ107,FIND("-",AJ107)-1))=4,DATE(VALUE(LEFT(AJ107,4)),VALUE(MID(AJ107,6,2)),VALUE(RIGHT(AJ107,2))),DATE(VALUE(RIGHT(AJ107,4)),VALUE(MID(AJ107,4,2)),VALUE(LEFT(AJ107,2)))),DATE(VALUE(RIGHT(AJ107,4)),MATCH(MID(AJ107,4,3),{"Jan","Feb","Mar","Apr","May","Jun","Jul","Aug","Sep","Oct","Nov","Dec"},0),VALUE(LEFT(AJ107,2))))))</f>
        <v>45467</v>
      </c>
      <c r="C107" s="3" t="n">
        <f aca="false">IF(AK107="","",IF(ISNUMBER(SEARCH("/",AK107)),DATE(VALUE(RIGHT(AK107,4)),VALUE(LEFT(AK107,2)),VALUE(MID(AK107,4,2))),IF(ISNUMBER(SEARCH("-",AK107)),IF(LEN(LEFT(AK107,FIND("-",AK107)-1))=4,DATE(VALUE(LEFT(AK107,4)),VALUE(MID(AK107,6,2)),VALUE(RIGHT(AK107,2))),DATE(VALUE(RIGHT(AK107,4)),VALUE(MID(AK107,4,2)),VALUE(LEFT(AK107,2)))),DATE(VALUE(RIGHT(AK107,4)),MATCH(MID(AK107,4,3),{"Jan","Feb","Mar","Apr","May","Jun","Jul","Aug","Sep","Oct","Nov","Dec"},0),VALUE(LEFT(AK107,2))))))</f>
        <v>45472</v>
      </c>
      <c r="D107" s="4" t="s">
        <v>553</v>
      </c>
      <c r="E107" s="0" t="str">
        <f aca="false">PROPER(TRIM(AL107))</f>
        <v>Mira Das</v>
      </c>
      <c r="F107" s="0" t="str">
        <f aca="false">PROPER(TRIM(AM107))</f>
        <v>Home Office</v>
      </c>
      <c r="G107" s="0" t="str">
        <f aca="false">IF(TRIM(AN107)="","Unknown",PROPER(TRIM(AN107)))</f>
        <v>East</v>
      </c>
      <c r="H107" s="0" t="str">
        <f aca="false">PROPER(TRIM(AO107))</f>
        <v>West Bengal</v>
      </c>
      <c r="I107" s="0" t="str">
        <f aca="false">PROPER(TRIM(AP107))</f>
        <v>Kolkata</v>
      </c>
      <c r="J107" s="0" t="str">
        <f aca="false">PROPER(TRIM(AQ107))</f>
        <v>Furniture</v>
      </c>
      <c r="K107" s="0" t="str">
        <f aca="false">PROPER(TRIM(AR107))</f>
        <v>Tables</v>
      </c>
      <c r="M107" s="0" t="str">
        <f aca="false">IF(TRIM(AS107)="","Unknown",PROPER(TRIM(AS107)))</f>
        <v>Second Class</v>
      </c>
      <c r="N107" s="0" t="n">
        <v>2</v>
      </c>
      <c r="O107" s="0" t="n">
        <v>685</v>
      </c>
      <c r="P107" s="5" t="n">
        <f aca="false">IF(AT107="","",IF(ISNUMBER(AT107),AT107,VALUE(SUBSTITUTE(AT107,"%",""))/100))</f>
        <v>0.1</v>
      </c>
      <c r="Q107" s="5" t="n">
        <f aca="false">IF(P107="",IF(AND(N107&lt;&gt;"",O107&lt;&gt;"",R107&lt;&gt;"",S107&lt;&gt;""),0,"REVIEW"),IF(OR(P107&lt;0,P107&gt;0.3),0,P107))</f>
        <v>0.1</v>
      </c>
      <c r="R107" s="0" t="n">
        <v>1233</v>
      </c>
      <c r="S107" s="0" t="n">
        <v>1006.9</v>
      </c>
      <c r="T107" s="6" t="n">
        <f aca="false">N107*O107*(1-Q107)</f>
        <v>1233</v>
      </c>
      <c r="U107" s="6" t="n">
        <f aca="false">T107-S107</f>
        <v>226.1</v>
      </c>
      <c r="V107" s="7" t="n">
        <f aca="false">IF(T107=0,0,U107/T107)</f>
        <v>0.183373884833739</v>
      </c>
      <c r="W107" s="4" t="n">
        <f aca="false">C107-B107</f>
        <v>5</v>
      </c>
      <c r="X107" s="0" t="str">
        <f aca="false">TEXT(B107,"mmmm")</f>
        <v>June</v>
      </c>
      <c r="Y107" s="4" t="n">
        <f aca="false">YEAR(B107)</f>
        <v>2024</v>
      </c>
      <c r="Z107" s="0" t="str">
        <f aca="false">PROPER(TRIM(AU107))</f>
        <v>Paid</v>
      </c>
      <c r="AA107" s="0" t="str">
        <f aca="false">PROPER(TRIM(AV107))</f>
        <v>Completed</v>
      </c>
      <c r="AB107" s="0" t="str">
        <f aca="false">IF(TRIM(AN107)="","Yes","No")</f>
        <v>No</v>
      </c>
      <c r="AC107" s="0" t="str">
        <f aca="false">IF(TRIM(AS107)="","Yes","No")</f>
        <v>No</v>
      </c>
      <c r="AD107" s="0" t="str">
        <f aca="false">IF(AT107="","Yes","No")</f>
        <v>No</v>
      </c>
      <c r="AE107" s="0" t="str">
        <f aca="false">IF(W107&lt;0,"Yes","No")</f>
        <v>No</v>
      </c>
      <c r="AF107" s="0" t="str">
        <f aca="false">IF(P107="","No",IF(OR(P107&lt;0,P107&gt;0.3),"Yes","No"))</f>
        <v>No</v>
      </c>
      <c r="AG107" s="4" t="s">
        <v>50</v>
      </c>
      <c r="AH107" s="0" t="str">
        <f aca="false">IF(AND(AA107="Completed",Z107="Paid"),"Yes","No")</f>
        <v>Yes</v>
      </c>
      <c r="AI107" s="0" t="str">
        <f aca="false">IF(OR(AE107="Yes",AF107="Yes",AG107="Yes"),"Invalid",IF(OR(AB107="Yes",AC107="Yes",AD107="Yes"),"Warning","Clean"))</f>
        <v>Clean</v>
      </c>
      <c r="AJ107" s="4" t="s">
        <v>554</v>
      </c>
      <c r="AK107" s="4" t="s">
        <v>555</v>
      </c>
      <c r="AL107" s="4" t="s">
        <v>67</v>
      </c>
      <c r="AM107" s="4" t="s">
        <v>134</v>
      </c>
      <c r="AN107" s="4" t="s">
        <v>69</v>
      </c>
      <c r="AO107" s="4" t="s">
        <v>139</v>
      </c>
      <c r="AP107" s="4" t="s">
        <v>140</v>
      </c>
      <c r="AQ107" s="4" t="s">
        <v>72</v>
      </c>
      <c r="AR107" s="4" t="s">
        <v>73</v>
      </c>
      <c r="AS107" s="4" t="s">
        <v>60</v>
      </c>
      <c r="AT107" s="0" t="n">
        <v>0.1</v>
      </c>
      <c r="AU107" s="4" t="s">
        <v>61</v>
      </c>
      <c r="AV107" s="4" t="s">
        <v>62</v>
      </c>
    </row>
    <row r="108" customFormat="false" ht="15" hidden="false" customHeight="false" outlineLevel="0" collapsed="false">
      <c r="A108" s="0" t="s">
        <v>556</v>
      </c>
      <c r="B108" s="3" t="n">
        <f aca="false">IF(AJ108="","",IF(ISNUMBER(SEARCH("/",AJ108)),DATE(VALUE(RIGHT(AJ108,4)),VALUE(LEFT(AJ108,2)),VALUE(MID(AJ108,4,2))),IF(ISNUMBER(SEARCH("-",AJ108)),IF(LEN(LEFT(AJ108,FIND("-",AJ108)-1))=4,DATE(VALUE(LEFT(AJ108,4)),VALUE(MID(AJ108,6,2)),VALUE(RIGHT(AJ108,2))),DATE(VALUE(RIGHT(AJ108,4)),VALUE(MID(AJ108,4,2)),VALUE(LEFT(AJ108,2)))),DATE(VALUE(RIGHT(AJ108,4)),MATCH(MID(AJ108,4,3),{"Jan","Feb","Mar","Apr","May","Jun","Jul","Aug","Sep","Oct","Nov","Dec"},0),VALUE(LEFT(AJ108,2))))))</f>
        <v>45342</v>
      </c>
      <c r="C108" s="3" t="n">
        <f aca="false">IF(AK108="","",IF(ISNUMBER(SEARCH("/",AK108)),DATE(VALUE(RIGHT(AK108,4)),VALUE(LEFT(AK108,2)),VALUE(MID(AK108,4,2))),IF(ISNUMBER(SEARCH("-",AK108)),IF(LEN(LEFT(AK108,FIND("-",AK108)-1))=4,DATE(VALUE(LEFT(AK108,4)),VALUE(MID(AK108,6,2)),VALUE(RIGHT(AK108,2))),DATE(VALUE(RIGHT(AK108,4)),VALUE(MID(AK108,4,2)),VALUE(LEFT(AK108,2)))),DATE(VALUE(RIGHT(AK108,4)),MATCH(MID(AK108,4,3),{"Jan","Feb","Mar","Apr","May","Jun","Jul","Aug","Sep","Oct","Nov","Dec"},0),VALUE(LEFT(AK108,2))))))</f>
        <v>45350</v>
      </c>
      <c r="D108" s="4" t="s">
        <v>557</v>
      </c>
      <c r="E108" s="0" t="str">
        <f aca="false">PROPER(TRIM(AL108))</f>
        <v>Arjun Bose</v>
      </c>
      <c r="F108" s="0" t="str">
        <f aca="false">PROPER(TRIM(AM108))</f>
        <v>Home Office</v>
      </c>
      <c r="G108" s="0" t="str">
        <f aca="false">IF(TRIM(AN108)="","Unknown",PROPER(TRIM(AN108)))</f>
        <v>East</v>
      </c>
      <c r="H108" s="0" t="str">
        <f aca="false">PROPER(TRIM(AO108))</f>
        <v>West Bengal</v>
      </c>
      <c r="I108" s="0" t="str">
        <f aca="false">PROPER(TRIM(AP108))</f>
        <v>Kolkata</v>
      </c>
      <c r="J108" s="0" t="str">
        <f aca="false">PROPER(TRIM(AQ108))</f>
        <v>Office Supplies</v>
      </c>
      <c r="K108" s="0" t="str">
        <f aca="false">PROPER(TRIM(AR108))</f>
        <v>Paper</v>
      </c>
      <c r="M108" s="0" t="str">
        <f aca="false">IF(TRIM(AS108)="","Unknown",PROPER(TRIM(AS108)))</f>
        <v>Standard Class</v>
      </c>
      <c r="N108" s="0" t="n">
        <v>2</v>
      </c>
      <c r="O108" s="0" t="n">
        <v>4004.04</v>
      </c>
      <c r="P108" s="5" t="str">
        <f aca="false">IF(AT108="","",IF(ISNUMBER(AT108),AT108,VALUE(SUBSTITUTE(AT108,"%",""))/100))</f>
        <v/>
      </c>
      <c r="Q108" s="5" t="n">
        <f aca="false">IF(P108="",IF(AND(N108&lt;&gt;"",O108&lt;&gt;"",R108&lt;&gt;"",S108&lt;&gt;""),0,"REVIEW"),IF(OR(P108&lt;0,P108&gt;0.3),0,P108))</f>
        <v>0</v>
      </c>
      <c r="R108" s="0" t="n">
        <v>7207.27</v>
      </c>
      <c r="S108" s="0" t="n">
        <v>5709.39</v>
      </c>
      <c r="T108" s="6" t="n">
        <f aca="false">N108*O108*(1-Q108)</f>
        <v>8008.08</v>
      </c>
      <c r="U108" s="6" t="n">
        <f aca="false">T108-S108</f>
        <v>2298.69</v>
      </c>
      <c r="V108" s="7" t="n">
        <f aca="false">IF(T108=0,0,U108/T108)</f>
        <v>0.287046333203464</v>
      </c>
      <c r="W108" s="4" t="n">
        <f aca="false">C108-B108</f>
        <v>8</v>
      </c>
      <c r="X108" s="0" t="str">
        <f aca="false">TEXT(B108,"mmmm")</f>
        <v>February</v>
      </c>
      <c r="Y108" s="4" t="n">
        <f aca="false">YEAR(B108)</f>
        <v>2024</v>
      </c>
      <c r="Z108" s="0" t="str">
        <f aca="false">PROPER(TRIM(AU108))</f>
        <v>Paid</v>
      </c>
      <c r="AA108" s="0" t="str">
        <f aca="false">PROPER(TRIM(AV108))</f>
        <v>Cancelled</v>
      </c>
      <c r="AB108" s="0" t="str">
        <f aca="false">IF(TRIM(AN108)="","Yes","No")</f>
        <v>No</v>
      </c>
      <c r="AC108" s="0" t="str">
        <f aca="false">IF(TRIM(AS108)="","Yes","No")</f>
        <v>No</v>
      </c>
      <c r="AD108" s="0" t="str">
        <f aca="false">IF(AT108="","Yes","No")</f>
        <v>Yes</v>
      </c>
      <c r="AE108" s="0" t="str">
        <f aca="false">IF(W108&lt;0,"Yes","No")</f>
        <v>No</v>
      </c>
      <c r="AF108" s="0" t="str">
        <f aca="false">IF(P108="","No",IF(OR(P108&lt;0,P108&gt;0.3),"Yes","No"))</f>
        <v>No</v>
      </c>
      <c r="AG108" s="4" t="s">
        <v>50</v>
      </c>
      <c r="AH108" s="0" t="str">
        <f aca="false">IF(AND(AA108="Completed",Z108="Paid"),"Yes","No")</f>
        <v>No</v>
      </c>
      <c r="AI108" s="0" t="str">
        <f aca="false">IF(OR(AE108="Yes",AF108="Yes",AG108="Yes"),"Invalid",IF(OR(AB108="Yes",AC108="Yes",AD108="Yes"),"Warning","Clean"))</f>
        <v>Warning</v>
      </c>
      <c r="AJ108" s="4" t="s">
        <v>558</v>
      </c>
      <c r="AK108" s="4" t="s">
        <v>559</v>
      </c>
      <c r="AL108" s="4" t="s">
        <v>86</v>
      </c>
      <c r="AM108" s="4" t="s">
        <v>134</v>
      </c>
      <c r="AN108" s="4" t="s">
        <v>69</v>
      </c>
      <c r="AO108" s="4" t="s">
        <v>139</v>
      </c>
      <c r="AP108" s="4" t="s">
        <v>140</v>
      </c>
      <c r="AQ108" s="4" t="s">
        <v>58</v>
      </c>
      <c r="AR108" s="4" t="s">
        <v>59</v>
      </c>
      <c r="AS108" s="4" t="s">
        <v>91</v>
      </c>
      <c r="AU108" s="4" t="s">
        <v>61</v>
      </c>
      <c r="AV108" s="4" t="s">
        <v>101</v>
      </c>
    </row>
    <row r="109" customFormat="false" ht="15" hidden="false" customHeight="false" outlineLevel="0" collapsed="false">
      <c r="A109" s="0" t="s">
        <v>560</v>
      </c>
      <c r="B109" s="3" t="n">
        <f aca="false">IF(AJ109="","",IF(ISNUMBER(SEARCH("/",AJ109)),DATE(VALUE(RIGHT(AJ109,4)),VALUE(LEFT(AJ109,2)),VALUE(MID(AJ109,4,2))),IF(ISNUMBER(SEARCH("-",AJ109)),IF(LEN(LEFT(AJ109,FIND("-",AJ109)-1))=4,DATE(VALUE(LEFT(AJ109,4)),VALUE(MID(AJ109,6,2)),VALUE(RIGHT(AJ109,2))),DATE(VALUE(RIGHT(AJ109,4)),VALUE(MID(AJ109,4,2)),VALUE(LEFT(AJ109,2)))),DATE(VALUE(RIGHT(AJ109,4)),MATCH(MID(AJ109,4,3),{"Jan","Feb","Mar","Apr","May","Jun","Jul","Aug","Sep","Oct","Nov","Dec"},0),VALUE(LEFT(AJ109,2))))))</f>
        <v>45594</v>
      </c>
      <c r="C109" s="3" t="n">
        <f aca="false">IF(AK109="","",IF(ISNUMBER(SEARCH("/",AK109)),DATE(VALUE(RIGHT(AK109,4)),VALUE(LEFT(AK109,2)),VALUE(MID(AK109,4,2))),IF(ISNUMBER(SEARCH("-",AK109)),IF(LEN(LEFT(AK109,FIND("-",AK109)-1))=4,DATE(VALUE(LEFT(AK109,4)),VALUE(MID(AK109,6,2)),VALUE(RIGHT(AK109,2))),DATE(VALUE(RIGHT(AK109,4)),VALUE(MID(AK109,4,2)),VALUE(LEFT(AK109,2)))),DATE(VALUE(RIGHT(AK109,4)),MATCH(MID(AK109,4,3),{"Jan","Feb","Mar","Apr","May","Jun","Jul","Aug","Sep","Oct","Nov","Dec"},0),VALUE(LEFT(AK109,2))))))</f>
        <v>45600</v>
      </c>
      <c r="D109" s="4" t="s">
        <v>561</v>
      </c>
      <c r="E109" s="0" t="str">
        <f aca="false">PROPER(TRIM(AL109))</f>
        <v>Rohan Mehta</v>
      </c>
      <c r="F109" s="0" t="str">
        <f aca="false">PROPER(TRIM(AM109))</f>
        <v>Home Office</v>
      </c>
      <c r="G109" s="0" t="str">
        <f aca="false">IF(TRIM(AN109)="","Unknown",PROPER(TRIM(AN109)))</f>
        <v>East</v>
      </c>
      <c r="H109" s="0" t="str">
        <f aca="false">PROPER(TRIM(AO109))</f>
        <v>West Bengal</v>
      </c>
      <c r="I109" s="0" t="str">
        <f aca="false">PROPER(TRIM(AP109))</f>
        <v>Kolkata</v>
      </c>
      <c r="J109" s="0" t="str">
        <f aca="false">PROPER(TRIM(AQ109))</f>
        <v>Furniture</v>
      </c>
      <c r="K109" s="0" t="str">
        <f aca="false">PROPER(TRIM(AR109))</f>
        <v>Furnishings</v>
      </c>
      <c r="M109" s="0" t="str">
        <f aca="false">IF(TRIM(AS109)="","Unknown",PROPER(TRIM(AS109)))</f>
        <v>First Class</v>
      </c>
      <c r="N109" s="0" t="n">
        <v>3</v>
      </c>
      <c r="O109" s="0" t="n">
        <v>4302.89</v>
      </c>
      <c r="P109" s="5" t="n">
        <f aca="false">IF(AT109="","",IF(ISNUMBER(AT109),AT109,VALUE(SUBSTITUTE(AT109,"%",""))/100))</f>
        <v>0.05</v>
      </c>
      <c r="Q109" s="5" t="n">
        <f aca="false">IF(P109="",IF(AND(N109&lt;&gt;"",O109&lt;&gt;"",R109&lt;&gt;"",S109&lt;&gt;""),0,"REVIEW"),IF(OR(P109&lt;0,P109&gt;0.3),0,P109))</f>
        <v>0.05</v>
      </c>
      <c r="R109" s="0" t="n">
        <v>12263.24</v>
      </c>
      <c r="S109" s="0" t="n">
        <v>8925.57</v>
      </c>
      <c r="T109" s="6" t="n">
        <f aca="false">N109*O109*(1-Q109)</f>
        <v>12263.2365</v>
      </c>
      <c r="U109" s="6" t="n">
        <f aca="false">T109-S109</f>
        <v>3337.6665</v>
      </c>
      <c r="V109" s="7" t="n">
        <f aca="false">IF(T109=0,0,U109/T109)</f>
        <v>0.272168485048788</v>
      </c>
      <c r="W109" s="4" t="n">
        <f aca="false">C109-B109</f>
        <v>6</v>
      </c>
      <c r="X109" s="0" t="str">
        <f aca="false">TEXT(B109,"mmmm")</f>
        <v>October</v>
      </c>
      <c r="Y109" s="4" t="n">
        <f aca="false">YEAR(B109)</f>
        <v>2024</v>
      </c>
      <c r="Z109" s="0" t="str">
        <f aca="false">PROPER(TRIM(AU109))</f>
        <v>Paid</v>
      </c>
      <c r="AA109" s="0" t="str">
        <f aca="false">PROPER(TRIM(AV109))</f>
        <v>Completed</v>
      </c>
      <c r="AB109" s="0" t="str">
        <f aca="false">IF(TRIM(AN109)="","Yes","No")</f>
        <v>No</v>
      </c>
      <c r="AC109" s="0" t="str">
        <f aca="false">IF(TRIM(AS109)="","Yes","No")</f>
        <v>No</v>
      </c>
      <c r="AD109" s="0" t="str">
        <f aca="false">IF(AT109="","Yes","No")</f>
        <v>No</v>
      </c>
      <c r="AE109" s="0" t="str">
        <f aca="false">IF(W109&lt;0,"Yes","No")</f>
        <v>No</v>
      </c>
      <c r="AF109" s="0" t="str">
        <f aca="false">IF(P109="","No",IF(OR(P109&lt;0,P109&gt;0.3),"Yes","No"))</f>
        <v>No</v>
      </c>
      <c r="AG109" s="4" t="s">
        <v>50</v>
      </c>
      <c r="AH109" s="0" t="str">
        <f aca="false">IF(AND(AA109="Completed",Z109="Paid"),"Yes","No")</f>
        <v>Yes</v>
      </c>
      <c r="AI109" s="0" t="str">
        <f aca="false">IF(OR(AE109="Yes",AF109="Yes",AG109="Yes"),"Invalid",IF(OR(AB109="Yes",AC109="Yes",AD109="Yes"),"Warning","Clean"))</f>
        <v>Clean</v>
      </c>
      <c r="AJ109" s="4" t="s">
        <v>562</v>
      </c>
      <c r="AK109" s="4" t="s">
        <v>563</v>
      </c>
      <c r="AL109" s="4" t="s">
        <v>191</v>
      </c>
      <c r="AM109" s="4" t="s">
        <v>134</v>
      </c>
      <c r="AN109" s="4" t="s">
        <v>69</v>
      </c>
      <c r="AO109" s="4" t="s">
        <v>139</v>
      </c>
      <c r="AP109" s="4" t="s">
        <v>140</v>
      </c>
      <c r="AQ109" s="4" t="s">
        <v>72</v>
      </c>
      <c r="AR109" s="4" t="s">
        <v>90</v>
      </c>
      <c r="AS109" s="4" t="s">
        <v>81</v>
      </c>
      <c r="AT109" s="0" t="n">
        <v>0.05</v>
      </c>
      <c r="AU109" s="4" t="s">
        <v>61</v>
      </c>
      <c r="AV109" s="4" t="s">
        <v>62</v>
      </c>
    </row>
    <row r="110" customFormat="false" ht="15" hidden="false" customHeight="false" outlineLevel="0" collapsed="false">
      <c r="A110" s="0" t="s">
        <v>564</v>
      </c>
      <c r="B110" s="3" t="n">
        <f aca="false">IF(AJ110="","",IF(ISNUMBER(SEARCH("/",AJ110)),DATE(VALUE(RIGHT(AJ110,4)),VALUE(LEFT(AJ110,2)),VALUE(MID(AJ110,4,2))),IF(ISNUMBER(SEARCH("-",AJ110)),IF(LEN(LEFT(AJ110,FIND("-",AJ110)-1))=4,DATE(VALUE(LEFT(AJ110,4)),VALUE(MID(AJ110,6,2)),VALUE(RIGHT(AJ110,2))),DATE(VALUE(RIGHT(AJ110,4)),VALUE(MID(AJ110,4,2)),VALUE(LEFT(AJ110,2)))),DATE(VALUE(RIGHT(AJ110,4)),MATCH(MID(AJ110,4,3),{"Jan","Feb","Mar","Apr","May","Jun","Jul","Aug","Sep","Oct","Nov","Dec"},0),VALUE(LEFT(AJ110,2))))))</f>
        <v>45519</v>
      </c>
      <c r="C110" s="3" t="n">
        <f aca="false">IF(AK110="","",IF(ISNUMBER(SEARCH("/",AK110)),DATE(VALUE(RIGHT(AK110,4)),VALUE(LEFT(AK110,2)),VALUE(MID(AK110,4,2))),IF(ISNUMBER(SEARCH("-",AK110)),IF(LEN(LEFT(AK110,FIND("-",AK110)-1))=4,DATE(VALUE(LEFT(AK110,4)),VALUE(MID(AK110,6,2)),VALUE(RIGHT(AK110,2))),DATE(VALUE(RIGHT(AK110,4)),VALUE(MID(AK110,4,2)),VALUE(LEFT(AK110,2)))),DATE(VALUE(RIGHT(AK110,4)),MATCH(MID(AK110,4,3),{"Jan","Feb","Mar","Apr","May","Jun","Jul","Aug","Sep","Oct","Nov","Dec"},0),VALUE(LEFT(AK110,2))))))</f>
        <v>45527</v>
      </c>
      <c r="D110" s="4" t="s">
        <v>565</v>
      </c>
      <c r="E110" s="0" t="str">
        <f aca="false">PROPER(TRIM(AL110))</f>
        <v>Aditi Sen</v>
      </c>
      <c r="F110" s="0" t="str">
        <f aca="false">PROPER(TRIM(AM110))</f>
        <v>Small Business</v>
      </c>
      <c r="G110" s="0" t="str">
        <f aca="false">IF(TRIM(AN110)="","Unknown",PROPER(TRIM(AN110)))</f>
        <v>East</v>
      </c>
      <c r="H110" s="0" t="str">
        <f aca="false">PROPER(TRIM(AO110))</f>
        <v>Odisha</v>
      </c>
      <c r="I110" s="0" t="str">
        <f aca="false">PROPER(TRIM(AP110))</f>
        <v>Bhubaneswar</v>
      </c>
      <c r="J110" s="0" t="str">
        <f aca="false">PROPER(TRIM(AQ110))</f>
        <v>Furniture</v>
      </c>
      <c r="K110" s="0" t="str">
        <f aca="false">PROPER(TRIM(AR110))</f>
        <v>Bookcases</v>
      </c>
      <c r="M110" s="0" t="str">
        <f aca="false">IF(TRIM(AS110)="","Unknown",PROPER(TRIM(AS110)))</f>
        <v>Same Day</v>
      </c>
      <c r="N110" s="0" t="n">
        <v>2</v>
      </c>
      <c r="O110" s="0" t="n">
        <v>537.54</v>
      </c>
      <c r="P110" s="5" t="n">
        <f aca="false">IF(AT110="","",IF(ISNUMBER(AT110),AT110,VALUE(SUBSTITUTE(AT110,"%",""))/100))</f>
        <v>0.25</v>
      </c>
      <c r="Q110" s="5" t="n">
        <f aca="false">IF(P110="",IF(AND(N110&lt;&gt;"",O110&lt;&gt;"",R110&lt;&gt;"",S110&lt;&gt;""),0,"REVIEW"),IF(OR(P110&lt;0,P110&gt;0.3),0,P110))</f>
        <v>0.25</v>
      </c>
      <c r="R110" s="0" t="n">
        <v>806.31</v>
      </c>
      <c r="S110" s="0" t="n">
        <v>498.5</v>
      </c>
      <c r="T110" s="6" t="n">
        <f aca="false">N110*O110*(1-Q110)</f>
        <v>806.31</v>
      </c>
      <c r="U110" s="6" t="n">
        <f aca="false">T110-S110</f>
        <v>307.81</v>
      </c>
      <c r="V110" s="7" t="n">
        <f aca="false">IF(T110=0,0,U110/T110)</f>
        <v>0.381751435552083</v>
      </c>
      <c r="W110" s="4" t="n">
        <f aca="false">C110-B110</f>
        <v>8</v>
      </c>
      <c r="X110" s="0" t="str">
        <f aca="false">TEXT(B110,"mmmm")</f>
        <v>August</v>
      </c>
      <c r="Y110" s="4" t="n">
        <f aca="false">YEAR(B110)</f>
        <v>2024</v>
      </c>
      <c r="Z110" s="0" t="str">
        <f aca="false">PROPER(TRIM(AU110))</f>
        <v>Paid</v>
      </c>
      <c r="AA110" s="0" t="str">
        <f aca="false">PROPER(TRIM(AV110))</f>
        <v>Completed</v>
      </c>
      <c r="AB110" s="0" t="str">
        <f aca="false">IF(TRIM(AN110)="","Yes","No")</f>
        <v>No</v>
      </c>
      <c r="AC110" s="0" t="str">
        <f aca="false">IF(TRIM(AS110)="","Yes","No")</f>
        <v>No</v>
      </c>
      <c r="AD110" s="0" t="str">
        <f aca="false">IF(AT110="","Yes","No")</f>
        <v>No</v>
      </c>
      <c r="AE110" s="0" t="str">
        <f aca="false">IF(W110&lt;0,"Yes","No")</f>
        <v>No</v>
      </c>
      <c r="AF110" s="0" t="str">
        <f aca="false">IF(P110="","No",IF(OR(P110&lt;0,P110&gt;0.3),"Yes","No"))</f>
        <v>No</v>
      </c>
      <c r="AG110" s="4" t="s">
        <v>50</v>
      </c>
      <c r="AH110" s="0" t="str">
        <f aca="false">IF(AND(AA110="Completed",Z110="Paid"),"Yes","No")</f>
        <v>Yes</v>
      </c>
      <c r="AI110" s="0" t="str">
        <f aca="false">IF(OR(AE110="Yes",AF110="Yes",AG110="Yes"),"Invalid",IF(OR(AB110="Yes",AC110="Yes",AD110="Yes"),"Warning","Clean"))</f>
        <v>Clean</v>
      </c>
      <c r="AJ110" s="4" t="s">
        <v>566</v>
      </c>
      <c r="AK110" s="4" t="s">
        <v>567</v>
      </c>
      <c r="AL110" s="4" t="s">
        <v>127</v>
      </c>
      <c r="AM110" s="4" t="s">
        <v>68</v>
      </c>
      <c r="AN110" s="4" t="s">
        <v>69</v>
      </c>
      <c r="AO110" s="4" t="s">
        <v>70</v>
      </c>
      <c r="AP110" s="4" t="s">
        <v>71</v>
      </c>
      <c r="AQ110" s="4" t="s">
        <v>72</v>
      </c>
      <c r="AR110" s="4" t="s">
        <v>211</v>
      </c>
      <c r="AS110" s="4" t="s">
        <v>74</v>
      </c>
      <c r="AT110" s="0" t="n">
        <v>0.25</v>
      </c>
      <c r="AU110" s="4" t="s">
        <v>61</v>
      </c>
      <c r="AV110" s="4" t="s">
        <v>62</v>
      </c>
    </row>
    <row r="111" customFormat="false" ht="15" hidden="false" customHeight="false" outlineLevel="0" collapsed="false">
      <c r="A111" s="0" t="s">
        <v>568</v>
      </c>
      <c r="B111" s="3" t="n">
        <f aca="false">IF(AJ111="","",IF(ISNUMBER(SEARCH("/",AJ111)),DATE(VALUE(RIGHT(AJ111,4)),VALUE(LEFT(AJ111,2)),VALUE(MID(AJ111,4,2))),IF(ISNUMBER(SEARCH("-",AJ111)),IF(LEN(LEFT(AJ111,FIND("-",AJ111)-1))=4,DATE(VALUE(LEFT(AJ111,4)),VALUE(MID(AJ111,6,2)),VALUE(RIGHT(AJ111,2))),DATE(VALUE(RIGHT(AJ111,4)),VALUE(MID(AJ111,4,2)),VALUE(LEFT(AJ111,2)))),DATE(VALUE(RIGHT(AJ111,4)),MATCH(MID(AJ111,4,3),{"Jan","Feb","Mar","Apr","May","Jun","Jul","Aug","Sep","Oct","Nov","Dec"},0),VALUE(LEFT(AJ111,2))))))</f>
        <v>45892</v>
      </c>
      <c r="C111" s="3" t="n">
        <f aca="false">IF(AK111="","",IF(ISNUMBER(SEARCH("/",AK111)),DATE(VALUE(RIGHT(AK111,4)),VALUE(LEFT(AK111,2)),VALUE(MID(AK111,4,2))),IF(ISNUMBER(SEARCH("-",AK111)),IF(LEN(LEFT(AK111,FIND("-",AK111)-1))=4,DATE(VALUE(LEFT(AK111,4)),VALUE(MID(AK111,6,2)),VALUE(RIGHT(AK111,2))),DATE(VALUE(RIGHT(AK111,4)),VALUE(MID(AK111,4,2)),VALUE(LEFT(AK111,2)))),DATE(VALUE(RIGHT(AK111,4)),MATCH(MID(AK111,4,3),{"Jan","Feb","Mar","Apr","May","Jun","Jul","Aug","Sep","Oct","Nov","Dec"},0),VALUE(LEFT(AK111,2))))))</f>
        <v>45896</v>
      </c>
      <c r="D111" s="4" t="s">
        <v>569</v>
      </c>
      <c r="E111" s="0" t="str">
        <f aca="false">PROPER(TRIM(AL111))</f>
        <v>Sneha Kapoor</v>
      </c>
      <c r="F111" s="0" t="str">
        <f aca="false">PROPER(TRIM(AM111))</f>
        <v>Consumer</v>
      </c>
      <c r="G111" s="0" t="str">
        <f aca="false">IF(TRIM(AN111)="","Unknown",PROPER(TRIM(AN111)))</f>
        <v>North</v>
      </c>
      <c r="H111" s="0" t="str">
        <f aca="false">PROPER(TRIM(AO111))</f>
        <v>Delhi</v>
      </c>
      <c r="I111" s="0" t="str">
        <f aca="false">PROPER(TRIM(AP111))</f>
        <v>New Delhi</v>
      </c>
      <c r="J111" s="0" t="str">
        <f aca="false">PROPER(TRIM(AQ111))</f>
        <v>Office Supplies</v>
      </c>
      <c r="K111" s="0" t="str">
        <f aca="false">PROPER(TRIM(AR111))</f>
        <v>Binders</v>
      </c>
      <c r="M111" s="0" t="str">
        <f aca="false">IF(TRIM(AS111)="","Unknown",PROPER(TRIM(AS111)))</f>
        <v>Second Class</v>
      </c>
      <c r="N111" s="0" t="n">
        <v>1</v>
      </c>
      <c r="O111" s="0" t="n">
        <v>2788.62</v>
      </c>
      <c r="P111" s="5" t="n">
        <f aca="false">IF(AT111="","",IF(ISNUMBER(AT111),AT111,VALUE(SUBSTITUTE(AT111,"%",""))/100))</f>
        <v>0.25</v>
      </c>
      <c r="Q111" s="5" t="n">
        <f aca="false">IF(P111="",IF(AND(N111&lt;&gt;"",O111&lt;&gt;"",R111&lt;&gt;"",S111&lt;&gt;""),0,"REVIEW"),IF(OR(P111&lt;0,P111&gt;0.3),0,P111))</f>
        <v>0.25</v>
      </c>
      <c r="R111" s="0" t="n">
        <v>2091.47</v>
      </c>
      <c r="S111" s="0" t="n">
        <v>1317.22</v>
      </c>
      <c r="T111" s="6" t="n">
        <f aca="false">N111*O111*(1-Q111)</f>
        <v>2091.465</v>
      </c>
      <c r="U111" s="6" t="n">
        <f aca="false">T111-S111</f>
        <v>774.245</v>
      </c>
      <c r="V111" s="7" t="n">
        <f aca="false">IF(T111=0,0,U111/T111)</f>
        <v>0.370192663993899</v>
      </c>
      <c r="W111" s="4" t="n">
        <f aca="false">C111-B111</f>
        <v>4</v>
      </c>
      <c r="X111" s="0" t="str">
        <f aca="false">TEXT(B111,"mmmm")</f>
        <v>August</v>
      </c>
      <c r="Y111" s="4" t="n">
        <f aca="false">YEAR(B111)</f>
        <v>2025</v>
      </c>
      <c r="Z111" s="0" t="str">
        <f aca="false">PROPER(TRIM(AU111))</f>
        <v>Paid</v>
      </c>
      <c r="AA111" s="0" t="str">
        <f aca="false">PROPER(TRIM(AV111))</f>
        <v>Completed</v>
      </c>
      <c r="AB111" s="0" t="str">
        <f aca="false">IF(TRIM(AN111)="","Yes","No")</f>
        <v>No</v>
      </c>
      <c r="AC111" s="0" t="str">
        <f aca="false">IF(TRIM(AS111)="","Yes","No")</f>
        <v>No</v>
      </c>
      <c r="AD111" s="0" t="str">
        <f aca="false">IF(AT111="","Yes","No")</f>
        <v>No</v>
      </c>
      <c r="AE111" s="0" t="str">
        <f aca="false">IF(W111&lt;0,"Yes","No")</f>
        <v>No</v>
      </c>
      <c r="AF111" s="0" t="str">
        <f aca="false">IF(P111="","No",IF(OR(P111&lt;0,P111&gt;0.3),"Yes","No"))</f>
        <v>No</v>
      </c>
      <c r="AG111" s="4" t="s">
        <v>50</v>
      </c>
      <c r="AH111" s="0" t="str">
        <f aca="false">IF(AND(AA111="Completed",Z111="Paid"),"Yes","No")</f>
        <v>Yes</v>
      </c>
      <c r="AI111" s="0" t="str">
        <f aca="false">IF(OR(AE111="Yes",AF111="Yes",AG111="Yes"),"Invalid",IF(OR(AB111="Yes",AC111="Yes",AD111="Yes"),"Warning","Clean"))</f>
        <v>Clean</v>
      </c>
      <c r="AJ111" s="4" t="s">
        <v>570</v>
      </c>
      <c r="AK111" s="4" t="s">
        <v>439</v>
      </c>
      <c r="AL111" s="4" t="s">
        <v>181</v>
      </c>
      <c r="AM111" s="4" t="s">
        <v>54</v>
      </c>
      <c r="AN111" s="4" t="s">
        <v>168</v>
      </c>
      <c r="AO111" s="4" t="s">
        <v>461</v>
      </c>
      <c r="AP111" s="4" t="s">
        <v>462</v>
      </c>
      <c r="AQ111" s="4" t="s">
        <v>58</v>
      </c>
      <c r="AR111" s="4" t="s">
        <v>206</v>
      </c>
      <c r="AS111" s="4" t="s">
        <v>60</v>
      </c>
      <c r="AT111" s="0" t="n">
        <v>0.25</v>
      </c>
      <c r="AU111" s="4" t="s">
        <v>61</v>
      </c>
      <c r="AV111" s="4" t="s">
        <v>62</v>
      </c>
    </row>
    <row r="112" customFormat="false" ht="15" hidden="false" customHeight="false" outlineLevel="0" collapsed="false">
      <c r="A112" s="0" t="s">
        <v>571</v>
      </c>
      <c r="B112" s="3" t="n">
        <f aca="false">IF(AJ112="","",IF(ISNUMBER(SEARCH("/",AJ112)),DATE(VALUE(RIGHT(AJ112,4)),VALUE(LEFT(AJ112,2)),VALUE(MID(AJ112,4,2))),IF(ISNUMBER(SEARCH("-",AJ112)),IF(LEN(LEFT(AJ112,FIND("-",AJ112)-1))=4,DATE(VALUE(LEFT(AJ112,4)),VALUE(MID(AJ112,6,2)),VALUE(RIGHT(AJ112,2))),DATE(VALUE(RIGHT(AJ112,4)),VALUE(MID(AJ112,4,2)),VALUE(LEFT(AJ112,2)))),DATE(VALUE(RIGHT(AJ112,4)),MATCH(MID(AJ112,4,3),{"Jan","Feb","Mar","Apr","May","Jun","Jul","Aug","Sep","Oct","Nov","Dec"},0),VALUE(LEFT(AJ112,2))))))</f>
        <v>45583</v>
      </c>
      <c r="C112" s="3" t="n">
        <f aca="false">IF(AK112="","",IF(ISNUMBER(SEARCH("/",AK112)),DATE(VALUE(RIGHT(AK112,4)),VALUE(LEFT(AK112,2)),VALUE(MID(AK112,4,2))),IF(ISNUMBER(SEARCH("-",AK112)),IF(LEN(LEFT(AK112,FIND("-",AK112)-1))=4,DATE(VALUE(LEFT(AK112,4)),VALUE(MID(AK112,6,2)),VALUE(RIGHT(AK112,2))),DATE(VALUE(RIGHT(AK112,4)),VALUE(MID(AK112,4,2)),VALUE(LEFT(AK112,2)))),DATE(VALUE(RIGHT(AK112,4)),MATCH(MID(AK112,4,3),{"Jan","Feb","Mar","Apr","May","Jun","Jul","Aug","Sep","Oct","Nov","Dec"},0),VALUE(LEFT(AK112,2))))))</f>
        <v>45589</v>
      </c>
      <c r="D112" s="4" t="s">
        <v>572</v>
      </c>
      <c r="E112" s="0" t="str">
        <f aca="false">PROPER(TRIM(AL112))</f>
        <v>Vikram Iyer</v>
      </c>
      <c r="F112" s="0" t="str">
        <f aca="false">PROPER(TRIM(AM112))</f>
        <v>Corporate</v>
      </c>
      <c r="G112" s="0" t="str">
        <f aca="false">IF(TRIM(AN112)="","Unknown",PROPER(TRIM(AN112)))</f>
        <v>South</v>
      </c>
      <c r="H112" s="0" t="str">
        <f aca="false">PROPER(TRIM(AO112))</f>
        <v>Kerala</v>
      </c>
      <c r="I112" s="0" t="str">
        <f aca="false">PROPER(TRIM(AP112))</f>
        <v>Kochi</v>
      </c>
      <c r="J112" s="0" t="str">
        <f aca="false">PROPER(TRIM(AQ112))</f>
        <v>Office Supplies</v>
      </c>
      <c r="K112" s="0" t="str">
        <f aca="false">PROPER(TRIM(AR112))</f>
        <v>Labels</v>
      </c>
      <c r="M112" s="0" t="str">
        <f aca="false">IF(TRIM(AS112)="","Unknown",PROPER(TRIM(AS112)))</f>
        <v>First Class</v>
      </c>
      <c r="N112" s="0" t="n">
        <v>2</v>
      </c>
      <c r="O112" s="0" t="n">
        <v>2250.47</v>
      </c>
      <c r="P112" s="5" t="n">
        <f aca="false">IF(AT112="","",IF(ISNUMBER(AT112),AT112,VALUE(SUBSTITUTE(AT112,"%",""))/100))</f>
        <v>0</v>
      </c>
      <c r="Q112" s="5" t="n">
        <f aca="false">IF(P112="",IF(AND(N112&lt;&gt;"",O112&lt;&gt;"",R112&lt;&gt;"",S112&lt;&gt;""),0,"REVIEW"),IF(OR(P112&lt;0,P112&gt;0.3),0,P112))</f>
        <v>0</v>
      </c>
      <c r="R112" s="0" t="n">
        <v>4500.94</v>
      </c>
      <c r="S112" s="0" t="n">
        <v>2607.73</v>
      </c>
      <c r="T112" s="6" t="n">
        <f aca="false">N112*O112*(1-Q112)</f>
        <v>4500.94</v>
      </c>
      <c r="U112" s="6" t="n">
        <f aca="false">T112-S112</f>
        <v>1893.21</v>
      </c>
      <c r="V112" s="7" t="n">
        <f aca="false">IF(T112=0,0,U112/T112)</f>
        <v>0.420625469346403</v>
      </c>
      <c r="W112" s="4" t="n">
        <f aca="false">C112-B112</f>
        <v>6</v>
      </c>
      <c r="X112" s="0" t="str">
        <f aca="false">TEXT(B112,"mmmm")</f>
        <v>October</v>
      </c>
      <c r="Y112" s="4" t="n">
        <f aca="false">YEAR(B112)</f>
        <v>2024</v>
      </c>
      <c r="Z112" s="0" t="str">
        <f aca="false">PROPER(TRIM(AU112))</f>
        <v>Refunded</v>
      </c>
      <c r="AA112" s="0" t="str">
        <f aca="false">PROPER(TRIM(AV112))</f>
        <v>Cancelled</v>
      </c>
      <c r="AB112" s="0" t="str">
        <f aca="false">IF(TRIM(AN112)="","Yes","No")</f>
        <v>No</v>
      </c>
      <c r="AC112" s="0" t="str">
        <f aca="false">IF(TRIM(AS112)="","Yes","No")</f>
        <v>No</v>
      </c>
      <c r="AD112" s="0" t="str">
        <f aca="false">IF(AT112="","Yes","No")</f>
        <v>No</v>
      </c>
      <c r="AE112" s="0" t="str">
        <f aca="false">IF(W112&lt;0,"Yes","No")</f>
        <v>No</v>
      </c>
      <c r="AF112" s="0" t="str">
        <f aca="false">IF(P112="","No",IF(OR(P112&lt;0,P112&gt;0.3),"Yes","No"))</f>
        <v>No</v>
      </c>
      <c r="AG112" s="4" t="s">
        <v>50</v>
      </c>
      <c r="AH112" s="0" t="str">
        <f aca="false">IF(AND(AA112="Completed",Z112="Paid"),"Yes","No")</f>
        <v>No</v>
      </c>
      <c r="AI112" s="0" t="str">
        <f aca="false">IF(OR(AE112="Yes",AF112="Yes",AG112="Yes"),"Invalid",IF(OR(AB112="Yes",AC112="Yes",AD112="Yes"),"Warning","Clean"))</f>
        <v>Clean</v>
      </c>
      <c r="AJ112" s="4" t="s">
        <v>573</v>
      </c>
      <c r="AK112" s="4" t="s">
        <v>574</v>
      </c>
      <c r="AL112" s="4" t="s">
        <v>106</v>
      </c>
      <c r="AM112" s="4" t="s">
        <v>128</v>
      </c>
      <c r="AN112" s="4" t="s">
        <v>87</v>
      </c>
      <c r="AO112" s="4" t="s">
        <v>244</v>
      </c>
      <c r="AP112" s="4" t="s">
        <v>245</v>
      </c>
      <c r="AQ112" s="4" t="s">
        <v>58</v>
      </c>
      <c r="AR112" s="4" t="s">
        <v>129</v>
      </c>
      <c r="AS112" s="4" t="s">
        <v>81</v>
      </c>
      <c r="AT112" s="0" t="n">
        <v>0</v>
      </c>
      <c r="AU112" s="4" t="s">
        <v>141</v>
      </c>
      <c r="AV112" s="4" t="s">
        <v>101</v>
      </c>
    </row>
    <row r="113" customFormat="false" ht="15" hidden="false" customHeight="false" outlineLevel="0" collapsed="false">
      <c r="A113" s="0" t="s">
        <v>575</v>
      </c>
      <c r="B113" s="3" t="n">
        <f aca="false">IF(AJ113="","",IF(ISNUMBER(SEARCH("/",AJ113)),DATE(VALUE(RIGHT(AJ113,4)),VALUE(LEFT(AJ113,2)),VALUE(MID(AJ113,4,2))),IF(ISNUMBER(SEARCH("-",AJ113)),IF(LEN(LEFT(AJ113,FIND("-",AJ113)-1))=4,DATE(VALUE(LEFT(AJ113,4)),VALUE(MID(AJ113,6,2)),VALUE(RIGHT(AJ113,2))),DATE(VALUE(RIGHT(AJ113,4)),VALUE(MID(AJ113,4,2)),VALUE(LEFT(AJ113,2)))),DATE(VALUE(RIGHT(AJ113,4)),MATCH(MID(AJ113,4,3),{"Jan","Feb","Mar","Apr","May","Jun","Jul","Aug","Sep","Oct","Nov","Dec"},0),VALUE(LEFT(AJ113,2))))))</f>
        <v>45835</v>
      </c>
      <c r="C113" s="3" t="n">
        <f aca="false">IF(AK113="","",IF(ISNUMBER(SEARCH("/",AK113)),DATE(VALUE(RIGHT(AK113,4)),VALUE(LEFT(AK113,2)),VALUE(MID(AK113,4,2))),IF(ISNUMBER(SEARCH("-",AK113)),IF(LEN(LEFT(AK113,FIND("-",AK113)-1))=4,DATE(VALUE(LEFT(AK113,4)),VALUE(MID(AK113,6,2)),VALUE(RIGHT(AK113,2))),DATE(VALUE(RIGHT(AK113,4)),VALUE(MID(AK113,4,2)),VALUE(LEFT(AK113,2)))),DATE(VALUE(RIGHT(AK113,4)),MATCH(MID(AK113,4,3),{"Jan","Feb","Mar","Apr","May","Jun","Jul","Aug","Sep","Oct","Nov","Dec"},0),VALUE(LEFT(AK113,2))))))</f>
        <v>45838</v>
      </c>
      <c r="D113" s="4" t="s">
        <v>576</v>
      </c>
      <c r="E113" s="0" t="str">
        <f aca="false">PROPER(TRIM(AL113))</f>
        <v>Neha Gupta</v>
      </c>
      <c r="F113" s="0" t="str">
        <f aca="false">PROPER(TRIM(AM113))</f>
        <v>Corporate</v>
      </c>
      <c r="G113" s="0" t="str">
        <f aca="false">IF(TRIM(AN113)="","Unknown",PROPER(TRIM(AN113)))</f>
        <v>East</v>
      </c>
      <c r="H113" s="0" t="str">
        <f aca="false">PROPER(TRIM(AO113))</f>
        <v>Bihar</v>
      </c>
      <c r="I113" s="0" t="str">
        <f aca="false">PROPER(TRIM(AP113))</f>
        <v>Patna</v>
      </c>
      <c r="J113" s="0" t="str">
        <f aca="false">PROPER(TRIM(AQ113))</f>
        <v>Technology</v>
      </c>
      <c r="K113" s="0" t="str">
        <f aca="false">PROPER(TRIM(AR113))</f>
        <v>Accessories</v>
      </c>
      <c r="M113" s="0" t="str">
        <f aca="false">IF(TRIM(AS113)="","Unknown",PROPER(TRIM(AS113)))</f>
        <v>First Class</v>
      </c>
      <c r="N113" s="0" t="n">
        <v>1</v>
      </c>
      <c r="O113" s="0" t="n">
        <v>1708.44</v>
      </c>
      <c r="P113" s="5" t="n">
        <f aca="false">IF(AT113="","",IF(ISNUMBER(AT113),AT113,VALUE(SUBSTITUTE(AT113,"%",""))/100))</f>
        <v>0.05</v>
      </c>
      <c r="Q113" s="5" t="n">
        <f aca="false">IF(P113="",IF(AND(N113&lt;&gt;"",O113&lt;&gt;"",R113&lt;&gt;"",S113&lt;&gt;""),0,"REVIEW"),IF(OR(P113&lt;0,P113&gt;0.3),0,P113))</f>
        <v>0.05</v>
      </c>
      <c r="R113" s="0" t="n">
        <v>1623.02</v>
      </c>
      <c r="S113" s="0" t="n">
        <v>1077.46</v>
      </c>
      <c r="T113" s="6" t="n">
        <f aca="false">N113*O113*(1-Q113)</f>
        <v>1623.018</v>
      </c>
      <c r="U113" s="6" t="n">
        <f aca="false">T113-S113</f>
        <v>545.558</v>
      </c>
      <c r="V113" s="7" t="n">
        <f aca="false">IF(T113=0,0,U113/T113)</f>
        <v>0.336137984914523</v>
      </c>
      <c r="W113" s="4" t="n">
        <f aca="false">C113-B113</f>
        <v>3</v>
      </c>
      <c r="X113" s="0" t="str">
        <f aca="false">TEXT(B113,"mmmm")</f>
        <v>June</v>
      </c>
      <c r="Y113" s="4" t="n">
        <f aca="false">YEAR(B113)</f>
        <v>2025</v>
      </c>
      <c r="Z113" s="0" t="str">
        <f aca="false">PROPER(TRIM(AU113))</f>
        <v>Pending</v>
      </c>
      <c r="AA113" s="0" t="str">
        <f aca="false">PROPER(TRIM(AV113))</f>
        <v>Cancelled</v>
      </c>
      <c r="AB113" s="0" t="str">
        <f aca="false">IF(TRIM(AN113)="","Yes","No")</f>
        <v>No</v>
      </c>
      <c r="AC113" s="0" t="str">
        <f aca="false">IF(TRIM(AS113)="","Yes","No")</f>
        <v>No</v>
      </c>
      <c r="AD113" s="0" t="str">
        <f aca="false">IF(AT113="","Yes","No")</f>
        <v>No</v>
      </c>
      <c r="AE113" s="0" t="str">
        <f aca="false">IF(W113&lt;0,"Yes","No")</f>
        <v>No</v>
      </c>
      <c r="AF113" s="0" t="str">
        <f aca="false">IF(P113="","No",IF(OR(P113&lt;0,P113&gt;0.3),"Yes","No"))</f>
        <v>No</v>
      </c>
      <c r="AG113" s="4" t="s">
        <v>50</v>
      </c>
      <c r="AH113" s="0" t="str">
        <f aca="false">IF(AND(AA113="Completed",Z113="Paid"),"Yes","No")</f>
        <v>No</v>
      </c>
      <c r="AI113" s="0" t="str">
        <f aca="false">IF(OR(AE113="Yes",AF113="Yes",AG113="Yes"),"Invalid",IF(OR(AB113="Yes",AC113="Yes",AD113="Yes"),"Warning","Clean"))</f>
        <v>Clean</v>
      </c>
      <c r="AJ113" s="4" t="s">
        <v>577</v>
      </c>
      <c r="AK113" s="4" t="s">
        <v>578</v>
      </c>
      <c r="AL113" s="4" t="s">
        <v>115</v>
      </c>
      <c r="AM113" s="4" t="s">
        <v>128</v>
      </c>
      <c r="AN113" s="4" t="s">
        <v>69</v>
      </c>
      <c r="AO113" s="4" t="s">
        <v>196</v>
      </c>
      <c r="AP113" s="4" t="s">
        <v>197</v>
      </c>
      <c r="AQ113" s="4" t="s">
        <v>109</v>
      </c>
      <c r="AR113" s="4" t="s">
        <v>110</v>
      </c>
      <c r="AS113" s="4" t="s">
        <v>81</v>
      </c>
      <c r="AT113" s="0" t="n">
        <v>0.05</v>
      </c>
      <c r="AU113" s="4" t="s">
        <v>153</v>
      </c>
      <c r="AV113" s="4" t="s">
        <v>101</v>
      </c>
    </row>
    <row r="114" customFormat="false" ht="15" hidden="false" customHeight="false" outlineLevel="0" collapsed="false">
      <c r="A114" s="0" t="s">
        <v>579</v>
      </c>
      <c r="B114" s="3" t="n">
        <f aca="false">IF(AJ114="","",IF(ISNUMBER(SEARCH("/",AJ114)),DATE(VALUE(RIGHT(AJ114,4)),VALUE(LEFT(AJ114,2)),VALUE(MID(AJ114,4,2))),IF(ISNUMBER(SEARCH("-",AJ114)),IF(LEN(LEFT(AJ114,FIND("-",AJ114)-1))=4,DATE(VALUE(LEFT(AJ114,4)),VALUE(MID(AJ114,6,2)),VALUE(RIGHT(AJ114,2))),DATE(VALUE(RIGHT(AJ114,4)),VALUE(MID(AJ114,4,2)),VALUE(LEFT(AJ114,2)))),DATE(VALUE(RIGHT(AJ114,4)),MATCH(MID(AJ114,4,3),{"Jan","Feb","Mar","Apr","May","Jun","Jul","Aug","Sep","Oct","Nov","Dec"},0),VALUE(LEFT(AJ114,2))))))</f>
        <v>45301</v>
      </c>
      <c r="C114" s="3" t="n">
        <f aca="false">IF(AK114="","",IF(ISNUMBER(SEARCH("/",AK114)),DATE(VALUE(RIGHT(AK114,4)),VALUE(LEFT(AK114,2)),VALUE(MID(AK114,4,2))),IF(ISNUMBER(SEARCH("-",AK114)),IF(LEN(LEFT(AK114,FIND("-",AK114)-1))=4,DATE(VALUE(LEFT(AK114,4)),VALUE(MID(AK114,6,2)),VALUE(RIGHT(AK114,2))),DATE(VALUE(RIGHT(AK114,4)),VALUE(MID(AK114,4,2)),VALUE(LEFT(AK114,2)))),DATE(VALUE(RIGHT(AK114,4)),MATCH(MID(AK114,4,3),{"Jan","Feb","Mar","Apr","May","Jun","Jul","Aug","Sep","Oct","Nov","Dec"},0),VALUE(LEFT(AK114,2))))))</f>
        <v>45305</v>
      </c>
      <c r="D114" s="4" t="s">
        <v>580</v>
      </c>
      <c r="E114" s="0" t="str">
        <f aca="false">PROPER(TRIM(AL114))</f>
        <v>Sneha Kapoor</v>
      </c>
      <c r="F114" s="0" t="str">
        <f aca="false">PROPER(TRIM(AM114))</f>
        <v>Consumer</v>
      </c>
      <c r="G114" s="0" t="str">
        <f aca="false">IF(TRIM(AN114)="","Unknown",PROPER(TRIM(AN114)))</f>
        <v>Unknown</v>
      </c>
      <c r="H114" s="0" t="str">
        <f aca="false">PROPER(TRIM(AO114))</f>
        <v>Gujarat</v>
      </c>
      <c r="I114" s="0" t="str">
        <f aca="false">PROPER(TRIM(AP114))</f>
        <v>Ahmedabad</v>
      </c>
      <c r="J114" s="0" t="str">
        <f aca="false">PROPER(TRIM(AQ114))</f>
        <v>Technology</v>
      </c>
      <c r="K114" s="0" t="str">
        <f aca="false">PROPER(TRIM(AR114))</f>
        <v>Accessories</v>
      </c>
      <c r="M114" s="0" t="str">
        <f aca="false">IF(TRIM(AS114)="","Unknown",PROPER(TRIM(AS114)))</f>
        <v>Standard Class</v>
      </c>
      <c r="N114" s="0" t="n">
        <v>3</v>
      </c>
      <c r="O114" s="0" t="n">
        <v>3829.48</v>
      </c>
      <c r="P114" s="5" t="n">
        <f aca="false">IF(AT114="","",IF(ISNUMBER(AT114),AT114,VALUE(SUBSTITUTE(AT114,"%",""))/100))</f>
        <v>0.05</v>
      </c>
      <c r="Q114" s="5" t="n">
        <f aca="false">IF(P114="",IF(AND(N114&lt;&gt;"",O114&lt;&gt;"",R114&lt;&gt;"",S114&lt;&gt;""),0,"REVIEW"),IF(OR(P114&lt;0,P114&gt;0.3),0,P114))</f>
        <v>0.05</v>
      </c>
      <c r="R114" s="0" t="n">
        <v>10914.02</v>
      </c>
      <c r="S114" s="0" t="n">
        <v>6548.74</v>
      </c>
      <c r="T114" s="6" t="n">
        <f aca="false">N114*O114*(1-Q114)</f>
        <v>10914.018</v>
      </c>
      <c r="U114" s="6" t="n">
        <f aca="false">T114-S114</f>
        <v>4365.278</v>
      </c>
      <c r="V114" s="7" t="n">
        <f aca="false">IF(T114=0,0,U114/T114)</f>
        <v>0.399969836956472</v>
      </c>
      <c r="W114" s="4" t="n">
        <f aca="false">C114-B114</f>
        <v>4</v>
      </c>
      <c r="X114" s="0" t="str">
        <f aca="false">TEXT(B114,"mmmm")</f>
        <v>January</v>
      </c>
      <c r="Y114" s="4" t="n">
        <f aca="false">YEAR(B114)</f>
        <v>2024</v>
      </c>
      <c r="Z114" s="0" t="str">
        <f aca="false">PROPER(TRIM(AU114))</f>
        <v>Paid</v>
      </c>
      <c r="AA114" s="0" t="str">
        <f aca="false">PROPER(TRIM(AV114))</f>
        <v>Completed</v>
      </c>
      <c r="AB114" s="0" t="str">
        <f aca="false">IF(TRIM(AN114)="","Yes","No")</f>
        <v>Yes</v>
      </c>
      <c r="AC114" s="0" t="str">
        <f aca="false">IF(TRIM(AS114)="","Yes","No")</f>
        <v>No</v>
      </c>
      <c r="AD114" s="0" t="str">
        <f aca="false">IF(AT114="","Yes","No")</f>
        <v>No</v>
      </c>
      <c r="AE114" s="0" t="str">
        <f aca="false">IF(W114&lt;0,"Yes","No")</f>
        <v>No</v>
      </c>
      <c r="AF114" s="0" t="str">
        <f aca="false">IF(P114="","No",IF(OR(P114&lt;0,P114&gt;0.3),"Yes","No"))</f>
        <v>No</v>
      </c>
      <c r="AG114" s="4" t="s">
        <v>50</v>
      </c>
      <c r="AH114" s="0" t="str">
        <f aca="false">IF(AND(AA114="Completed",Z114="Paid"),"Yes","No")</f>
        <v>Yes</v>
      </c>
      <c r="AI114" s="0" t="str">
        <f aca="false">IF(OR(AE114="Yes",AF114="Yes",AG114="Yes"),"Invalid",IF(OR(AB114="Yes",AC114="Yes",AD114="Yes"),"Warning","Clean"))</f>
        <v>Warning</v>
      </c>
      <c r="AJ114" s="4" t="s">
        <v>581</v>
      </c>
      <c r="AK114" s="4" t="s">
        <v>582</v>
      </c>
      <c r="AL114" s="4" t="s">
        <v>181</v>
      </c>
      <c r="AM114" s="4" t="s">
        <v>583</v>
      </c>
      <c r="AO114" s="4" t="s">
        <v>238</v>
      </c>
      <c r="AP114" s="4" t="s">
        <v>239</v>
      </c>
      <c r="AQ114" s="4" t="s">
        <v>109</v>
      </c>
      <c r="AR114" s="4" t="s">
        <v>110</v>
      </c>
      <c r="AS114" s="4" t="s">
        <v>91</v>
      </c>
      <c r="AT114" s="0" t="n">
        <v>0.05</v>
      </c>
      <c r="AU114" s="4" t="s">
        <v>61</v>
      </c>
      <c r="AV114" s="4" t="s">
        <v>62</v>
      </c>
    </row>
    <row r="115" customFormat="false" ht="15" hidden="false" customHeight="false" outlineLevel="0" collapsed="false">
      <c r="A115" s="0" t="s">
        <v>584</v>
      </c>
      <c r="B115" s="3" t="n">
        <f aca="false">IF(AJ115="","",IF(ISNUMBER(SEARCH("/",AJ115)),DATE(VALUE(RIGHT(AJ115,4)),VALUE(LEFT(AJ115,2)),VALUE(MID(AJ115,4,2))),IF(ISNUMBER(SEARCH("-",AJ115)),IF(LEN(LEFT(AJ115,FIND("-",AJ115)-1))=4,DATE(VALUE(LEFT(AJ115,4)),VALUE(MID(AJ115,6,2)),VALUE(RIGHT(AJ115,2))),DATE(VALUE(RIGHT(AJ115,4)),VALUE(MID(AJ115,4,2)),VALUE(LEFT(AJ115,2)))),DATE(VALUE(RIGHT(AJ115,4)),MATCH(MID(AJ115,4,3),{"Jan","Feb","Mar","Apr","May","Jun","Jul","Aug","Sep","Oct","Nov","Dec"},0),VALUE(LEFT(AJ115,2))))))</f>
        <v>45334</v>
      </c>
      <c r="C115" s="3" t="n">
        <f aca="false">IF(AK115="","",IF(ISNUMBER(SEARCH("/",AK115)),DATE(VALUE(RIGHT(AK115,4)),VALUE(LEFT(AK115,2)),VALUE(MID(AK115,4,2))),IF(ISNUMBER(SEARCH("-",AK115)),IF(LEN(LEFT(AK115,FIND("-",AK115)-1))=4,DATE(VALUE(LEFT(AK115,4)),VALUE(MID(AK115,6,2)),VALUE(RIGHT(AK115,2))),DATE(VALUE(RIGHT(AK115,4)),VALUE(MID(AK115,4,2)),VALUE(LEFT(AK115,2)))),DATE(VALUE(RIGHT(AK115,4)),MATCH(MID(AK115,4,3),{"Jan","Feb","Mar","Apr","May","Jun","Jul","Aug","Sep","Oct","Nov","Dec"},0),VALUE(LEFT(AK115,2))))))</f>
        <v>45334</v>
      </c>
      <c r="D115" s="4" t="s">
        <v>472</v>
      </c>
      <c r="E115" s="0" t="str">
        <f aca="false">PROPER(TRIM(AL115))</f>
        <v>Isha Nair</v>
      </c>
      <c r="F115" s="0" t="str">
        <f aca="false">PROPER(TRIM(AM115))</f>
        <v>Home Office</v>
      </c>
      <c r="G115" s="0" t="str">
        <f aca="false">IF(TRIM(AN115)="","Unknown",PROPER(TRIM(AN115)))</f>
        <v>South</v>
      </c>
      <c r="H115" s="0" t="str">
        <f aca="false">PROPER(TRIM(AO115))</f>
        <v>Tamil Nadu</v>
      </c>
      <c r="I115" s="0" t="str">
        <f aca="false">PROPER(TRIM(AP115))</f>
        <v>Chennai</v>
      </c>
      <c r="J115" s="0" t="str">
        <f aca="false">PROPER(TRIM(AQ115))</f>
        <v>Furniture</v>
      </c>
      <c r="K115" s="0" t="str">
        <f aca="false">PROPER(TRIM(AR115))</f>
        <v>Tables</v>
      </c>
      <c r="M115" s="0" t="str">
        <f aca="false">IF(TRIM(AS115)="","Unknown",PROPER(TRIM(AS115)))</f>
        <v>Standard Class</v>
      </c>
      <c r="N115" s="0" t="n">
        <v>3</v>
      </c>
      <c r="O115" s="0" t="n">
        <v>1089.15</v>
      </c>
      <c r="P115" s="5" t="n">
        <f aca="false">IF(AT115="","",IF(ISNUMBER(AT115),AT115,VALUE(SUBSTITUTE(AT115,"%",""))/100))</f>
        <v>0.25</v>
      </c>
      <c r="Q115" s="5" t="n">
        <f aca="false">IF(P115="",IF(AND(N115&lt;&gt;"",O115&lt;&gt;"",R115&lt;&gt;"",S115&lt;&gt;""),0,"REVIEW"),IF(OR(P115&lt;0,P115&gt;0.3),0,P115))</f>
        <v>0.25</v>
      </c>
      <c r="R115" s="0" t="n">
        <v>2450.59</v>
      </c>
      <c r="S115" s="0" t="n">
        <v>1639.89</v>
      </c>
      <c r="T115" s="6" t="n">
        <f aca="false">N115*O115*(1-Q115)</f>
        <v>2450.5875</v>
      </c>
      <c r="U115" s="6" t="n">
        <f aca="false">T115-S115</f>
        <v>810.6975</v>
      </c>
      <c r="V115" s="7" t="n">
        <f aca="false">IF(T115=0,0,U115/T115)</f>
        <v>0.330817610062893</v>
      </c>
      <c r="W115" s="4" t="n">
        <f aca="false">C115-B115</f>
        <v>0</v>
      </c>
      <c r="X115" s="0" t="str">
        <f aca="false">TEXT(B115,"mmmm")</f>
        <v>February</v>
      </c>
      <c r="Y115" s="4" t="n">
        <f aca="false">YEAR(B115)</f>
        <v>2024</v>
      </c>
      <c r="Z115" s="0" t="str">
        <f aca="false">PROPER(TRIM(AU115))</f>
        <v>Paid</v>
      </c>
      <c r="AA115" s="0" t="str">
        <f aca="false">PROPER(TRIM(AV115))</f>
        <v>Completed</v>
      </c>
      <c r="AB115" s="0" t="str">
        <f aca="false">IF(TRIM(AN115)="","Yes","No")</f>
        <v>No</v>
      </c>
      <c r="AC115" s="0" t="str">
        <f aca="false">IF(TRIM(AS115)="","Yes","No")</f>
        <v>No</v>
      </c>
      <c r="AD115" s="0" t="str">
        <f aca="false">IF(AT115="","Yes","No")</f>
        <v>No</v>
      </c>
      <c r="AE115" s="0" t="str">
        <f aca="false">IF(W115&lt;0,"Yes","No")</f>
        <v>No</v>
      </c>
      <c r="AF115" s="0" t="str">
        <f aca="false">IF(P115="","No",IF(OR(P115&lt;0,P115&gt;0.3),"Yes","No"))</f>
        <v>No</v>
      </c>
      <c r="AG115" s="4" t="s">
        <v>50</v>
      </c>
      <c r="AH115" s="0" t="str">
        <f aca="false">IF(AND(AA115="Completed",Z115="Paid"),"Yes","No")</f>
        <v>Yes</v>
      </c>
      <c r="AI115" s="0" t="str">
        <f aca="false">IF(OR(AE115="Yes",AF115="Yes",AG115="Yes"),"Invalid",IF(OR(AB115="Yes",AC115="Yes",AD115="Yes"),"Warning","Clean"))</f>
        <v>Clean</v>
      </c>
      <c r="AJ115" s="4" t="s">
        <v>585</v>
      </c>
      <c r="AK115" s="4" t="s">
        <v>585</v>
      </c>
      <c r="AL115" s="4" t="s">
        <v>79</v>
      </c>
      <c r="AM115" s="4" t="s">
        <v>134</v>
      </c>
      <c r="AN115" s="4" t="s">
        <v>87</v>
      </c>
      <c r="AO115" s="4" t="s">
        <v>323</v>
      </c>
      <c r="AP115" s="4" t="s">
        <v>324</v>
      </c>
      <c r="AQ115" s="4" t="s">
        <v>72</v>
      </c>
      <c r="AR115" s="4" t="s">
        <v>73</v>
      </c>
      <c r="AS115" s="4" t="s">
        <v>91</v>
      </c>
      <c r="AT115" s="0" t="n">
        <v>0.25</v>
      </c>
      <c r="AU115" s="4" t="s">
        <v>61</v>
      </c>
      <c r="AV115" s="4" t="s">
        <v>62</v>
      </c>
    </row>
    <row r="116" customFormat="false" ht="15" hidden="false" customHeight="false" outlineLevel="0" collapsed="false">
      <c r="A116" s="0" t="s">
        <v>586</v>
      </c>
      <c r="B116" s="3" t="n">
        <f aca="false">IF(AJ116="","",IF(ISNUMBER(SEARCH("/",AJ116)),DATE(VALUE(RIGHT(AJ116,4)),VALUE(LEFT(AJ116,2)),VALUE(MID(AJ116,4,2))),IF(ISNUMBER(SEARCH("-",AJ116)),IF(LEN(LEFT(AJ116,FIND("-",AJ116)-1))=4,DATE(VALUE(LEFT(AJ116,4)),VALUE(MID(AJ116,6,2)),VALUE(RIGHT(AJ116,2))),DATE(VALUE(RIGHT(AJ116,4)),VALUE(MID(AJ116,4,2)),VALUE(LEFT(AJ116,2)))),DATE(VALUE(RIGHT(AJ116,4)),MATCH(MID(AJ116,4,3),{"Jan","Feb","Mar","Apr","May","Jun","Jul","Aug","Sep","Oct","Nov","Dec"},0),VALUE(LEFT(AJ116,2))))))</f>
        <v>45560</v>
      </c>
      <c r="C116" s="3" t="n">
        <f aca="false">IF(AK116="","",IF(ISNUMBER(SEARCH("/",AK116)),DATE(VALUE(RIGHT(AK116,4)),VALUE(LEFT(AK116,2)),VALUE(MID(AK116,4,2))),IF(ISNUMBER(SEARCH("-",AK116)),IF(LEN(LEFT(AK116,FIND("-",AK116)-1))=4,DATE(VALUE(LEFT(AK116,4)),VALUE(MID(AK116,6,2)),VALUE(RIGHT(AK116,2))),DATE(VALUE(RIGHT(AK116,4)),VALUE(MID(AK116,4,2)),VALUE(LEFT(AK116,2)))),DATE(VALUE(RIGHT(AK116,4)),MATCH(MID(AK116,4,3),{"Jan","Feb","Mar","Apr","May","Jun","Jul","Aug","Sep","Oct","Nov","Dec"},0),VALUE(LEFT(AK116,2))))))</f>
        <v>45565</v>
      </c>
      <c r="D116" s="4" t="s">
        <v>587</v>
      </c>
      <c r="E116" s="0" t="str">
        <f aca="false">PROPER(TRIM(AL116))</f>
        <v>Neha Gupta</v>
      </c>
      <c r="F116" s="0" t="str">
        <f aca="false">PROPER(TRIM(AM116))</f>
        <v>Small Business</v>
      </c>
      <c r="G116" s="0" t="str">
        <f aca="false">IF(TRIM(AN116)="","Unknown",PROPER(TRIM(AN116)))</f>
        <v>North</v>
      </c>
      <c r="H116" s="0" t="str">
        <f aca="false">PROPER(TRIM(AO116))</f>
        <v>Rajasthan</v>
      </c>
      <c r="I116" s="0" t="str">
        <f aca="false">PROPER(TRIM(AP116))</f>
        <v>Jaipur</v>
      </c>
      <c r="J116" s="0" t="str">
        <f aca="false">PROPER(TRIM(AQ116))</f>
        <v>Technology</v>
      </c>
      <c r="K116" s="0" t="str">
        <f aca="false">PROPER(TRIM(AR116))</f>
        <v>Accessories</v>
      </c>
      <c r="M116" s="0" t="str">
        <f aca="false">IF(TRIM(AS116)="","Unknown",PROPER(TRIM(AS116)))</f>
        <v>Second Class</v>
      </c>
      <c r="N116" s="0" t="n">
        <v>1</v>
      </c>
      <c r="O116" s="0" t="n">
        <v>4388.4</v>
      </c>
      <c r="P116" s="5" t="n">
        <f aca="false">IF(AT116="","",IF(ISNUMBER(AT116),AT116,VALUE(SUBSTITUTE(AT116,"%",""))/100))</f>
        <v>0.1</v>
      </c>
      <c r="Q116" s="5" t="n">
        <f aca="false">IF(P116="",IF(AND(N116&lt;&gt;"",O116&lt;&gt;"",R116&lt;&gt;"",S116&lt;&gt;""),0,"REVIEW"),IF(OR(P116&lt;0,P116&gt;0.3),0,P116))</f>
        <v>0.1</v>
      </c>
      <c r="R116" s="0" t="n">
        <v>3949.56</v>
      </c>
      <c r="S116" s="0" t="n">
        <v>3186.73</v>
      </c>
      <c r="T116" s="6" t="n">
        <f aca="false">N116*O116*(1-Q116)</f>
        <v>3949.56</v>
      </c>
      <c r="U116" s="6" t="n">
        <f aca="false">T116-S116</f>
        <v>762.83</v>
      </c>
      <c r="V116" s="7" t="n">
        <f aca="false">IF(T116=0,0,U116/T116)</f>
        <v>0.193143033654382</v>
      </c>
      <c r="W116" s="4" t="n">
        <f aca="false">C116-B116</f>
        <v>5</v>
      </c>
      <c r="X116" s="0" t="str">
        <f aca="false">TEXT(B116,"mmmm")</f>
        <v>September</v>
      </c>
      <c r="Y116" s="4" t="n">
        <f aca="false">YEAR(B116)</f>
        <v>2024</v>
      </c>
      <c r="Z116" s="0" t="str">
        <f aca="false">PROPER(TRIM(AU116))</f>
        <v>Pending</v>
      </c>
      <c r="AA116" s="0" t="str">
        <f aca="false">PROPER(TRIM(AV116))</f>
        <v>Cancelled</v>
      </c>
      <c r="AB116" s="0" t="str">
        <f aca="false">IF(TRIM(AN116)="","Yes","No")</f>
        <v>No</v>
      </c>
      <c r="AC116" s="0" t="str">
        <f aca="false">IF(TRIM(AS116)="","Yes","No")</f>
        <v>No</v>
      </c>
      <c r="AD116" s="0" t="str">
        <f aca="false">IF(AT116="","Yes","No")</f>
        <v>No</v>
      </c>
      <c r="AE116" s="0" t="str">
        <f aca="false">IF(W116&lt;0,"Yes","No")</f>
        <v>No</v>
      </c>
      <c r="AF116" s="0" t="str">
        <f aca="false">IF(P116="","No",IF(OR(P116&lt;0,P116&gt;0.3),"Yes","No"))</f>
        <v>No</v>
      </c>
      <c r="AG116" s="4" t="s">
        <v>50</v>
      </c>
      <c r="AH116" s="0" t="str">
        <f aca="false">IF(AND(AA116="Completed",Z116="Paid"),"Yes","No")</f>
        <v>No</v>
      </c>
      <c r="AI116" s="0" t="str">
        <f aca="false">IF(OR(AE116="Yes",AF116="Yes",AG116="Yes"),"Invalid",IF(OR(AB116="Yes",AC116="Yes",AD116="Yes"),"Warning","Clean"))</f>
        <v>Clean</v>
      </c>
      <c r="AJ116" s="4" t="s">
        <v>588</v>
      </c>
      <c r="AK116" s="4" t="s">
        <v>589</v>
      </c>
      <c r="AL116" s="4" t="s">
        <v>115</v>
      </c>
      <c r="AM116" s="4" t="s">
        <v>68</v>
      </c>
      <c r="AN116" s="4" t="s">
        <v>168</v>
      </c>
      <c r="AO116" s="4" t="s">
        <v>56</v>
      </c>
      <c r="AP116" s="4" t="s">
        <v>57</v>
      </c>
      <c r="AQ116" s="4" t="s">
        <v>109</v>
      </c>
      <c r="AR116" s="4" t="s">
        <v>110</v>
      </c>
      <c r="AS116" s="4" t="s">
        <v>60</v>
      </c>
      <c r="AT116" s="0" t="n">
        <v>0.1</v>
      </c>
      <c r="AU116" s="4" t="s">
        <v>153</v>
      </c>
      <c r="AV116" s="4" t="s">
        <v>101</v>
      </c>
    </row>
    <row r="117" customFormat="false" ht="15" hidden="false" customHeight="false" outlineLevel="0" collapsed="false">
      <c r="A117" s="0" t="s">
        <v>590</v>
      </c>
      <c r="B117" s="3" t="n">
        <f aca="false">IF(AJ117="","",IF(ISNUMBER(SEARCH("/",AJ117)),DATE(VALUE(RIGHT(AJ117,4)),VALUE(LEFT(AJ117,2)),VALUE(MID(AJ117,4,2))),IF(ISNUMBER(SEARCH("-",AJ117)),IF(LEN(LEFT(AJ117,FIND("-",AJ117)-1))=4,DATE(VALUE(LEFT(AJ117,4)),VALUE(MID(AJ117,6,2)),VALUE(RIGHT(AJ117,2))),DATE(VALUE(RIGHT(AJ117,4)),VALUE(MID(AJ117,4,2)),VALUE(LEFT(AJ117,2)))),DATE(VALUE(RIGHT(AJ117,4)),MATCH(MID(AJ117,4,3),{"Jan","Feb","Mar","Apr","May","Jun","Jul","Aug","Sep","Oct","Nov","Dec"},0),VALUE(LEFT(AJ117,2))))))</f>
        <v>45653</v>
      </c>
      <c r="C117" s="3" t="n">
        <f aca="false">IF(AK117="","",IF(ISNUMBER(SEARCH("/",AK117)),DATE(VALUE(RIGHT(AK117,4)),VALUE(LEFT(AK117,2)),VALUE(MID(AK117,4,2))),IF(ISNUMBER(SEARCH("-",AK117)),IF(LEN(LEFT(AK117,FIND("-",AK117)-1))=4,DATE(VALUE(LEFT(AK117,4)),VALUE(MID(AK117,6,2)),VALUE(RIGHT(AK117,2))),DATE(VALUE(RIGHT(AK117,4)),VALUE(MID(AK117,4,2)),VALUE(LEFT(AK117,2)))),DATE(VALUE(RIGHT(AK117,4)),MATCH(MID(AK117,4,3),{"Jan","Feb","Mar","Apr","May","Jun","Jul","Aug","Sep","Oct","Nov","Dec"},0),VALUE(LEFT(AK117,2))))))</f>
        <v>45658</v>
      </c>
      <c r="D117" s="4" t="s">
        <v>591</v>
      </c>
      <c r="E117" s="0" t="str">
        <f aca="false">PROPER(TRIM(AL117))</f>
        <v>Kabir Singh</v>
      </c>
      <c r="F117" s="0" t="str">
        <f aca="false">PROPER(TRIM(AM117))</f>
        <v>Corporate</v>
      </c>
      <c r="G117" s="0" t="str">
        <f aca="false">IF(TRIM(AN117)="","Unknown",PROPER(TRIM(AN117)))</f>
        <v>South</v>
      </c>
      <c r="H117" s="0" t="str">
        <f aca="false">PROPER(TRIM(AO117))</f>
        <v>Tamil Nadu</v>
      </c>
      <c r="I117" s="0" t="str">
        <f aca="false">PROPER(TRIM(AP117))</f>
        <v>Chennai</v>
      </c>
      <c r="J117" s="0" t="str">
        <f aca="false">PROPER(TRIM(AQ117))</f>
        <v>Office Supplies</v>
      </c>
      <c r="K117" s="0" t="str">
        <f aca="false">PROPER(TRIM(AR117))</f>
        <v>Binders</v>
      </c>
      <c r="M117" s="0" t="str">
        <f aca="false">IF(TRIM(AS117)="","Unknown",PROPER(TRIM(AS117)))</f>
        <v>Same Day</v>
      </c>
      <c r="N117" s="0" t="n">
        <v>2</v>
      </c>
      <c r="O117" s="0" t="n">
        <v>446.34</v>
      </c>
      <c r="P117" s="5" t="n">
        <f aca="false">IF(AT117="","",IF(ISNUMBER(AT117),AT117,VALUE(SUBSTITUTE(AT117,"%",""))/100))</f>
        <v>0.15</v>
      </c>
      <c r="Q117" s="5" t="n">
        <f aca="false">IF(P117="",IF(AND(N117&lt;&gt;"",O117&lt;&gt;"",R117&lt;&gt;"",S117&lt;&gt;""),0,"REVIEW"),IF(OR(P117&lt;0,P117&gt;0.3),0,P117))</f>
        <v>0.15</v>
      </c>
      <c r="R117" s="0" t="n">
        <v>758.78</v>
      </c>
      <c r="S117" s="0" t="n">
        <v>490.74</v>
      </c>
      <c r="T117" s="6" t="n">
        <f aca="false">N117*O117*(1-Q117)</f>
        <v>758.778</v>
      </c>
      <c r="U117" s="6" t="n">
        <f aca="false">T117-S117</f>
        <v>268.038</v>
      </c>
      <c r="V117" s="7" t="n">
        <f aca="false">IF(T117=0,0,U117/T117)</f>
        <v>0.353249567067047</v>
      </c>
      <c r="W117" s="4" t="n">
        <f aca="false">C117-B117</f>
        <v>5</v>
      </c>
      <c r="X117" s="0" t="str">
        <f aca="false">TEXT(B117,"mmmm")</f>
        <v>December</v>
      </c>
      <c r="Y117" s="4" t="n">
        <f aca="false">YEAR(B117)</f>
        <v>2024</v>
      </c>
      <c r="Z117" s="0" t="str">
        <f aca="false">PROPER(TRIM(AU117))</f>
        <v>Paid</v>
      </c>
      <c r="AA117" s="0" t="str">
        <f aca="false">PROPER(TRIM(AV117))</f>
        <v>Cancelled</v>
      </c>
      <c r="AB117" s="0" t="str">
        <f aca="false">IF(TRIM(AN117)="","Yes","No")</f>
        <v>No</v>
      </c>
      <c r="AC117" s="0" t="str">
        <f aca="false">IF(TRIM(AS117)="","Yes","No")</f>
        <v>No</v>
      </c>
      <c r="AD117" s="0" t="str">
        <f aca="false">IF(AT117="","Yes","No")</f>
        <v>No</v>
      </c>
      <c r="AE117" s="0" t="str">
        <f aca="false">IF(W117&lt;0,"Yes","No")</f>
        <v>No</v>
      </c>
      <c r="AF117" s="0" t="str">
        <f aca="false">IF(P117="","No",IF(OR(P117&lt;0,P117&gt;0.3),"Yes","No"))</f>
        <v>No</v>
      </c>
      <c r="AG117" s="4" t="s">
        <v>50</v>
      </c>
      <c r="AH117" s="0" t="str">
        <f aca="false">IF(AND(AA117="Completed",Z117="Paid"),"Yes","No")</f>
        <v>No</v>
      </c>
      <c r="AI117" s="0" t="str">
        <f aca="false">IF(OR(AE117="Yes",AF117="Yes",AG117="Yes"),"Invalid",IF(OR(AB117="Yes",AC117="Yes",AD117="Yes"),"Warning","Clean"))</f>
        <v>Clean</v>
      </c>
      <c r="AJ117" s="4" t="s">
        <v>592</v>
      </c>
      <c r="AK117" s="4" t="s">
        <v>593</v>
      </c>
      <c r="AL117" s="4" t="s">
        <v>347</v>
      </c>
      <c r="AM117" s="4" t="s">
        <v>128</v>
      </c>
      <c r="AN117" s="4" t="s">
        <v>87</v>
      </c>
      <c r="AO117" s="4" t="s">
        <v>323</v>
      </c>
      <c r="AP117" s="4" t="s">
        <v>324</v>
      </c>
      <c r="AQ117" s="4" t="s">
        <v>58</v>
      </c>
      <c r="AR117" s="4" t="s">
        <v>206</v>
      </c>
      <c r="AS117" s="4" t="s">
        <v>74</v>
      </c>
      <c r="AT117" s="0" t="n">
        <v>0.15</v>
      </c>
      <c r="AU117" s="4" t="s">
        <v>61</v>
      </c>
      <c r="AV117" s="4" t="s">
        <v>101</v>
      </c>
    </row>
    <row r="118" customFormat="false" ht="15" hidden="false" customHeight="false" outlineLevel="0" collapsed="false">
      <c r="A118" s="0" t="s">
        <v>594</v>
      </c>
      <c r="B118" s="3" t="n">
        <f aca="false">IF(AJ118="","",IF(ISNUMBER(SEARCH("/",AJ118)),DATE(VALUE(RIGHT(AJ118,4)),VALUE(LEFT(AJ118,2)),VALUE(MID(AJ118,4,2))),IF(ISNUMBER(SEARCH("-",AJ118)),IF(LEN(LEFT(AJ118,FIND("-",AJ118)-1))=4,DATE(VALUE(LEFT(AJ118,4)),VALUE(MID(AJ118,6,2)),VALUE(RIGHT(AJ118,2))),DATE(VALUE(RIGHT(AJ118,4)),VALUE(MID(AJ118,4,2)),VALUE(LEFT(AJ118,2)))),DATE(VALUE(RIGHT(AJ118,4)),MATCH(MID(AJ118,4,3),{"Jan","Feb","Mar","Apr","May","Jun","Jul","Aug","Sep","Oct","Nov","Dec"},0),VALUE(LEFT(AJ118,2))))))</f>
        <v>45703</v>
      </c>
      <c r="C118" s="3" t="n">
        <f aca="false">IF(AK118="","",IF(ISNUMBER(SEARCH("/",AK118)),DATE(VALUE(RIGHT(AK118,4)),VALUE(LEFT(AK118,2)),VALUE(MID(AK118,4,2))),IF(ISNUMBER(SEARCH("-",AK118)),IF(LEN(LEFT(AK118,FIND("-",AK118)-1))=4,DATE(VALUE(LEFT(AK118,4)),VALUE(MID(AK118,6,2)),VALUE(RIGHT(AK118,2))),DATE(VALUE(RIGHT(AK118,4)),VALUE(MID(AK118,4,2)),VALUE(LEFT(AK118,2)))),DATE(VALUE(RIGHT(AK118,4)),MATCH(MID(AK118,4,3),{"Jan","Feb","Mar","Apr","May","Jun","Jul","Aug","Sep","Oct","Nov","Dec"},0),VALUE(LEFT(AK118,2))))))</f>
        <v>45707</v>
      </c>
      <c r="D118" s="4" t="s">
        <v>595</v>
      </c>
      <c r="E118" s="0" t="str">
        <f aca="false">PROPER(TRIM(AL118))</f>
        <v>Ananya Rao</v>
      </c>
      <c r="F118" s="0" t="str">
        <f aca="false">PROPER(TRIM(AM118))</f>
        <v>Small Business</v>
      </c>
      <c r="G118" s="0" t="str">
        <f aca="false">IF(TRIM(AN118)="","Unknown",PROPER(TRIM(AN118)))</f>
        <v>Unknown</v>
      </c>
      <c r="H118" s="0" t="str">
        <f aca="false">PROPER(TRIM(AO118))</f>
        <v>Madhya Pradesh</v>
      </c>
      <c r="I118" s="0" t="str">
        <f aca="false">PROPER(TRIM(AP118))</f>
        <v>Indore</v>
      </c>
      <c r="J118" s="0" t="str">
        <f aca="false">PROPER(TRIM(AQ118))</f>
        <v>Office Supplies</v>
      </c>
      <c r="K118" s="0" t="str">
        <f aca="false">PROPER(TRIM(AR118))</f>
        <v>Binders</v>
      </c>
      <c r="M118" s="0" t="str">
        <f aca="false">IF(TRIM(AS118)="","Unknown",PROPER(TRIM(AS118)))</f>
        <v>First Class</v>
      </c>
      <c r="N118" s="0" t="n">
        <v>9</v>
      </c>
      <c r="O118" s="0" t="n">
        <v>531.99</v>
      </c>
      <c r="P118" s="5" t="n">
        <f aca="false">IF(AT118="","",IF(ISNUMBER(AT118),AT118,VALUE(SUBSTITUTE(AT118,"%",""))/100))</f>
        <v>0.25</v>
      </c>
      <c r="Q118" s="5" t="n">
        <f aca="false">IF(P118="",IF(AND(N118&lt;&gt;"",O118&lt;&gt;"",R118&lt;&gt;"",S118&lt;&gt;""),0,"REVIEW"),IF(OR(P118&lt;0,P118&gt;0.3),0,P118))</f>
        <v>0.25</v>
      </c>
      <c r="R118" s="0" t="n">
        <v>3590.93</v>
      </c>
      <c r="S118" s="0" t="n">
        <v>3061.39</v>
      </c>
      <c r="T118" s="6" t="n">
        <f aca="false">N118*O118*(1-Q118)</f>
        <v>3590.9325</v>
      </c>
      <c r="U118" s="6" t="n">
        <f aca="false">T118-S118</f>
        <v>529.5425</v>
      </c>
      <c r="V118" s="7" t="n">
        <f aca="false">IF(T118=0,0,U118/T118)</f>
        <v>0.147466570312864</v>
      </c>
      <c r="W118" s="4" t="n">
        <f aca="false">C118-B118</f>
        <v>4</v>
      </c>
      <c r="X118" s="0" t="str">
        <f aca="false">TEXT(B118,"mmmm")</f>
        <v>February</v>
      </c>
      <c r="Y118" s="4" t="n">
        <f aca="false">YEAR(B118)</f>
        <v>2025</v>
      </c>
      <c r="Z118" s="0" t="str">
        <f aca="false">PROPER(TRIM(AU118))</f>
        <v>Failed</v>
      </c>
      <c r="AA118" s="0" t="str">
        <f aca="false">PROPER(TRIM(AV118))</f>
        <v>Cancelled</v>
      </c>
      <c r="AB118" s="0" t="str">
        <f aca="false">IF(TRIM(AN118)="","Yes","No")</f>
        <v>Yes</v>
      </c>
      <c r="AC118" s="0" t="str">
        <f aca="false">IF(TRIM(AS118)="","Yes","No")</f>
        <v>No</v>
      </c>
      <c r="AD118" s="0" t="str">
        <f aca="false">IF(AT118="","Yes","No")</f>
        <v>No</v>
      </c>
      <c r="AE118" s="0" t="str">
        <f aca="false">IF(W118&lt;0,"Yes","No")</f>
        <v>No</v>
      </c>
      <c r="AF118" s="0" t="str">
        <f aca="false">IF(P118="","No",IF(OR(P118&lt;0,P118&gt;0.3),"Yes","No"))</f>
        <v>No</v>
      </c>
      <c r="AG118" s="4" t="s">
        <v>50</v>
      </c>
      <c r="AH118" s="0" t="str">
        <f aca="false">IF(AND(AA118="Completed",Z118="Paid"),"Yes","No")</f>
        <v>No</v>
      </c>
      <c r="AI118" s="0" t="str">
        <f aca="false">IF(OR(AE118="Yes",AF118="Yes",AG118="Yes"),"Invalid",IF(OR(AB118="Yes",AC118="Yes",AD118="Yes"),"Warning","Clean"))</f>
        <v>Warning</v>
      </c>
      <c r="AJ118" s="4" t="s">
        <v>596</v>
      </c>
      <c r="AK118" s="4" t="s">
        <v>597</v>
      </c>
      <c r="AL118" s="4" t="s">
        <v>96</v>
      </c>
      <c r="AM118" s="4" t="s">
        <v>68</v>
      </c>
      <c r="AO118" s="4" t="s">
        <v>107</v>
      </c>
      <c r="AP118" s="4" t="s">
        <v>108</v>
      </c>
      <c r="AQ118" s="4" t="s">
        <v>58</v>
      </c>
      <c r="AR118" s="4" t="s">
        <v>206</v>
      </c>
      <c r="AS118" s="4" t="s">
        <v>81</v>
      </c>
      <c r="AT118" s="0" t="n">
        <v>0.25</v>
      </c>
      <c r="AU118" s="4" t="s">
        <v>207</v>
      </c>
      <c r="AV118" s="4" t="s">
        <v>101</v>
      </c>
    </row>
    <row r="119" customFormat="false" ht="15" hidden="false" customHeight="false" outlineLevel="0" collapsed="false">
      <c r="A119" s="0" t="s">
        <v>598</v>
      </c>
      <c r="B119" s="3" t="n">
        <f aca="false">IF(AJ119="","",IF(ISNUMBER(SEARCH("/",AJ119)),DATE(VALUE(RIGHT(AJ119,4)),VALUE(LEFT(AJ119,2)),VALUE(MID(AJ119,4,2))),IF(ISNUMBER(SEARCH("-",AJ119)),IF(LEN(LEFT(AJ119,FIND("-",AJ119)-1))=4,DATE(VALUE(LEFT(AJ119,4)),VALUE(MID(AJ119,6,2)),VALUE(RIGHT(AJ119,2))),DATE(VALUE(RIGHT(AJ119,4)),VALUE(MID(AJ119,4,2)),VALUE(LEFT(AJ119,2)))),DATE(VALUE(RIGHT(AJ119,4)),MATCH(MID(AJ119,4,3),{"Jan","Feb","Mar","Apr","May","Jun","Jul","Aug","Sep","Oct","Nov","Dec"},0),VALUE(LEFT(AJ119,2))))))</f>
        <v>45337</v>
      </c>
      <c r="C119" s="3" t="n">
        <f aca="false">IF(AK119="","",IF(ISNUMBER(SEARCH("/",AK119)),DATE(VALUE(RIGHT(AK119,4)),VALUE(LEFT(AK119,2)),VALUE(MID(AK119,4,2))),IF(ISNUMBER(SEARCH("-",AK119)),IF(LEN(LEFT(AK119,FIND("-",AK119)-1))=4,DATE(VALUE(LEFT(AK119,4)),VALUE(MID(AK119,6,2)),VALUE(RIGHT(AK119,2))),DATE(VALUE(RIGHT(AK119,4)),VALUE(MID(AK119,4,2)),VALUE(LEFT(AK119,2)))),DATE(VALUE(RIGHT(AK119,4)),MATCH(MID(AK119,4,3),{"Jan","Feb","Mar","Apr","May","Jun","Jul","Aug","Sep","Oct","Nov","Dec"},0),VALUE(LEFT(AK119,2))))))</f>
        <v>45339</v>
      </c>
      <c r="D119" s="4" t="s">
        <v>599</v>
      </c>
      <c r="E119" s="0" t="str">
        <f aca="false">PROPER(TRIM(AL119))</f>
        <v>Mira Das</v>
      </c>
      <c r="F119" s="0" t="str">
        <f aca="false">PROPER(TRIM(AM119))</f>
        <v>Home Office</v>
      </c>
      <c r="G119" s="0" t="str">
        <f aca="false">IF(TRIM(AN119)="","Unknown",PROPER(TRIM(AN119)))</f>
        <v>South</v>
      </c>
      <c r="H119" s="0" t="str">
        <f aca="false">PROPER(TRIM(AO119))</f>
        <v>Tamil Nadu</v>
      </c>
      <c r="I119" s="0" t="str">
        <f aca="false">PROPER(TRIM(AP119))</f>
        <v>Chennai</v>
      </c>
      <c r="J119" s="0" t="str">
        <f aca="false">PROPER(TRIM(AQ119))</f>
        <v>Technology</v>
      </c>
      <c r="K119" s="0" t="str">
        <f aca="false">PROPER(TRIM(AR119))</f>
        <v>Machines</v>
      </c>
      <c r="M119" s="0" t="str">
        <f aca="false">IF(TRIM(AS119)="","Unknown",PROPER(TRIM(AS119)))</f>
        <v>Standard Class</v>
      </c>
      <c r="N119" s="0" t="n">
        <v>9</v>
      </c>
      <c r="O119" s="0" t="n">
        <v>3324.55</v>
      </c>
      <c r="P119" s="5" t="n">
        <f aca="false">IF(AT119="","",IF(ISNUMBER(AT119),AT119,VALUE(SUBSTITUTE(AT119,"%",""))/100))</f>
        <v>0.7</v>
      </c>
      <c r="Q119" s="5" t="n">
        <f aca="false">IF(P119="",IF(AND(N119&lt;&gt;"",O119&lt;&gt;"",R119&lt;&gt;"",S119&lt;&gt;""),0,"REVIEW"),IF(OR(P119&lt;0,P119&gt;0.3),0,P119))</f>
        <v>0</v>
      </c>
      <c r="R119" s="0" t="n">
        <v>25432.81</v>
      </c>
      <c r="S119" s="0" t="n">
        <v>20370.16</v>
      </c>
      <c r="T119" s="6" t="n">
        <f aca="false">N119*O119*(1-Q119)</f>
        <v>29920.95</v>
      </c>
      <c r="U119" s="6" t="n">
        <f aca="false">T119-S119</f>
        <v>9550.79</v>
      </c>
      <c r="V119" s="7" t="n">
        <f aca="false">IF(T119=0,0,U119/T119)</f>
        <v>0.319200760671035</v>
      </c>
      <c r="W119" s="4" t="n">
        <f aca="false">C119-B119</f>
        <v>2</v>
      </c>
      <c r="X119" s="0" t="str">
        <f aca="false">TEXT(B119,"mmmm")</f>
        <v>February</v>
      </c>
      <c r="Y119" s="4" t="n">
        <f aca="false">YEAR(B119)</f>
        <v>2024</v>
      </c>
      <c r="Z119" s="0" t="str">
        <f aca="false">PROPER(TRIM(AU119))</f>
        <v>Paid</v>
      </c>
      <c r="AA119" s="0" t="str">
        <f aca="false">PROPER(TRIM(AV119))</f>
        <v>Completed</v>
      </c>
      <c r="AB119" s="0" t="str">
        <f aca="false">IF(TRIM(AN119)="","Yes","No")</f>
        <v>No</v>
      </c>
      <c r="AC119" s="0" t="str">
        <f aca="false">IF(TRIM(AS119)="","Yes","No")</f>
        <v>No</v>
      </c>
      <c r="AD119" s="0" t="str">
        <f aca="false">IF(AT119="","Yes","No")</f>
        <v>No</v>
      </c>
      <c r="AE119" s="0" t="str">
        <f aca="false">IF(W119&lt;0,"Yes","No")</f>
        <v>No</v>
      </c>
      <c r="AF119" s="0" t="str">
        <f aca="false">IF(P119="","No",IF(OR(P119&lt;0,P119&gt;0.3),"Yes","No"))</f>
        <v>Yes</v>
      </c>
      <c r="AG119" s="4" t="s">
        <v>50</v>
      </c>
      <c r="AH119" s="0" t="str">
        <f aca="false">IF(AND(AA119="Completed",Z119="Paid"),"Yes","No")</f>
        <v>Yes</v>
      </c>
      <c r="AI119" s="0" t="str">
        <f aca="false">IF(OR(AE119="Yes",AF119="Yes",AG119="Yes"),"Invalid",IF(OR(AB119="Yes",AC119="Yes",AD119="Yes"),"Warning","Clean"))</f>
        <v>Invalid</v>
      </c>
      <c r="AJ119" s="4" t="s">
        <v>600</v>
      </c>
      <c r="AK119" s="4" t="s">
        <v>601</v>
      </c>
      <c r="AL119" s="4" t="s">
        <v>67</v>
      </c>
      <c r="AM119" s="4" t="s">
        <v>134</v>
      </c>
      <c r="AN119" s="4" t="s">
        <v>87</v>
      </c>
      <c r="AO119" s="4" t="s">
        <v>323</v>
      </c>
      <c r="AP119" s="4" t="s">
        <v>324</v>
      </c>
      <c r="AQ119" s="4" t="s">
        <v>109</v>
      </c>
      <c r="AR119" s="4" t="s">
        <v>360</v>
      </c>
      <c r="AS119" s="4" t="s">
        <v>91</v>
      </c>
      <c r="AT119" s="4" t="s">
        <v>602</v>
      </c>
      <c r="AU119" s="4" t="s">
        <v>61</v>
      </c>
      <c r="AV119" s="4" t="s">
        <v>62</v>
      </c>
    </row>
    <row r="120" customFormat="false" ht="15" hidden="false" customHeight="false" outlineLevel="0" collapsed="false">
      <c r="A120" s="0" t="s">
        <v>603</v>
      </c>
      <c r="B120" s="3" t="n">
        <f aca="false">IF(AJ120="","",IF(ISNUMBER(SEARCH("/",AJ120)),DATE(VALUE(RIGHT(AJ120,4)),VALUE(LEFT(AJ120,2)),VALUE(MID(AJ120,4,2))),IF(ISNUMBER(SEARCH("-",AJ120)),IF(LEN(LEFT(AJ120,FIND("-",AJ120)-1))=4,DATE(VALUE(LEFT(AJ120,4)),VALUE(MID(AJ120,6,2)),VALUE(RIGHT(AJ120,2))),DATE(VALUE(RIGHT(AJ120,4)),VALUE(MID(AJ120,4,2)),VALUE(LEFT(AJ120,2)))),DATE(VALUE(RIGHT(AJ120,4)),MATCH(MID(AJ120,4,3),{"Jan","Feb","Mar","Apr","May","Jun","Jul","Aug","Sep","Oct","Nov","Dec"},0),VALUE(LEFT(AJ120,2))))))</f>
        <v>45453</v>
      </c>
      <c r="C120" s="3" t="n">
        <f aca="false">IF(AK120="","",IF(ISNUMBER(SEARCH("/",AK120)),DATE(VALUE(RIGHT(AK120,4)),VALUE(LEFT(AK120,2)),VALUE(MID(AK120,4,2))),IF(ISNUMBER(SEARCH("-",AK120)),IF(LEN(LEFT(AK120,FIND("-",AK120)-1))=4,DATE(VALUE(LEFT(AK120,4)),VALUE(MID(AK120,6,2)),VALUE(RIGHT(AK120,2))),DATE(VALUE(RIGHT(AK120,4)),VALUE(MID(AK120,4,2)),VALUE(LEFT(AK120,2)))),DATE(VALUE(RIGHT(AK120,4)),MATCH(MID(AK120,4,3),{"Jan","Feb","Mar","Apr","May","Jun","Jul","Aug","Sep","Oct","Nov","Dec"},0),VALUE(LEFT(AK120,2))))))</f>
        <v>45461</v>
      </c>
      <c r="D120" s="4" t="s">
        <v>604</v>
      </c>
      <c r="E120" s="0" t="str">
        <f aca="false">PROPER(TRIM(AL120))</f>
        <v>Vikram Iyer</v>
      </c>
      <c r="F120" s="0" t="str">
        <f aca="false">PROPER(TRIM(AM120))</f>
        <v>Home Office</v>
      </c>
      <c r="G120" s="0" t="str">
        <f aca="false">IF(TRIM(AN120)="","Unknown",PROPER(TRIM(AN120)))</f>
        <v>South</v>
      </c>
      <c r="H120" s="0" t="str">
        <f aca="false">PROPER(TRIM(AO120))</f>
        <v>Andhra Pradesh</v>
      </c>
      <c r="I120" s="0" t="str">
        <f aca="false">PROPER(TRIM(AP120))</f>
        <v>Vijayawada</v>
      </c>
      <c r="J120" s="0" t="str">
        <f aca="false">PROPER(TRIM(AQ120))</f>
        <v>Technology</v>
      </c>
      <c r="K120" s="0" t="str">
        <f aca="false">PROPER(TRIM(AR120))</f>
        <v>Copiers</v>
      </c>
      <c r="M120" s="0" t="str">
        <f aca="false">IF(TRIM(AS120)="","Unknown",PROPER(TRIM(AS120)))</f>
        <v>Same Day</v>
      </c>
      <c r="N120" s="0" t="n">
        <v>5</v>
      </c>
      <c r="O120" s="0" t="n">
        <v>1580.27</v>
      </c>
      <c r="P120" s="5" t="n">
        <f aca="false">IF(AT120="","",IF(ISNUMBER(AT120),AT120,VALUE(SUBSTITUTE(AT120,"%",""))/100))</f>
        <v>0.2</v>
      </c>
      <c r="Q120" s="5" t="n">
        <f aca="false">IF(P120="",IF(AND(N120&lt;&gt;"",O120&lt;&gt;"",R120&lt;&gt;"",S120&lt;&gt;""),0,"REVIEW"),IF(OR(P120&lt;0,P120&gt;0.3),0,P120))</f>
        <v>0.2</v>
      </c>
      <c r="R120" s="0" t="n">
        <v>6321.08</v>
      </c>
      <c r="S120" s="0" t="n">
        <v>4407.22</v>
      </c>
      <c r="T120" s="6" t="n">
        <f aca="false">N120*O120*(1-Q120)</f>
        <v>6321.08</v>
      </c>
      <c r="U120" s="6" t="n">
        <f aca="false">T120-S120</f>
        <v>1913.86</v>
      </c>
      <c r="V120" s="7" t="n">
        <f aca="false">IF(T120=0,0,U120/T120)</f>
        <v>0.302774209470534</v>
      </c>
      <c r="W120" s="4" t="n">
        <f aca="false">C120-B120</f>
        <v>8</v>
      </c>
      <c r="X120" s="0" t="str">
        <f aca="false">TEXT(B120,"mmmm")</f>
        <v>June</v>
      </c>
      <c r="Y120" s="4" t="n">
        <f aca="false">YEAR(B120)</f>
        <v>2024</v>
      </c>
      <c r="Z120" s="0" t="str">
        <f aca="false">PROPER(TRIM(AU120))</f>
        <v>Paid</v>
      </c>
      <c r="AA120" s="0" t="str">
        <f aca="false">PROPER(TRIM(AV120))</f>
        <v>Completed</v>
      </c>
      <c r="AB120" s="0" t="str">
        <f aca="false">IF(TRIM(AN120)="","Yes","No")</f>
        <v>No</v>
      </c>
      <c r="AC120" s="0" t="str">
        <f aca="false">IF(TRIM(AS120)="","Yes","No")</f>
        <v>No</v>
      </c>
      <c r="AD120" s="0" t="str">
        <f aca="false">IF(AT120="","Yes","No")</f>
        <v>No</v>
      </c>
      <c r="AE120" s="0" t="str">
        <f aca="false">IF(W120&lt;0,"Yes","No")</f>
        <v>No</v>
      </c>
      <c r="AF120" s="0" t="str">
        <f aca="false">IF(P120="","No",IF(OR(P120&lt;0,P120&gt;0.3),"Yes","No"))</f>
        <v>No</v>
      </c>
      <c r="AG120" s="4" t="s">
        <v>50</v>
      </c>
      <c r="AH120" s="0" t="str">
        <f aca="false">IF(AND(AA120="Completed",Z120="Paid"),"Yes","No")</f>
        <v>Yes</v>
      </c>
      <c r="AI120" s="0" t="str">
        <f aca="false">IF(OR(AE120="Yes",AF120="Yes",AG120="Yes"),"Invalid",IF(OR(AB120="Yes",AC120="Yes",AD120="Yes"),"Warning","Clean"))</f>
        <v>Clean</v>
      </c>
      <c r="AJ120" s="4" t="s">
        <v>605</v>
      </c>
      <c r="AK120" s="4" t="s">
        <v>606</v>
      </c>
      <c r="AL120" s="4" t="s">
        <v>607</v>
      </c>
      <c r="AM120" s="4" t="s">
        <v>134</v>
      </c>
      <c r="AN120" s="4" t="s">
        <v>87</v>
      </c>
      <c r="AO120" s="4" t="s">
        <v>121</v>
      </c>
      <c r="AP120" s="4" t="s">
        <v>122</v>
      </c>
      <c r="AQ120" s="4" t="s">
        <v>109</v>
      </c>
      <c r="AR120" s="4" t="s">
        <v>116</v>
      </c>
      <c r="AS120" s="4" t="s">
        <v>74</v>
      </c>
      <c r="AT120" s="0" t="n">
        <v>0.2</v>
      </c>
      <c r="AU120" s="4" t="s">
        <v>61</v>
      </c>
      <c r="AV120" s="4" t="s">
        <v>62</v>
      </c>
    </row>
    <row r="121" customFormat="false" ht="15" hidden="false" customHeight="false" outlineLevel="0" collapsed="false">
      <c r="A121" s="0" t="s">
        <v>608</v>
      </c>
      <c r="B121" s="3" t="n">
        <f aca="false">IF(AJ121="","",IF(ISNUMBER(SEARCH("/",AJ121)),DATE(VALUE(RIGHT(AJ121,4)),VALUE(LEFT(AJ121,2)),VALUE(MID(AJ121,4,2))),IF(ISNUMBER(SEARCH("-",AJ121)),IF(LEN(LEFT(AJ121,FIND("-",AJ121)-1))=4,DATE(VALUE(LEFT(AJ121,4)),VALUE(MID(AJ121,6,2)),VALUE(RIGHT(AJ121,2))),DATE(VALUE(RIGHT(AJ121,4)),VALUE(MID(AJ121,4,2)),VALUE(LEFT(AJ121,2)))),DATE(VALUE(RIGHT(AJ121,4)),MATCH(MID(AJ121,4,3),{"Jan","Feb","Mar","Apr","May","Jun","Jul","Aug","Sep","Oct","Nov","Dec"},0),VALUE(LEFT(AJ121,2))))))</f>
        <v>45455</v>
      </c>
      <c r="C121" s="3" t="n">
        <f aca="false">IF(AK121="","",IF(ISNUMBER(SEARCH("/",AK121)),DATE(VALUE(RIGHT(AK121,4)),VALUE(LEFT(AK121,2)),VALUE(MID(AK121,4,2))),IF(ISNUMBER(SEARCH("-",AK121)),IF(LEN(LEFT(AK121,FIND("-",AK121)-1))=4,DATE(VALUE(LEFT(AK121,4)),VALUE(MID(AK121,6,2)),VALUE(RIGHT(AK121,2))),DATE(VALUE(RIGHT(AK121,4)),VALUE(MID(AK121,4,2)),VALUE(LEFT(AK121,2)))),DATE(VALUE(RIGHT(AK121,4)),MATCH(MID(AK121,4,3),{"Jan","Feb","Mar","Apr","May","Jun","Jul","Aug","Sep","Oct","Nov","Dec"},0),VALUE(LEFT(AK121,2))))))</f>
        <v>45462</v>
      </c>
      <c r="D121" s="4" t="s">
        <v>609</v>
      </c>
      <c r="E121" s="0" t="str">
        <f aca="false">PROPER(TRIM(AL121))</f>
        <v>Aditi Sen</v>
      </c>
      <c r="F121" s="0" t="str">
        <f aca="false">PROPER(TRIM(AM121))</f>
        <v>Small Business</v>
      </c>
      <c r="G121" s="0" t="str">
        <f aca="false">IF(TRIM(AN121)="","Unknown",PROPER(TRIM(AN121)))</f>
        <v>South</v>
      </c>
      <c r="H121" s="0" t="str">
        <f aca="false">PROPER(TRIM(AO121))</f>
        <v>Kerala</v>
      </c>
      <c r="I121" s="0" t="str">
        <f aca="false">PROPER(TRIM(AP121))</f>
        <v>Kochi</v>
      </c>
      <c r="J121" s="0" t="str">
        <f aca="false">PROPER(TRIM(AQ121))</f>
        <v>Furniture</v>
      </c>
      <c r="K121" s="0" t="str">
        <f aca="false">PROPER(TRIM(AR121))</f>
        <v>Chairs</v>
      </c>
      <c r="M121" s="0" t="str">
        <f aca="false">IF(TRIM(AS121)="","Unknown",PROPER(TRIM(AS121)))</f>
        <v>Standard Class</v>
      </c>
      <c r="N121" s="0" t="n">
        <v>8</v>
      </c>
      <c r="O121" s="0" t="n">
        <v>314.05</v>
      </c>
      <c r="P121" s="5" t="n">
        <f aca="false">IF(AT121="","",IF(ISNUMBER(AT121),AT121,VALUE(SUBSTITUTE(AT121,"%",""))/100))</f>
        <v>0.25</v>
      </c>
      <c r="Q121" s="5" t="n">
        <f aca="false">IF(P121="",IF(AND(N121&lt;&gt;"",O121&lt;&gt;"",R121&lt;&gt;"",S121&lt;&gt;""),0,"REVIEW"),IF(OR(P121&lt;0,P121&gt;0.3),0,P121))</f>
        <v>0.25</v>
      </c>
      <c r="R121" s="0" t="n">
        <v>1884.3</v>
      </c>
      <c r="S121" s="0" t="n">
        <v>1517.69</v>
      </c>
      <c r="T121" s="6" t="n">
        <f aca="false">N121*O121*(1-Q121)</f>
        <v>1884.3</v>
      </c>
      <c r="U121" s="6" t="n">
        <f aca="false">T121-S121</f>
        <v>366.61</v>
      </c>
      <c r="V121" s="7" t="n">
        <f aca="false">IF(T121=0,0,U121/T121)</f>
        <v>0.194560314175025</v>
      </c>
      <c r="W121" s="4" t="n">
        <f aca="false">C121-B121</f>
        <v>7</v>
      </c>
      <c r="X121" s="0" t="str">
        <f aca="false">TEXT(B121,"mmmm")</f>
        <v>June</v>
      </c>
      <c r="Y121" s="4" t="n">
        <f aca="false">YEAR(B121)</f>
        <v>2024</v>
      </c>
      <c r="Z121" s="0" t="str">
        <f aca="false">PROPER(TRIM(AU121))</f>
        <v>Refunded</v>
      </c>
      <c r="AA121" s="0" t="str">
        <f aca="false">PROPER(TRIM(AV121))</f>
        <v>Returned</v>
      </c>
      <c r="AB121" s="0" t="str">
        <f aca="false">IF(TRIM(AN121)="","Yes","No")</f>
        <v>No</v>
      </c>
      <c r="AC121" s="0" t="str">
        <f aca="false">IF(TRIM(AS121)="","Yes","No")</f>
        <v>No</v>
      </c>
      <c r="AD121" s="0" t="str">
        <f aca="false">IF(AT121="","Yes","No")</f>
        <v>No</v>
      </c>
      <c r="AE121" s="0" t="str">
        <f aca="false">IF(W121&lt;0,"Yes","No")</f>
        <v>No</v>
      </c>
      <c r="AF121" s="0" t="str">
        <f aca="false">IF(P121="","No",IF(OR(P121&lt;0,P121&gt;0.3),"Yes","No"))</f>
        <v>No</v>
      </c>
      <c r="AG121" s="4" t="s">
        <v>50</v>
      </c>
      <c r="AH121" s="0" t="str">
        <f aca="false">IF(AND(AA121="Completed",Z121="Paid"),"Yes","No")</f>
        <v>No</v>
      </c>
      <c r="AI121" s="0" t="str">
        <f aca="false">IF(OR(AE121="Yes",AF121="Yes",AG121="Yes"),"Invalid",IF(OR(AB121="Yes",AC121="Yes",AD121="Yes"),"Warning","Clean"))</f>
        <v>Clean</v>
      </c>
      <c r="AJ121" s="4" t="s">
        <v>610</v>
      </c>
      <c r="AK121" s="4" t="s">
        <v>611</v>
      </c>
      <c r="AL121" s="4" t="s">
        <v>127</v>
      </c>
      <c r="AM121" s="4" t="s">
        <v>612</v>
      </c>
      <c r="AN121" s="4" t="s">
        <v>87</v>
      </c>
      <c r="AO121" s="4" t="s">
        <v>244</v>
      </c>
      <c r="AP121" s="4" t="s">
        <v>245</v>
      </c>
      <c r="AQ121" s="4" t="s">
        <v>72</v>
      </c>
      <c r="AR121" s="4" t="s">
        <v>100</v>
      </c>
      <c r="AS121" s="4" t="s">
        <v>91</v>
      </c>
      <c r="AT121" s="0" t="n">
        <v>0.25</v>
      </c>
      <c r="AU121" s="4" t="s">
        <v>141</v>
      </c>
      <c r="AV121" s="4" t="s">
        <v>142</v>
      </c>
    </row>
    <row r="122" customFormat="false" ht="15" hidden="false" customHeight="false" outlineLevel="0" collapsed="false">
      <c r="A122" s="0" t="s">
        <v>613</v>
      </c>
      <c r="B122" s="3" t="n">
        <f aca="false">IF(AJ122="","",IF(ISNUMBER(SEARCH("/",AJ122)),DATE(VALUE(RIGHT(AJ122,4)),VALUE(LEFT(AJ122,2)),VALUE(MID(AJ122,4,2))),IF(ISNUMBER(SEARCH("-",AJ122)),IF(LEN(LEFT(AJ122,FIND("-",AJ122)-1))=4,DATE(VALUE(LEFT(AJ122,4)),VALUE(MID(AJ122,6,2)),VALUE(RIGHT(AJ122,2))),DATE(VALUE(RIGHT(AJ122,4)),VALUE(MID(AJ122,4,2)),VALUE(LEFT(AJ122,2)))),DATE(VALUE(RIGHT(AJ122,4)),MATCH(MID(AJ122,4,3),{"Jan","Feb","Mar","Apr","May","Jun","Jul","Aug","Sep","Oct","Nov","Dec"},0),VALUE(LEFT(AJ122,2))))))</f>
        <v>45514</v>
      </c>
      <c r="C122" s="3" t="n">
        <f aca="false">IF(AK122="","",IF(ISNUMBER(SEARCH("/",AK122)),DATE(VALUE(RIGHT(AK122,4)),VALUE(LEFT(AK122,2)),VALUE(MID(AK122,4,2))),IF(ISNUMBER(SEARCH("-",AK122)),IF(LEN(LEFT(AK122,FIND("-",AK122)-1))=4,DATE(VALUE(LEFT(AK122,4)),VALUE(MID(AK122,6,2)),VALUE(RIGHT(AK122,2))),DATE(VALUE(RIGHT(AK122,4)),VALUE(MID(AK122,4,2)),VALUE(LEFT(AK122,2)))),DATE(VALUE(RIGHT(AK122,4)),MATCH(MID(AK122,4,3),{"Jan","Feb","Mar","Apr","May","Jun","Jul","Aug","Sep","Oct","Nov","Dec"},0),VALUE(LEFT(AK122,2))))))</f>
        <v>45522</v>
      </c>
      <c r="D122" s="4" t="s">
        <v>614</v>
      </c>
      <c r="E122" s="0" t="str">
        <f aca="false">PROPER(TRIM(AL122))</f>
        <v>Sneha Kapoor</v>
      </c>
      <c r="F122" s="0" t="str">
        <f aca="false">PROPER(TRIM(AM122))</f>
        <v>Small Business</v>
      </c>
      <c r="G122" s="0" t="str">
        <f aca="false">IF(TRIM(AN122)="","Unknown",PROPER(TRIM(AN122)))</f>
        <v>East</v>
      </c>
      <c r="H122" s="0" t="str">
        <f aca="false">PROPER(TRIM(AO122))</f>
        <v>Bihar</v>
      </c>
      <c r="I122" s="0" t="str">
        <f aca="false">PROPER(TRIM(AP122))</f>
        <v>Patna</v>
      </c>
      <c r="J122" s="0" t="str">
        <f aca="false">PROPER(TRIM(AQ122))</f>
        <v>Technology</v>
      </c>
      <c r="K122" s="0" t="str">
        <f aca="false">PROPER(TRIM(AR122))</f>
        <v>Phones</v>
      </c>
      <c r="M122" s="0" t="str">
        <f aca="false">IF(TRIM(AS122)="","Unknown",PROPER(TRIM(AS122)))</f>
        <v>Standard Class</v>
      </c>
      <c r="N122" s="0" t="n">
        <v>1</v>
      </c>
      <c r="O122" s="0" t="n">
        <v>1823.67</v>
      </c>
      <c r="P122" s="5" t="n">
        <f aca="false">IF(AT122="","",IF(ISNUMBER(AT122),AT122,VALUE(SUBSTITUTE(AT122,"%",""))/100))</f>
        <v>0.2</v>
      </c>
      <c r="Q122" s="5" t="n">
        <f aca="false">IF(P122="",IF(AND(N122&lt;&gt;"",O122&lt;&gt;"",R122&lt;&gt;"",S122&lt;&gt;""),0,"REVIEW"),IF(OR(P122&lt;0,P122&gt;0.3),0,P122))</f>
        <v>0.2</v>
      </c>
      <c r="R122" s="0" t="n">
        <v>1458.94</v>
      </c>
      <c r="S122" s="0" t="n">
        <v>893.2</v>
      </c>
      <c r="T122" s="6" t="n">
        <f aca="false">N122*O122*(1-Q122)</f>
        <v>1458.936</v>
      </c>
      <c r="U122" s="6" t="n">
        <f aca="false">T122-S122</f>
        <v>565.736</v>
      </c>
      <c r="V122" s="7" t="n">
        <f aca="false">IF(T122=0,0,U122/T122)</f>
        <v>0.387773007177834</v>
      </c>
      <c r="W122" s="4" t="n">
        <f aca="false">C122-B122</f>
        <v>8</v>
      </c>
      <c r="X122" s="0" t="str">
        <f aca="false">TEXT(B122,"mmmm")</f>
        <v>August</v>
      </c>
      <c r="Y122" s="4" t="n">
        <f aca="false">YEAR(B122)</f>
        <v>2024</v>
      </c>
      <c r="Z122" s="0" t="str">
        <f aca="false">PROPER(TRIM(AU122))</f>
        <v>Paid</v>
      </c>
      <c r="AA122" s="0" t="str">
        <f aca="false">PROPER(TRIM(AV122))</f>
        <v>Returned</v>
      </c>
      <c r="AB122" s="0" t="str">
        <f aca="false">IF(TRIM(AN122)="","Yes","No")</f>
        <v>No</v>
      </c>
      <c r="AC122" s="0" t="str">
        <f aca="false">IF(TRIM(AS122)="","Yes","No")</f>
        <v>No</v>
      </c>
      <c r="AD122" s="0" t="str">
        <f aca="false">IF(AT122="","Yes","No")</f>
        <v>No</v>
      </c>
      <c r="AE122" s="0" t="str">
        <f aca="false">IF(W122&lt;0,"Yes","No")</f>
        <v>No</v>
      </c>
      <c r="AF122" s="0" t="str">
        <f aca="false">IF(P122="","No",IF(OR(P122&lt;0,P122&gt;0.3),"Yes","No"))</f>
        <v>No</v>
      </c>
      <c r="AG122" s="4" t="s">
        <v>50</v>
      </c>
      <c r="AH122" s="0" t="str">
        <f aca="false">IF(AND(AA122="Completed",Z122="Paid"),"Yes","No")</f>
        <v>No</v>
      </c>
      <c r="AI122" s="0" t="str">
        <f aca="false">IF(OR(AE122="Yes",AF122="Yes",AG122="Yes"),"Invalid",IF(OR(AB122="Yes",AC122="Yes",AD122="Yes"),"Warning","Clean"))</f>
        <v>Clean</v>
      </c>
      <c r="AJ122" s="4" t="s">
        <v>459</v>
      </c>
      <c r="AK122" s="4" t="s">
        <v>615</v>
      </c>
      <c r="AL122" s="4" t="s">
        <v>181</v>
      </c>
      <c r="AM122" s="4" t="s">
        <v>68</v>
      </c>
      <c r="AN122" s="4" t="s">
        <v>69</v>
      </c>
      <c r="AO122" s="4" t="s">
        <v>196</v>
      </c>
      <c r="AP122" s="4" t="s">
        <v>197</v>
      </c>
      <c r="AQ122" s="4" t="s">
        <v>109</v>
      </c>
      <c r="AR122" s="4" t="s">
        <v>227</v>
      </c>
      <c r="AS122" s="4" t="s">
        <v>91</v>
      </c>
      <c r="AT122" s="0" t="n">
        <v>0.2</v>
      </c>
      <c r="AU122" s="4" t="s">
        <v>61</v>
      </c>
      <c r="AV122" s="4" t="s">
        <v>142</v>
      </c>
    </row>
    <row r="123" customFormat="false" ht="15" hidden="false" customHeight="false" outlineLevel="0" collapsed="false">
      <c r="A123" s="0" t="s">
        <v>616</v>
      </c>
      <c r="B123" s="3" t="n">
        <f aca="false">IF(AJ123="","",IF(ISNUMBER(SEARCH("/",AJ123)),DATE(VALUE(RIGHT(AJ123,4)),VALUE(LEFT(AJ123,2)),VALUE(MID(AJ123,4,2))),IF(ISNUMBER(SEARCH("-",AJ123)),IF(LEN(LEFT(AJ123,FIND("-",AJ123)-1))=4,DATE(VALUE(LEFT(AJ123,4)),VALUE(MID(AJ123,6,2)),VALUE(RIGHT(AJ123,2))),DATE(VALUE(RIGHT(AJ123,4)),VALUE(MID(AJ123,4,2)),VALUE(LEFT(AJ123,2)))),DATE(VALUE(RIGHT(AJ123,4)),MATCH(MID(AJ123,4,3),{"Jan","Feb","Mar","Apr","May","Jun","Jul","Aug","Sep","Oct","Nov","Dec"},0),VALUE(LEFT(AJ123,2))))))</f>
        <v>45891</v>
      </c>
      <c r="C123" s="3" t="n">
        <f aca="false">IF(AK123="","",IF(ISNUMBER(SEARCH("/",AK123)),DATE(VALUE(RIGHT(AK123,4)),VALUE(LEFT(AK123,2)),VALUE(MID(AK123,4,2))),IF(ISNUMBER(SEARCH("-",AK123)),IF(LEN(LEFT(AK123,FIND("-",AK123)-1))=4,DATE(VALUE(LEFT(AK123,4)),VALUE(MID(AK123,6,2)),VALUE(RIGHT(AK123,2))),DATE(VALUE(RIGHT(AK123,4)),VALUE(MID(AK123,4,2)),VALUE(LEFT(AK123,2)))),DATE(VALUE(RIGHT(AK123,4)),MATCH(MID(AK123,4,3),{"Jan","Feb","Mar","Apr","May","Jun","Jul","Aug","Sep","Oct","Nov","Dec"},0),VALUE(LEFT(AK123,2))))))</f>
        <v>45895</v>
      </c>
      <c r="D123" s="4" t="s">
        <v>617</v>
      </c>
      <c r="E123" s="0" t="str">
        <f aca="false">PROPER(TRIM(AL123))</f>
        <v>Kabir Singh</v>
      </c>
      <c r="F123" s="0" t="str">
        <f aca="false">PROPER(TRIM(AM123))</f>
        <v>Small Business</v>
      </c>
      <c r="G123" s="0" t="str">
        <f aca="false">IF(TRIM(AN123)="","Unknown",PROPER(TRIM(AN123)))</f>
        <v>South</v>
      </c>
      <c r="H123" s="0" t="str">
        <f aca="false">PROPER(TRIM(AO123))</f>
        <v>Andhra Pradesh</v>
      </c>
      <c r="I123" s="0" t="str">
        <f aca="false">PROPER(TRIM(AP123))</f>
        <v>Vijayawada</v>
      </c>
      <c r="J123" s="0" t="str">
        <f aca="false">PROPER(TRIM(AQ123))</f>
        <v>Technology</v>
      </c>
      <c r="K123" s="0" t="str">
        <f aca="false">PROPER(TRIM(AR123))</f>
        <v>Machines</v>
      </c>
      <c r="M123" s="0" t="str">
        <f aca="false">IF(TRIM(AS123)="","Unknown",PROPER(TRIM(AS123)))</f>
        <v>Second Class</v>
      </c>
      <c r="N123" s="0" t="n">
        <v>5</v>
      </c>
      <c r="O123" s="0" t="n">
        <v>3482.92</v>
      </c>
      <c r="P123" s="5" t="n">
        <f aca="false">IF(AT123="","",IF(ISNUMBER(AT123),AT123,VALUE(SUBSTITUTE(AT123,"%",""))/100))</f>
        <v>0</v>
      </c>
      <c r="Q123" s="5" t="n">
        <f aca="false">IF(P123="",IF(AND(N123&lt;&gt;"",O123&lt;&gt;"",R123&lt;&gt;"",S123&lt;&gt;""),0,"REVIEW"),IF(OR(P123&lt;0,P123&gt;0.3),0,P123))</f>
        <v>0</v>
      </c>
      <c r="R123" s="0" t="n">
        <v>17414.6</v>
      </c>
      <c r="S123" s="0" t="n">
        <v>11760.91</v>
      </c>
      <c r="T123" s="6" t="n">
        <f aca="false">N123*O123*(1-Q123)</f>
        <v>17414.6</v>
      </c>
      <c r="U123" s="6" t="n">
        <f aca="false">T123-S123</f>
        <v>5653.69</v>
      </c>
      <c r="V123" s="7" t="n">
        <f aca="false">IF(T123=0,0,U123/T123)</f>
        <v>0.32465230323981</v>
      </c>
      <c r="W123" s="4" t="n">
        <f aca="false">C123-B123</f>
        <v>4</v>
      </c>
      <c r="X123" s="0" t="str">
        <f aca="false">TEXT(B123,"mmmm")</f>
        <v>August</v>
      </c>
      <c r="Y123" s="4" t="n">
        <f aca="false">YEAR(B123)</f>
        <v>2025</v>
      </c>
      <c r="Z123" s="0" t="str">
        <f aca="false">PROPER(TRIM(AU123))</f>
        <v>Refunded</v>
      </c>
      <c r="AA123" s="0" t="str">
        <f aca="false">PROPER(TRIM(AV123))</f>
        <v>Cancelled</v>
      </c>
      <c r="AB123" s="0" t="str">
        <f aca="false">IF(TRIM(AN123)="","Yes","No")</f>
        <v>No</v>
      </c>
      <c r="AC123" s="0" t="str">
        <f aca="false">IF(TRIM(AS123)="","Yes","No")</f>
        <v>No</v>
      </c>
      <c r="AD123" s="0" t="str">
        <f aca="false">IF(AT123="","Yes","No")</f>
        <v>No</v>
      </c>
      <c r="AE123" s="0" t="str">
        <f aca="false">IF(W123&lt;0,"Yes","No")</f>
        <v>No</v>
      </c>
      <c r="AF123" s="0" t="str">
        <f aca="false">IF(P123="","No",IF(OR(P123&lt;0,P123&gt;0.3),"Yes","No"))</f>
        <v>No</v>
      </c>
      <c r="AG123" s="4" t="s">
        <v>50</v>
      </c>
      <c r="AH123" s="0" t="str">
        <f aca="false">IF(AND(AA123="Completed",Z123="Paid"),"Yes","No")</f>
        <v>No</v>
      </c>
      <c r="AI123" s="0" t="str">
        <f aca="false">IF(OR(AE123="Yes",AF123="Yes",AG123="Yes"),"Invalid",IF(OR(AB123="Yes",AC123="Yes",AD123="Yes"),"Warning","Clean"))</f>
        <v>Clean</v>
      </c>
      <c r="AJ123" s="4" t="s">
        <v>618</v>
      </c>
      <c r="AK123" s="4" t="s">
        <v>619</v>
      </c>
      <c r="AL123" s="4" t="s">
        <v>347</v>
      </c>
      <c r="AM123" s="4" t="s">
        <v>620</v>
      </c>
      <c r="AN123" s="4" t="s">
        <v>87</v>
      </c>
      <c r="AO123" s="4" t="s">
        <v>121</v>
      </c>
      <c r="AP123" s="4" t="s">
        <v>122</v>
      </c>
      <c r="AQ123" s="4" t="s">
        <v>109</v>
      </c>
      <c r="AR123" s="4" t="s">
        <v>360</v>
      </c>
      <c r="AS123" s="4" t="s">
        <v>60</v>
      </c>
      <c r="AT123" s="0" t="n">
        <v>0</v>
      </c>
      <c r="AU123" s="4" t="s">
        <v>141</v>
      </c>
      <c r="AV123" s="4" t="s">
        <v>101</v>
      </c>
    </row>
    <row r="124" customFormat="false" ht="15" hidden="false" customHeight="false" outlineLevel="0" collapsed="false">
      <c r="A124" s="0" t="s">
        <v>621</v>
      </c>
      <c r="B124" s="3" t="n">
        <f aca="false">IF(AJ124="","",IF(ISNUMBER(SEARCH("/",AJ124)),DATE(VALUE(RIGHT(AJ124,4)),VALUE(LEFT(AJ124,2)),VALUE(MID(AJ124,4,2))),IF(ISNUMBER(SEARCH("-",AJ124)),IF(LEN(LEFT(AJ124,FIND("-",AJ124)-1))=4,DATE(VALUE(LEFT(AJ124,4)),VALUE(MID(AJ124,6,2)),VALUE(RIGHT(AJ124,2))),DATE(VALUE(RIGHT(AJ124,4)),VALUE(MID(AJ124,4,2)),VALUE(LEFT(AJ124,2)))),DATE(VALUE(RIGHT(AJ124,4)),MATCH(MID(AJ124,4,3),{"Jan","Feb","Mar","Apr","May","Jun","Jul","Aug","Sep","Oct","Nov","Dec"},0),VALUE(LEFT(AJ124,2))))))</f>
        <v>45626</v>
      </c>
      <c r="C124" s="3" t="n">
        <f aca="false">IF(AK124="","",IF(ISNUMBER(SEARCH("/",AK124)),DATE(VALUE(RIGHT(AK124,4)),VALUE(LEFT(AK124,2)),VALUE(MID(AK124,4,2))),IF(ISNUMBER(SEARCH("-",AK124)),IF(LEN(LEFT(AK124,FIND("-",AK124)-1))=4,DATE(VALUE(LEFT(AK124,4)),VALUE(MID(AK124,6,2)),VALUE(RIGHT(AK124,2))),DATE(VALUE(RIGHT(AK124,4)),VALUE(MID(AK124,4,2)),VALUE(LEFT(AK124,2)))),DATE(VALUE(RIGHT(AK124,4)),MATCH(MID(AK124,4,3),{"Jan","Feb","Mar","Apr","May","Jun","Jul","Aug","Sep","Oct","Nov","Dec"},0),VALUE(LEFT(AK124,2))))))</f>
        <v>45630</v>
      </c>
      <c r="D124" s="4" t="s">
        <v>622</v>
      </c>
      <c r="E124" s="0" t="str">
        <f aca="false">PROPER(TRIM(AL124))</f>
        <v>Ananya Rao</v>
      </c>
      <c r="F124" s="0" t="str">
        <f aca="false">PROPER(TRIM(AM124))</f>
        <v>Small Business</v>
      </c>
      <c r="G124" s="0" t="str">
        <f aca="false">IF(TRIM(AN124)="","Unknown",PROPER(TRIM(AN124)))</f>
        <v>East</v>
      </c>
      <c r="H124" s="0" t="str">
        <f aca="false">PROPER(TRIM(AO124))</f>
        <v>Assam</v>
      </c>
      <c r="I124" s="0" t="str">
        <f aca="false">PROPER(TRIM(AP124))</f>
        <v>Guwahati</v>
      </c>
      <c r="J124" s="0" t="str">
        <f aca="false">PROPER(TRIM(AQ124))</f>
        <v>Furniture</v>
      </c>
      <c r="K124" s="0" t="str">
        <f aca="false">PROPER(TRIM(AR124))</f>
        <v>Chairs</v>
      </c>
      <c r="M124" s="0" t="str">
        <f aca="false">IF(TRIM(AS124)="","Unknown",PROPER(TRIM(AS124)))</f>
        <v>Second Class</v>
      </c>
      <c r="N124" s="0" t="n">
        <v>3</v>
      </c>
      <c r="O124" s="0" t="n">
        <v>170.35</v>
      </c>
      <c r="P124" s="5" t="n">
        <f aca="false">IF(AT124="","",IF(ISNUMBER(AT124),AT124,VALUE(SUBSTITUTE(AT124,"%",""))/100))</f>
        <v>0</v>
      </c>
      <c r="Q124" s="5" t="n">
        <f aca="false">IF(P124="",IF(AND(N124&lt;&gt;"",O124&lt;&gt;"",R124&lt;&gt;"",S124&lt;&gt;""),0,"REVIEW"),IF(OR(P124&lt;0,P124&gt;0.3),0,P124))</f>
        <v>0</v>
      </c>
      <c r="R124" s="0" t="n">
        <v>511.05</v>
      </c>
      <c r="S124" s="0" t="n">
        <v>367.18</v>
      </c>
      <c r="T124" s="6" t="n">
        <f aca="false">N124*O124*(1-Q124)</f>
        <v>511.05</v>
      </c>
      <c r="U124" s="6" t="n">
        <f aca="false">T124-S124</f>
        <v>143.87</v>
      </c>
      <c r="V124" s="7" t="n">
        <f aca="false">IF(T124=0,0,U124/T124)</f>
        <v>0.281518442422464</v>
      </c>
      <c r="W124" s="4" t="n">
        <f aca="false">C124-B124</f>
        <v>4</v>
      </c>
      <c r="X124" s="0" t="str">
        <f aca="false">TEXT(B124,"mmmm")</f>
        <v>November</v>
      </c>
      <c r="Y124" s="4" t="n">
        <f aca="false">YEAR(B124)</f>
        <v>2024</v>
      </c>
      <c r="Z124" s="0" t="str">
        <f aca="false">PROPER(TRIM(AU124))</f>
        <v>Paid</v>
      </c>
      <c r="AA124" s="0" t="str">
        <f aca="false">PROPER(TRIM(AV124))</f>
        <v>Completed</v>
      </c>
      <c r="AB124" s="0" t="str">
        <f aca="false">IF(TRIM(AN124)="","Yes","No")</f>
        <v>No</v>
      </c>
      <c r="AC124" s="0" t="str">
        <f aca="false">IF(TRIM(AS124)="","Yes","No")</f>
        <v>No</v>
      </c>
      <c r="AD124" s="0" t="str">
        <f aca="false">IF(AT124="","Yes","No")</f>
        <v>No</v>
      </c>
      <c r="AE124" s="0" t="str">
        <f aca="false">IF(W124&lt;0,"Yes","No")</f>
        <v>No</v>
      </c>
      <c r="AF124" s="0" t="str">
        <f aca="false">IF(P124="","No",IF(OR(P124&lt;0,P124&gt;0.3),"Yes","No"))</f>
        <v>No</v>
      </c>
      <c r="AG124" s="4" t="s">
        <v>50</v>
      </c>
      <c r="AH124" s="0" t="str">
        <f aca="false">IF(AND(AA124="Completed",Z124="Paid"),"Yes","No")</f>
        <v>Yes</v>
      </c>
      <c r="AI124" s="0" t="str">
        <f aca="false">IF(OR(AE124="Yes",AF124="Yes",AG124="Yes"),"Invalid",IF(OR(AB124="Yes",AC124="Yes",AD124="Yes"),"Warning","Clean"))</f>
        <v>Clean</v>
      </c>
      <c r="AJ124" s="4" t="s">
        <v>623</v>
      </c>
      <c r="AK124" s="4" t="s">
        <v>624</v>
      </c>
      <c r="AL124" s="4" t="s">
        <v>96</v>
      </c>
      <c r="AM124" s="4" t="s">
        <v>68</v>
      </c>
      <c r="AN124" s="4" t="s">
        <v>69</v>
      </c>
      <c r="AO124" s="4" t="s">
        <v>221</v>
      </c>
      <c r="AP124" s="4" t="s">
        <v>222</v>
      </c>
      <c r="AQ124" s="4" t="s">
        <v>72</v>
      </c>
      <c r="AR124" s="4" t="s">
        <v>100</v>
      </c>
      <c r="AS124" s="4" t="s">
        <v>60</v>
      </c>
      <c r="AT124" s="0" t="n">
        <v>0</v>
      </c>
      <c r="AU124" s="4" t="s">
        <v>61</v>
      </c>
      <c r="AV124" s="4" t="s">
        <v>62</v>
      </c>
    </row>
    <row r="125" customFormat="false" ht="15" hidden="false" customHeight="false" outlineLevel="0" collapsed="false">
      <c r="A125" s="0" t="s">
        <v>625</v>
      </c>
      <c r="B125" s="3" t="n">
        <f aca="false">IF(AJ125="","",IF(ISNUMBER(SEARCH("/",AJ125)),DATE(VALUE(RIGHT(AJ125,4)),VALUE(LEFT(AJ125,2)),VALUE(MID(AJ125,4,2))),IF(ISNUMBER(SEARCH("-",AJ125)),IF(LEN(LEFT(AJ125,FIND("-",AJ125)-1))=4,DATE(VALUE(LEFT(AJ125,4)),VALUE(MID(AJ125,6,2)),VALUE(RIGHT(AJ125,2))),DATE(VALUE(RIGHT(AJ125,4)),VALUE(MID(AJ125,4,2)),VALUE(LEFT(AJ125,2)))),DATE(VALUE(RIGHT(AJ125,4)),MATCH(MID(AJ125,4,3),{"Jan","Feb","Mar","Apr","May","Jun","Jul","Aug","Sep","Oct","Nov","Dec"},0),VALUE(LEFT(AJ125,2))))))</f>
        <v>45436</v>
      </c>
      <c r="C125" s="3" t="n">
        <f aca="false">IF(AK125="","",IF(ISNUMBER(SEARCH("/",AK125)),DATE(VALUE(RIGHT(AK125,4)),VALUE(LEFT(AK125,2)),VALUE(MID(AK125,4,2))),IF(ISNUMBER(SEARCH("-",AK125)),IF(LEN(LEFT(AK125,FIND("-",AK125)-1))=4,DATE(VALUE(LEFT(AK125,4)),VALUE(MID(AK125,6,2)),VALUE(RIGHT(AK125,2))),DATE(VALUE(RIGHT(AK125,4)),VALUE(MID(AK125,4,2)),VALUE(LEFT(AK125,2)))),DATE(VALUE(RIGHT(AK125,4)),MATCH(MID(AK125,4,3),{"Jan","Feb","Mar","Apr","May","Jun","Jul","Aug","Sep","Oct","Nov","Dec"},0),VALUE(LEFT(AK125,2))))))</f>
        <v>45437</v>
      </c>
      <c r="D125" s="4" t="s">
        <v>626</v>
      </c>
      <c r="E125" s="0" t="str">
        <f aca="false">PROPER(TRIM(AL125))</f>
        <v>Sneha Kapoor</v>
      </c>
      <c r="F125" s="0" t="str">
        <f aca="false">PROPER(TRIM(AM125))</f>
        <v>Small Business</v>
      </c>
      <c r="G125" s="0" t="str">
        <f aca="false">IF(TRIM(AN125)="","Unknown",PROPER(TRIM(AN125)))</f>
        <v>North</v>
      </c>
      <c r="H125" s="0" t="str">
        <f aca="false">PROPER(TRIM(AO125))</f>
        <v>Punjab</v>
      </c>
      <c r="I125" s="0" t="str">
        <f aca="false">PROPER(TRIM(AP125))</f>
        <v>Ludhiana</v>
      </c>
      <c r="J125" s="0" t="str">
        <f aca="false">PROPER(TRIM(AQ125))</f>
        <v>Technology</v>
      </c>
      <c r="K125" s="0" t="str">
        <f aca="false">PROPER(TRIM(AR125))</f>
        <v>Copiers</v>
      </c>
      <c r="M125" s="0" t="str">
        <f aca="false">IF(TRIM(AS125)="","Unknown",PROPER(TRIM(AS125)))</f>
        <v>Same Day</v>
      </c>
      <c r="N125" s="0" t="n">
        <v>1</v>
      </c>
      <c r="O125" s="0" t="n">
        <v>634.13</v>
      </c>
      <c r="P125" s="5" t="n">
        <f aca="false">IF(AT125="","",IF(ISNUMBER(AT125),AT125,VALUE(SUBSTITUTE(AT125,"%",""))/100))</f>
        <v>0</v>
      </c>
      <c r="Q125" s="5" t="n">
        <f aca="false">IF(P125="",IF(AND(N125&lt;&gt;"",O125&lt;&gt;"",R125&lt;&gt;"",S125&lt;&gt;""),0,"REVIEW"),IF(OR(P125&lt;0,P125&gt;0.3),0,P125))</f>
        <v>0</v>
      </c>
      <c r="R125" s="0" t="n">
        <v>634.13</v>
      </c>
      <c r="S125" s="0" t="n">
        <v>453.35</v>
      </c>
      <c r="T125" s="6" t="n">
        <f aca="false">N125*O125*(1-Q125)</f>
        <v>634.13</v>
      </c>
      <c r="U125" s="6" t="n">
        <f aca="false">T125-S125</f>
        <v>180.78</v>
      </c>
      <c r="V125" s="7" t="n">
        <f aca="false">IF(T125=0,0,U125/T125)</f>
        <v>0.28508350022866</v>
      </c>
      <c r="W125" s="4" t="n">
        <f aca="false">C125-B125</f>
        <v>1</v>
      </c>
      <c r="X125" s="0" t="str">
        <f aca="false">TEXT(B125,"mmmm")</f>
        <v>May</v>
      </c>
      <c r="Y125" s="4" t="n">
        <f aca="false">YEAR(B125)</f>
        <v>2024</v>
      </c>
      <c r="Z125" s="0" t="str">
        <f aca="false">PROPER(TRIM(AU125))</f>
        <v>Refunded</v>
      </c>
      <c r="AA125" s="0" t="str">
        <f aca="false">PROPER(TRIM(AV125))</f>
        <v>Cancelled</v>
      </c>
      <c r="AB125" s="0" t="str">
        <f aca="false">IF(TRIM(AN125)="","Yes","No")</f>
        <v>No</v>
      </c>
      <c r="AC125" s="0" t="str">
        <f aca="false">IF(TRIM(AS125)="","Yes","No")</f>
        <v>No</v>
      </c>
      <c r="AD125" s="0" t="str">
        <f aca="false">IF(AT125="","Yes","No")</f>
        <v>No</v>
      </c>
      <c r="AE125" s="0" t="str">
        <f aca="false">IF(W125&lt;0,"Yes","No")</f>
        <v>No</v>
      </c>
      <c r="AF125" s="0" t="str">
        <f aca="false">IF(P125="","No",IF(OR(P125&lt;0,P125&gt;0.3),"Yes","No"))</f>
        <v>No</v>
      </c>
      <c r="AG125" s="4" t="s">
        <v>497</v>
      </c>
      <c r="AH125" s="0" t="str">
        <f aca="false">IF(AND(AA125="Completed",Z125="Paid"),"Yes","No")</f>
        <v>No</v>
      </c>
      <c r="AI125" s="0" t="str">
        <f aca="false">IF(OR(AE125="Yes",AF125="Yes",AG125="Yes"),"Invalid",IF(OR(AB125="Yes",AC125="Yes",AD125="Yes"),"Warning","Clean"))</f>
        <v>Invalid</v>
      </c>
      <c r="AJ125" s="4" t="s">
        <v>627</v>
      </c>
      <c r="AK125" s="4" t="s">
        <v>628</v>
      </c>
      <c r="AL125" s="4" t="s">
        <v>181</v>
      </c>
      <c r="AM125" s="4" t="s">
        <v>68</v>
      </c>
      <c r="AN125" s="4" t="s">
        <v>629</v>
      </c>
      <c r="AO125" s="4" t="s">
        <v>169</v>
      </c>
      <c r="AP125" s="4" t="s">
        <v>170</v>
      </c>
      <c r="AQ125" s="4" t="s">
        <v>109</v>
      </c>
      <c r="AR125" s="4" t="s">
        <v>116</v>
      </c>
      <c r="AS125" s="4" t="s">
        <v>74</v>
      </c>
      <c r="AT125" s="0" t="n">
        <v>0</v>
      </c>
      <c r="AU125" s="4" t="s">
        <v>141</v>
      </c>
      <c r="AV125" s="4" t="s">
        <v>101</v>
      </c>
    </row>
    <row r="126" customFormat="false" ht="15" hidden="false" customHeight="false" outlineLevel="0" collapsed="false">
      <c r="A126" s="0" t="s">
        <v>630</v>
      </c>
      <c r="B126" s="3" t="n">
        <f aca="false">IF(AJ126="","",IF(ISNUMBER(SEARCH("/",AJ126)),DATE(VALUE(RIGHT(AJ126,4)),VALUE(LEFT(AJ126,2)),VALUE(MID(AJ126,4,2))),IF(ISNUMBER(SEARCH("-",AJ126)),IF(LEN(LEFT(AJ126,FIND("-",AJ126)-1))=4,DATE(VALUE(LEFT(AJ126,4)),VALUE(MID(AJ126,6,2)),VALUE(RIGHT(AJ126,2))),DATE(VALUE(RIGHT(AJ126,4)),VALUE(MID(AJ126,4,2)),VALUE(LEFT(AJ126,2)))),DATE(VALUE(RIGHT(AJ126,4)),MATCH(MID(AJ126,4,3),{"Jan","Feb","Mar","Apr","May","Jun","Jul","Aug","Sep","Oct","Nov","Dec"},0),VALUE(LEFT(AJ126,2))))))</f>
        <v>45494</v>
      </c>
      <c r="C126" s="3" t="n">
        <f aca="false">IF(AK126="","",IF(ISNUMBER(SEARCH("/",AK126)),DATE(VALUE(RIGHT(AK126,4)),VALUE(LEFT(AK126,2)),VALUE(MID(AK126,4,2))),IF(ISNUMBER(SEARCH("-",AK126)),IF(LEN(LEFT(AK126,FIND("-",AK126)-1))=4,DATE(VALUE(LEFT(AK126,4)),VALUE(MID(AK126,6,2)),VALUE(RIGHT(AK126,2))),DATE(VALUE(RIGHT(AK126,4)),VALUE(MID(AK126,4,2)),VALUE(LEFT(AK126,2)))),DATE(VALUE(RIGHT(AK126,4)),MATCH(MID(AK126,4,3),{"Jan","Feb","Mar","Apr","May","Jun","Jul","Aug","Sep","Oct","Nov","Dec"},0),VALUE(LEFT(AK126,2))))))</f>
        <v>45497</v>
      </c>
      <c r="D126" s="4" t="s">
        <v>631</v>
      </c>
      <c r="E126" s="0" t="str">
        <f aca="false">PROPER(TRIM(AL126))</f>
        <v>Isha Nair</v>
      </c>
      <c r="F126" s="0" t="str">
        <f aca="false">PROPER(TRIM(AM126))</f>
        <v>Corporate</v>
      </c>
      <c r="G126" s="0" t="str">
        <f aca="false">IF(TRIM(AN126)="","Unknown",PROPER(TRIM(AN126)))</f>
        <v>South</v>
      </c>
      <c r="H126" s="0" t="str">
        <f aca="false">PROPER(TRIM(AO126))</f>
        <v>Karnataka</v>
      </c>
      <c r="I126" s="0" t="str">
        <f aca="false">PROPER(TRIM(AP126))</f>
        <v>Bengaluru</v>
      </c>
      <c r="J126" s="0" t="str">
        <f aca="false">PROPER(TRIM(AQ126))</f>
        <v>Technology</v>
      </c>
      <c r="K126" s="0" t="str">
        <f aca="false">PROPER(TRIM(AR126))</f>
        <v>Copiers</v>
      </c>
      <c r="M126" s="0" t="str">
        <f aca="false">IF(TRIM(AS126)="","Unknown",PROPER(TRIM(AS126)))</f>
        <v>Standard Class</v>
      </c>
      <c r="N126" s="0" t="n">
        <v>9</v>
      </c>
      <c r="O126" s="0" t="n">
        <v>465.06</v>
      </c>
      <c r="P126" s="5" t="n">
        <f aca="false">IF(AT126="","",IF(ISNUMBER(AT126),AT126,VALUE(SUBSTITUTE(AT126,"%",""))/100))</f>
        <v>-0.15</v>
      </c>
      <c r="Q126" s="5" t="n">
        <f aca="false">IF(P126="",IF(AND(N126&lt;&gt;"",O126&lt;&gt;"",R126&lt;&gt;"",S126&lt;&gt;""),0,"REVIEW"),IF(OR(P126&lt;0,P126&gt;0.3),0,P126))</f>
        <v>0</v>
      </c>
      <c r="R126" s="0" t="n">
        <v>4185.54</v>
      </c>
      <c r="S126" s="0" t="n">
        <v>3443.74</v>
      </c>
      <c r="T126" s="6" t="n">
        <f aca="false">N126*O126*(1-Q126)</f>
        <v>4185.54</v>
      </c>
      <c r="U126" s="6" t="n">
        <f aca="false">T126-S126</f>
        <v>741.8</v>
      </c>
      <c r="V126" s="7" t="n">
        <f aca="false">IF(T126=0,0,U126/T126)</f>
        <v>0.177229222513702</v>
      </c>
      <c r="W126" s="4" t="n">
        <f aca="false">C126-B126</f>
        <v>3</v>
      </c>
      <c r="X126" s="0" t="str">
        <f aca="false">TEXT(B126,"mmmm")</f>
        <v>July</v>
      </c>
      <c r="Y126" s="4" t="n">
        <f aca="false">YEAR(B126)</f>
        <v>2024</v>
      </c>
      <c r="Z126" s="0" t="str">
        <f aca="false">PROPER(TRIM(AU126))</f>
        <v>Paid</v>
      </c>
      <c r="AA126" s="0" t="str">
        <f aca="false">PROPER(TRIM(AV126))</f>
        <v>Completed</v>
      </c>
      <c r="AB126" s="0" t="str">
        <f aca="false">IF(TRIM(AN126)="","Yes","No")</f>
        <v>No</v>
      </c>
      <c r="AC126" s="0" t="str">
        <f aca="false">IF(TRIM(AS126)="","Yes","No")</f>
        <v>No</v>
      </c>
      <c r="AD126" s="0" t="str">
        <f aca="false">IF(AT126="","Yes","No")</f>
        <v>No</v>
      </c>
      <c r="AE126" s="0" t="str">
        <f aca="false">IF(W126&lt;0,"Yes","No")</f>
        <v>No</v>
      </c>
      <c r="AF126" s="0" t="str">
        <f aca="false">IF(P126="","No",IF(OR(P126&lt;0,P126&gt;0.3),"Yes","No"))</f>
        <v>Yes</v>
      </c>
      <c r="AG126" s="4" t="s">
        <v>50</v>
      </c>
      <c r="AH126" s="0" t="str">
        <f aca="false">IF(AND(AA126="Completed",Z126="Paid"),"Yes","No")</f>
        <v>Yes</v>
      </c>
      <c r="AI126" s="0" t="str">
        <f aca="false">IF(OR(AE126="Yes",AF126="Yes",AG126="Yes"),"Invalid",IF(OR(AB126="Yes",AC126="Yes",AD126="Yes"),"Warning","Clean"))</f>
        <v>Invalid</v>
      </c>
      <c r="AJ126" s="4" t="s">
        <v>51</v>
      </c>
      <c r="AK126" s="4" t="s">
        <v>632</v>
      </c>
      <c r="AL126" s="4" t="s">
        <v>79</v>
      </c>
      <c r="AM126" s="4" t="s">
        <v>128</v>
      </c>
      <c r="AN126" s="4" t="s">
        <v>87</v>
      </c>
      <c r="AO126" s="4" t="s">
        <v>233</v>
      </c>
      <c r="AP126" s="4" t="s">
        <v>234</v>
      </c>
      <c r="AQ126" s="4" t="s">
        <v>109</v>
      </c>
      <c r="AR126" s="4" t="s">
        <v>116</v>
      </c>
      <c r="AS126" s="4" t="s">
        <v>91</v>
      </c>
      <c r="AT126" s="0" t="n">
        <v>-0.15</v>
      </c>
      <c r="AU126" s="4" t="s">
        <v>61</v>
      </c>
      <c r="AV126" s="4" t="s">
        <v>633</v>
      </c>
    </row>
    <row r="127" customFormat="false" ht="15" hidden="false" customHeight="false" outlineLevel="0" collapsed="false">
      <c r="A127" s="0" t="s">
        <v>634</v>
      </c>
      <c r="B127" s="3" t="n">
        <f aca="false">IF(AJ127="","",IF(ISNUMBER(SEARCH("/",AJ127)),DATE(VALUE(RIGHT(AJ127,4)),VALUE(LEFT(AJ127,2)),VALUE(MID(AJ127,4,2))),IF(ISNUMBER(SEARCH("-",AJ127)),IF(LEN(LEFT(AJ127,FIND("-",AJ127)-1))=4,DATE(VALUE(LEFT(AJ127,4)),VALUE(MID(AJ127,6,2)),VALUE(RIGHT(AJ127,2))),DATE(VALUE(RIGHT(AJ127,4)),VALUE(MID(AJ127,4,2)),VALUE(LEFT(AJ127,2)))),DATE(VALUE(RIGHT(AJ127,4)),MATCH(MID(AJ127,4,3),{"Jan","Feb","Mar","Apr","May","Jun","Jul","Aug","Sep","Oct","Nov","Dec"},0),VALUE(LEFT(AJ127,2))))))</f>
        <v>45855</v>
      </c>
      <c r="C127" s="3" t="n">
        <f aca="false">IF(AK127="","",IF(ISNUMBER(SEARCH("/",AK127)),DATE(VALUE(RIGHT(AK127,4)),VALUE(LEFT(AK127,2)),VALUE(MID(AK127,4,2))),IF(ISNUMBER(SEARCH("-",AK127)),IF(LEN(LEFT(AK127,FIND("-",AK127)-1))=4,DATE(VALUE(LEFT(AK127,4)),VALUE(MID(AK127,6,2)),VALUE(RIGHT(AK127,2))),DATE(VALUE(RIGHT(AK127,4)),VALUE(MID(AK127,4,2)),VALUE(LEFT(AK127,2)))),DATE(VALUE(RIGHT(AK127,4)),MATCH(MID(AK127,4,3),{"Jan","Feb","Mar","Apr","May","Jun","Jul","Aug","Sep","Oct","Nov","Dec"},0),VALUE(LEFT(AK127,2))))))</f>
        <v>45856</v>
      </c>
      <c r="D127" s="4" t="s">
        <v>635</v>
      </c>
      <c r="E127" s="0" t="str">
        <f aca="false">PROPER(TRIM(AL127))</f>
        <v>Neha Gupta</v>
      </c>
      <c r="F127" s="0" t="str">
        <f aca="false">PROPER(TRIM(AM127))</f>
        <v>Small Business</v>
      </c>
      <c r="G127" s="0" t="str">
        <f aca="false">IF(TRIM(AN127)="","Unknown",PROPER(TRIM(AN127)))</f>
        <v>West</v>
      </c>
      <c r="H127" s="0" t="str">
        <f aca="false">PROPER(TRIM(AO127))</f>
        <v>Rajasthan</v>
      </c>
      <c r="I127" s="0" t="str">
        <f aca="false">PROPER(TRIM(AP127))</f>
        <v>Udaipur</v>
      </c>
      <c r="J127" s="0" t="str">
        <f aca="false">PROPER(TRIM(AQ127))</f>
        <v>Furniture</v>
      </c>
      <c r="K127" s="0" t="str">
        <f aca="false">PROPER(TRIM(AR127))</f>
        <v>Tables</v>
      </c>
      <c r="M127" s="0" t="str">
        <f aca="false">IF(TRIM(AS127)="","Unknown",PROPER(TRIM(AS127)))</f>
        <v>Same Day</v>
      </c>
      <c r="N127" s="0" t="n">
        <v>6</v>
      </c>
      <c r="O127" s="0" t="n">
        <v>3235.27</v>
      </c>
      <c r="P127" s="5" t="n">
        <f aca="false">IF(AT127="","",IF(ISNUMBER(AT127),AT127,VALUE(SUBSTITUTE(AT127,"%",""))/100))</f>
        <v>0.25</v>
      </c>
      <c r="Q127" s="5" t="n">
        <f aca="false">IF(P127="",IF(AND(N127&lt;&gt;"",O127&lt;&gt;"",R127&lt;&gt;"",S127&lt;&gt;""),0,"REVIEW"),IF(OR(P127&lt;0,P127&gt;0.3),0,P127))</f>
        <v>0.25</v>
      </c>
      <c r="R127" s="0" t="n">
        <v>14558.72</v>
      </c>
      <c r="S127" s="0" t="n">
        <v>9591.48</v>
      </c>
      <c r="T127" s="6" t="n">
        <f aca="false">N127*O127*(1-Q127)</f>
        <v>14558.715</v>
      </c>
      <c r="U127" s="6" t="n">
        <f aca="false">T127-S127</f>
        <v>4967.235</v>
      </c>
      <c r="V127" s="7" t="n">
        <f aca="false">IF(T127=0,0,U127/T127)</f>
        <v>0.341186361571059</v>
      </c>
      <c r="W127" s="4" t="n">
        <f aca="false">C127-B127</f>
        <v>1</v>
      </c>
      <c r="X127" s="0" t="str">
        <f aca="false">TEXT(B127,"mmmm")</f>
        <v>July</v>
      </c>
      <c r="Y127" s="4" t="n">
        <f aca="false">YEAR(B127)</f>
        <v>2025</v>
      </c>
      <c r="Z127" s="0" t="str">
        <f aca="false">PROPER(TRIM(AU127))</f>
        <v>Refunded</v>
      </c>
      <c r="AA127" s="0" t="str">
        <f aca="false">PROPER(TRIM(AV127))</f>
        <v>Returned</v>
      </c>
      <c r="AB127" s="0" t="str">
        <f aca="false">IF(TRIM(AN127)="","Yes","No")</f>
        <v>No</v>
      </c>
      <c r="AC127" s="0" t="str">
        <f aca="false">IF(TRIM(AS127)="","Yes","No")</f>
        <v>No</v>
      </c>
      <c r="AD127" s="0" t="str">
        <f aca="false">IF(AT127="","Yes","No")</f>
        <v>No</v>
      </c>
      <c r="AE127" s="0" t="str">
        <f aca="false">IF(W127&lt;0,"Yes","No")</f>
        <v>No</v>
      </c>
      <c r="AF127" s="0" t="str">
        <f aca="false">IF(P127="","No",IF(OR(P127&lt;0,P127&gt;0.3),"Yes","No"))</f>
        <v>No</v>
      </c>
      <c r="AG127" s="4" t="s">
        <v>50</v>
      </c>
      <c r="AH127" s="0" t="str">
        <f aca="false">IF(AND(AA127="Completed",Z127="Paid"),"Yes","No")</f>
        <v>No</v>
      </c>
      <c r="AI127" s="0" t="str">
        <f aca="false">IF(OR(AE127="Yes",AF127="Yes",AG127="Yes"),"Invalid",IF(OR(AB127="Yes",AC127="Yes",AD127="Yes"),"Warning","Clean"))</f>
        <v>Clean</v>
      </c>
      <c r="AJ127" s="4" t="s">
        <v>636</v>
      </c>
      <c r="AK127" s="4" t="s">
        <v>637</v>
      </c>
      <c r="AL127" s="4" t="s">
        <v>115</v>
      </c>
      <c r="AM127" s="4" t="s">
        <v>68</v>
      </c>
      <c r="AN127" s="4" t="s">
        <v>97</v>
      </c>
      <c r="AO127" s="4" t="s">
        <v>56</v>
      </c>
      <c r="AP127" s="4" t="s">
        <v>152</v>
      </c>
      <c r="AQ127" s="4" t="s">
        <v>72</v>
      </c>
      <c r="AR127" s="4" t="s">
        <v>73</v>
      </c>
      <c r="AS127" s="4" t="s">
        <v>74</v>
      </c>
      <c r="AT127" s="0" t="n">
        <v>0.25</v>
      </c>
      <c r="AU127" s="4" t="s">
        <v>141</v>
      </c>
      <c r="AV127" s="4" t="s">
        <v>142</v>
      </c>
    </row>
    <row r="128" customFormat="false" ht="15" hidden="false" customHeight="false" outlineLevel="0" collapsed="false">
      <c r="A128" s="0" t="s">
        <v>638</v>
      </c>
      <c r="B128" s="3" t="n">
        <f aca="false">IF(AJ128="","",IF(ISNUMBER(SEARCH("/",AJ128)),DATE(VALUE(RIGHT(AJ128,4)),VALUE(LEFT(AJ128,2)),VALUE(MID(AJ128,4,2))),IF(ISNUMBER(SEARCH("-",AJ128)),IF(LEN(LEFT(AJ128,FIND("-",AJ128)-1))=4,DATE(VALUE(LEFT(AJ128,4)),VALUE(MID(AJ128,6,2)),VALUE(RIGHT(AJ128,2))),DATE(VALUE(RIGHT(AJ128,4)),VALUE(MID(AJ128,4,2)),VALUE(LEFT(AJ128,2)))),DATE(VALUE(RIGHT(AJ128,4)),MATCH(MID(AJ128,4,3),{"Jan","Feb","Mar","Apr","May","Jun","Jul","Aug","Sep","Oct","Nov","Dec"},0),VALUE(LEFT(AJ128,2))))))</f>
        <v>45924</v>
      </c>
      <c r="C128" s="3" t="n">
        <f aca="false">IF(AK128="","",IF(ISNUMBER(SEARCH("/",AK128)),DATE(VALUE(RIGHT(AK128,4)),VALUE(LEFT(AK128,2)),VALUE(MID(AK128,4,2))),IF(ISNUMBER(SEARCH("-",AK128)),IF(LEN(LEFT(AK128,FIND("-",AK128)-1))=4,DATE(VALUE(LEFT(AK128,4)),VALUE(MID(AK128,6,2)),VALUE(RIGHT(AK128,2))),DATE(VALUE(RIGHT(AK128,4)),VALUE(MID(AK128,4,2)),VALUE(LEFT(AK128,2)))),DATE(VALUE(RIGHT(AK128,4)),MATCH(MID(AK128,4,3),{"Jan","Feb","Mar","Apr","May","Jun","Jul","Aug","Sep","Oct","Nov","Dec"},0),VALUE(LEFT(AK128,2))))))</f>
        <v>45926</v>
      </c>
      <c r="D128" s="4" t="s">
        <v>639</v>
      </c>
      <c r="E128" s="0" t="str">
        <f aca="false">PROPER(TRIM(AL128))</f>
        <v>Priya Menon</v>
      </c>
      <c r="F128" s="0" t="str">
        <f aca="false">PROPER(TRIM(AM128))</f>
        <v>Corporate</v>
      </c>
      <c r="G128" s="0" t="str">
        <f aca="false">IF(TRIM(AN128)="","Unknown",PROPER(TRIM(AN128)))</f>
        <v>North</v>
      </c>
      <c r="H128" s="0" t="str">
        <f aca="false">PROPER(TRIM(AO128))</f>
        <v>Delhi</v>
      </c>
      <c r="I128" s="0" t="str">
        <f aca="false">PROPER(TRIM(AP128))</f>
        <v>New Delhi</v>
      </c>
      <c r="J128" s="0" t="str">
        <f aca="false">PROPER(TRIM(AQ128))</f>
        <v>Technology</v>
      </c>
      <c r="K128" s="0" t="str">
        <f aca="false">PROPER(TRIM(AR128))</f>
        <v>Copiers</v>
      </c>
      <c r="M128" s="0" t="str">
        <f aca="false">IF(TRIM(AS128)="","Unknown",PROPER(TRIM(AS128)))</f>
        <v>Standard Class</v>
      </c>
      <c r="N128" s="0" t="n">
        <v>3</v>
      </c>
      <c r="O128" s="0" t="n">
        <v>1593.86</v>
      </c>
      <c r="P128" s="5" t="n">
        <f aca="false">IF(AT128="","",IF(ISNUMBER(AT128),AT128,VALUE(SUBSTITUTE(AT128,"%",""))/100))</f>
        <v>0.1</v>
      </c>
      <c r="Q128" s="5" t="n">
        <f aca="false">IF(P128="",IF(AND(N128&lt;&gt;"",O128&lt;&gt;"",R128&lt;&gt;"",S128&lt;&gt;""),0,"REVIEW"),IF(OR(P128&lt;0,P128&gt;0.3),0,P128))</f>
        <v>0.1</v>
      </c>
      <c r="R128" s="0" t="n">
        <v>4303.42</v>
      </c>
      <c r="S128" s="0" t="n">
        <v>2568.57</v>
      </c>
      <c r="T128" s="6" t="n">
        <f aca="false">N128*O128*(1-Q128)</f>
        <v>4303.422</v>
      </c>
      <c r="U128" s="6" t="n">
        <f aca="false">T128-S128</f>
        <v>1734.852</v>
      </c>
      <c r="V128" s="7" t="n">
        <f aca="false">IF(T128=0,0,U128/T128)</f>
        <v>0.403133134514812</v>
      </c>
      <c r="W128" s="4" t="n">
        <f aca="false">C128-B128</f>
        <v>2</v>
      </c>
      <c r="X128" s="0" t="str">
        <f aca="false">TEXT(B128,"mmmm")</f>
        <v>September</v>
      </c>
      <c r="Y128" s="4" t="n">
        <f aca="false">YEAR(B128)</f>
        <v>2025</v>
      </c>
      <c r="Z128" s="0" t="str">
        <f aca="false">PROPER(TRIM(AU128))</f>
        <v>Paid</v>
      </c>
      <c r="AA128" s="0" t="str">
        <f aca="false">PROPER(TRIM(AV128))</f>
        <v>Completed</v>
      </c>
      <c r="AB128" s="0" t="str">
        <f aca="false">IF(TRIM(AN128)="","Yes","No")</f>
        <v>No</v>
      </c>
      <c r="AC128" s="0" t="str">
        <f aca="false">IF(TRIM(AS128)="","Yes","No")</f>
        <v>No</v>
      </c>
      <c r="AD128" s="0" t="str">
        <f aca="false">IF(AT128="","Yes","No")</f>
        <v>No</v>
      </c>
      <c r="AE128" s="0" t="str">
        <f aca="false">IF(W128&lt;0,"Yes","No")</f>
        <v>No</v>
      </c>
      <c r="AF128" s="0" t="str">
        <f aca="false">IF(P128="","No",IF(OR(P128&lt;0,P128&gt;0.3),"Yes","No"))</f>
        <v>No</v>
      </c>
      <c r="AG128" s="4" t="s">
        <v>50</v>
      </c>
      <c r="AH128" s="0" t="str">
        <f aca="false">IF(AND(AA128="Completed",Z128="Paid"),"Yes","No")</f>
        <v>Yes</v>
      </c>
      <c r="AI128" s="0" t="str">
        <f aca="false">IF(OR(AE128="Yes",AF128="Yes",AG128="Yes"),"Invalid",IF(OR(AB128="Yes",AC128="Yes",AD128="Yes"),"Warning","Clean"))</f>
        <v>Clean</v>
      </c>
      <c r="AJ128" s="4" t="s">
        <v>640</v>
      </c>
      <c r="AK128" s="4" t="s">
        <v>641</v>
      </c>
      <c r="AL128" s="4" t="s">
        <v>158</v>
      </c>
      <c r="AM128" s="4" t="s">
        <v>128</v>
      </c>
      <c r="AN128" s="4" t="s">
        <v>168</v>
      </c>
      <c r="AO128" s="4" t="s">
        <v>461</v>
      </c>
      <c r="AP128" s="4" t="s">
        <v>462</v>
      </c>
      <c r="AQ128" s="4" t="s">
        <v>109</v>
      </c>
      <c r="AR128" s="4" t="s">
        <v>116</v>
      </c>
      <c r="AS128" s="4" t="s">
        <v>91</v>
      </c>
      <c r="AT128" s="0" t="n">
        <v>0.1</v>
      </c>
      <c r="AU128" s="4" t="s">
        <v>61</v>
      </c>
      <c r="AV128" s="4" t="s">
        <v>62</v>
      </c>
    </row>
    <row r="129" customFormat="false" ht="15" hidden="false" customHeight="false" outlineLevel="0" collapsed="false">
      <c r="A129" s="0" t="s">
        <v>642</v>
      </c>
      <c r="B129" s="3" t="n">
        <f aca="false">IF(AJ129="","",IF(ISNUMBER(SEARCH("/",AJ129)),DATE(VALUE(RIGHT(AJ129,4)),VALUE(LEFT(AJ129,2)),VALUE(MID(AJ129,4,2))),IF(ISNUMBER(SEARCH("-",AJ129)),IF(LEN(LEFT(AJ129,FIND("-",AJ129)-1))=4,DATE(VALUE(LEFT(AJ129,4)),VALUE(MID(AJ129,6,2)),VALUE(RIGHT(AJ129,2))),DATE(VALUE(RIGHT(AJ129,4)),VALUE(MID(AJ129,4,2)),VALUE(LEFT(AJ129,2)))),DATE(VALUE(RIGHT(AJ129,4)),MATCH(MID(AJ129,4,3),{"Jan","Feb","Mar","Apr","May","Jun","Jul","Aug","Sep","Oct","Nov","Dec"},0),VALUE(LEFT(AJ129,2))))))</f>
        <v>45687</v>
      </c>
      <c r="C129" s="3" t="n">
        <f aca="false">IF(AK129="","",IF(ISNUMBER(SEARCH("/",AK129)),DATE(VALUE(RIGHT(AK129,4)),VALUE(LEFT(AK129,2)),VALUE(MID(AK129,4,2))),IF(ISNUMBER(SEARCH("-",AK129)),IF(LEN(LEFT(AK129,FIND("-",AK129)-1))=4,DATE(VALUE(LEFT(AK129,4)),VALUE(MID(AK129,6,2)),VALUE(RIGHT(AK129,2))),DATE(VALUE(RIGHT(AK129,4)),VALUE(MID(AK129,4,2)),VALUE(LEFT(AK129,2)))),DATE(VALUE(RIGHT(AK129,4)),MATCH(MID(AK129,4,3),{"Jan","Feb","Mar","Apr","May","Jun","Jul","Aug","Sep","Oct","Nov","Dec"},0),VALUE(LEFT(AK129,2))))))</f>
        <v>45683</v>
      </c>
      <c r="D129" s="4" t="s">
        <v>643</v>
      </c>
      <c r="E129" s="0" t="str">
        <f aca="false">PROPER(TRIM(AL129))</f>
        <v>Priya Menon</v>
      </c>
      <c r="F129" s="0" t="str">
        <f aca="false">PROPER(TRIM(AM129))</f>
        <v>Corporate</v>
      </c>
      <c r="G129" s="0" t="str">
        <f aca="false">IF(TRIM(AN129)="","Unknown",PROPER(TRIM(AN129)))</f>
        <v>West</v>
      </c>
      <c r="H129" s="0" t="str">
        <f aca="false">PROPER(TRIM(AO129))</f>
        <v>Madhya Pradesh</v>
      </c>
      <c r="I129" s="0" t="str">
        <f aca="false">PROPER(TRIM(AP129))</f>
        <v>Indore</v>
      </c>
      <c r="J129" s="0" t="str">
        <f aca="false">PROPER(TRIM(AQ129))</f>
        <v>Office Supplies</v>
      </c>
      <c r="K129" s="0" t="str">
        <f aca="false">PROPER(TRIM(AR129))</f>
        <v>Storage</v>
      </c>
      <c r="M129" s="0" t="str">
        <f aca="false">IF(TRIM(AS129)="","Unknown",PROPER(TRIM(AS129)))</f>
        <v>Second Class</v>
      </c>
      <c r="N129" s="0" t="n">
        <v>2</v>
      </c>
      <c r="O129" s="0" t="n">
        <v>3039.3</v>
      </c>
      <c r="P129" s="5" t="n">
        <f aca="false">IF(AT129="","",IF(ISNUMBER(AT129),AT129,VALUE(SUBSTITUTE(AT129,"%",""))/100))</f>
        <v>0.05</v>
      </c>
      <c r="Q129" s="5" t="n">
        <f aca="false">IF(P129="",IF(AND(N129&lt;&gt;"",O129&lt;&gt;"",R129&lt;&gt;"",S129&lt;&gt;""),0,"REVIEW"),IF(OR(P129&lt;0,P129&gt;0.3),0,P129))</f>
        <v>0.05</v>
      </c>
      <c r="R129" s="0" t="n">
        <v>5774.67</v>
      </c>
      <c r="S129" s="0" t="n">
        <v>3518.36</v>
      </c>
      <c r="T129" s="6" t="n">
        <f aca="false">N129*O129*(1-Q129)</f>
        <v>5774.67</v>
      </c>
      <c r="U129" s="6" t="n">
        <f aca="false">T129-S129</f>
        <v>2256.31</v>
      </c>
      <c r="V129" s="7" t="n">
        <f aca="false">IF(T129=0,0,U129/T129)</f>
        <v>0.390725357466314</v>
      </c>
      <c r="W129" s="4" t="n">
        <f aca="false">C129-B129</f>
        <v>-4</v>
      </c>
      <c r="X129" s="0" t="str">
        <f aca="false">TEXT(B129,"mmmm")</f>
        <v>January</v>
      </c>
      <c r="Y129" s="4" t="n">
        <f aca="false">YEAR(B129)</f>
        <v>2025</v>
      </c>
      <c r="Z129" s="0" t="str">
        <f aca="false">PROPER(TRIM(AU129))</f>
        <v>Paid</v>
      </c>
      <c r="AA129" s="0" t="str">
        <f aca="false">PROPER(TRIM(AV129))</f>
        <v>Completed</v>
      </c>
      <c r="AB129" s="0" t="str">
        <f aca="false">IF(TRIM(AN129)="","Yes","No")</f>
        <v>No</v>
      </c>
      <c r="AC129" s="0" t="str">
        <f aca="false">IF(TRIM(AS129)="","Yes","No")</f>
        <v>No</v>
      </c>
      <c r="AD129" s="0" t="str">
        <f aca="false">IF(AT129="","Yes","No")</f>
        <v>No</v>
      </c>
      <c r="AE129" s="0" t="str">
        <f aca="false">IF(W129&lt;0,"Yes","No")</f>
        <v>Yes</v>
      </c>
      <c r="AF129" s="0" t="str">
        <f aca="false">IF(P129="","No",IF(OR(P129&lt;0,P129&gt;0.3),"Yes","No"))</f>
        <v>No</v>
      </c>
      <c r="AG129" s="4" t="s">
        <v>50</v>
      </c>
      <c r="AH129" s="0" t="str">
        <f aca="false">IF(AND(AA129="Completed",Z129="Paid"),"Yes","No")</f>
        <v>Yes</v>
      </c>
      <c r="AI129" s="0" t="str">
        <f aca="false">IF(OR(AE129="Yes",AF129="Yes",AG129="Yes"),"Invalid",IF(OR(AB129="Yes",AC129="Yes",AD129="Yes"),"Warning","Clean"))</f>
        <v>Invalid</v>
      </c>
      <c r="AJ129" s="4" t="s">
        <v>201</v>
      </c>
      <c r="AK129" s="4" t="s">
        <v>644</v>
      </c>
      <c r="AL129" s="4" t="s">
        <v>158</v>
      </c>
      <c r="AM129" s="4" t="s">
        <v>128</v>
      </c>
      <c r="AN129" s="4" t="s">
        <v>97</v>
      </c>
      <c r="AO129" s="4" t="s">
        <v>107</v>
      </c>
      <c r="AP129" s="4" t="s">
        <v>108</v>
      </c>
      <c r="AQ129" s="4" t="s">
        <v>58</v>
      </c>
      <c r="AR129" s="4" t="s">
        <v>171</v>
      </c>
      <c r="AS129" s="4" t="s">
        <v>60</v>
      </c>
      <c r="AT129" s="0" t="n">
        <v>0.05</v>
      </c>
      <c r="AU129" s="4" t="s">
        <v>61</v>
      </c>
      <c r="AV129" s="4" t="s">
        <v>62</v>
      </c>
    </row>
    <row r="130" customFormat="false" ht="15" hidden="false" customHeight="false" outlineLevel="0" collapsed="false">
      <c r="A130" s="0" t="s">
        <v>645</v>
      </c>
      <c r="B130" s="3" t="n">
        <f aca="false">IF(AJ130="","",IF(ISNUMBER(SEARCH("/",AJ130)),DATE(VALUE(RIGHT(AJ130,4)),VALUE(LEFT(AJ130,2)),VALUE(MID(AJ130,4,2))),IF(ISNUMBER(SEARCH("-",AJ130)),IF(LEN(LEFT(AJ130,FIND("-",AJ130)-1))=4,DATE(VALUE(LEFT(AJ130,4)),VALUE(MID(AJ130,6,2)),VALUE(RIGHT(AJ130,2))),DATE(VALUE(RIGHT(AJ130,4)),VALUE(MID(AJ130,4,2)),VALUE(LEFT(AJ130,2)))),DATE(VALUE(RIGHT(AJ130,4)),MATCH(MID(AJ130,4,3),{"Jan","Feb","Mar","Apr","May","Jun","Jul","Aug","Sep","Oct","Nov","Dec"},0),VALUE(LEFT(AJ130,2))))))</f>
        <v>45639</v>
      </c>
      <c r="C130" s="3" t="n">
        <f aca="false">IF(AK130="","",IF(ISNUMBER(SEARCH("/",AK130)),DATE(VALUE(RIGHT(AK130,4)),VALUE(LEFT(AK130,2)),VALUE(MID(AK130,4,2))),IF(ISNUMBER(SEARCH("-",AK130)),IF(LEN(LEFT(AK130,FIND("-",AK130)-1))=4,DATE(VALUE(LEFT(AK130,4)),VALUE(MID(AK130,6,2)),VALUE(RIGHT(AK130,2))),DATE(VALUE(RIGHT(AK130,4)),VALUE(MID(AK130,4,2)),VALUE(LEFT(AK130,2)))),DATE(VALUE(RIGHT(AK130,4)),MATCH(MID(AK130,4,3),{"Jan","Feb","Mar","Apr","May","Jun","Jul","Aug","Sep","Oct","Nov","Dec"},0),VALUE(LEFT(AK130,2))))))</f>
        <v>45642</v>
      </c>
      <c r="D130" s="4" t="s">
        <v>646</v>
      </c>
      <c r="E130" s="0" t="str">
        <f aca="false">PROPER(TRIM(AL130))</f>
        <v>Neha Gupta</v>
      </c>
      <c r="F130" s="0" t="str">
        <f aca="false">PROPER(TRIM(AM130))</f>
        <v>Small Business</v>
      </c>
      <c r="G130" s="0" t="str">
        <f aca="false">IF(TRIM(AN130)="","Unknown",PROPER(TRIM(AN130)))</f>
        <v>East</v>
      </c>
      <c r="H130" s="0" t="str">
        <f aca="false">PROPER(TRIM(AO130))</f>
        <v>Odisha</v>
      </c>
      <c r="I130" s="0" t="str">
        <f aca="false">PROPER(TRIM(AP130))</f>
        <v>Bhubaneswar</v>
      </c>
      <c r="J130" s="0" t="str">
        <f aca="false">PROPER(TRIM(AQ130))</f>
        <v>Furniture</v>
      </c>
      <c r="K130" s="0" t="str">
        <f aca="false">PROPER(TRIM(AR130))</f>
        <v>Furnishings</v>
      </c>
      <c r="M130" s="0" t="str">
        <f aca="false">IF(TRIM(AS130)="","Unknown",PROPER(TRIM(AS130)))</f>
        <v>Standard Class</v>
      </c>
      <c r="N130" s="0" t="n">
        <v>5</v>
      </c>
      <c r="O130" s="0" t="n">
        <v>923.45</v>
      </c>
      <c r="P130" s="5" t="n">
        <f aca="false">IF(AT130="","",IF(ISNUMBER(AT130),AT130,VALUE(SUBSTITUTE(AT130,"%",""))/100))</f>
        <v>0.05</v>
      </c>
      <c r="Q130" s="5" t="n">
        <f aca="false">IF(P130="",IF(AND(N130&lt;&gt;"",O130&lt;&gt;"",R130&lt;&gt;"",S130&lt;&gt;""),0,"REVIEW"),IF(OR(P130&lt;0,P130&gt;0.3),0,P130))</f>
        <v>0.05</v>
      </c>
      <c r="R130" s="0" t="n">
        <v>4386.39</v>
      </c>
      <c r="S130" s="0" t="n">
        <v>3366.88</v>
      </c>
      <c r="T130" s="6" t="n">
        <f aca="false">N130*O130*(1-Q130)</f>
        <v>4386.3875</v>
      </c>
      <c r="U130" s="6" t="n">
        <f aca="false">T130-S130</f>
        <v>1019.5075</v>
      </c>
      <c r="V130" s="7" t="n">
        <f aca="false">IF(T130=0,0,U130/T130)</f>
        <v>0.232425315820821</v>
      </c>
      <c r="W130" s="4" t="n">
        <f aca="false">C130-B130</f>
        <v>3</v>
      </c>
      <c r="X130" s="0" t="str">
        <f aca="false">TEXT(B130,"mmmm")</f>
        <v>December</v>
      </c>
      <c r="Y130" s="4" t="n">
        <f aca="false">YEAR(B130)</f>
        <v>2024</v>
      </c>
      <c r="Z130" s="0" t="str">
        <f aca="false">PROPER(TRIM(AU130))</f>
        <v>Paid</v>
      </c>
      <c r="AA130" s="0" t="str">
        <f aca="false">PROPER(TRIM(AV130))</f>
        <v>Returned</v>
      </c>
      <c r="AB130" s="0" t="str">
        <f aca="false">IF(TRIM(AN130)="","Yes","No")</f>
        <v>No</v>
      </c>
      <c r="AC130" s="0" t="str">
        <f aca="false">IF(TRIM(AS130)="","Yes","No")</f>
        <v>No</v>
      </c>
      <c r="AD130" s="0" t="str">
        <f aca="false">IF(AT130="","Yes","No")</f>
        <v>No</v>
      </c>
      <c r="AE130" s="0" t="str">
        <f aca="false">IF(W130&lt;0,"Yes","No")</f>
        <v>No</v>
      </c>
      <c r="AF130" s="0" t="str">
        <f aca="false">IF(P130="","No",IF(OR(P130&lt;0,P130&gt;0.3),"Yes","No"))</f>
        <v>No</v>
      </c>
      <c r="AG130" s="4" t="s">
        <v>50</v>
      </c>
      <c r="AH130" s="0" t="str">
        <f aca="false">IF(AND(AA130="Completed",Z130="Paid"),"Yes","No")</f>
        <v>No</v>
      </c>
      <c r="AI130" s="0" t="str">
        <f aca="false">IF(OR(AE130="Yes",AF130="Yes",AG130="Yes"),"Invalid",IF(OR(AB130="Yes",AC130="Yes",AD130="Yes"),"Warning","Clean"))</f>
        <v>Clean</v>
      </c>
      <c r="AJ130" s="4" t="s">
        <v>647</v>
      </c>
      <c r="AK130" s="4" t="s">
        <v>648</v>
      </c>
      <c r="AL130" s="4" t="s">
        <v>115</v>
      </c>
      <c r="AM130" s="4" t="s">
        <v>68</v>
      </c>
      <c r="AN130" s="4" t="s">
        <v>69</v>
      </c>
      <c r="AO130" s="4" t="s">
        <v>70</v>
      </c>
      <c r="AP130" s="4" t="s">
        <v>71</v>
      </c>
      <c r="AQ130" s="4" t="s">
        <v>72</v>
      </c>
      <c r="AR130" s="4" t="s">
        <v>90</v>
      </c>
      <c r="AS130" s="4" t="s">
        <v>91</v>
      </c>
      <c r="AT130" s="0" t="n">
        <v>0.05</v>
      </c>
      <c r="AU130" s="4" t="s">
        <v>61</v>
      </c>
      <c r="AV130" s="4" t="s">
        <v>142</v>
      </c>
    </row>
    <row r="131" customFormat="false" ht="15" hidden="false" customHeight="false" outlineLevel="0" collapsed="false">
      <c r="A131" s="0" t="s">
        <v>649</v>
      </c>
      <c r="B131" s="3" t="n">
        <f aca="false">IF(AJ131="","",IF(ISNUMBER(SEARCH("/",AJ131)),DATE(VALUE(RIGHT(AJ131,4)),VALUE(LEFT(AJ131,2)),VALUE(MID(AJ131,4,2))),IF(ISNUMBER(SEARCH("-",AJ131)),IF(LEN(LEFT(AJ131,FIND("-",AJ131)-1))=4,DATE(VALUE(LEFT(AJ131,4)),VALUE(MID(AJ131,6,2)),VALUE(RIGHT(AJ131,2))),DATE(VALUE(RIGHT(AJ131,4)),VALUE(MID(AJ131,4,2)),VALUE(LEFT(AJ131,2)))),DATE(VALUE(RIGHT(AJ131,4)),MATCH(MID(AJ131,4,3),{"Jan","Feb","Mar","Apr","May","Jun","Jul","Aug","Sep","Oct","Nov","Dec"},0),VALUE(LEFT(AJ131,2))))))</f>
        <v>45492</v>
      </c>
      <c r="C131" s="3" t="n">
        <f aca="false">IF(AK131="","",IF(ISNUMBER(SEARCH("/",AK131)),DATE(VALUE(RIGHT(AK131,4)),VALUE(LEFT(AK131,2)),VALUE(MID(AK131,4,2))),IF(ISNUMBER(SEARCH("-",AK131)),IF(LEN(LEFT(AK131,FIND("-",AK131)-1))=4,DATE(VALUE(LEFT(AK131,4)),VALUE(MID(AK131,6,2)),VALUE(RIGHT(AK131,2))),DATE(VALUE(RIGHT(AK131,4)),VALUE(MID(AK131,4,2)),VALUE(LEFT(AK131,2)))),DATE(VALUE(RIGHT(AK131,4)),MATCH(MID(AK131,4,3),{"Jan","Feb","Mar","Apr","May","Jun","Jul","Aug","Sep","Oct","Nov","Dec"},0),VALUE(LEFT(AK131,2))))))</f>
        <v>45498</v>
      </c>
      <c r="D131" s="4" t="s">
        <v>650</v>
      </c>
      <c r="E131" s="0" t="str">
        <f aca="false">PROPER(TRIM(AL131))</f>
        <v>Isha Nair</v>
      </c>
      <c r="F131" s="0" t="str">
        <f aca="false">PROPER(TRIM(AM131))</f>
        <v>Small Business</v>
      </c>
      <c r="G131" s="0" t="str">
        <f aca="false">IF(TRIM(AN131)="","Unknown",PROPER(TRIM(AN131)))</f>
        <v>West</v>
      </c>
      <c r="H131" s="0" t="str">
        <f aca="false">PROPER(TRIM(AO131))</f>
        <v>Goa</v>
      </c>
      <c r="I131" s="0" t="str">
        <f aca="false">PROPER(TRIM(AP131))</f>
        <v>Panaji</v>
      </c>
      <c r="J131" s="0" t="str">
        <f aca="false">PROPER(TRIM(AQ131))</f>
        <v>Office Supplies</v>
      </c>
      <c r="K131" s="0" t="str">
        <f aca="false">PROPER(TRIM(AR131))</f>
        <v>Binders</v>
      </c>
      <c r="M131" s="0" t="str">
        <f aca="false">IF(TRIM(AS131)="","Unknown",PROPER(TRIM(AS131)))</f>
        <v>Standard Class</v>
      </c>
      <c r="N131" s="0" t="n">
        <v>7</v>
      </c>
      <c r="O131" s="0" t="n">
        <v>2741.29</v>
      </c>
      <c r="P131" s="5" t="n">
        <f aca="false">IF(AT131="","",IF(ISNUMBER(AT131),AT131,VALUE(SUBSTITUTE(AT131,"%",""))/100))</f>
        <v>0.05</v>
      </c>
      <c r="Q131" s="5" t="n">
        <f aca="false">IF(P131="",IF(AND(N131&lt;&gt;"",O131&lt;&gt;"",R131&lt;&gt;"",S131&lt;&gt;""),0,"REVIEW"),IF(OR(P131&lt;0,P131&gt;0.3),0,P131))</f>
        <v>0.05</v>
      </c>
      <c r="R131" s="0" t="n">
        <v>18229.58</v>
      </c>
      <c r="S131" s="0" t="n">
        <v>15139.15</v>
      </c>
      <c r="T131" s="6" t="n">
        <f aca="false">N131*O131*(1-Q131)</f>
        <v>18229.5785</v>
      </c>
      <c r="U131" s="6" t="n">
        <f aca="false">T131-S131</f>
        <v>3090.4285</v>
      </c>
      <c r="V131" s="7" t="n">
        <f aca="false">IF(T131=0,0,U131/T131)</f>
        <v>0.169528247732113</v>
      </c>
      <c r="W131" s="4" t="n">
        <f aca="false">C131-B131</f>
        <v>6</v>
      </c>
      <c r="X131" s="0" t="str">
        <f aca="false">TEXT(B131,"mmmm")</f>
        <v>July</v>
      </c>
      <c r="Y131" s="4" t="n">
        <f aca="false">YEAR(B131)</f>
        <v>2024</v>
      </c>
      <c r="Z131" s="0" t="str">
        <f aca="false">PROPER(TRIM(AU131))</f>
        <v>Paid</v>
      </c>
      <c r="AA131" s="0" t="str">
        <f aca="false">PROPER(TRIM(AV131))</f>
        <v>Completed</v>
      </c>
      <c r="AB131" s="0" t="str">
        <f aca="false">IF(TRIM(AN131)="","Yes","No")</f>
        <v>No</v>
      </c>
      <c r="AC131" s="0" t="str">
        <f aca="false">IF(TRIM(AS131)="","Yes","No")</f>
        <v>No</v>
      </c>
      <c r="AD131" s="0" t="str">
        <f aca="false">IF(AT131="","Yes","No")</f>
        <v>No</v>
      </c>
      <c r="AE131" s="0" t="str">
        <f aca="false">IF(W131&lt;0,"Yes","No")</f>
        <v>No</v>
      </c>
      <c r="AF131" s="0" t="str">
        <f aca="false">IF(P131="","No",IF(OR(P131&lt;0,P131&gt;0.3),"Yes","No"))</f>
        <v>No</v>
      </c>
      <c r="AG131" s="4" t="s">
        <v>50</v>
      </c>
      <c r="AH131" s="0" t="str">
        <f aca="false">IF(AND(AA131="Completed",Z131="Paid"),"Yes","No")</f>
        <v>Yes</v>
      </c>
      <c r="AI131" s="0" t="str">
        <f aca="false">IF(OR(AE131="Yes",AF131="Yes",AG131="Yes"),"Invalid",IF(OR(AB131="Yes",AC131="Yes",AD131="Yes"),"Warning","Clean"))</f>
        <v>Clean</v>
      </c>
      <c r="AJ131" s="4" t="s">
        <v>380</v>
      </c>
      <c r="AK131" s="4" t="s">
        <v>651</v>
      </c>
      <c r="AL131" s="4" t="s">
        <v>79</v>
      </c>
      <c r="AM131" s="4" t="s">
        <v>68</v>
      </c>
      <c r="AN131" s="4" t="s">
        <v>97</v>
      </c>
      <c r="AO131" s="4" t="s">
        <v>250</v>
      </c>
      <c r="AP131" s="4" t="s">
        <v>251</v>
      </c>
      <c r="AQ131" s="4" t="s">
        <v>58</v>
      </c>
      <c r="AR131" s="4" t="s">
        <v>206</v>
      </c>
      <c r="AS131" s="4" t="s">
        <v>91</v>
      </c>
      <c r="AT131" s="0" t="n">
        <v>0.05</v>
      </c>
      <c r="AU131" s="4" t="s">
        <v>61</v>
      </c>
      <c r="AV131" s="4" t="s">
        <v>62</v>
      </c>
    </row>
    <row r="132" customFormat="false" ht="15" hidden="false" customHeight="false" outlineLevel="0" collapsed="false">
      <c r="A132" s="0" t="s">
        <v>652</v>
      </c>
      <c r="B132" s="3" t="n">
        <f aca="false">IF(AJ132="","",IF(ISNUMBER(SEARCH("/",AJ132)),DATE(VALUE(RIGHT(AJ132,4)),VALUE(LEFT(AJ132,2)),VALUE(MID(AJ132,4,2))),IF(ISNUMBER(SEARCH("-",AJ132)),IF(LEN(LEFT(AJ132,FIND("-",AJ132)-1))=4,DATE(VALUE(LEFT(AJ132,4)),VALUE(MID(AJ132,6,2)),VALUE(RIGHT(AJ132,2))),DATE(VALUE(RIGHT(AJ132,4)),VALUE(MID(AJ132,4,2)),VALUE(LEFT(AJ132,2)))),DATE(VALUE(RIGHT(AJ132,4)),MATCH(MID(AJ132,4,3),{"Jan","Feb","Mar","Apr","May","Jun","Jul","Aug","Sep","Oct","Nov","Dec"},0),VALUE(LEFT(AJ132,2))))))</f>
        <v>45318</v>
      </c>
      <c r="C132" s="3" t="n">
        <f aca="false">IF(AK132="","",IF(ISNUMBER(SEARCH("/",AK132)),DATE(VALUE(RIGHT(AK132,4)),VALUE(LEFT(AK132,2)),VALUE(MID(AK132,4,2))),IF(ISNUMBER(SEARCH("-",AK132)),IF(LEN(LEFT(AK132,FIND("-",AK132)-1))=4,DATE(VALUE(LEFT(AK132,4)),VALUE(MID(AK132,6,2)),VALUE(RIGHT(AK132,2))),DATE(VALUE(RIGHT(AK132,4)),VALUE(MID(AK132,4,2)),VALUE(LEFT(AK132,2)))),DATE(VALUE(RIGHT(AK132,4)),MATCH(MID(AK132,4,3),{"Jan","Feb","Mar","Apr","May","Jun","Jul","Aug","Sep","Oct","Nov","Dec"},0),VALUE(LEFT(AK132,2))))))</f>
        <v>45324</v>
      </c>
      <c r="D132" s="4" t="s">
        <v>653</v>
      </c>
      <c r="E132" s="0" t="str">
        <f aca="false">PROPER(TRIM(AL132))</f>
        <v>Arjun Bose</v>
      </c>
      <c r="F132" s="0" t="str">
        <f aca="false">PROPER(TRIM(AM132))</f>
        <v>Consumer</v>
      </c>
      <c r="G132" s="0" t="str">
        <f aca="false">IF(TRIM(AN132)="","Unknown",PROPER(TRIM(AN132)))</f>
        <v>West</v>
      </c>
      <c r="H132" s="0" t="str">
        <f aca="false">PROPER(TRIM(AO132))</f>
        <v>Gujarat</v>
      </c>
      <c r="I132" s="0" t="str">
        <f aca="false">PROPER(TRIM(AP132))</f>
        <v>Ahmedabad</v>
      </c>
      <c r="J132" s="0" t="str">
        <f aca="false">PROPER(TRIM(AQ132))</f>
        <v>Office Supplies</v>
      </c>
      <c r="K132" s="0" t="str">
        <f aca="false">PROPER(TRIM(AR132))</f>
        <v>Labels</v>
      </c>
      <c r="M132" s="0" t="str">
        <f aca="false">IF(TRIM(AS132)="","Unknown",PROPER(TRIM(AS132)))</f>
        <v>Same Day</v>
      </c>
      <c r="N132" s="0" t="n">
        <v>5</v>
      </c>
      <c r="O132" s="0" t="n">
        <v>218.42</v>
      </c>
      <c r="P132" s="5" t="n">
        <f aca="false">IF(AT132="","",IF(ISNUMBER(AT132),AT132,VALUE(SUBSTITUTE(AT132,"%",""))/100))</f>
        <v>0.2</v>
      </c>
      <c r="Q132" s="5" t="n">
        <f aca="false">IF(P132="",IF(AND(N132&lt;&gt;"",O132&lt;&gt;"",R132&lt;&gt;"",S132&lt;&gt;""),0,"REVIEW"),IF(OR(P132&lt;0,P132&gt;0.3),0,P132))</f>
        <v>0.2</v>
      </c>
      <c r="R132" s="0" t="n">
        <v>873.68</v>
      </c>
      <c r="S132" s="0" t="n">
        <v>661.72</v>
      </c>
      <c r="T132" s="6" t="n">
        <f aca="false">N132*O132*(1-Q132)</f>
        <v>873.68</v>
      </c>
      <c r="U132" s="6" t="n">
        <f aca="false">T132-S132</f>
        <v>211.96</v>
      </c>
      <c r="V132" s="7" t="n">
        <f aca="false">IF(T132=0,0,U132/T132)</f>
        <v>0.242605988462595</v>
      </c>
      <c r="W132" s="4" t="n">
        <f aca="false">C132-B132</f>
        <v>6</v>
      </c>
      <c r="X132" s="0" t="str">
        <f aca="false">TEXT(B132,"mmmm")</f>
        <v>January</v>
      </c>
      <c r="Y132" s="4" t="n">
        <f aca="false">YEAR(B132)</f>
        <v>2024</v>
      </c>
      <c r="Z132" s="0" t="str">
        <f aca="false">PROPER(TRIM(AU132))</f>
        <v>Pending</v>
      </c>
      <c r="AA132" s="0" t="str">
        <f aca="false">PROPER(TRIM(AV132))</f>
        <v>Cancelled</v>
      </c>
      <c r="AB132" s="0" t="str">
        <f aca="false">IF(TRIM(AN132)="","Yes","No")</f>
        <v>No</v>
      </c>
      <c r="AC132" s="0" t="str">
        <f aca="false">IF(TRIM(AS132)="","Yes","No")</f>
        <v>No</v>
      </c>
      <c r="AD132" s="0" t="str">
        <f aca="false">IF(AT132="","Yes","No")</f>
        <v>No</v>
      </c>
      <c r="AE132" s="0" t="str">
        <f aca="false">IF(W132&lt;0,"Yes","No")</f>
        <v>No</v>
      </c>
      <c r="AF132" s="0" t="str">
        <f aca="false">IF(P132="","No",IF(OR(P132&lt;0,P132&gt;0.3),"Yes","No"))</f>
        <v>No</v>
      </c>
      <c r="AG132" s="4" t="s">
        <v>50</v>
      </c>
      <c r="AH132" s="0" t="str">
        <f aca="false">IF(AND(AA132="Completed",Z132="Paid"),"Yes","No")</f>
        <v>No</v>
      </c>
      <c r="AI132" s="0" t="str">
        <f aca="false">IF(OR(AE132="Yes",AF132="Yes",AG132="Yes"),"Invalid",IF(OR(AB132="Yes",AC132="Yes",AD132="Yes"),"Warning","Clean"))</f>
        <v>Clean</v>
      </c>
      <c r="AJ132" s="4" t="s">
        <v>654</v>
      </c>
      <c r="AK132" s="4" t="s">
        <v>655</v>
      </c>
      <c r="AL132" s="4" t="s">
        <v>86</v>
      </c>
      <c r="AM132" s="4" t="s">
        <v>54</v>
      </c>
      <c r="AN132" s="4" t="s">
        <v>97</v>
      </c>
      <c r="AO132" s="4" t="s">
        <v>238</v>
      </c>
      <c r="AP132" s="4" t="s">
        <v>239</v>
      </c>
      <c r="AQ132" s="4" t="s">
        <v>58</v>
      </c>
      <c r="AR132" s="4" t="s">
        <v>129</v>
      </c>
      <c r="AS132" s="4" t="s">
        <v>74</v>
      </c>
      <c r="AT132" s="0" t="n">
        <v>0.2</v>
      </c>
      <c r="AU132" s="4" t="s">
        <v>153</v>
      </c>
      <c r="AV132" s="4" t="s">
        <v>101</v>
      </c>
    </row>
    <row r="133" customFormat="false" ht="15" hidden="false" customHeight="false" outlineLevel="0" collapsed="false">
      <c r="A133" s="0" t="s">
        <v>656</v>
      </c>
      <c r="B133" s="3" t="n">
        <f aca="false">IF(AJ133="","",IF(ISNUMBER(SEARCH("/",AJ133)),DATE(VALUE(RIGHT(AJ133,4)),VALUE(LEFT(AJ133,2)),VALUE(MID(AJ133,4,2))),IF(ISNUMBER(SEARCH("-",AJ133)),IF(LEN(LEFT(AJ133,FIND("-",AJ133)-1))=4,DATE(VALUE(LEFT(AJ133,4)),VALUE(MID(AJ133,6,2)),VALUE(RIGHT(AJ133,2))),DATE(VALUE(RIGHT(AJ133,4)),VALUE(MID(AJ133,4,2)),VALUE(LEFT(AJ133,2)))),DATE(VALUE(RIGHT(AJ133,4)),MATCH(MID(AJ133,4,3),{"Jan","Feb","Mar","Apr","May","Jun","Jul","Aug","Sep","Oct","Nov","Dec"},0),VALUE(LEFT(AJ133,2))))))</f>
        <v>45929</v>
      </c>
      <c r="C133" s="3" t="n">
        <f aca="false">IF(AK133="","",IF(ISNUMBER(SEARCH("/",AK133)),DATE(VALUE(RIGHT(AK133,4)),VALUE(LEFT(AK133,2)),VALUE(MID(AK133,4,2))),IF(ISNUMBER(SEARCH("-",AK133)),IF(LEN(LEFT(AK133,FIND("-",AK133)-1))=4,DATE(VALUE(LEFT(AK133,4)),VALUE(MID(AK133,6,2)),VALUE(RIGHT(AK133,2))),DATE(VALUE(RIGHT(AK133,4)),VALUE(MID(AK133,4,2)),VALUE(LEFT(AK133,2)))),DATE(VALUE(RIGHT(AK133,4)),MATCH(MID(AK133,4,3),{"Jan","Feb","Mar","Apr","May","Jun","Jul","Aug","Sep","Oct","Nov","Dec"},0),VALUE(LEFT(AK133,2))))))</f>
        <v>45934</v>
      </c>
      <c r="D133" s="4" t="s">
        <v>657</v>
      </c>
      <c r="E133" s="0" t="str">
        <f aca="false">PROPER(TRIM(AL133))</f>
        <v>Ananya Rao</v>
      </c>
      <c r="F133" s="0" t="str">
        <f aca="false">PROPER(TRIM(AM133))</f>
        <v>Home Office</v>
      </c>
      <c r="G133" s="0" t="str">
        <f aca="false">IF(TRIM(AN133)="","Unknown",PROPER(TRIM(AN133)))</f>
        <v>East</v>
      </c>
      <c r="H133" s="0" t="str">
        <f aca="false">PROPER(TRIM(AO133))</f>
        <v>Jharkhand</v>
      </c>
      <c r="I133" s="0" t="str">
        <f aca="false">PROPER(TRIM(AP133))</f>
        <v>Ranchi</v>
      </c>
      <c r="J133" s="0" t="str">
        <f aca="false">PROPER(TRIM(AQ133))</f>
        <v>Office Supplies</v>
      </c>
      <c r="K133" s="0" t="str">
        <f aca="false">PROPER(TRIM(AR133))</f>
        <v>Paper</v>
      </c>
      <c r="M133" s="0" t="str">
        <f aca="false">IF(TRIM(AS133)="","Unknown",PROPER(TRIM(AS133)))</f>
        <v>Same Day</v>
      </c>
      <c r="N133" s="0" t="n">
        <v>9</v>
      </c>
      <c r="O133" s="0" t="n">
        <v>373.91</v>
      </c>
      <c r="P133" s="5" t="n">
        <f aca="false">IF(AT133="","",IF(ISNUMBER(AT133),AT133,VALUE(SUBSTITUTE(AT133,"%",""))/100))</f>
        <v>0.2</v>
      </c>
      <c r="Q133" s="5" t="n">
        <f aca="false">IF(P133="",IF(AND(N133&lt;&gt;"",O133&lt;&gt;"",R133&lt;&gt;"",S133&lt;&gt;""),0,"REVIEW"),IF(OR(P133&lt;0,P133&gt;0.3),0,P133))</f>
        <v>0.2</v>
      </c>
      <c r="R133" s="0" t="n">
        <v>2692.15</v>
      </c>
      <c r="S133" s="0" t="n">
        <v>2044.49</v>
      </c>
      <c r="T133" s="6" t="n">
        <f aca="false">N133*O133*(1-Q133)</f>
        <v>2692.152</v>
      </c>
      <c r="U133" s="6" t="n">
        <f aca="false">T133-S133</f>
        <v>647.662</v>
      </c>
      <c r="V133" s="7" t="n">
        <f aca="false">IF(T133=0,0,U133/T133)</f>
        <v>0.240574083484142</v>
      </c>
      <c r="W133" s="4" t="n">
        <f aca="false">C133-B133</f>
        <v>5</v>
      </c>
      <c r="X133" s="0" t="str">
        <f aca="false">TEXT(B133,"mmmm")</f>
        <v>September</v>
      </c>
      <c r="Y133" s="4" t="n">
        <f aca="false">YEAR(B133)</f>
        <v>2025</v>
      </c>
      <c r="Z133" s="0" t="str">
        <f aca="false">PROPER(TRIM(AU133))</f>
        <v>Paid</v>
      </c>
      <c r="AA133" s="0" t="str">
        <f aca="false">PROPER(TRIM(AV133))</f>
        <v>Completed</v>
      </c>
      <c r="AB133" s="0" t="str">
        <f aca="false">IF(TRIM(AN133)="","Yes","No")</f>
        <v>No</v>
      </c>
      <c r="AC133" s="0" t="str">
        <f aca="false">IF(TRIM(AS133)="","Yes","No")</f>
        <v>No</v>
      </c>
      <c r="AD133" s="0" t="str">
        <f aca="false">IF(AT133="","Yes","No")</f>
        <v>No</v>
      </c>
      <c r="AE133" s="0" t="str">
        <f aca="false">IF(W133&lt;0,"Yes","No")</f>
        <v>No</v>
      </c>
      <c r="AF133" s="0" t="str">
        <f aca="false">IF(P133="","No",IF(OR(P133&lt;0,P133&gt;0.3),"Yes","No"))</f>
        <v>No</v>
      </c>
      <c r="AG133" s="4" t="s">
        <v>50</v>
      </c>
      <c r="AH133" s="0" t="str">
        <f aca="false">IF(AND(AA133="Completed",Z133="Paid"),"Yes","No")</f>
        <v>Yes</v>
      </c>
      <c r="AI133" s="0" t="str">
        <f aca="false">IF(OR(AE133="Yes",AF133="Yes",AG133="Yes"),"Invalid",IF(OR(AB133="Yes",AC133="Yes",AD133="Yes"),"Warning","Clean"))</f>
        <v>Clean</v>
      </c>
      <c r="AJ133" s="4" t="s">
        <v>658</v>
      </c>
      <c r="AK133" s="4" t="s">
        <v>659</v>
      </c>
      <c r="AL133" s="4" t="s">
        <v>96</v>
      </c>
      <c r="AM133" s="4" t="s">
        <v>134</v>
      </c>
      <c r="AN133" s="4" t="s">
        <v>69</v>
      </c>
      <c r="AO133" s="4" t="s">
        <v>300</v>
      </c>
      <c r="AP133" s="4" t="s">
        <v>301</v>
      </c>
      <c r="AQ133" s="4" t="s">
        <v>58</v>
      </c>
      <c r="AR133" s="4" t="s">
        <v>59</v>
      </c>
      <c r="AS133" s="4" t="s">
        <v>74</v>
      </c>
      <c r="AT133" s="0" t="n">
        <v>0.2</v>
      </c>
      <c r="AU133" s="4" t="s">
        <v>61</v>
      </c>
      <c r="AV133" s="4" t="s">
        <v>62</v>
      </c>
    </row>
    <row r="134" customFormat="false" ht="15" hidden="false" customHeight="false" outlineLevel="0" collapsed="false">
      <c r="A134" s="0" t="s">
        <v>660</v>
      </c>
      <c r="B134" s="3" t="n">
        <f aca="false">IF(AJ134="","",IF(ISNUMBER(SEARCH("/",AJ134)),DATE(VALUE(RIGHT(AJ134,4)),VALUE(LEFT(AJ134,2)),VALUE(MID(AJ134,4,2))),IF(ISNUMBER(SEARCH("-",AJ134)),IF(LEN(LEFT(AJ134,FIND("-",AJ134)-1))=4,DATE(VALUE(LEFT(AJ134,4)),VALUE(MID(AJ134,6,2)),VALUE(RIGHT(AJ134,2))),DATE(VALUE(RIGHT(AJ134,4)),VALUE(MID(AJ134,4,2)),VALUE(LEFT(AJ134,2)))),DATE(VALUE(RIGHT(AJ134,4)),MATCH(MID(AJ134,4,3),{"Jan","Feb","Mar","Apr","May","Jun","Jul","Aug","Sep","Oct","Nov","Dec"},0),VALUE(LEFT(AJ134,2))))))</f>
        <v>45600</v>
      </c>
      <c r="C134" s="3" t="n">
        <f aca="false">IF(AK134="","",IF(ISNUMBER(SEARCH("/",AK134)),DATE(VALUE(RIGHT(AK134,4)),VALUE(LEFT(AK134,2)),VALUE(MID(AK134,4,2))),IF(ISNUMBER(SEARCH("-",AK134)),IF(LEN(LEFT(AK134,FIND("-",AK134)-1))=4,DATE(VALUE(LEFT(AK134,4)),VALUE(MID(AK134,6,2)),VALUE(RIGHT(AK134,2))),DATE(VALUE(RIGHT(AK134,4)),VALUE(MID(AK134,4,2)),VALUE(LEFT(AK134,2)))),DATE(VALUE(RIGHT(AK134,4)),MATCH(MID(AK134,4,3),{"Jan","Feb","Mar","Apr","May","Jun","Jul","Aug","Sep","Oct","Nov","Dec"},0),VALUE(LEFT(AK134,2))))))</f>
        <v>45600</v>
      </c>
      <c r="D134" s="4" t="s">
        <v>661</v>
      </c>
      <c r="E134" s="0" t="str">
        <f aca="false">PROPER(TRIM(AL134))</f>
        <v>Kabir Singh</v>
      </c>
      <c r="F134" s="0" t="str">
        <f aca="false">PROPER(TRIM(AM134))</f>
        <v>Corporate</v>
      </c>
      <c r="G134" s="0" t="str">
        <f aca="false">IF(TRIM(AN134)="","Unknown",PROPER(TRIM(AN134)))</f>
        <v>East</v>
      </c>
      <c r="H134" s="0" t="str">
        <f aca="false">PROPER(TRIM(AO134))</f>
        <v>Assam</v>
      </c>
      <c r="I134" s="0" t="str">
        <f aca="false">PROPER(TRIM(AP134))</f>
        <v>Guwahati</v>
      </c>
      <c r="J134" s="0" t="str">
        <f aca="false">PROPER(TRIM(AQ134))</f>
        <v>Technology</v>
      </c>
      <c r="K134" s="0" t="str">
        <f aca="false">PROPER(TRIM(AR134))</f>
        <v>Machines</v>
      </c>
      <c r="M134" s="0" t="str">
        <f aca="false">IF(TRIM(AS134)="","Unknown",PROPER(TRIM(AS134)))</f>
        <v>First Class</v>
      </c>
      <c r="N134" s="0" t="n">
        <v>2</v>
      </c>
      <c r="O134" s="0" t="n">
        <v>533.08</v>
      </c>
      <c r="P134" s="5" t="n">
        <f aca="false">IF(AT134="","",IF(ISNUMBER(AT134),AT134,VALUE(SUBSTITUTE(AT134,"%",""))/100))</f>
        <v>0</v>
      </c>
      <c r="Q134" s="5" t="n">
        <f aca="false">IF(P134="",IF(AND(N134&lt;&gt;"",O134&lt;&gt;"",R134&lt;&gt;"",S134&lt;&gt;""),0,"REVIEW"),IF(OR(P134&lt;0,P134&gt;0.3),0,P134))</f>
        <v>0</v>
      </c>
      <c r="R134" s="0" t="n">
        <v>1066.16</v>
      </c>
      <c r="S134" s="0" t="n">
        <v>656.3</v>
      </c>
      <c r="T134" s="6" t="n">
        <f aca="false">N134*O134*(1-Q134)</f>
        <v>1066.16</v>
      </c>
      <c r="U134" s="6" t="n">
        <f aca="false">T134-S134</f>
        <v>409.86</v>
      </c>
      <c r="V134" s="7" t="n">
        <f aca="false">IF(T134=0,0,U134/T134)</f>
        <v>0.384426352517446</v>
      </c>
      <c r="W134" s="4" t="n">
        <f aca="false">C134-B134</f>
        <v>0</v>
      </c>
      <c r="X134" s="0" t="str">
        <f aca="false">TEXT(B134,"mmmm")</f>
        <v>November</v>
      </c>
      <c r="Y134" s="4" t="n">
        <f aca="false">YEAR(B134)</f>
        <v>2024</v>
      </c>
      <c r="Z134" s="0" t="str">
        <f aca="false">PROPER(TRIM(AU134))</f>
        <v>Failed</v>
      </c>
      <c r="AA134" s="0" t="str">
        <f aca="false">PROPER(TRIM(AV134))</f>
        <v>Cancelled</v>
      </c>
      <c r="AB134" s="0" t="str">
        <f aca="false">IF(TRIM(AN134)="","Yes","No")</f>
        <v>No</v>
      </c>
      <c r="AC134" s="0" t="str">
        <f aca="false">IF(TRIM(AS134)="","Yes","No")</f>
        <v>No</v>
      </c>
      <c r="AD134" s="0" t="str">
        <f aca="false">IF(AT134="","Yes","No")</f>
        <v>No</v>
      </c>
      <c r="AE134" s="0" t="str">
        <f aca="false">IF(W134&lt;0,"Yes","No")</f>
        <v>No</v>
      </c>
      <c r="AF134" s="0" t="str">
        <f aca="false">IF(P134="","No",IF(OR(P134&lt;0,P134&gt;0.3),"Yes","No"))</f>
        <v>No</v>
      </c>
      <c r="AG134" s="4" t="s">
        <v>50</v>
      </c>
      <c r="AH134" s="0" t="str">
        <f aca="false">IF(AND(AA134="Completed",Z134="Paid"),"Yes","No")</f>
        <v>No</v>
      </c>
      <c r="AI134" s="0" t="str">
        <f aca="false">IF(OR(AE134="Yes",AF134="Yes",AG134="Yes"),"Invalid",IF(OR(AB134="Yes",AC134="Yes",AD134="Yes"),"Warning","Clean"))</f>
        <v>Clean</v>
      </c>
      <c r="AJ134" s="4" t="s">
        <v>662</v>
      </c>
      <c r="AK134" s="4" t="s">
        <v>662</v>
      </c>
      <c r="AL134" s="4" t="s">
        <v>347</v>
      </c>
      <c r="AM134" s="4" t="s">
        <v>128</v>
      </c>
      <c r="AN134" s="4" t="s">
        <v>69</v>
      </c>
      <c r="AO134" s="4" t="s">
        <v>221</v>
      </c>
      <c r="AP134" s="4" t="s">
        <v>222</v>
      </c>
      <c r="AQ134" s="4" t="s">
        <v>109</v>
      </c>
      <c r="AR134" s="4" t="s">
        <v>360</v>
      </c>
      <c r="AS134" s="4" t="s">
        <v>81</v>
      </c>
      <c r="AT134" s="0" t="n">
        <v>0</v>
      </c>
      <c r="AU134" s="4" t="s">
        <v>207</v>
      </c>
      <c r="AV134" s="4" t="s">
        <v>101</v>
      </c>
    </row>
    <row r="135" customFormat="false" ht="15" hidden="false" customHeight="false" outlineLevel="0" collapsed="false">
      <c r="A135" s="0" t="s">
        <v>663</v>
      </c>
      <c r="B135" s="3" t="n">
        <f aca="false">IF(AJ135="","",IF(ISNUMBER(SEARCH("/",AJ135)),DATE(VALUE(RIGHT(AJ135,4)),VALUE(LEFT(AJ135,2)),VALUE(MID(AJ135,4,2))),IF(ISNUMBER(SEARCH("-",AJ135)),IF(LEN(LEFT(AJ135,FIND("-",AJ135)-1))=4,DATE(VALUE(LEFT(AJ135,4)),VALUE(MID(AJ135,6,2)),VALUE(RIGHT(AJ135,2))),DATE(VALUE(RIGHT(AJ135,4)),VALUE(MID(AJ135,4,2)),VALUE(LEFT(AJ135,2)))),DATE(VALUE(RIGHT(AJ135,4)),MATCH(MID(AJ135,4,3),{"Jan","Feb","Mar","Apr","May","Jun","Jul","Aug","Sep","Oct","Nov","Dec"},0),VALUE(LEFT(AJ135,2))))))</f>
        <v>45639</v>
      </c>
      <c r="C135" s="3" t="n">
        <f aca="false">IF(AK135="","",IF(ISNUMBER(SEARCH("/",AK135)),DATE(VALUE(RIGHT(AK135,4)),VALUE(LEFT(AK135,2)),VALUE(MID(AK135,4,2))),IF(ISNUMBER(SEARCH("-",AK135)),IF(LEN(LEFT(AK135,FIND("-",AK135)-1))=4,DATE(VALUE(LEFT(AK135,4)),VALUE(MID(AK135,6,2)),VALUE(RIGHT(AK135,2))),DATE(VALUE(RIGHT(AK135,4)),VALUE(MID(AK135,4,2)),VALUE(LEFT(AK135,2)))),DATE(VALUE(RIGHT(AK135,4)),MATCH(MID(AK135,4,3),{"Jan","Feb","Mar","Apr","May","Jun","Jul","Aug","Sep","Oct","Nov","Dec"},0),VALUE(LEFT(AK135,2))))))</f>
        <v>45644</v>
      </c>
      <c r="D135" s="4" t="s">
        <v>664</v>
      </c>
      <c r="E135" s="0" t="str">
        <f aca="false">PROPER(TRIM(AL135))</f>
        <v>Karan Malhotra</v>
      </c>
      <c r="F135" s="0" t="str">
        <f aca="false">PROPER(TRIM(AM135))</f>
        <v>Consumer</v>
      </c>
      <c r="G135" s="0" t="str">
        <f aca="false">IF(TRIM(AN135)="","Unknown",PROPER(TRIM(AN135)))</f>
        <v>West</v>
      </c>
      <c r="H135" s="0" t="str">
        <f aca="false">PROPER(TRIM(AO135))</f>
        <v>Goa</v>
      </c>
      <c r="I135" s="0" t="str">
        <f aca="false">PROPER(TRIM(AP135))</f>
        <v>Panaji</v>
      </c>
      <c r="J135" s="0" t="str">
        <f aca="false">PROPER(TRIM(AQ135))</f>
        <v>Technology</v>
      </c>
      <c r="K135" s="0" t="str">
        <f aca="false">PROPER(TRIM(AR135))</f>
        <v>Phones</v>
      </c>
      <c r="M135" s="0" t="str">
        <f aca="false">IF(TRIM(AS135)="","Unknown",PROPER(TRIM(AS135)))</f>
        <v>Second Class</v>
      </c>
      <c r="N135" s="0" t="n">
        <v>8</v>
      </c>
      <c r="O135" s="0" t="n">
        <v>3372.15</v>
      </c>
      <c r="P135" s="5" t="n">
        <f aca="false">IF(AT135="","",IF(ISNUMBER(AT135),AT135,VALUE(SUBSTITUTE(AT135,"%",""))/100))</f>
        <v>0.15</v>
      </c>
      <c r="Q135" s="5" t="n">
        <f aca="false">IF(P135="",IF(AND(N135&lt;&gt;"",O135&lt;&gt;"",R135&lt;&gt;"",S135&lt;&gt;""),0,"REVIEW"),IF(OR(P135&lt;0,P135&gt;0.3),0,P135))</f>
        <v>0.15</v>
      </c>
      <c r="R135" s="0" t="n">
        <v>22930.62</v>
      </c>
      <c r="S135" s="0" t="n">
        <v>16875.55</v>
      </c>
      <c r="T135" s="6" t="n">
        <f aca="false">N135*O135*(1-Q135)</f>
        <v>22930.62</v>
      </c>
      <c r="U135" s="6" t="n">
        <f aca="false">T135-S135</f>
        <v>6055.07</v>
      </c>
      <c r="V135" s="7" t="n">
        <f aca="false">IF(T135=0,0,U135/T135)</f>
        <v>0.264060457152925</v>
      </c>
      <c r="W135" s="4" t="n">
        <f aca="false">C135-B135</f>
        <v>5</v>
      </c>
      <c r="X135" s="0" t="str">
        <f aca="false">TEXT(B135,"mmmm")</f>
        <v>December</v>
      </c>
      <c r="Y135" s="4" t="n">
        <f aca="false">YEAR(B135)</f>
        <v>2024</v>
      </c>
      <c r="Z135" s="0" t="str">
        <f aca="false">PROPER(TRIM(AU135))</f>
        <v>Paid</v>
      </c>
      <c r="AA135" s="0" t="str">
        <f aca="false">PROPER(TRIM(AV135))</f>
        <v>Completed</v>
      </c>
      <c r="AB135" s="0" t="str">
        <f aca="false">IF(TRIM(AN135)="","Yes","No")</f>
        <v>No</v>
      </c>
      <c r="AC135" s="0" t="str">
        <f aca="false">IF(TRIM(AS135)="","Yes","No")</f>
        <v>No</v>
      </c>
      <c r="AD135" s="0" t="str">
        <f aca="false">IF(AT135="","Yes","No")</f>
        <v>No</v>
      </c>
      <c r="AE135" s="0" t="str">
        <f aca="false">IF(W135&lt;0,"Yes","No")</f>
        <v>No</v>
      </c>
      <c r="AF135" s="0" t="str">
        <f aca="false">IF(P135="","No",IF(OR(P135&lt;0,P135&gt;0.3),"Yes","No"))</f>
        <v>No</v>
      </c>
      <c r="AG135" s="4" t="s">
        <v>50</v>
      </c>
      <c r="AH135" s="0" t="str">
        <f aca="false">IF(AND(AA135="Completed",Z135="Paid"),"Yes","No")</f>
        <v>Yes</v>
      </c>
      <c r="AI135" s="0" t="str">
        <f aca="false">IF(OR(AE135="Yes",AF135="Yes",AG135="Yes"),"Invalid",IF(OR(AB135="Yes",AC135="Yes",AD135="Yes"),"Warning","Clean"))</f>
        <v>Clean</v>
      </c>
      <c r="AJ135" s="4" t="s">
        <v>665</v>
      </c>
      <c r="AK135" s="4" t="s">
        <v>666</v>
      </c>
      <c r="AL135" s="4" t="s">
        <v>53</v>
      </c>
      <c r="AM135" s="4" t="s">
        <v>54</v>
      </c>
      <c r="AN135" s="4" t="s">
        <v>97</v>
      </c>
      <c r="AO135" s="4" t="s">
        <v>250</v>
      </c>
      <c r="AP135" s="4" t="s">
        <v>251</v>
      </c>
      <c r="AQ135" s="4" t="s">
        <v>109</v>
      </c>
      <c r="AR135" s="4" t="s">
        <v>227</v>
      </c>
      <c r="AS135" s="4" t="s">
        <v>60</v>
      </c>
      <c r="AT135" s="0" t="n">
        <v>0.15</v>
      </c>
      <c r="AU135" s="4" t="s">
        <v>61</v>
      </c>
      <c r="AV135" s="4" t="s">
        <v>62</v>
      </c>
    </row>
    <row r="136" customFormat="false" ht="15" hidden="false" customHeight="false" outlineLevel="0" collapsed="false">
      <c r="A136" s="0" t="s">
        <v>667</v>
      </c>
      <c r="B136" s="3" t="n">
        <f aca="false">IF(AJ136="","",IF(ISNUMBER(SEARCH("/",AJ136)),DATE(VALUE(RIGHT(AJ136,4)),VALUE(LEFT(AJ136,2)),VALUE(MID(AJ136,4,2))),IF(ISNUMBER(SEARCH("-",AJ136)),IF(LEN(LEFT(AJ136,FIND("-",AJ136)-1))=4,DATE(VALUE(LEFT(AJ136,4)),VALUE(MID(AJ136,6,2)),VALUE(RIGHT(AJ136,2))),DATE(VALUE(RIGHT(AJ136,4)),VALUE(MID(AJ136,4,2)),VALUE(LEFT(AJ136,2)))),DATE(VALUE(RIGHT(AJ136,4)),MATCH(MID(AJ136,4,3),{"Jan","Feb","Mar","Apr","May","Jun","Jul","Aug","Sep","Oct","Nov","Dec"},0),VALUE(LEFT(AJ136,2))))))</f>
        <v>45852</v>
      </c>
      <c r="C136" s="3" t="n">
        <f aca="false">IF(AK136="","",IF(ISNUMBER(SEARCH("/",AK136)),DATE(VALUE(RIGHT(AK136,4)),VALUE(LEFT(AK136,2)),VALUE(MID(AK136,4,2))),IF(ISNUMBER(SEARCH("-",AK136)),IF(LEN(LEFT(AK136,FIND("-",AK136)-1))=4,DATE(VALUE(LEFT(AK136,4)),VALUE(MID(AK136,6,2)),VALUE(RIGHT(AK136,2))),DATE(VALUE(RIGHT(AK136,4)),VALUE(MID(AK136,4,2)),VALUE(LEFT(AK136,2)))),DATE(VALUE(RIGHT(AK136,4)),MATCH(MID(AK136,4,3),{"Jan","Feb","Mar","Apr","May","Jun","Jul","Aug","Sep","Oct","Nov","Dec"},0),VALUE(LEFT(AK136,2))))))</f>
        <v>45852</v>
      </c>
      <c r="D136" s="4" t="s">
        <v>668</v>
      </c>
      <c r="E136" s="0" t="str">
        <f aca="false">PROPER(TRIM(AL136))</f>
        <v>Vikram Iyer</v>
      </c>
      <c r="F136" s="0" t="str">
        <f aca="false">PROPER(TRIM(AM136))</f>
        <v>Home Office</v>
      </c>
      <c r="G136" s="0" t="str">
        <f aca="false">IF(TRIM(AN136)="","Unknown",PROPER(TRIM(AN136)))</f>
        <v>East</v>
      </c>
      <c r="H136" s="0" t="str">
        <f aca="false">PROPER(TRIM(AO136))</f>
        <v>West Bengal</v>
      </c>
      <c r="I136" s="0" t="str">
        <f aca="false">PROPER(TRIM(AP136))</f>
        <v>Kolkata</v>
      </c>
      <c r="J136" s="0" t="str">
        <f aca="false">PROPER(TRIM(AQ136))</f>
        <v>Furniture</v>
      </c>
      <c r="K136" s="0" t="str">
        <f aca="false">PROPER(TRIM(AR136))</f>
        <v>Bookcases</v>
      </c>
      <c r="M136" s="0" t="str">
        <f aca="false">IF(TRIM(AS136)="","Unknown",PROPER(TRIM(AS136)))</f>
        <v>Unknown</v>
      </c>
      <c r="N136" s="0" t="n">
        <v>5</v>
      </c>
      <c r="O136" s="0" t="n">
        <v>383.1</v>
      </c>
      <c r="P136" s="5" t="n">
        <f aca="false">IF(AT136="","",IF(ISNUMBER(AT136),AT136,VALUE(SUBSTITUTE(AT136,"%",""))/100))</f>
        <v>0.25</v>
      </c>
      <c r="Q136" s="5" t="n">
        <f aca="false">IF(P136="",IF(AND(N136&lt;&gt;"",O136&lt;&gt;"",R136&lt;&gt;"",S136&lt;&gt;""),0,"REVIEW"),IF(OR(P136&lt;0,P136&gt;0.3),0,P136))</f>
        <v>0.25</v>
      </c>
      <c r="R136" s="0" t="n">
        <v>1436.62</v>
      </c>
      <c r="S136" s="0" t="n">
        <v>912.52</v>
      </c>
      <c r="T136" s="6" t="n">
        <f aca="false">N136*O136*(1-Q136)</f>
        <v>1436.625</v>
      </c>
      <c r="U136" s="6" t="n">
        <f aca="false">T136-S136</f>
        <v>524.105</v>
      </c>
      <c r="V136" s="7" t="n">
        <f aca="false">IF(T136=0,0,U136/T136)</f>
        <v>0.364816845036109</v>
      </c>
      <c r="W136" s="4" t="n">
        <f aca="false">C136-B136</f>
        <v>0</v>
      </c>
      <c r="X136" s="0" t="str">
        <f aca="false">TEXT(B136,"mmmm")</f>
        <v>July</v>
      </c>
      <c r="Y136" s="4" t="n">
        <f aca="false">YEAR(B136)</f>
        <v>2025</v>
      </c>
      <c r="Z136" s="0" t="str">
        <f aca="false">PROPER(TRIM(AU136))</f>
        <v>Pending</v>
      </c>
      <c r="AA136" s="0" t="str">
        <f aca="false">PROPER(TRIM(AV136))</f>
        <v>Cancelled</v>
      </c>
      <c r="AB136" s="0" t="str">
        <f aca="false">IF(TRIM(AN136)="","Yes","No")</f>
        <v>No</v>
      </c>
      <c r="AC136" s="0" t="str">
        <f aca="false">IF(TRIM(AS136)="","Yes","No")</f>
        <v>Yes</v>
      </c>
      <c r="AD136" s="0" t="str">
        <f aca="false">IF(AT136="","Yes","No")</f>
        <v>No</v>
      </c>
      <c r="AE136" s="0" t="str">
        <f aca="false">IF(W136&lt;0,"Yes","No")</f>
        <v>No</v>
      </c>
      <c r="AF136" s="0" t="str">
        <f aca="false">IF(P136="","No",IF(OR(P136&lt;0,P136&gt;0.3),"Yes","No"))</f>
        <v>No</v>
      </c>
      <c r="AG136" s="4" t="s">
        <v>50</v>
      </c>
      <c r="AH136" s="0" t="str">
        <f aca="false">IF(AND(AA136="Completed",Z136="Paid"),"Yes","No")</f>
        <v>No</v>
      </c>
      <c r="AI136" s="0" t="str">
        <f aca="false">IF(OR(AE136="Yes",AF136="Yes",AG136="Yes"),"Invalid",IF(OR(AB136="Yes",AC136="Yes",AD136="Yes"),"Warning","Clean"))</f>
        <v>Warning</v>
      </c>
      <c r="AJ136" s="4" t="s">
        <v>669</v>
      </c>
      <c r="AK136" s="4" t="s">
        <v>670</v>
      </c>
      <c r="AL136" s="4" t="s">
        <v>106</v>
      </c>
      <c r="AM136" s="4" t="s">
        <v>134</v>
      </c>
      <c r="AN136" s="4" t="s">
        <v>69</v>
      </c>
      <c r="AO136" s="4" t="s">
        <v>139</v>
      </c>
      <c r="AP136" s="4" t="s">
        <v>140</v>
      </c>
      <c r="AQ136" s="4" t="s">
        <v>72</v>
      </c>
      <c r="AR136" s="4" t="s">
        <v>211</v>
      </c>
      <c r="AT136" s="0" t="n">
        <v>0.25</v>
      </c>
      <c r="AU136" s="4" t="s">
        <v>153</v>
      </c>
      <c r="AV136" s="4" t="s">
        <v>101</v>
      </c>
    </row>
    <row r="137" customFormat="false" ht="15" hidden="false" customHeight="false" outlineLevel="0" collapsed="false">
      <c r="A137" s="0" t="s">
        <v>671</v>
      </c>
      <c r="B137" s="3" t="n">
        <f aca="false">IF(AJ137="","",IF(ISNUMBER(SEARCH("/",AJ137)),DATE(VALUE(RIGHT(AJ137,4)),VALUE(LEFT(AJ137,2)),VALUE(MID(AJ137,4,2))),IF(ISNUMBER(SEARCH("-",AJ137)),IF(LEN(LEFT(AJ137,FIND("-",AJ137)-1))=4,DATE(VALUE(LEFT(AJ137,4)),VALUE(MID(AJ137,6,2)),VALUE(RIGHT(AJ137,2))),DATE(VALUE(RIGHT(AJ137,4)),VALUE(MID(AJ137,4,2)),VALUE(LEFT(AJ137,2)))),DATE(VALUE(RIGHT(AJ137,4)),MATCH(MID(AJ137,4,3),{"Jan","Feb","Mar","Apr","May","Jun","Jul","Aug","Sep","Oct","Nov","Dec"},0),VALUE(LEFT(AJ137,2))))))</f>
        <v>45893</v>
      </c>
      <c r="C137" s="3" t="n">
        <f aca="false">IF(AK137="","",IF(ISNUMBER(SEARCH("/",AK137)),DATE(VALUE(RIGHT(AK137,4)),VALUE(LEFT(AK137,2)),VALUE(MID(AK137,4,2))),IF(ISNUMBER(SEARCH("-",AK137)),IF(LEN(LEFT(AK137,FIND("-",AK137)-1))=4,DATE(VALUE(LEFT(AK137,4)),VALUE(MID(AK137,6,2)),VALUE(RIGHT(AK137,2))),DATE(VALUE(RIGHT(AK137,4)),VALUE(MID(AK137,4,2)),VALUE(LEFT(AK137,2)))),DATE(VALUE(RIGHT(AK137,4)),MATCH(MID(AK137,4,3),{"Jan","Feb","Mar","Apr","May","Jun","Jul","Aug","Sep","Oct","Nov","Dec"},0),VALUE(LEFT(AK137,2))))))</f>
        <v>45893</v>
      </c>
      <c r="D137" s="4" t="s">
        <v>672</v>
      </c>
      <c r="E137" s="0" t="str">
        <f aca="false">PROPER(TRIM(AL137))</f>
        <v>Diya Patel</v>
      </c>
      <c r="F137" s="0" t="str">
        <f aca="false">PROPER(TRIM(AM137))</f>
        <v>Small Business</v>
      </c>
      <c r="G137" s="0" t="str">
        <f aca="false">IF(TRIM(AN137)="","Unknown",PROPER(TRIM(AN137)))</f>
        <v>South</v>
      </c>
      <c r="H137" s="0" t="str">
        <f aca="false">PROPER(TRIM(AO137))</f>
        <v>Kerala</v>
      </c>
      <c r="I137" s="0" t="str">
        <f aca="false">PROPER(TRIM(AP137))</f>
        <v>Kochi</v>
      </c>
      <c r="J137" s="0" t="str">
        <f aca="false">PROPER(TRIM(AQ137))</f>
        <v>Furniture</v>
      </c>
      <c r="K137" s="0" t="str">
        <f aca="false">PROPER(TRIM(AR137))</f>
        <v>Bookcases</v>
      </c>
      <c r="M137" s="0" t="str">
        <f aca="false">IF(TRIM(AS137)="","Unknown",PROPER(TRIM(AS137)))</f>
        <v>Standard Class</v>
      </c>
      <c r="N137" s="0" t="n">
        <v>1</v>
      </c>
      <c r="O137" s="0" t="n">
        <v>3424.78</v>
      </c>
      <c r="P137" s="5" t="n">
        <f aca="false">IF(AT137="","",IF(ISNUMBER(AT137),AT137,VALUE(SUBSTITUTE(AT137,"%",""))/100))</f>
        <v>0</v>
      </c>
      <c r="Q137" s="5" t="n">
        <f aca="false">IF(P137="",IF(AND(N137&lt;&gt;"",O137&lt;&gt;"",R137&lt;&gt;"",S137&lt;&gt;""),0,"REVIEW"),IF(OR(P137&lt;0,P137&gt;0.3),0,P137))</f>
        <v>0</v>
      </c>
      <c r="R137" s="0" t="n">
        <v>3424.78</v>
      </c>
      <c r="S137" s="0" t="n">
        <v>1951.45</v>
      </c>
      <c r="T137" s="6" t="n">
        <f aca="false">N137*O137*(1-Q137)</f>
        <v>3424.78</v>
      </c>
      <c r="U137" s="6" t="n">
        <f aca="false">T137-S137</f>
        <v>1473.33</v>
      </c>
      <c r="V137" s="7" t="n">
        <f aca="false">IF(T137=0,0,U137/T137)</f>
        <v>0.430196976156133</v>
      </c>
      <c r="W137" s="4" t="n">
        <f aca="false">C137-B137</f>
        <v>0</v>
      </c>
      <c r="X137" s="0" t="str">
        <f aca="false">TEXT(B137,"mmmm")</f>
        <v>August</v>
      </c>
      <c r="Y137" s="4" t="n">
        <f aca="false">YEAR(B137)</f>
        <v>2025</v>
      </c>
      <c r="Z137" s="0" t="str">
        <f aca="false">PROPER(TRIM(AU137))</f>
        <v>Paid</v>
      </c>
      <c r="AA137" s="0" t="str">
        <f aca="false">PROPER(TRIM(AV137))</f>
        <v>Completed</v>
      </c>
      <c r="AB137" s="0" t="str">
        <f aca="false">IF(TRIM(AN137)="","Yes","No")</f>
        <v>No</v>
      </c>
      <c r="AC137" s="0" t="str">
        <f aca="false">IF(TRIM(AS137)="","Yes","No")</f>
        <v>No</v>
      </c>
      <c r="AD137" s="0" t="str">
        <f aca="false">IF(AT137="","Yes","No")</f>
        <v>No</v>
      </c>
      <c r="AE137" s="0" t="str">
        <f aca="false">IF(W137&lt;0,"Yes","No")</f>
        <v>No</v>
      </c>
      <c r="AF137" s="0" t="str">
        <f aca="false">IF(P137="","No",IF(OR(P137&lt;0,P137&gt;0.3),"Yes","No"))</f>
        <v>No</v>
      </c>
      <c r="AG137" s="4" t="s">
        <v>50</v>
      </c>
      <c r="AH137" s="0" t="str">
        <f aca="false">IF(AND(AA137="Completed",Z137="Paid"),"Yes","No")</f>
        <v>Yes</v>
      </c>
      <c r="AI137" s="0" t="str">
        <f aca="false">IF(OR(AE137="Yes",AF137="Yes",AG137="Yes"),"Invalid",IF(OR(AB137="Yes",AC137="Yes",AD137="Yes"),"Warning","Clean"))</f>
        <v>Clean</v>
      </c>
      <c r="AJ137" s="4" t="s">
        <v>673</v>
      </c>
      <c r="AK137" s="4" t="s">
        <v>673</v>
      </c>
      <c r="AL137" s="4" t="s">
        <v>216</v>
      </c>
      <c r="AM137" s="4" t="s">
        <v>68</v>
      </c>
      <c r="AN137" s="4" t="s">
        <v>87</v>
      </c>
      <c r="AO137" s="4" t="s">
        <v>244</v>
      </c>
      <c r="AP137" s="4" t="s">
        <v>245</v>
      </c>
      <c r="AQ137" s="4" t="s">
        <v>674</v>
      </c>
      <c r="AR137" s="4" t="s">
        <v>211</v>
      </c>
      <c r="AS137" s="4" t="s">
        <v>91</v>
      </c>
      <c r="AT137" s="0" t="n">
        <v>0</v>
      </c>
      <c r="AU137" s="4" t="s">
        <v>61</v>
      </c>
      <c r="AV137" s="4" t="s">
        <v>62</v>
      </c>
    </row>
    <row r="138" customFormat="false" ht="15" hidden="false" customHeight="false" outlineLevel="0" collapsed="false">
      <c r="A138" s="0" t="s">
        <v>675</v>
      </c>
      <c r="B138" s="3" t="n">
        <f aca="false">IF(AJ138="","",IF(ISNUMBER(SEARCH("/",AJ138)),DATE(VALUE(RIGHT(AJ138,4)),VALUE(LEFT(AJ138,2)),VALUE(MID(AJ138,4,2))),IF(ISNUMBER(SEARCH("-",AJ138)),IF(LEN(LEFT(AJ138,FIND("-",AJ138)-1))=4,DATE(VALUE(LEFT(AJ138,4)),VALUE(MID(AJ138,6,2)),VALUE(RIGHT(AJ138,2))),DATE(VALUE(RIGHT(AJ138,4)),VALUE(MID(AJ138,4,2)),VALUE(LEFT(AJ138,2)))),DATE(VALUE(RIGHT(AJ138,4)),MATCH(MID(AJ138,4,3),{"Jan","Feb","Mar","Apr","May","Jun","Jul","Aug","Sep","Oct","Nov","Dec"},0),VALUE(LEFT(AJ138,2))))))</f>
        <v>45697</v>
      </c>
      <c r="C138" s="3" t="n">
        <f aca="false">IF(AK138="","",IF(ISNUMBER(SEARCH("/",AK138)),DATE(VALUE(RIGHT(AK138,4)),VALUE(LEFT(AK138,2)),VALUE(MID(AK138,4,2))),IF(ISNUMBER(SEARCH("-",AK138)),IF(LEN(LEFT(AK138,FIND("-",AK138)-1))=4,DATE(VALUE(LEFT(AK138,4)),VALUE(MID(AK138,6,2)),VALUE(RIGHT(AK138,2))),DATE(VALUE(RIGHT(AK138,4)),VALUE(MID(AK138,4,2)),VALUE(LEFT(AK138,2)))),DATE(VALUE(RIGHT(AK138,4)),MATCH(MID(AK138,4,3),{"Jan","Feb","Mar","Apr","May","Jun","Jul","Aug","Sep","Oct","Nov","Dec"},0),VALUE(LEFT(AK138,2))))))</f>
        <v>45703</v>
      </c>
      <c r="D138" s="4" t="s">
        <v>676</v>
      </c>
      <c r="E138" s="0" t="str">
        <f aca="false">PROPER(TRIM(AL138))</f>
        <v>Mira Das</v>
      </c>
      <c r="F138" s="0" t="str">
        <f aca="false">PROPER(TRIM(AM138))</f>
        <v>Home Office</v>
      </c>
      <c r="G138" s="0" t="str">
        <f aca="false">IF(TRIM(AN138)="","Unknown",PROPER(TRIM(AN138)))</f>
        <v>East</v>
      </c>
      <c r="H138" s="0" t="str">
        <f aca="false">PROPER(TRIM(AO138))</f>
        <v>Jharkhand</v>
      </c>
      <c r="I138" s="0" t="str">
        <f aca="false">PROPER(TRIM(AP138))</f>
        <v>Ranchi</v>
      </c>
      <c r="J138" s="0" t="str">
        <f aca="false">PROPER(TRIM(AQ138))</f>
        <v>Office Supplies</v>
      </c>
      <c r="K138" s="0" t="str">
        <f aca="false">PROPER(TRIM(AR138))</f>
        <v>Binders</v>
      </c>
      <c r="M138" s="0" t="str">
        <f aca="false">IF(TRIM(AS138)="","Unknown",PROPER(TRIM(AS138)))</f>
        <v>Standard Class</v>
      </c>
      <c r="N138" s="0" t="n">
        <v>9</v>
      </c>
      <c r="O138" s="0" t="n">
        <v>4330.33</v>
      </c>
      <c r="P138" s="5" t="n">
        <f aca="false">IF(AT138="","",IF(ISNUMBER(AT138),AT138,VALUE(SUBSTITUTE(AT138,"%",""))/100))</f>
        <v>0.2</v>
      </c>
      <c r="Q138" s="5" t="n">
        <f aca="false">IF(P138="",IF(AND(N138&lt;&gt;"",O138&lt;&gt;"",R138&lt;&gt;"",S138&lt;&gt;""),0,"REVIEW"),IF(OR(P138&lt;0,P138&gt;0.3),0,P138))</f>
        <v>0.2</v>
      </c>
      <c r="R138" s="0" t="n">
        <v>31178.38</v>
      </c>
      <c r="S138" s="0" t="n">
        <v>21421.09</v>
      </c>
      <c r="T138" s="6" t="n">
        <f aca="false">N138*O138*(1-Q138)</f>
        <v>31178.376</v>
      </c>
      <c r="U138" s="6" t="n">
        <f aca="false">T138-S138</f>
        <v>9757.286</v>
      </c>
      <c r="V138" s="7" t="n">
        <f aca="false">IF(T138=0,0,U138/T138)</f>
        <v>0.312950424358216</v>
      </c>
      <c r="W138" s="4" t="n">
        <f aca="false">C138-B138</f>
        <v>6</v>
      </c>
      <c r="X138" s="0" t="str">
        <f aca="false">TEXT(B138,"mmmm")</f>
        <v>February</v>
      </c>
      <c r="Y138" s="4" t="n">
        <f aca="false">YEAR(B138)</f>
        <v>2025</v>
      </c>
      <c r="Z138" s="0" t="str">
        <f aca="false">PROPER(TRIM(AU138))</f>
        <v>Paid</v>
      </c>
      <c r="AA138" s="0" t="str">
        <f aca="false">PROPER(TRIM(AV138))</f>
        <v>Completed</v>
      </c>
      <c r="AB138" s="0" t="str">
        <f aca="false">IF(TRIM(AN138)="","Yes","No")</f>
        <v>No</v>
      </c>
      <c r="AC138" s="0" t="str">
        <f aca="false">IF(TRIM(AS138)="","Yes","No")</f>
        <v>No</v>
      </c>
      <c r="AD138" s="0" t="str">
        <f aca="false">IF(AT138="","Yes","No")</f>
        <v>No</v>
      </c>
      <c r="AE138" s="0" t="str">
        <f aca="false">IF(W138&lt;0,"Yes","No")</f>
        <v>No</v>
      </c>
      <c r="AF138" s="0" t="str">
        <f aca="false">IF(P138="","No",IF(OR(P138&lt;0,P138&gt;0.3),"Yes","No"))</f>
        <v>No</v>
      </c>
      <c r="AG138" s="4" t="s">
        <v>50</v>
      </c>
      <c r="AH138" s="0" t="str">
        <f aca="false">IF(AND(AA138="Completed",Z138="Paid"),"Yes","No")</f>
        <v>Yes</v>
      </c>
      <c r="AI138" s="0" t="str">
        <f aca="false">IF(OR(AE138="Yes",AF138="Yes",AG138="Yes"),"Invalid",IF(OR(AB138="Yes",AC138="Yes",AD138="Yes"),"Warning","Clean"))</f>
        <v>Clean</v>
      </c>
      <c r="AJ138" s="4" t="s">
        <v>677</v>
      </c>
      <c r="AK138" s="4" t="s">
        <v>678</v>
      </c>
      <c r="AL138" s="4" t="s">
        <v>67</v>
      </c>
      <c r="AM138" s="4" t="s">
        <v>134</v>
      </c>
      <c r="AN138" s="4" t="s">
        <v>69</v>
      </c>
      <c r="AO138" s="4" t="s">
        <v>300</v>
      </c>
      <c r="AP138" s="4" t="s">
        <v>301</v>
      </c>
      <c r="AQ138" s="4" t="s">
        <v>58</v>
      </c>
      <c r="AR138" s="4" t="s">
        <v>206</v>
      </c>
      <c r="AS138" s="4" t="s">
        <v>679</v>
      </c>
      <c r="AT138" s="0" t="n">
        <v>0.2</v>
      </c>
      <c r="AU138" s="4" t="s">
        <v>61</v>
      </c>
      <c r="AV138" s="4" t="s">
        <v>62</v>
      </c>
    </row>
    <row r="139" customFormat="false" ht="15" hidden="false" customHeight="false" outlineLevel="0" collapsed="false">
      <c r="A139" s="0" t="s">
        <v>680</v>
      </c>
      <c r="B139" s="3" t="n">
        <f aca="false">IF(AJ139="","",IF(ISNUMBER(SEARCH("/",AJ139)),DATE(VALUE(RIGHT(AJ139,4)),VALUE(LEFT(AJ139,2)),VALUE(MID(AJ139,4,2))),IF(ISNUMBER(SEARCH("-",AJ139)),IF(LEN(LEFT(AJ139,FIND("-",AJ139)-1))=4,DATE(VALUE(LEFT(AJ139,4)),VALUE(MID(AJ139,6,2)),VALUE(RIGHT(AJ139,2))),DATE(VALUE(RIGHT(AJ139,4)),VALUE(MID(AJ139,4,2)),VALUE(LEFT(AJ139,2)))),DATE(VALUE(RIGHT(AJ139,4)),MATCH(MID(AJ139,4,3),{"Jan","Feb","Mar","Apr","May","Jun","Jul","Aug","Sep","Oct","Nov","Dec"},0),VALUE(LEFT(AJ139,2))))))</f>
        <v>45666</v>
      </c>
      <c r="C139" s="3" t="n">
        <f aca="false">IF(AK139="","",IF(ISNUMBER(SEARCH("/",AK139)),DATE(VALUE(RIGHT(AK139,4)),VALUE(LEFT(AK139,2)),VALUE(MID(AK139,4,2))),IF(ISNUMBER(SEARCH("-",AK139)),IF(LEN(LEFT(AK139,FIND("-",AK139)-1))=4,DATE(VALUE(LEFT(AK139,4)),VALUE(MID(AK139,6,2)),VALUE(RIGHT(AK139,2))),DATE(VALUE(RIGHT(AK139,4)),VALUE(MID(AK139,4,2)),VALUE(LEFT(AK139,2)))),DATE(VALUE(RIGHT(AK139,4)),MATCH(MID(AK139,4,3),{"Jan","Feb","Mar","Apr","May","Jun","Jul","Aug","Sep","Oct","Nov","Dec"},0),VALUE(LEFT(AK139,2))))))</f>
        <v>45666</v>
      </c>
      <c r="D139" s="4" t="s">
        <v>681</v>
      </c>
      <c r="E139" s="0" t="str">
        <f aca="false">PROPER(TRIM(AL139))</f>
        <v>Sneha Kapoor</v>
      </c>
      <c r="F139" s="0" t="str">
        <f aca="false">PROPER(TRIM(AM139))</f>
        <v>Small Business</v>
      </c>
      <c r="G139" s="0" t="str">
        <f aca="false">IF(TRIM(AN139)="","Unknown",PROPER(TRIM(AN139)))</f>
        <v>North</v>
      </c>
      <c r="H139" s="0" t="str">
        <f aca="false">PROPER(TRIM(AO139))</f>
        <v>Rajasthan</v>
      </c>
      <c r="I139" s="0" t="str">
        <f aca="false">PROPER(TRIM(AP139))</f>
        <v>Jaipur</v>
      </c>
      <c r="J139" s="0" t="str">
        <f aca="false">PROPER(TRIM(AQ139))</f>
        <v>Furniture</v>
      </c>
      <c r="K139" s="0" t="str">
        <f aca="false">PROPER(TRIM(AR139))</f>
        <v>Chairs</v>
      </c>
      <c r="M139" s="0" t="str">
        <f aca="false">IF(TRIM(AS139)="","Unknown",PROPER(TRIM(AS139)))</f>
        <v>Same Day</v>
      </c>
      <c r="N139" s="0" t="n">
        <v>8</v>
      </c>
      <c r="O139" s="0" t="n">
        <v>2667.07</v>
      </c>
      <c r="P139" s="5" t="n">
        <f aca="false">IF(AT139="","",IF(ISNUMBER(AT139),AT139,VALUE(SUBSTITUTE(AT139,"%",""))/100))</f>
        <v>0.1</v>
      </c>
      <c r="Q139" s="5" t="n">
        <f aca="false">IF(P139="",IF(AND(N139&lt;&gt;"",O139&lt;&gt;"",R139&lt;&gt;"",S139&lt;&gt;""),0,"REVIEW"),IF(OR(P139&lt;0,P139&gt;0.3),0,P139))</f>
        <v>0.1</v>
      </c>
      <c r="R139" s="0" t="n">
        <v>19202.9</v>
      </c>
      <c r="S139" s="0" t="n">
        <v>15526.62</v>
      </c>
      <c r="T139" s="6" t="n">
        <f aca="false">N139*O139*(1-Q139)</f>
        <v>19202.904</v>
      </c>
      <c r="U139" s="6" t="n">
        <f aca="false">T139-S139</f>
        <v>3676.284</v>
      </c>
      <c r="V139" s="7" t="n">
        <f aca="false">IF(T139=0,0,U139/T139)</f>
        <v>0.191444169069428</v>
      </c>
      <c r="W139" s="4" t="n">
        <f aca="false">C139-B139</f>
        <v>0</v>
      </c>
      <c r="X139" s="0" t="str">
        <f aca="false">TEXT(B139,"mmmm")</f>
        <v>January</v>
      </c>
      <c r="Y139" s="4" t="n">
        <f aca="false">YEAR(B139)</f>
        <v>2025</v>
      </c>
      <c r="Z139" s="0" t="str">
        <f aca="false">PROPER(TRIM(AU139))</f>
        <v>Paid</v>
      </c>
      <c r="AA139" s="0" t="str">
        <f aca="false">PROPER(TRIM(AV139))</f>
        <v>Completed</v>
      </c>
      <c r="AB139" s="0" t="str">
        <f aca="false">IF(TRIM(AN139)="","Yes","No")</f>
        <v>No</v>
      </c>
      <c r="AC139" s="0" t="str">
        <f aca="false">IF(TRIM(AS139)="","Yes","No")</f>
        <v>No</v>
      </c>
      <c r="AD139" s="0" t="str">
        <f aca="false">IF(AT139="","Yes","No")</f>
        <v>No</v>
      </c>
      <c r="AE139" s="0" t="str">
        <f aca="false">IF(W139&lt;0,"Yes","No")</f>
        <v>No</v>
      </c>
      <c r="AF139" s="0" t="str">
        <f aca="false">IF(P139="","No",IF(OR(P139&lt;0,P139&gt;0.3),"Yes","No"))</f>
        <v>No</v>
      </c>
      <c r="AG139" s="4" t="s">
        <v>50</v>
      </c>
      <c r="AH139" s="0" t="str">
        <f aca="false">IF(AND(AA139="Completed",Z139="Paid"),"Yes","No")</f>
        <v>Yes</v>
      </c>
      <c r="AI139" s="0" t="str">
        <f aca="false">IF(OR(AE139="Yes",AF139="Yes",AG139="Yes"),"Invalid",IF(OR(AB139="Yes",AC139="Yes",AD139="Yes"),"Warning","Clean"))</f>
        <v>Clean</v>
      </c>
      <c r="AJ139" s="4" t="s">
        <v>682</v>
      </c>
      <c r="AK139" s="4" t="s">
        <v>683</v>
      </c>
      <c r="AL139" s="4" t="s">
        <v>181</v>
      </c>
      <c r="AM139" s="4" t="s">
        <v>68</v>
      </c>
      <c r="AN139" s="4" t="s">
        <v>168</v>
      </c>
      <c r="AO139" s="4" t="s">
        <v>56</v>
      </c>
      <c r="AP139" s="4" t="s">
        <v>57</v>
      </c>
      <c r="AQ139" s="4" t="s">
        <v>72</v>
      </c>
      <c r="AR139" s="4" t="s">
        <v>100</v>
      </c>
      <c r="AS139" s="4" t="s">
        <v>74</v>
      </c>
      <c r="AT139" s="0" t="n">
        <v>0.1</v>
      </c>
      <c r="AU139" s="4" t="s">
        <v>61</v>
      </c>
      <c r="AV139" s="4" t="s">
        <v>62</v>
      </c>
    </row>
    <row r="140" customFormat="false" ht="15" hidden="false" customHeight="false" outlineLevel="0" collapsed="false">
      <c r="A140" s="0" t="s">
        <v>684</v>
      </c>
      <c r="B140" s="3" t="n">
        <f aca="false">IF(AJ140="","",IF(ISNUMBER(SEARCH("/",AJ140)),DATE(VALUE(RIGHT(AJ140,4)),VALUE(LEFT(AJ140,2)),VALUE(MID(AJ140,4,2))),IF(ISNUMBER(SEARCH("-",AJ140)),IF(LEN(LEFT(AJ140,FIND("-",AJ140)-1))=4,DATE(VALUE(LEFT(AJ140,4)),VALUE(MID(AJ140,6,2)),VALUE(RIGHT(AJ140,2))),DATE(VALUE(RIGHT(AJ140,4)),VALUE(MID(AJ140,4,2)),VALUE(LEFT(AJ140,2)))),DATE(VALUE(RIGHT(AJ140,4)),MATCH(MID(AJ140,4,3),{"Jan","Feb","Mar","Apr","May","Jun","Jul","Aug","Sep","Oct","Nov","Dec"},0),VALUE(LEFT(AJ140,2))))))</f>
        <v>45311</v>
      </c>
      <c r="C140" s="3" t="n">
        <f aca="false">IF(AK140="","",IF(ISNUMBER(SEARCH("/",AK140)),DATE(VALUE(RIGHT(AK140,4)),VALUE(LEFT(AK140,2)),VALUE(MID(AK140,4,2))),IF(ISNUMBER(SEARCH("-",AK140)),IF(LEN(LEFT(AK140,FIND("-",AK140)-1))=4,DATE(VALUE(LEFT(AK140,4)),VALUE(MID(AK140,6,2)),VALUE(RIGHT(AK140,2))),DATE(VALUE(RIGHT(AK140,4)),VALUE(MID(AK140,4,2)),VALUE(LEFT(AK140,2)))),DATE(VALUE(RIGHT(AK140,4)),MATCH(MID(AK140,4,3),{"Jan","Feb","Mar","Apr","May","Jun","Jul","Aug","Sep","Oct","Nov","Dec"},0),VALUE(LEFT(AK140,2))))))</f>
        <v>45317</v>
      </c>
      <c r="D140" s="4" t="s">
        <v>685</v>
      </c>
      <c r="E140" s="0" t="str">
        <f aca="false">PROPER(TRIM(AL140))</f>
        <v>Diya Patel</v>
      </c>
      <c r="F140" s="0" t="str">
        <f aca="false">PROPER(TRIM(AM140))</f>
        <v>Home Office</v>
      </c>
      <c r="G140" s="0" t="str">
        <f aca="false">IF(TRIM(AN140)="","Unknown",PROPER(TRIM(AN140)))</f>
        <v>East</v>
      </c>
      <c r="H140" s="0" t="str">
        <f aca="false">PROPER(TRIM(AO140))</f>
        <v>Jharkhand</v>
      </c>
      <c r="I140" s="0" t="str">
        <f aca="false">PROPER(TRIM(AP140))</f>
        <v>Ranchi</v>
      </c>
      <c r="J140" s="0" t="str">
        <f aca="false">PROPER(TRIM(AQ140))</f>
        <v>Technology</v>
      </c>
      <c r="K140" s="0" t="str">
        <f aca="false">PROPER(TRIM(AR140))</f>
        <v>Machines</v>
      </c>
      <c r="M140" s="0" t="str">
        <f aca="false">IF(TRIM(AS140)="","Unknown",PROPER(TRIM(AS140)))</f>
        <v>Standard Class</v>
      </c>
      <c r="N140" s="0" t="n">
        <v>8</v>
      </c>
      <c r="O140" s="0" t="n">
        <v>4003.05</v>
      </c>
      <c r="P140" s="5" t="n">
        <f aca="false">IF(AT140="","",IF(ISNUMBER(AT140),AT140,VALUE(SUBSTITUTE(AT140,"%",""))/100))</f>
        <v>0.25</v>
      </c>
      <c r="Q140" s="5" t="n">
        <f aca="false">IF(P140="",IF(AND(N140&lt;&gt;"",O140&lt;&gt;"",R140&lt;&gt;"",S140&lt;&gt;""),0,"REVIEW"),IF(OR(P140&lt;0,P140&gt;0.3),0,P140))</f>
        <v>0.25</v>
      </c>
      <c r="R140" s="0" t="n">
        <v>24018.3</v>
      </c>
      <c r="S140" s="0" t="n">
        <v>14070.78</v>
      </c>
      <c r="T140" s="6" t="n">
        <f aca="false">N140*O140*(1-Q140)</f>
        <v>24018.3</v>
      </c>
      <c r="U140" s="6" t="n">
        <f aca="false">T140-S140</f>
        <v>9947.52</v>
      </c>
      <c r="V140" s="7" t="n">
        <f aca="false">IF(T140=0,0,U140/T140)</f>
        <v>0.414164199797654</v>
      </c>
      <c r="W140" s="4" t="n">
        <f aca="false">C140-B140</f>
        <v>6</v>
      </c>
      <c r="X140" s="0" t="str">
        <f aca="false">TEXT(B140,"mmmm")</f>
        <v>January</v>
      </c>
      <c r="Y140" s="4" t="n">
        <f aca="false">YEAR(B140)</f>
        <v>2024</v>
      </c>
      <c r="Z140" s="0" t="str">
        <f aca="false">PROPER(TRIM(AU140))</f>
        <v>Paid</v>
      </c>
      <c r="AA140" s="0" t="str">
        <f aca="false">PROPER(TRIM(AV140))</f>
        <v>Completed</v>
      </c>
      <c r="AB140" s="0" t="str">
        <f aca="false">IF(TRIM(AN140)="","Yes","No")</f>
        <v>No</v>
      </c>
      <c r="AC140" s="0" t="str">
        <f aca="false">IF(TRIM(AS140)="","Yes","No")</f>
        <v>No</v>
      </c>
      <c r="AD140" s="0" t="str">
        <f aca="false">IF(AT140="","Yes","No")</f>
        <v>No</v>
      </c>
      <c r="AE140" s="0" t="str">
        <f aca="false">IF(W140&lt;0,"Yes","No")</f>
        <v>No</v>
      </c>
      <c r="AF140" s="0" t="str">
        <f aca="false">IF(P140="","No",IF(OR(P140&lt;0,P140&gt;0.3),"Yes","No"))</f>
        <v>No</v>
      </c>
      <c r="AG140" s="4" t="s">
        <v>50</v>
      </c>
      <c r="AH140" s="0" t="str">
        <f aca="false">IF(AND(AA140="Completed",Z140="Paid"),"Yes","No")</f>
        <v>Yes</v>
      </c>
      <c r="AI140" s="0" t="str">
        <f aca="false">IF(OR(AE140="Yes",AF140="Yes",AG140="Yes"),"Invalid",IF(OR(AB140="Yes",AC140="Yes",AD140="Yes"),"Warning","Clean"))</f>
        <v>Clean</v>
      </c>
      <c r="AJ140" s="4" t="s">
        <v>686</v>
      </c>
      <c r="AK140" s="4" t="s">
        <v>687</v>
      </c>
      <c r="AL140" s="4" t="s">
        <v>216</v>
      </c>
      <c r="AM140" s="4" t="s">
        <v>134</v>
      </c>
      <c r="AN140" s="4" t="s">
        <v>69</v>
      </c>
      <c r="AO140" s="4" t="s">
        <v>300</v>
      </c>
      <c r="AP140" s="4" t="s">
        <v>301</v>
      </c>
      <c r="AQ140" s="4" t="s">
        <v>109</v>
      </c>
      <c r="AR140" s="4" t="s">
        <v>360</v>
      </c>
      <c r="AS140" s="4" t="s">
        <v>91</v>
      </c>
      <c r="AT140" s="0" t="n">
        <v>0.25</v>
      </c>
      <c r="AU140" s="4" t="s">
        <v>61</v>
      </c>
      <c r="AV140" s="4" t="s">
        <v>62</v>
      </c>
    </row>
    <row r="141" customFormat="false" ht="15" hidden="false" customHeight="false" outlineLevel="0" collapsed="false">
      <c r="A141" s="0" t="s">
        <v>688</v>
      </c>
      <c r="B141" s="3" t="n">
        <f aca="false">IF(AJ141="","",IF(ISNUMBER(SEARCH("/",AJ141)),DATE(VALUE(RIGHT(AJ141,4)),VALUE(LEFT(AJ141,2)),VALUE(MID(AJ141,4,2))),IF(ISNUMBER(SEARCH("-",AJ141)),IF(LEN(LEFT(AJ141,FIND("-",AJ141)-1))=4,DATE(VALUE(LEFT(AJ141,4)),VALUE(MID(AJ141,6,2)),VALUE(RIGHT(AJ141,2))),DATE(VALUE(RIGHT(AJ141,4)),VALUE(MID(AJ141,4,2)),VALUE(LEFT(AJ141,2)))),DATE(VALUE(RIGHT(AJ141,4)),MATCH(MID(AJ141,4,3),{"Jan","Feb","Mar","Apr","May","Jun","Jul","Aug","Sep","Oct","Nov","Dec"},0),VALUE(LEFT(AJ141,2))))))</f>
        <v>45718</v>
      </c>
      <c r="C141" s="3" t="n">
        <f aca="false">IF(AK141="","",IF(ISNUMBER(SEARCH("/",AK141)),DATE(VALUE(RIGHT(AK141,4)),VALUE(LEFT(AK141,2)),VALUE(MID(AK141,4,2))),IF(ISNUMBER(SEARCH("-",AK141)),IF(LEN(LEFT(AK141,FIND("-",AK141)-1))=4,DATE(VALUE(LEFT(AK141,4)),VALUE(MID(AK141,6,2)),VALUE(RIGHT(AK141,2))),DATE(VALUE(RIGHT(AK141,4)),VALUE(MID(AK141,4,2)),VALUE(LEFT(AK141,2)))),DATE(VALUE(RIGHT(AK141,4)),MATCH(MID(AK141,4,3),{"Jan","Feb","Mar","Apr","May","Jun","Jul","Aug","Sep","Oct","Nov","Dec"},0),VALUE(LEFT(AK141,2))))))</f>
        <v>45723</v>
      </c>
      <c r="D141" s="4" t="s">
        <v>689</v>
      </c>
      <c r="E141" s="0" t="str">
        <f aca="false">PROPER(TRIM(AL141))</f>
        <v>Neha Gupta</v>
      </c>
      <c r="F141" s="0" t="str">
        <f aca="false">PROPER(TRIM(AM141))</f>
        <v>Home Office</v>
      </c>
      <c r="G141" s="0" t="str">
        <f aca="false">IF(TRIM(AN141)="","Unknown",PROPER(TRIM(AN141)))</f>
        <v>South</v>
      </c>
      <c r="H141" s="0" t="str">
        <f aca="false">PROPER(TRIM(AO141))</f>
        <v>Karnataka</v>
      </c>
      <c r="I141" s="0" t="str">
        <f aca="false">PROPER(TRIM(AP141))</f>
        <v>Bengaluru</v>
      </c>
      <c r="J141" s="0" t="str">
        <f aca="false">PROPER(TRIM(AQ141))</f>
        <v>Office Supplies</v>
      </c>
      <c r="K141" s="0" t="str">
        <f aca="false">PROPER(TRIM(AR141))</f>
        <v>Labels</v>
      </c>
      <c r="M141" s="0" t="str">
        <f aca="false">IF(TRIM(AS141)="","Unknown",PROPER(TRIM(AS141)))</f>
        <v>Standard Class</v>
      </c>
      <c r="N141" s="0" t="n">
        <v>8</v>
      </c>
      <c r="O141" s="0" t="n">
        <v>1287.63</v>
      </c>
      <c r="P141" s="5" t="n">
        <f aca="false">IF(AT141="","",IF(ISNUMBER(AT141),AT141,VALUE(SUBSTITUTE(AT141,"%",""))/100))</f>
        <v>0</v>
      </c>
      <c r="Q141" s="5" t="n">
        <f aca="false">IF(P141="",IF(AND(N141&lt;&gt;"",O141&lt;&gt;"",R141&lt;&gt;"",S141&lt;&gt;""),0,"REVIEW"),IF(OR(P141&lt;0,P141&gt;0.3),0,P141))</f>
        <v>0</v>
      </c>
      <c r="R141" s="0" t="n">
        <v>10301.04</v>
      </c>
      <c r="S141" s="0" t="n">
        <v>6564.06</v>
      </c>
      <c r="T141" s="6" t="n">
        <f aca="false">N141*O141*(1-Q141)</f>
        <v>10301.04</v>
      </c>
      <c r="U141" s="6" t="n">
        <f aca="false">T141-S141</f>
        <v>3736.98</v>
      </c>
      <c r="V141" s="7" t="n">
        <f aca="false">IF(T141=0,0,U141/T141)</f>
        <v>0.362776962326134</v>
      </c>
      <c r="W141" s="4" t="n">
        <f aca="false">C141-B141</f>
        <v>5</v>
      </c>
      <c r="X141" s="0" t="str">
        <f aca="false">TEXT(B141,"mmmm")</f>
        <v>March</v>
      </c>
      <c r="Y141" s="4" t="n">
        <f aca="false">YEAR(B141)</f>
        <v>2025</v>
      </c>
      <c r="Z141" s="0" t="str">
        <f aca="false">PROPER(TRIM(AU141))</f>
        <v>Paid</v>
      </c>
      <c r="AA141" s="0" t="str">
        <f aca="false">PROPER(TRIM(AV141))</f>
        <v>Completed</v>
      </c>
      <c r="AB141" s="0" t="str">
        <f aca="false">IF(TRIM(AN141)="","Yes","No")</f>
        <v>No</v>
      </c>
      <c r="AC141" s="0" t="str">
        <f aca="false">IF(TRIM(AS141)="","Yes","No")</f>
        <v>No</v>
      </c>
      <c r="AD141" s="0" t="str">
        <f aca="false">IF(AT141="","Yes","No")</f>
        <v>No</v>
      </c>
      <c r="AE141" s="0" t="str">
        <f aca="false">IF(W141&lt;0,"Yes","No")</f>
        <v>No</v>
      </c>
      <c r="AF141" s="0" t="str">
        <f aca="false">IF(P141="","No",IF(OR(P141&lt;0,P141&gt;0.3),"Yes","No"))</f>
        <v>No</v>
      </c>
      <c r="AG141" s="4" t="s">
        <v>50</v>
      </c>
      <c r="AH141" s="0" t="str">
        <f aca="false">IF(AND(AA141="Completed",Z141="Paid"),"Yes","No")</f>
        <v>Yes</v>
      </c>
      <c r="AI141" s="0" t="str">
        <f aca="false">IF(OR(AE141="Yes",AF141="Yes",AG141="Yes"),"Invalid",IF(OR(AB141="Yes",AC141="Yes",AD141="Yes"),"Warning","Clean"))</f>
        <v>Clean</v>
      </c>
      <c r="AJ141" s="4" t="s">
        <v>690</v>
      </c>
      <c r="AK141" s="4" t="s">
        <v>691</v>
      </c>
      <c r="AL141" s="4" t="s">
        <v>115</v>
      </c>
      <c r="AM141" s="4" t="s">
        <v>134</v>
      </c>
      <c r="AN141" s="4" t="s">
        <v>87</v>
      </c>
      <c r="AO141" s="4" t="s">
        <v>233</v>
      </c>
      <c r="AP141" s="4" t="s">
        <v>234</v>
      </c>
      <c r="AQ141" s="4" t="s">
        <v>58</v>
      </c>
      <c r="AR141" s="4" t="s">
        <v>129</v>
      </c>
      <c r="AS141" s="4" t="s">
        <v>91</v>
      </c>
      <c r="AT141" s="0" t="n">
        <v>0</v>
      </c>
      <c r="AU141" s="4" t="s">
        <v>61</v>
      </c>
      <c r="AV141" s="4" t="s">
        <v>62</v>
      </c>
    </row>
    <row r="142" customFormat="false" ht="15" hidden="false" customHeight="false" outlineLevel="0" collapsed="false">
      <c r="A142" s="0" t="s">
        <v>692</v>
      </c>
      <c r="B142" s="3" t="n">
        <f aca="false">IF(AJ142="","",IF(ISNUMBER(SEARCH("/",AJ142)),DATE(VALUE(RIGHT(AJ142,4)),VALUE(LEFT(AJ142,2)),VALUE(MID(AJ142,4,2))),IF(ISNUMBER(SEARCH("-",AJ142)),IF(LEN(LEFT(AJ142,FIND("-",AJ142)-1))=4,DATE(VALUE(LEFT(AJ142,4)),VALUE(MID(AJ142,6,2)),VALUE(RIGHT(AJ142,2))),DATE(VALUE(RIGHT(AJ142,4)),VALUE(MID(AJ142,4,2)),VALUE(LEFT(AJ142,2)))),DATE(VALUE(RIGHT(AJ142,4)),MATCH(MID(AJ142,4,3),{"Jan","Feb","Mar","Apr","May","Jun","Jul","Aug","Sep","Oct","Nov","Dec"},0),VALUE(LEFT(AJ142,2))))))</f>
        <v>45443</v>
      </c>
      <c r="C142" s="3" t="n">
        <f aca="false">IF(AK142="","",IF(ISNUMBER(SEARCH("/",AK142)),DATE(VALUE(RIGHT(AK142,4)),VALUE(LEFT(AK142,2)),VALUE(MID(AK142,4,2))),IF(ISNUMBER(SEARCH("-",AK142)),IF(LEN(LEFT(AK142,FIND("-",AK142)-1))=4,DATE(VALUE(LEFT(AK142,4)),VALUE(MID(AK142,6,2)),VALUE(RIGHT(AK142,2))),DATE(VALUE(RIGHT(AK142,4)),VALUE(MID(AK142,4,2)),VALUE(LEFT(AK142,2)))),DATE(VALUE(RIGHT(AK142,4)),MATCH(MID(AK142,4,3),{"Jan","Feb","Mar","Apr","May","Jun","Jul","Aug","Sep","Oct","Nov","Dec"},0),VALUE(LEFT(AK142,2))))))</f>
        <v>45444</v>
      </c>
      <c r="D142" s="4" t="s">
        <v>693</v>
      </c>
      <c r="E142" s="0" t="str">
        <f aca="false">PROPER(TRIM(AL142))</f>
        <v>Mira Das</v>
      </c>
      <c r="F142" s="0" t="str">
        <f aca="false">PROPER(TRIM(AM142))</f>
        <v>Corporate</v>
      </c>
      <c r="G142" s="0" t="str">
        <f aca="false">IF(TRIM(AN142)="","Unknown",PROPER(TRIM(AN142)))</f>
        <v>South</v>
      </c>
      <c r="H142" s="0" t="str">
        <f aca="false">PROPER(TRIM(AO142))</f>
        <v>Karnataka</v>
      </c>
      <c r="I142" s="0" t="str">
        <f aca="false">PROPER(TRIM(AP142))</f>
        <v>Bengaluru</v>
      </c>
      <c r="J142" s="0" t="str">
        <f aca="false">PROPER(TRIM(AQ142))</f>
        <v>Furniture</v>
      </c>
      <c r="K142" s="0" t="str">
        <f aca="false">PROPER(TRIM(AR142))</f>
        <v>Bookcases</v>
      </c>
      <c r="M142" s="0" t="str">
        <f aca="false">IF(TRIM(AS142)="","Unknown",PROPER(TRIM(AS142)))</f>
        <v>Same Day</v>
      </c>
      <c r="N142" s="0" t="n">
        <v>3</v>
      </c>
      <c r="O142" s="0" t="n">
        <v>2914.55</v>
      </c>
      <c r="P142" s="5" t="n">
        <f aca="false">IF(AT142="","",IF(ISNUMBER(AT142),AT142,VALUE(SUBSTITUTE(AT142,"%",""))/100))</f>
        <v>0</v>
      </c>
      <c r="Q142" s="5" t="n">
        <f aca="false">IF(P142="",IF(AND(N142&lt;&gt;"",O142&lt;&gt;"",R142&lt;&gt;"",S142&lt;&gt;""),0,"REVIEW"),IF(OR(P142&lt;0,P142&gt;0.3),0,P142))</f>
        <v>0</v>
      </c>
      <c r="R142" s="0" t="n">
        <v>8743.65</v>
      </c>
      <c r="S142" s="0" t="n">
        <v>6603.76</v>
      </c>
      <c r="T142" s="6" t="n">
        <f aca="false">N142*O142*(1-Q142)</f>
        <v>8743.65</v>
      </c>
      <c r="U142" s="6" t="n">
        <f aca="false">T142-S142</f>
        <v>2139.89</v>
      </c>
      <c r="V142" s="7" t="n">
        <f aca="false">IF(T142=0,0,U142/T142)</f>
        <v>0.244736465892391</v>
      </c>
      <c r="W142" s="4" t="n">
        <f aca="false">C142-B142</f>
        <v>1</v>
      </c>
      <c r="X142" s="0" t="str">
        <f aca="false">TEXT(B142,"mmmm")</f>
        <v>May</v>
      </c>
      <c r="Y142" s="4" t="n">
        <f aca="false">YEAR(B142)</f>
        <v>2024</v>
      </c>
      <c r="Z142" s="0" t="str">
        <f aca="false">PROPER(TRIM(AU142))</f>
        <v>Paid</v>
      </c>
      <c r="AA142" s="0" t="str">
        <f aca="false">PROPER(TRIM(AV142))</f>
        <v>Completed</v>
      </c>
      <c r="AB142" s="0" t="str">
        <f aca="false">IF(TRIM(AN142)="","Yes","No")</f>
        <v>No</v>
      </c>
      <c r="AC142" s="0" t="str">
        <f aca="false">IF(TRIM(AS142)="","Yes","No")</f>
        <v>No</v>
      </c>
      <c r="AD142" s="0" t="str">
        <f aca="false">IF(AT142="","Yes","No")</f>
        <v>No</v>
      </c>
      <c r="AE142" s="0" t="str">
        <f aca="false">IF(W142&lt;0,"Yes","No")</f>
        <v>No</v>
      </c>
      <c r="AF142" s="0" t="str">
        <f aca="false">IF(P142="","No",IF(OR(P142&lt;0,P142&gt;0.3),"Yes","No"))</f>
        <v>No</v>
      </c>
      <c r="AG142" s="4" t="s">
        <v>50</v>
      </c>
      <c r="AH142" s="0" t="str">
        <f aca="false">IF(AND(AA142="Completed",Z142="Paid"),"Yes","No")</f>
        <v>Yes</v>
      </c>
      <c r="AI142" s="0" t="str">
        <f aca="false">IF(OR(AE142="Yes",AF142="Yes",AG142="Yes"),"Invalid",IF(OR(AB142="Yes",AC142="Yes",AD142="Yes"),"Warning","Clean"))</f>
        <v>Clean</v>
      </c>
      <c r="AJ142" s="4" t="s">
        <v>694</v>
      </c>
      <c r="AK142" s="4" t="s">
        <v>695</v>
      </c>
      <c r="AL142" s="4" t="s">
        <v>67</v>
      </c>
      <c r="AM142" s="4" t="s">
        <v>128</v>
      </c>
      <c r="AN142" s="4" t="s">
        <v>87</v>
      </c>
      <c r="AO142" s="4" t="s">
        <v>233</v>
      </c>
      <c r="AP142" s="4" t="s">
        <v>234</v>
      </c>
      <c r="AQ142" s="4" t="s">
        <v>72</v>
      </c>
      <c r="AR142" s="4" t="s">
        <v>211</v>
      </c>
      <c r="AS142" s="4" t="s">
        <v>74</v>
      </c>
      <c r="AT142" s="0" t="n">
        <v>0</v>
      </c>
      <c r="AU142" s="4" t="s">
        <v>61</v>
      </c>
      <c r="AV142" s="4" t="s">
        <v>62</v>
      </c>
    </row>
    <row r="143" customFormat="false" ht="15" hidden="false" customHeight="false" outlineLevel="0" collapsed="false">
      <c r="A143" s="0" t="s">
        <v>696</v>
      </c>
      <c r="B143" s="3" t="n">
        <f aca="false">IF(AJ143="","",IF(ISNUMBER(SEARCH("/",AJ143)),DATE(VALUE(RIGHT(AJ143,4)),VALUE(LEFT(AJ143,2)),VALUE(MID(AJ143,4,2))),IF(ISNUMBER(SEARCH("-",AJ143)),IF(LEN(LEFT(AJ143,FIND("-",AJ143)-1))=4,DATE(VALUE(LEFT(AJ143,4)),VALUE(MID(AJ143,6,2)),VALUE(RIGHT(AJ143,2))),DATE(VALUE(RIGHT(AJ143,4)),VALUE(MID(AJ143,4,2)),VALUE(LEFT(AJ143,2)))),DATE(VALUE(RIGHT(AJ143,4)),MATCH(MID(AJ143,4,3),{"Jan","Feb","Mar","Apr","May","Jun","Jul","Aug","Sep","Oct","Nov","Dec"},0),VALUE(LEFT(AJ143,2))))))</f>
        <v>45374</v>
      </c>
      <c r="C143" s="3" t="n">
        <f aca="false">IF(AK143="","",IF(ISNUMBER(SEARCH("/",AK143)),DATE(VALUE(RIGHT(AK143,4)),VALUE(LEFT(AK143,2)),VALUE(MID(AK143,4,2))),IF(ISNUMBER(SEARCH("-",AK143)),IF(LEN(LEFT(AK143,FIND("-",AK143)-1))=4,DATE(VALUE(LEFT(AK143,4)),VALUE(MID(AK143,6,2)),VALUE(RIGHT(AK143,2))),DATE(VALUE(RIGHT(AK143,4)),VALUE(MID(AK143,4,2)),VALUE(LEFT(AK143,2)))),DATE(VALUE(RIGHT(AK143,4)),MATCH(MID(AK143,4,3),{"Jan","Feb","Mar","Apr","May","Jun","Jul","Aug","Sep","Oct","Nov","Dec"},0),VALUE(LEFT(AK143,2))))))</f>
        <v>45380</v>
      </c>
      <c r="D143" s="4" t="s">
        <v>697</v>
      </c>
      <c r="E143" s="0" t="str">
        <f aca="false">PROPER(TRIM(AL143))</f>
        <v>Priya Menon</v>
      </c>
      <c r="F143" s="0" t="str">
        <f aca="false">PROPER(TRIM(AM143))</f>
        <v>Corporate</v>
      </c>
      <c r="G143" s="0" t="str">
        <f aca="false">IF(TRIM(AN143)="","Unknown",PROPER(TRIM(AN143)))</f>
        <v>North</v>
      </c>
      <c r="H143" s="0" t="str">
        <f aca="false">PROPER(TRIM(AO143))</f>
        <v>Delhi</v>
      </c>
      <c r="I143" s="0" t="str">
        <f aca="false">PROPER(TRIM(AP143))</f>
        <v>New Delhi</v>
      </c>
      <c r="J143" s="0" t="str">
        <f aca="false">PROPER(TRIM(AQ143))</f>
        <v>Furniture</v>
      </c>
      <c r="K143" s="0" t="str">
        <f aca="false">PROPER(TRIM(AR143))</f>
        <v>Bookcases</v>
      </c>
      <c r="M143" s="0" t="str">
        <f aca="false">IF(TRIM(AS143)="","Unknown",PROPER(TRIM(AS143)))</f>
        <v>Same Day</v>
      </c>
      <c r="N143" s="0" t="n">
        <v>7</v>
      </c>
      <c r="O143" s="0" t="n">
        <v>634.29</v>
      </c>
      <c r="P143" s="5" t="n">
        <f aca="false">IF(AT143="","",IF(ISNUMBER(AT143),AT143,VALUE(SUBSTITUTE(AT143,"%",""))/100))</f>
        <v>0.1</v>
      </c>
      <c r="Q143" s="5" t="n">
        <f aca="false">IF(P143="",IF(AND(N143&lt;&gt;"",O143&lt;&gt;"",R143&lt;&gt;"",S143&lt;&gt;""),0,"REVIEW"),IF(OR(P143&lt;0,P143&gt;0.3),0,P143))</f>
        <v>0.1</v>
      </c>
      <c r="R143" s="0" t="n">
        <v>3996.03</v>
      </c>
      <c r="S143" s="0" t="n">
        <v>2859.51</v>
      </c>
      <c r="T143" s="6" t="n">
        <f aca="false">N143*O143*(1-Q143)</f>
        <v>3996.027</v>
      </c>
      <c r="U143" s="6" t="n">
        <f aca="false">T143-S143</f>
        <v>1136.517</v>
      </c>
      <c r="V143" s="7" t="n">
        <f aca="false">IF(T143=0,0,U143/T143)</f>
        <v>0.284411741962704</v>
      </c>
      <c r="W143" s="4" t="n">
        <f aca="false">C143-B143</f>
        <v>6</v>
      </c>
      <c r="X143" s="0" t="str">
        <f aca="false">TEXT(B143,"mmmm")</f>
        <v>March</v>
      </c>
      <c r="Y143" s="4" t="n">
        <f aca="false">YEAR(B143)</f>
        <v>2024</v>
      </c>
      <c r="Z143" s="0" t="str">
        <f aca="false">PROPER(TRIM(AU143))</f>
        <v>Paid</v>
      </c>
      <c r="AA143" s="0" t="str">
        <f aca="false">PROPER(TRIM(AV143))</f>
        <v>Returned</v>
      </c>
      <c r="AB143" s="0" t="str">
        <f aca="false">IF(TRIM(AN143)="","Yes","No")</f>
        <v>No</v>
      </c>
      <c r="AC143" s="0" t="str">
        <f aca="false">IF(TRIM(AS143)="","Yes","No")</f>
        <v>No</v>
      </c>
      <c r="AD143" s="0" t="str">
        <f aca="false">IF(AT143="","Yes","No")</f>
        <v>No</v>
      </c>
      <c r="AE143" s="0" t="str">
        <f aca="false">IF(W143&lt;0,"Yes","No")</f>
        <v>No</v>
      </c>
      <c r="AF143" s="0" t="str">
        <f aca="false">IF(P143="","No",IF(OR(P143&lt;0,P143&gt;0.3),"Yes","No"))</f>
        <v>No</v>
      </c>
      <c r="AG143" s="4" t="s">
        <v>50</v>
      </c>
      <c r="AH143" s="0" t="str">
        <f aca="false">IF(AND(AA143="Completed",Z143="Paid"),"Yes","No")</f>
        <v>No</v>
      </c>
      <c r="AI143" s="0" t="str">
        <f aca="false">IF(OR(AE143="Yes",AF143="Yes",AG143="Yes"),"Invalid",IF(OR(AB143="Yes",AC143="Yes",AD143="Yes"),"Warning","Clean"))</f>
        <v>Clean</v>
      </c>
      <c r="AJ143" s="4" t="s">
        <v>698</v>
      </c>
      <c r="AK143" s="4" t="s">
        <v>699</v>
      </c>
      <c r="AL143" s="4" t="s">
        <v>158</v>
      </c>
      <c r="AM143" s="4" t="s">
        <v>128</v>
      </c>
      <c r="AN143" s="4" t="s">
        <v>168</v>
      </c>
      <c r="AO143" s="4" t="s">
        <v>461</v>
      </c>
      <c r="AP143" s="4" t="s">
        <v>462</v>
      </c>
      <c r="AQ143" s="4" t="s">
        <v>72</v>
      </c>
      <c r="AR143" s="4" t="s">
        <v>211</v>
      </c>
      <c r="AS143" s="4" t="s">
        <v>74</v>
      </c>
      <c r="AT143" s="0" t="n">
        <v>0.1</v>
      </c>
      <c r="AU143" s="4" t="s">
        <v>61</v>
      </c>
      <c r="AV143" s="4" t="s">
        <v>142</v>
      </c>
    </row>
    <row r="144" customFormat="false" ht="15" hidden="false" customHeight="false" outlineLevel="0" collapsed="false">
      <c r="A144" s="0" t="s">
        <v>700</v>
      </c>
      <c r="B144" s="3" t="n">
        <f aca="false">IF(AJ144="","",IF(ISNUMBER(SEARCH("/",AJ144)),DATE(VALUE(RIGHT(AJ144,4)),VALUE(LEFT(AJ144,2)),VALUE(MID(AJ144,4,2))),IF(ISNUMBER(SEARCH("-",AJ144)),IF(LEN(LEFT(AJ144,FIND("-",AJ144)-1))=4,DATE(VALUE(LEFT(AJ144,4)),VALUE(MID(AJ144,6,2)),VALUE(RIGHT(AJ144,2))),DATE(VALUE(RIGHT(AJ144,4)),VALUE(MID(AJ144,4,2)),VALUE(LEFT(AJ144,2)))),DATE(VALUE(RIGHT(AJ144,4)),MATCH(MID(AJ144,4,3),{"Jan","Feb","Mar","Apr","May","Jun","Jul","Aug","Sep","Oct","Nov","Dec"},0),VALUE(LEFT(AJ144,2))))))</f>
        <v>45381</v>
      </c>
      <c r="C144" s="3" t="n">
        <f aca="false">IF(AK144="","",IF(ISNUMBER(SEARCH("/",AK144)),DATE(VALUE(RIGHT(AK144,4)),VALUE(LEFT(AK144,2)),VALUE(MID(AK144,4,2))),IF(ISNUMBER(SEARCH("-",AK144)),IF(LEN(LEFT(AK144,FIND("-",AK144)-1))=4,DATE(VALUE(LEFT(AK144,4)),VALUE(MID(AK144,6,2)),VALUE(RIGHT(AK144,2))),DATE(VALUE(RIGHT(AK144,4)),VALUE(MID(AK144,4,2)),VALUE(LEFT(AK144,2)))),DATE(VALUE(RIGHT(AK144,4)),MATCH(MID(AK144,4,3),{"Jan","Feb","Mar","Apr","May","Jun","Jul","Aug","Sep","Oct","Nov","Dec"},0),VALUE(LEFT(AK144,2))))))</f>
        <v>45377</v>
      </c>
      <c r="D144" s="4" t="s">
        <v>701</v>
      </c>
      <c r="E144" s="0" t="str">
        <f aca="false">PROPER(TRIM(AL144))</f>
        <v>Aditi Sen</v>
      </c>
      <c r="F144" s="0" t="str">
        <f aca="false">PROPER(TRIM(AM144))</f>
        <v>Home Office</v>
      </c>
      <c r="G144" s="0" t="str">
        <f aca="false">IF(TRIM(AN144)="","Unknown",PROPER(TRIM(AN144)))</f>
        <v>North</v>
      </c>
      <c r="H144" s="0" t="str">
        <f aca="false">PROPER(TRIM(AO144))</f>
        <v>Rajasthan</v>
      </c>
      <c r="I144" s="0" t="str">
        <f aca="false">PROPER(TRIM(AP144))</f>
        <v>Jaipur</v>
      </c>
      <c r="J144" s="0" t="str">
        <f aca="false">PROPER(TRIM(AQ144))</f>
        <v>Technology</v>
      </c>
      <c r="K144" s="0" t="str">
        <f aca="false">PROPER(TRIM(AR144))</f>
        <v>Phones</v>
      </c>
      <c r="M144" s="0" t="str">
        <f aca="false">IF(TRIM(AS144)="","Unknown",PROPER(TRIM(AS144)))</f>
        <v>Second Class</v>
      </c>
      <c r="N144" s="0" t="n">
        <v>5</v>
      </c>
      <c r="O144" s="0" t="n">
        <v>907.54</v>
      </c>
      <c r="P144" s="5" t="n">
        <f aca="false">IF(AT144="","",IF(ISNUMBER(AT144),AT144,VALUE(SUBSTITUTE(AT144,"%",""))/100))</f>
        <v>0.15</v>
      </c>
      <c r="Q144" s="5" t="n">
        <f aca="false">IF(P144="",IF(AND(N144&lt;&gt;"",O144&lt;&gt;"",R144&lt;&gt;"",S144&lt;&gt;""),0,"REVIEW"),IF(OR(P144&lt;0,P144&gt;0.3),0,P144))</f>
        <v>0.15</v>
      </c>
      <c r="R144" s="0" t="n">
        <v>3857.04</v>
      </c>
      <c r="S144" s="0" t="n">
        <v>2769.26</v>
      </c>
      <c r="T144" s="6" t="n">
        <f aca="false">N144*O144*(1-Q144)</f>
        <v>3857.045</v>
      </c>
      <c r="U144" s="6" t="n">
        <f aca="false">T144-S144</f>
        <v>1087.785</v>
      </c>
      <c r="V144" s="7" t="n">
        <f aca="false">IF(T144=0,0,U144/T144)</f>
        <v>0.282025488424428</v>
      </c>
      <c r="W144" s="4" t="n">
        <f aca="false">C144-B144</f>
        <v>-4</v>
      </c>
      <c r="X144" s="0" t="str">
        <f aca="false">TEXT(B144,"mmmm")</f>
        <v>March</v>
      </c>
      <c r="Y144" s="4" t="n">
        <f aca="false">YEAR(B144)</f>
        <v>2024</v>
      </c>
      <c r="Z144" s="0" t="str">
        <f aca="false">PROPER(TRIM(AU144))</f>
        <v>Paid</v>
      </c>
      <c r="AA144" s="0" t="str">
        <f aca="false">PROPER(TRIM(AV144))</f>
        <v>Completed</v>
      </c>
      <c r="AB144" s="0" t="str">
        <f aca="false">IF(TRIM(AN144)="","Yes","No")</f>
        <v>No</v>
      </c>
      <c r="AC144" s="0" t="str">
        <f aca="false">IF(TRIM(AS144)="","Yes","No")</f>
        <v>No</v>
      </c>
      <c r="AD144" s="0" t="str">
        <f aca="false">IF(AT144="","Yes","No")</f>
        <v>No</v>
      </c>
      <c r="AE144" s="0" t="str">
        <f aca="false">IF(W144&lt;0,"Yes","No")</f>
        <v>Yes</v>
      </c>
      <c r="AF144" s="0" t="str">
        <f aca="false">IF(P144="","No",IF(OR(P144&lt;0,P144&gt;0.3),"Yes","No"))</f>
        <v>No</v>
      </c>
      <c r="AG144" s="4" t="s">
        <v>497</v>
      </c>
      <c r="AH144" s="0" t="str">
        <f aca="false">IF(AND(AA144="Completed",Z144="Paid"),"Yes","No")</f>
        <v>Yes</v>
      </c>
      <c r="AI144" s="0" t="str">
        <f aca="false">IF(OR(AE144="Yes",AF144="Yes",AG144="Yes"),"Invalid",IF(OR(AB144="Yes",AC144="Yes",AD144="Yes"),"Warning","Clean"))</f>
        <v>Invalid</v>
      </c>
      <c r="AJ144" s="4" t="s">
        <v>702</v>
      </c>
      <c r="AK144" s="4" t="s">
        <v>703</v>
      </c>
      <c r="AL144" s="4" t="s">
        <v>127</v>
      </c>
      <c r="AM144" s="4" t="s">
        <v>134</v>
      </c>
      <c r="AN144" s="4" t="s">
        <v>168</v>
      </c>
      <c r="AO144" s="4" t="s">
        <v>56</v>
      </c>
      <c r="AP144" s="4" t="s">
        <v>57</v>
      </c>
      <c r="AQ144" s="4" t="s">
        <v>109</v>
      </c>
      <c r="AR144" s="4" t="s">
        <v>227</v>
      </c>
      <c r="AS144" s="4" t="s">
        <v>60</v>
      </c>
      <c r="AT144" s="0" t="n">
        <v>0.15</v>
      </c>
      <c r="AU144" s="4" t="s">
        <v>61</v>
      </c>
      <c r="AV144" s="4" t="s">
        <v>62</v>
      </c>
    </row>
    <row r="145" customFormat="false" ht="15" hidden="false" customHeight="false" outlineLevel="0" collapsed="false">
      <c r="A145" s="0" t="s">
        <v>704</v>
      </c>
      <c r="B145" s="3" t="n">
        <f aca="false">IF(AJ145="","",IF(ISNUMBER(SEARCH("/",AJ145)),DATE(VALUE(RIGHT(AJ145,4)),VALUE(LEFT(AJ145,2)),VALUE(MID(AJ145,4,2))),IF(ISNUMBER(SEARCH("-",AJ145)),IF(LEN(LEFT(AJ145,FIND("-",AJ145)-1))=4,DATE(VALUE(LEFT(AJ145,4)),VALUE(MID(AJ145,6,2)),VALUE(RIGHT(AJ145,2))),DATE(VALUE(RIGHT(AJ145,4)),VALUE(MID(AJ145,4,2)),VALUE(LEFT(AJ145,2)))),DATE(VALUE(RIGHT(AJ145,4)),MATCH(MID(AJ145,4,3),{"Jan","Feb","Mar","Apr","May","Jun","Jul","Aug","Sep","Oct","Nov","Dec"},0),VALUE(LEFT(AJ145,2))))))</f>
        <v>45375</v>
      </c>
      <c r="C145" s="3" t="n">
        <f aca="false">IF(AK145="","",IF(ISNUMBER(SEARCH("/",AK145)),DATE(VALUE(RIGHT(AK145,4)),VALUE(LEFT(AK145,2)),VALUE(MID(AK145,4,2))),IF(ISNUMBER(SEARCH("-",AK145)),IF(LEN(LEFT(AK145,FIND("-",AK145)-1))=4,DATE(VALUE(LEFT(AK145,4)),VALUE(MID(AK145,6,2)),VALUE(RIGHT(AK145,2))),DATE(VALUE(RIGHT(AK145,4)),VALUE(MID(AK145,4,2)),VALUE(LEFT(AK145,2)))),DATE(VALUE(RIGHT(AK145,4)),MATCH(MID(AK145,4,3),{"Jan","Feb","Mar","Apr","May","Jun","Jul","Aug","Sep","Oct","Nov","Dec"},0),VALUE(LEFT(AK145,2))))))</f>
        <v>45377</v>
      </c>
      <c r="D145" s="4" t="s">
        <v>705</v>
      </c>
      <c r="E145" s="0" t="str">
        <f aca="false">PROPER(TRIM(AL145))</f>
        <v>Priya Menon</v>
      </c>
      <c r="F145" s="0" t="str">
        <f aca="false">PROPER(TRIM(AM145))</f>
        <v>Consumer</v>
      </c>
      <c r="G145" s="0" t="str">
        <f aca="false">IF(TRIM(AN145)="","Unknown",PROPER(TRIM(AN145)))</f>
        <v>West</v>
      </c>
      <c r="H145" s="0" t="str">
        <f aca="false">PROPER(TRIM(AO145))</f>
        <v>Gujarat</v>
      </c>
      <c r="I145" s="0" t="str">
        <f aca="false">PROPER(TRIM(AP145))</f>
        <v>Ahmedabad</v>
      </c>
      <c r="J145" s="0" t="str">
        <f aca="false">PROPER(TRIM(AQ145))</f>
        <v>Office Supplies</v>
      </c>
      <c r="K145" s="0" t="str">
        <f aca="false">PROPER(TRIM(AR145))</f>
        <v>Paper</v>
      </c>
      <c r="M145" s="0" t="str">
        <f aca="false">IF(TRIM(AS145)="","Unknown",PROPER(TRIM(AS145)))</f>
        <v>Second Class</v>
      </c>
      <c r="N145" s="0" t="n">
        <v>1</v>
      </c>
      <c r="O145" s="0" t="n">
        <v>3409.5</v>
      </c>
      <c r="P145" s="5" t="n">
        <f aca="false">IF(AT145="","",IF(ISNUMBER(AT145),AT145,VALUE(SUBSTITUTE(AT145,"%",""))/100))</f>
        <v>0.1</v>
      </c>
      <c r="Q145" s="5" t="n">
        <f aca="false">IF(P145="",IF(AND(N145&lt;&gt;"",O145&lt;&gt;"",R145&lt;&gt;"",S145&lt;&gt;""),0,"REVIEW"),IF(OR(P145&lt;0,P145&gt;0.3),0,P145))</f>
        <v>0.1</v>
      </c>
      <c r="R145" s="0" t="n">
        <v>3068.55</v>
      </c>
      <c r="S145" s="0" t="n">
        <v>1916.16</v>
      </c>
      <c r="T145" s="6" t="n">
        <f aca="false">N145*O145*(1-Q145)</f>
        <v>3068.55</v>
      </c>
      <c r="U145" s="6" t="n">
        <f aca="false">T145-S145</f>
        <v>1152.39</v>
      </c>
      <c r="V145" s="7" t="n">
        <f aca="false">IF(T145=0,0,U145/T145)</f>
        <v>0.375548711932346</v>
      </c>
      <c r="W145" s="4" t="n">
        <f aca="false">C145-B145</f>
        <v>2</v>
      </c>
      <c r="X145" s="0" t="str">
        <f aca="false">TEXT(B145,"mmmm")</f>
        <v>March</v>
      </c>
      <c r="Y145" s="4" t="n">
        <f aca="false">YEAR(B145)</f>
        <v>2024</v>
      </c>
      <c r="Z145" s="0" t="str">
        <f aca="false">PROPER(TRIM(AU145))</f>
        <v>Paid</v>
      </c>
      <c r="AA145" s="0" t="str">
        <f aca="false">PROPER(TRIM(AV145))</f>
        <v>Returned</v>
      </c>
      <c r="AB145" s="0" t="str">
        <f aca="false">IF(TRIM(AN145)="","Yes","No")</f>
        <v>No</v>
      </c>
      <c r="AC145" s="0" t="str">
        <f aca="false">IF(TRIM(AS145)="","Yes","No")</f>
        <v>No</v>
      </c>
      <c r="AD145" s="0" t="str">
        <f aca="false">IF(AT145="","Yes","No")</f>
        <v>No</v>
      </c>
      <c r="AE145" s="0" t="str">
        <f aca="false">IF(W145&lt;0,"Yes","No")</f>
        <v>No</v>
      </c>
      <c r="AF145" s="0" t="str">
        <f aca="false">IF(P145="","No",IF(OR(P145&lt;0,P145&gt;0.3),"Yes","No"))</f>
        <v>No</v>
      </c>
      <c r="AG145" s="4" t="s">
        <v>50</v>
      </c>
      <c r="AH145" s="0" t="str">
        <f aca="false">IF(AND(AA145="Completed",Z145="Paid"),"Yes","No")</f>
        <v>No</v>
      </c>
      <c r="AI145" s="0" t="str">
        <f aca="false">IF(OR(AE145="Yes",AF145="Yes",AG145="Yes"),"Invalid",IF(OR(AB145="Yes",AC145="Yes",AD145="Yes"),"Warning","Clean"))</f>
        <v>Clean</v>
      </c>
      <c r="AJ145" s="4" t="s">
        <v>491</v>
      </c>
      <c r="AK145" s="4" t="s">
        <v>706</v>
      </c>
      <c r="AL145" s="4" t="s">
        <v>158</v>
      </c>
      <c r="AM145" s="4" t="s">
        <v>54</v>
      </c>
      <c r="AN145" s="4" t="s">
        <v>97</v>
      </c>
      <c r="AO145" s="4" t="s">
        <v>238</v>
      </c>
      <c r="AP145" s="4" t="s">
        <v>239</v>
      </c>
      <c r="AQ145" s="4" t="s">
        <v>58</v>
      </c>
      <c r="AR145" s="4" t="s">
        <v>59</v>
      </c>
      <c r="AS145" s="4" t="s">
        <v>60</v>
      </c>
      <c r="AT145" s="0" t="n">
        <v>0.1</v>
      </c>
      <c r="AU145" s="4" t="s">
        <v>61</v>
      </c>
      <c r="AV145" s="4" t="s">
        <v>142</v>
      </c>
    </row>
    <row r="146" customFormat="false" ht="15" hidden="false" customHeight="false" outlineLevel="0" collapsed="false">
      <c r="A146" s="0" t="s">
        <v>707</v>
      </c>
      <c r="B146" s="3" t="n">
        <f aca="false">IF(AJ146="","",IF(ISNUMBER(SEARCH("/",AJ146)),DATE(VALUE(RIGHT(AJ146,4)),VALUE(LEFT(AJ146,2)),VALUE(MID(AJ146,4,2))),IF(ISNUMBER(SEARCH("-",AJ146)),IF(LEN(LEFT(AJ146,FIND("-",AJ146)-1))=4,DATE(VALUE(LEFT(AJ146,4)),VALUE(MID(AJ146,6,2)),VALUE(RIGHT(AJ146,2))),DATE(VALUE(RIGHT(AJ146,4)),VALUE(MID(AJ146,4,2)),VALUE(LEFT(AJ146,2)))),DATE(VALUE(RIGHT(AJ146,4)),MATCH(MID(AJ146,4,3),{"Jan","Feb","Mar","Apr","May","Jun","Jul","Aug","Sep","Oct","Nov","Dec"},0),VALUE(LEFT(AJ146,2))))))</f>
        <v>45450</v>
      </c>
      <c r="C146" s="3" t="n">
        <f aca="false">IF(AK146="","",IF(ISNUMBER(SEARCH("/",AK146)),DATE(VALUE(RIGHT(AK146,4)),VALUE(LEFT(AK146,2)),VALUE(MID(AK146,4,2))),IF(ISNUMBER(SEARCH("-",AK146)),IF(LEN(LEFT(AK146,FIND("-",AK146)-1))=4,DATE(VALUE(LEFT(AK146,4)),VALUE(MID(AK146,6,2)),VALUE(RIGHT(AK146,2))),DATE(VALUE(RIGHT(AK146,4)),VALUE(MID(AK146,4,2)),VALUE(LEFT(AK146,2)))),DATE(VALUE(RIGHT(AK146,4)),MATCH(MID(AK146,4,3),{"Jan","Feb","Mar","Apr","May","Jun","Jul","Aug","Sep","Oct","Nov","Dec"},0),VALUE(LEFT(AK146,2))))))</f>
        <v>45458</v>
      </c>
      <c r="D146" s="4" t="s">
        <v>708</v>
      </c>
      <c r="E146" s="0" t="str">
        <f aca="false">PROPER(TRIM(AL146))</f>
        <v>Kabir Singh</v>
      </c>
      <c r="F146" s="0" t="str">
        <f aca="false">PROPER(TRIM(AM146))</f>
        <v>Small Business</v>
      </c>
      <c r="G146" s="0" t="str">
        <f aca="false">IF(TRIM(AN146)="","Unknown",PROPER(TRIM(AN146)))</f>
        <v>South</v>
      </c>
      <c r="H146" s="0" t="str">
        <f aca="false">PROPER(TRIM(AO146))</f>
        <v>Telangana</v>
      </c>
      <c r="I146" s="0" t="str">
        <f aca="false">PROPER(TRIM(AP146))</f>
        <v>Hyderabad</v>
      </c>
      <c r="J146" s="0" t="str">
        <f aca="false">PROPER(TRIM(AQ146))</f>
        <v>Technology</v>
      </c>
      <c r="K146" s="0" t="str">
        <f aca="false">PROPER(TRIM(AR146))</f>
        <v>Accessories</v>
      </c>
      <c r="M146" s="0" t="str">
        <f aca="false">IF(TRIM(AS146)="","Unknown",PROPER(TRIM(AS146)))</f>
        <v>First Class</v>
      </c>
      <c r="N146" s="0" t="n">
        <v>7</v>
      </c>
      <c r="O146" s="0" t="n">
        <v>2147.99</v>
      </c>
      <c r="P146" s="5" t="n">
        <f aca="false">IF(AT146="","",IF(ISNUMBER(AT146),AT146,VALUE(SUBSTITUTE(AT146,"%",""))/100))</f>
        <v>0.25</v>
      </c>
      <c r="Q146" s="5" t="n">
        <f aca="false">IF(P146="",IF(AND(N146&lt;&gt;"",O146&lt;&gt;"",R146&lt;&gt;"",S146&lt;&gt;""),0,"REVIEW"),IF(OR(P146&lt;0,P146&gt;0.3),0,P146))</f>
        <v>0.25</v>
      </c>
      <c r="R146" s="0" t="n">
        <v>11276.95</v>
      </c>
      <c r="S146" s="0" t="n">
        <v>6908.76</v>
      </c>
      <c r="T146" s="6" t="n">
        <f aca="false">N146*O146*(1-Q146)</f>
        <v>11276.9475</v>
      </c>
      <c r="U146" s="6" t="n">
        <f aca="false">T146-S146</f>
        <v>4368.1875</v>
      </c>
      <c r="V146" s="7" t="n">
        <f aca="false">IF(T146=0,0,U146/T146)</f>
        <v>0.387355487821505</v>
      </c>
      <c r="W146" s="4" t="n">
        <f aca="false">C146-B146</f>
        <v>8</v>
      </c>
      <c r="X146" s="0" t="str">
        <f aca="false">TEXT(B146,"mmmm")</f>
        <v>June</v>
      </c>
      <c r="Y146" s="4" t="n">
        <f aca="false">YEAR(B146)</f>
        <v>2024</v>
      </c>
      <c r="Z146" s="0" t="str">
        <f aca="false">PROPER(TRIM(AU146))</f>
        <v>Refunded</v>
      </c>
      <c r="AA146" s="0" t="str">
        <f aca="false">PROPER(TRIM(AV146))</f>
        <v>Returned</v>
      </c>
      <c r="AB146" s="0" t="str">
        <f aca="false">IF(TRIM(AN146)="","Yes","No")</f>
        <v>No</v>
      </c>
      <c r="AC146" s="0" t="str">
        <f aca="false">IF(TRIM(AS146)="","Yes","No")</f>
        <v>No</v>
      </c>
      <c r="AD146" s="0" t="str">
        <f aca="false">IF(AT146="","Yes","No")</f>
        <v>No</v>
      </c>
      <c r="AE146" s="0" t="str">
        <f aca="false">IF(W146&lt;0,"Yes","No")</f>
        <v>No</v>
      </c>
      <c r="AF146" s="0" t="str">
        <f aca="false">IF(P146="","No",IF(OR(P146&lt;0,P146&gt;0.3),"Yes","No"))</f>
        <v>No</v>
      </c>
      <c r="AG146" s="4" t="s">
        <v>50</v>
      </c>
      <c r="AH146" s="0" t="str">
        <f aca="false">IF(AND(AA146="Completed",Z146="Paid"),"Yes","No")</f>
        <v>No</v>
      </c>
      <c r="AI146" s="0" t="str">
        <f aca="false">IF(OR(AE146="Yes",AF146="Yes",AG146="Yes"),"Invalid",IF(OR(AB146="Yes",AC146="Yes",AD146="Yes"),"Warning","Clean"))</f>
        <v>Clean</v>
      </c>
      <c r="AJ146" s="4" t="s">
        <v>520</v>
      </c>
      <c r="AK146" s="4" t="s">
        <v>709</v>
      </c>
      <c r="AL146" s="4" t="s">
        <v>347</v>
      </c>
      <c r="AM146" s="4" t="s">
        <v>68</v>
      </c>
      <c r="AN146" s="4" t="s">
        <v>87</v>
      </c>
      <c r="AO146" s="4" t="s">
        <v>88</v>
      </c>
      <c r="AP146" s="4" t="s">
        <v>89</v>
      </c>
      <c r="AQ146" s="4" t="s">
        <v>109</v>
      </c>
      <c r="AR146" s="4" t="s">
        <v>110</v>
      </c>
      <c r="AS146" s="4" t="s">
        <v>81</v>
      </c>
      <c r="AT146" s="0" t="n">
        <v>0.25</v>
      </c>
      <c r="AU146" s="4" t="s">
        <v>141</v>
      </c>
      <c r="AV146" s="4" t="s">
        <v>142</v>
      </c>
    </row>
    <row r="147" customFormat="false" ht="15" hidden="false" customHeight="false" outlineLevel="0" collapsed="false">
      <c r="A147" s="0" t="s">
        <v>710</v>
      </c>
      <c r="B147" s="3" t="n">
        <f aca="false">IF(AJ147="","",IF(ISNUMBER(SEARCH("/",AJ147)),DATE(VALUE(RIGHT(AJ147,4)),VALUE(LEFT(AJ147,2)),VALUE(MID(AJ147,4,2))),IF(ISNUMBER(SEARCH("-",AJ147)),IF(LEN(LEFT(AJ147,FIND("-",AJ147)-1))=4,DATE(VALUE(LEFT(AJ147,4)),VALUE(MID(AJ147,6,2)),VALUE(RIGHT(AJ147,2))),DATE(VALUE(RIGHT(AJ147,4)),VALUE(MID(AJ147,4,2)),VALUE(LEFT(AJ147,2)))),DATE(VALUE(RIGHT(AJ147,4)),MATCH(MID(AJ147,4,3),{"Jan","Feb","Mar","Apr","May","Jun","Jul","Aug","Sep","Oct","Nov","Dec"},0),VALUE(LEFT(AJ147,2))))))</f>
        <v>45758</v>
      </c>
      <c r="C147" s="3" t="n">
        <f aca="false">IF(AK147="","",IF(ISNUMBER(SEARCH("/",AK147)),DATE(VALUE(RIGHT(AK147,4)),VALUE(LEFT(AK147,2)),VALUE(MID(AK147,4,2))),IF(ISNUMBER(SEARCH("-",AK147)),IF(LEN(LEFT(AK147,FIND("-",AK147)-1))=4,DATE(VALUE(LEFT(AK147,4)),VALUE(MID(AK147,6,2)),VALUE(RIGHT(AK147,2))),DATE(VALUE(RIGHT(AK147,4)),VALUE(MID(AK147,4,2)),VALUE(LEFT(AK147,2)))),DATE(VALUE(RIGHT(AK147,4)),MATCH(MID(AK147,4,3),{"Jan","Feb","Mar","Apr","May","Jun","Jul","Aug","Sep","Oct","Nov","Dec"},0),VALUE(LEFT(AK147,2))))))</f>
        <v>45760</v>
      </c>
      <c r="D147" s="4" t="s">
        <v>711</v>
      </c>
      <c r="E147" s="0" t="str">
        <f aca="false">PROPER(TRIM(AL147))</f>
        <v>Mira Das</v>
      </c>
      <c r="F147" s="0" t="str">
        <f aca="false">PROPER(TRIM(AM147))</f>
        <v>Small Business</v>
      </c>
      <c r="G147" s="0" t="str">
        <f aca="false">IF(TRIM(AN147)="","Unknown",PROPER(TRIM(AN147)))</f>
        <v>West</v>
      </c>
      <c r="H147" s="0" t="str">
        <f aca="false">PROPER(TRIM(AO147))</f>
        <v>Goa</v>
      </c>
      <c r="I147" s="0" t="str">
        <f aca="false">PROPER(TRIM(AP147))</f>
        <v>Panaji</v>
      </c>
      <c r="J147" s="0" t="str">
        <f aca="false">PROPER(TRIM(AQ147))</f>
        <v>Office Supplies</v>
      </c>
      <c r="K147" s="0" t="str">
        <f aca="false">PROPER(TRIM(AR147))</f>
        <v>Paper</v>
      </c>
      <c r="M147" s="0" t="str">
        <f aca="false">IF(TRIM(AS147)="","Unknown",PROPER(TRIM(AS147)))</f>
        <v>Standard Class</v>
      </c>
      <c r="N147" s="0" t="n">
        <v>4</v>
      </c>
      <c r="O147" s="0" t="n">
        <v>4182.15</v>
      </c>
      <c r="P147" s="5" t="n">
        <f aca="false">IF(AT147="","",IF(ISNUMBER(AT147),AT147,VALUE(SUBSTITUTE(AT147,"%",""))/100))</f>
        <v>0.1</v>
      </c>
      <c r="Q147" s="5" t="n">
        <f aca="false">IF(P147="",IF(AND(N147&lt;&gt;"",O147&lt;&gt;"",R147&lt;&gt;"",S147&lt;&gt;""),0,"REVIEW"),IF(OR(P147&lt;0,P147&gt;0.3),0,P147))</f>
        <v>0.1</v>
      </c>
      <c r="R147" s="0" t="n">
        <v>15055.74</v>
      </c>
      <c r="S147" s="0" t="n">
        <v>9808.83</v>
      </c>
      <c r="T147" s="6" t="n">
        <f aca="false">N147*O147*(1-Q147)</f>
        <v>15055.74</v>
      </c>
      <c r="U147" s="6" t="n">
        <f aca="false">T147-S147</f>
        <v>5246.91</v>
      </c>
      <c r="V147" s="7" t="n">
        <f aca="false">IF(T147=0,0,U147/T147)</f>
        <v>0.348498977798501</v>
      </c>
      <c r="W147" s="4" t="n">
        <f aca="false">C147-B147</f>
        <v>2</v>
      </c>
      <c r="X147" s="0" t="str">
        <f aca="false">TEXT(B147,"mmmm")</f>
        <v>April</v>
      </c>
      <c r="Y147" s="4" t="n">
        <f aca="false">YEAR(B147)</f>
        <v>2025</v>
      </c>
      <c r="Z147" s="0" t="str">
        <f aca="false">PROPER(TRIM(AU147))</f>
        <v>Paid</v>
      </c>
      <c r="AA147" s="0" t="str">
        <f aca="false">PROPER(TRIM(AV147))</f>
        <v>Completed</v>
      </c>
      <c r="AB147" s="0" t="str">
        <f aca="false">IF(TRIM(AN147)="","Yes","No")</f>
        <v>No</v>
      </c>
      <c r="AC147" s="0" t="str">
        <f aca="false">IF(TRIM(AS147)="","Yes","No")</f>
        <v>No</v>
      </c>
      <c r="AD147" s="0" t="str">
        <f aca="false">IF(AT147="","Yes","No")</f>
        <v>No</v>
      </c>
      <c r="AE147" s="0" t="str">
        <f aca="false">IF(W147&lt;0,"Yes","No")</f>
        <v>No</v>
      </c>
      <c r="AF147" s="0" t="str">
        <f aca="false">IF(P147="","No",IF(OR(P147&lt;0,P147&gt;0.3),"Yes","No"))</f>
        <v>No</v>
      </c>
      <c r="AG147" s="4" t="s">
        <v>50</v>
      </c>
      <c r="AH147" s="0" t="str">
        <f aca="false">IF(AND(AA147="Completed",Z147="Paid"),"Yes","No")</f>
        <v>Yes</v>
      </c>
      <c r="AI147" s="0" t="str">
        <f aca="false">IF(OR(AE147="Yes",AF147="Yes",AG147="Yes"),"Invalid",IF(OR(AB147="Yes",AC147="Yes",AD147="Yes"),"Warning","Clean"))</f>
        <v>Clean</v>
      </c>
      <c r="AJ147" s="4" t="s">
        <v>712</v>
      </c>
      <c r="AK147" s="4" t="s">
        <v>713</v>
      </c>
      <c r="AL147" s="4" t="s">
        <v>67</v>
      </c>
      <c r="AM147" s="4" t="s">
        <v>68</v>
      </c>
      <c r="AN147" s="4" t="s">
        <v>97</v>
      </c>
      <c r="AO147" s="4" t="s">
        <v>250</v>
      </c>
      <c r="AP147" s="4" t="s">
        <v>251</v>
      </c>
      <c r="AQ147" s="4" t="s">
        <v>58</v>
      </c>
      <c r="AR147" s="4" t="s">
        <v>59</v>
      </c>
      <c r="AS147" s="4" t="s">
        <v>91</v>
      </c>
      <c r="AT147" s="0" t="n">
        <v>0.1</v>
      </c>
      <c r="AU147" s="4" t="s">
        <v>61</v>
      </c>
      <c r="AV147" s="4" t="s">
        <v>62</v>
      </c>
    </row>
    <row r="148" customFormat="false" ht="15" hidden="false" customHeight="false" outlineLevel="0" collapsed="false">
      <c r="A148" s="0" t="s">
        <v>714</v>
      </c>
      <c r="B148" s="3" t="n">
        <f aca="false">IF(AJ148="","",IF(ISNUMBER(SEARCH("/",AJ148)),DATE(VALUE(RIGHT(AJ148,4)),VALUE(LEFT(AJ148,2)),VALUE(MID(AJ148,4,2))),IF(ISNUMBER(SEARCH("-",AJ148)),IF(LEN(LEFT(AJ148,FIND("-",AJ148)-1))=4,DATE(VALUE(LEFT(AJ148,4)),VALUE(MID(AJ148,6,2)),VALUE(RIGHT(AJ148,2))),DATE(VALUE(RIGHT(AJ148,4)),VALUE(MID(AJ148,4,2)),VALUE(LEFT(AJ148,2)))),DATE(VALUE(RIGHT(AJ148,4)),MATCH(MID(AJ148,4,3),{"Jan","Feb","Mar","Apr","May","Jun","Jul","Aug","Sep","Oct","Nov","Dec"},0),VALUE(LEFT(AJ148,2))))))</f>
        <v>45868</v>
      </c>
      <c r="C148" s="3" t="n">
        <f aca="false">IF(AK148="","",IF(ISNUMBER(SEARCH("/",AK148)),DATE(VALUE(RIGHT(AK148,4)),VALUE(LEFT(AK148,2)),VALUE(MID(AK148,4,2))),IF(ISNUMBER(SEARCH("-",AK148)),IF(LEN(LEFT(AK148,FIND("-",AK148)-1))=4,DATE(VALUE(LEFT(AK148,4)),VALUE(MID(AK148,6,2)),VALUE(RIGHT(AK148,2))),DATE(VALUE(RIGHT(AK148,4)),VALUE(MID(AK148,4,2)),VALUE(LEFT(AK148,2)))),DATE(VALUE(RIGHT(AK148,4)),MATCH(MID(AK148,4,3),{"Jan","Feb","Mar","Apr","May","Jun","Jul","Aug","Sep","Oct","Nov","Dec"},0),VALUE(LEFT(AK148,2))))))</f>
        <v>45870</v>
      </c>
      <c r="D148" s="4" t="s">
        <v>715</v>
      </c>
      <c r="E148" s="0" t="str">
        <f aca="false">PROPER(TRIM(AL148))</f>
        <v>Sneha Kapoor</v>
      </c>
      <c r="F148" s="0" t="str">
        <f aca="false">PROPER(TRIM(AM148))</f>
        <v>Small Business</v>
      </c>
      <c r="G148" s="0" t="str">
        <f aca="false">IF(TRIM(AN148)="","Unknown",PROPER(TRIM(AN148)))</f>
        <v>South</v>
      </c>
      <c r="H148" s="0" t="str">
        <f aca="false">PROPER(TRIM(AO148))</f>
        <v>Tamil Nadu</v>
      </c>
      <c r="I148" s="0" t="str">
        <f aca="false">PROPER(TRIM(AP148))</f>
        <v>Chennai</v>
      </c>
      <c r="J148" s="0" t="str">
        <f aca="false">PROPER(TRIM(AQ148))</f>
        <v>Office Supplies</v>
      </c>
      <c r="K148" s="0" t="str">
        <f aca="false">PROPER(TRIM(AR148))</f>
        <v>Storage</v>
      </c>
      <c r="M148" s="0" t="str">
        <f aca="false">IF(TRIM(AS148)="","Unknown",PROPER(TRIM(AS148)))</f>
        <v>Same Day</v>
      </c>
      <c r="N148" s="0" t="n">
        <v>9</v>
      </c>
      <c r="O148" s="0" t="n">
        <v>3165.43</v>
      </c>
      <c r="P148" s="5" t="n">
        <f aca="false">IF(AT148="","",IF(ISNUMBER(AT148),AT148,VALUE(SUBSTITUTE(AT148,"%",""))/100))</f>
        <v>0.1</v>
      </c>
      <c r="Q148" s="5" t="n">
        <f aca="false">IF(P148="",IF(AND(N148&lt;&gt;"",O148&lt;&gt;"",R148&lt;&gt;"",S148&lt;&gt;""),0,"REVIEW"),IF(OR(P148&lt;0,P148&gt;0.3),0,P148))</f>
        <v>0.1</v>
      </c>
      <c r="R148" s="0" t="n">
        <v>25639.98</v>
      </c>
      <c r="S148" s="0" t="n">
        <v>21635.08</v>
      </c>
      <c r="T148" s="6" t="n">
        <f aca="false">N148*O148*(1-Q148)</f>
        <v>25639.983</v>
      </c>
      <c r="U148" s="6" t="n">
        <f aca="false">T148-S148</f>
        <v>4004.903</v>
      </c>
      <c r="V148" s="7" t="n">
        <f aca="false">IF(T148=0,0,U148/T148)</f>
        <v>0.156197568461726</v>
      </c>
      <c r="W148" s="4" t="n">
        <f aca="false">C148-B148</f>
        <v>2</v>
      </c>
      <c r="X148" s="0" t="str">
        <f aca="false">TEXT(B148,"mmmm")</f>
        <v>July</v>
      </c>
      <c r="Y148" s="4" t="n">
        <f aca="false">YEAR(B148)</f>
        <v>2025</v>
      </c>
      <c r="Z148" s="0" t="str">
        <f aca="false">PROPER(TRIM(AU148))</f>
        <v>Paid</v>
      </c>
      <c r="AA148" s="0" t="str">
        <f aca="false">PROPER(TRIM(AV148))</f>
        <v>Completed</v>
      </c>
      <c r="AB148" s="0" t="str">
        <f aca="false">IF(TRIM(AN148)="","Yes","No")</f>
        <v>No</v>
      </c>
      <c r="AC148" s="0" t="str">
        <f aca="false">IF(TRIM(AS148)="","Yes","No")</f>
        <v>No</v>
      </c>
      <c r="AD148" s="0" t="str">
        <f aca="false">IF(AT148="","Yes","No")</f>
        <v>No</v>
      </c>
      <c r="AE148" s="0" t="str">
        <f aca="false">IF(W148&lt;0,"Yes","No")</f>
        <v>No</v>
      </c>
      <c r="AF148" s="0" t="str">
        <f aca="false">IF(P148="","No",IF(OR(P148&lt;0,P148&gt;0.3),"Yes","No"))</f>
        <v>No</v>
      </c>
      <c r="AG148" s="4" t="s">
        <v>50</v>
      </c>
      <c r="AH148" s="0" t="str">
        <f aca="false">IF(AND(AA148="Completed",Z148="Paid"),"Yes","No")</f>
        <v>Yes</v>
      </c>
      <c r="AI148" s="0" t="str">
        <f aca="false">IF(OR(AE148="Yes",AF148="Yes",AG148="Yes"),"Invalid",IF(OR(AB148="Yes",AC148="Yes",AD148="Yes"),"Warning","Clean"))</f>
        <v>Clean</v>
      </c>
      <c r="AJ148" s="4" t="s">
        <v>716</v>
      </c>
      <c r="AK148" s="4" t="s">
        <v>717</v>
      </c>
      <c r="AL148" s="4" t="s">
        <v>181</v>
      </c>
      <c r="AM148" s="4" t="s">
        <v>68</v>
      </c>
      <c r="AN148" s="4" t="s">
        <v>87</v>
      </c>
      <c r="AO148" s="4" t="s">
        <v>323</v>
      </c>
      <c r="AP148" s="4" t="s">
        <v>324</v>
      </c>
      <c r="AQ148" s="4" t="s">
        <v>58</v>
      </c>
      <c r="AR148" s="4" t="s">
        <v>171</v>
      </c>
      <c r="AS148" s="4" t="s">
        <v>74</v>
      </c>
      <c r="AT148" s="0" t="n">
        <v>0.1</v>
      </c>
      <c r="AU148" s="4" t="s">
        <v>61</v>
      </c>
      <c r="AV148" s="4" t="s">
        <v>62</v>
      </c>
    </row>
    <row r="149" customFormat="false" ht="15" hidden="false" customHeight="false" outlineLevel="0" collapsed="false">
      <c r="A149" s="0" t="s">
        <v>718</v>
      </c>
      <c r="B149" s="3" t="n">
        <f aca="false">IF(AJ149="","",IF(ISNUMBER(SEARCH("/",AJ149)),DATE(VALUE(RIGHT(AJ149,4)),VALUE(LEFT(AJ149,2)),VALUE(MID(AJ149,4,2))),IF(ISNUMBER(SEARCH("-",AJ149)),IF(LEN(LEFT(AJ149,FIND("-",AJ149)-1))=4,DATE(VALUE(LEFT(AJ149,4)),VALUE(MID(AJ149,6,2)),VALUE(RIGHT(AJ149,2))),DATE(VALUE(RIGHT(AJ149,4)),VALUE(MID(AJ149,4,2)),VALUE(LEFT(AJ149,2)))),DATE(VALUE(RIGHT(AJ149,4)),MATCH(MID(AJ149,4,3),{"Jan","Feb","Mar","Apr","May","Jun","Jul","Aug","Sep","Oct","Nov","Dec"},0),VALUE(LEFT(AJ149,2))))))</f>
        <v>45649</v>
      </c>
      <c r="C149" s="3" t="n">
        <f aca="false">IF(AK149="","",IF(ISNUMBER(SEARCH("/",AK149)),DATE(VALUE(RIGHT(AK149,4)),VALUE(LEFT(AK149,2)),VALUE(MID(AK149,4,2))),IF(ISNUMBER(SEARCH("-",AK149)),IF(LEN(LEFT(AK149,FIND("-",AK149)-1))=4,DATE(VALUE(LEFT(AK149,4)),VALUE(MID(AK149,6,2)),VALUE(RIGHT(AK149,2))),DATE(VALUE(RIGHT(AK149,4)),VALUE(MID(AK149,4,2)),VALUE(LEFT(AK149,2)))),DATE(VALUE(RIGHT(AK149,4)),MATCH(MID(AK149,4,3),{"Jan","Feb","Mar","Apr","May","Jun","Jul","Aug","Sep","Oct","Nov","Dec"},0),VALUE(LEFT(AK149,2))))))</f>
        <v>45656</v>
      </c>
      <c r="D149" s="4" t="s">
        <v>719</v>
      </c>
      <c r="E149" s="0" t="str">
        <f aca="false">PROPER(TRIM(AL149))</f>
        <v>Priya Menon</v>
      </c>
      <c r="F149" s="0" t="str">
        <f aca="false">PROPER(TRIM(AM149))</f>
        <v>Home Office</v>
      </c>
      <c r="G149" s="0" t="str">
        <f aca="false">IF(TRIM(AN149)="","Unknown",PROPER(TRIM(AN149)))</f>
        <v>West</v>
      </c>
      <c r="H149" s="0" t="str">
        <f aca="false">PROPER(TRIM(AO149))</f>
        <v>Goa</v>
      </c>
      <c r="I149" s="0" t="str">
        <f aca="false">PROPER(TRIM(AP149))</f>
        <v>Panaji</v>
      </c>
      <c r="J149" s="0" t="str">
        <f aca="false">PROPER(TRIM(AQ149))</f>
        <v>Furniture</v>
      </c>
      <c r="K149" s="0" t="str">
        <f aca="false">PROPER(TRIM(AR149))</f>
        <v>Furnishings</v>
      </c>
      <c r="M149" s="0" t="str">
        <f aca="false">IF(TRIM(AS149)="","Unknown",PROPER(TRIM(AS149)))</f>
        <v>First Class</v>
      </c>
      <c r="N149" s="0" t="n">
        <v>8</v>
      </c>
      <c r="O149" s="0" t="n">
        <v>386.1</v>
      </c>
      <c r="P149" s="5" t="n">
        <f aca="false">IF(AT149="","",IF(ISNUMBER(AT149),AT149,VALUE(SUBSTITUTE(AT149,"%",""))/100))</f>
        <v>0.1</v>
      </c>
      <c r="Q149" s="5" t="n">
        <f aca="false">IF(P149="",IF(AND(N149&lt;&gt;"",O149&lt;&gt;"",R149&lt;&gt;"",S149&lt;&gt;""),0,"REVIEW"),IF(OR(P149&lt;0,P149&gt;0.3),0,P149))</f>
        <v>0.1</v>
      </c>
      <c r="R149" s="0" t="n">
        <v>2779.92</v>
      </c>
      <c r="S149" s="0" t="n">
        <v>1744.05</v>
      </c>
      <c r="T149" s="6" t="n">
        <f aca="false">N149*O149*(1-Q149)</f>
        <v>2779.92</v>
      </c>
      <c r="U149" s="6" t="n">
        <f aca="false">T149-S149</f>
        <v>1035.87</v>
      </c>
      <c r="V149" s="7" t="n">
        <f aca="false">IF(T149=0,0,U149/T149)</f>
        <v>0.372625830959164</v>
      </c>
      <c r="W149" s="4" t="n">
        <f aca="false">C149-B149</f>
        <v>7</v>
      </c>
      <c r="X149" s="0" t="str">
        <f aca="false">TEXT(B149,"mmmm")</f>
        <v>December</v>
      </c>
      <c r="Y149" s="4" t="n">
        <f aca="false">YEAR(B149)</f>
        <v>2024</v>
      </c>
      <c r="Z149" s="0" t="str">
        <f aca="false">PROPER(TRIM(AU149))</f>
        <v>Paid</v>
      </c>
      <c r="AA149" s="0" t="str">
        <f aca="false">PROPER(TRIM(AV149))</f>
        <v>Completed</v>
      </c>
      <c r="AB149" s="0" t="str">
        <f aca="false">IF(TRIM(AN149)="","Yes","No")</f>
        <v>No</v>
      </c>
      <c r="AC149" s="0" t="str">
        <f aca="false">IF(TRIM(AS149)="","Yes","No")</f>
        <v>No</v>
      </c>
      <c r="AD149" s="0" t="str">
        <f aca="false">IF(AT149="","Yes","No")</f>
        <v>No</v>
      </c>
      <c r="AE149" s="0" t="str">
        <f aca="false">IF(W149&lt;0,"Yes","No")</f>
        <v>No</v>
      </c>
      <c r="AF149" s="0" t="str">
        <f aca="false">IF(P149="","No",IF(OR(P149&lt;0,P149&gt;0.3),"Yes","No"))</f>
        <v>No</v>
      </c>
      <c r="AG149" s="4" t="s">
        <v>50</v>
      </c>
      <c r="AH149" s="0" t="str">
        <f aca="false">IF(AND(AA149="Completed",Z149="Paid"),"Yes","No")</f>
        <v>Yes</v>
      </c>
      <c r="AI149" s="0" t="str">
        <f aca="false">IF(OR(AE149="Yes",AF149="Yes",AG149="Yes"),"Invalid",IF(OR(AB149="Yes",AC149="Yes",AD149="Yes"),"Warning","Clean"))</f>
        <v>Clean</v>
      </c>
      <c r="AJ149" s="4" t="s">
        <v>720</v>
      </c>
      <c r="AK149" s="4" t="s">
        <v>721</v>
      </c>
      <c r="AL149" s="4" t="s">
        <v>158</v>
      </c>
      <c r="AM149" s="4" t="s">
        <v>134</v>
      </c>
      <c r="AN149" s="4" t="s">
        <v>97</v>
      </c>
      <c r="AO149" s="4" t="s">
        <v>250</v>
      </c>
      <c r="AP149" s="4" t="s">
        <v>251</v>
      </c>
      <c r="AQ149" s="4" t="s">
        <v>72</v>
      </c>
      <c r="AR149" s="4" t="s">
        <v>90</v>
      </c>
      <c r="AS149" s="4" t="s">
        <v>81</v>
      </c>
      <c r="AT149" s="0" t="n">
        <v>0.1</v>
      </c>
      <c r="AU149" s="4" t="s">
        <v>61</v>
      </c>
      <c r="AV149" s="4" t="s">
        <v>62</v>
      </c>
    </row>
    <row r="150" customFormat="false" ht="15" hidden="false" customHeight="false" outlineLevel="0" collapsed="false">
      <c r="A150" s="0" t="s">
        <v>722</v>
      </c>
      <c r="B150" s="3" t="n">
        <f aca="false">IF(AJ150="","",IF(ISNUMBER(SEARCH("/",AJ150)),DATE(VALUE(RIGHT(AJ150,4)),VALUE(LEFT(AJ150,2)),VALUE(MID(AJ150,4,2))),IF(ISNUMBER(SEARCH("-",AJ150)),IF(LEN(LEFT(AJ150,FIND("-",AJ150)-1))=4,DATE(VALUE(LEFT(AJ150,4)),VALUE(MID(AJ150,6,2)),VALUE(RIGHT(AJ150,2))),DATE(VALUE(RIGHT(AJ150,4)),VALUE(MID(AJ150,4,2)),VALUE(LEFT(AJ150,2)))),DATE(VALUE(RIGHT(AJ150,4)),MATCH(MID(AJ150,4,3),{"Jan","Feb","Mar","Apr","May","Jun","Jul","Aug","Sep","Oct","Nov","Dec"},0),VALUE(LEFT(AJ150,2))))))</f>
        <v>45697</v>
      </c>
      <c r="C150" s="3" t="n">
        <f aca="false">IF(AK150="","",IF(ISNUMBER(SEARCH("/",AK150)),DATE(VALUE(RIGHT(AK150,4)),VALUE(LEFT(AK150,2)),VALUE(MID(AK150,4,2))),IF(ISNUMBER(SEARCH("-",AK150)),IF(LEN(LEFT(AK150,FIND("-",AK150)-1))=4,DATE(VALUE(LEFT(AK150,4)),VALUE(MID(AK150,6,2)),VALUE(RIGHT(AK150,2))),DATE(VALUE(RIGHT(AK150,4)),VALUE(MID(AK150,4,2)),VALUE(LEFT(AK150,2)))),DATE(VALUE(RIGHT(AK150,4)),MATCH(MID(AK150,4,3),{"Jan","Feb","Mar","Apr","May","Jun","Jul","Aug","Sep","Oct","Nov","Dec"},0),VALUE(LEFT(AK150,2))))))</f>
        <v>45701</v>
      </c>
      <c r="D150" s="4" t="s">
        <v>723</v>
      </c>
      <c r="E150" s="0" t="str">
        <f aca="false">PROPER(TRIM(AL150))</f>
        <v>Mira Das</v>
      </c>
      <c r="F150" s="0" t="str">
        <f aca="false">PROPER(TRIM(AM150))</f>
        <v>Home Office</v>
      </c>
      <c r="G150" s="0" t="str">
        <f aca="false">IF(TRIM(AN150)="","Unknown",PROPER(TRIM(AN150)))</f>
        <v>West</v>
      </c>
      <c r="H150" s="0" t="str">
        <f aca="false">PROPER(TRIM(AO150))</f>
        <v>Madhya Pradesh</v>
      </c>
      <c r="I150" s="0" t="str">
        <f aca="false">PROPER(TRIM(AP150))</f>
        <v>Indore</v>
      </c>
      <c r="J150" s="0" t="str">
        <f aca="false">PROPER(TRIM(AQ150))</f>
        <v>Technology</v>
      </c>
      <c r="K150" s="0" t="str">
        <f aca="false">PROPER(TRIM(AR150))</f>
        <v>Phones</v>
      </c>
      <c r="M150" s="0" t="str">
        <f aca="false">IF(TRIM(AS150)="","Unknown",PROPER(TRIM(AS150)))</f>
        <v>Unknown</v>
      </c>
      <c r="N150" s="0" t="n">
        <v>8</v>
      </c>
      <c r="O150" s="0" t="n">
        <v>1696.07</v>
      </c>
      <c r="P150" s="5" t="n">
        <f aca="false">IF(AT150="","",IF(ISNUMBER(AT150),AT150,VALUE(SUBSTITUTE(AT150,"%",""))/100))</f>
        <v>0.25</v>
      </c>
      <c r="Q150" s="5" t="n">
        <f aca="false">IF(P150="",IF(AND(N150&lt;&gt;"",O150&lt;&gt;"",R150&lt;&gt;"",S150&lt;&gt;""),0,"REVIEW"),IF(OR(P150&lt;0,P150&gt;0.3),0,P150))</f>
        <v>0.25</v>
      </c>
      <c r="R150" s="0" t="n">
        <v>10176.42</v>
      </c>
      <c r="S150" s="0" t="n">
        <v>7604.47</v>
      </c>
      <c r="T150" s="6" t="n">
        <f aca="false">N150*O150*(1-Q150)</f>
        <v>10176.42</v>
      </c>
      <c r="U150" s="6" t="n">
        <f aca="false">T150-S150</f>
        <v>2571.95</v>
      </c>
      <c r="V150" s="7" t="n">
        <f aca="false">IF(T150=0,0,U150/T150)</f>
        <v>0.252736227474888</v>
      </c>
      <c r="W150" s="4" t="n">
        <f aca="false">C150-B150</f>
        <v>4</v>
      </c>
      <c r="X150" s="0" t="str">
        <f aca="false">TEXT(B150,"mmmm")</f>
        <v>February</v>
      </c>
      <c r="Y150" s="4" t="n">
        <f aca="false">YEAR(B150)</f>
        <v>2025</v>
      </c>
      <c r="Z150" s="0" t="str">
        <f aca="false">PROPER(TRIM(AU150))</f>
        <v>Paid</v>
      </c>
      <c r="AA150" s="0" t="str">
        <f aca="false">PROPER(TRIM(AV150))</f>
        <v>Completed</v>
      </c>
      <c r="AB150" s="0" t="str">
        <f aca="false">IF(TRIM(AN150)="","Yes","No")</f>
        <v>No</v>
      </c>
      <c r="AC150" s="0" t="str">
        <f aca="false">IF(TRIM(AS150)="","Yes","No")</f>
        <v>Yes</v>
      </c>
      <c r="AD150" s="0" t="str">
        <f aca="false">IF(AT150="","Yes","No")</f>
        <v>No</v>
      </c>
      <c r="AE150" s="0" t="str">
        <f aca="false">IF(W150&lt;0,"Yes","No")</f>
        <v>No</v>
      </c>
      <c r="AF150" s="0" t="str">
        <f aca="false">IF(P150="","No",IF(OR(P150&lt;0,P150&gt;0.3),"Yes","No"))</f>
        <v>No</v>
      </c>
      <c r="AG150" s="4" t="s">
        <v>50</v>
      </c>
      <c r="AH150" s="0" t="str">
        <f aca="false">IF(AND(AA150="Completed",Z150="Paid"),"Yes","No")</f>
        <v>Yes</v>
      </c>
      <c r="AI150" s="0" t="str">
        <f aca="false">IF(OR(AE150="Yes",AF150="Yes",AG150="Yes"),"Invalid",IF(OR(AB150="Yes",AC150="Yes",AD150="Yes"),"Warning","Clean"))</f>
        <v>Warning</v>
      </c>
      <c r="AJ150" s="4" t="s">
        <v>724</v>
      </c>
      <c r="AK150" s="4" t="s">
        <v>725</v>
      </c>
      <c r="AL150" s="4" t="s">
        <v>67</v>
      </c>
      <c r="AM150" s="4" t="s">
        <v>134</v>
      </c>
      <c r="AN150" s="4" t="s">
        <v>97</v>
      </c>
      <c r="AO150" s="4" t="s">
        <v>107</v>
      </c>
      <c r="AP150" s="4" t="s">
        <v>108</v>
      </c>
      <c r="AQ150" s="4" t="s">
        <v>109</v>
      </c>
      <c r="AR150" s="4" t="s">
        <v>227</v>
      </c>
      <c r="AT150" s="0" t="n">
        <v>0.25</v>
      </c>
      <c r="AU150" s="4" t="s">
        <v>61</v>
      </c>
      <c r="AV150" s="4" t="s">
        <v>62</v>
      </c>
    </row>
    <row r="151" customFormat="false" ht="15" hidden="false" customHeight="false" outlineLevel="0" collapsed="false">
      <c r="A151" s="0" t="s">
        <v>726</v>
      </c>
      <c r="B151" s="3" t="n">
        <f aca="false">IF(AJ151="","",IF(ISNUMBER(SEARCH("/",AJ151)),DATE(VALUE(RIGHT(AJ151,4)),VALUE(LEFT(AJ151,2)),VALUE(MID(AJ151,4,2))),IF(ISNUMBER(SEARCH("-",AJ151)),IF(LEN(LEFT(AJ151,FIND("-",AJ151)-1))=4,DATE(VALUE(LEFT(AJ151,4)),VALUE(MID(AJ151,6,2)),VALUE(RIGHT(AJ151,2))),DATE(VALUE(RIGHT(AJ151,4)),VALUE(MID(AJ151,4,2)),VALUE(LEFT(AJ151,2)))),DATE(VALUE(RIGHT(AJ151,4)),MATCH(MID(AJ151,4,3),{"Jan","Feb","Mar","Apr","May","Jun","Jul","Aug","Sep","Oct","Nov","Dec"},0),VALUE(LEFT(AJ151,2))))))</f>
        <v>45321</v>
      </c>
      <c r="C151" s="3" t="n">
        <f aca="false">IF(AK151="","",IF(ISNUMBER(SEARCH("/",AK151)),DATE(VALUE(RIGHT(AK151,4)),VALUE(LEFT(AK151,2)),VALUE(MID(AK151,4,2))),IF(ISNUMBER(SEARCH("-",AK151)),IF(LEN(LEFT(AK151,FIND("-",AK151)-1))=4,DATE(VALUE(LEFT(AK151,4)),VALUE(MID(AK151,6,2)),VALUE(RIGHT(AK151,2))),DATE(VALUE(RIGHT(AK151,4)),VALUE(MID(AK151,4,2)),VALUE(LEFT(AK151,2)))),DATE(VALUE(RIGHT(AK151,4)),MATCH(MID(AK151,4,3),{"Jan","Feb","Mar","Apr","May","Jun","Jul","Aug","Sep","Oct","Nov","Dec"},0),VALUE(LEFT(AK151,2))))))</f>
        <v>45321</v>
      </c>
      <c r="D151" s="4" t="s">
        <v>727</v>
      </c>
      <c r="E151" s="0" t="str">
        <f aca="false">PROPER(TRIM(AL151))</f>
        <v>Aarav Sharma</v>
      </c>
      <c r="F151" s="0" t="str">
        <f aca="false">PROPER(TRIM(AM151))</f>
        <v>Small Business</v>
      </c>
      <c r="G151" s="0" t="str">
        <f aca="false">IF(TRIM(AN151)="","Unknown",PROPER(TRIM(AN151)))</f>
        <v>West</v>
      </c>
      <c r="H151" s="0" t="str">
        <f aca="false">PROPER(TRIM(AO151))</f>
        <v>Rajasthan</v>
      </c>
      <c r="I151" s="0" t="str">
        <f aca="false">PROPER(TRIM(AP151))</f>
        <v>Udaipur</v>
      </c>
      <c r="J151" s="0" t="str">
        <f aca="false">PROPER(TRIM(AQ151))</f>
        <v>Technology</v>
      </c>
      <c r="K151" s="0" t="str">
        <f aca="false">PROPER(TRIM(AR151))</f>
        <v>Copiers</v>
      </c>
      <c r="M151" s="0" t="str">
        <f aca="false">IF(TRIM(AS151)="","Unknown",PROPER(TRIM(AS151)))</f>
        <v>Same Day</v>
      </c>
      <c r="N151" s="0" t="n">
        <v>7</v>
      </c>
      <c r="O151" s="0" t="n">
        <v>2527.61</v>
      </c>
      <c r="P151" s="5" t="n">
        <f aca="false">IF(AT151="","",IF(ISNUMBER(AT151),AT151,VALUE(SUBSTITUTE(AT151,"%",""))/100))</f>
        <v>0.25</v>
      </c>
      <c r="Q151" s="5" t="n">
        <f aca="false">IF(P151="",IF(AND(N151&lt;&gt;"",O151&lt;&gt;"",R151&lt;&gt;"",S151&lt;&gt;""),0,"REVIEW"),IF(OR(P151&lt;0,P151&gt;0.3),0,P151))</f>
        <v>0.25</v>
      </c>
      <c r="R151" s="0" t="n">
        <v>13269.95</v>
      </c>
      <c r="S151" s="0" t="n">
        <v>8977.1</v>
      </c>
      <c r="T151" s="6" t="n">
        <f aca="false">N151*O151*(1-Q151)</f>
        <v>13269.9525</v>
      </c>
      <c r="U151" s="6" t="n">
        <f aca="false">T151-S151</f>
        <v>4292.8525</v>
      </c>
      <c r="V151" s="7" t="n">
        <f aca="false">IF(T151=0,0,U151/T151)</f>
        <v>0.323501723159898</v>
      </c>
      <c r="W151" s="4" t="n">
        <f aca="false">C151-B151</f>
        <v>0</v>
      </c>
      <c r="X151" s="0" t="str">
        <f aca="false">TEXT(B151,"mmmm")</f>
        <v>January</v>
      </c>
      <c r="Y151" s="4" t="n">
        <f aca="false">YEAR(B151)</f>
        <v>2024</v>
      </c>
      <c r="Z151" s="0" t="str">
        <f aca="false">PROPER(TRIM(AU151))</f>
        <v>Paid</v>
      </c>
      <c r="AA151" s="0" t="str">
        <f aca="false">PROPER(TRIM(AV151))</f>
        <v>Completed</v>
      </c>
      <c r="AB151" s="0" t="str">
        <f aca="false">IF(TRIM(AN151)="","Yes","No")</f>
        <v>No</v>
      </c>
      <c r="AC151" s="0" t="str">
        <f aca="false">IF(TRIM(AS151)="","Yes","No")</f>
        <v>No</v>
      </c>
      <c r="AD151" s="0" t="str">
        <f aca="false">IF(AT151="","Yes","No")</f>
        <v>No</v>
      </c>
      <c r="AE151" s="0" t="str">
        <f aca="false">IF(W151&lt;0,"Yes","No")</f>
        <v>No</v>
      </c>
      <c r="AF151" s="0" t="str">
        <f aca="false">IF(P151="","No",IF(OR(P151&lt;0,P151&gt;0.3),"Yes","No"))</f>
        <v>No</v>
      </c>
      <c r="AG151" s="4" t="s">
        <v>50</v>
      </c>
      <c r="AH151" s="0" t="str">
        <f aca="false">IF(AND(AA151="Completed",Z151="Paid"),"Yes","No")</f>
        <v>Yes</v>
      </c>
      <c r="AI151" s="0" t="str">
        <f aca="false">IF(OR(AE151="Yes",AF151="Yes",AG151="Yes"),"Invalid",IF(OR(AB151="Yes",AC151="Yes",AD151="Yes"),"Warning","Clean"))</f>
        <v>Clean</v>
      </c>
      <c r="AJ151" s="4" t="s">
        <v>728</v>
      </c>
      <c r="AK151" s="4" t="s">
        <v>728</v>
      </c>
      <c r="AL151" s="4" t="s">
        <v>176</v>
      </c>
      <c r="AM151" s="4" t="s">
        <v>68</v>
      </c>
      <c r="AN151" s="4" t="s">
        <v>729</v>
      </c>
      <c r="AO151" s="4" t="s">
        <v>56</v>
      </c>
      <c r="AP151" s="4" t="s">
        <v>152</v>
      </c>
      <c r="AQ151" s="4" t="s">
        <v>109</v>
      </c>
      <c r="AR151" s="4" t="s">
        <v>116</v>
      </c>
      <c r="AS151" s="4" t="s">
        <v>74</v>
      </c>
      <c r="AT151" s="0" t="n">
        <v>0.25</v>
      </c>
      <c r="AU151" s="4" t="s">
        <v>61</v>
      </c>
      <c r="AV151" s="4" t="s">
        <v>62</v>
      </c>
    </row>
    <row r="152" customFormat="false" ht="15" hidden="false" customHeight="false" outlineLevel="0" collapsed="false">
      <c r="A152" s="0" t="s">
        <v>730</v>
      </c>
      <c r="B152" s="3" t="n">
        <f aca="false">IF(AJ152="","",IF(ISNUMBER(SEARCH("/",AJ152)),DATE(VALUE(RIGHT(AJ152,4)),VALUE(LEFT(AJ152,2)),VALUE(MID(AJ152,4,2))),IF(ISNUMBER(SEARCH("-",AJ152)),IF(LEN(LEFT(AJ152,FIND("-",AJ152)-1))=4,DATE(VALUE(LEFT(AJ152,4)),VALUE(MID(AJ152,6,2)),VALUE(RIGHT(AJ152,2))),DATE(VALUE(RIGHT(AJ152,4)),VALUE(MID(AJ152,4,2)),VALUE(LEFT(AJ152,2)))),DATE(VALUE(RIGHT(AJ152,4)),MATCH(MID(AJ152,4,3),{"Jan","Feb","Mar","Apr","May","Jun","Jul","Aug","Sep","Oct","Nov","Dec"},0),VALUE(LEFT(AJ152,2))))))</f>
        <v>45355</v>
      </c>
      <c r="C152" s="3" t="n">
        <f aca="false">IF(AK152="","",IF(ISNUMBER(SEARCH("/",AK152)),DATE(VALUE(RIGHT(AK152,4)),VALUE(LEFT(AK152,2)),VALUE(MID(AK152,4,2))),IF(ISNUMBER(SEARCH("-",AK152)),IF(LEN(LEFT(AK152,FIND("-",AK152)-1))=4,DATE(VALUE(LEFT(AK152,4)),VALUE(MID(AK152,6,2)),VALUE(RIGHT(AK152,2))),DATE(VALUE(RIGHT(AK152,4)),VALUE(MID(AK152,4,2)),VALUE(LEFT(AK152,2)))),DATE(VALUE(RIGHT(AK152,4)),MATCH(MID(AK152,4,3),{"Jan","Feb","Mar","Apr","May","Jun","Jul","Aug","Sep","Oct","Nov","Dec"},0),VALUE(LEFT(AK152,2))))))</f>
        <v>45363</v>
      </c>
      <c r="D152" s="4" t="s">
        <v>731</v>
      </c>
      <c r="E152" s="0" t="str">
        <f aca="false">PROPER(TRIM(AL152))</f>
        <v>Arjun Bose</v>
      </c>
      <c r="F152" s="0" t="str">
        <f aca="false">PROPER(TRIM(AM152))</f>
        <v>Consumer</v>
      </c>
      <c r="G152" s="0" t="str">
        <f aca="false">IF(TRIM(AN152)="","Unknown",PROPER(TRIM(AN152)))</f>
        <v>Unknown</v>
      </c>
      <c r="H152" s="0" t="str">
        <f aca="false">PROPER(TRIM(AO152))</f>
        <v>Gujarat</v>
      </c>
      <c r="I152" s="0" t="str">
        <f aca="false">PROPER(TRIM(AP152))</f>
        <v>Ahmedabad</v>
      </c>
      <c r="J152" s="0" t="str">
        <f aca="false">PROPER(TRIM(AQ152))</f>
        <v>Furniture</v>
      </c>
      <c r="K152" s="0" t="str">
        <f aca="false">PROPER(TRIM(AR152))</f>
        <v>Bookcases</v>
      </c>
      <c r="M152" s="0" t="str">
        <f aca="false">IF(TRIM(AS152)="","Unknown",PROPER(TRIM(AS152)))</f>
        <v>First Class</v>
      </c>
      <c r="N152" s="0" t="n">
        <v>1</v>
      </c>
      <c r="O152" s="0" t="n">
        <v>1554.12</v>
      </c>
      <c r="P152" s="5" t="n">
        <f aca="false">IF(AT152="","",IF(ISNUMBER(AT152),AT152,VALUE(SUBSTITUTE(AT152,"%",""))/100))</f>
        <v>0.1</v>
      </c>
      <c r="Q152" s="5" t="n">
        <f aca="false">IF(P152="",IF(AND(N152&lt;&gt;"",O152&lt;&gt;"",R152&lt;&gt;"",S152&lt;&gt;""),0,"REVIEW"),IF(OR(P152&lt;0,P152&gt;0.3),0,P152))</f>
        <v>0.1</v>
      </c>
      <c r="R152" s="0" t="n">
        <v>1398.71</v>
      </c>
      <c r="S152" s="0" t="n">
        <v>1056.92</v>
      </c>
      <c r="T152" s="6" t="n">
        <f aca="false">N152*O152*(1-Q152)</f>
        <v>1398.708</v>
      </c>
      <c r="U152" s="6" t="n">
        <f aca="false">T152-S152</f>
        <v>341.788</v>
      </c>
      <c r="V152" s="7" t="n">
        <f aca="false">IF(T152=0,0,U152/T152)</f>
        <v>0.244359794896433</v>
      </c>
      <c r="W152" s="4" t="n">
        <f aca="false">C152-B152</f>
        <v>8</v>
      </c>
      <c r="X152" s="0" t="str">
        <f aca="false">TEXT(B152,"mmmm")</f>
        <v>March</v>
      </c>
      <c r="Y152" s="4" t="n">
        <f aca="false">YEAR(B152)</f>
        <v>2024</v>
      </c>
      <c r="Z152" s="0" t="str">
        <f aca="false">PROPER(TRIM(AU152))</f>
        <v>Paid</v>
      </c>
      <c r="AA152" s="0" t="str">
        <f aca="false">PROPER(TRIM(AV152))</f>
        <v>Completed</v>
      </c>
      <c r="AB152" s="0" t="str">
        <f aca="false">IF(TRIM(AN152)="","Yes","No")</f>
        <v>Yes</v>
      </c>
      <c r="AC152" s="0" t="str">
        <f aca="false">IF(TRIM(AS152)="","Yes","No")</f>
        <v>No</v>
      </c>
      <c r="AD152" s="0" t="str">
        <f aca="false">IF(AT152="","Yes","No")</f>
        <v>No</v>
      </c>
      <c r="AE152" s="0" t="str">
        <f aca="false">IF(W152&lt;0,"Yes","No")</f>
        <v>No</v>
      </c>
      <c r="AF152" s="0" t="str">
        <f aca="false">IF(P152="","No",IF(OR(P152&lt;0,P152&gt;0.3),"Yes","No"))</f>
        <v>No</v>
      </c>
      <c r="AG152" s="4" t="s">
        <v>50</v>
      </c>
      <c r="AH152" s="0" t="str">
        <f aca="false">IF(AND(AA152="Completed",Z152="Paid"),"Yes","No")</f>
        <v>Yes</v>
      </c>
      <c r="AI152" s="0" t="str">
        <f aca="false">IF(OR(AE152="Yes",AF152="Yes",AG152="Yes"),"Invalid",IF(OR(AB152="Yes",AC152="Yes",AD152="Yes"),"Warning","Clean"))</f>
        <v>Warning</v>
      </c>
      <c r="AJ152" s="4" t="s">
        <v>732</v>
      </c>
      <c r="AK152" s="4" t="s">
        <v>733</v>
      </c>
      <c r="AL152" s="4" t="s">
        <v>86</v>
      </c>
      <c r="AM152" s="4" t="s">
        <v>54</v>
      </c>
      <c r="AO152" s="4" t="s">
        <v>238</v>
      </c>
      <c r="AP152" s="4" t="s">
        <v>239</v>
      </c>
      <c r="AQ152" s="4" t="s">
        <v>72</v>
      </c>
      <c r="AR152" s="4" t="s">
        <v>211</v>
      </c>
      <c r="AS152" s="4" t="s">
        <v>81</v>
      </c>
      <c r="AT152" s="0" t="n">
        <v>0.1</v>
      </c>
      <c r="AU152" s="4" t="s">
        <v>61</v>
      </c>
      <c r="AV152" s="4" t="s">
        <v>62</v>
      </c>
    </row>
    <row r="153" customFormat="false" ht="15" hidden="false" customHeight="false" outlineLevel="0" collapsed="false">
      <c r="A153" s="0" t="s">
        <v>734</v>
      </c>
      <c r="B153" s="3" t="n">
        <f aca="false">IF(AJ153="","",IF(ISNUMBER(SEARCH("/",AJ153)),DATE(VALUE(RIGHT(AJ153,4)),VALUE(LEFT(AJ153,2)),VALUE(MID(AJ153,4,2))),IF(ISNUMBER(SEARCH("-",AJ153)),IF(LEN(LEFT(AJ153,FIND("-",AJ153)-1))=4,DATE(VALUE(LEFT(AJ153,4)),VALUE(MID(AJ153,6,2)),VALUE(RIGHT(AJ153,2))),DATE(VALUE(RIGHT(AJ153,4)),VALUE(MID(AJ153,4,2)),VALUE(LEFT(AJ153,2)))),DATE(VALUE(RIGHT(AJ153,4)),MATCH(MID(AJ153,4,3),{"Jan","Feb","Mar","Apr","May","Jun","Jul","Aug","Sep","Oct","Nov","Dec"},0),VALUE(LEFT(AJ153,2))))))</f>
        <v>45470</v>
      </c>
      <c r="C153" s="3" t="n">
        <f aca="false">IF(AK153="","",IF(ISNUMBER(SEARCH("/",AK153)),DATE(VALUE(RIGHT(AK153,4)),VALUE(LEFT(AK153,2)),VALUE(MID(AK153,4,2))),IF(ISNUMBER(SEARCH("-",AK153)),IF(LEN(LEFT(AK153,FIND("-",AK153)-1))=4,DATE(VALUE(LEFT(AK153,4)),VALUE(MID(AK153,6,2)),VALUE(RIGHT(AK153,2))),DATE(VALUE(RIGHT(AK153,4)),VALUE(MID(AK153,4,2)),VALUE(LEFT(AK153,2)))),DATE(VALUE(RIGHT(AK153,4)),MATCH(MID(AK153,4,3),{"Jan","Feb","Mar","Apr","May","Jun","Jul","Aug","Sep","Oct","Nov","Dec"},0),VALUE(LEFT(AK153,2))))))</f>
        <v>45470</v>
      </c>
      <c r="D153" s="4" t="s">
        <v>735</v>
      </c>
      <c r="E153" s="0" t="str">
        <f aca="false">PROPER(TRIM(AL153))</f>
        <v>Neha Gupta</v>
      </c>
      <c r="F153" s="0" t="str">
        <f aca="false">PROPER(TRIM(AM153))</f>
        <v>Home Office</v>
      </c>
      <c r="G153" s="0" t="str">
        <f aca="false">IF(TRIM(AN153)="","Unknown",PROPER(TRIM(AN153)))</f>
        <v>Unknown</v>
      </c>
      <c r="H153" s="0" t="str">
        <f aca="false">PROPER(TRIM(AO153))</f>
        <v>Madhya Pradesh</v>
      </c>
      <c r="I153" s="0" t="str">
        <f aca="false">PROPER(TRIM(AP153))</f>
        <v>Indore</v>
      </c>
      <c r="J153" s="0" t="str">
        <f aca="false">PROPER(TRIM(AQ153))</f>
        <v>Technology</v>
      </c>
      <c r="K153" s="0" t="str">
        <f aca="false">PROPER(TRIM(AR153))</f>
        <v>Copiers</v>
      </c>
      <c r="M153" s="0" t="str">
        <f aca="false">IF(TRIM(AS153)="","Unknown",PROPER(TRIM(AS153)))</f>
        <v>Standard Class</v>
      </c>
      <c r="N153" s="0" t="n">
        <v>2</v>
      </c>
      <c r="O153" s="0" t="n">
        <v>3859.11</v>
      </c>
      <c r="P153" s="5" t="n">
        <f aca="false">IF(AT153="","",IF(ISNUMBER(AT153),AT153,VALUE(SUBSTITUTE(AT153,"%",""))/100))</f>
        <v>0</v>
      </c>
      <c r="Q153" s="5" t="n">
        <f aca="false">IF(P153="",IF(AND(N153&lt;&gt;"",O153&lt;&gt;"",R153&lt;&gt;"",S153&lt;&gt;""),0,"REVIEW"),IF(OR(P153&lt;0,P153&gt;0.3),0,P153))</f>
        <v>0</v>
      </c>
      <c r="R153" s="0" t="n">
        <v>7718.22</v>
      </c>
      <c r="S153" s="0" t="n">
        <v>5355.93</v>
      </c>
      <c r="T153" s="6" t="n">
        <f aca="false">N153*O153*(1-Q153)</f>
        <v>7718.22</v>
      </c>
      <c r="U153" s="6" t="n">
        <f aca="false">T153-S153</f>
        <v>2362.29</v>
      </c>
      <c r="V153" s="7" t="n">
        <f aca="false">IF(T153=0,0,U153/T153)</f>
        <v>0.306066683769056</v>
      </c>
      <c r="W153" s="4" t="n">
        <f aca="false">C153-B153</f>
        <v>0</v>
      </c>
      <c r="X153" s="0" t="str">
        <f aca="false">TEXT(B153,"mmmm")</f>
        <v>June</v>
      </c>
      <c r="Y153" s="4" t="n">
        <f aca="false">YEAR(B153)</f>
        <v>2024</v>
      </c>
      <c r="Z153" s="0" t="str">
        <f aca="false">PROPER(TRIM(AU153))</f>
        <v>Pending</v>
      </c>
      <c r="AA153" s="0" t="str">
        <f aca="false">PROPER(TRIM(AV153))</f>
        <v>Returned</v>
      </c>
      <c r="AB153" s="0" t="str">
        <f aca="false">IF(TRIM(AN153)="","Yes","No")</f>
        <v>Yes</v>
      </c>
      <c r="AC153" s="0" t="str">
        <f aca="false">IF(TRIM(AS153)="","Yes","No")</f>
        <v>No</v>
      </c>
      <c r="AD153" s="0" t="str">
        <f aca="false">IF(AT153="","Yes","No")</f>
        <v>No</v>
      </c>
      <c r="AE153" s="0" t="str">
        <f aca="false">IF(W153&lt;0,"Yes","No")</f>
        <v>No</v>
      </c>
      <c r="AF153" s="0" t="str">
        <f aca="false">IF(P153="","No",IF(OR(P153&lt;0,P153&gt;0.3),"Yes","No"))</f>
        <v>No</v>
      </c>
      <c r="AG153" s="4" t="s">
        <v>50</v>
      </c>
      <c r="AH153" s="0" t="str">
        <f aca="false">IF(AND(AA153="Completed",Z153="Paid"),"Yes","No")</f>
        <v>No</v>
      </c>
      <c r="AI153" s="0" t="str">
        <f aca="false">IF(OR(AE153="Yes",AF153="Yes",AG153="Yes"),"Invalid",IF(OR(AB153="Yes",AC153="Yes",AD153="Yes"),"Warning","Clean"))</f>
        <v>Warning</v>
      </c>
      <c r="AJ153" s="4" t="s">
        <v>736</v>
      </c>
      <c r="AK153" s="4" t="s">
        <v>737</v>
      </c>
      <c r="AL153" s="4" t="s">
        <v>115</v>
      </c>
      <c r="AM153" s="4" t="s">
        <v>134</v>
      </c>
      <c r="AO153" s="4" t="s">
        <v>107</v>
      </c>
      <c r="AP153" s="4" t="s">
        <v>108</v>
      </c>
      <c r="AQ153" s="4" t="s">
        <v>109</v>
      </c>
      <c r="AR153" s="4" t="s">
        <v>116</v>
      </c>
      <c r="AS153" s="4" t="s">
        <v>91</v>
      </c>
      <c r="AT153" s="0" t="n">
        <v>0</v>
      </c>
      <c r="AU153" s="4" t="s">
        <v>153</v>
      </c>
      <c r="AV153" s="4" t="s">
        <v>142</v>
      </c>
    </row>
    <row r="154" customFormat="false" ht="15" hidden="false" customHeight="false" outlineLevel="0" collapsed="false">
      <c r="A154" s="0" t="s">
        <v>738</v>
      </c>
      <c r="B154" s="3" t="n">
        <f aca="false">IF(AJ154="","",IF(ISNUMBER(SEARCH("/",AJ154)),DATE(VALUE(RIGHT(AJ154,4)),VALUE(LEFT(AJ154,2)),VALUE(MID(AJ154,4,2))),IF(ISNUMBER(SEARCH("-",AJ154)),IF(LEN(LEFT(AJ154,FIND("-",AJ154)-1))=4,DATE(VALUE(LEFT(AJ154,4)),VALUE(MID(AJ154,6,2)),VALUE(RIGHT(AJ154,2))),DATE(VALUE(RIGHT(AJ154,4)),VALUE(MID(AJ154,4,2)),VALUE(LEFT(AJ154,2)))),DATE(VALUE(RIGHT(AJ154,4)),MATCH(MID(AJ154,4,3),{"Jan","Feb","Mar","Apr","May","Jun","Jul","Aug","Sep","Oct","Nov","Dec"},0),VALUE(LEFT(AJ154,2))))))</f>
        <v>45457</v>
      </c>
      <c r="C154" s="3" t="n">
        <f aca="false">IF(AK154="","",IF(ISNUMBER(SEARCH("/",AK154)),DATE(VALUE(RIGHT(AK154,4)),VALUE(LEFT(AK154,2)),VALUE(MID(AK154,4,2))),IF(ISNUMBER(SEARCH("-",AK154)),IF(LEN(LEFT(AK154,FIND("-",AK154)-1))=4,DATE(VALUE(LEFT(AK154,4)),VALUE(MID(AK154,6,2)),VALUE(RIGHT(AK154,2))),DATE(VALUE(RIGHT(AK154,4)),VALUE(MID(AK154,4,2)),VALUE(LEFT(AK154,2)))),DATE(VALUE(RIGHT(AK154,4)),MATCH(MID(AK154,4,3),{"Jan","Feb","Mar","Apr","May","Jun","Jul","Aug","Sep","Oct","Nov","Dec"},0),VALUE(LEFT(AK154,2))))))</f>
        <v>45460</v>
      </c>
      <c r="D154" s="4" t="s">
        <v>739</v>
      </c>
      <c r="E154" s="0" t="str">
        <f aca="false">PROPER(TRIM(AL154))</f>
        <v>Kabir Singh</v>
      </c>
      <c r="F154" s="0" t="str">
        <f aca="false">PROPER(TRIM(AM154))</f>
        <v>Small Business</v>
      </c>
      <c r="G154" s="0" t="str">
        <f aca="false">IF(TRIM(AN154)="","Unknown",PROPER(TRIM(AN154)))</f>
        <v>South</v>
      </c>
      <c r="H154" s="0" t="str">
        <f aca="false">PROPER(TRIM(AO154))</f>
        <v>Kerala</v>
      </c>
      <c r="I154" s="0" t="str">
        <f aca="false">PROPER(TRIM(AP154))</f>
        <v>Kochi</v>
      </c>
      <c r="J154" s="0" t="str">
        <f aca="false">PROPER(TRIM(AQ154))</f>
        <v>Furniture</v>
      </c>
      <c r="K154" s="0" t="str">
        <f aca="false">PROPER(TRIM(AR154))</f>
        <v>Tables</v>
      </c>
      <c r="M154" s="0" t="str">
        <f aca="false">IF(TRIM(AS154)="","Unknown",PROPER(TRIM(AS154)))</f>
        <v>Second Class</v>
      </c>
      <c r="N154" s="0" t="n">
        <v>6</v>
      </c>
      <c r="O154" s="0" t="n">
        <v>1088.04</v>
      </c>
      <c r="P154" s="5" t="n">
        <f aca="false">IF(AT154="","",IF(ISNUMBER(AT154),AT154,VALUE(SUBSTITUTE(AT154,"%",""))/100))</f>
        <v>0.1</v>
      </c>
      <c r="Q154" s="5" t="n">
        <f aca="false">IF(P154="",IF(AND(N154&lt;&gt;"",O154&lt;&gt;"",R154&lt;&gt;"",S154&lt;&gt;""),0,"REVIEW"),IF(OR(P154&lt;0,P154&gt;0.3),0,P154))</f>
        <v>0.1</v>
      </c>
      <c r="R154" s="0" t="n">
        <v>5875.42</v>
      </c>
      <c r="S154" s="0" t="n">
        <v>4380.55</v>
      </c>
      <c r="T154" s="6" t="n">
        <f aca="false">N154*O154*(1-Q154)</f>
        <v>5875.416</v>
      </c>
      <c r="U154" s="6" t="n">
        <f aca="false">T154-S154</f>
        <v>1494.866</v>
      </c>
      <c r="V154" s="7" t="n">
        <f aca="false">IF(T154=0,0,U154/T154)</f>
        <v>0.254427260980329</v>
      </c>
      <c r="W154" s="4" t="n">
        <f aca="false">C154-B154</f>
        <v>3</v>
      </c>
      <c r="X154" s="0" t="str">
        <f aca="false">TEXT(B154,"mmmm")</f>
        <v>June</v>
      </c>
      <c r="Y154" s="4" t="n">
        <f aca="false">YEAR(B154)</f>
        <v>2024</v>
      </c>
      <c r="Z154" s="0" t="str">
        <f aca="false">PROPER(TRIM(AU154))</f>
        <v>Pending</v>
      </c>
      <c r="AA154" s="0" t="str">
        <f aca="false">PROPER(TRIM(AV154))</f>
        <v>Returned</v>
      </c>
      <c r="AB154" s="0" t="str">
        <f aca="false">IF(TRIM(AN154)="","Yes","No")</f>
        <v>No</v>
      </c>
      <c r="AC154" s="0" t="str">
        <f aca="false">IF(TRIM(AS154)="","Yes","No")</f>
        <v>No</v>
      </c>
      <c r="AD154" s="0" t="str">
        <f aca="false">IF(AT154="","Yes","No")</f>
        <v>No</v>
      </c>
      <c r="AE154" s="0" t="str">
        <f aca="false">IF(W154&lt;0,"Yes","No")</f>
        <v>No</v>
      </c>
      <c r="AF154" s="0" t="str">
        <f aca="false">IF(P154="","No",IF(OR(P154&lt;0,P154&gt;0.3),"Yes","No"))</f>
        <v>No</v>
      </c>
      <c r="AG154" s="4" t="s">
        <v>50</v>
      </c>
      <c r="AH154" s="0" t="str">
        <f aca="false">IF(AND(AA154="Completed",Z154="Paid"),"Yes","No")</f>
        <v>No</v>
      </c>
      <c r="AI154" s="0" t="str">
        <f aca="false">IF(OR(AE154="Yes",AF154="Yes",AG154="Yes"),"Invalid",IF(OR(AB154="Yes",AC154="Yes",AD154="Yes"),"Warning","Clean"))</f>
        <v>Clean</v>
      </c>
      <c r="AJ154" s="4" t="s">
        <v>740</v>
      </c>
      <c r="AK154" s="4" t="s">
        <v>741</v>
      </c>
      <c r="AL154" s="4" t="s">
        <v>347</v>
      </c>
      <c r="AM154" s="4" t="s">
        <v>68</v>
      </c>
      <c r="AN154" s="4" t="s">
        <v>87</v>
      </c>
      <c r="AO154" s="4" t="s">
        <v>244</v>
      </c>
      <c r="AP154" s="4" t="s">
        <v>245</v>
      </c>
      <c r="AQ154" s="4" t="s">
        <v>72</v>
      </c>
      <c r="AR154" s="4" t="s">
        <v>73</v>
      </c>
      <c r="AS154" s="4" t="s">
        <v>60</v>
      </c>
      <c r="AT154" s="0" t="n">
        <v>0.1</v>
      </c>
      <c r="AU154" s="4" t="s">
        <v>153</v>
      </c>
      <c r="AV154" s="4" t="s">
        <v>142</v>
      </c>
    </row>
    <row r="155" customFormat="false" ht="15" hidden="false" customHeight="false" outlineLevel="0" collapsed="false">
      <c r="A155" s="0" t="s">
        <v>742</v>
      </c>
      <c r="B155" s="3" t="n">
        <f aca="false">IF(AJ155="","",IF(ISNUMBER(SEARCH("/",AJ155)),DATE(VALUE(RIGHT(AJ155,4)),VALUE(LEFT(AJ155,2)),VALUE(MID(AJ155,4,2))),IF(ISNUMBER(SEARCH("-",AJ155)),IF(LEN(LEFT(AJ155,FIND("-",AJ155)-1))=4,DATE(VALUE(LEFT(AJ155,4)),VALUE(MID(AJ155,6,2)),VALUE(RIGHT(AJ155,2))),DATE(VALUE(RIGHT(AJ155,4)),VALUE(MID(AJ155,4,2)),VALUE(LEFT(AJ155,2)))),DATE(VALUE(RIGHT(AJ155,4)),MATCH(MID(AJ155,4,3),{"Jan","Feb","Mar","Apr","May","Jun","Jul","Aug","Sep","Oct","Nov","Dec"},0),VALUE(LEFT(AJ155,2))))))</f>
        <v>45923</v>
      </c>
      <c r="C155" s="3" t="n">
        <f aca="false">IF(AK155="","",IF(ISNUMBER(SEARCH("/",AK155)),DATE(VALUE(RIGHT(AK155,4)),VALUE(LEFT(AK155,2)),VALUE(MID(AK155,4,2))),IF(ISNUMBER(SEARCH("-",AK155)),IF(LEN(LEFT(AK155,FIND("-",AK155)-1))=4,DATE(VALUE(LEFT(AK155,4)),VALUE(MID(AK155,6,2)),VALUE(RIGHT(AK155,2))),DATE(VALUE(RIGHT(AK155,4)),VALUE(MID(AK155,4,2)),VALUE(LEFT(AK155,2)))),DATE(VALUE(RIGHT(AK155,4)),MATCH(MID(AK155,4,3),{"Jan","Feb","Mar","Apr","May","Jun","Jul","Aug","Sep","Oct","Nov","Dec"},0),VALUE(LEFT(AK155,2))))))</f>
        <v>45925</v>
      </c>
      <c r="D155" s="4" t="s">
        <v>743</v>
      </c>
      <c r="E155" s="0" t="str">
        <f aca="false">PROPER(TRIM(AL155))</f>
        <v>Aditi Sen</v>
      </c>
      <c r="F155" s="0" t="str">
        <f aca="false">PROPER(TRIM(AM155))</f>
        <v>Consumer</v>
      </c>
      <c r="G155" s="0" t="str">
        <f aca="false">IF(TRIM(AN155)="","Unknown",PROPER(TRIM(AN155)))</f>
        <v>East</v>
      </c>
      <c r="H155" s="0" t="str">
        <f aca="false">PROPER(TRIM(AO155))</f>
        <v>Odisha</v>
      </c>
      <c r="I155" s="0" t="str">
        <f aca="false">PROPER(TRIM(AP155))</f>
        <v>Bhubaneswar</v>
      </c>
      <c r="J155" s="0" t="str">
        <f aca="false">PROPER(TRIM(AQ155))</f>
        <v>Office Supplies</v>
      </c>
      <c r="K155" s="0" t="str">
        <f aca="false">PROPER(TRIM(AR155))</f>
        <v>Labels</v>
      </c>
      <c r="M155" s="0" t="str">
        <f aca="false">IF(TRIM(AS155)="","Unknown",PROPER(TRIM(AS155)))</f>
        <v>Standard Class</v>
      </c>
      <c r="N155" s="0" t="n">
        <v>7</v>
      </c>
      <c r="O155" s="0" t="n">
        <v>3280.31</v>
      </c>
      <c r="P155" s="5" t="n">
        <f aca="false">IF(AT155="","",IF(ISNUMBER(AT155),AT155,VALUE(SUBSTITUTE(AT155,"%",""))/100))</f>
        <v>0</v>
      </c>
      <c r="Q155" s="5" t="n">
        <f aca="false">IF(P155="",IF(AND(N155&lt;&gt;"",O155&lt;&gt;"",R155&lt;&gt;"",S155&lt;&gt;""),0,"REVIEW"),IF(OR(P155&lt;0,P155&gt;0.3),0,P155))</f>
        <v>0</v>
      </c>
      <c r="R155" s="0" t="n">
        <v>22962.17</v>
      </c>
      <c r="S155" s="0" t="n">
        <v>15716.5</v>
      </c>
      <c r="T155" s="6" t="n">
        <f aca="false">N155*O155*(1-Q155)</f>
        <v>22962.17</v>
      </c>
      <c r="U155" s="6" t="n">
        <f aca="false">T155-S155</f>
        <v>7245.67</v>
      </c>
      <c r="V155" s="7" t="n">
        <f aca="false">IF(T155=0,0,U155/T155)</f>
        <v>0.315548138525235</v>
      </c>
      <c r="W155" s="4" t="n">
        <f aca="false">C155-B155</f>
        <v>2</v>
      </c>
      <c r="X155" s="0" t="str">
        <f aca="false">TEXT(B155,"mmmm")</f>
        <v>September</v>
      </c>
      <c r="Y155" s="4" t="n">
        <f aca="false">YEAR(B155)</f>
        <v>2025</v>
      </c>
      <c r="Z155" s="0" t="str">
        <f aca="false">PROPER(TRIM(AU155))</f>
        <v>Refunded</v>
      </c>
      <c r="AA155" s="0" t="str">
        <f aca="false">PROPER(TRIM(AV155))</f>
        <v>Returned</v>
      </c>
      <c r="AB155" s="0" t="str">
        <f aca="false">IF(TRIM(AN155)="","Yes","No")</f>
        <v>No</v>
      </c>
      <c r="AC155" s="0" t="str">
        <f aca="false">IF(TRIM(AS155)="","Yes","No")</f>
        <v>No</v>
      </c>
      <c r="AD155" s="0" t="str">
        <f aca="false">IF(AT155="","Yes","No")</f>
        <v>No</v>
      </c>
      <c r="AE155" s="0" t="str">
        <f aca="false">IF(W155&lt;0,"Yes","No")</f>
        <v>No</v>
      </c>
      <c r="AF155" s="0" t="str">
        <f aca="false">IF(P155="","No",IF(OR(P155&lt;0,P155&gt;0.3),"Yes","No"))</f>
        <v>No</v>
      </c>
      <c r="AG155" s="4" t="s">
        <v>50</v>
      </c>
      <c r="AH155" s="0" t="str">
        <f aca="false">IF(AND(AA155="Completed",Z155="Paid"),"Yes","No")</f>
        <v>No</v>
      </c>
      <c r="AI155" s="0" t="str">
        <f aca="false">IF(OR(AE155="Yes",AF155="Yes",AG155="Yes"),"Invalid",IF(OR(AB155="Yes",AC155="Yes",AD155="Yes"),"Warning","Clean"))</f>
        <v>Clean</v>
      </c>
      <c r="AJ155" s="4" t="s">
        <v>744</v>
      </c>
      <c r="AK155" s="4" t="s">
        <v>745</v>
      </c>
      <c r="AL155" s="4" t="s">
        <v>127</v>
      </c>
      <c r="AM155" s="4" t="s">
        <v>54</v>
      </c>
      <c r="AN155" s="4" t="s">
        <v>69</v>
      </c>
      <c r="AO155" s="4" t="s">
        <v>70</v>
      </c>
      <c r="AP155" s="4" t="s">
        <v>71</v>
      </c>
      <c r="AQ155" s="4" t="s">
        <v>58</v>
      </c>
      <c r="AR155" s="4" t="s">
        <v>129</v>
      </c>
      <c r="AS155" s="4" t="s">
        <v>91</v>
      </c>
      <c r="AT155" s="0" t="n">
        <v>0</v>
      </c>
      <c r="AU155" s="4" t="s">
        <v>141</v>
      </c>
      <c r="AV155" s="4" t="s">
        <v>142</v>
      </c>
    </row>
    <row r="156" customFormat="false" ht="15" hidden="false" customHeight="false" outlineLevel="0" collapsed="false">
      <c r="A156" s="0" t="s">
        <v>746</v>
      </c>
      <c r="B156" s="3" t="n">
        <f aca="false">IF(AJ156="","",IF(ISNUMBER(SEARCH("/",AJ156)),DATE(VALUE(RIGHT(AJ156,4)),VALUE(LEFT(AJ156,2)),VALUE(MID(AJ156,4,2))),IF(ISNUMBER(SEARCH("-",AJ156)),IF(LEN(LEFT(AJ156,FIND("-",AJ156)-1))=4,DATE(VALUE(LEFT(AJ156,4)),VALUE(MID(AJ156,6,2)),VALUE(RIGHT(AJ156,2))),DATE(VALUE(RIGHT(AJ156,4)),VALUE(MID(AJ156,4,2)),VALUE(LEFT(AJ156,2)))),DATE(VALUE(RIGHT(AJ156,4)),MATCH(MID(AJ156,4,3),{"Jan","Feb","Mar","Apr","May","Jun","Jul","Aug","Sep","Oct","Nov","Dec"},0),VALUE(LEFT(AJ156,2))))))</f>
        <v>45334</v>
      </c>
      <c r="C156" s="3" t="n">
        <f aca="false">IF(AK156="","",IF(ISNUMBER(SEARCH("/",AK156)),DATE(VALUE(RIGHT(AK156,4)),VALUE(LEFT(AK156,2)),VALUE(MID(AK156,4,2))),IF(ISNUMBER(SEARCH("-",AK156)),IF(LEN(LEFT(AK156,FIND("-",AK156)-1))=4,DATE(VALUE(LEFT(AK156,4)),VALUE(MID(AK156,6,2)),VALUE(RIGHT(AK156,2))),DATE(VALUE(RIGHT(AK156,4)),VALUE(MID(AK156,4,2)),VALUE(LEFT(AK156,2)))),DATE(VALUE(RIGHT(AK156,4)),MATCH(MID(AK156,4,3),{"Jan","Feb","Mar","Apr","May","Jun","Jul","Aug","Sep","Oct","Nov","Dec"},0),VALUE(LEFT(AK156,2))))))</f>
        <v>45333</v>
      </c>
      <c r="D156" s="4" t="s">
        <v>591</v>
      </c>
      <c r="E156" s="0" t="str">
        <f aca="false">PROPER(TRIM(AL156))</f>
        <v>Priya Menon</v>
      </c>
      <c r="F156" s="0" t="str">
        <f aca="false">PROPER(TRIM(AM156))</f>
        <v>Consumer</v>
      </c>
      <c r="G156" s="0" t="str">
        <f aca="false">IF(TRIM(AN156)="","Unknown",PROPER(TRIM(AN156)))</f>
        <v>South</v>
      </c>
      <c r="H156" s="0" t="str">
        <f aca="false">PROPER(TRIM(AO156))</f>
        <v>Tamil Nadu</v>
      </c>
      <c r="I156" s="0" t="str">
        <f aca="false">PROPER(TRIM(AP156))</f>
        <v>Chennai</v>
      </c>
      <c r="J156" s="0" t="str">
        <f aca="false">PROPER(TRIM(AQ156))</f>
        <v>Furniture</v>
      </c>
      <c r="K156" s="0" t="str">
        <f aca="false">PROPER(TRIM(AR156))</f>
        <v>Bookcases</v>
      </c>
      <c r="M156" s="0" t="str">
        <f aca="false">IF(TRIM(AS156)="","Unknown",PROPER(TRIM(AS156)))</f>
        <v>Same Day</v>
      </c>
      <c r="N156" s="0" t="n">
        <v>1</v>
      </c>
      <c r="O156" s="0" t="n">
        <v>2599.12</v>
      </c>
      <c r="P156" s="5" t="n">
        <f aca="false">IF(AT156="","",IF(ISNUMBER(AT156),AT156,VALUE(SUBSTITUTE(AT156,"%",""))/100))</f>
        <v>0.15</v>
      </c>
      <c r="Q156" s="5" t="n">
        <f aca="false">IF(P156="",IF(AND(N156&lt;&gt;"",O156&lt;&gt;"",R156&lt;&gt;"",S156&lt;&gt;""),0,"REVIEW"),IF(OR(P156&lt;0,P156&gt;0.3),0,P156))</f>
        <v>0.15</v>
      </c>
      <c r="R156" s="0" t="n">
        <v>2209.25</v>
      </c>
      <c r="S156" s="0" t="n">
        <v>1523.78</v>
      </c>
      <c r="T156" s="6" t="n">
        <f aca="false">N156*O156*(1-Q156)</f>
        <v>2209.252</v>
      </c>
      <c r="U156" s="6" t="n">
        <f aca="false">T156-S156</f>
        <v>685.472</v>
      </c>
      <c r="V156" s="7" t="n">
        <f aca="false">IF(T156=0,0,U156/T156)</f>
        <v>0.310273341384324</v>
      </c>
      <c r="W156" s="4" t="n">
        <f aca="false">C156-B156</f>
        <v>-1</v>
      </c>
      <c r="X156" s="0" t="str">
        <f aca="false">TEXT(B156,"mmmm")</f>
        <v>February</v>
      </c>
      <c r="Y156" s="4" t="n">
        <f aca="false">YEAR(B156)</f>
        <v>2024</v>
      </c>
      <c r="Z156" s="0" t="str">
        <f aca="false">PROPER(TRIM(AU156))</f>
        <v>Paid</v>
      </c>
      <c r="AA156" s="0" t="str">
        <f aca="false">PROPER(TRIM(AV156))</f>
        <v>Completed</v>
      </c>
      <c r="AB156" s="0" t="str">
        <f aca="false">IF(TRIM(AN156)="","Yes","No")</f>
        <v>No</v>
      </c>
      <c r="AC156" s="0" t="str">
        <f aca="false">IF(TRIM(AS156)="","Yes","No")</f>
        <v>No</v>
      </c>
      <c r="AD156" s="0" t="str">
        <f aca="false">IF(AT156="","Yes","No")</f>
        <v>No</v>
      </c>
      <c r="AE156" s="0" t="str">
        <f aca="false">IF(W156&lt;0,"Yes","No")</f>
        <v>Yes</v>
      </c>
      <c r="AF156" s="0" t="str">
        <f aca="false">IF(P156="","No",IF(OR(P156&lt;0,P156&gt;0.3),"Yes","No"))</f>
        <v>No</v>
      </c>
      <c r="AG156" s="4" t="s">
        <v>50</v>
      </c>
      <c r="AH156" s="0" t="str">
        <f aca="false">IF(AND(AA156="Completed",Z156="Paid"),"Yes","No")</f>
        <v>Yes</v>
      </c>
      <c r="AI156" s="0" t="str">
        <f aca="false">IF(OR(AE156="Yes",AF156="Yes",AG156="Yes"),"Invalid",IF(OR(AB156="Yes",AC156="Yes",AD156="Yes"),"Warning","Clean"))</f>
        <v>Invalid</v>
      </c>
      <c r="AJ156" s="4" t="s">
        <v>747</v>
      </c>
      <c r="AK156" s="4" t="s">
        <v>748</v>
      </c>
      <c r="AL156" s="4" t="s">
        <v>158</v>
      </c>
      <c r="AM156" s="4" t="s">
        <v>54</v>
      </c>
      <c r="AN156" s="4" t="s">
        <v>87</v>
      </c>
      <c r="AO156" s="4" t="s">
        <v>323</v>
      </c>
      <c r="AP156" s="4" t="s">
        <v>324</v>
      </c>
      <c r="AQ156" s="4" t="s">
        <v>72</v>
      </c>
      <c r="AR156" s="4" t="s">
        <v>211</v>
      </c>
      <c r="AS156" s="4" t="s">
        <v>74</v>
      </c>
      <c r="AT156" s="0" t="n">
        <v>0.15</v>
      </c>
      <c r="AU156" s="4" t="s">
        <v>61</v>
      </c>
      <c r="AV156" s="4" t="s">
        <v>62</v>
      </c>
    </row>
    <row r="157" customFormat="false" ht="15" hidden="false" customHeight="false" outlineLevel="0" collapsed="false">
      <c r="A157" s="0" t="s">
        <v>749</v>
      </c>
      <c r="B157" s="3" t="n">
        <f aca="false">IF(AJ157="","",IF(ISNUMBER(SEARCH("/",AJ157)),DATE(VALUE(RIGHT(AJ157,4)),VALUE(LEFT(AJ157,2)),VALUE(MID(AJ157,4,2))),IF(ISNUMBER(SEARCH("-",AJ157)),IF(LEN(LEFT(AJ157,FIND("-",AJ157)-1))=4,DATE(VALUE(LEFT(AJ157,4)),VALUE(MID(AJ157,6,2)),VALUE(RIGHT(AJ157,2))),DATE(VALUE(RIGHT(AJ157,4)),VALUE(MID(AJ157,4,2)),VALUE(LEFT(AJ157,2)))),DATE(VALUE(RIGHT(AJ157,4)),MATCH(MID(AJ157,4,3),{"Jan","Feb","Mar","Apr","May","Jun","Jul","Aug","Sep","Oct","Nov","Dec"},0),VALUE(LEFT(AJ157,2))))))</f>
        <v>45683</v>
      </c>
      <c r="C157" s="3" t="n">
        <f aca="false">IF(AK157="","",IF(ISNUMBER(SEARCH("/",AK157)),DATE(VALUE(RIGHT(AK157,4)),VALUE(LEFT(AK157,2)),VALUE(MID(AK157,4,2))),IF(ISNUMBER(SEARCH("-",AK157)),IF(LEN(LEFT(AK157,FIND("-",AK157)-1))=4,DATE(VALUE(LEFT(AK157,4)),VALUE(MID(AK157,6,2)),VALUE(RIGHT(AK157,2))),DATE(VALUE(RIGHT(AK157,4)),VALUE(MID(AK157,4,2)),VALUE(LEFT(AK157,2)))),DATE(VALUE(RIGHT(AK157,4)),MATCH(MID(AK157,4,3),{"Jan","Feb","Mar","Apr","May","Jun","Jul","Aug","Sep","Oct","Nov","Dec"},0),VALUE(LEFT(AK157,2))))))</f>
        <v>45691</v>
      </c>
      <c r="D157" s="4" t="s">
        <v>750</v>
      </c>
      <c r="E157" s="0" t="str">
        <f aca="false">PROPER(TRIM(AL157))</f>
        <v>Karan Malhotra</v>
      </c>
      <c r="F157" s="0" t="str">
        <f aca="false">PROPER(TRIM(AM157))</f>
        <v>Corporate</v>
      </c>
      <c r="G157" s="0" t="str">
        <f aca="false">IF(TRIM(AN157)="","Unknown",PROPER(TRIM(AN157)))</f>
        <v>West</v>
      </c>
      <c r="H157" s="0" t="str">
        <f aca="false">PROPER(TRIM(AO157))</f>
        <v>Rajasthan</v>
      </c>
      <c r="I157" s="0" t="str">
        <f aca="false">PROPER(TRIM(AP157))</f>
        <v>Udaipur</v>
      </c>
      <c r="J157" s="0" t="str">
        <f aca="false">PROPER(TRIM(AQ157))</f>
        <v>Furniture</v>
      </c>
      <c r="K157" s="0" t="str">
        <f aca="false">PROPER(TRIM(AR157))</f>
        <v>Furnishings</v>
      </c>
      <c r="M157" s="0" t="str">
        <f aca="false">IF(TRIM(AS157)="","Unknown",PROPER(TRIM(AS157)))</f>
        <v>Same Day</v>
      </c>
      <c r="N157" s="0" t="n">
        <v>3</v>
      </c>
      <c r="O157" s="0" t="n">
        <v>2859.32</v>
      </c>
      <c r="P157" s="5" t="n">
        <f aca="false">IF(AT157="","",IF(ISNUMBER(AT157),AT157,VALUE(SUBSTITUTE(AT157,"%",""))/100))</f>
        <v>0.1</v>
      </c>
      <c r="Q157" s="5" t="n">
        <f aca="false">IF(P157="",IF(AND(N157&lt;&gt;"",O157&lt;&gt;"",R157&lt;&gt;"",S157&lt;&gt;""),0,"REVIEW"),IF(OR(P157&lt;0,P157&gt;0.3),0,P157))</f>
        <v>0.1</v>
      </c>
      <c r="R157" s="0" t="n">
        <v>7720.16</v>
      </c>
      <c r="S157" s="0" t="n">
        <v>5881</v>
      </c>
      <c r="T157" s="6" t="n">
        <f aca="false">N157*O157*(1-Q157)</f>
        <v>7720.164</v>
      </c>
      <c r="U157" s="6" t="n">
        <f aca="false">T157-S157</f>
        <v>1839.164</v>
      </c>
      <c r="V157" s="7" t="n">
        <f aca="false">IF(T157=0,0,U157/T157)</f>
        <v>0.238228617941277</v>
      </c>
      <c r="W157" s="4" t="n">
        <f aca="false">C157-B157</f>
        <v>8</v>
      </c>
      <c r="X157" s="0" t="str">
        <f aca="false">TEXT(B157,"mmmm")</f>
        <v>January</v>
      </c>
      <c r="Y157" s="4" t="n">
        <f aca="false">YEAR(B157)</f>
        <v>2025</v>
      </c>
      <c r="Z157" s="0" t="str">
        <f aca="false">PROPER(TRIM(AU157))</f>
        <v>Refunded</v>
      </c>
      <c r="AA157" s="0" t="str">
        <f aca="false">PROPER(TRIM(AV157))</f>
        <v>Returned</v>
      </c>
      <c r="AB157" s="0" t="str">
        <f aca="false">IF(TRIM(AN157)="","Yes","No")</f>
        <v>No</v>
      </c>
      <c r="AC157" s="0" t="str">
        <f aca="false">IF(TRIM(AS157)="","Yes","No")</f>
        <v>No</v>
      </c>
      <c r="AD157" s="0" t="str">
        <f aca="false">IF(AT157="","Yes","No")</f>
        <v>No</v>
      </c>
      <c r="AE157" s="0" t="str">
        <f aca="false">IF(W157&lt;0,"Yes","No")</f>
        <v>No</v>
      </c>
      <c r="AF157" s="0" t="str">
        <f aca="false">IF(P157="","No",IF(OR(P157&lt;0,P157&gt;0.3),"Yes","No"))</f>
        <v>No</v>
      </c>
      <c r="AG157" s="4" t="s">
        <v>50</v>
      </c>
      <c r="AH157" s="0" t="str">
        <f aca="false">IF(AND(AA157="Completed",Z157="Paid"),"Yes","No")</f>
        <v>No</v>
      </c>
      <c r="AI157" s="0" t="str">
        <f aca="false">IF(OR(AE157="Yes",AF157="Yes",AG157="Yes"),"Invalid",IF(OR(AB157="Yes",AC157="Yes",AD157="Yes"),"Warning","Clean"))</f>
        <v>Clean</v>
      </c>
      <c r="AJ157" s="4" t="s">
        <v>505</v>
      </c>
      <c r="AK157" s="4" t="s">
        <v>407</v>
      </c>
      <c r="AL157" s="4" t="s">
        <v>53</v>
      </c>
      <c r="AM157" s="4" t="s">
        <v>128</v>
      </c>
      <c r="AN157" s="4" t="s">
        <v>97</v>
      </c>
      <c r="AO157" s="4" t="s">
        <v>56</v>
      </c>
      <c r="AP157" s="4" t="s">
        <v>152</v>
      </c>
      <c r="AQ157" s="4" t="s">
        <v>72</v>
      </c>
      <c r="AR157" s="4" t="s">
        <v>90</v>
      </c>
      <c r="AS157" s="4" t="s">
        <v>74</v>
      </c>
      <c r="AT157" s="0" t="n">
        <v>0.1</v>
      </c>
      <c r="AU157" s="4" t="s">
        <v>141</v>
      </c>
      <c r="AV157" s="4" t="s">
        <v>142</v>
      </c>
    </row>
    <row r="158" customFormat="false" ht="15" hidden="false" customHeight="false" outlineLevel="0" collapsed="false">
      <c r="A158" s="0" t="s">
        <v>751</v>
      </c>
      <c r="B158" s="3" t="n">
        <f aca="false">IF(AJ158="","",IF(ISNUMBER(SEARCH("/",AJ158)),DATE(VALUE(RIGHT(AJ158,4)),VALUE(LEFT(AJ158,2)),VALUE(MID(AJ158,4,2))),IF(ISNUMBER(SEARCH("-",AJ158)),IF(LEN(LEFT(AJ158,FIND("-",AJ158)-1))=4,DATE(VALUE(LEFT(AJ158,4)),VALUE(MID(AJ158,6,2)),VALUE(RIGHT(AJ158,2))),DATE(VALUE(RIGHT(AJ158,4)),VALUE(MID(AJ158,4,2)),VALUE(LEFT(AJ158,2)))),DATE(VALUE(RIGHT(AJ158,4)),MATCH(MID(AJ158,4,3),{"Jan","Feb","Mar","Apr","May","Jun","Jul","Aug","Sep","Oct","Nov","Dec"},0),VALUE(LEFT(AJ158,2))))))</f>
        <v>45743</v>
      </c>
      <c r="C158" s="3" t="n">
        <f aca="false">IF(AK158="","",IF(ISNUMBER(SEARCH("/",AK158)),DATE(VALUE(RIGHT(AK158,4)),VALUE(LEFT(AK158,2)),VALUE(MID(AK158,4,2))),IF(ISNUMBER(SEARCH("-",AK158)),IF(LEN(LEFT(AK158,FIND("-",AK158)-1))=4,DATE(VALUE(LEFT(AK158,4)),VALUE(MID(AK158,6,2)),VALUE(RIGHT(AK158,2))),DATE(VALUE(RIGHT(AK158,4)),VALUE(MID(AK158,4,2)),VALUE(LEFT(AK158,2)))),DATE(VALUE(RIGHT(AK158,4)),MATCH(MID(AK158,4,3),{"Jan","Feb","Mar","Apr","May","Jun","Jul","Aug","Sep","Oct","Nov","Dec"},0),VALUE(LEFT(AK158,2))))))</f>
        <v>45743</v>
      </c>
      <c r="D158" s="4" t="s">
        <v>752</v>
      </c>
      <c r="E158" s="0" t="str">
        <f aca="false">PROPER(TRIM(AL158))</f>
        <v>Vikram Iyer</v>
      </c>
      <c r="F158" s="0" t="str">
        <f aca="false">PROPER(TRIM(AM158))</f>
        <v>Small Business</v>
      </c>
      <c r="G158" s="0" t="str">
        <f aca="false">IF(TRIM(AN158)="","Unknown",PROPER(TRIM(AN158)))</f>
        <v>East</v>
      </c>
      <c r="H158" s="0" t="str">
        <f aca="false">PROPER(TRIM(AO158))</f>
        <v>Bihar</v>
      </c>
      <c r="I158" s="0" t="str">
        <f aca="false">PROPER(TRIM(AP158))</f>
        <v>Patna</v>
      </c>
      <c r="J158" s="0" t="str">
        <f aca="false">PROPER(TRIM(AQ158))</f>
        <v>Technology</v>
      </c>
      <c r="K158" s="0" t="str">
        <f aca="false">PROPER(TRIM(AR158))</f>
        <v>Machines</v>
      </c>
      <c r="M158" s="0" t="str">
        <f aca="false">IF(TRIM(AS158)="","Unknown",PROPER(TRIM(AS158)))</f>
        <v>Second Class</v>
      </c>
      <c r="N158" s="0" t="n">
        <v>7</v>
      </c>
      <c r="O158" s="0" t="n">
        <v>2305.37</v>
      </c>
      <c r="P158" s="5" t="n">
        <f aca="false">IF(AT158="","",IF(ISNUMBER(AT158),AT158,VALUE(SUBSTITUTE(AT158,"%",""))/100))</f>
        <v>0.25</v>
      </c>
      <c r="Q158" s="5" t="n">
        <f aca="false">IF(P158="",IF(AND(N158&lt;&gt;"",O158&lt;&gt;"",R158&lt;&gt;"",S158&lt;&gt;""),0,"REVIEW"),IF(OR(P158&lt;0,P158&gt;0.3),0,P158))</f>
        <v>0.25</v>
      </c>
      <c r="R158" s="0" t="n">
        <v>12103.19</v>
      </c>
      <c r="S158" s="0" t="n">
        <v>6717.87</v>
      </c>
      <c r="T158" s="6" t="n">
        <f aca="false">N158*O158*(1-Q158)</f>
        <v>12103.1925</v>
      </c>
      <c r="U158" s="6" t="n">
        <f aca="false">T158-S158</f>
        <v>5385.3225</v>
      </c>
      <c r="V158" s="7" t="n">
        <f aca="false">IF(T158=0,0,U158/T158)</f>
        <v>0.44495057812226</v>
      </c>
      <c r="W158" s="4" t="n">
        <f aca="false">C158-B158</f>
        <v>0</v>
      </c>
      <c r="X158" s="0" t="str">
        <f aca="false">TEXT(B158,"mmmm")</f>
        <v>March</v>
      </c>
      <c r="Y158" s="4" t="n">
        <f aca="false">YEAR(B158)</f>
        <v>2025</v>
      </c>
      <c r="Z158" s="0" t="str">
        <f aca="false">PROPER(TRIM(AU158))</f>
        <v>Paid</v>
      </c>
      <c r="AA158" s="0" t="str">
        <f aca="false">PROPER(TRIM(AV158))</f>
        <v>Completed</v>
      </c>
      <c r="AB158" s="0" t="str">
        <f aca="false">IF(TRIM(AN158)="","Yes","No")</f>
        <v>No</v>
      </c>
      <c r="AC158" s="0" t="str">
        <f aca="false">IF(TRIM(AS158)="","Yes","No")</f>
        <v>No</v>
      </c>
      <c r="AD158" s="0" t="str">
        <f aca="false">IF(AT158="","Yes","No")</f>
        <v>No</v>
      </c>
      <c r="AE158" s="0" t="str">
        <f aca="false">IF(W158&lt;0,"Yes","No")</f>
        <v>No</v>
      </c>
      <c r="AF158" s="0" t="str">
        <f aca="false">IF(P158="","No",IF(OR(P158&lt;0,P158&gt;0.3),"Yes","No"))</f>
        <v>No</v>
      </c>
      <c r="AG158" s="4" t="s">
        <v>50</v>
      </c>
      <c r="AH158" s="0" t="str">
        <f aca="false">IF(AND(AA158="Completed",Z158="Paid"),"Yes","No")</f>
        <v>Yes</v>
      </c>
      <c r="AI158" s="0" t="str">
        <f aca="false">IF(OR(AE158="Yes",AF158="Yes",AG158="Yes"),"Invalid",IF(OR(AB158="Yes",AC158="Yes",AD158="Yes"),"Warning","Clean"))</f>
        <v>Clean</v>
      </c>
      <c r="AJ158" s="4" t="s">
        <v>753</v>
      </c>
      <c r="AK158" s="4" t="s">
        <v>754</v>
      </c>
      <c r="AL158" s="4" t="s">
        <v>106</v>
      </c>
      <c r="AM158" s="4" t="s">
        <v>68</v>
      </c>
      <c r="AN158" s="4" t="s">
        <v>69</v>
      </c>
      <c r="AO158" s="4" t="s">
        <v>196</v>
      </c>
      <c r="AP158" s="4" t="s">
        <v>197</v>
      </c>
      <c r="AQ158" s="4" t="s">
        <v>109</v>
      </c>
      <c r="AR158" s="4" t="s">
        <v>360</v>
      </c>
      <c r="AS158" s="4" t="s">
        <v>60</v>
      </c>
      <c r="AT158" s="0" t="n">
        <v>0.25</v>
      </c>
      <c r="AU158" s="4" t="s">
        <v>61</v>
      </c>
      <c r="AV158" s="4" t="s">
        <v>633</v>
      </c>
    </row>
    <row r="159" customFormat="false" ht="15" hidden="false" customHeight="false" outlineLevel="0" collapsed="false">
      <c r="A159" s="0" t="s">
        <v>755</v>
      </c>
      <c r="B159" s="3" t="n">
        <f aca="false">IF(AJ159="","",IF(ISNUMBER(SEARCH("/",AJ159)),DATE(VALUE(RIGHT(AJ159,4)),VALUE(LEFT(AJ159,2)),VALUE(MID(AJ159,4,2))),IF(ISNUMBER(SEARCH("-",AJ159)),IF(LEN(LEFT(AJ159,FIND("-",AJ159)-1))=4,DATE(VALUE(LEFT(AJ159,4)),VALUE(MID(AJ159,6,2)),VALUE(RIGHT(AJ159,2))),DATE(VALUE(RIGHT(AJ159,4)),VALUE(MID(AJ159,4,2)),VALUE(LEFT(AJ159,2)))),DATE(VALUE(RIGHT(AJ159,4)),MATCH(MID(AJ159,4,3),{"Jan","Feb","Mar","Apr","May","Jun","Jul","Aug","Sep","Oct","Nov","Dec"},0),VALUE(LEFT(AJ159,2))))))</f>
        <v>45587</v>
      </c>
      <c r="C159" s="3" t="n">
        <f aca="false">IF(AK159="","",IF(ISNUMBER(SEARCH("/",AK159)),DATE(VALUE(RIGHT(AK159,4)),VALUE(LEFT(AK159,2)),VALUE(MID(AK159,4,2))),IF(ISNUMBER(SEARCH("-",AK159)),IF(LEN(LEFT(AK159,FIND("-",AK159)-1))=4,DATE(VALUE(LEFT(AK159,4)),VALUE(MID(AK159,6,2)),VALUE(RIGHT(AK159,2))),DATE(VALUE(RIGHT(AK159,4)),VALUE(MID(AK159,4,2)),VALUE(LEFT(AK159,2)))),DATE(VALUE(RIGHT(AK159,4)),MATCH(MID(AK159,4,3),{"Jan","Feb","Mar","Apr","May","Jun","Jul","Aug","Sep","Oct","Nov","Dec"},0),VALUE(LEFT(AK159,2))))))</f>
        <v>45589</v>
      </c>
      <c r="D159" s="4" t="s">
        <v>756</v>
      </c>
      <c r="E159" s="0" t="str">
        <f aca="false">PROPER(TRIM(AL159))</f>
        <v>Rohan Mehta</v>
      </c>
      <c r="F159" s="0" t="str">
        <f aca="false">PROPER(TRIM(AM159))</f>
        <v>Small Business</v>
      </c>
      <c r="G159" s="0" t="str">
        <f aca="false">IF(TRIM(AN159)="","Unknown",PROPER(TRIM(AN159)))</f>
        <v>South</v>
      </c>
      <c r="H159" s="0" t="str">
        <f aca="false">PROPER(TRIM(AO159))</f>
        <v>Andhra Pradesh</v>
      </c>
      <c r="I159" s="0" t="str">
        <f aca="false">PROPER(TRIM(AP159))</f>
        <v>Vijayawada</v>
      </c>
      <c r="J159" s="0" t="str">
        <f aca="false">PROPER(TRIM(AQ159))</f>
        <v>Furniture</v>
      </c>
      <c r="K159" s="0" t="str">
        <f aca="false">PROPER(TRIM(AR159))</f>
        <v>Bookcases</v>
      </c>
      <c r="M159" s="0" t="str">
        <f aca="false">IF(TRIM(AS159)="","Unknown",PROPER(TRIM(AS159)))</f>
        <v>Standard Class</v>
      </c>
      <c r="N159" s="0" t="n">
        <v>3</v>
      </c>
      <c r="O159" s="0" t="n">
        <v>915.84</v>
      </c>
      <c r="P159" s="5" t="n">
        <f aca="false">IF(AT159="","",IF(ISNUMBER(AT159),AT159,VALUE(SUBSTITUTE(AT159,"%",""))/100))</f>
        <v>0.15</v>
      </c>
      <c r="Q159" s="5" t="n">
        <f aca="false">IF(P159="",IF(AND(N159&lt;&gt;"",O159&lt;&gt;"",R159&lt;&gt;"",S159&lt;&gt;""),0,"REVIEW"),IF(OR(P159&lt;0,P159&gt;0.3),0,P159))</f>
        <v>0.15</v>
      </c>
      <c r="R159" s="0" t="n">
        <v>2335.39</v>
      </c>
      <c r="S159" s="0" t="n">
        <v>1466.15</v>
      </c>
      <c r="T159" s="6" t="n">
        <f aca="false">N159*O159*(1-Q159)</f>
        <v>2335.392</v>
      </c>
      <c r="U159" s="6" t="n">
        <f aca="false">T159-S159</f>
        <v>869.242</v>
      </c>
      <c r="V159" s="7" t="n">
        <f aca="false">IF(T159=0,0,U159/T159)</f>
        <v>0.372203895534454</v>
      </c>
      <c r="W159" s="4" t="n">
        <f aca="false">C159-B159</f>
        <v>2</v>
      </c>
      <c r="X159" s="0" t="str">
        <f aca="false">TEXT(B159,"mmmm")</f>
        <v>October</v>
      </c>
      <c r="Y159" s="4" t="n">
        <f aca="false">YEAR(B159)</f>
        <v>2024</v>
      </c>
      <c r="Z159" s="0" t="str">
        <f aca="false">PROPER(TRIM(AU159))</f>
        <v>Paid</v>
      </c>
      <c r="AA159" s="0" t="str">
        <f aca="false">PROPER(TRIM(AV159))</f>
        <v>Completed</v>
      </c>
      <c r="AB159" s="0" t="str">
        <f aca="false">IF(TRIM(AN159)="","Yes","No")</f>
        <v>No</v>
      </c>
      <c r="AC159" s="0" t="str">
        <f aca="false">IF(TRIM(AS159)="","Yes","No")</f>
        <v>No</v>
      </c>
      <c r="AD159" s="0" t="str">
        <f aca="false">IF(AT159="","Yes","No")</f>
        <v>No</v>
      </c>
      <c r="AE159" s="0" t="str">
        <f aca="false">IF(W159&lt;0,"Yes","No")</f>
        <v>No</v>
      </c>
      <c r="AF159" s="0" t="str">
        <f aca="false">IF(P159="","No",IF(OR(P159&lt;0,P159&gt;0.3),"Yes","No"))</f>
        <v>No</v>
      </c>
      <c r="AG159" s="4" t="s">
        <v>50</v>
      </c>
      <c r="AH159" s="0" t="str">
        <f aca="false">IF(AND(AA159="Completed",Z159="Paid"),"Yes","No")</f>
        <v>Yes</v>
      </c>
      <c r="AI159" s="0" t="str">
        <f aca="false">IF(OR(AE159="Yes",AF159="Yes",AG159="Yes"),"Invalid",IF(OR(AB159="Yes",AC159="Yes",AD159="Yes"),"Warning","Clean"))</f>
        <v>Clean</v>
      </c>
      <c r="AJ159" s="4" t="s">
        <v>757</v>
      </c>
      <c r="AK159" s="4" t="s">
        <v>758</v>
      </c>
      <c r="AL159" s="4" t="s">
        <v>191</v>
      </c>
      <c r="AM159" s="4" t="s">
        <v>68</v>
      </c>
      <c r="AN159" s="4" t="s">
        <v>87</v>
      </c>
      <c r="AO159" s="4" t="s">
        <v>121</v>
      </c>
      <c r="AP159" s="4" t="s">
        <v>122</v>
      </c>
      <c r="AQ159" s="4" t="s">
        <v>72</v>
      </c>
      <c r="AR159" s="4" t="s">
        <v>211</v>
      </c>
      <c r="AS159" s="4" t="s">
        <v>91</v>
      </c>
      <c r="AT159" s="0" t="n">
        <v>0.15</v>
      </c>
      <c r="AU159" s="4" t="s">
        <v>61</v>
      </c>
      <c r="AV159" s="4" t="s">
        <v>62</v>
      </c>
    </row>
    <row r="160" customFormat="false" ht="15" hidden="false" customHeight="false" outlineLevel="0" collapsed="false">
      <c r="A160" s="0" t="s">
        <v>759</v>
      </c>
      <c r="B160" s="3" t="n">
        <f aca="false">IF(AJ160="","",IF(ISNUMBER(SEARCH("/",AJ160)),DATE(VALUE(RIGHT(AJ160,4)),VALUE(LEFT(AJ160,2)),VALUE(MID(AJ160,4,2))),IF(ISNUMBER(SEARCH("-",AJ160)),IF(LEN(LEFT(AJ160,FIND("-",AJ160)-1))=4,DATE(VALUE(LEFT(AJ160,4)),VALUE(MID(AJ160,6,2)),VALUE(RIGHT(AJ160,2))),DATE(VALUE(RIGHT(AJ160,4)),VALUE(MID(AJ160,4,2)),VALUE(LEFT(AJ160,2)))),DATE(VALUE(RIGHT(AJ160,4)),MATCH(MID(AJ160,4,3),{"Jan","Feb","Mar","Apr","May","Jun","Jul","Aug","Sep","Oct","Nov","Dec"},0),VALUE(LEFT(AJ160,2))))))</f>
        <v>45544</v>
      </c>
      <c r="C160" s="3" t="n">
        <f aca="false">IF(AK160="","",IF(ISNUMBER(SEARCH("/",AK160)),DATE(VALUE(RIGHT(AK160,4)),VALUE(LEFT(AK160,2)),VALUE(MID(AK160,4,2))),IF(ISNUMBER(SEARCH("-",AK160)),IF(LEN(LEFT(AK160,FIND("-",AK160)-1))=4,DATE(VALUE(LEFT(AK160,4)),VALUE(MID(AK160,6,2)),VALUE(RIGHT(AK160,2))),DATE(VALUE(RIGHT(AK160,4)),VALUE(MID(AK160,4,2)),VALUE(LEFT(AK160,2)))),DATE(VALUE(RIGHT(AK160,4)),MATCH(MID(AK160,4,3),{"Jan","Feb","Mar","Apr","May","Jun","Jul","Aug","Sep","Oct","Nov","Dec"},0),VALUE(LEFT(AK160,2))))))</f>
        <v>45546</v>
      </c>
      <c r="D160" s="4" t="s">
        <v>760</v>
      </c>
      <c r="E160" s="0" t="str">
        <f aca="false">PROPER(TRIM(AL160))</f>
        <v>Neha Gupta</v>
      </c>
      <c r="F160" s="0" t="str">
        <f aca="false">PROPER(TRIM(AM160))</f>
        <v>Home Office</v>
      </c>
      <c r="G160" s="0" t="str">
        <f aca="false">IF(TRIM(AN160)="","Unknown",PROPER(TRIM(AN160)))</f>
        <v>South</v>
      </c>
      <c r="H160" s="0" t="str">
        <f aca="false">PROPER(TRIM(AO160))</f>
        <v>Telangana</v>
      </c>
      <c r="I160" s="0" t="str">
        <f aca="false">PROPER(TRIM(AP160))</f>
        <v>Hyderabad</v>
      </c>
      <c r="J160" s="0" t="str">
        <f aca="false">PROPER(TRIM(AQ160))</f>
        <v>Furniture</v>
      </c>
      <c r="K160" s="0" t="str">
        <f aca="false">PROPER(TRIM(AR160))</f>
        <v>Bookcases</v>
      </c>
      <c r="M160" s="0" t="str">
        <f aca="false">IF(TRIM(AS160)="","Unknown",PROPER(TRIM(AS160)))</f>
        <v>First Class</v>
      </c>
      <c r="N160" s="0" t="n">
        <v>1</v>
      </c>
      <c r="O160" s="0" t="n">
        <v>4199.54</v>
      </c>
      <c r="P160" s="5" t="n">
        <f aca="false">IF(AT160="","",IF(ISNUMBER(AT160),AT160,VALUE(SUBSTITUTE(AT160,"%",""))/100))</f>
        <v>0.05</v>
      </c>
      <c r="Q160" s="5" t="n">
        <f aca="false">IF(P160="",IF(AND(N160&lt;&gt;"",O160&lt;&gt;"",R160&lt;&gt;"",S160&lt;&gt;""),0,"REVIEW"),IF(OR(P160&lt;0,P160&gt;0.3),0,P160))</f>
        <v>0.05</v>
      </c>
      <c r="R160" s="0" t="n">
        <v>3989.56</v>
      </c>
      <c r="S160" s="0" t="n">
        <v>2381.38</v>
      </c>
      <c r="T160" s="6" t="n">
        <f aca="false">N160*O160*(1-Q160)</f>
        <v>3989.563</v>
      </c>
      <c r="U160" s="6" t="n">
        <f aca="false">T160-S160</f>
        <v>1608.183</v>
      </c>
      <c r="V160" s="7" t="n">
        <f aca="false">IF(T160=0,0,U160/T160)</f>
        <v>0.403097532235987</v>
      </c>
      <c r="W160" s="4" t="n">
        <f aca="false">C160-B160</f>
        <v>2</v>
      </c>
      <c r="X160" s="0" t="str">
        <f aca="false">TEXT(B160,"mmmm")</f>
        <v>September</v>
      </c>
      <c r="Y160" s="4" t="n">
        <f aca="false">YEAR(B160)</f>
        <v>2024</v>
      </c>
      <c r="Z160" s="0" t="str">
        <f aca="false">PROPER(TRIM(AU160))</f>
        <v>Paid</v>
      </c>
      <c r="AA160" s="0" t="str">
        <f aca="false">PROPER(TRIM(AV160))</f>
        <v>Completed</v>
      </c>
      <c r="AB160" s="0" t="str">
        <f aca="false">IF(TRIM(AN160)="","Yes","No")</f>
        <v>No</v>
      </c>
      <c r="AC160" s="0" t="str">
        <f aca="false">IF(TRIM(AS160)="","Yes","No")</f>
        <v>No</v>
      </c>
      <c r="AD160" s="0" t="str">
        <f aca="false">IF(AT160="","Yes","No")</f>
        <v>No</v>
      </c>
      <c r="AE160" s="0" t="str">
        <f aca="false">IF(W160&lt;0,"Yes","No")</f>
        <v>No</v>
      </c>
      <c r="AF160" s="0" t="str">
        <f aca="false">IF(P160="","No",IF(OR(P160&lt;0,P160&gt;0.3),"Yes","No"))</f>
        <v>No</v>
      </c>
      <c r="AG160" s="4" t="s">
        <v>50</v>
      </c>
      <c r="AH160" s="0" t="str">
        <f aca="false">IF(AND(AA160="Completed",Z160="Paid"),"Yes","No")</f>
        <v>Yes</v>
      </c>
      <c r="AI160" s="0" t="str">
        <f aca="false">IF(OR(AE160="Yes",AF160="Yes",AG160="Yes"),"Invalid",IF(OR(AB160="Yes",AC160="Yes",AD160="Yes"),"Warning","Clean"))</f>
        <v>Clean</v>
      </c>
      <c r="AJ160" s="4" t="s">
        <v>761</v>
      </c>
      <c r="AK160" s="4" t="s">
        <v>762</v>
      </c>
      <c r="AL160" s="4" t="s">
        <v>115</v>
      </c>
      <c r="AM160" s="4" t="s">
        <v>134</v>
      </c>
      <c r="AN160" s="4" t="s">
        <v>87</v>
      </c>
      <c r="AO160" s="4" t="s">
        <v>88</v>
      </c>
      <c r="AP160" s="4" t="s">
        <v>89</v>
      </c>
      <c r="AQ160" s="4" t="s">
        <v>72</v>
      </c>
      <c r="AR160" s="4" t="s">
        <v>211</v>
      </c>
      <c r="AS160" s="4" t="s">
        <v>81</v>
      </c>
      <c r="AT160" s="0" t="n">
        <v>0.05</v>
      </c>
      <c r="AU160" s="4" t="s">
        <v>61</v>
      </c>
      <c r="AV160" s="4" t="s">
        <v>62</v>
      </c>
    </row>
    <row r="161" customFormat="false" ht="15" hidden="false" customHeight="false" outlineLevel="0" collapsed="false">
      <c r="A161" s="0" t="s">
        <v>763</v>
      </c>
      <c r="B161" s="3" t="n">
        <f aca="false">IF(AJ161="","",IF(ISNUMBER(SEARCH("/",AJ161)),DATE(VALUE(RIGHT(AJ161,4)),VALUE(LEFT(AJ161,2)),VALUE(MID(AJ161,4,2))),IF(ISNUMBER(SEARCH("-",AJ161)),IF(LEN(LEFT(AJ161,FIND("-",AJ161)-1))=4,DATE(VALUE(LEFT(AJ161,4)),VALUE(MID(AJ161,6,2)),VALUE(RIGHT(AJ161,2))),DATE(VALUE(RIGHT(AJ161,4)),VALUE(MID(AJ161,4,2)),VALUE(LEFT(AJ161,2)))),DATE(VALUE(RIGHT(AJ161,4)),MATCH(MID(AJ161,4,3),{"Jan","Feb","Mar","Apr","May","Jun","Jul","Aug","Sep","Oct","Nov","Dec"},0),VALUE(LEFT(AJ161,2))))))</f>
        <v>45687</v>
      </c>
      <c r="C161" s="3" t="n">
        <f aca="false">IF(AK161="","",IF(ISNUMBER(SEARCH("/",AK161)),DATE(VALUE(RIGHT(AK161,4)),VALUE(LEFT(AK161,2)),VALUE(MID(AK161,4,2))),IF(ISNUMBER(SEARCH("-",AK161)),IF(LEN(LEFT(AK161,FIND("-",AK161)-1))=4,DATE(VALUE(LEFT(AK161,4)),VALUE(MID(AK161,6,2)),VALUE(RIGHT(AK161,2))),DATE(VALUE(RIGHT(AK161,4)),VALUE(MID(AK161,4,2)),VALUE(LEFT(AK161,2)))),DATE(VALUE(RIGHT(AK161,4)),MATCH(MID(AK161,4,3),{"Jan","Feb","Mar","Apr","May","Jun","Jul","Aug","Sep","Oct","Nov","Dec"},0),VALUE(LEFT(AK161,2))))))</f>
        <v>45692</v>
      </c>
      <c r="D161" s="4" t="s">
        <v>764</v>
      </c>
      <c r="E161" s="0" t="str">
        <f aca="false">PROPER(TRIM(AL161))</f>
        <v>Priya Menon</v>
      </c>
      <c r="F161" s="0" t="str">
        <f aca="false">PROPER(TRIM(AM161))</f>
        <v>Corporate</v>
      </c>
      <c r="G161" s="0" t="str">
        <f aca="false">IF(TRIM(AN161)="","Unknown",PROPER(TRIM(AN161)))</f>
        <v>North</v>
      </c>
      <c r="H161" s="0" t="str">
        <f aca="false">PROPER(TRIM(AO161))</f>
        <v>Haryana</v>
      </c>
      <c r="I161" s="0" t="str">
        <f aca="false">PROPER(TRIM(AP161))</f>
        <v>Gurugram</v>
      </c>
      <c r="J161" s="0" t="str">
        <f aca="false">PROPER(TRIM(AQ161))</f>
        <v>Furniture</v>
      </c>
      <c r="K161" s="0" t="str">
        <f aca="false">PROPER(TRIM(AR161))</f>
        <v>Chairs</v>
      </c>
      <c r="M161" s="0" t="str">
        <f aca="false">IF(TRIM(AS161)="","Unknown",PROPER(TRIM(AS161)))</f>
        <v>Same Day</v>
      </c>
      <c r="N161" s="0" t="n">
        <v>9</v>
      </c>
      <c r="O161" s="0" t="n">
        <v>4430.5</v>
      </c>
      <c r="P161" s="5" t="n">
        <f aca="false">IF(AT161="","",IF(ISNUMBER(AT161),AT161,VALUE(SUBSTITUTE(AT161,"%",""))/100))</f>
        <v>0.15</v>
      </c>
      <c r="Q161" s="5" t="n">
        <f aca="false">IF(P161="",IF(AND(N161&lt;&gt;"",O161&lt;&gt;"",R161&lt;&gt;"",S161&lt;&gt;""),0,"REVIEW"),IF(OR(P161&lt;0,P161&gt;0.3),0,P161))</f>
        <v>0.15</v>
      </c>
      <c r="R161" s="0" t="n">
        <v>33893.32</v>
      </c>
      <c r="S161" s="0" t="n">
        <v>25750.35</v>
      </c>
      <c r="T161" s="6" t="n">
        <f aca="false">N161*O161*(1-Q161)</f>
        <v>33893.325</v>
      </c>
      <c r="U161" s="6" t="n">
        <f aca="false">T161-S161</f>
        <v>8142.975</v>
      </c>
      <c r="V161" s="7" t="n">
        <f aca="false">IF(T161=0,0,U161/T161)</f>
        <v>0.240253058677483</v>
      </c>
      <c r="W161" s="4" t="n">
        <f aca="false">C161-B161</f>
        <v>5</v>
      </c>
      <c r="X161" s="0" t="str">
        <f aca="false">TEXT(B161,"mmmm")</f>
        <v>January</v>
      </c>
      <c r="Y161" s="4" t="n">
        <f aca="false">YEAR(B161)</f>
        <v>2025</v>
      </c>
      <c r="Z161" s="0" t="str">
        <f aca="false">PROPER(TRIM(AU161))</f>
        <v>Pending</v>
      </c>
      <c r="AA161" s="0" t="str">
        <f aca="false">PROPER(TRIM(AV161))</f>
        <v>Cancelled</v>
      </c>
      <c r="AB161" s="0" t="str">
        <f aca="false">IF(TRIM(AN161)="","Yes","No")</f>
        <v>No</v>
      </c>
      <c r="AC161" s="0" t="str">
        <f aca="false">IF(TRIM(AS161)="","Yes","No")</f>
        <v>No</v>
      </c>
      <c r="AD161" s="0" t="str">
        <f aca="false">IF(AT161="","Yes","No")</f>
        <v>No</v>
      </c>
      <c r="AE161" s="0" t="str">
        <f aca="false">IF(W161&lt;0,"Yes","No")</f>
        <v>No</v>
      </c>
      <c r="AF161" s="0" t="str">
        <f aca="false">IF(P161="","No",IF(OR(P161&lt;0,P161&gt;0.3),"Yes","No"))</f>
        <v>No</v>
      </c>
      <c r="AG161" s="4" t="s">
        <v>50</v>
      </c>
      <c r="AH161" s="0" t="str">
        <f aca="false">IF(AND(AA161="Completed",Z161="Paid"),"Yes","No")</f>
        <v>No</v>
      </c>
      <c r="AI161" s="0" t="str">
        <f aca="false">IF(OR(AE161="Yes",AF161="Yes",AG161="Yes"),"Invalid",IF(OR(AB161="Yes",AC161="Yes",AD161="Yes"),"Warning","Clean"))</f>
        <v>Clean</v>
      </c>
      <c r="AJ161" s="4" t="s">
        <v>765</v>
      </c>
      <c r="AK161" s="4" t="s">
        <v>766</v>
      </c>
      <c r="AL161" s="4" t="s">
        <v>158</v>
      </c>
      <c r="AM161" s="4" t="s">
        <v>128</v>
      </c>
      <c r="AN161" s="4" t="s">
        <v>168</v>
      </c>
      <c r="AO161" s="4" t="s">
        <v>310</v>
      </c>
      <c r="AP161" s="4" t="s">
        <v>311</v>
      </c>
      <c r="AQ161" s="4" t="s">
        <v>72</v>
      </c>
      <c r="AR161" s="4" t="s">
        <v>100</v>
      </c>
      <c r="AS161" s="4" t="s">
        <v>74</v>
      </c>
      <c r="AT161" s="0" t="n">
        <v>0.15</v>
      </c>
      <c r="AU161" s="4" t="s">
        <v>153</v>
      </c>
      <c r="AV161" s="4" t="s">
        <v>101</v>
      </c>
    </row>
    <row r="162" customFormat="false" ht="15" hidden="false" customHeight="false" outlineLevel="0" collapsed="false">
      <c r="A162" s="0" t="s">
        <v>767</v>
      </c>
      <c r="B162" s="3" t="n">
        <f aca="false">IF(AJ162="","",IF(ISNUMBER(SEARCH("/",AJ162)),DATE(VALUE(RIGHT(AJ162,4)),VALUE(LEFT(AJ162,2)),VALUE(MID(AJ162,4,2))),IF(ISNUMBER(SEARCH("-",AJ162)),IF(LEN(LEFT(AJ162,FIND("-",AJ162)-1))=4,DATE(VALUE(LEFT(AJ162,4)),VALUE(MID(AJ162,6,2)),VALUE(RIGHT(AJ162,2))),DATE(VALUE(RIGHT(AJ162,4)),VALUE(MID(AJ162,4,2)),VALUE(LEFT(AJ162,2)))),DATE(VALUE(RIGHT(AJ162,4)),MATCH(MID(AJ162,4,3),{"Jan","Feb","Mar","Apr","May","Jun","Jul","Aug","Sep","Oct","Nov","Dec"},0),VALUE(LEFT(AJ162,2))))))</f>
        <v>45938</v>
      </c>
      <c r="C162" s="3" t="n">
        <f aca="false">IF(AK162="","",IF(ISNUMBER(SEARCH("/",AK162)),DATE(VALUE(RIGHT(AK162,4)),VALUE(LEFT(AK162,2)),VALUE(MID(AK162,4,2))),IF(ISNUMBER(SEARCH("-",AK162)),IF(LEN(LEFT(AK162,FIND("-",AK162)-1))=4,DATE(VALUE(LEFT(AK162,4)),VALUE(MID(AK162,6,2)),VALUE(RIGHT(AK162,2))),DATE(VALUE(RIGHT(AK162,4)),VALUE(MID(AK162,4,2)),VALUE(LEFT(AK162,2)))),DATE(VALUE(RIGHT(AK162,4)),MATCH(MID(AK162,4,3),{"Jan","Feb","Mar","Apr","May","Jun","Jul","Aug","Sep","Oct","Nov","Dec"},0),VALUE(LEFT(AK162,2))))))</f>
        <v>45936</v>
      </c>
      <c r="D162" s="4" t="s">
        <v>768</v>
      </c>
      <c r="E162" s="0" t="str">
        <f aca="false">PROPER(TRIM(AL162))</f>
        <v>Vikram Iyer</v>
      </c>
      <c r="F162" s="0" t="str">
        <f aca="false">PROPER(TRIM(AM162))</f>
        <v>Small Business</v>
      </c>
      <c r="G162" s="0" t="str">
        <f aca="false">IF(TRIM(AN162)="","Unknown",PROPER(TRIM(AN162)))</f>
        <v>West</v>
      </c>
      <c r="H162" s="0" t="str">
        <f aca="false">PROPER(TRIM(AO162))</f>
        <v>Maharashtra</v>
      </c>
      <c r="I162" s="0" t="str">
        <f aca="false">PROPER(TRIM(AP162))</f>
        <v>Mumbai</v>
      </c>
      <c r="J162" s="0" t="str">
        <f aca="false">PROPER(TRIM(AQ162))</f>
        <v>Office Supplies</v>
      </c>
      <c r="K162" s="0" t="str">
        <f aca="false">PROPER(TRIM(AR162))</f>
        <v>Paper</v>
      </c>
      <c r="M162" s="0" t="str">
        <f aca="false">IF(TRIM(AS162)="","Unknown",PROPER(TRIM(AS162)))</f>
        <v>Second Class</v>
      </c>
      <c r="N162" s="0" t="n">
        <v>4</v>
      </c>
      <c r="O162" s="0" t="n">
        <v>1260.42</v>
      </c>
      <c r="P162" s="5" t="n">
        <f aca="false">IF(AT162="","",IF(ISNUMBER(AT162),AT162,VALUE(SUBSTITUTE(AT162,"%",""))/100))</f>
        <v>0.05</v>
      </c>
      <c r="Q162" s="5" t="n">
        <f aca="false">IF(P162="",IF(AND(N162&lt;&gt;"",O162&lt;&gt;"",R162&lt;&gt;"",S162&lt;&gt;""),0,"REVIEW"),IF(OR(P162&lt;0,P162&gt;0.3),0,P162))</f>
        <v>0.05</v>
      </c>
      <c r="R162" s="0" t="n">
        <v>4789.6</v>
      </c>
      <c r="S162" s="0" t="n">
        <v>4037.64</v>
      </c>
      <c r="T162" s="6" t="n">
        <f aca="false">N162*O162*(1-Q162)</f>
        <v>4789.596</v>
      </c>
      <c r="U162" s="6" t="n">
        <f aca="false">T162-S162</f>
        <v>751.956000000001</v>
      </c>
      <c r="V162" s="7" t="n">
        <f aca="false">IF(T162=0,0,U162/T162)</f>
        <v>0.156997792715711</v>
      </c>
      <c r="W162" s="4" t="n">
        <f aca="false">C162-B162</f>
        <v>-2</v>
      </c>
      <c r="X162" s="0" t="str">
        <f aca="false">TEXT(B162,"mmmm")</f>
        <v>October</v>
      </c>
      <c r="Y162" s="4" t="n">
        <f aca="false">YEAR(B162)</f>
        <v>2025</v>
      </c>
      <c r="Z162" s="0" t="str">
        <f aca="false">PROPER(TRIM(AU162))</f>
        <v>Pending</v>
      </c>
      <c r="AA162" s="0" t="str">
        <f aca="false">PROPER(TRIM(AV162))</f>
        <v>Cancelled</v>
      </c>
      <c r="AB162" s="0" t="str">
        <f aca="false">IF(TRIM(AN162)="","Yes","No")</f>
        <v>No</v>
      </c>
      <c r="AC162" s="0" t="str">
        <f aca="false">IF(TRIM(AS162)="","Yes","No")</f>
        <v>No</v>
      </c>
      <c r="AD162" s="0" t="str">
        <f aca="false">IF(AT162="","Yes","No")</f>
        <v>No</v>
      </c>
      <c r="AE162" s="0" t="str">
        <f aca="false">IF(W162&lt;0,"Yes","No")</f>
        <v>Yes</v>
      </c>
      <c r="AF162" s="0" t="str">
        <f aca="false">IF(P162="","No",IF(OR(P162&lt;0,P162&gt;0.3),"Yes","No"))</f>
        <v>No</v>
      </c>
      <c r="AG162" s="4" t="s">
        <v>50</v>
      </c>
      <c r="AH162" s="0" t="str">
        <f aca="false">IF(AND(AA162="Completed",Z162="Paid"),"Yes","No")</f>
        <v>No</v>
      </c>
      <c r="AI162" s="0" t="str">
        <f aca="false">IF(OR(AE162="Yes",AF162="Yes",AG162="Yes"),"Invalid",IF(OR(AB162="Yes",AC162="Yes",AD162="Yes"),"Warning","Clean"))</f>
        <v>Invalid</v>
      </c>
      <c r="AJ162" s="4" t="s">
        <v>769</v>
      </c>
      <c r="AK162" s="4" t="s">
        <v>770</v>
      </c>
      <c r="AL162" s="4" t="s">
        <v>106</v>
      </c>
      <c r="AM162" s="4" t="s">
        <v>68</v>
      </c>
      <c r="AN162" s="4" t="s">
        <v>97</v>
      </c>
      <c r="AO162" s="4" t="s">
        <v>98</v>
      </c>
      <c r="AP162" s="4" t="s">
        <v>99</v>
      </c>
      <c r="AQ162" s="4" t="s">
        <v>58</v>
      </c>
      <c r="AR162" s="4" t="s">
        <v>59</v>
      </c>
      <c r="AS162" s="4" t="s">
        <v>60</v>
      </c>
      <c r="AT162" s="0" t="n">
        <v>0.05</v>
      </c>
      <c r="AU162" s="4" t="s">
        <v>153</v>
      </c>
      <c r="AV162" s="4" t="s">
        <v>101</v>
      </c>
    </row>
    <row r="163" customFormat="false" ht="15" hidden="false" customHeight="false" outlineLevel="0" collapsed="false">
      <c r="A163" s="0" t="s">
        <v>771</v>
      </c>
      <c r="B163" s="3" t="n">
        <f aca="false">IF(AJ163="","",IF(ISNUMBER(SEARCH("/",AJ163)),DATE(VALUE(RIGHT(AJ163,4)),VALUE(LEFT(AJ163,2)),VALUE(MID(AJ163,4,2))),IF(ISNUMBER(SEARCH("-",AJ163)),IF(LEN(LEFT(AJ163,FIND("-",AJ163)-1))=4,DATE(VALUE(LEFT(AJ163,4)),VALUE(MID(AJ163,6,2)),VALUE(RIGHT(AJ163,2))),DATE(VALUE(RIGHT(AJ163,4)),VALUE(MID(AJ163,4,2)),VALUE(LEFT(AJ163,2)))),DATE(VALUE(RIGHT(AJ163,4)),MATCH(MID(AJ163,4,3),{"Jan","Feb","Mar","Apr","May","Jun","Jul","Aug","Sep","Oct","Nov","Dec"},0),VALUE(LEFT(AJ163,2))))))</f>
        <v>45862</v>
      </c>
      <c r="C163" s="3" t="n">
        <f aca="false">IF(AK163="","",IF(ISNUMBER(SEARCH("/",AK163)),DATE(VALUE(RIGHT(AK163,4)),VALUE(LEFT(AK163,2)),VALUE(MID(AK163,4,2))),IF(ISNUMBER(SEARCH("-",AK163)),IF(LEN(LEFT(AK163,FIND("-",AK163)-1))=4,DATE(VALUE(LEFT(AK163,4)),VALUE(MID(AK163,6,2)),VALUE(RIGHT(AK163,2))),DATE(VALUE(RIGHT(AK163,4)),VALUE(MID(AK163,4,2)),VALUE(LEFT(AK163,2)))),DATE(VALUE(RIGHT(AK163,4)),MATCH(MID(AK163,4,3),{"Jan","Feb","Mar","Apr","May","Jun","Jul","Aug","Sep","Oct","Nov","Dec"},0),VALUE(LEFT(AK163,2))))))</f>
        <v>45868</v>
      </c>
      <c r="D163" s="4" t="s">
        <v>772</v>
      </c>
      <c r="E163" s="0" t="str">
        <f aca="false">PROPER(TRIM(AL163))</f>
        <v>Arjun Bose</v>
      </c>
      <c r="F163" s="0" t="str">
        <f aca="false">PROPER(TRIM(AM163))</f>
        <v>Consumer</v>
      </c>
      <c r="G163" s="0" t="str">
        <f aca="false">IF(TRIM(AN163)="","Unknown",PROPER(TRIM(AN163)))</f>
        <v>West</v>
      </c>
      <c r="H163" s="0" t="str">
        <f aca="false">PROPER(TRIM(AO163))</f>
        <v>Rajasthan</v>
      </c>
      <c r="I163" s="0" t="str">
        <f aca="false">PROPER(TRIM(AP163))</f>
        <v>Udaipur</v>
      </c>
      <c r="J163" s="0" t="str">
        <f aca="false">PROPER(TRIM(AQ163))</f>
        <v>Office Supplies</v>
      </c>
      <c r="K163" s="0" t="str">
        <f aca="false">PROPER(TRIM(AR163))</f>
        <v>Binders</v>
      </c>
      <c r="M163" s="0" t="str">
        <f aca="false">IF(TRIM(AS163)="","Unknown",PROPER(TRIM(AS163)))</f>
        <v>Standard Class</v>
      </c>
      <c r="N163" s="0" t="n">
        <v>1</v>
      </c>
      <c r="O163" s="0" t="n">
        <v>1643.41</v>
      </c>
      <c r="P163" s="5" t="n">
        <f aca="false">IF(AT163="","",IF(ISNUMBER(AT163),AT163,VALUE(SUBSTITUTE(AT163,"%",""))/100))</f>
        <v>0</v>
      </c>
      <c r="Q163" s="5" t="n">
        <f aca="false">IF(P163="",IF(AND(N163&lt;&gt;"",O163&lt;&gt;"",R163&lt;&gt;"",S163&lt;&gt;""),0,"REVIEW"),IF(OR(P163&lt;0,P163&gt;0.3),0,P163))</f>
        <v>0</v>
      </c>
      <c r="R163" s="0" t="n">
        <v>1643.41</v>
      </c>
      <c r="S163" s="0" t="n">
        <v>907.4</v>
      </c>
      <c r="T163" s="6" t="n">
        <f aca="false">N163*O163*(1-Q163)</f>
        <v>1643.41</v>
      </c>
      <c r="U163" s="6" t="n">
        <f aca="false">T163-S163</f>
        <v>736.01</v>
      </c>
      <c r="V163" s="7" t="n">
        <f aca="false">IF(T163=0,0,U163/T163)</f>
        <v>0.447855373887222</v>
      </c>
      <c r="W163" s="4" t="n">
        <f aca="false">C163-B163</f>
        <v>6</v>
      </c>
      <c r="X163" s="0" t="str">
        <f aca="false">TEXT(B163,"mmmm")</f>
        <v>July</v>
      </c>
      <c r="Y163" s="4" t="n">
        <f aca="false">YEAR(B163)</f>
        <v>2025</v>
      </c>
      <c r="Z163" s="0" t="str">
        <f aca="false">PROPER(TRIM(AU163))</f>
        <v>Pending</v>
      </c>
      <c r="AA163" s="0" t="str">
        <f aca="false">PROPER(TRIM(AV163))</f>
        <v>Cancelled</v>
      </c>
      <c r="AB163" s="0" t="str">
        <f aca="false">IF(TRIM(AN163)="","Yes","No")</f>
        <v>No</v>
      </c>
      <c r="AC163" s="0" t="str">
        <f aca="false">IF(TRIM(AS163)="","Yes","No")</f>
        <v>No</v>
      </c>
      <c r="AD163" s="0" t="str">
        <f aca="false">IF(AT163="","Yes","No")</f>
        <v>No</v>
      </c>
      <c r="AE163" s="0" t="str">
        <f aca="false">IF(W163&lt;0,"Yes","No")</f>
        <v>No</v>
      </c>
      <c r="AF163" s="0" t="str">
        <f aca="false">IF(P163="","No",IF(OR(P163&lt;0,P163&gt;0.3),"Yes","No"))</f>
        <v>No</v>
      </c>
      <c r="AG163" s="4" t="s">
        <v>50</v>
      </c>
      <c r="AH163" s="0" t="str">
        <f aca="false">IF(AND(AA163="Completed",Z163="Paid"),"Yes","No")</f>
        <v>No</v>
      </c>
      <c r="AI163" s="0" t="str">
        <f aca="false">IF(OR(AE163="Yes",AF163="Yes",AG163="Yes"),"Invalid",IF(OR(AB163="Yes",AC163="Yes",AD163="Yes"),"Warning","Clean"))</f>
        <v>Clean</v>
      </c>
      <c r="AJ163" s="4" t="s">
        <v>773</v>
      </c>
      <c r="AK163" s="4" t="s">
        <v>774</v>
      </c>
      <c r="AL163" s="4" t="s">
        <v>86</v>
      </c>
      <c r="AM163" s="4" t="s">
        <v>775</v>
      </c>
      <c r="AN163" s="4" t="s">
        <v>97</v>
      </c>
      <c r="AO163" s="4" t="s">
        <v>56</v>
      </c>
      <c r="AP163" s="4" t="s">
        <v>152</v>
      </c>
      <c r="AQ163" s="4" t="s">
        <v>58</v>
      </c>
      <c r="AR163" s="4" t="s">
        <v>206</v>
      </c>
      <c r="AS163" s="4" t="s">
        <v>91</v>
      </c>
      <c r="AT163" s="0" t="n">
        <v>0</v>
      </c>
      <c r="AU163" s="4" t="s">
        <v>153</v>
      </c>
      <c r="AV163" s="4" t="s">
        <v>101</v>
      </c>
    </row>
    <row r="164" customFormat="false" ht="15" hidden="false" customHeight="false" outlineLevel="0" collapsed="false">
      <c r="A164" s="0" t="s">
        <v>776</v>
      </c>
      <c r="B164" s="3" t="n">
        <f aca="false">IF(AJ164="","",IF(ISNUMBER(SEARCH("/",AJ164)),DATE(VALUE(RIGHT(AJ164,4)),VALUE(LEFT(AJ164,2)),VALUE(MID(AJ164,4,2))),IF(ISNUMBER(SEARCH("-",AJ164)),IF(LEN(LEFT(AJ164,FIND("-",AJ164)-1))=4,DATE(VALUE(LEFT(AJ164,4)),VALUE(MID(AJ164,6,2)),VALUE(RIGHT(AJ164,2))),DATE(VALUE(RIGHT(AJ164,4)),VALUE(MID(AJ164,4,2)),VALUE(LEFT(AJ164,2)))),DATE(VALUE(RIGHT(AJ164,4)),MATCH(MID(AJ164,4,3),{"Jan","Feb","Mar","Apr","May","Jun","Jul","Aug","Sep","Oct","Nov","Dec"},0),VALUE(LEFT(AJ164,2))))))</f>
        <v>45360</v>
      </c>
      <c r="C164" s="3" t="n">
        <f aca="false">IF(AK164="","",IF(ISNUMBER(SEARCH("/",AK164)),DATE(VALUE(RIGHT(AK164,4)),VALUE(LEFT(AK164,2)),VALUE(MID(AK164,4,2))),IF(ISNUMBER(SEARCH("-",AK164)),IF(LEN(LEFT(AK164,FIND("-",AK164)-1))=4,DATE(VALUE(LEFT(AK164,4)),VALUE(MID(AK164,6,2)),VALUE(RIGHT(AK164,2))),DATE(VALUE(RIGHT(AK164,4)),VALUE(MID(AK164,4,2)),VALUE(LEFT(AK164,2)))),DATE(VALUE(RIGHT(AK164,4)),MATCH(MID(AK164,4,3),{"Jan","Feb","Mar","Apr","May","Jun","Jul","Aug","Sep","Oct","Nov","Dec"},0),VALUE(LEFT(AK164,2))))))</f>
        <v>45365</v>
      </c>
      <c r="D164" s="4" t="s">
        <v>777</v>
      </c>
      <c r="E164" s="0" t="str">
        <f aca="false">PROPER(TRIM(AL164))</f>
        <v>Neha Gupta</v>
      </c>
      <c r="F164" s="0" t="str">
        <f aca="false">PROPER(TRIM(AM164))</f>
        <v>Small Business</v>
      </c>
      <c r="G164" s="0" t="str">
        <f aca="false">IF(TRIM(AN164)="","Unknown",PROPER(TRIM(AN164)))</f>
        <v>West</v>
      </c>
      <c r="H164" s="0" t="str">
        <f aca="false">PROPER(TRIM(AO164))</f>
        <v>Goa</v>
      </c>
      <c r="I164" s="0" t="str">
        <f aca="false">PROPER(TRIM(AP164))</f>
        <v>Panaji</v>
      </c>
      <c r="J164" s="0" t="str">
        <f aca="false">PROPER(TRIM(AQ164))</f>
        <v>Furniture</v>
      </c>
      <c r="K164" s="0" t="str">
        <f aca="false">PROPER(TRIM(AR164))</f>
        <v>Furnishings</v>
      </c>
      <c r="M164" s="0" t="str">
        <f aca="false">IF(TRIM(AS164)="","Unknown",PROPER(TRIM(AS164)))</f>
        <v>Second Class</v>
      </c>
      <c r="N164" s="0" t="n">
        <v>8</v>
      </c>
      <c r="O164" s="0" t="n">
        <v>4472.84</v>
      </c>
      <c r="P164" s="5" t="n">
        <f aca="false">IF(AT164="","",IF(ISNUMBER(AT164),AT164,VALUE(SUBSTITUTE(AT164,"%",""))/100))</f>
        <v>0</v>
      </c>
      <c r="Q164" s="5" t="n">
        <f aca="false">IF(P164="",IF(AND(N164&lt;&gt;"",O164&lt;&gt;"",R164&lt;&gt;"",S164&lt;&gt;""),0,"REVIEW"),IF(OR(P164&lt;0,P164&gt;0.3),0,P164))</f>
        <v>0</v>
      </c>
      <c r="R164" s="0" t="n">
        <v>35997.62</v>
      </c>
      <c r="S164" s="0" t="n">
        <v>26424.41</v>
      </c>
      <c r="T164" s="6" t="n">
        <f aca="false">N164*O164*(1-Q164)</f>
        <v>35782.72</v>
      </c>
      <c r="U164" s="6" t="n">
        <f aca="false">T164-S164</f>
        <v>9358.31</v>
      </c>
      <c r="V164" s="7" t="n">
        <f aca="false">IF(T164=0,0,U164/T164)</f>
        <v>0.261531543717191</v>
      </c>
      <c r="W164" s="4" t="n">
        <f aca="false">C164-B164</f>
        <v>5</v>
      </c>
      <c r="X164" s="0" t="str">
        <f aca="false">TEXT(B164,"mmmm")</f>
        <v>March</v>
      </c>
      <c r="Y164" s="4" t="n">
        <f aca="false">YEAR(B164)</f>
        <v>2024</v>
      </c>
      <c r="Z164" s="0" t="str">
        <f aca="false">PROPER(TRIM(AU164))</f>
        <v>Pending</v>
      </c>
      <c r="AA164" s="0" t="str">
        <f aca="false">PROPER(TRIM(AV164))</f>
        <v>Returned</v>
      </c>
      <c r="AB164" s="0" t="str">
        <f aca="false">IF(TRIM(AN164)="","Yes","No")</f>
        <v>No</v>
      </c>
      <c r="AC164" s="0" t="str">
        <f aca="false">IF(TRIM(AS164)="","Yes","No")</f>
        <v>No</v>
      </c>
      <c r="AD164" s="0" t="str">
        <f aca="false">IF(AT164="","Yes","No")</f>
        <v>No</v>
      </c>
      <c r="AE164" s="0" t="str">
        <f aca="false">IF(W164&lt;0,"Yes","No")</f>
        <v>No</v>
      </c>
      <c r="AF164" s="0" t="str">
        <f aca="false">IF(P164="","No",IF(OR(P164&lt;0,P164&gt;0.3),"Yes","No"))</f>
        <v>No</v>
      </c>
      <c r="AG164" s="4" t="s">
        <v>50</v>
      </c>
      <c r="AH164" s="0" t="str">
        <f aca="false">IF(AND(AA164="Completed",Z164="Paid"),"Yes","No")</f>
        <v>No</v>
      </c>
      <c r="AI164" s="0" t="str">
        <f aca="false">IF(OR(AE164="Yes",AF164="Yes",AG164="Yes"),"Invalid",IF(OR(AB164="Yes",AC164="Yes",AD164="Yes"),"Warning","Clean"))</f>
        <v>Clean</v>
      </c>
      <c r="AJ164" s="4" t="s">
        <v>778</v>
      </c>
      <c r="AK164" s="4" t="s">
        <v>779</v>
      </c>
      <c r="AL164" s="4" t="s">
        <v>115</v>
      </c>
      <c r="AM164" s="4" t="s">
        <v>68</v>
      </c>
      <c r="AN164" s="4" t="s">
        <v>97</v>
      </c>
      <c r="AO164" s="4" t="s">
        <v>250</v>
      </c>
      <c r="AP164" s="4" t="s">
        <v>251</v>
      </c>
      <c r="AQ164" s="4" t="s">
        <v>72</v>
      </c>
      <c r="AR164" s="4" t="s">
        <v>90</v>
      </c>
      <c r="AS164" s="4" t="s">
        <v>60</v>
      </c>
      <c r="AT164" s="0" t="n">
        <v>0</v>
      </c>
      <c r="AU164" s="4" t="s">
        <v>153</v>
      </c>
      <c r="AV164" s="4" t="s">
        <v>142</v>
      </c>
    </row>
    <row r="165" customFormat="false" ht="15" hidden="false" customHeight="false" outlineLevel="0" collapsed="false">
      <c r="A165" s="0" t="s">
        <v>780</v>
      </c>
      <c r="B165" s="3" t="n">
        <f aca="false">IF(AJ165="","",IF(ISNUMBER(SEARCH("/",AJ165)),DATE(VALUE(RIGHT(AJ165,4)),VALUE(LEFT(AJ165,2)),VALUE(MID(AJ165,4,2))),IF(ISNUMBER(SEARCH("-",AJ165)),IF(LEN(LEFT(AJ165,FIND("-",AJ165)-1))=4,DATE(VALUE(LEFT(AJ165,4)),VALUE(MID(AJ165,6,2)),VALUE(RIGHT(AJ165,2))),DATE(VALUE(RIGHT(AJ165,4)),VALUE(MID(AJ165,4,2)),VALUE(LEFT(AJ165,2)))),DATE(VALUE(RIGHT(AJ165,4)),MATCH(MID(AJ165,4,3),{"Jan","Feb","Mar","Apr","May","Jun","Jul","Aug","Sep","Oct","Nov","Dec"},0),VALUE(LEFT(AJ165,2))))))</f>
        <v>45921</v>
      </c>
      <c r="C165" s="3" t="n">
        <f aca="false">IF(AK165="","",IF(ISNUMBER(SEARCH("/",AK165)),DATE(VALUE(RIGHT(AK165,4)),VALUE(LEFT(AK165,2)),VALUE(MID(AK165,4,2))),IF(ISNUMBER(SEARCH("-",AK165)),IF(LEN(LEFT(AK165,FIND("-",AK165)-1))=4,DATE(VALUE(LEFT(AK165,4)),VALUE(MID(AK165,6,2)),VALUE(RIGHT(AK165,2))),DATE(VALUE(RIGHT(AK165,4)),VALUE(MID(AK165,4,2)),VALUE(LEFT(AK165,2)))),DATE(VALUE(RIGHT(AK165,4)),MATCH(MID(AK165,4,3),{"Jan","Feb","Mar","Apr","May","Jun","Jul","Aug","Sep","Oct","Nov","Dec"},0),VALUE(LEFT(AK165,2))))))</f>
        <v>45926</v>
      </c>
      <c r="D165" s="4" t="s">
        <v>781</v>
      </c>
      <c r="E165" s="0" t="str">
        <f aca="false">PROPER(TRIM(AL165))</f>
        <v>Rohan Mehta</v>
      </c>
      <c r="F165" s="0" t="str">
        <f aca="false">PROPER(TRIM(AM165))</f>
        <v>Home Office</v>
      </c>
      <c r="G165" s="0" t="str">
        <f aca="false">IF(TRIM(AN165)="","Unknown",PROPER(TRIM(AN165)))</f>
        <v>West</v>
      </c>
      <c r="H165" s="0" t="str">
        <f aca="false">PROPER(TRIM(AO165))</f>
        <v>Gujarat</v>
      </c>
      <c r="I165" s="0" t="str">
        <f aca="false">PROPER(TRIM(AP165))</f>
        <v>Ahmedabad</v>
      </c>
      <c r="J165" s="0" t="str">
        <f aca="false">PROPER(TRIM(AQ165))</f>
        <v>Furniture</v>
      </c>
      <c r="K165" s="0" t="str">
        <f aca="false">PROPER(TRIM(AR165))</f>
        <v>Tables</v>
      </c>
      <c r="M165" s="0" t="str">
        <f aca="false">IF(TRIM(AS165)="","Unknown",PROPER(TRIM(AS165)))</f>
        <v>Unknown</v>
      </c>
      <c r="N165" s="0" t="n">
        <v>6</v>
      </c>
      <c r="O165" s="0" t="n">
        <v>2903.58</v>
      </c>
      <c r="P165" s="5" t="n">
        <f aca="false">IF(AT165="","",IF(ISNUMBER(AT165),AT165,VALUE(SUBSTITUTE(AT165,"%",""))/100))</f>
        <v>0.1</v>
      </c>
      <c r="Q165" s="5" t="n">
        <f aca="false">IF(P165="",IF(AND(N165&lt;&gt;"",O165&lt;&gt;"",R165&lt;&gt;"",S165&lt;&gt;""),0,"REVIEW"),IF(OR(P165&lt;0,P165&gt;0.3),0,P165))</f>
        <v>0.1</v>
      </c>
      <c r="R165" s="0" t="n">
        <v>15679.33</v>
      </c>
      <c r="S165" s="0" t="n">
        <v>12477.82</v>
      </c>
      <c r="T165" s="6" t="n">
        <f aca="false">N165*O165*(1-Q165)</f>
        <v>15679.332</v>
      </c>
      <c r="U165" s="6" t="n">
        <f aca="false">T165-S165</f>
        <v>3201.512</v>
      </c>
      <c r="V165" s="7" t="n">
        <f aca="false">IF(T165=0,0,U165/T165)</f>
        <v>0.204186759997173</v>
      </c>
      <c r="W165" s="4" t="n">
        <f aca="false">C165-B165</f>
        <v>5</v>
      </c>
      <c r="X165" s="0" t="str">
        <f aca="false">TEXT(B165,"mmmm")</f>
        <v>September</v>
      </c>
      <c r="Y165" s="4" t="n">
        <f aca="false">YEAR(B165)</f>
        <v>2025</v>
      </c>
      <c r="Z165" s="0" t="str">
        <f aca="false">PROPER(TRIM(AU165))</f>
        <v>Pending</v>
      </c>
      <c r="AA165" s="0" t="str">
        <f aca="false">PROPER(TRIM(AV165))</f>
        <v>Returned</v>
      </c>
      <c r="AB165" s="0" t="str">
        <f aca="false">IF(TRIM(AN165)="","Yes","No")</f>
        <v>No</v>
      </c>
      <c r="AC165" s="0" t="str">
        <f aca="false">IF(TRIM(AS165)="","Yes","No")</f>
        <v>Yes</v>
      </c>
      <c r="AD165" s="0" t="str">
        <f aca="false">IF(AT165="","Yes","No")</f>
        <v>No</v>
      </c>
      <c r="AE165" s="0" t="str">
        <f aca="false">IF(W165&lt;0,"Yes","No")</f>
        <v>No</v>
      </c>
      <c r="AF165" s="0" t="str">
        <f aca="false">IF(P165="","No",IF(OR(P165&lt;0,P165&gt;0.3),"Yes","No"))</f>
        <v>No</v>
      </c>
      <c r="AG165" s="4" t="s">
        <v>50</v>
      </c>
      <c r="AH165" s="0" t="str">
        <f aca="false">IF(AND(AA165="Completed",Z165="Paid"),"Yes","No")</f>
        <v>No</v>
      </c>
      <c r="AI165" s="0" t="str">
        <f aca="false">IF(OR(AE165="Yes",AF165="Yes",AG165="Yes"),"Invalid",IF(OR(AB165="Yes",AC165="Yes",AD165="Yes"),"Warning","Clean"))</f>
        <v>Warning</v>
      </c>
      <c r="AJ165" s="4" t="s">
        <v>782</v>
      </c>
      <c r="AK165" s="4" t="s">
        <v>641</v>
      </c>
      <c r="AL165" s="4" t="s">
        <v>191</v>
      </c>
      <c r="AM165" s="4" t="s">
        <v>134</v>
      </c>
      <c r="AN165" s="4" t="s">
        <v>97</v>
      </c>
      <c r="AO165" s="4" t="s">
        <v>238</v>
      </c>
      <c r="AP165" s="4" t="s">
        <v>239</v>
      </c>
      <c r="AQ165" s="4" t="s">
        <v>72</v>
      </c>
      <c r="AR165" s="4" t="s">
        <v>73</v>
      </c>
      <c r="AT165" s="0" t="n">
        <v>0.1</v>
      </c>
      <c r="AU165" s="4" t="s">
        <v>153</v>
      </c>
      <c r="AV165" s="4" t="s">
        <v>142</v>
      </c>
    </row>
    <row r="166" customFormat="false" ht="15" hidden="false" customHeight="false" outlineLevel="0" collapsed="false">
      <c r="A166" s="0" t="s">
        <v>783</v>
      </c>
      <c r="B166" s="3" t="n">
        <f aca="false">IF(AJ166="","",IF(ISNUMBER(SEARCH("/",AJ166)),DATE(VALUE(RIGHT(AJ166,4)),VALUE(LEFT(AJ166,2)),VALUE(MID(AJ166,4,2))),IF(ISNUMBER(SEARCH("-",AJ166)),IF(LEN(LEFT(AJ166,FIND("-",AJ166)-1))=4,DATE(VALUE(LEFT(AJ166,4)),VALUE(MID(AJ166,6,2)),VALUE(RIGHT(AJ166,2))),DATE(VALUE(RIGHT(AJ166,4)),VALUE(MID(AJ166,4,2)),VALUE(LEFT(AJ166,2)))),DATE(VALUE(RIGHT(AJ166,4)),MATCH(MID(AJ166,4,3),{"Jan","Feb","Mar","Apr","May","Jun","Jul","Aug","Sep","Oct","Nov","Dec"},0),VALUE(LEFT(AJ166,2))))))</f>
        <v>45909</v>
      </c>
      <c r="C166" s="3" t="n">
        <f aca="false">IF(AK166="","",IF(ISNUMBER(SEARCH("/",AK166)),DATE(VALUE(RIGHT(AK166,4)),VALUE(LEFT(AK166,2)),VALUE(MID(AK166,4,2))),IF(ISNUMBER(SEARCH("-",AK166)),IF(LEN(LEFT(AK166,FIND("-",AK166)-1))=4,DATE(VALUE(LEFT(AK166,4)),VALUE(MID(AK166,6,2)),VALUE(RIGHT(AK166,2))),DATE(VALUE(RIGHT(AK166,4)),VALUE(MID(AK166,4,2)),VALUE(LEFT(AK166,2)))),DATE(VALUE(RIGHT(AK166,4)),MATCH(MID(AK166,4,3),{"Jan","Feb","Mar","Apr","May","Jun","Jul","Aug","Sep","Oct","Nov","Dec"},0),VALUE(LEFT(AK166,2))))))</f>
        <v>45914</v>
      </c>
      <c r="D166" s="4" t="s">
        <v>784</v>
      </c>
      <c r="E166" s="0" t="str">
        <f aca="false">PROPER(TRIM(AL166))</f>
        <v>Rahul Verma</v>
      </c>
      <c r="F166" s="0" t="str">
        <f aca="false">PROPER(TRIM(AM166))</f>
        <v>Small Business</v>
      </c>
      <c r="G166" s="0" t="str">
        <f aca="false">IF(TRIM(AN166)="","Unknown",PROPER(TRIM(AN166)))</f>
        <v>East</v>
      </c>
      <c r="H166" s="0" t="str">
        <f aca="false">PROPER(TRIM(AO166))</f>
        <v>West Bengal</v>
      </c>
      <c r="I166" s="0" t="str">
        <f aca="false">PROPER(TRIM(AP166))</f>
        <v>Kolkata</v>
      </c>
      <c r="J166" s="0" t="str">
        <f aca="false">PROPER(TRIM(AQ166))</f>
        <v>Furniture</v>
      </c>
      <c r="K166" s="0" t="str">
        <f aca="false">PROPER(TRIM(AR166))</f>
        <v>Bookcases</v>
      </c>
      <c r="M166" s="0" t="str">
        <f aca="false">IF(TRIM(AS166)="","Unknown",PROPER(TRIM(AS166)))</f>
        <v>Second Class</v>
      </c>
      <c r="N166" s="0" t="n">
        <v>1</v>
      </c>
      <c r="O166" s="0" t="n">
        <v>3154.42</v>
      </c>
      <c r="P166" s="5" t="n">
        <f aca="false">IF(AT166="","",IF(ISNUMBER(AT166),AT166,VALUE(SUBSTITUTE(AT166,"%",""))/100))</f>
        <v>0.25</v>
      </c>
      <c r="Q166" s="5" t="n">
        <f aca="false">IF(P166="",IF(AND(N166&lt;&gt;"",O166&lt;&gt;"",R166&lt;&gt;"",S166&lt;&gt;""),0,"REVIEW"),IF(OR(P166&lt;0,P166&gt;0.3),0,P166))</f>
        <v>0.25</v>
      </c>
      <c r="R166" s="0" t="n">
        <v>2365.82</v>
      </c>
      <c r="S166" s="0" t="n">
        <v>1547.99</v>
      </c>
      <c r="T166" s="6" t="n">
        <f aca="false">N166*O166*(1-Q166)</f>
        <v>2365.815</v>
      </c>
      <c r="U166" s="6" t="n">
        <f aca="false">T166-S166</f>
        <v>817.825</v>
      </c>
      <c r="V166" s="7" t="n">
        <f aca="false">IF(T166=0,0,U166/T166)</f>
        <v>0.345684256799454</v>
      </c>
      <c r="W166" s="4" t="n">
        <f aca="false">C166-B166</f>
        <v>5</v>
      </c>
      <c r="X166" s="0" t="str">
        <f aca="false">TEXT(B166,"mmmm")</f>
        <v>September</v>
      </c>
      <c r="Y166" s="4" t="n">
        <f aca="false">YEAR(B166)</f>
        <v>2025</v>
      </c>
      <c r="Z166" s="0" t="str">
        <f aca="false">PROPER(TRIM(AU166))</f>
        <v>Paid</v>
      </c>
      <c r="AA166" s="0" t="str">
        <f aca="false">PROPER(TRIM(AV166))</f>
        <v>Completed</v>
      </c>
      <c r="AB166" s="0" t="str">
        <f aca="false">IF(TRIM(AN166)="","Yes","No")</f>
        <v>No</v>
      </c>
      <c r="AC166" s="0" t="str">
        <f aca="false">IF(TRIM(AS166)="","Yes","No")</f>
        <v>No</v>
      </c>
      <c r="AD166" s="0" t="str">
        <f aca="false">IF(AT166="","Yes","No")</f>
        <v>No</v>
      </c>
      <c r="AE166" s="0" t="str">
        <f aca="false">IF(W166&lt;0,"Yes","No")</f>
        <v>No</v>
      </c>
      <c r="AF166" s="0" t="str">
        <f aca="false">IF(P166="","No",IF(OR(P166&lt;0,P166&gt;0.3),"Yes","No"))</f>
        <v>No</v>
      </c>
      <c r="AG166" s="4" t="s">
        <v>50</v>
      </c>
      <c r="AH166" s="0" t="str">
        <f aca="false">IF(AND(AA166="Completed",Z166="Paid"),"Yes","No")</f>
        <v>Yes</v>
      </c>
      <c r="AI166" s="0" t="str">
        <f aca="false">IF(OR(AE166="Yes",AF166="Yes",AG166="Yes"),"Invalid",IF(OR(AB166="Yes",AC166="Yes",AD166="Yes"),"Warning","Clean"))</f>
        <v>Clean</v>
      </c>
      <c r="AJ166" s="4" t="s">
        <v>785</v>
      </c>
      <c r="AK166" s="4" t="s">
        <v>786</v>
      </c>
      <c r="AL166" s="4" t="s">
        <v>163</v>
      </c>
      <c r="AM166" s="4" t="s">
        <v>68</v>
      </c>
      <c r="AN166" s="4" t="s">
        <v>69</v>
      </c>
      <c r="AO166" s="4" t="s">
        <v>139</v>
      </c>
      <c r="AP166" s="4" t="s">
        <v>140</v>
      </c>
      <c r="AQ166" s="4" t="s">
        <v>72</v>
      </c>
      <c r="AR166" s="4" t="s">
        <v>211</v>
      </c>
      <c r="AS166" s="4" t="s">
        <v>60</v>
      </c>
      <c r="AT166" s="0" t="n">
        <v>0.25</v>
      </c>
      <c r="AU166" s="4" t="s">
        <v>61</v>
      </c>
      <c r="AV166" s="4" t="s">
        <v>62</v>
      </c>
    </row>
    <row r="167" customFormat="false" ht="15" hidden="false" customHeight="false" outlineLevel="0" collapsed="false">
      <c r="A167" s="0" t="s">
        <v>787</v>
      </c>
      <c r="B167" s="3" t="n">
        <f aca="false">IF(AJ167="","",IF(ISNUMBER(SEARCH("/",AJ167)),DATE(VALUE(RIGHT(AJ167,4)),VALUE(LEFT(AJ167,2)),VALUE(MID(AJ167,4,2))),IF(ISNUMBER(SEARCH("-",AJ167)),IF(LEN(LEFT(AJ167,FIND("-",AJ167)-1))=4,DATE(VALUE(LEFT(AJ167,4)),VALUE(MID(AJ167,6,2)),VALUE(RIGHT(AJ167,2))),DATE(VALUE(RIGHT(AJ167,4)),VALUE(MID(AJ167,4,2)),VALUE(LEFT(AJ167,2)))),DATE(VALUE(RIGHT(AJ167,4)),MATCH(MID(AJ167,4,3),{"Jan","Feb","Mar","Apr","May","Jun","Jul","Aug","Sep","Oct","Nov","Dec"},0),VALUE(LEFT(AJ167,2))))))</f>
        <v>45618</v>
      </c>
      <c r="C167" s="3" t="n">
        <f aca="false">IF(AK167="","",IF(ISNUMBER(SEARCH("/",AK167)),DATE(VALUE(RIGHT(AK167,4)),VALUE(LEFT(AK167,2)),VALUE(MID(AK167,4,2))),IF(ISNUMBER(SEARCH("-",AK167)),IF(LEN(LEFT(AK167,FIND("-",AK167)-1))=4,DATE(VALUE(LEFT(AK167,4)),VALUE(MID(AK167,6,2)),VALUE(RIGHT(AK167,2))),DATE(VALUE(RIGHT(AK167,4)),VALUE(MID(AK167,4,2)),VALUE(LEFT(AK167,2)))),DATE(VALUE(RIGHT(AK167,4)),MATCH(MID(AK167,4,3),{"Jan","Feb","Mar","Apr","May","Jun","Jul","Aug","Sep","Oct","Nov","Dec"},0),VALUE(LEFT(AK167,2))))))</f>
        <v>45625</v>
      </c>
      <c r="D167" s="4" t="s">
        <v>788</v>
      </c>
      <c r="E167" s="0" t="str">
        <f aca="false">PROPER(TRIM(AL167))</f>
        <v>Mira Das</v>
      </c>
      <c r="F167" s="0" t="str">
        <f aca="false">PROPER(TRIM(AM167))</f>
        <v>Home Office</v>
      </c>
      <c r="G167" s="0" t="str">
        <f aca="false">IF(TRIM(AN167)="","Unknown",PROPER(TRIM(AN167)))</f>
        <v>East</v>
      </c>
      <c r="H167" s="0" t="str">
        <f aca="false">PROPER(TRIM(AO167))</f>
        <v>Bihar</v>
      </c>
      <c r="I167" s="0" t="str">
        <f aca="false">PROPER(TRIM(AP167))</f>
        <v>Patna</v>
      </c>
      <c r="J167" s="0" t="str">
        <f aca="false">PROPER(TRIM(AQ167))</f>
        <v>Furniture</v>
      </c>
      <c r="K167" s="0" t="str">
        <f aca="false">PROPER(TRIM(AR167))</f>
        <v>Chairs</v>
      </c>
      <c r="M167" s="0" t="str">
        <f aca="false">IF(TRIM(AS167)="","Unknown",PROPER(TRIM(AS167)))</f>
        <v>Standard Class</v>
      </c>
      <c r="N167" s="0" t="n">
        <v>4</v>
      </c>
      <c r="O167" s="0" t="n">
        <v>3422.99</v>
      </c>
      <c r="P167" s="5" t="n">
        <f aca="false">IF(AT167="","",IF(ISNUMBER(AT167),AT167,VALUE(SUBSTITUTE(AT167,"%",""))/100))</f>
        <v>0.25</v>
      </c>
      <c r="Q167" s="5" t="n">
        <f aca="false">IF(P167="",IF(AND(N167&lt;&gt;"",O167&lt;&gt;"",R167&lt;&gt;"",S167&lt;&gt;""),0,"REVIEW"),IF(OR(P167&lt;0,P167&gt;0.3),0,P167))</f>
        <v>0.25</v>
      </c>
      <c r="R167" s="0" t="n">
        <v>10268.97</v>
      </c>
      <c r="S167" s="0" t="n">
        <v>6470.92</v>
      </c>
      <c r="T167" s="6" t="n">
        <f aca="false">N167*O167*(1-Q167)</f>
        <v>10268.97</v>
      </c>
      <c r="U167" s="6" t="n">
        <f aca="false">T167-S167</f>
        <v>3798.05</v>
      </c>
      <c r="V167" s="7" t="n">
        <f aca="false">IF(T167=0,0,U167/T167)</f>
        <v>0.369856957416372</v>
      </c>
      <c r="W167" s="4" t="n">
        <f aca="false">C167-B167</f>
        <v>7</v>
      </c>
      <c r="X167" s="0" t="str">
        <f aca="false">TEXT(B167,"mmmm")</f>
        <v>November</v>
      </c>
      <c r="Y167" s="4" t="n">
        <f aca="false">YEAR(B167)</f>
        <v>2024</v>
      </c>
      <c r="Z167" s="0" t="str">
        <f aca="false">PROPER(TRIM(AU167))</f>
        <v>Paid</v>
      </c>
      <c r="AA167" s="0" t="str">
        <f aca="false">PROPER(TRIM(AV167))</f>
        <v>Completed</v>
      </c>
      <c r="AB167" s="0" t="str">
        <f aca="false">IF(TRIM(AN167)="","Yes","No")</f>
        <v>No</v>
      </c>
      <c r="AC167" s="0" t="str">
        <f aca="false">IF(TRIM(AS167)="","Yes","No")</f>
        <v>No</v>
      </c>
      <c r="AD167" s="0" t="str">
        <f aca="false">IF(AT167="","Yes","No")</f>
        <v>No</v>
      </c>
      <c r="AE167" s="0" t="str">
        <f aca="false">IF(W167&lt;0,"Yes","No")</f>
        <v>No</v>
      </c>
      <c r="AF167" s="0" t="str">
        <f aca="false">IF(P167="","No",IF(OR(P167&lt;0,P167&gt;0.3),"Yes","No"))</f>
        <v>No</v>
      </c>
      <c r="AG167" s="4" t="s">
        <v>50</v>
      </c>
      <c r="AH167" s="0" t="str">
        <f aca="false">IF(AND(AA167="Completed",Z167="Paid"),"Yes","No")</f>
        <v>Yes</v>
      </c>
      <c r="AI167" s="0" t="str">
        <f aca="false">IF(OR(AE167="Yes",AF167="Yes",AG167="Yes"),"Invalid",IF(OR(AB167="Yes",AC167="Yes",AD167="Yes"),"Warning","Clean"))</f>
        <v>Clean</v>
      </c>
      <c r="AJ167" s="4" t="s">
        <v>789</v>
      </c>
      <c r="AK167" s="4" t="s">
        <v>790</v>
      </c>
      <c r="AL167" s="4" t="s">
        <v>67</v>
      </c>
      <c r="AM167" s="4" t="s">
        <v>134</v>
      </c>
      <c r="AN167" s="4" t="s">
        <v>69</v>
      </c>
      <c r="AO167" s="4" t="s">
        <v>196</v>
      </c>
      <c r="AP167" s="4" t="s">
        <v>197</v>
      </c>
      <c r="AQ167" s="4" t="s">
        <v>72</v>
      </c>
      <c r="AR167" s="4" t="s">
        <v>100</v>
      </c>
      <c r="AS167" s="4" t="s">
        <v>91</v>
      </c>
      <c r="AT167" s="0" t="n">
        <v>0.25</v>
      </c>
      <c r="AU167" s="4" t="s">
        <v>61</v>
      </c>
      <c r="AV167" s="4" t="s">
        <v>62</v>
      </c>
    </row>
    <row r="168" customFormat="false" ht="15" hidden="false" customHeight="false" outlineLevel="0" collapsed="false">
      <c r="A168" s="0" t="s">
        <v>791</v>
      </c>
      <c r="B168" s="3" t="n">
        <f aca="false">IF(AJ168="","",IF(ISNUMBER(SEARCH("/",AJ168)),DATE(VALUE(RIGHT(AJ168,4)),VALUE(LEFT(AJ168,2)),VALUE(MID(AJ168,4,2))),IF(ISNUMBER(SEARCH("-",AJ168)),IF(LEN(LEFT(AJ168,FIND("-",AJ168)-1))=4,DATE(VALUE(LEFT(AJ168,4)),VALUE(MID(AJ168,6,2)),VALUE(RIGHT(AJ168,2))),DATE(VALUE(RIGHT(AJ168,4)),VALUE(MID(AJ168,4,2)),VALUE(LEFT(AJ168,2)))),DATE(VALUE(RIGHT(AJ168,4)),MATCH(MID(AJ168,4,3),{"Jan","Feb","Mar","Apr","May","Jun","Jul","Aug","Sep","Oct","Nov","Dec"},0),VALUE(LEFT(AJ168,2))))))</f>
        <v>45708</v>
      </c>
      <c r="C168" s="3" t="n">
        <f aca="false">IF(AK168="","",IF(ISNUMBER(SEARCH("/",AK168)),DATE(VALUE(RIGHT(AK168,4)),VALUE(LEFT(AK168,2)),VALUE(MID(AK168,4,2))),IF(ISNUMBER(SEARCH("-",AK168)),IF(LEN(LEFT(AK168,FIND("-",AK168)-1))=4,DATE(VALUE(LEFT(AK168,4)),VALUE(MID(AK168,6,2)),VALUE(RIGHT(AK168,2))),DATE(VALUE(RIGHT(AK168,4)),VALUE(MID(AK168,4,2)),VALUE(LEFT(AK168,2)))),DATE(VALUE(RIGHT(AK168,4)),MATCH(MID(AK168,4,3),{"Jan","Feb","Mar","Apr","May","Jun","Jul","Aug","Sep","Oct","Nov","Dec"},0),VALUE(LEFT(AK168,2))))))</f>
        <v>45714</v>
      </c>
      <c r="D168" s="4" t="s">
        <v>792</v>
      </c>
      <c r="E168" s="0" t="str">
        <f aca="false">PROPER(TRIM(AL168))</f>
        <v>Karan Malhotra</v>
      </c>
      <c r="F168" s="0" t="str">
        <f aca="false">PROPER(TRIM(AM168))</f>
        <v>Small Business</v>
      </c>
      <c r="G168" s="0" t="str">
        <f aca="false">IF(TRIM(AN168)="","Unknown",PROPER(TRIM(AN168)))</f>
        <v>West</v>
      </c>
      <c r="H168" s="0" t="str">
        <f aca="false">PROPER(TRIM(AO168))</f>
        <v>Gujarat</v>
      </c>
      <c r="I168" s="0" t="str">
        <f aca="false">PROPER(TRIM(AP168))</f>
        <v>Ahmedabad</v>
      </c>
      <c r="J168" s="0" t="str">
        <f aca="false">PROPER(TRIM(AQ168))</f>
        <v>Office Supplies</v>
      </c>
      <c r="K168" s="0" t="str">
        <f aca="false">PROPER(TRIM(AR168))</f>
        <v>Labels</v>
      </c>
      <c r="M168" s="0" t="str">
        <f aca="false">IF(TRIM(AS168)="","Unknown",PROPER(TRIM(AS168)))</f>
        <v>First Class</v>
      </c>
      <c r="N168" s="0" t="n">
        <v>1</v>
      </c>
      <c r="O168" s="0" t="n">
        <v>2557.85</v>
      </c>
      <c r="P168" s="5" t="n">
        <f aca="false">IF(AT168="","",IF(ISNUMBER(AT168),AT168,VALUE(SUBSTITUTE(AT168,"%",""))/100))</f>
        <v>0.2</v>
      </c>
      <c r="Q168" s="5" t="n">
        <f aca="false">IF(P168="",IF(AND(N168&lt;&gt;"",O168&lt;&gt;"",R168&lt;&gt;"",S168&lt;&gt;""),0,"REVIEW"),IF(OR(P168&lt;0,P168&gt;0.3),0,P168))</f>
        <v>0.2</v>
      </c>
      <c r="R168" s="0" t="n">
        <v>2046.28</v>
      </c>
      <c r="S168" s="0" t="n">
        <v>1449.54</v>
      </c>
      <c r="T168" s="6" t="n">
        <f aca="false">N168*O168*(1-Q168)</f>
        <v>2046.28</v>
      </c>
      <c r="U168" s="6" t="n">
        <f aca="false">T168-S168</f>
        <v>596.74</v>
      </c>
      <c r="V168" s="7" t="n">
        <f aca="false">IF(T168=0,0,U168/T168)</f>
        <v>0.291621869929824</v>
      </c>
      <c r="W168" s="4" t="n">
        <f aca="false">C168-B168</f>
        <v>6</v>
      </c>
      <c r="X168" s="0" t="str">
        <f aca="false">TEXT(B168,"mmmm")</f>
        <v>February</v>
      </c>
      <c r="Y168" s="4" t="n">
        <f aca="false">YEAR(B168)</f>
        <v>2025</v>
      </c>
      <c r="Z168" s="0" t="str">
        <f aca="false">PROPER(TRIM(AU168))</f>
        <v>Paid</v>
      </c>
      <c r="AA168" s="0" t="str">
        <f aca="false">PROPER(TRIM(AV168))</f>
        <v>Completed</v>
      </c>
      <c r="AB168" s="0" t="str">
        <f aca="false">IF(TRIM(AN168)="","Yes","No")</f>
        <v>No</v>
      </c>
      <c r="AC168" s="0" t="str">
        <f aca="false">IF(TRIM(AS168)="","Yes","No")</f>
        <v>No</v>
      </c>
      <c r="AD168" s="0" t="str">
        <f aca="false">IF(AT168="","Yes","No")</f>
        <v>No</v>
      </c>
      <c r="AE168" s="0" t="str">
        <f aca="false">IF(W168&lt;0,"Yes","No")</f>
        <v>No</v>
      </c>
      <c r="AF168" s="0" t="str">
        <f aca="false">IF(P168="","No",IF(OR(P168&lt;0,P168&gt;0.3),"Yes","No"))</f>
        <v>No</v>
      </c>
      <c r="AG168" s="4" t="s">
        <v>50</v>
      </c>
      <c r="AH168" s="0" t="str">
        <f aca="false">IF(AND(AA168="Completed",Z168="Paid"),"Yes","No")</f>
        <v>Yes</v>
      </c>
      <c r="AI168" s="0" t="str">
        <f aca="false">IF(OR(AE168="Yes",AF168="Yes",AG168="Yes"),"Invalid",IF(OR(AB168="Yes",AC168="Yes",AD168="Yes"),"Warning","Clean"))</f>
        <v>Clean</v>
      </c>
      <c r="AJ168" s="4" t="s">
        <v>793</v>
      </c>
      <c r="AK168" s="4" t="s">
        <v>120</v>
      </c>
      <c r="AL168" s="4" t="s">
        <v>53</v>
      </c>
      <c r="AM168" s="4" t="s">
        <v>68</v>
      </c>
      <c r="AN168" s="4" t="s">
        <v>97</v>
      </c>
      <c r="AO168" s="4" t="s">
        <v>238</v>
      </c>
      <c r="AP168" s="4" t="s">
        <v>239</v>
      </c>
      <c r="AQ168" s="4" t="s">
        <v>794</v>
      </c>
      <c r="AR168" s="4" t="s">
        <v>129</v>
      </c>
      <c r="AS168" s="4" t="s">
        <v>81</v>
      </c>
      <c r="AT168" s="0" t="n">
        <v>0.2</v>
      </c>
      <c r="AU168" s="4" t="s">
        <v>61</v>
      </c>
      <c r="AV168" s="4" t="s">
        <v>62</v>
      </c>
    </row>
    <row r="169" customFormat="false" ht="15" hidden="false" customHeight="false" outlineLevel="0" collapsed="false">
      <c r="A169" s="0" t="s">
        <v>795</v>
      </c>
      <c r="B169" s="3" t="n">
        <f aca="false">IF(AJ169="","",IF(ISNUMBER(SEARCH("/",AJ169)),DATE(VALUE(RIGHT(AJ169,4)),VALUE(LEFT(AJ169,2)),VALUE(MID(AJ169,4,2))),IF(ISNUMBER(SEARCH("-",AJ169)),IF(LEN(LEFT(AJ169,FIND("-",AJ169)-1))=4,DATE(VALUE(LEFT(AJ169,4)),VALUE(MID(AJ169,6,2)),VALUE(RIGHT(AJ169,2))),DATE(VALUE(RIGHT(AJ169,4)),VALUE(MID(AJ169,4,2)),VALUE(LEFT(AJ169,2)))),DATE(VALUE(RIGHT(AJ169,4)),MATCH(MID(AJ169,4,3),{"Jan","Feb","Mar","Apr","May","Jun","Jul","Aug","Sep","Oct","Nov","Dec"},0),VALUE(LEFT(AJ169,2))))))</f>
        <v>45887</v>
      </c>
      <c r="C169" s="3" t="n">
        <f aca="false">IF(AK169="","",IF(ISNUMBER(SEARCH("/",AK169)),DATE(VALUE(RIGHT(AK169,4)),VALUE(LEFT(AK169,2)),VALUE(MID(AK169,4,2))),IF(ISNUMBER(SEARCH("-",AK169)),IF(LEN(LEFT(AK169,FIND("-",AK169)-1))=4,DATE(VALUE(LEFT(AK169,4)),VALUE(MID(AK169,6,2)),VALUE(RIGHT(AK169,2))),DATE(VALUE(RIGHT(AK169,4)),VALUE(MID(AK169,4,2)),VALUE(LEFT(AK169,2)))),DATE(VALUE(RIGHT(AK169,4)),MATCH(MID(AK169,4,3),{"Jan","Feb","Mar","Apr","May","Jun","Jul","Aug","Sep","Oct","Nov","Dec"},0),VALUE(LEFT(AK169,2))))))</f>
        <v>45887</v>
      </c>
      <c r="D169" s="4" t="s">
        <v>796</v>
      </c>
      <c r="E169" s="0" t="str">
        <f aca="false">PROPER(TRIM(AL169))</f>
        <v>Arjun Bose</v>
      </c>
      <c r="F169" s="0" t="str">
        <f aca="false">PROPER(TRIM(AM169))</f>
        <v>Home Office</v>
      </c>
      <c r="G169" s="0" t="str">
        <f aca="false">IF(TRIM(AN169)="","Unknown",PROPER(TRIM(AN169)))</f>
        <v>South</v>
      </c>
      <c r="H169" s="0" t="str">
        <f aca="false">PROPER(TRIM(AO169))</f>
        <v>Karnataka</v>
      </c>
      <c r="I169" s="0" t="str">
        <f aca="false">PROPER(TRIM(AP169))</f>
        <v>Bengaluru</v>
      </c>
      <c r="J169" s="0" t="str">
        <f aca="false">PROPER(TRIM(AQ169))</f>
        <v>Office Supplies</v>
      </c>
      <c r="K169" s="0" t="str">
        <f aca="false">PROPER(TRIM(AR169))</f>
        <v>Storage</v>
      </c>
      <c r="M169" s="0" t="str">
        <f aca="false">IF(TRIM(AS169)="","Unknown",PROPER(TRIM(AS169)))</f>
        <v>First Class</v>
      </c>
      <c r="N169" s="0" t="n">
        <v>9</v>
      </c>
      <c r="O169" s="0" t="n">
        <v>3030.93</v>
      </c>
      <c r="P169" s="5" t="n">
        <f aca="false">IF(AT169="","",IF(ISNUMBER(AT169),AT169,VALUE(SUBSTITUTE(AT169,"%",""))/100))</f>
        <v>0.15</v>
      </c>
      <c r="Q169" s="5" t="n">
        <f aca="false">IF(P169="",IF(AND(N169&lt;&gt;"",O169&lt;&gt;"",R169&lt;&gt;"",S169&lt;&gt;""),0,"REVIEW"),IF(OR(P169&lt;0,P169&gt;0.3),0,P169))</f>
        <v>0.15</v>
      </c>
      <c r="R169" s="0" t="n">
        <v>23186.61</v>
      </c>
      <c r="S169" s="0" t="n">
        <v>17906.54</v>
      </c>
      <c r="T169" s="6" t="n">
        <f aca="false">N169*O169*(1-Q169)</f>
        <v>23186.6145</v>
      </c>
      <c r="U169" s="6" t="n">
        <f aca="false">T169-S169</f>
        <v>5280.0745</v>
      </c>
      <c r="V169" s="7" t="n">
        <f aca="false">IF(T169=0,0,U169/T169)</f>
        <v>0.22772080417346</v>
      </c>
      <c r="W169" s="4" t="n">
        <f aca="false">C169-B169</f>
        <v>0</v>
      </c>
      <c r="X169" s="0" t="str">
        <f aca="false">TEXT(B169,"mmmm")</f>
        <v>August</v>
      </c>
      <c r="Y169" s="4" t="n">
        <f aca="false">YEAR(B169)</f>
        <v>2025</v>
      </c>
      <c r="Z169" s="0" t="str">
        <f aca="false">PROPER(TRIM(AU169))</f>
        <v>Paid</v>
      </c>
      <c r="AA169" s="0" t="str">
        <f aca="false">PROPER(TRIM(AV169))</f>
        <v>Returned</v>
      </c>
      <c r="AB169" s="0" t="str">
        <f aca="false">IF(TRIM(AN169)="","Yes","No")</f>
        <v>No</v>
      </c>
      <c r="AC169" s="0" t="str">
        <f aca="false">IF(TRIM(AS169)="","Yes","No")</f>
        <v>No</v>
      </c>
      <c r="AD169" s="0" t="str">
        <f aca="false">IF(AT169="","Yes","No")</f>
        <v>No</v>
      </c>
      <c r="AE169" s="0" t="str">
        <f aca="false">IF(W169&lt;0,"Yes","No")</f>
        <v>No</v>
      </c>
      <c r="AF169" s="0" t="str">
        <f aca="false">IF(P169="","No",IF(OR(P169&lt;0,P169&gt;0.3),"Yes","No"))</f>
        <v>No</v>
      </c>
      <c r="AG169" s="4" t="s">
        <v>50</v>
      </c>
      <c r="AH169" s="0" t="str">
        <f aca="false">IF(AND(AA169="Completed",Z169="Paid"),"Yes","No")</f>
        <v>No</v>
      </c>
      <c r="AI169" s="0" t="str">
        <f aca="false">IF(OR(AE169="Yes",AF169="Yes",AG169="Yes"),"Invalid",IF(OR(AB169="Yes",AC169="Yes",AD169="Yes"),"Warning","Clean"))</f>
        <v>Clean</v>
      </c>
      <c r="AJ169" s="4" t="s">
        <v>797</v>
      </c>
      <c r="AK169" s="4" t="s">
        <v>798</v>
      </c>
      <c r="AL169" s="4" t="s">
        <v>86</v>
      </c>
      <c r="AM169" s="4" t="s">
        <v>134</v>
      </c>
      <c r="AN169" s="4" t="s">
        <v>87</v>
      </c>
      <c r="AO169" s="4" t="s">
        <v>233</v>
      </c>
      <c r="AP169" s="4" t="s">
        <v>234</v>
      </c>
      <c r="AQ169" s="4" t="s">
        <v>58</v>
      </c>
      <c r="AR169" s="4" t="s">
        <v>171</v>
      </c>
      <c r="AS169" s="4" t="s">
        <v>81</v>
      </c>
      <c r="AT169" s="0" t="n">
        <v>0.15</v>
      </c>
      <c r="AU169" s="4" t="s">
        <v>61</v>
      </c>
      <c r="AV169" s="4" t="s">
        <v>142</v>
      </c>
    </row>
    <row r="170" customFormat="false" ht="15" hidden="false" customHeight="false" outlineLevel="0" collapsed="false">
      <c r="A170" s="0" t="s">
        <v>799</v>
      </c>
      <c r="B170" s="3" t="n">
        <f aca="false">IF(AJ170="","",IF(ISNUMBER(SEARCH("/",AJ170)),DATE(VALUE(RIGHT(AJ170,4)),VALUE(LEFT(AJ170,2)),VALUE(MID(AJ170,4,2))),IF(ISNUMBER(SEARCH("-",AJ170)),IF(LEN(LEFT(AJ170,FIND("-",AJ170)-1))=4,DATE(VALUE(LEFT(AJ170,4)),VALUE(MID(AJ170,6,2)),VALUE(RIGHT(AJ170,2))),DATE(VALUE(RIGHT(AJ170,4)),VALUE(MID(AJ170,4,2)),VALUE(LEFT(AJ170,2)))),DATE(VALUE(RIGHT(AJ170,4)),MATCH(MID(AJ170,4,3),{"Jan","Feb","Mar","Apr","May","Jun","Jul","Aug","Sep","Oct","Nov","Dec"},0),VALUE(LEFT(AJ170,2))))))</f>
        <v>45677</v>
      </c>
      <c r="C170" s="3" t="n">
        <f aca="false">IF(AK170="","",IF(ISNUMBER(SEARCH("/",AK170)),DATE(VALUE(RIGHT(AK170,4)),VALUE(LEFT(AK170,2)),VALUE(MID(AK170,4,2))),IF(ISNUMBER(SEARCH("-",AK170)),IF(LEN(LEFT(AK170,FIND("-",AK170)-1))=4,DATE(VALUE(LEFT(AK170,4)),VALUE(MID(AK170,6,2)),VALUE(RIGHT(AK170,2))),DATE(VALUE(RIGHT(AK170,4)),VALUE(MID(AK170,4,2)),VALUE(LEFT(AK170,2)))),DATE(VALUE(RIGHT(AK170,4)),MATCH(MID(AK170,4,3),{"Jan","Feb","Mar","Apr","May","Jun","Jul","Aug","Sep","Oct","Nov","Dec"},0),VALUE(LEFT(AK170,2))))))</f>
        <v>45680</v>
      </c>
      <c r="D170" s="4" t="s">
        <v>800</v>
      </c>
      <c r="E170" s="0" t="str">
        <f aca="false">PROPER(TRIM(AL170))</f>
        <v>Kabir Singh</v>
      </c>
      <c r="F170" s="0" t="str">
        <f aca="false">PROPER(TRIM(AM170))</f>
        <v>Consumer</v>
      </c>
      <c r="G170" s="0" t="str">
        <f aca="false">IF(TRIM(AN170)="","Unknown",PROPER(TRIM(AN170)))</f>
        <v>West</v>
      </c>
      <c r="H170" s="0" t="str">
        <f aca="false">PROPER(TRIM(AO170))</f>
        <v>Maharashtra</v>
      </c>
      <c r="I170" s="0" t="str">
        <f aca="false">PROPER(TRIM(AP170))</f>
        <v>Mumbai</v>
      </c>
      <c r="J170" s="0" t="str">
        <f aca="false">PROPER(TRIM(AQ170))</f>
        <v>Technology</v>
      </c>
      <c r="K170" s="0" t="str">
        <f aca="false">PROPER(TRIM(AR170))</f>
        <v>Accessories</v>
      </c>
      <c r="M170" s="0" t="str">
        <f aca="false">IF(TRIM(AS170)="","Unknown",PROPER(TRIM(AS170)))</f>
        <v>Same Day</v>
      </c>
      <c r="N170" s="0" t="n">
        <v>5</v>
      </c>
      <c r="O170" s="0" t="n">
        <v>639.27</v>
      </c>
      <c r="P170" s="5" t="n">
        <f aca="false">IF(AT170="","",IF(ISNUMBER(AT170),AT170,VALUE(SUBSTITUTE(AT170,"%",""))/100))</f>
        <v>0.2</v>
      </c>
      <c r="Q170" s="5" t="n">
        <f aca="false">IF(P170="",IF(AND(N170&lt;&gt;"",O170&lt;&gt;"",R170&lt;&gt;"",S170&lt;&gt;""),0,"REVIEW"),IF(OR(P170&lt;0,P170&gt;0.3),0,P170))</f>
        <v>0.2</v>
      </c>
      <c r="R170" s="0" t="n">
        <v>2557.08</v>
      </c>
      <c r="S170" s="0" t="n">
        <v>2025.69</v>
      </c>
      <c r="T170" s="6" t="n">
        <f aca="false">N170*O170*(1-Q170)</f>
        <v>2557.08</v>
      </c>
      <c r="U170" s="6" t="n">
        <f aca="false">T170-S170</f>
        <v>531.39</v>
      </c>
      <c r="V170" s="7" t="n">
        <f aca="false">IF(T170=0,0,U170/T170)</f>
        <v>0.207811253460979</v>
      </c>
      <c r="W170" s="4" t="n">
        <f aca="false">C170-B170</f>
        <v>3</v>
      </c>
      <c r="X170" s="0" t="str">
        <f aca="false">TEXT(B170,"mmmm")</f>
        <v>January</v>
      </c>
      <c r="Y170" s="4" t="n">
        <f aca="false">YEAR(B170)</f>
        <v>2025</v>
      </c>
      <c r="Z170" s="0" t="str">
        <f aca="false">PROPER(TRIM(AU170))</f>
        <v>Paid</v>
      </c>
      <c r="AA170" s="0" t="str">
        <f aca="false">PROPER(TRIM(AV170))</f>
        <v>Cancelled</v>
      </c>
      <c r="AB170" s="0" t="str">
        <f aca="false">IF(TRIM(AN170)="","Yes","No")</f>
        <v>No</v>
      </c>
      <c r="AC170" s="0" t="str">
        <f aca="false">IF(TRIM(AS170)="","Yes","No")</f>
        <v>No</v>
      </c>
      <c r="AD170" s="0" t="str">
        <f aca="false">IF(AT170="","Yes","No")</f>
        <v>No</v>
      </c>
      <c r="AE170" s="0" t="str">
        <f aca="false">IF(W170&lt;0,"Yes","No")</f>
        <v>No</v>
      </c>
      <c r="AF170" s="0" t="str">
        <f aca="false">IF(P170="","No",IF(OR(P170&lt;0,P170&gt;0.3),"Yes","No"))</f>
        <v>No</v>
      </c>
      <c r="AG170" s="4" t="s">
        <v>50</v>
      </c>
      <c r="AH170" s="0" t="str">
        <f aca="false">IF(AND(AA170="Completed",Z170="Paid"),"Yes","No")</f>
        <v>No</v>
      </c>
      <c r="AI170" s="0" t="str">
        <f aca="false">IF(OR(AE170="Yes",AF170="Yes",AG170="Yes"),"Invalid",IF(OR(AB170="Yes",AC170="Yes",AD170="Yes"),"Warning","Clean"))</f>
        <v>Clean</v>
      </c>
      <c r="AJ170" s="4" t="s">
        <v>801</v>
      </c>
      <c r="AK170" s="4" t="s">
        <v>195</v>
      </c>
      <c r="AL170" s="4" t="s">
        <v>347</v>
      </c>
      <c r="AM170" s="4" t="s">
        <v>54</v>
      </c>
      <c r="AN170" s="4" t="s">
        <v>97</v>
      </c>
      <c r="AO170" s="4" t="s">
        <v>98</v>
      </c>
      <c r="AP170" s="4" t="s">
        <v>99</v>
      </c>
      <c r="AQ170" s="4" t="s">
        <v>109</v>
      </c>
      <c r="AR170" s="4" t="s">
        <v>110</v>
      </c>
      <c r="AS170" s="4" t="s">
        <v>74</v>
      </c>
      <c r="AT170" s="0" t="n">
        <v>0.2</v>
      </c>
      <c r="AU170" s="4" t="s">
        <v>61</v>
      </c>
      <c r="AV170" s="4" t="s">
        <v>101</v>
      </c>
    </row>
    <row r="171" customFormat="false" ht="15" hidden="false" customHeight="false" outlineLevel="0" collapsed="false">
      <c r="A171" s="0" t="s">
        <v>802</v>
      </c>
      <c r="B171" s="3" t="n">
        <f aca="false">IF(AJ171="","",IF(ISNUMBER(SEARCH("/",AJ171)),DATE(VALUE(RIGHT(AJ171,4)),VALUE(LEFT(AJ171,2)),VALUE(MID(AJ171,4,2))),IF(ISNUMBER(SEARCH("-",AJ171)),IF(LEN(LEFT(AJ171,FIND("-",AJ171)-1))=4,DATE(VALUE(LEFT(AJ171,4)),VALUE(MID(AJ171,6,2)),VALUE(RIGHT(AJ171,2))),DATE(VALUE(RIGHT(AJ171,4)),VALUE(MID(AJ171,4,2)),VALUE(LEFT(AJ171,2)))),DATE(VALUE(RIGHT(AJ171,4)),MATCH(MID(AJ171,4,3),{"Jan","Feb","Mar","Apr","May","Jun","Jul","Aug","Sep","Oct","Nov","Dec"},0),VALUE(LEFT(AJ171,2))))))</f>
        <v>45913</v>
      </c>
      <c r="C171" s="3" t="n">
        <f aca="false">IF(AK171="","",IF(ISNUMBER(SEARCH("/",AK171)),DATE(VALUE(RIGHT(AK171,4)),VALUE(LEFT(AK171,2)),VALUE(MID(AK171,4,2))),IF(ISNUMBER(SEARCH("-",AK171)),IF(LEN(LEFT(AK171,FIND("-",AK171)-1))=4,DATE(VALUE(LEFT(AK171,4)),VALUE(MID(AK171,6,2)),VALUE(RIGHT(AK171,2))),DATE(VALUE(RIGHT(AK171,4)),VALUE(MID(AK171,4,2)),VALUE(LEFT(AK171,2)))),DATE(VALUE(RIGHT(AK171,4)),MATCH(MID(AK171,4,3),{"Jan","Feb","Mar","Apr","May","Jun","Jul","Aug","Sep","Oct","Nov","Dec"},0),VALUE(LEFT(AK171,2))))))</f>
        <v>45913</v>
      </c>
      <c r="D171" s="4" t="s">
        <v>803</v>
      </c>
      <c r="E171" s="0" t="str">
        <f aca="false">PROPER(TRIM(AL171))</f>
        <v>Diya Patel</v>
      </c>
      <c r="F171" s="0" t="str">
        <f aca="false">PROPER(TRIM(AM171))</f>
        <v>Consumer</v>
      </c>
      <c r="G171" s="0" t="str">
        <f aca="false">IF(TRIM(AN171)="","Unknown",PROPER(TRIM(AN171)))</f>
        <v>East</v>
      </c>
      <c r="H171" s="0" t="str">
        <f aca="false">PROPER(TRIM(AO171))</f>
        <v>Assam</v>
      </c>
      <c r="I171" s="0" t="str">
        <f aca="false">PROPER(TRIM(AP171))</f>
        <v>Guwahati</v>
      </c>
      <c r="J171" s="0" t="str">
        <f aca="false">PROPER(TRIM(AQ171))</f>
        <v>Office Supplies</v>
      </c>
      <c r="K171" s="0" t="str">
        <f aca="false">PROPER(TRIM(AR171))</f>
        <v>Art</v>
      </c>
      <c r="M171" s="0" t="str">
        <f aca="false">IF(TRIM(AS171)="","Unknown",PROPER(TRIM(AS171)))</f>
        <v>Standard Class</v>
      </c>
      <c r="N171" s="0" t="n">
        <v>8</v>
      </c>
      <c r="O171" s="0" t="n">
        <v>733.9</v>
      </c>
      <c r="P171" s="5" t="n">
        <f aca="false">IF(AT171="","",IF(ISNUMBER(AT171),AT171,VALUE(SUBSTITUTE(AT171,"%",""))/100))</f>
        <v>0.05</v>
      </c>
      <c r="Q171" s="5" t="n">
        <f aca="false">IF(P171="",IF(AND(N171&lt;&gt;"",O171&lt;&gt;"",R171&lt;&gt;"",S171&lt;&gt;""),0,"REVIEW"),IF(OR(P171&lt;0,P171&gt;0.3),0,P171))</f>
        <v>0.05</v>
      </c>
      <c r="R171" s="0" t="n">
        <v>5577.64</v>
      </c>
      <c r="S171" s="0" t="n">
        <v>3541.29</v>
      </c>
      <c r="T171" s="6" t="n">
        <f aca="false">N171*O171*(1-Q171)</f>
        <v>5577.64</v>
      </c>
      <c r="U171" s="6" t="n">
        <f aca="false">T171-S171</f>
        <v>2036.35</v>
      </c>
      <c r="V171" s="7" t="n">
        <f aca="false">IF(T171=0,0,U171/T171)</f>
        <v>0.365091687523756</v>
      </c>
      <c r="W171" s="4" t="n">
        <f aca="false">C171-B171</f>
        <v>0</v>
      </c>
      <c r="X171" s="0" t="str">
        <f aca="false">TEXT(B171,"mmmm")</f>
        <v>September</v>
      </c>
      <c r="Y171" s="4" t="n">
        <f aca="false">YEAR(B171)</f>
        <v>2025</v>
      </c>
      <c r="Z171" s="0" t="str">
        <f aca="false">PROPER(TRIM(AU171))</f>
        <v>Pending</v>
      </c>
      <c r="AA171" s="0" t="str">
        <f aca="false">PROPER(TRIM(AV171))</f>
        <v>Returned</v>
      </c>
      <c r="AB171" s="0" t="str">
        <f aca="false">IF(TRIM(AN171)="","Yes","No")</f>
        <v>No</v>
      </c>
      <c r="AC171" s="0" t="str">
        <f aca="false">IF(TRIM(AS171)="","Yes","No")</f>
        <v>No</v>
      </c>
      <c r="AD171" s="0" t="str">
        <f aca="false">IF(AT171="","Yes","No")</f>
        <v>No</v>
      </c>
      <c r="AE171" s="0" t="str">
        <f aca="false">IF(W171&lt;0,"Yes","No")</f>
        <v>No</v>
      </c>
      <c r="AF171" s="0" t="str">
        <f aca="false">IF(P171="","No",IF(OR(P171&lt;0,P171&gt;0.3),"Yes","No"))</f>
        <v>No</v>
      </c>
      <c r="AG171" s="4" t="s">
        <v>50</v>
      </c>
      <c r="AH171" s="0" t="str">
        <f aca="false">IF(AND(AA171="Completed",Z171="Paid"),"Yes","No")</f>
        <v>No</v>
      </c>
      <c r="AI171" s="0" t="str">
        <f aca="false">IF(OR(AE171="Yes",AF171="Yes",AG171="Yes"),"Invalid",IF(OR(AB171="Yes",AC171="Yes",AD171="Yes"),"Warning","Clean"))</f>
        <v>Clean</v>
      </c>
      <c r="AJ171" s="4" t="s">
        <v>804</v>
      </c>
      <c r="AK171" s="4" t="s">
        <v>805</v>
      </c>
      <c r="AL171" s="4" t="s">
        <v>216</v>
      </c>
      <c r="AM171" s="4" t="s">
        <v>54</v>
      </c>
      <c r="AN171" s="4" t="s">
        <v>69</v>
      </c>
      <c r="AO171" s="4" t="s">
        <v>221</v>
      </c>
      <c r="AP171" s="4" t="s">
        <v>222</v>
      </c>
      <c r="AQ171" s="4" t="s">
        <v>58</v>
      </c>
      <c r="AR171" s="4" t="s">
        <v>80</v>
      </c>
      <c r="AS171" s="4" t="s">
        <v>91</v>
      </c>
      <c r="AT171" s="0" t="n">
        <v>0.05</v>
      </c>
      <c r="AU171" s="4" t="s">
        <v>153</v>
      </c>
      <c r="AV171" s="4" t="s">
        <v>142</v>
      </c>
    </row>
    <row r="172" customFormat="false" ht="15" hidden="false" customHeight="false" outlineLevel="0" collapsed="false">
      <c r="A172" s="0" t="s">
        <v>806</v>
      </c>
      <c r="B172" s="3" t="n">
        <f aca="false">IF(AJ172="","",IF(ISNUMBER(SEARCH("/",AJ172)),DATE(VALUE(RIGHT(AJ172,4)),VALUE(LEFT(AJ172,2)),VALUE(MID(AJ172,4,2))),IF(ISNUMBER(SEARCH("-",AJ172)),IF(LEN(LEFT(AJ172,FIND("-",AJ172)-1))=4,DATE(VALUE(LEFT(AJ172,4)),VALUE(MID(AJ172,6,2)),VALUE(RIGHT(AJ172,2))),DATE(VALUE(RIGHT(AJ172,4)),VALUE(MID(AJ172,4,2)),VALUE(LEFT(AJ172,2)))),DATE(VALUE(RIGHT(AJ172,4)),MATCH(MID(AJ172,4,3),{"Jan","Feb","Mar","Apr","May","Jun","Jul","Aug","Sep","Oct","Nov","Dec"},0),VALUE(LEFT(AJ172,2))))))</f>
        <v>45907</v>
      </c>
      <c r="C172" s="3" t="n">
        <f aca="false">IF(AK172="","",IF(ISNUMBER(SEARCH("/",AK172)),DATE(VALUE(RIGHT(AK172,4)),VALUE(LEFT(AK172,2)),VALUE(MID(AK172,4,2))),IF(ISNUMBER(SEARCH("-",AK172)),IF(LEN(LEFT(AK172,FIND("-",AK172)-1))=4,DATE(VALUE(LEFT(AK172,4)),VALUE(MID(AK172,6,2)),VALUE(RIGHT(AK172,2))),DATE(VALUE(RIGHT(AK172,4)),VALUE(MID(AK172,4,2)),VALUE(LEFT(AK172,2)))),DATE(VALUE(RIGHT(AK172,4)),MATCH(MID(AK172,4,3),{"Jan","Feb","Mar","Apr","May","Jun","Jul","Aug","Sep","Oct","Nov","Dec"},0),VALUE(LEFT(AK172,2))))))</f>
        <v>45915</v>
      </c>
      <c r="D172" s="4" t="s">
        <v>807</v>
      </c>
      <c r="E172" s="0" t="str">
        <f aca="false">PROPER(TRIM(AL172))</f>
        <v>Rohan Mehta</v>
      </c>
      <c r="F172" s="0" t="str">
        <f aca="false">PROPER(TRIM(AM172))</f>
        <v>Corporate</v>
      </c>
      <c r="G172" s="0" t="str">
        <f aca="false">IF(TRIM(AN172)="","Unknown",PROPER(TRIM(AN172)))</f>
        <v>East</v>
      </c>
      <c r="H172" s="0" t="str">
        <f aca="false">PROPER(TRIM(AO172))</f>
        <v>Bihar</v>
      </c>
      <c r="I172" s="0" t="str">
        <f aca="false">PROPER(TRIM(AP172))</f>
        <v>Patna</v>
      </c>
      <c r="J172" s="0" t="str">
        <f aca="false">PROPER(TRIM(AQ172))</f>
        <v>Technology</v>
      </c>
      <c r="K172" s="0" t="str">
        <f aca="false">PROPER(TRIM(AR172))</f>
        <v>Copiers</v>
      </c>
      <c r="M172" s="0" t="str">
        <f aca="false">IF(TRIM(AS172)="","Unknown",PROPER(TRIM(AS172)))</f>
        <v>Standard Class</v>
      </c>
      <c r="N172" s="0" t="n">
        <v>3</v>
      </c>
      <c r="O172" s="0" t="n">
        <v>1711.32</v>
      </c>
      <c r="P172" s="5" t="n">
        <f aca="false">IF(AT172="","",IF(ISNUMBER(AT172),AT172,VALUE(SUBSTITUTE(AT172,"%",""))/100))</f>
        <v>0</v>
      </c>
      <c r="Q172" s="5" t="n">
        <f aca="false">IF(P172="",IF(AND(N172&lt;&gt;"",O172&lt;&gt;"",R172&lt;&gt;"",S172&lt;&gt;""),0,"REVIEW"),IF(OR(P172&lt;0,P172&gt;0.3),0,P172))</f>
        <v>0</v>
      </c>
      <c r="R172" s="0" t="n">
        <v>5133.96</v>
      </c>
      <c r="S172" s="0" t="n">
        <v>3930</v>
      </c>
      <c r="T172" s="6" t="n">
        <f aca="false">N172*O172*(1-Q172)</f>
        <v>5133.96</v>
      </c>
      <c r="U172" s="6" t="n">
        <f aca="false">T172-S172</f>
        <v>1203.96</v>
      </c>
      <c r="V172" s="7" t="n">
        <f aca="false">IF(T172=0,0,U172/T172)</f>
        <v>0.234509033962088</v>
      </c>
      <c r="W172" s="4" t="n">
        <f aca="false">C172-B172</f>
        <v>8</v>
      </c>
      <c r="X172" s="0" t="str">
        <f aca="false">TEXT(B172,"mmmm")</f>
        <v>September</v>
      </c>
      <c r="Y172" s="4" t="n">
        <f aca="false">YEAR(B172)</f>
        <v>2025</v>
      </c>
      <c r="Z172" s="0" t="str">
        <f aca="false">PROPER(TRIM(AU172))</f>
        <v>Paid</v>
      </c>
      <c r="AA172" s="0" t="str">
        <f aca="false">PROPER(TRIM(AV172))</f>
        <v>Completed</v>
      </c>
      <c r="AB172" s="0" t="str">
        <f aca="false">IF(TRIM(AN172)="","Yes","No")</f>
        <v>No</v>
      </c>
      <c r="AC172" s="0" t="str">
        <f aca="false">IF(TRIM(AS172)="","Yes","No")</f>
        <v>No</v>
      </c>
      <c r="AD172" s="0" t="str">
        <f aca="false">IF(AT172="","Yes","No")</f>
        <v>No</v>
      </c>
      <c r="AE172" s="0" t="str">
        <f aca="false">IF(W172&lt;0,"Yes","No")</f>
        <v>No</v>
      </c>
      <c r="AF172" s="0" t="str">
        <f aca="false">IF(P172="","No",IF(OR(P172&lt;0,P172&gt;0.3),"Yes","No"))</f>
        <v>No</v>
      </c>
      <c r="AG172" s="4" t="s">
        <v>497</v>
      </c>
      <c r="AH172" s="0" t="str">
        <f aca="false">IF(AND(AA172="Completed",Z172="Paid"),"Yes","No")</f>
        <v>Yes</v>
      </c>
      <c r="AI172" s="0" t="str">
        <f aca="false">IF(OR(AE172="Yes",AF172="Yes",AG172="Yes"),"Invalid",IF(OR(AB172="Yes",AC172="Yes",AD172="Yes"),"Warning","Clean"))</f>
        <v>Invalid</v>
      </c>
      <c r="AJ172" s="4" t="s">
        <v>132</v>
      </c>
      <c r="AK172" s="4" t="s">
        <v>808</v>
      </c>
      <c r="AL172" s="4" t="s">
        <v>191</v>
      </c>
      <c r="AM172" s="4" t="s">
        <v>128</v>
      </c>
      <c r="AN172" s="4" t="s">
        <v>69</v>
      </c>
      <c r="AO172" s="4" t="s">
        <v>196</v>
      </c>
      <c r="AP172" s="4" t="s">
        <v>197</v>
      </c>
      <c r="AQ172" s="4" t="s">
        <v>109</v>
      </c>
      <c r="AR172" s="4" t="s">
        <v>116</v>
      </c>
      <c r="AS172" s="4" t="s">
        <v>91</v>
      </c>
      <c r="AT172" s="0" t="n">
        <v>0</v>
      </c>
      <c r="AU172" s="4" t="s">
        <v>61</v>
      </c>
      <c r="AV172" s="4" t="s">
        <v>62</v>
      </c>
    </row>
    <row r="173" customFormat="false" ht="15" hidden="false" customHeight="false" outlineLevel="0" collapsed="false">
      <c r="A173" s="0" t="s">
        <v>809</v>
      </c>
      <c r="B173" s="3" t="n">
        <f aca="false">IF(AJ173="","",IF(ISNUMBER(SEARCH("/",AJ173)),DATE(VALUE(RIGHT(AJ173,4)),VALUE(LEFT(AJ173,2)),VALUE(MID(AJ173,4,2))),IF(ISNUMBER(SEARCH("-",AJ173)),IF(LEN(LEFT(AJ173,FIND("-",AJ173)-1))=4,DATE(VALUE(LEFT(AJ173,4)),VALUE(MID(AJ173,6,2)),VALUE(RIGHT(AJ173,2))),DATE(VALUE(RIGHT(AJ173,4)),VALUE(MID(AJ173,4,2)),VALUE(LEFT(AJ173,2)))),DATE(VALUE(RIGHT(AJ173,4)),MATCH(MID(AJ173,4,3),{"Jan","Feb","Mar","Apr","May","Jun","Jul","Aug","Sep","Oct","Nov","Dec"},0),VALUE(LEFT(AJ173,2))))))</f>
        <v>45711</v>
      </c>
      <c r="C173" s="3" t="n">
        <f aca="false">IF(AK173="","",IF(ISNUMBER(SEARCH("/",AK173)),DATE(VALUE(RIGHT(AK173,4)),VALUE(LEFT(AK173,2)),VALUE(MID(AK173,4,2))),IF(ISNUMBER(SEARCH("-",AK173)),IF(LEN(LEFT(AK173,FIND("-",AK173)-1))=4,DATE(VALUE(LEFT(AK173,4)),VALUE(MID(AK173,6,2)),VALUE(RIGHT(AK173,2))),DATE(VALUE(RIGHT(AK173,4)),VALUE(MID(AK173,4,2)),VALUE(LEFT(AK173,2)))),DATE(VALUE(RIGHT(AK173,4)),MATCH(MID(AK173,4,3),{"Jan","Feb","Mar","Apr","May","Jun","Jul","Aug","Sep","Oct","Nov","Dec"},0),VALUE(LEFT(AK173,2))))))</f>
        <v>45713</v>
      </c>
      <c r="D173" s="4" t="s">
        <v>810</v>
      </c>
      <c r="E173" s="0" t="str">
        <f aca="false">PROPER(TRIM(AL173))</f>
        <v>Karan Malhotra</v>
      </c>
      <c r="F173" s="0" t="str">
        <f aca="false">PROPER(TRIM(AM173))</f>
        <v>Corporate</v>
      </c>
      <c r="G173" s="0" t="str">
        <f aca="false">IF(TRIM(AN173)="","Unknown",PROPER(TRIM(AN173)))</f>
        <v>East</v>
      </c>
      <c r="H173" s="0" t="str">
        <f aca="false">PROPER(TRIM(AO173))</f>
        <v>Bihar</v>
      </c>
      <c r="I173" s="0" t="str">
        <f aca="false">PROPER(TRIM(AP173))</f>
        <v>Patna</v>
      </c>
      <c r="J173" s="0" t="str">
        <f aca="false">PROPER(TRIM(AQ173))</f>
        <v>Office Supplies</v>
      </c>
      <c r="K173" s="0" t="str">
        <f aca="false">PROPER(TRIM(AR173))</f>
        <v>Labels</v>
      </c>
      <c r="M173" s="0" t="str">
        <f aca="false">IF(TRIM(AS173)="","Unknown",PROPER(TRIM(AS173)))</f>
        <v>Same Day</v>
      </c>
      <c r="N173" s="0" t="n">
        <v>5</v>
      </c>
      <c r="O173" s="0" t="n">
        <v>4246.27</v>
      </c>
      <c r="P173" s="5" t="n">
        <f aca="false">IF(AT173="","",IF(ISNUMBER(AT173),AT173,VALUE(SUBSTITUTE(AT173,"%",""))/100))</f>
        <v>0.25</v>
      </c>
      <c r="Q173" s="5" t="n">
        <f aca="false">IF(P173="",IF(AND(N173&lt;&gt;"",O173&lt;&gt;"",R173&lt;&gt;"",S173&lt;&gt;""),0,"REVIEW"),IF(OR(P173&lt;0,P173&gt;0.3),0,P173))</f>
        <v>0.25</v>
      </c>
      <c r="R173" s="0" t="n">
        <v>15923.51</v>
      </c>
      <c r="S173" s="0" t="n">
        <v>11291.8</v>
      </c>
      <c r="T173" s="6" t="n">
        <f aca="false">N173*O173*(1-Q173)</f>
        <v>15923.5125</v>
      </c>
      <c r="U173" s="6" t="n">
        <f aca="false">T173-S173</f>
        <v>4631.7125</v>
      </c>
      <c r="V173" s="7" t="n">
        <f aca="false">IF(T173=0,0,U173/T173)</f>
        <v>0.290872538329719</v>
      </c>
      <c r="W173" s="4" t="n">
        <f aca="false">C173-B173</f>
        <v>2</v>
      </c>
      <c r="X173" s="0" t="str">
        <f aca="false">TEXT(B173,"mmmm")</f>
        <v>February</v>
      </c>
      <c r="Y173" s="4" t="n">
        <f aca="false">YEAR(B173)</f>
        <v>2025</v>
      </c>
      <c r="Z173" s="0" t="str">
        <f aca="false">PROPER(TRIM(AU173))</f>
        <v>Paid</v>
      </c>
      <c r="AA173" s="0" t="str">
        <f aca="false">PROPER(TRIM(AV173))</f>
        <v>Completed</v>
      </c>
      <c r="AB173" s="0" t="str">
        <f aca="false">IF(TRIM(AN173)="","Yes","No")</f>
        <v>No</v>
      </c>
      <c r="AC173" s="0" t="str">
        <f aca="false">IF(TRIM(AS173)="","Yes","No")</f>
        <v>No</v>
      </c>
      <c r="AD173" s="0" t="str">
        <f aca="false">IF(AT173="","Yes","No")</f>
        <v>No</v>
      </c>
      <c r="AE173" s="0" t="str">
        <f aca="false">IF(W173&lt;0,"Yes","No")</f>
        <v>No</v>
      </c>
      <c r="AF173" s="0" t="str">
        <f aca="false">IF(P173="","No",IF(OR(P173&lt;0,P173&gt;0.3),"Yes","No"))</f>
        <v>No</v>
      </c>
      <c r="AG173" s="4" t="s">
        <v>50</v>
      </c>
      <c r="AH173" s="0" t="str">
        <f aca="false">IF(AND(AA173="Completed",Z173="Paid"),"Yes","No")</f>
        <v>Yes</v>
      </c>
      <c r="AI173" s="0" t="str">
        <f aca="false">IF(OR(AE173="Yes",AF173="Yes",AG173="Yes"),"Invalid",IF(OR(AB173="Yes",AC173="Yes",AD173="Yes"),"Warning","Clean"))</f>
        <v>Clean</v>
      </c>
      <c r="AJ173" s="4" t="s">
        <v>119</v>
      </c>
      <c r="AK173" s="4" t="s">
        <v>811</v>
      </c>
      <c r="AL173" s="4" t="s">
        <v>53</v>
      </c>
      <c r="AM173" s="4" t="s">
        <v>128</v>
      </c>
      <c r="AN173" s="4" t="s">
        <v>69</v>
      </c>
      <c r="AO173" s="4" t="s">
        <v>196</v>
      </c>
      <c r="AP173" s="4" t="s">
        <v>197</v>
      </c>
      <c r="AQ173" s="4" t="s">
        <v>58</v>
      </c>
      <c r="AR173" s="4" t="s">
        <v>129</v>
      </c>
      <c r="AS173" s="4" t="s">
        <v>74</v>
      </c>
      <c r="AT173" s="0" t="n">
        <v>0.25</v>
      </c>
      <c r="AU173" s="4" t="s">
        <v>61</v>
      </c>
      <c r="AV173" s="4" t="s">
        <v>62</v>
      </c>
    </row>
    <row r="174" customFormat="false" ht="15" hidden="false" customHeight="false" outlineLevel="0" collapsed="false">
      <c r="A174" s="0" t="s">
        <v>812</v>
      </c>
      <c r="B174" s="3" t="n">
        <f aca="false">IF(AJ174="","",IF(ISNUMBER(SEARCH("/",AJ174)),DATE(VALUE(RIGHT(AJ174,4)),VALUE(LEFT(AJ174,2)),VALUE(MID(AJ174,4,2))),IF(ISNUMBER(SEARCH("-",AJ174)),IF(LEN(LEFT(AJ174,FIND("-",AJ174)-1))=4,DATE(VALUE(LEFT(AJ174,4)),VALUE(MID(AJ174,6,2)),VALUE(RIGHT(AJ174,2))),DATE(VALUE(RIGHT(AJ174,4)),VALUE(MID(AJ174,4,2)),VALUE(LEFT(AJ174,2)))),DATE(VALUE(RIGHT(AJ174,4)),MATCH(MID(AJ174,4,3),{"Jan","Feb","Mar","Apr","May","Jun","Jul","Aug","Sep","Oct","Nov","Dec"},0),VALUE(LEFT(AJ174,2))))))</f>
        <v>45871</v>
      </c>
      <c r="C174" s="3" t="n">
        <f aca="false">IF(AK174="","",IF(ISNUMBER(SEARCH("/",AK174)),DATE(VALUE(RIGHT(AK174,4)),VALUE(LEFT(AK174,2)),VALUE(MID(AK174,4,2))),IF(ISNUMBER(SEARCH("-",AK174)),IF(LEN(LEFT(AK174,FIND("-",AK174)-1))=4,DATE(VALUE(LEFT(AK174,4)),VALUE(MID(AK174,6,2)),VALUE(RIGHT(AK174,2))),DATE(VALUE(RIGHT(AK174,4)),VALUE(MID(AK174,4,2)),VALUE(LEFT(AK174,2)))),DATE(VALUE(RIGHT(AK174,4)),MATCH(MID(AK174,4,3),{"Jan","Feb","Mar","Apr","May","Jun","Jul","Aug","Sep","Oct","Nov","Dec"},0),VALUE(LEFT(AK174,2))))))</f>
        <v>45879</v>
      </c>
      <c r="D174" s="4" t="s">
        <v>813</v>
      </c>
      <c r="E174" s="0" t="str">
        <f aca="false">PROPER(TRIM(AL174))</f>
        <v>Karan Malhotra</v>
      </c>
      <c r="F174" s="0" t="str">
        <f aca="false">PROPER(TRIM(AM174))</f>
        <v>Corporate</v>
      </c>
      <c r="G174" s="0" t="str">
        <f aca="false">IF(TRIM(AN174)="","Unknown",PROPER(TRIM(AN174)))</f>
        <v>North</v>
      </c>
      <c r="H174" s="0" t="str">
        <f aca="false">PROPER(TRIM(AO174))</f>
        <v>Delhi</v>
      </c>
      <c r="I174" s="0" t="str">
        <f aca="false">PROPER(TRIM(AP174))</f>
        <v>New Delhi</v>
      </c>
      <c r="J174" s="0" t="str">
        <f aca="false">PROPER(TRIM(AQ174))</f>
        <v>Furniture</v>
      </c>
      <c r="K174" s="0" t="str">
        <f aca="false">PROPER(TRIM(AR174))</f>
        <v>Furnishings</v>
      </c>
      <c r="M174" s="0" t="str">
        <f aca="false">IF(TRIM(AS174)="","Unknown",PROPER(TRIM(AS174)))</f>
        <v>Same Day</v>
      </c>
      <c r="N174" s="0" t="n">
        <v>9</v>
      </c>
      <c r="O174" s="0" t="n">
        <v>2962.62</v>
      </c>
      <c r="P174" s="5" t="n">
        <f aca="false">IF(AT174="","",IF(ISNUMBER(AT174),AT174,VALUE(SUBSTITUTE(AT174,"%",""))/100))</f>
        <v>0.1</v>
      </c>
      <c r="Q174" s="5" t="n">
        <f aca="false">IF(P174="",IF(AND(N174&lt;&gt;"",O174&lt;&gt;"",R174&lt;&gt;"",S174&lt;&gt;""),0,"REVIEW"),IF(OR(P174&lt;0,P174&gt;0.3),0,P174))</f>
        <v>0.1</v>
      </c>
      <c r="R174" s="0" t="n">
        <v>23997.22</v>
      </c>
      <c r="S174" s="0" t="n">
        <v>16134.63</v>
      </c>
      <c r="T174" s="6" t="n">
        <f aca="false">N174*O174*(1-Q174)</f>
        <v>23997.222</v>
      </c>
      <c r="U174" s="6" t="n">
        <f aca="false">T174-S174</f>
        <v>7862.592</v>
      </c>
      <c r="V174" s="7" t="n">
        <f aca="false">IF(T174=0,0,U174/T174)</f>
        <v>0.327645925015821</v>
      </c>
      <c r="W174" s="4" t="n">
        <f aca="false">C174-B174</f>
        <v>8</v>
      </c>
      <c r="X174" s="0" t="str">
        <f aca="false">TEXT(B174,"mmmm")</f>
        <v>August</v>
      </c>
      <c r="Y174" s="4" t="n">
        <f aca="false">YEAR(B174)</f>
        <v>2025</v>
      </c>
      <c r="Z174" s="0" t="str">
        <f aca="false">PROPER(TRIM(AU174))</f>
        <v>Refunded</v>
      </c>
      <c r="AA174" s="0" t="str">
        <f aca="false">PROPER(TRIM(AV174))</f>
        <v>Returned</v>
      </c>
      <c r="AB174" s="0" t="str">
        <f aca="false">IF(TRIM(AN174)="","Yes","No")</f>
        <v>No</v>
      </c>
      <c r="AC174" s="0" t="str">
        <f aca="false">IF(TRIM(AS174)="","Yes","No")</f>
        <v>No</v>
      </c>
      <c r="AD174" s="0" t="str">
        <f aca="false">IF(AT174="","Yes","No")</f>
        <v>No</v>
      </c>
      <c r="AE174" s="0" t="str">
        <f aca="false">IF(W174&lt;0,"Yes","No")</f>
        <v>No</v>
      </c>
      <c r="AF174" s="0" t="str">
        <f aca="false">IF(P174="","No",IF(OR(P174&lt;0,P174&gt;0.3),"Yes","No"))</f>
        <v>No</v>
      </c>
      <c r="AG174" s="4" t="s">
        <v>50</v>
      </c>
      <c r="AH174" s="0" t="str">
        <f aca="false">IF(AND(AA174="Completed",Z174="Paid"),"Yes","No")</f>
        <v>No</v>
      </c>
      <c r="AI174" s="0" t="str">
        <f aca="false">IF(OR(AE174="Yes",AF174="Yes",AG174="Yes"),"Invalid",IF(OR(AB174="Yes",AC174="Yes",AD174="Yes"),"Warning","Clean"))</f>
        <v>Clean</v>
      </c>
      <c r="AJ174" s="4" t="s">
        <v>814</v>
      </c>
      <c r="AK174" s="4" t="s">
        <v>815</v>
      </c>
      <c r="AL174" s="4" t="s">
        <v>53</v>
      </c>
      <c r="AM174" s="4" t="s">
        <v>128</v>
      </c>
      <c r="AN174" s="4" t="s">
        <v>168</v>
      </c>
      <c r="AO174" s="4" t="s">
        <v>461</v>
      </c>
      <c r="AP174" s="4" t="s">
        <v>462</v>
      </c>
      <c r="AQ174" s="4" t="s">
        <v>72</v>
      </c>
      <c r="AR174" s="4" t="s">
        <v>90</v>
      </c>
      <c r="AS174" s="4" t="s">
        <v>74</v>
      </c>
      <c r="AT174" s="0" t="n">
        <v>0.1</v>
      </c>
      <c r="AU174" s="4" t="s">
        <v>141</v>
      </c>
      <c r="AV174" s="4" t="s">
        <v>142</v>
      </c>
    </row>
    <row r="175" customFormat="false" ht="15" hidden="false" customHeight="false" outlineLevel="0" collapsed="false">
      <c r="A175" s="0" t="s">
        <v>816</v>
      </c>
      <c r="B175" s="3" t="n">
        <f aca="false">IF(AJ175="","",IF(ISNUMBER(SEARCH("/",AJ175)),DATE(VALUE(RIGHT(AJ175,4)),VALUE(LEFT(AJ175,2)),VALUE(MID(AJ175,4,2))),IF(ISNUMBER(SEARCH("-",AJ175)),IF(LEN(LEFT(AJ175,FIND("-",AJ175)-1))=4,DATE(VALUE(LEFT(AJ175,4)),VALUE(MID(AJ175,6,2)),VALUE(RIGHT(AJ175,2))),DATE(VALUE(RIGHT(AJ175,4)),VALUE(MID(AJ175,4,2)),VALUE(LEFT(AJ175,2)))),DATE(VALUE(RIGHT(AJ175,4)),MATCH(MID(AJ175,4,3),{"Jan","Feb","Mar","Apr","May","Jun","Jul","Aug","Sep","Oct","Nov","Dec"},0),VALUE(LEFT(AJ175,2))))))</f>
        <v>45414</v>
      </c>
      <c r="C175" s="3" t="n">
        <f aca="false">IF(AK175="","",IF(ISNUMBER(SEARCH("/",AK175)),DATE(VALUE(RIGHT(AK175,4)),VALUE(LEFT(AK175,2)),VALUE(MID(AK175,4,2))),IF(ISNUMBER(SEARCH("-",AK175)),IF(LEN(LEFT(AK175,FIND("-",AK175)-1))=4,DATE(VALUE(LEFT(AK175,4)),VALUE(MID(AK175,6,2)),VALUE(RIGHT(AK175,2))),DATE(VALUE(RIGHT(AK175,4)),VALUE(MID(AK175,4,2)),VALUE(LEFT(AK175,2)))),DATE(VALUE(RIGHT(AK175,4)),MATCH(MID(AK175,4,3),{"Jan","Feb","Mar","Apr","May","Jun","Jul","Aug","Sep","Oct","Nov","Dec"},0),VALUE(LEFT(AK175,2))))))</f>
        <v>45420</v>
      </c>
      <c r="D175" s="4" t="s">
        <v>817</v>
      </c>
      <c r="E175" s="0" t="str">
        <f aca="false">PROPER(TRIM(AL175))</f>
        <v>Priya Menon</v>
      </c>
      <c r="F175" s="0" t="str">
        <f aca="false">PROPER(TRIM(AM175))</f>
        <v>Home Office</v>
      </c>
      <c r="G175" s="0" t="str">
        <f aca="false">IF(TRIM(AN175)="","Unknown",PROPER(TRIM(AN175)))</f>
        <v>North</v>
      </c>
      <c r="H175" s="0" t="str">
        <f aca="false">PROPER(TRIM(AO175))</f>
        <v>Punjab</v>
      </c>
      <c r="I175" s="0" t="str">
        <f aca="false">PROPER(TRIM(AP175))</f>
        <v>Ludhiana</v>
      </c>
      <c r="J175" s="0" t="str">
        <f aca="false">PROPER(TRIM(AQ175))</f>
        <v>Technology</v>
      </c>
      <c r="K175" s="0" t="str">
        <f aca="false">PROPER(TRIM(AR175))</f>
        <v>Copiers</v>
      </c>
      <c r="M175" s="0" t="str">
        <f aca="false">IF(TRIM(AS175)="","Unknown",PROPER(TRIM(AS175)))</f>
        <v>Second Class</v>
      </c>
      <c r="N175" s="0" t="n">
        <v>1</v>
      </c>
      <c r="O175" s="0" t="n">
        <v>2312.25</v>
      </c>
      <c r="P175" s="5" t="n">
        <f aca="false">IF(AT175="","",IF(ISNUMBER(AT175),AT175,VALUE(SUBSTITUTE(AT175,"%",""))/100))</f>
        <v>0.25</v>
      </c>
      <c r="Q175" s="5" t="n">
        <f aca="false">IF(P175="",IF(AND(N175&lt;&gt;"",O175&lt;&gt;"",R175&lt;&gt;"",S175&lt;&gt;""),0,"REVIEW"),IF(OR(P175&lt;0,P175&gt;0.3),0,P175))</f>
        <v>0.25</v>
      </c>
      <c r="R175" s="0" t="n">
        <v>1734.19</v>
      </c>
      <c r="S175" s="0" t="n">
        <v>1386.07</v>
      </c>
      <c r="T175" s="6" t="n">
        <f aca="false">N175*O175*(1-Q175)</f>
        <v>1734.1875</v>
      </c>
      <c r="U175" s="6" t="n">
        <f aca="false">T175-S175</f>
        <v>348.1175</v>
      </c>
      <c r="V175" s="7" t="n">
        <f aca="false">IF(T175=0,0,U175/T175)</f>
        <v>0.200738097812376</v>
      </c>
      <c r="W175" s="4" t="n">
        <f aca="false">C175-B175</f>
        <v>6</v>
      </c>
      <c r="X175" s="0" t="str">
        <f aca="false">TEXT(B175,"mmmm")</f>
        <v>May</v>
      </c>
      <c r="Y175" s="4" t="n">
        <f aca="false">YEAR(B175)</f>
        <v>2024</v>
      </c>
      <c r="Z175" s="0" t="str">
        <f aca="false">PROPER(TRIM(AU175))</f>
        <v>Paid</v>
      </c>
      <c r="AA175" s="0" t="str">
        <f aca="false">PROPER(TRIM(AV175))</f>
        <v>Completed</v>
      </c>
      <c r="AB175" s="0" t="str">
        <f aca="false">IF(TRIM(AN175)="","Yes","No")</f>
        <v>No</v>
      </c>
      <c r="AC175" s="0" t="str">
        <f aca="false">IF(TRIM(AS175)="","Yes","No")</f>
        <v>No</v>
      </c>
      <c r="AD175" s="0" t="str">
        <f aca="false">IF(AT175="","Yes","No")</f>
        <v>No</v>
      </c>
      <c r="AE175" s="0" t="str">
        <f aca="false">IF(W175&lt;0,"Yes","No")</f>
        <v>No</v>
      </c>
      <c r="AF175" s="0" t="str">
        <f aca="false">IF(P175="","No",IF(OR(P175&lt;0,P175&gt;0.3),"Yes","No"))</f>
        <v>No</v>
      </c>
      <c r="AG175" s="4" t="s">
        <v>50</v>
      </c>
      <c r="AH175" s="0" t="str">
        <f aca="false">IF(AND(AA175="Completed",Z175="Paid"),"Yes","No")</f>
        <v>Yes</v>
      </c>
      <c r="AI175" s="0" t="str">
        <f aca="false">IF(OR(AE175="Yes",AF175="Yes",AG175="Yes"),"Invalid",IF(OR(AB175="Yes",AC175="Yes",AD175="Yes"),"Warning","Clean"))</f>
        <v>Clean</v>
      </c>
      <c r="AJ175" s="4" t="s">
        <v>818</v>
      </c>
      <c r="AK175" s="4" t="s">
        <v>819</v>
      </c>
      <c r="AL175" s="4" t="s">
        <v>820</v>
      </c>
      <c r="AM175" s="4" t="s">
        <v>134</v>
      </c>
      <c r="AN175" s="4" t="s">
        <v>168</v>
      </c>
      <c r="AO175" s="4" t="s">
        <v>169</v>
      </c>
      <c r="AP175" s="4" t="s">
        <v>170</v>
      </c>
      <c r="AQ175" s="4" t="s">
        <v>109</v>
      </c>
      <c r="AR175" s="4" t="s">
        <v>116</v>
      </c>
      <c r="AS175" s="4" t="s">
        <v>60</v>
      </c>
      <c r="AT175" s="0" t="n">
        <v>0.25</v>
      </c>
      <c r="AU175" s="4" t="s">
        <v>61</v>
      </c>
      <c r="AV175" s="4" t="s">
        <v>62</v>
      </c>
    </row>
    <row r="176" customFormat="false" ht="15" hidden="false" customHeight="false" outlineLevel="0" collapsed="false">
      <c r="A176" s="0" t="s">
        <v>821</v>
      </c>
      <c r="B176" s="3" t="n">
        <f aca="false">IF(AJ176="","",IF(ISNUMBER(SEARCH("/",AJ176)),DATE(VALUE(RIGHT(AJ176,4)),VALUE(LEFT(AJ176,2)),VALUE(MID(AJ176,4,2))),IF(ISNUMBER(SEARCH("-",AJ176)),IF(LEN(LEFT(AJ176,FIND("-",AJ176)-1))=4,DATE(VALUE(LEFT(AJ176,4)),VALUE(MID(AJ176,6,2)),VALUE(RIGHT(AJ176,2))),DATE(VALUE(RIGHT(AJ176,4)),VALUE(MID(AJ176,4,2)),VALUE(LEFT(AJ176,2)))),DATE(VALUE(RIGHT(AJ176,4)),MATCH(MID(AJ176,4,3),{"Jan","Feb","Mar","Apr","May","Jun","Jul","Aug","Sep","Oct","Nov","Dec"},0),VALUE(LEFT(AJ176,2))))))</f>
        <v>45928</v>
      </c>
      <c r="C176" s="3" t="n">
        <f aca="false">IF(AK176="","",IF(ISNUMBER(SEARCH("/",AK176)),DATE(VALUE(RIGHT(AK176,4)),VALUE(LEFT(AK176,2)),VALUE(MID(AK176,4,2))),IF(ISNUMBER(SEARCH("-",AK176)),IF(LEN(LEFT(AK176,FIND("-",AK176)-1))=4,DATE(VALUE(LEFT(AK176,4)),VALUE(MID(AK176,6,2)),VALUE(RIGHT(AK176,2))),DATE(VALUE(RIGHT(AK176,4)),VALUE(MID(AK176,4,2)),VALUE(LEFT(AK176,2)))),DATE(VALUE(RIGHT(AK176,4)),MATCH(MID(AK176,4,3),{"Jan","Feb","Mar","Apr","May","Jun","Jul","Aug","Sep","Oct","Nov","Dec"},0),VALUE(LEFT(AK176,2))))))</f>
        <v>45934</v>
      </c>
      <c r="D176" s="4" t="s">
        <v>822</v>
      </c>
      <c r="E176" s="0" t="str">
        <f aca="false">PROPER(TRIM(AL176))</f>
        <v>Karan Malhotra</v>
      </c>
      <c r="F176" s="0" t="str">
        <f aca="false">PROPER(TRIM(AM176))</f>
        <v>Small Business</v>
      </c>
      <c r="G176" s="0" t="str">
        <f aca="false">IF(TRIM(AN176)="","Unknown",PROPER(TRIM(AN176)))</f>
        <v>South</v>
      </c>
      <c r="H176" s="0" t="str">
        <f aca="false">PROPER(TRIM(AO176))</f>
        <v>Karnataka</v>
      </c>
      <c r="I176" s="0" t="str">
        <f aca="false">PROPER(TRIM(AP176))</f>
        <v>Bengaluru</v>
      </c>
      <c r="J176" s="0" t="str">
        <f aca="false">PROPER(TRIM(AQ176))</f>
        <v>Furniture</v>
      </c>
      <c r="K176" s="0" t="str">
        <f aca="false">PROPER(TRIM(AR176))</f>
        <v>Bookcases</v>
      </c>
      <c r="M176" s="0" t="str">
        <f aca="false">IF(TRIM(AS176)="","Unknown",PROPER(TRIM(AS176)))</f>
        <v>First Class</v>
      </c>
      <c r="N176" s="0" t="n">
        <v>6</v>
      </c>
      <c r="O176" s="0" t="n">
        <v>1620.53</v>
      </c>
      <c r="P176" s="5" t="n">
        <f aca="false">IF(AT176="","",IF(ISNUMBER(AT176),AT176,VALUE(SUBSTITUTE(AT176,"%",""))/100))</f>
        <v>0.15</v>
      </c>
      <c r="Q176" s="5" t="n">
        <f aca="false">IF(P176="",IF(AND(N176&lt;&gt;"",O176&lt;&gt;"",R176&lt;&gt;"",S176&lt;&gt;""),0,"REVIEW"),IF(OR(P176&lt;0,P176&gt;0.3),0,P176))</f>
        <v>0.15</v>
      </c>
      <c r="R176" s="0" t="n">
        <v>8264.7</v>
      </c>
      <c r="S176" s="0" t="n">
        <v>4768.75</v>
      </c>
      <c r="T176" s="6" t="n">
        <f aca="false">N176*O176*(1-Q176)</f>
        <v>8264.703</v>
      </c>
      <c r="U176" s="6" t="n">
        <f aca="false">T176-S176</f>
        <v>3495.953</v>
      </c>
      <c r="V176" s="7" t="n">
        <f aca="false">IF(T176=0,0,U176/T176)</f>
        <v>0.422998019408562</v>
      </c>
      <c r="W176" s="4" t="n">
        <f aca="false">C176-B176</f>
        <v>6</v>
      </c>
      <c r="X176" s="0" t="str">
        <f aca="false">TEXT(B176,"mmmm")</f>
        <v>September</v>
      </c>
      <c r="Y176" s="4" t="n">
        <f aca="false">YEAR(B176)</f>
        <v>2025</v>
      </c>
      <c r="Z176" s="0" t="str">
        <f aca="false">PROPER(TRIM(AU176))</f>
        <v>Pending</v>
      </c>
      <c r="AA176" s="0" t="str">
        <f aca="false">PROPER(TRIM(AV176))</f>
        <v>Returned</v>
      </c>
      <c r="AB176" s="0" t="str">
        <f aca="false">IF(TRIM(AN176)="","Yes","No")</f>
        <v>No</v>
      </c>
      <c r="AC176" s="0" t="str">
        <f aca="false">IF(TRIM(AS176)="","Yes","No")</f>
        <v>No</v>
      </c>
      <c r="AD176" s="0" t="str">
        <f aca="false">IF(AT176="","Yes","No")</f>
        <v>No</v>
      </c>
      <c r="AE176" s="0" t="str">
        <f aca="false">IF(W176&lt;0,"Yes","No")</f>
        <v>No</v>
      </c>
      <c r="AF176" s="0" t="str">
        <f aca="false">IF(P176="","No",IF(OR(P176&lt;0,P176&gt;0.3),"Yes","No"))</f>
        <v>No</v>
      </c>
      <c r="AG176" s="4" t="s">
        <v>50</v>
      </c>
      <c r="AH176" s="0" t="str">
        <f aca="false">IF(AND(AA176="Completed",Z176="Paid"),"Yes","No")</f>
        <v>No</v>
      </c>
      <c r="AI176" s="0" t="str">
        <f aca="false">IF(OR(AE176="Yes",AF176="Yes",AG176="Yes"),"Invalid",IF(OR(AB176="Yes",AC176="Yes",AD176="Yes"),"Warning","Clean"))</f>
        <v>Clean</v>
      </c>
      <c r="AJ176" s="4" t="s">
        <v>823</v>
      </c>
      <c r="AK176" s="4" t="s">
        <v>824</v>
      </c>
      <c r="AL176" s="4" t="s">
        <v>53</v>
      </c>
      <c r="AM176" s="4" t="s">
        <v>68</v>
      </c>
      <c r="AN176" s="4" t="s">
        <v>87</v>
      </c>
      <c r="AO176" s="4" t="s">
        <v>233</v>
      </c>
      <c r="AP176" s="4" t="s">
        <v>234</v>
      </c>
      <c r="AQ176" s="4" t="s">
        <v>72</v>
      </c>
      <c r="AR176" s="4" t="s">
        <v>211</v>
      </c>
      <c r="AS176" s="4" t="s">
        <v>81</v>
      </c>
      <c r="AT176" s="0" t="n">
        <v>0.15</v>
      </c>
      <c r="AU176" s="4" t="s">
        <v>153</v>
      </c>
      <c r="AV176" s="4" t="s">
        <v>142</v>
      </c>
    </row>
    <row r="177" customFormat="false" ht="15" hidden="false" customHeight="false" outlineLevel="0" collapsed="false">
      <c r="A177" s="0" t="s">
        <v>825</v>
      </c>
      <c r="B177" s="3" t="n">
        <f aca="false">IF(AJ177="","",IF(ISNUMBER(SEARCH("/",AJ177)),DATE(VALUE(RIGHT(AJ177,4)),VALUE(LEFT(AJ177,2)),VALUE(MID(AJ177,4,2))),IF(ISNUMBER(SEARCH("-",AJ177)),IF(LEN(LEFT(AJ177,FIND("-",AJ177)-1))=4,DATE(VALUE(LEFT(AJ177,4)),VALUE(MID(AJ177,6,2)),VALUE(RIGHT(AJ177,2))),DATE(VALUE(RIGHT(AJ177,4)),VALUE(MID(AJ177,4,2)),VALUE(LEFT(AJ177,2)))),DATE(VALUE(RIGHT(AJ177,4)),MATCH(MID(AJ177,4,3),{"Jan","Feb","Mar","Apr","May","Jun","Jul","Aug","Sep","Oct","Nov","Dec"},0),VALUE(LEFT(AJ177,2))))))</f>
        <v>45318</v>
      </c>
      <c r="C177" s="3" t="n">
        <f aca="false">IF(AK177="","",IF(ISNUMBER(SEARCH("/",AK177)),DATE(VALUE(RIGHT(AK177,4)),VALUE(LEFT(AK177,2)),VALUE(MID(AK177,4,2))),IF(ISNUMBER(SEARCH("-",AK177)),IF(LEN(LEFT(AK177,FIND("-",AK177)-1))=4,DATE(VALUE(LEFT(AK177,4)),VALUE(MID(AK177,6,2)),VALUE(RIGHT(AK177,2))),DATE(VALUE(RIGHT(AK177,4)),VALUE(MID(AK177,4,2)),VALUE(LEFT(AK177,2)))),DATE(VALUE(RIGHT(AK177,4)),MATCH(MID(AK177,4,3),{"Jan","Feb","Mar","Apr","May","Jun","Jul","Aug","Sep","Oct","Nov","Dec"},0),VALUE(LEFT(AK177,2))))))</f>
        <v>45325</v>
      </c>
      <c r="D177" s="4" t="s">
        <v>826</v>
      </c>
      <c r="E177" s="0" t="str">
        <f aca="false">PROPER(TRIM(AL177))</f>
        <v>Arjun Bose</v>
      </c>
      <c r="F177" s="0" t="str">
        <f aca="false">PROPER(TRIM(AM177))</f>
        <v>Small Business</v>
      </c>
      <c r="G177" s="0" t="str">
        <f aca="false">IF(TRIM(AN177)="","Unknown",PROPER(TRIM(AN177)))</f>
        <v>East</v>
      </c>
      <c r="H177" s="0" t="str">
        <f aca="false">PROPER(TRIM(AO177))</f>
        <v>Bihar</v>
      </c>
      <c r="I177" s="0" t="str">
        <f aca="false">PROPER(TRIM(AP177))</f>
        <v>Patna</v>
      </c>
      <c r="J177" s="0" t="str">
        <f aca="false">PROPER(TRIM(AQ177))</f>
        <v>Technology</v>
      </c>
      <c r="K177" s="0" t="str">
        <f aca="false">PROPER(TRIM(AR177))</f>
        <v>Machines</v>
      </c>
      <c r="M177" s="0" t="str">
        <f aca="false">IF(TRIM(AS177)="","Unknown",PROPER(TRIM(AS177)))</f>
        <v>Same Day</v>
      </c>
      <c r="N177" s="0" t="n">
        <v>7</v>
      </c>
      <c r="O177" s="0" t="n">
        <v>2673.42</v>
      </c>
      <c r="P177" s="5" t="n">
        <f aca="false">IF(AT177="","",IF(ISNUMBER(AT177),AT177,VALUE(SUBSTITUTE(AT177,"%",""))/100))</f>
        <v>0.15</v>
      </c>
      <c r="Q177" s="5" t="n">
        <f aca="false">IF(P177="",IF(AND(N177&lt;&gt;"",O177&lt;&gt;"",R177&lt;&gt;"",S177&lt;&gt;""),0,"REVIEW"),IF(OR(P177&lt;0,P177&gt;0.3),0,P177))</f>
        <v>0.15</v>
      </c>
      <c r="R177" s="0" t="n">
        <v>15906.85</v>
      </c>
      <c r="S177" s="0" t="n">
        <v>11014.46</v>
      </c>
      <c r="T177" s="6" t="n">
        <f aca="false">N177*O177*(1-Q177)</f>
        <v>15906.849</v>
      </c>
      <c r="U177" s="6" t="n">
        <f aca="false">T177-S177</f>
        <v>4892.389</v>
      </c>
      <c r="V177" s="7" t="n">
        <f aca="false">IF(T177=0,0,U177/T177)</f>
        <v>0.307564936336543</v>
      </c>
      <c r="W177" s="4" t="n">
        <f aca="false">C177-B177</f>
        <v>7</v>
      </c>
      <c r="X177" s="0" t="str">
        <f aca="false">TEXT(B177,"mmmm")</f>
        <v>January</v>
      </c>
      <c r="Y177" s="4" t="n">
        <f aca="false">YEAR(B177)</f>
        <v>2024</v>
      </c>
      <c r="Z177" s="0" t="str">
        <f aca="false">PROPER(TRIM(AU177))</f>
        <v>Paid</v>
      </c>
      <c r="AA177" s="0" t="str">
        <f aca="false">PROPER(TRIM(AV177))</f>
        <v>Returned</v>
      </c>
      <c r="AB177" s="0" t="str">
        <f aca="false">IF(TRIM(AN177)="","Yes","No")</f>
        <v>No</v>
      </c>
      <c r="AC177" s="0" t="str">
        <f aca="false">IF(TRIM(AS177)="","Yes","No")</f>
        <v>No</v>
      </c>
      <c r="AD177" s="0" t="str">
        <f aca="false">IF(AT177="","Yes","No")</f>
        <v>No</v>
      </c>
      <c r="AE177" s="0" t="str">
        <f aca="false">IF(W177&lt;0,"Yes","No")</f>
        <v>No</v>
      </c>
      <c r="AF177" s="0" t="str">
        <f aca="false">IF(P177="","No",IF(OR(P177&lt;0,P177&gt;0.3),"Yes","No"))</f>
        <v>No</v>
      </c>
      <c r="AG177" s="4" t="s">
        <v>50</v>
      </c>
      <c r="AH177" s="0" t="str">
        <f aca="false">IF(AND(AA177="Completed",Z177="Paid"),"Yes","No")</f>
        <v>No</v>
      </c>
      <c r="AI177" s="0" t="str">
        <f aca="false">IF(OR(AE177="Yes",AF177="Yes",AG177="Yes"),"Invalid",IF(OR(AB177="Yes",AC177="Yes",AD177="Yes"),"Warning","Clean"))</f>
        <v>Clean</v>
      </c>
      <c r="AJ177" s="4" t="s">
        <v>654</v>
      </c>
      <c r="AK177" s="4" t="s">
        <v>827</v>
      </c>
      <c r="AL177" s="4" t="s">
        <v>86</v>
      </c>
      <c r="AM177" s="4" t="s">
        <v>68</v>
      </c>
      <c r="AN177" s="4" t="s">
        <v>69</v>
      </c>
      <c r="AO177" s="4" t="s">
        <v>196</v>
      </c>
      <c r="AP177" s="4" t="s">
        <v>197</v>
      </c>
      <c r="AQ177" s="4" t="s">
        <v>109</v>
      </c>
      <c r="AR177" s="4" t="s">
        <v>360</v>
      </c>
      <c r="AS177" s="4" t="s">
        <v>74</v>
      </c>
      <c r="AT177" s="0" t="n">
        <v>0.15</v>
      </c>
      <c r="AU177" s="4" t="s">
        <v>61</v>
      </c>
      <c r="AV177" s="4" t="s">
        <v>142</v>
      </c>
    </row>
    <row r="178" customFormat="false" ht="15" hidden="false" customHeight="false" outlineLevel="0" collapsed="false">
      <c r="A178" s="0" t="s">
        <v>828</v>
      </c>
      <c r="B178" s="3" t="n">
        <f aca="false">IF(AJ178="","",IF(ISNUMBER(SEARCH("/",AJ178)),DATE(VALUE(RIGHT(AJ178,4)),VALUE(LEFT(AJ178,2)),VALUE(MID(AJ178,4,2))),IF(ISNUMBER(SEARCH("-",AJ178)),IF(LEN(LEFT(AJ178,FIND("-",AJ178)-1))=4,DATE(VALUE(LEFT(AJ178,4)),VALUE(MID(AJ178,6,2)),VALUE(RIGHT(AJ178,2))),DATE(VALUE(RIGHT(AJ178,4)),VALUE(MID(AJ178,4,2)),VALUE(LEFT(AJ178,2)))),DATE(VALUE(RIGHT(AJ178,4)),MATCH(MID(AJ178,4,3),{"Jan","Feb","Mar","Apr","May","Jun","Jul","Aug","Sep","Oct","Nov","Dec"},0),VALUE(LEFT(AJ178,2))))))</f>
        <v>45734</v>
      </c>
      <c r="C178" s="3" t="n">
        <f aca="false">IF(AK178="","",IF(ISNUMBER(SEARCH("/",AK178)),DATE(VALUE(RIGHT(AK178,4)),VALUE(LEFT(AK178,2)),VALUE(MID(AK178,4,2))),IF(ISNUMBER(SEARCH("-",AK178)),IF(LEN(LEFT(AK178,FIND("-",AK178)-1))=4,DATE(VALUE(LEFT(AK178,4)),VALUE(MID(AK178,6,2)),VALUE(RIGHT(AK178,2))),DATE(VALUE(RIGHT(AK178,4)),VALUE(MID(AK178,4,2)),VALUE(LEFT(AK178,2)))),DATE(VALUE(RIGHT(AK178,4)),MATCH(MID(AK178,4,3),{"Jan","Feb","Mar","Apr","May","Jun","Jul","Aug","Sep","Oct","Nov","Dec"},0),VALUE(LEFT(AK178,2))))))</f>
        <v>45742</v>
      </c>
      <c r="D178" s="4" t="s">
        <v>829</v>
      </c>
      <c r="E178" s="0" t="str">
        <f aca="false">PROPER(TRIM(AL178))</f>
        <v>Vikram Iyer</v>
      </c>
      <c r="F178" s="0" t="str">
        <f aca="false">PROPER(TRIM(AM178))</f>
        <v>Corporate</v>
      </c>
      <c r="G178" s="0" t="str">
        <f aca="false">IF(TRIM(AN178)="","Unknown",PROPER(TRIM(AN178)))</f>
        <v>East</v>
      </c>
      <c r="H178" s="0" t="str">
        <f aca="false">PROPER(TRIM(AO178))</f>
        <v>Jharkhand</v>
      </c>
      <c r="I178" s="0" t="str">
        <f aca="false">PROPER(TRIM(AP178))</f>
        <v>Ranchi</v>
      </c>
      <c r="J178" s="0" t="str">
        <f aca="false">PROPER(TRIM(AQ178))</f>
        <v>Furniture</v>
      </c>
      <c r="K178" s="0" t="str">
        <f aca="false">PROPER(TRIM(AR178))</f>
        <v>Bookcases</v>
      </c>
      <c r="M178" s="0" t="str">
        <f aca="false">IF(TRIM(AS178)="","Unknown",PROPER(TRIM(AS178)))</f>
        <v>Standard Class</v>
      </c>
      <c r="N178" s="0" t="n">
        <v>8</v>
      </c>
      <c r="O178" s="0" t="n">
        <v>3563.09</v>
      </c>
      <c r="P178" s="5" t="n">
        <f aca="false">IF(AT178="","",IF(ISNUMBER(AT178),AT178,VALUE(SUBSTITUTE(AT178,"%",""))/100))</f>
        <v>0.15</v>
      </c>
      <c r="Q178" s="5" t="n">
        <f aca="false">IF(P178="",IF(AND(N178&lt;&gt;"",O178&lt;&gt;"",R178&lt;&gt;"",S178&lt;&gt;""),0,"REVIEW"),IF(OR(P178&lt;0,P178&gt;0.3),0,P178))</f>
        <v>0.15</v>
      </c>
      <c r="R178" s="0" t="n">
        <v>24229.01</v>
      </c>
      <c r="S178" s="0" t="n">
        <v>13910.64</v>
      </c>
      <c r="T178" s="6" t="n">
        <f aca="false">N178*O178*(1-Q178)</f>
        <v>24229.012</v>
      </c>
      <c r="U178" s="6" t="n">
        <f aca="false">T178-S178</f>
        <v>10318.372</v>
      </c>
      <c r="V178" s="7" t="n">
        <f aca="false">IF(T178=0,0,U178/T178)</f>
        <v>0.425868458854203</v>
      </c>
      <c r="W178" s="4" t="n">
        <f aca="false">C178-B178</f>
        <v>8</v>
      </c>
      <c r="X178" s="0" t="str">
        <f aca="false">TEXT(B178,"mmmm")</f>
        <v>March</v>
      </c>
      <c r="Y178" s="4" t="n">
        <f aca="false">YEAR(B178)</f>
        <v>2025</v>
      </c>
      <c r="Z178" s="0" t="str">
        <f aca="false">PROPER(TRIM(AU178))</f>
        <v>Paid</v>
      </c>
      <c r="AA178" s="0" t="str">
        <f aca="false">PROPER(TRIM(AV178))</f>
        <v>Completed</v>
      </c>
      <c r="AB178" s="0" t="str">
        <f aca="false">IF(TRIM(AN178)="","Yes","No")</f>
        <v>No</v>
      </c>
      <c r="AC178" s="0" t="str">
        <f aca="false">IF(TRIM(AS178)="","Yes","No")</f>
        <v>No</v>
      </c>
      <c r="AD178" s="0" t="str">
        <f aca="false">IF(AT178="","Yes","No")</f>
        <v>No</v>
      </c>
      <c r="AE178" s="0" t="str">
        <f aca="false">IF(W178&lt;0,"Yes","No")</f>
        <v>No</v>
      </c>
      <c r="AF178" s="0" t="str">
        <f aca="false">IF(P178="","No",IF(OR(P178&lt;0,P178&gt;0.3),"Yes","No"))</f>
        <v>No</v>
      </c>
      <c r="AG178" s="4" t="s">
        <v>50</v>
      </c>
      <c r="AH178" s="0" t="str">
        <f aca="false">IF(AND(AA178="Completed",Z178="Paid"),"Yes","No")</f>
        <v>Yes</v>
      </c>
      <c r="AI178" s="0" t="str">
        <f aca="false">IF(OR(AE178="Yes",AF178="Yes",AG178="Yes"),"Invalid",IF(OR(AB178="Yes",AC178="Yes",AD178="Yes"),"Warning","Clean"))</f>
        <v>Clean</v>
      </c>
      <c r="AJ178" s="4" t="s">
        <v>830</v>
      </c>
      <c r="AK178" s="4" t="s">
        <v>831</v>
      </c>
      <c r="AL178" s="4" t="s">
        <v>106</v>
      </c>
      <c r="AM178" s="4" t="s">
        <v>128</v>
      </c>
      <c r="AN178" s="4" t="s">
        <v>69</v>
      </c>
      <c r="AO178" s="4" t="s">
        <v>300</v>
      </c>
      <c r="AP178" s="4" t="s">
        <v>301</v>
      </c>
      <c r="AQ178" s="4" t="s">
        <v>72</v>
      </c>
      <c r="AR178" s="4" t="s">
        <v>211</v>
      </c>
      <c r="AS178" s="4" t="s">
        <v>91</v>
      </c>
      <c r="AT178" s="0" t="n">
        <v>0.15</v>
      </c>
      <c r="AU178" s="4" t="s">
        <v>61</v>
      </c>
      <c r="AV178" s="4" t="s">
        <v>62</v>
      </c>
    </row>
    <row r="179" customFormat="false" ht="15" hidden="false" customHeight="false" outlineLevel="0" collapsed="false">
      <c r="A179" s="0" t="s">
        <v>832</v>
      </c>
      <c r="B179" s="3" t="n">
        <f aca="false">IF(AJ179="","",IF(ISNUMBER(SEARCH("/",AJ179)),DATE(VALUE(RIGHT(AJ179,4)),VALUE(LEFT(AJ179,2)),VALUE(MID(AJ179,4,2))),IF(ISNUMBER(SEARCH("-",AJ179)),IF(LEN(LEFT(AJ179,FIND("-",AJ179)-1))=4,DATE(VALUE(LEFT(AJ179,4)),VALUE(MID(AJ179,6,2)),VALUE(RIGHT(AJ179,2))),DATE(VALUE(RIGHT(AJ179,4)),VALUE(MID(AJ179,4,2)),VALUE(LEFT(AJ179,2)))),DATE(VALUE(RIGHT(AJ179,4)),MATCH(MID(AJ179,4,3),{"Jan","Feb","Mar","Apr","May","Jun","Jul","Aug","Sep","Oct","Nov","Dec"},0),VALUE(LEFT(AJ179,2))))))</f>
        <v>45444</v>
      </c>
      <c r="C179" s="3" t="n">
        <f aca="false">IF(AK179="","",IF(ISNUMBER(SEARCH("/",AK179)),DATE(VALUE(RIGHT(AK179,4)),VALUE(LEFT(AK179,2)),VALUE(MID(AK179,4,2))),IF(ISNUMBER(SEARCH("-",AK179)),IF(LEN(LEFT(AK179,FIND("-",AK179)-1))=4,DATE(VALUE(LEFT(AK179,4)),VALUE(MID(AK179,6,2)),VALUE(RIGHT(AK179,2))),DATE(VALUE(RIGHT(AK179,4)),VALUE(MID(AK179,4,2)),VALUE(LEFT(AK179,2)))),DATE(VALUE(RIGHT(AK179,4)),MATCH(MID(AK179,4,3),{"Jan","Feb","Mar","Apr","May","Jun","Jul","Aug","Sep","Oct","Nov","Dec"},0),VALUE(LEFT(AK179,2))))))</f>
        <v>45446</v>
      </c>
      <c r="D179" s="4" t="s">
        <v>833</v>
      </c>
      <c r="E179" s="0" t="str">
        <f aca="false">PROPER(TRIM(AL179))</f>
        <v>Sneha Kapoor</v>
      </c>
      <c r="F179" s="0" t="str">
        <f aca="false">PROPER(TRIM(AM179))</f>
        <v>Home Office</v>
      </c>
      <c r="G179" s="0" t="str">
        <f aca="false">IF(TRIM(AN179)="","Unknown",PROPER(TRIM(AN179)))</f>
        <v>Unknown</v>
      </c>
      <c r="H179" s="0" t="str">
        <f aca="false">PROPER(TRIM(AO179))</f>
        <v>Bihar</v>
      </c>
      <c r="I179" s="0" t="str">
        <f aca="false">PROPER(TRIM(AP179))</f>
        <v>Patna</v>
      </c>
      <c r="J179" s="0" t="str">
        <f aca="false">PROPER(TRIM(AQ179))</f>
        <v>Office Supplies</v>
      </c>
      <c r="K179" s="0" t="str">
        <f aca="false">PROPER(TRIM(AR179))</f>
        <v>Art</v>
      </c>
      <c r="M179" s="0" t="str">
        <f aca="false">IF(TRIM(AS179)="","Unknown",PROPER(TRIM(AS179)))</f>
        <v>Same Day</v>
      </c>
      <c r="N179" s="0" t="n">
        <v>8</v>
      </c>
      <c r="O179" s="0" t="n">
        <v>3879.95</v>
      </c>
      <c r="P179" s="5" t="n">
        <f aca="false">IF(AT179="","",IF(ISNUMBER(AT179),AT179,VALUE(SUBSTITUTE(AT179,"%",""))/100))</f>
        <v>0</v>
      </c>
      <c r="Q179" s="5" t="n">
        <f aca="false">IF(P179="",IF(AND(N179&lt;&gt;"",O179&lt;&gt;"",R179&lt;&gt;"",S179&lt;&gt;""),0,"REVIEW"),IF(OR(P179&lt;0,P179&gt;0.3),0,P179))</f>
        <v>0</v>
      </c>
      <c r="R179" s="0" t="n">
        <v>31039.6</v>
      </c>
      <c r="S179" s="0" t="n">
        <v>20866.72</v>
      </c>
      <c r="T179" s="6" t="n">
        <f aca="false">N179*O179*(1-Q179)</f>
        <v>31039.6</v>
      </c>
      <c r="U179" s="6" t="n">
        <f aca="false">T179-S179</f>
        <v>10172.88</v>
      </c>
      <c r="V179" s="7" t="n">
        <f aca="false">IF(T179=0,0,U179/T179)</f>
        <v>0.327738759520097</v>
      </c>
      <c r="W179" s="4" t="n">
        <f aca="false">C179-B179</f>
        <v>2</v>
      </c>
      <c r="X179" s="0" t="str">
        <f aca="false">TEXT(B179,"mmmm")</f>
        <v>June</v>
      </c>
      <c r="Y179" s="4" t="n">
        <f aca="false">YEAR(B179)</f>
        <v>2024</v>
      </c>
      <c r="Z179" s="0" t="str">
        <f aca="false">PROPER(TRIM(AU179))</f>
        <v>Paid</v>
      </c>
      <c r="AA179" s="0" t="str">
        <f aca="false">PROPER(TRIM(AV179))</f>
        <v>Completed</v>
      </c>
      <c r="AB179" s="0" t="str">
        <f aca="false">IF(TRIM(AN179)="","Yes","No")</f>
        <v>Yes</v>
      </c>
      <c r="AC179" s="0" t="str">
        <f aca="false">IF(TRIM(AS179)="","Yes","No")</f>
        <v>No</v>
      </c>
      <c r="AD179" s="0" t="str">
        <f aca="false">IF(AT179="","Yes","No")</f>
        <v>No</v>
      </c>
      <c r="AE179" s="0" t="str">
        <f aca="false">IF(W179&lt;0,"Yes","No")</f>
        <v>No</v>
      </c>
      <c r="AF179" s="0" t="str">
        <f aca="false">IF(P179="","No",IF(OR(P179&lt;0,P179&gt;0.3),"Yes","No"))</f>
        <v>No</v>
      </c>
      <c r="AG179" s="4" t="s">
        <v>50</v>
      </c>
      <c r="AH179" s="0" t="str">
        <f aca="false">IF(AND(AA179="Completed",Z179="Paid"),"Yes","No")</f>
        <v>Yes</v>
      </c>
      <c r="AI179" s="0" t="str">
        <f aca="false">IF(OR(AE179="Yes",AF179="Yes",AG179="Yes"),"Invalid",IF(OR(AB179="Yes",AC179="Yes",AD179="Yes"),"Warning","Clean"))</f>
        <v>Warning</v>
      </c>
      <c r="AJ179" s="4" t="s">
        <v>834</v>
      </c>
      <c r="AK179" s="4" t="s">
        <v>835</v>
      </c>
      <c r="AL179" s="4" t="s">
        <v>181</v>
      </c>
      <c r="AM179" s="4" t="s">
        <v>134</v>
      </c>
      <c r="AO179" s="4" t="s">
        <v>196</v>
      </c>
      <c r="AP179" s="4" t="s">
        <v>197</v>
      </c>
      <c r="AQ179" s="4" t="s">
        <v>58</v>
      </c>
      <c r="AR179" s="4" t="s">
        <v>80</v>
      </c>
      <c r="AS179" s="4" t="s">
        <v>74</v>
      </c>
      <c r="AT179" s="0" t="n">
        <v>0</v>
      </c>
      <c r="AU179" s="4" t="s">
        <v>61</v>
      </c>
      <c r="AV179" s="4" t="s">
        <v>62</v>
      </c>
    </row>
    <row r="180" customFormat="false" ht="15" hidden="false" customHeight="false" outlineLevel="0" collapsed="false">
      <c r="A180" s="0" t="s">
        <v>836</v>
      </c>
      <c r="B180" s="3" t="n">
        <f aca="false">IF(AJ180="","",IF(ISNUMBER(SEARCH("/",AJ180)),DATE(VALUE(RIGHT(AJ180,4)),VALUE(LEFT(AJ180,2)),VALUE(MID(AJ180,4,2))),IF(ISNUMBER(SEARCH("-",AJ180)),IF(LEN(LEFT(AJ180,FIND("-",AJ180)-1))=4,DATE(VALUE(LEFT(AJ180,4)),VALUE(MID(AJ180,6,2)),VALUE(RIGHT(AJ180,2))),DATE(VALUE(RIGHT(AJ180,4)),VALUE(MID(AJ180,4,2)),VALUE(LEFT(AJ180,2)))),DATE(VALUE(RIGHT(AJ180,4)),MATCH(MID(AJ180,4,3),{"Jan","Feb","Mar","Apr","May","Jun","Jul","Aug","Sep","Oct","Nov","Dec"},0),VALUE(LEFT(AJ180,2))))))</f>
        <v>45565</v>
      </c>
      <c r="C180" s="3" t="n">
        <f aca="false">IF(AK180="","",IF(ISNUMBER(SEARCH("/",AK180)),DATE(VALUE(RIGHT(AK180,4)),VALUE(LEFT(AK180,2)),VALUE(MID(AK180,4,2))),IF(ISNUMBER(SEARCH("-",AK180)),IF(LEN(LEFT(AK180,FIND("-",AK180)-1))=4,DATE(VALUE(LEFT(AK180,4)),VALUE(MID(AK180,6,2)),VALUE(RIGHT(AK180,2))),DATE(VALUE(RIGHT(AK180,4)),VALUE(MID(AK180,4,2)),VALUE(LEFT(AK180,2)))),DATE(VALUE(RIGHT(AK180,4)),MATCH(MID(AK180,4,3),{"Jan","Feb","Mar","Apr","May","Jun","Jul","Aug","Sep","Oct","Nov","Dec"},0),VALUE(LEFT(AK180,2))))))</f>
        <v>45565</v>
      </c>
      <c r="D180" s="4" t="s">
        <v>837</v>
      </c>
      <c r="E180" s="0" t="str">
        <f aca="false">PROPER(TRIM(AL180))</f>
        <v>Isha Nair</v>
      </c>
      <c r="F180" s="0" t="str">
        <f aca="false">PROPER(TRIM(AM180))</f>
        <v>Corporate</v>
      </c>
      <c r="G180" s="0" t="str">
        <f aca="false">IF(TRIM(AN180)="","Unknown",PROPER(TRIM(AN180)))</f>
        <v>South</v>
      </c>
      <c r="H180" s="0" t="str">
        <f aca="false">PROPER(TRIM(AO180))</f>
        <v>Telangana</v>
      </c>
      <c r="I180" s="0" t="str">
        <f aca="false">PROPER(TRIM(AP180))</f>
        <v>Hyderabad</v>
      </c>
      <c r="J180" s="0" t="str">
        <f aca="false">PROPER(TRIM(AQ180))</f>
        <v>Office Supplies</v>
      </c>
      <c r="K180" s="0" t="str">
        <f aca="false">PROPER(TRIM(AR180))</f>
        <v>Art</v>
      </c>
      <c r="M180" s="0" t="str">
        <f aca="false">IF(TRIM(AS180)="","Unknown",PROPER(TRIM(AS180)))</f>
        <v>Standard Class</v>
      </c>
      <c r="N180" s="0" t="n">
        <v>4</v>
      </c>
      <c r="O180" s="0" t="n">
        <v>3281.74</v>
      </c>
      <c r="P180" s="5" t="n">
        <f aca="false">IF(AT180="","",IF(ISNUMBER(AT180),AT180,VALUE(SUBSTITUTE(AT180,"%",""))/100))</f>
        <v>0</v>
      </c>
      <c r="Q180" s="5" t="n">
        <f aca="false">IF(P180="",IF(AND(N180&lt;&gt;"",O180&lt;&gt;"",R180&lt;&gt;"",S180&lt;&gt;""),0,"REVIEW"),IF(OR(P180&lt;0,P180&gt;0.3),0,P180))</f>
        <v>0</v>
      </c>
      <c r="R180" s="0" t="n">
        <v>13126.96</v>
      </c>
      <c r="S180" s="0" t="n">
        <v>10732.44</v>
      </c>
      <c r="T180" s="6" t="n">
        <f aca="false">N180*O180*(1-Q180)</f>
        <v>13126.96</v>
      </c>
      <c r="U180" s="6" t="n">
        <f aca="false">T180-S180</f>
        <v>2394.52</v>
      </c>
      <c r="V180" s="7" t="n">
        <f aca="false">IF(T180=0,0,U180/T180)</f>
        <v>0.182412378799052</v>
      </c>
      <c r="W180" s="4" t="n">
        <f aca="false">C180-B180</f>
        <v>0</v>
      </c>
      <c r="X180" s="0" t="str">
        <f aca="false">TEXT(B180,"mmmm")</f>
        <v>September</v>
      </c>
      <c r="Y180" s="4" t="n">
        <f aca="false">YEAR(B180)</f>
        <v>2024</v>
      </c>
      <c r="Z180" s="0" t="str">
        <f aca="false">PROPER(TRIM(AU180))</f>
        <v>Paid</v>
      </c>
      <c r="AA180" s="0" t="str">
        <f aca="false">PROPER(TRIM(AV180))</f>
        <v>Completed</v>
      </c>
      <c r="AB180" s="0" t="str">
        <f aca="false">IF(TRIM(AN180)="","Yes","No")</f>
        <v>No</v>
      </c>
      <c r="AC180" s="0" t="str">
        <f aca="false">IF(TRIM(AS180)="","Yes","No")</f>
        <v>No</v>
      </c>
      <c r="AD180" s="0" t="str">
        <f aca="false">IF(AT180="","Yes","No")</f>
        <v>No</v>
      </c>
      <c r="AE180" s="0" t="str">
        <f aca="false">IF(W180&lt;0,"Yes","No")</f>
        <v>No</v>
      </c>
      <c r="AF180" s="0" t="str">
        <f aca="false">IF(P180="","No",IF(OR(P180&lt;0,P180&gt;0.3),"Yes","No"))</f>
        <v>No</v>
      </c>
      <c r="AG180" s="4" t="s">
        <v>50</v>
      </c>
      <c r="AH180" s="0" t="str">
        <f aca="false">IF(AND(AA180="Completed",Z180="Paid"),"Yes","No")</f>
        <v>Yes</v>
      </c>
      <c r="AI180" s="0" t="str">
        <f aca="false">IF(OR(AE180="Yes",AF180="Yes",AG180="Yes"),"Invalid",IF(OR(AB180="Yes",AC180="Yes",AD180="Yes"),"Warning","Clean"))</f>
        <v>Clean</v>
      </c>
      <c r="AJ180" s="4" t="s">
        <v>838</v>
      </c>
      <c r="AK180" s="4" t="s">
        <v>839</v>
      </c>
      <c r="AL180" s="4" t="s">
        <v>79</v>
      </c>
      <c r="AM180" s="4" t="s">
        <v>128</v>
      </c>
      <c r="AN180" s="4" t="s">
        <v>87</v>
      </c>
      <c r="AO180" s="4" t="s">
        <v>88</v>
      </c>
      <c r="AP180" s="4" t="s">
        <v>89</v>
      </c>
      <c r="AQ180" s="4" t="s">
        <v>58</v>
      </c>
      <c r="AR180" s="4" t="s">
        <v>80</v>
      </c>
      <c r="AS180" s="4" t="s">
        <v>91</v>
      </c>
      <c r="AT180" s="0" t="n">
        <v>0</v>
      </c>
      <c r="AU180" s="4" t="s">
        <v>61</v>
      </c>
      <c r="AV180" s="4" t="s">
        <v>62</v>
      </c>
    </row>
    <row r="181" customFormat="false" ht="15" hidden="false" customHeight="false" outlineLevel="0" collapsed="false">
      <c r="A181" s="0" t="s">
        <v>840</v>
      </c>
      <c r="B181" s="3" t="n">
        <f aca="false">IF(AJ181="","",IF(ISNUMBER(SEARCH("/",AJ181)),DATE(VALUE(RIGHT(AJ181,4)),VALUE(LEFT(AJ181,2)),VALUE(MID(AJ181,4,2))),IF(ISNUMBER(SEARCH("-",AJ181)),IF(LEN(LEFT(AJ181,FIND("-",AJ181)-1))=4,DATE(VALUE(LEFT(AJ181,4)),VALUE(MID(AJ181,6,2)),VALUE(RIGHT(AJ181,2))),DATE(VALUE(RIGHT(AJ181,4)),VALUE(MID(AJ181,4,2)),VALUE(LEFT(AJ181,2)))),DATE(VALUE(RIGHT(AJ181,4)),MATCH(MID(AJ181,4,3),{"Jan","Feb","Mar","Apr","May","Jun","Jul","Aug","Sep","Oct","Nov","Dec"},0),VALUE(LEFT(AJ181,2))))))</f>
        <v>45366</v>
      </c>
      <c r="C181" s="3" t="n">
        <f aca="false">IF(AK181="","",IF(ISNUMBER(SEARCH("/",AK181)),DATE(VALUE(RIGHT(AK181,4)),VALUE(LEFT(AK181,2)),VALUE(MID(AK181,4,2))),IF(ISNUMBER(SEARCH("-",AK181)),IF(LEN(LEFT(AK181,FIND("-",AK181)-1))=4,DATE(VALUE(LEFT(AK181,4)),VALUE(MID(AK181,6,2)),VALUE(RIGHT(AK181,2))),DATE(VALUE(RIGHT(AK181,4)),VALUE(MID(AK181,4,2)),VALUE(LEFT(AK181,2)))),DATE(VALUE(RIGHT(AK181,4)),MATCH(MID(AK181,4,3),{"Jan","Feb","Mar","Apr","May","Jun","Jul","Aug","Sep","Oct","Nov","Dec"},0),VALUE(LEFT(AK181,2))))))</f>
        <v>45370</v>
      </c>
      <c r="D181" s="4" t="s">
        <v>841</v>
      </c>
      <c r="E181" s="0" t="str">
        <f aca="false">PROPER(TRIM(AL181))</f>
        <v>Ananya Rao</v>
      </c>
      <c r="F181" s="0" t="str">
        <f aca="false">PROPER(TRIM(AM181))</f>
        <v>Small Business</v>
      </c>
      <c r="G181" s="0" t="str">
        <f aca="false">IF(TRIM(AN181)="","Unknown",PROPER(TRIM(AN181)))</f>
        <v>South</v>
      </c>
      <c r="H181" s="0" t="str">
        <f aca="false">PROPER(TRIM(AO181))</f>
        <v>Tamil Nadu</v>
      </c>
      <c r="I181" s="0" t="str">
        <f aca="false">PROPER(TRIM(AP181))</f>
        <v>Chennai</v>
      </c>
      <c r="J181" s="0" t="str">
        <f aca="false">PROPER(TRIM(AQ181))</f>
        <v>Furniture</v>
      </c>
      <c r="K181" s="0" t="str">
        <f aca="false">PROPER(TRIM(AR181))</f>
        <v>Furnishings</v>
      </c>
      <c r="M181" s="0" t="str">
        <f aca="false">IF(TRIM(AS181)="","Unknown",PROPER(TRIM(AS181)))</f>
        <v>Standard Class</v>
      </c>
      <c r="N181" s="0" t="n">
        <v>4</v>
      </c>
      <c r="O181" s="0" t="n">
        <v>3186.3</v>
      </c>
      <c r="P181" s="5" t="n">
        <f aca="false">IF(AT181="","",IF(ISNUMBER(AT181),AT181,VALUE(SUBSTITUTE(AT181,"%",""))/100))</f>
        <v>0.25</v>
      </c>
      <c r="Q181" s="5" t="n">
        <f aca="false">IF(P181="",IF(AND(N181&lt;&gt;"",O181&lt;&gt;"",R181&lt;&gt;"",S181&lt;&gt;""),0,"REVIEW"),IF(OR(P181&lt;0,P181&gt;0.3),0,P181))</f>
        <v>0.25</v>
      </c>
      <c r="R181" s="0" t="n">
        <v>9558.9</v>
      </c>
      <c r="S181" s="0" t="n">
        <v>5516.76</v>
      </c>
      <c r="T181" s="6" t="n">
        <f aca="false">N181*O181*(1-Q181)</f>
        <v>9558.9</v>
      </c>
      <c r="U181" s="6" t="n">
        <f aca="false">T181-S181</f>
        <v>4042.14</v>
      </c>
      <c r="V181" s="7" t="n">
        <f aca="false">IF(T181=0,0,U181/T181)</f>
        <v>0.422866647836048</v>
      </c>
      <c r="W181" s="4" t="n">
        <f aca="false">C181-B181</f>
        <v>4</v>
      </c>
      <c r="X181" s="0" t="str">
        <f aca="false">TEXT(B181,"mmmm")</f>
        <v>March</v>
      </c>
      <c r="Y181" s="4" t="n">
        <f aca="false">YEAR(B181)</f>
        <v>2024</v>
      </c>
      <c r="Z181" s="0" t="str">
        <f aca="false">PROPER(TRIM(AU181))</f>
        <v>Refunded</v>
      </c>
      <c r="AA181" s="0" t="str">
        <f aca="false">PROPER(TRIM(AV181))</f>
        <v>Returned</v>
      </c>
      <c r="AB181" s="0" t="str">
        <f aca="false">IF(TRIM(AN181)="","Yes","No")</f>
        <v>No</v>
      </c>
      <c r="AC181" s="0" t="str">
        <f aca="false">IF(TRIM(AS181)="","Yes","No")</f>
        <v>No</v>
      </c>
      <c r="AD181" s="0" t="str">
        <f aca="false">IF(AT181="","Yes","No")</f>
        <v>No</v>
      </c>
      <c r="AE181" s="0" t="str">
        <f aca="false">IF(W181&lt;0,"Yes","No")</f>
        <v>No</v>
      </c>
      <c r="AF181" s="0" t="str">
        <f aca="false">IF(P181="","No",IF(OR(P181&lt;0,P181&gt;0.3),"Yes","No"))</f>
        <v>No</v>
      </c>
      <c r="AG181" s="4" t="s">
        <v>50</v>
      </c>
      <c r="AH181" s="0" t="str">
        <f aca="false">IF(AND(AA181="Completed",Z181="Paid"),"Yes","No")</f>
        <v>No</v>
      </c>
      <c r="AI181" s="0" t="str">
        <f aca="false">IF(OR(AE181="Yes",AF181="Yes",AG181="Yes"),"Invalid",IF(OR(AB181="Yes",AC181="Yes",AD181="Yes"),"Warning","Clean"))</f>
        <v>Clean</v>
      </c>
      <c r="AJ181" s="4" t="s">
        <v>842</v>
      </c>
      <c r="AK181" s="4" t="s">
        <v>843</v>
      </c>
      <c r="AL181" s="4" t="s">
        <v>96</v>
      </c>
      <c r="AM181" s="4" t="s">
        <v>68</v>
      </c>
      <c r="AN181" s="4" t="s">
        <v>87</v>
      </c>
      <c r="AO181" s="4" t="s">
        <v>323</v>
      </c>
      <c r="AP181" s="4" t="s">
        <v>324</v>
      </c>
      <c r="AQ181" s="4" t="s">
        <v>72</v>
      </c>
      <c r="AR181" s="4" t="s">
        <v>90</v>
      </c>
      <c r="AS181" s="4" t="s">
        <v>91</v>
      </c>
      <c r="AT181" s="0" t="n">
        <v>0.25</v>
      </c>
      <c r="AU181" s="4" t="s">
        <v>141</v>
      </c>
      <c r="AV181" s="4" t="s">
        <v>142</v>
      </c>
    </row>
    <row r="182" customFormat="false" ht="15" hidden="false" customHeight="false" outlineLevel="0" collapsed="false">
      <c r="A182" s="0" t="s">
        <v>844</v>
      </c>
      <c r="B182" s="3" t="n">
        <f aca="false">IF(AJ182="","",IF(ISNUMBER(SEARCH("/",AJ182)),DATE(VALUE(RIGHT(AJ182,4)),VALUE(LEFT(AJ182,2)),VALUE(MID(AJ182,4,2))),IF(ISNUMBER(SEARCH("-",AJ182)),IF(LEN(LEFT(AJ182,FIND("-",AJ182)-1))=4,DATE(VALUE(LEFT(AJ182,4)),VALUE(MID(AJ182,6,2)),VALUE(RIGHT(AJ182,2))),DATE(VALUE(RIGHT(AJ182,4)),VALUE(MID(AJ182,4,2)),VALUE(LEFT(AJ182,2)))),DATE(VALUE(RIGHT(AJ182,4)),MATCH(MID(AJ182,4,3),{"Jan","Feb","Mar","Apr","May","Jun","Jul","Aug","Sep","Oct","Nov","Dec"},0),VALUE(LEFT(AJ182,2))))))</f>
        <v>45530</v>
      </c>
      <c r="C182" s="3" t="n">
        <f aca="false">IF(AK182="","",IF(ISNUMBER(SEARCH("/",AK182)),DATE(VALUE(RIGHT(AK182,4)),VALUE(LEFT(AK182,2)),VALUE(MID(AK182,4,2))),IF(ISNUMBER(SEARCH("-",AK182)),IF(LEN(LEFT(AK182,FIND("-",AK182)-1))=4,DATE(VALUE(LEFT(AK182,4)),VALUE(MID(AK182,6,2)),VALUE(RIGHT(AK182,2))),DATE(VALUE(RIGHT(AK182,4)),VALUE(MID(AK182,4,2)),VALUE(LEFT(AK182,2)))),DATE(VALUE(RIGHT(AK182,4)),MATCH(MID(AK182,4,3),{"Jan","Feb","Mar","Apr","May","Jun","Jul","Aug","Sep","Oct","Nov","Dec"},0),VALUE(LEFT(AK182,2))))))</f>
        <v>45530</v>
      </c>
      <c r="D182" s="4" t="s">
        <v>845</v>
      </c>
      <c r="E182" s="0" t="str">
        <f aca="false">PROPER(TRIM(AL182))</f>
        <v>Mira Das</v>
      </c>
      <c r="F182" s="0" t="str">
        <f aca="false">PROPER(TRIM(AM182))</f>
        <v>Home Office</v>
      </c>
      <c r="G182" s="0" t="str">
        <f aca="false">IF(TRIM(AN182)="","Unknown",PROPER(TRIM(AN182)))</f>
        <v>North</v>
      </c>
      <c r="H182" s="0" t="str">
        <f aca="false">PROPER(TRIM(AO182))</f>
        <v>Uttar Pradesh</v>
      </c>
      <c r="I182" s="0" t="str">
        <f aca="false">PROPER(TRIM(AP182))</f>
        <v>Noida</v>
      </c>
      <c r="J182" s="0" t="str">
        <f aca="false">PROPER(TRIM(AQ182))</f>
        <v>Office Supplies</v>
      </c>
      <c r="K182" s="0" t="str">
        <f aca="false">PROPER(TRIM(AR182))</f>
        <v>Binders</v>
      </c>
      <c r="M182" s="0" t="str">
        <f aca="false">IF(TRIM(AS182)="","Unknown",PROPER(TRIM(AS182)))</f>
        <v>First Class</v>
      </c>
      <c r="N182" s="0" t="n">
        <v>7</v>
      </c>
      <c r="O182" s="0" t="n">
        <v>844.59</v>
      </c>
      <c r="P182" s="5" t="n">
        <f aca="false">IF(AT182="","",IF(ISNUMBER(AT182),AT182,VALUE(SUBSTITUTE(AT182,"%",""))/100))</f>
        <v>0.1</v>
      </c>
      <c r="Q182" s="5" t="n">
        <f aca="false">IF(P182="",IF(AND(N182&lt;&gt;"",O182&lt;&gt;"",R182&lt;&gt;"",S182&lt;&gt;""),0,"REVIEW"),IF(OR(P182&lt;0,P182&gt;0.3),0,P182))</f>
        <v>0.1</v>
      </c>
      <c r="R182" s="0" t="n">
        <v>5320.92</v>
      </c>
      <c r="S182" s="0" t="n">
        <v>3041.5</v>
      </c>
      <c r="T182" s="6" t="n">
        <f aca="false">N182*O182*(1-Q182)</f>
        <v>5320.917</v>
      </c>
      <c r="U182" s="6" t="n">
        <f aca="false">T182-S182</f>
        <v>2279.417</v>
      </c>
      <c r="V182" s="7" t="n">
        <f aca="false">IF(T182=0,0,U182/T182)</f>
        <v>0.42838800154184</v>
      </c>
      <c r="W182" s="4" t="n">
        <f aca="false">C182-B182</f>
        <v>0</v>
      </c>
      <c r="X182" s="0" t="str">
        <f aca="false">TEXT(B182,"mmmm")</f>
        <v>August</v>
      </c>
      <c r="Y182" s="4" t="n">
        <f aca="false">YEAR(B182)</f>
        <v>2024</v>
      </c>
      <c r="Z182" s="0" t="str">
        <f aca="false">PROPER(TRIM(AU182))</f>
        <v>Paid</v>
      </c>
      <c r="AA182" s="0" t="str">
        <f aca="false">PROPER(TRIM(AV182))</f>
        <v>Completed</v>
      </c>
      <c r="AB182" s="0" t="str">
        <f aca="false">IF(TRIM(AN182)="","Yes","No")</f>
        <v>No</v>
      </c>
      <c r="AC182" s="0" t="str">
        <f aca="false">IF(TRIM(AS182)="","Yes","No")</f>
        <v>No</v>
      </c>
      <c r="AD182" s="0" t="str">
        <f aca="false">IF(AT182="","Yes","No")</f>
        <v>No</v>
      </c>
      <c r="AE182" s="0" t="str">
        <f aca="false">IF(W182&lt;0,"Yes","No")</f>
        <v>No</v>
      </c>
      <c r="AF182" s="0" t="str">
        <f aca="false">IF(P182="","No",IF(OR(P182&lt;0,P182&gt;0.3),"Yes","No"))</f>
        <v>No</v>
      </c>
      <c r="AG182" s="4" t="s">
        <v>50</v>
      </c>
      <c r="AH182" s="0" t="str">
        <f aca="false">IF(AND(AA182="Completed",Z182="Paid"),"Yes","No")</f>
        <v>Yes</v>
      </c>
      <c r="AI182" s="0" t="str">
        <f aca="false">IF(OR(AE182="Yes",AF182="Yes",AG182="Yes"),"Invalid",IF(OR(AB182="Yes",AC182="Yes",AD182="Yes"),"Warning","Clean"))</f>
        <v>Clean</v>
      </c>
      <c r="AJ182" s="4" t="s">
        <v>846</v>
      </c>
      <c r="AK182" s="4" t="s">
        <v>847</v>
      </c>
      <c r="AL182" s="4" t="s">
        <v>67</v>
      </c>
      <c r="AM182" s="4" t="s">
        <v>134</v>
      </c>
      <c r="AN182" s="4" t="s">
        <v>168</v>
      </c>
      <c r="AO182" s="4" t="s">
        <v>186</v>
      </c>
      <c r="AP182" s="4" t="s">
        <v>187</v>
      </c>
      <c r="AQ182" s="4" t="s">
        <v>794</v>
      </c>
      <c r="AR182" s="4" t="s">
        <v>206</v>
      </c>
      <c r="AS182" s="4" t="s">
        <v>81</v>
      </c>
      <c r="AT182" s="0" t="n">
        <v>0.1</v>
      </c>
      <c r="AU182" s="4" t="s">
        <v>61</v>
      </c>
      <c r="AV182" s="4" t="s">
        <v>62</v>
      </c>
    </row>
    <row r="183" customFormat="false" ht="15" hidden="false" customHeight="false" outlineLevel="0" collapsed="false">
      <c r="A183" s="0" t="s">
        <v>848</v>
      </c>
      <c r="B183" s="3" t="n">
        <f aca="false">IF(AJ183="","",IF(ISNUMBER(SEARCH("/",AJ183)),DATE(VALUE(RIGHT(AJ183,4)),VALUE(LEFT(AJ183,2)),VALUE(MID(AJ183,4,2))),IF(ISNUMBER(SEARCH("-",AJ183)),IF(LEN(LEFT(AJ183,FIND("-",AJ183)-1))=4,DATE(VALUE(LEFT(AJ183,4)),VALUE(MID(AJ183,6,2)),VALUE(RIGHT(AJ183,2))),DATE(VALUE(RIGHT(AJ183,4)),VALUE(MID(AJ183,4,2)),VALUE(LEFT(AJ183,2)))),DATE(VALUE(RIGHT(AJ183,4)),MATCH(MID(AJ183,4,3),{"Jan","Feb","Mar","Apr","May","Jun","Jul","Aug","Sep","Oct","Nov","Dec"},0),VALUE(LEFT(AJ183,2))))))</f>
        <v>45909</v>
      </c>
      <c r="C183" s="3" t="n">
        <f aca="false">IF(AK183="","",IF(ISNUMBER(SEARCH("/",AK183)),DATE(VALUE(RIGHT(AK183,4)),VALUE(LEFT(AK183,2)),VALUE(MID(AK183,4,2))),IF(ISNUMBER(SEARCH("-",AK183)),IF(LEN(LEFT(AK183,FIND("-",AK183)-1))=4,DATE(VALUE(LEFT(AK183,4)),VALUE(MID(AK183,6,2)),VALUE(RIGHT(AK183,2))),DATE(VALUE(RIGHT(AK183,4)),VALUE(MID(AK183,4,2)),VALUE(LEFT(AK183,2)))),DATE(VALUE(RIGHT(AK183,4)),MATCH(MID(AK183,4,3),{"Jan","Feb","Mar","Apr","May","Jun","Jul","Aug","Sep","Oct","Nov","Dec"},0),VALUE(LEFT(AK183,2))))))</f>
        <v>45910</v>
      </c>
      <c r="D183" s="4" t="s">
        <v>849</v>
      </c>
      <c r="E183" s="0" t="str">
        <f aca="false">PROPER(TRIM(AL183))</f>
        <v>Priya Menon</v>
      </c>
      <c r="F183" s="0" t="str">
        <f aca="false">PROPER(TRIM(AM183))</f>
        <v>Home Office</v>
      </c>
      <c r="G183" s="0" t="str">
        <f aca="false">IF(TRIM(AN183)="","Unknown",PROPER(TRIM(AN183)))</f>
        <v>South</v>
      </c>
      <c r="H183" s="0" t="str">
        <f aca="false">PROPER(TRIM(AO183))</f>
        <v>Tamil Nadu</v>
      </c>
      <c r="I183" s="0" t="str">
        <f aca="false">PROPER(TRIM(AP183))</f>
        <v>Chennai</v>
      </c>
      <c r="J183" s="0" t="str">
        <f aca="false">PROPER(TRIM(AQ183))</f>
        <v>Office Supplies</v>
      </c>
      <c r="K183" s="0" t="str">
        <f aca="false">PROPER(TRIM(AR183))</f>
        <v>Art</v>
      </c>
      <c r="M183" s="0" t="str">
        <f aca="false">IF(TRIM(AS183)="","Unknown",PROPER(TRIM(AS183)))</f>
        <v>Second Class</v>
      </c>
      <c r="N183" s="0" t="n">
        <v>4</v>
      </c>
      <c r="O183" s="0" t="n">
        <v>2551.45</v>
      </c>
      <c r="P183" s="5" t="n">
        <f aca="false">IF(AT183="","",IF(ISNUMBER(AT183),AT183,VALUE(SUBSTITUTE(AT183,"%",""))/100))</f>
        <v>0</v>
      </c>
      <c r="Q183" s="5" t="n">
        <f aca="false">IF(P183="",IF(AND(N183&lt;&gt;"",O183&lt;&gt;"",R183&lt;&gt;"",S183&lt;&gt;""),0,"REVIEW"),IF(OR(P183&lt;0,P183&gt;0.3),0,P183))</f>
        <v>0</v>
      </c>
      <c r="R183" s="0" t="n">
        <v>10205.8</v>
      </c>
      <c r="S183" s="0" t="n">
        <v>5986.31</v>
      </c>
      <c r="T183" s="6" t="n">
        <f aca="false">N183*O183*(1-Q183)</f>
        <v>10205.8</v>
      </c>
      <c r="U183" s="6" t="n">
        <f aca="false">T183-S183</f>
        <v>4219.49</v>
      </c>
      <c r="V183" s="7" t="n">
        <f aca="false">IF(T183=0,0,U183/T183)</f>
        <v>0.413440396637206</v>
      </c>
      <c r="W183" s="4" t="n">
        <f aca="false">C183-B183</f>
        <v>1</v>
      </c>
      <c r="X183" s="0" t="str">
        <f aca="false">TEXT(B183,"mmmm")</f>
        <v>September</v>
      </c>
      <c r="Y183" s="4" t="n">
        <f aca="false">YEAR(B183)</f>
        <v>2025</v>
      </c>
      <c r="Z183" s="0" t="str">
        <f aca="false">PROPER(TRIM(AU183))</f>
        <v>Paid</v>
      </c>
      <c r="AA183" s="0" t="str">
        <f aca="false">PROPER(TRIM(AV183))</f>
        <v>Completed</v>
      </c>
      <c r="AB183" s="0" t="str">
        <f aca="false">IF(TRIM(AN183)="","Yes","No")</f>
        <v>No</v>
      </c>
      <c r="AC183" s="0" t="str">
        <f aca="false">IF(TRIM(AS183)="","Yes","No")</f>
        <v>No</v>
      </c>
      <c r="AD183" s="0" t="str">
        <f aca="false">IF(AT183="","Yes","No")</f>
        <v>No</v>
      </c>
      <c r="AE183" s="0" t="str">
        <f aca="false">IF(W183&lt;0,"Yes","No")</f>
        <v>No</v>
      </c>
      <c r="AF183" s="0" t="str">
        <f aca="false">IF(P183="","No",IF(OR(P183&lt;0,P183&gt;0.3),"Yes","No"))</f>
        <v>No</v>
      </c>
      <c r="AG183" s="4" t="s">
        <v>50</v>
      </c>
      <c r="AH183" s="0" t="str">
        <f aca="false">IF(AND(AA183="Completed",Z183="Paid"),"Yes","No")</f>
        <v>Yes</v>
      </c>
      <c r="AI183" s="0" t="str">
        <f aca="false">IF(OR(AE183="Yes",AF183="Yes",AG183="Yes"),"Invalid",IF(OR(AB183="Yes",AC183="Yes",AD183="Yes"),"Warning","Clean"))</f>
        <v>Clean</v>
      </c>
      <c r="AJ183" s="4" t="s">
        <v>850</v>
      </c>
      <c r="AK183" s="4" t="s">
        <v>851</v>
      </c>
      <c r="AL183" s="4" t="s">
        <v>158</v>
      </c>
      <c r="AM183" s="4" t="s">
        <v>134</v>
      </c>
      <c r="AN183" s="4" t="s">
        <v>87</v>
      </c>
      <c r="AO183" s="4" t="s">
        <v>323</v>
      </c>
      <c r="AP183" s="4" t="s">
        <v>324</v>
      </c>
      <c r="AQ183" s="4" t="s">
        <v>58</v>
      </c>
      <c r="AR183" s="4" t="s">
        <v>80</v>
      </c>
      <c r="AS183" s="4" t="s">
        <v>60</v>
      </c>
      <c r="AT183" s="0" t="n">
        <v>0</v>
      </c>
      <c r="AU183" s="4" t="s">
        <v>61</v>
      </c>
      <c r="AV183" s="4" t="s">
        <v>62</v>
      </c>
    </row>
    <row r="184" customFormat="false" ht="15" hidden="false" customHeight="false" outlineLevel="0" collapsed="false">
      <c r="A184" s="0" t="s">
        <v>852</v>
      </c>
      <c r="B184" s="3" t="n">
        <f aca="false">IF(AJ184="","",IF(ISNUMBER(SEARCH("/",AJ184)),DATE(VALUE(RIGHT(AJ184,4)),VALUE(LEFT(AJ184,2)),VALUE(MID(AJ184,4,2))),IF(ISNUMBER(SEARCH("-",AJ184)),IF(LEN(LEFT(AJ184,FIND("-",AJ184)-1))=4,DATE(VALUE(LEFT(AJ184,4)),VALUE(MID(AJ184,6,2)),VALUE(RIGHT(AJ184,2))),DATE(VALUE(RIGHT(AJ184,4)),VALUE(MID(AJ184,4,2)),VALUE(LEFT(AJ184,2)))),DATE(VALUE(RIGHT(AJ184,4)),MATCH(MID(AJ184,4,3),{"Jan","Feb","Mar","Apr","May","Jun","Jul","Aug","Sep","Oct","Nov","Dec"},0),VALUE(LEFT(AJ184,2))))))</f>
        <v>45581</v>
      </c>
      <c r="C184" s="3" t="n">
        <f aca="false">IF(AK184="","",IF(ISNUMBER(SEARCH("/",AK184)),DATE(VALUE(RIGHT(AK184,4)),VALUE(LEFT(AK184,2)),VALUE(MID(AK184,4,2))),IF(ISNUMBER(SEARCH("-",AK184)),IF(LEN(LEFT(AK184,FIND("-",AK184)-1))=4,DATE(VALUE(LEFT(AK184,4)),VALUE(MID(AK184,6,2)),VALUE(RIGHT(AK184,2))),DATE(VALUE(RIGHT(AK184,4)),VALUE(MID(AK184,4,2)),VALUE(LEFT(AK184,2)))),DATE(VALUE(RIGHT(AK184,4)),MATCH(MID(AK184,4,3),{"Jan","Feb","Mar","Apr","May","Jun","Jul","Aug","Sep","Oct","Nov","Dec"},0),VALUE(LEFT(AK184,2))))))</f>
        <v>45581</v>
      </c>
      <c r="D184" s="4" t="s">
        <v>853</v>
      </c>
      <c r="E184" s="0" t="str">
        <f aca="false">PROPER(TRIM(AL184))</f>
        <v>Ananya Rao</v>
      </c>
      <c r="F184" s="0" t="str">
        <f aca="false">PROPER(TRIM(AM184))</f>
        <v>Home Office</v>
      </c>
      <c r="G184" s="0" t="str">
        <f aca="false">IF(TRIM(AN184)="","Unknown",PROPER(TRIM(AN184)))</f>
        <v>East</v>
      </c>
      <c r="H184" s="0" t="str">
        <f aca="false">PROPER(TRIM(AO184))</f>
        <v>Bihar</v>
      </c>
      <c r="I184" s="0" t="str">
        <f aca="false">PROPER(TRIM(AP184))</f>
        <v>Patna</v>
      </c>
      <c r="J184" s="0" t="str">
        <f aca="false">PROPER(TRIM(AQ184))</f>
        <v>Technology</v>
      </c>
      <c r="K184" s="0" t="str">
        <f aca="false">PROPER(TRIM(AR184))</f>
        <v>Machines</v>
      </c>
      <c r="M184" s="0" t="str">
        <f aca="false">IF(TRIM(AS184)="","Unknown",PROPER(TRIM(AS184)))</f>
        <v>Standard Class</v>
      </c>
      <c r="N184" s="0" t="n">
        <v>7</v>
      </c>
      <c r="O184" s="0" t="n">
        <v>775.77</v>
      </c>
      <c r="P184" s="5" t="n">
        <f aca="false">IF(AT184="","",IF(ISNUMBER(AT184),AT184,VALUE(SUBSTITUTE(AT184,"%",""))/100))</f>
        <v>0</v>
      </c>
      <c r="Q184" s="5" t="n">
        <f aca="false">IF(P184="",IF(AND(N184&lt;&gt;"",O184&lt;&gt;"",R184&lt;&gt;"",S184&lt;&gt;""),0,"REVIEW"),IF(OR(P184&lt;0,P184&gt;0.3),0,P184))</f>
        <v>0</v>
      </c>
      <c r="R184" s="0" t="n">
        <v>5430.39</v>
      </c>
      <c r="S184" s="0" t="n">
        <v>3707.66</v>
      </c>
      <c r="T184" s="6" t="n">
        <f aca="false">N184*O184*(1-Q184)</f>
        <v>5430.39</v>
      </c>
      <c r="U184" s="6" t="n">
        <f aca="false">T184-S184</f>
        <v>1722.73</v>
      </c>
      <c r="V184" s="7" t="n">
        <f aca="false">IF(T184=0,0,U184/T184)</f>
        <v>0.317238725027116</v>
      </c>
      <c r="W184" s="4" t="n">
        <f aca="false">C184-B184</f>
        <v>0</v>
      </c>
      <c r="X184" s="0" t="str">
        <f aca="false">TEXT(B184,"mmmm")</f>
        <v>October</v>
      </c>
      <c r="Y184" s="4" t="n">
        <f aca="false">YEAR(B184)</f>
        <v>2024</v>
      </c>
      <c r="Z184" s="0" t="str">
        <f aca="false">PROPER(TRIM(AU184))</f>
        <v>Paid</v>
      </c>
      <c r="AA184" s="0" t="str">
        <f aca="false">PROPER(TRIM(AV184))</f>
        <v>Completed</v>
      </c>
      <c r="AB184" s="0" t="str">
        <f aca="false">IF(TRIM(AN184)="","Yes","No")</f>
        <v>No</v>
      </c>
      <c r="AC184" s="0" t="str">
        <f aca="false">IF(TRIM(AS184)="","Yes","No")</f>
        <v>No</v>
      </c>
      <c r="AD184" s="0" t="str">
        <f aca="false">IF(AT184="","Yes","No")</f>
        <v>No</v>
      </c>
      <c r="AE184" s="0" t="str">
        <f aca="false">IF(W184&lt;0,"Yes","No")</f>
        <v>No</v>
      </c>
      <c r="AF184" s="0" t="str">
        <f aca="false">IF(P184="","No",IF(OR(P184&lt;0,P184&gt;0.3),"Yes","No"))</f>
        <v>No</v>
      </c>
      <c r="AG184" s="4" t="s">
        <v>50</v>
      </c>
      <c r="AH184" s="0" t="str">
        <f aca="false">IF(AND(AA184="Completed",Z184="Paid"),"Yes","No")</f>
        <v>Yes</v>
      </c>
      <c r="AI184" s="0" t="str">
        <f aca="false">IF(OR(AE184="Yes",AF184="Yes",AG184="Yes"),"Invalid",IF(OR(AB184="Yes",AC184="Yes",AD184="Yes"),"Warning","Clean"))</f>
        <v>Clean</v>
      </c>
      <c r="AJ184" s="4" t="s">
        <v>291</v>
      </c>
      <c r="AK184" s="4" t="s">
        <v>291</v>
      </c>
      <c r="AL184" s="4" t="s">
        <v>96</v>
      </c>
      <c r="AM184" s="4" t="s">
        <v>134</v>
      </c>
      <c r="AN184" s="4" t="s">
        <v>69</v>
      </c>
      <c r="AO184" s="4" t="s">
        <v>196</v>
      </c>
      <c r="AP184" s="4" t="s">
        <v>197</v>
      </c>
      <c r="AQ184" s="4" t="s">
        <v>109</v>
      </c>
      <c r="AR184" s="4" t="s">
        <v>360</v>
      </c>
      <c r="AS184" s="4" t="s">
        <v>91</v>
      </c>
      <c r="AT184" s="0" t="n">
        <v>0</v>
      </c>
      <c r="AU184" s="4" t="s">
        <v>61</v>
      </c>
      <c r="AV184" s="4" t="s">
        <v>62</v>
      </c>
    </row>
    <row r="185" customFormat="false" ht="15" hidden="false" customHeight="false" outlineLevel="0" collapsed="false">
      <c r="A185" s="0" t="s">
        <v>854</v>
      </c>
      <c r="B185" s="3" t="n">
        <f aca="false">IF(AJ185="","",IF(ISNUMBER(SEARCH("/",AJ185)),DATE(VALUE(RIGHT(AJ185,4)),VALUE(LEFT(AJ185,2)),VALUE(MID(AJ185,4,2))),IF(ISNUMBER(SEARCH("-",AJ185)),IF(LEN(LEFT(AJ185,FIND("-",AJ185)-1))=4,DATE(VALUE(LEFT(AJ185,4)),VALUE(MID(AJ185,6,2)),VALUE(RIGHT(AJ185,2))),DATE(VALUE(RIGHT(AJ185,4)),VALUE(MID(AJ185,4,2)),VALUE(LEFT(AJ185,2)))),DATE(VALUE(RIGHT(AJ185,4)),MATCH(MID(AJ185,4,3),{"Jan","Feb","Mar","Apr","May","Jun","Jul","Aug","Sep","Oct","Nov","Dec"},0),VALUE(LEFT(AJ185,2))))))</f>
        <v>45832</v>
      </c>
      <c r="C185" s="3" t="n">
        <f aca="false">IF(AK185="","",IF(ISNUMBER(SEARCH("/",AK185)),DATE(VALUE(RIGHT(AK185,4)),VALUE(LEFT(AK185,2)),VALUE(MID(AK185,4,2))),IF(ISNUMBER(SEARCH("-",AK185)),IF(LEN(LEFT(AK185,FIND("-",AK185)-1))=4,DATE(VALUE(LEFT(AK185,4)),VALUE(MID(AK185,6,2)),VALUE(RIGHT(AK185,2))),DATE(VALUE(RIGHT(AK185,4)),VALUE(MID(AK185,4,2)),VALUE(LEFT(AK185,2)))),DATE(VALUE(RIGHT(AK185,4)),MATCH(MID(AK185,4,3),{"Jan","Feb","Mar","Apr","May","Jun","Jul","Aug","Sep","Oct","Nov","Dec"},0),VALUE(LEFT(AK185,2))))))</f>
        <v>45835</v>
      </c>
      <c r="D185" s="4" t="s">
        <v>855</v>
      </c>
      <c r="E185" s="0" t="str">
        <f aca="false">PROPER(TRIM(AL185))</f>
        <v>Vikram Iyer</v>
      </c>
      <c r="F185" s="0" t="str">
        <f aca="false">PROPER(TRIM(AM185))</f>
        <v>Home Office</v>
      </c>
      <c r="G185" s="0" t="str">
        <f aca="false">IF(TRIM(AN185)="","Unknown",PROPER(TRIM(AN185)))</f>
        <v>South</v>
      </c>
      <c r="H185" s="0" t="str">
        <f aca="false">PROPER(TRIM(AO185))</f>
        <v>Telangana</v>
      </c>
      <c r="I185" s="0" t="str">
        <f aca="false">PROPER(TRIM(AP185))</f>
        <v>Hyderabad</v>
      </c>
      <c r="J185" s="0" t="str">
        <f aca="false">PROPER(TRIM(AQ185))</f>
        <v>Technology</v>
      </c>
      <c r="K185" s="0" t="str">
        <f aca="false">PROPER(TRIM(AR185))</f>
        <v>Copiers</v>
      </c>
      <c r="M185" s="0" t="str">
        <f aca="false">IF(TRIM(AS185)="","Unknown",PROPER(TRIM(AS185)))</f>
        <v>Standard Class</v>
      </c>
      <c r="N185" s="0" t="n">
        <v>7</v>
      </c>
      <c r="O185" s="0" t="n">
        <v>2304.86</v>
      </c>
      <c r="P185" s="5" t="n">
        <f aca="false">IF(AT185="","",IF(ISNUMBER(AT185),AT185,VALUE(SUBSTITUTE(AT185,"%",""))/100))</f>
        <v>0.2</v>
      </c>
      <c r="Q185" s="5" t="n">
        <f aca="false">IF(P185="",IF(AND(N185&lt;&gt;"",O185&lt;&gt;"",R185&lt;&gt;"",S185&lt;&gt;""),0,"REVIEW"),IF(OR(P185&lt;0,P185&gt;0.3),0,P185))</f>
        <v>0.2</v>
      </c>
      <c r="R185" s="0" t="n">
        <v>12907.22</v>
      </c>
      <c r="S185" s="0" t="n">
        <v>8327.89</v>
      </c>
      <c r="T185" s="6" t="n">
        <f aca="false">N185*O185*(1-Q185)</f>
        <v>12907.216</v>
      </c>
      <c r="U185" s="6" t="n">
        <f aca="false">T185-S185</f>
        <v>4579.326</v>
      </c>
      <c r="V185" s="7" t="n">
        <f aca="false">IF(T185=0,0,U185/T185)</f>
        <v>0.354788050343312</v>
      </c>
      <c r="W185" s="4" t="n">
        <f aca="false">C185-B185</f>
        <v>3</v>
      </c>
      <c r="X185" s="0" t="str">
        <f aca="false">TEXT(B185,"mmmm")</f>
        <v>June</v>
      </c>
      <c r="Y185" s="4" t="n">
        <f aca="false">YEAR(B185)</f>
        <v>2025</v>
      </c>
      <c r="Z185" s="0" t="str">
        <f aca="false">PROPER(TRIM(AU185))</f>
        <v>Paid</v>
      </c>
      <c r="AA185" s="0" t="str">
        <f aca="false">PROPER(TRIM(AV185))</f>
        <v>Returned</v>
      </c>
      <c r="AB185" s="0" t="str">
        <f aca="false">IF(TRIM(AN185)="","Yes","No")</f>
        <v>No</v>
      </c>
      <c r="AC185" s="0" t="str">
        <f aca="false">IF(TRIM(AS185)="","Yes","No")</f>
        <v>No</v>
      </c>
      <c r="AD185" s="0" t="str">
        <f aca="false">IF(AT185="","Yes","No")</f>
        <v>No</v>
      </c>
      <c r="AE185" s="0" t="str">
        <f aca="false">IF(W185&lt;0,"Yes","No")</f>
        <v>No</v>
      </c>
      <c r="AF185" s="0" t="str">
        <f aca="false">IF(P185="","No",IF(OR(P185&lt;0,P185&gt;0.3),"Yes","No"))</f>
        <v>No</v>
      </c>
      <c r="AG185" s="4" t="s">
        <v>50</v>
      </c>
      <c r="AH185" s="0" t="str">
        <f aca="false">IF(AND(AA185="Completed",Z185="Paid"),"Yes","No")</f>
        <v>No</v>
      </c>
      <c r="AI185" s="0" t="str">
        <f aca="false">IF(OR(AE185="Yes",AF185="Yes",AG185="Yes"),"Invalid",IF(OR(AB185="Yes",AC185="Yes",AD185="Yes"),"Warning","Clean"))</f>
        <v>Clean</v>
      </c>
      <c r="AJ185" s="4" t="s">
        <v>856</v>
      </c>
      <c r="AK185" s="4" t="s">
        <v>857</v>
      </c>
      <c r="AL185" s="4" t="s">
        <v>106</v>
      </c>
      <c r="AM185" s="4" t="s">
        <v>134</v>
      </c>
      <c r="AN185" s="4" t="s">
        <v>87</v>
      </c>
      <c r="AO185" s="4" t="s">
        <v>88</v>
      </c>
      <c r="AP185" s="4" t="s">
        <v>89</v>
      </c>
      <c r="AQ185" s="4" t="s">
        <v>109</v>
      </c>
      <c r="AR185" s="4" t="s">
        <v>116</v>
      </c>
      <c r="AS185" s="4" t="s">
        <v>91</v>
      </c>
      <c r="AT185" s="0" t="n">
        <v>0.2</v>
      </c>
      <c r="AU185" s="4" t="s">
        <v>61</v>
      </c>
      <c r="AV185" s="4" t="s">
        <v>142</v>
      </c>
    </row>
    <row r="186" customFormat="false" ht="15" hidden="false" customHeight="false" outlineLevel="0" collapsed="false">
      <c r="A186" s="0" t="s">
        <v>858</v>
      </c>
      <c r="B186" s="3" t="n">
        <f aca="false">IF(AJ186="","",IF(ISNUMBER(SEARCH("/",AJ186)),DATE(VALUE(RIGHT(AJ186,4)),VALUE(LEFT(AJ186,2)),VALUE(MID(AJ186,4,2))),IF(ISNUMBER(SEARCH("-",AJ186)),IF(LEN(LEFT(AJ186,FIND("-",AJ186)-1))=4,DATE(VALUE(LEFT(AJ186,4)),VALUE(MID(AJ186,6,2)),VALUE(RIGHT(AJ186,2))),DATE(VALUE(RIGHT(AJ186,4)),VALUE(MID(AJ186,4,2)),VALUE(LEFT(AJ186,2)))),DATE(VALUE(RIGHT(AJ186,4)),MATCH(MID(AJ186,4,3),{"Jan","Feb","Mar","Apr","May","Jun","Jul","Aug","Sep","Oct","Nov","Dec"},0),VALUE(LEFT(AJ186,2))))))</f>
        <v>45384</v>
      </c>
      <c r="C186" s="3" t="n">
        <f aca="false">IF(AK186="","",IF(ISNUMBER(SEARCH("/",AK186)),DATE(VALUE(RIGHT(AK186,4)),VALUE(LEFT(AK186,2)),VALUE(MID(AK186,4,2))),IF(ISNUMBER(SEARCH("-",AK186)),IF(LEN(LEFT(AK186,FIND("-",AK186)-1))=4,DATE(VALUE(LEFT(AK186,4)),VALUE(MID(AK186,6,2)),VALUE(RIGHT(AK186,2))),DATE(VALUE(RIGHT(AK186,4)),VALUE(MID(AK186,4,2)),VALUE(LEFT(AK186,2)))),DATE(VALUE(RIGHT(AK186,4)),MATCH(MID(AK186,4,3),{"Jan","Feb","Mar","Apr","May","Jun","Jul","Aug","Sep","Oct","Nov","Dec"},0),VALUE(LEFT(AK186,2))))))</f>
        <v>45388</v>
      </c>
      <c r="D186" s="4" t="s">
        <v>859</v>
      </c>
      <c r="E186" s="0" t="str">
        <f aca="false">PROPER(TRIM(AL186))</f>
        <v>Vikram Iyer</v>
      </c>
      <c r="F186" s="0" t="str">
        <f aca="false">PROPER(TRIM(AM186))</f>
        <v>Corporate</v>
      </c>
      <c r="G186" s="0" t="str">
        <f aca="false">IF(TRIM(AN186)="","Unknown",PROPER(TRIM(AN186)))</f>
        <v>West</v>
      </c>
      <c r="H186" s="0" t="str">
        <f aca="false">PROPER(TRIM(AO186))</f>
        <v>Madhya Pradesh</v>
      </c>
      <c r="I186" s="0" t="str">
        <f aca="false">PROPER(TRIM(AP186))</f>
        <v>Indore</v>
      </c>
      <c r="J186" s="0" t="str">
        <f aca="false">PROPER(TRIM(AQ186))</f>
        <v>Furniture</v>
      </c>
      <c r="K186" s="0" t="str">
        <f aca="false">PROPER(TRIM(AR186))</f>
        <v>Bookcases</v>
      </c>
      <c r="M186" s="0" t="str">
        <f aca="false">IF(TRIM(AS186)="","Unknown",PROPER(TRIM(AS186)))</f>
        <v>Standard Class</v>
      </c>
      <c r="N186" s="0" t="n">
        <v>2</v>
      </c>
      <c r="O186" s="0" t="n">
        <v>888.98</v>
      </c>
      <c r="P186" s="5" t="n">
        <f aca="false">IF(AT186="","",IF(ISNUMBER(AT186),AT186,VALUE(SUBSTITUTE(AT186,"%",""))/100))</f>
        <v>0</v>
      </c>
      <c r="Q186" s="5" t="n">
        <f aca="false">IF(P186="",IF(AND(N186&lt;&gt;"",O186&lt;&gt;"",R186&lt;&gt;"",S186&lt;&gt;""),0,"REVIEW"),IF(OR(P186&lt;0,P186&gt;0.3),0,P186))</f>
        <v>0</v>
      </c>
      <c r="R186" s="0" t="n">
        <v>1777.96</v>
      </c>
      <c r="S186" s="0" t="n">
        <v>1021.16</v>
      </c>
      <c r="T186" s="6" t="n">
        <f aca="false">N186*O186*(1-Q186)</f>
        <v>1777.96</v>
      </c>
      <c r="U186" s="6" t="n">
        <f aca="false">T186-S186</f>
        <v>756.8</v>
      </c>
      <c r="V186" s="7" t="n">
        <f aca="false">IF(T186=0,0,U186/T186)</f>
        <v>0.425656370222052</v>
      </c>
      <c r="W186" s="4" t="n">
        <f aca="false">C186-B186</f>
        <v>4</v>
      </c>
      <c r="X186" s="0" t="str">
        <f aca="false">TEXT(B186,"mmmm")</f>
        <v>April</v>
      </c>
      <c r="Y186" s="4" t="n">
        <f aca="false">YEAR(B186)</f>
        <v>2024</v>
      </c>
      <c r="Z186" s="0" t="str">
        <f aca="false">PROPER(TRIM(AU186))</f>
        <v>Refunded</v>
      </c>
      <c r="AA186" s="0" t="str">
        <f aca="false">PROPER(TRIM(AV186))</f>
        <v>Returned</v>
      </c>
      <c r="AB186" s="0" t="str">
        <f aca="false">IF(TRIM(AN186)="","Yes","No")</f>
        <v>No</v>
      </c>
      <c r="AC186" s="0" t="str">
        <f aca="false">IF(TRIM(AS186)="","Yes","No")</f>
        <v>No</v>
      </c>
      <c r="AD186" s="0" t="str">
        <f aca="false">IF(AT186="","Yes","No")</f>
        <v>No</v>
      </c>
      <c r="AE186" s="0" t="str">
        <f aca="false">IF(W186&lt;0,"Yes","No")</f>
        <v>No</v>
      </c>
      <c r="AF186" s="0" t="str">
        <f aca="false">IF(P186="","No",IF(OR(P186&lt;0,P186&gt;0.3),"Yes","No"))</f>
        <v>No</v>
      </c>
      <c r="AG186" s="4" t="s">
        <v>50</v>
      </c>
      <c r="AH186" s="0" t="str">
        <f aca="false">IF(AND(AA186="Completed",Z186="Paid"),"Yes","No")</f>
        <v>No</v>
      </c>
      <c r="AI186" s="0" t="str">
        <f aca="false">IF(OR(AE186="Yes",AF186="Yes",AG186="Yes"),"Invalid",IF(OR(AB186="Yes",AC186="Yes",AD186="Yes"),"Warning","Clean"))</f>
        <v>Clean</v>
      </c>
      <c r="AJ186" s="4" t="s">
        <v>860</v>
      </c>
      <c r="AK186" s="4" t="s">
        <v>332</v>
      </c>
      <c r="AL186" s="4" t="s">
        <v>106</v>
      </c>
      <c r="AM186" s="4" t="s">
        <v>128</v>
      </c>
      <c r="AN186" s="4" t="s">
        <v>97</v>
      </c>
      <c r="AO186" s="4" t="s">
        <v>107</v>
      </c>
      <c r="AP186" s="4" t="s">
        <v>108</v>
      </c>
      <c r="AQ186" s="4" t="s">
        <v>72</v>
      </c>
      <c r="AR186" s="4" t="s">
        <v>211</v>
      </c>
      <c r="AS186" s="4" t="s">
        <v>91</v>
      </c>
      <c r="AT186" s="0" t="n">
        <v>0</v>
      </c>
      <c r="AU186" s="4" t="s">
        <v>141</v>
      </c>
      <c r="AV186" s="4" t="s">
        <v>142</v>
      </c>
    </row>
    <row r="187" customFormat="false" ht="15" hidden="false" customHeight="false" outlineLevel="0" collapsed="false">
      <c r="A187" s="0" t="s">
        <v>861</v>
      </c>
      <c r="B187" s="3" t="n">
        <f aca="false">IF(AJ187="","",IF(ISNUMBER(SEARCH("/",AJ187)),DATE(VALUE(RIGHT(AJ187,4)),VALUE(LEFT(AJ187,2)),VALUE(MID(AJ187,4,2))),IF(ISNUMBER(SEARCH("-",AJ187)),IF(LEN(LEFT(AJ187,FIND("-",AJ187)-1))=4,DATE(VALUE(LEFT(AJ187,4)),VALUE(MID(AJ187,6,2)),VALUE(RIGHT(AJ187,2))),DATE(VALUE(RIGHT(AJ187,4)),VALUE(MID(AJ187,4,2)),VALUE(LEFT(AJ187,2)))),DATE(VALUE(RIGHT(AJ187,4)),MATCH(MID(AJ187,4,3),{"Jan","Feb","Mar","Apr","May","Jun","Jul","Aug","Sep","Oct","Nov","Dec"},0),VALUE(LEFT(AJ187,2))))))</f>
        <v>45601</v>
      </c>
      <c r="C187" s="3" t="n">
        <f aca="false">IF(AK187="","",IF(ISNUMBER(SEARCH("/",AK187)),DATE(VALUE(RIGHT(AK187,4)),VALUE(LEFT(AK187,2)),VALUE(MID(AK187,4,2))),IF(ISNUMBER(SEARCH("-",AK187)),IF(LEN(LEFT(AK187,FIND("-",AK187)-1))=4,DATE(VALUE(LEFT(AK187,4)),VALUE(MID(AK187,6,2)),VALUE(RIGHT(AK187,2))),DATE(VALUE(RIGHT(AK187,4)),VALUE(MID(AK187,4,2)),VALUE(LEFT(AK187,2)))),DATE(VALUE(RIGHT(AK187,4)),MATCH(MID(AK187,4,3),{"Jan","Feb","Mar","Apr","May","Jun","Jul","Aug","Sep","Oct","Nov","Dec"},0),VALUE(LEFT(AK187,2))))))</f>
        <v>45609</v>
      </c>
      <c r="D187" s="4" t="s">
        <v>862</v>
      </c>
      <c r="E187" s="0" t="str">
        <f aca="false">PROPER(TRIM(AL187))</f>
        <v>Arjun Bose</v>
      </c>
      <c r="F187" s="0" t="str">
        <f aca="false">PROPER(TRIM(AM187))</f>
        <v>Consumer</v>
      </c>
      <c r="G187" s="0" t="str">
        <f aca="false">IF(TRIM(AN187)="","Unknown",PROPER(TRIM(AN187)))</f>
        <v>Unknown</v>
      </c>
      <c r="H187" s="0" t="str">
        <f aca="false">PROPER(TRIM(AO187))</f>
        <v>Punjab</v>
      </c>
      <c r="I187" s="0" t="str">
        <f aca="false">PROPER(TRIM(AP187))</f>
        <v>Ludhiana</v>
      </c>
      <c r="J187" s="0" t="str">
        <f aca="false">PROPER(TRIM(AQ187))</f>
        <v>Office Supplies</v>
      </c>
      <c r="K187" s="0" t="str">
        <f aca="false">PROPER(TRIM(AR187))</f>
        <v>Labels</v>
      </c>
      <c r="M187" s="0" t="str">
        <f aca="false">IF(TRIM(AS187)="","Unknown",PROPER(TRIM(AS187)))</f>
        <v>Second Class</v>
      </c>
      <c r="N187" s="0" t="n">
        <v>2</v>
      </c>
      <c r="O187" s="0" t="n">
        <v>1003.17</v>
      </c>
      <c r="P187" s="5" t="n">
        <f aca="false">IF(AT187="","",IF(ISNUMBER(AT187),AT187,VALUE(SUBSTITUTE(AT187,"%",""))/100))</f>
        <v>0.2</v>
      </c>
      <c r="Q187" s="5" t="n">
        <f aca="false">IF(P187="",IF(AND(N187&lt;&gt;"",O187&lt;&gt;"",R187&lt;&gt;"",S187&lt;&gt;""),0,"REVIEW"),IF(OR(P187&lt;0,P187&gt;0.3),0,P187))</f>
        <v>0.2</v>
      </c>
      <c r="R187" s="0" t="n">
        <v>1605.07</v>
      </c>
      <c r="S187" s="0" t="n">
        <v>1337.28</v>
      </c>
      <c r="T187" s="6" t="n">
        <f aca="false">N187*O187*(1-Q187)</f>
        <v>1605.072</v>
      </c>
      <c r="U187" s="6" t="n">
        <f aca="false">T187-S187</f>
        <v>267.792</v>
      </c>
      <c r="V187" s="7" t="n">
        <f aca="false">IF(T187=0,0,U187/T187)</f>
        <v>0.166841113669667</v>
      </c>
      <c r="W187" s="4" t="n">
        <f aca="false">C187-B187</f>
        <v>8</v>
      </c>
      <c r="X187" s="0" t="str">
        <f aca="false">TEXT(B187,"mmmm")</f>
        <v>November</v>
      </c>
      <c r="Y187" s="4" t="n">
        <f aca="false">YEAR(B187)</f>
        <v>2024</v>
      </c>
      <c r="Z187" s="0" t="str">
        <f aca="false">PROPER(TRIM(AU187))</f>
        <v>Paid</v>
      </c>
      <c r="AA187" s="0" t="str">
        <f aca="false">PROPER(TRIM(AV187))</f>
        <v>Completed</v>
      </c>
      <c r="AB187" s="0" t="str">
        <f aca="false">IF(TRIM(AN187)="","Yes","No")</f>
        <v>Yes</v>
      </c>
      <c r="AC187" s="0" t="str">
        <f aca="false">IF(TRIM(AS187)="","Yes","No")</f>
        <v>No</v>
      </c>
      <c r="AD187" s="0" t="str">
        <f aca="false">IF(AT187="","Yes","No")</f>
        <v>No</v>
      </c>
      <c r="AE187" s="0" t="str">
        <f aca="false">IF(W187&lt;0,"Yes","No")</f>
        <v>No</v>
      </c>
      <c r="AF187" s="0" t="str">
        <f aca="false">IF(P187="","No",IF(OR(P187&lt;0,P187&gt;0.3),"Yes","No"))</f>
        <v>No</v>
      </c>
      <c r="AG187" s="4" t="s">
        <v>50</v>
      </c>
      <c r="AH187" s="0" t="str">
        <f aca="false">IF(AND(AA187="Completed",Z187="Paid"),"Yes","No")</f>
        <v>Yes</v>
      </c>
      <c r="AI187" s="0" t="str">
        <f aca="false">IF(OR(AE187="Yes",AF187="Yes",AG187="Yes"),"Invalid",IF(OR(AB187="Yes",AC187="Yes",AD187="Yes"),"Warning","Clean"))</f>
        <v>Warning</v>
      </c>
      <c r="AJ187" s="4" t="s">
        <v>125</v>
      </c>
      <c r="AK187" s="4" t="s">
        <v>863</v>
      </c>
      <c r="AL187" s="4" t="s">
        <v>86</v>
      </c>
      <c r="AM187" s="4" t="s">
        <v>54</v>
      </c>
      <c r="AO187" s="4" t="s">
        <v>169</v>
      </c>
      <c r="AP187" s="4" t="s">
        <v>170</v>
      </c>
      <c r="AQ187" s="4" t="s">
        <v>58</v>
      </c>
      <c r="AR187" s="4" t="s">
        <v>129</v>
      </c>
      <c r="AS187" s="4" t="s">
        <v>60</v>
      </c>
      <c r="AT187" s="0" t="n">
        <v>0.2</v>
      </c>
      <c r="AU187" s="4" t="s">
        <v>61</v>
      </c>
      <c r="AV187" s="4" t="s">
        <v>62</v>
      </c>
    </row>
    <row r="188" customFormat="false" ht="15" hidden="false" customHeight="false" outlineLevel="0" collapsed="false">
      <c r="A188" s="0" t="s">
        <v>864</v>
      </c>
      <c r="B188" s="3" t="n">
        <f aca="false">IF(AJ188="","",IF(ISNUMBER(SEARCH("/",AJ188)),DATE(VALUE(RIGHT(AJ188,4)),VALUE(LEFT(AJ188,2)),VALUE(MID(AJ188,4,2))),IF(ISNUMBER(SEARCH("-",AJ188)),IF(LEN(LEFT(AJ188,FIND("-",AJ188)-1))=4,DATE(VALUE(LEFT(AJ188,4)),VALUE(MID(AJ188,6,2)),VALUE(RIGHT(AJ188,2))),DATE(VALUE(RIGHT(AJ188,4)),VALUE(MID(AJ188,4,2)),VALUE(LEFT(AJ188,2)))),DATE(VALUE(RIGHT(AJ188,4)),MATCH(MID(AJ188,4,3),{"Jan","Feb","Mar","Apr","May","Jun","Jul","Aug","Sep","Oct","Nov","Dec"},0),VALUE(LEFT(AJ188,2))))))</f>
        <v>45492</v>
      </c>
      <c r="C188" s="3" t="n">
        <f aca="false">IF(AK188="","",IF(ISNUMBER(SEARCH("/",AK188)),DATE(VALUE(RIGHT(AK188,4)),VALUE(LEFT(AK188,2)),VALUE(MID(AK188,4,2))),IF(ISNUMBER(SEARCH("-",AK188)),IF(LEN(LEFT(AK188,FIND("-",AK188)-1))=4,DATE(VALUE(LEFT(AK188,4)),VALUE(MID(AK188,6,2)),VALUE(RIGHT(AK188,2))),DATE(VALUE(RIGHT(AK188,4)),VALUE(MID(AK188,4,2)),VALUE(LEFT(AK188,2)))),DATE(VALUE(RIGHT(AK188,4)),MATCH(MID(AK188,4,3),{"Jan","Feb","Mar","Apr","May","Jun","Jul","Aug","Sep","Oct","Nov","Dec"},0),VALUE(LEFT(AK188,2))))))</f>
        <v>45493</v>
      </c>
      <c r="D188" s="4" t="s">
        <v>344</v>
      </c>
      <c r="E188" s="0" t="str">
        <f aca="false">PROPER(TRIM(AL188))</f>
        <v>Vikram Iyer</v>
      </c>
      <c r="F188" s="0" t="str">
        <f aca="false">PROPER(TRIM(AM188))</f>
        <v>Consumer</v>
      </c>
      <c r="G188" s="0" t="str">
        <f aca="false">IF(TRIM(AN188)="","Unknown",PROPER(TRIM(AN188)))</f>
        <v>South</v>
      </c>
      <c r="H188" s="0" t="str">
        <f aca="false">PROPER(TRIM(AO188))</f>
        <v>Tamil Nadu</v>
      </c>
      <c r="I188" s="0" t="str">
        <f aca="false">PROPER(TRIM(AP188))</f>
        <v>Chennai</v>
      </c>
      <c r="J188" s="0" t="str">
        <f aca="false">PROPER(TRIM(AQ188))</f>
        <v>Furniture</v>
      </c>
      <c r="K188" s="0" t="str">
        <f aca="false">PROPER(TRIM(AR188))</f>
        <v>Tables</v>
      </c>
      <c r="M188" s="0" t="str">
        <f aca="false">IF(TRIM(AS188)="","Unknown",PROPER(TRIM(AS188)))</f>
        <v>First Class</v>
      </c>
      <c r="N188" s="0" t="n">
        <v>7</v>
      </c>
      <c r="O188" s="0" t="n">
        <v>3608.43</v>
      </c>
      <c r="P188" s="5" t="n">
        <f aca="false">IF(AT188="","",IF(ISNUMBER(AT188),AT188,VALUE(SUBSTITUTE(AT188,"%",""))/100))</f>
        <v>0.05</v>
      </c>
      <c r="Q188" s="5" t="n">
        <f aca="false">IF(P188="",IF(AND(N188&lt;&gt;"",O188&lt;&gt;"",R188&lt;&gt;"",S188&lt;&gt;""),0,"REVIEW"),IF(OR(P188&lt;0,P188&gt;0.3),0,P188))</f>
        <v>0.05</v>
      </c>
      <c r="R188" s="0" t="n">
        <v>23996.06</v>
      </c>
      <c r="S188" s="0" t="n">
        <v>20167.28</v>
      </c>
      <c r="T188" s="6" t="n">
        <f aca="false">N188*O188*(1-Q188)</f>
        <v>23996.0595</v>
      </c>
      <c r="U188" s="6" t="n">
        <f aca="false">T188-S188</f>
        <v>3828.7795</v>
      </c>
      <c r="V188" s="7" t="n">
        <f aca="false">IF(T188=0,0,U188/T188)</f>
        <v>0.159558676706898</v>
      </c>
      <c r="W188" s="4" t="n">
        <f aca="false">C188-B188</f>
        <v>1</v>
      </c>
      <c r="X188" s="0" t="str">
        <f aca="false">TEXT(B188,"mmmm")</f>
        <v>July</v>
      </c>
      <c r="Y188" s="4" t="n">
        <f aca="false">YEAR(B188)</f>
        <v>2024</v>
      </c>
      <c r="Z188" s="0" t="str">
        <f aca="false">PROPER(TRIM(AU188))</f>
        <v>Paid</v>
      </c>
      <c r="AA188" s="0" t="str">
        <f aca="false">PROPER(TRIM(AV188))</f>
        <v>Completed</v>
      </c>
      <c r="AB188" s="0" t="str">
        <f aca="false">IF(TRIM(AN188)="","Yes","No")</f>
        <v>No</v>
      </c>
      <c r="AC188" s="0" t="str">
        <f aca="false">IF(TRIM(AS188)="","Yes","No")</f>
        <v>No</v>
      </c>
      <c r="AD188" s="0" t="str">
        <f aca="false">IF(AT188="","Yes","No")</f>
        <v>No</v>
      </c>
      <c r="AE188" s="0" t="str">
        <f aca="false">IF(W188&lt;0,"Yes","No")</f>
        <v>No</v>
      </c>
      <c r="AF188" s="0" t="str">
        <f aca="false">IF(P188="","No",IF(OR(P188&lt;0,P188&gt;0.3),"Yes","No"))</f>
        <v>No</v>
      </c>
      <c r="AG188" s="4" t="s">
        <v>50</v>
      </c>
      <c r="AH188" s="0" t="str">
        <f aca="false">IF(AND(AA188="Completed",Z188="Paid"),"Yes","No")</f>
        <v>Yes</v>
      </c>
      <c r="AI188" s="0" t="str">
        <f aca="false">IF(OR(AE188="Yes",AF188="Yes",AG188="Yes"),"Invalid",IF(OR(AB188="Yes",AC188="Yes",AD188="Yes"),"Warning","Clean"))</f>
        <v>Clean</v>
      </c>
      <c r="AJ188" s="4" t="s">
        <v>318</v>
      </c>
      <c r="AK188" s="4" t="s">
        <v>865</v>
      </c>
      <c r="AL188" s="4" t="s">
        <v>106</v>
      </c>
      <c r="AM188" s="4" t="s">
        <v>54</v>
      </c>
      <c r="AN188" s="4" t="s">
        <v>87</v>
      </c>
      <c r="AO188" s="4" t="s">
        <v>323</v>
      </c>
      <c r="AP188" s="4" t="s">
        <v>324</v>
      </c>
      <c r="AQ188" s="4" t="s">
        <v>72</v>
      </c>
      <c r="AR188" s="4" t="s">
        <v>73</v>
      </c>
      <c r="AS188" s="4" t="s">
        <v>81</v>
      </c>
      <c r="AT188" s="0" t="n">
        <v>0.05</v>
      </c>
      <c r="AU188" s="4" t="s">
        <v>61</v>
      </c>
      <c r="AV188" s="4" t="s">
        <v>62</v>
      </c>
    </row>
    <row r="189" customFormat="false" ht="15" hidden="false" customHeight="false" outlineLevel="0" collapsed="false">
      <c r="A189" s="0" t="s">
        <v>866</v>
      </c>
      <c r="B189" s="3" t="n">
        <f aca="false">IF(AJ189="","",IF(ISNUMBER(SEARCH("/",AJ189)),DATE(VALUE(RIGHT(AJ189,4)),VALUE(LEFT(AJ189,2)),VALUE(MID(AJ189,4,2))),IF(ISNUMBER(SEARCH("-",AJ189)),IF(LEN(LEFT(AJ189,FIND("-",AJ189)-1))=4,DATE(VALUE(LEFT(AJ189,4)),VALUE(MID(AJ189,6,2)),VALUE(RIGHT(AJ189,2))),DATE(VALUE(RIGHT(AJ189,4)),VALUE(MID(AJ189,4,2)),VALUE(LEFT(AJ189,2)))),DATE(VALUE(RIGHT(AJ189,4)),MATCH(MID(AJ189,4,3),{"Jan","Feb","Mar","Apr","May","Jun","Jul","Aug","Sep","Oct","Nov","Dec"},0),VALUE(LEFT(AJ189,2))))))</f>
        <v>45778</v>
      </c>
      <c r="C189" s="3" t="n">
        <f aca="false">IF(AK189="","",IF(ISNUMBER(SEARCH("/",AK189)),DATE(VALUE(RIGHT(AK189,4)),VALUE(LEFT(AK189,2)),VALUE(MID(AK189,4,2))),IF(ISNUMBER(SEARCH("-",AK189)),IF(LEN(LEFT(AK189,FIND("-",AK189)-1))=4,DATE(VALUE(LEFT(AK189,4)),VALUE(MID(AK189,6,2)),VALUE(RIGHT(AK189,2))),DATE(VALUE(RIGHT(AK189,4)),VALUE(MID(AK189,4,2)),VALUE(LEFT(AK189,2)))),DATE(VALUE(RIGHT(AK189,4)),MATCH(MID(AK189,4,3),{"Jan","Feb","Mar","Apr","May","Jun","Jul","Aug","Sep","Oct","Nov","Dec"},0),VALUE(LEFT(AK189,2))))))</f>
        <v>45779</v>
      </c>
      <c r="D189" s="4" t="s">
        <v>867</v>
      </c>
      <c r="E189" s="0" t="str">
        <f aca="false">PROPER(TRIM(AL189))</f>
        <v>Mira Das</v>
      </c>
      <c r="F189" s="0" t="str">
        <f aca="false">PROPER(TRIM(AM189))</f>
        <v>Consumer</v>
      </c>
      <c r="G189" s="0" t="str">
        <f aca="false">IF(TRIM(AN189)="","Unknown",PROPER(TRIM(AN189)))</f>
        <v>West</v>
      </c>
      <c r="H189" s="0" t="str">
        <f aca="false">PROPER(TRIM(AO189))</f>
        <v>Madhya Pradesh</v>
      </c>
      <c r="I189" s="0" t="str">
        <f aca="false">PROPER(TRIM(AP189))</f>
        <v>Indore</v>
      </c>
      <c r="J189" s="0" t="str">
        <f aca="false">PROPER(TRIM(AQ189))</f>
        <v>Furniture</v>
      </c>
      <c r="K189" s="0" t="str">
        <f aca="false">PROPER(TRIM(AR189))</f>
        <v>Chairs</v>
      </c>
      <c r="M189" s="0" t="str">
        <f aca="false">IF(TRIM(AS189)="","Unknown",PROPER(TRIM(AS189)))</f>
        <v>Same Day</v>
      </c>
      <c r="N189" s="0" t="n">
        <v>3</v>
      </c>
      <c r="O189" s="0" t="n">
        <v>2905.74</v>
      </c>
      <c r="P189" s="5" t="n">
        <f aca="false">IF(AT189="","",IF(ISNUMBER(AT189),AT189,VALUE(SUBSTITUTE(AT189,"%",""))/100))</f>
        <v>0</v>
      </c>
      <c r="Q189" s="5" t="n">
        <f aca="false">IF(P189="",IF(AND(N189&lt;&gt;"",O189&lt;&gt;"",R189&lt;&gt;"",S189&lt;&gt;""),0,"REVIEW"),IF(OR(P189&lt;0,P189&gt;0.3),0,P189))</f>
        <v>0</v>
      </c>
      <c r="R189" s="0" t="n">
        <v>8717.22</v>
      </c>
      <c r="S189" s="0" t="n">
        <v>6215.96</v>
      </c>
      <c r="T189" s="6" t="n">
        <f aca="false">N189*O189*(1-Q189)</f>
        <v>8717.22</v>
      </c>
      <c r="U189" s="6" t="n">
        <f aca="false">T189-S189</f>
        <v>2501.26</v>
      </c>
      <c r="V189" s="7" t="n">
        <f aca="false">IF(T189=0,0,U189/T189)</f>
        <v>0.286933219535586</v>
      </c>
      <c r="W189" s="4" t="n">
        <f aca="false">C189-B189</f>
        <v>1</v>
      </c>
      <c r="X189" s="0" t="str">
        <f aca="false">TEXT(B189,"mmmm")</f>
        <v>May</v>
      </c>
      <c r="Y189" s="4" t="n">
        <f aca="false">YEAR(B189)</f>
        <v>2025</v>
      </c>
      <c r="Z189" s="0" t="str">
        <f aca="false">PROPER(TRIM(AU189))</f>
        <v>Paid</v>
      </c>
      <c r="AA189" s="0" t="str">
        <f aca="false">PROPER(TRIM(AV189))</f>
        <v>Returned</v>
      </c>
      <c r="AB189" s="0" t="str">
        <f aca="false">IF(TRIM(AN189)="","Yes","No")</f>
        <v>No</v>
      </c>
      <c r="AC189" s="0" t="str">
        <f aca="false">IF(TRIM(AS189)="","Yes","No")</f>
        <v>No</v>
      </c>
      <c r="AD189" s="0" t="str">
        <f aca="false">IF(AT189="","Yes","No")</f>
        <v>No</v>
      </c>
      <c r="AE189" s="0" t="str">
        <f aca="false">IF(W189&lt;0,"Yes","No")</f>
        <v>No</v>
      </c>
      <c r="AF189" s="0" t="str">
        <f aca="false">IF(P189="","No",IF(OR(P189&lt;0,P189&gt;0.3),"Yes","No"))</f>
        <v>No</v>
      </c>
      <c r="AG189" s="4" t="s">
        <v>50</v>
      </c>
      <c r="AH189" s="0" t="str">
        <f aca="false">IF(AND(AA189="Completed",Z189="Paid"),"Yes","No")</f>
        <v>No</v>
      </c>
      <c r="AI189" s="0" t="str">
        <f aca="false">IF(OR(AE189="Yes",AF189="Yes",AG189="Yes"),"Invalid",IF(OR(AB189="Yes",AC189="Yes",AD189="Yes"),"Warning","Clean"))</f>
        <v>Clean</v>
      </c>
      <c r="AJ189" s="4" t="s">
        <v>868</v>
      </c>
      <c r="AK189" s="4" t="s">
        <v>869</v>
      </c>
      <c r="AL189" s="4" t="s">
        <v>67</v>
      </c>
      <c r="AM189" s="4" t="s">
        <v>54</v>
      </c>
      <c r="AN189" s="4" t="s">
        <v>97</v>
      </c>
      <c r="AO189" s="4" t="s">
        <v>107</v>
      </c>
      <c r="AP189" s="4" t="s">
        <v>108</v>
      </c>
      <c r="AQ189" s="4" t="s">
        <v>72</v>
      </c>
      <c r="AR189" s="4" t="s">
        <v>100</v>
      </c>
      <c r="AS189" s="4" t="s">
        <v>74</v>
      </c>
      <c r="AT189" s="0" t="n">
        <v>0</v>
      </c>
      <c r="AU189" s="4" t="s">
        <v>61</v>
      </c>
      <c r="AV189" s="4" t="s">
        <v>142</v>
      </c>
    </row>
    <row r="190" customFormat="false" ht="15" hidden="false" customHeight="false" outlineLevel="0" collapsed="false">
      <c r="A190" s="0" t="s">
        <v>870</v>
      </c>
      <c r="B190" s="3" t="n">
        <f aca="false">IF(AJ190="","",IF(ISNUMBER(SEARCH("/",AJ190)),DATE(VALUE(RIGHT(AJ190,4)),VALUE(LEFT(AJ190,2)),VALUE(MID(AJ190,4,2))),IF(ISNUMBER(SEARCH("-",AJ190)),IF(LEN(LEFT(AJ190,FIND("-",AJ190)-1))=4,DATE(VALUE(LEFT(AJ190,4)),VALUE(MID(AJ190,6,2)),VALUE(RIGHT(AJ190,2))),DATE(VALUE(RIGHT(AJ190,4)),VALUE(MID(AJ190,4,2)),VALUE(LEFT(AJ190,2)))),DATE(VALUE(RIGHT(AJ190,4)),MATCH(MID(AJ190,4,3),{"Jan","Feb","Mar","Apr","May","Jun","Jul","Aug","Sep","Oct","Nov","Dec"},0),VALUE(LEFT(AJ190,2))))))</f>
        <v>45798</v>
      </c>
      <c r="C190" s="3" t="n">
        <f aca="false">IF(AK190="","",IF(ISNUMBER(SEARCH("/",AK190)),DATE(VALUE(RIGHT(AK190,4)),VALUE(LEFT(AK190,2)),VALUE(MID(AK190,4,2))),IF(ISNUMBER(SEARCH("-",AK190)),IF(LEN(LEFT(AK190,FIND("-",AK190)-1))=4,DATE(VALUE(LEFT(AK190,4)),VALUE(MID(AK190,6,2)),VALUE(RIGHT(AK190,2))),DATE(VALUE(RIGHT(AK190,4)),VALUE(MID(AK190,4,2)),VALUE(LEFT(AK190,2)))),DATE(VALUE(RIGHT(AK190,4)),MATCH(MID(AK190,4,3),{"Jan","Feb","Mar","Apr","May","Jun","Jul","Aug","Sep","Oct","Nov","Dec"},0),VALUE(LEFT(AK190,2))))))</f>
        <v>45805</v>
      </c>
      <c r="D190" s="4" t="s">
        <v>871</v>
      </c>
      <c r="E190" s="0" t="str">
        <f aca="false">PROPER(TRIM(AL190))</f>
        <v>Priya Menon</v>
      </c>
      <c r="F190" s="0" t="str">
        <f aca="false">PROPER(TRIM(AM190))</f>
        <v>Corporate</v>
      </c>
      <c r="G190" s="0" t="str">
        <f aca="false">IF(TRIM(AN190)="","Unknown",PROPER(TRIM(AN190)))</f>
        <v>East</v>
      </c>
      <c r="H190" s="0" t="str">
        <f aca="false">PROPER(TRIM(AO190))</f>
        <v>West Bengal</v>
      </c>
      <c r="I190" s="0" t="str">
        <f aca="false">PROPER(TRIM(AP190))</f>
        <v>Kolkata</v>
      </c>
      <c r="J190" s="0" t="str">
        <f aca="false">PROPER(TRIM(AQ190))</f>
        <v>Furniture</v>
      </c>
      <c r="K190" s="0" t="str">
        <f aca="false">PROPER(TRIM(AR190))</f>
        <v>Bookcases</v>
      </c>
      <c r="M190" s="0" t="str">
        <f aca="false">IF(TRIM(AS190)="","Unknown",PROPER(TRIM(AS190)))</f>
        <v>Same Day</v>
      </c>
      <c r="N190" s="0" t="n">
        <v>2</v>
      </c>
      <c r="O190" s="0" t="n">
        <v>3559.57</v>
      </c>
      <c r="P190" s="5" t="n">
        <f aca="false">IF(AT190="","",IF(ISNUMBER(AT190),AT190,VALUE(SUBSTITUTE(AT190,"%",""))/100))</f>
        <v>0.1</v>
      </c>
      <c r="Q190" s="5" t="n">
        <f aca="false">IF(P190="",IF(AND(N190&lt;&gt;"",O190&lt;&gt;"",R190&lt;&gt;"",S190&lt;&gt;""),0,"REVIEW"),IF(OR(P190&lt;0,P190&gt;0.3),0,P190))</f>
        <v>0.1</v>
      </c>
      <c r="R190" s="0" t="n">
        <v>6553.95</v>
      </c>
      <c r="S190" s="0" t="n">
        <v>4923.09</v>
      </c>
      <c r="T190" s="6" t="n">
        <f aca="false">N190*O190*(1-Q190)</f>
        <v>6407.226</v>
      </c>
      <c r="U190" s="6" t="n">
        <f aca="false">T190-S190</f>
        <v>1484.136</v>
      </c>
      <c r="V190" s="7" t="n">
        <f aca="false">IF(T190=0,0,U190/T190)</f>
        <v>0.231634719924036</v>
      </c>
      <c r="W190" s="4" t="n">
        <f aca="false">C190-B190</f>
        <v>7</v>
      </c>
      <c r="X190" s="0" t="str">
        <f aca="false">TEXT(B190,"mmmm")</f>
        <v>May</v>
      </c>
      <c r="Y190" s="4" t="n">
        <f aca="false">YEAR(B190)</f>
        <v>2025</v>
      </c>
      <c r="Z190" s="0" t="str">
        <f aca="false">PROPER(TRIM(AU190))</f>
        <v>Paid</v>
      </c>
      <c r="AA190" s="0" t="str">
        <f aca="false">PROPER(TRIM(AV190))</f>
        <v>Completed</v>
      </c>
      <c r="AB190" s="0" t="str">
        <f aca="false">IF(TRIM(AN190)="","Yes","No")</f>
        <v>No</v>
      </c>
      <c r="AC190" s="0" t="str">
        <f aca="false">IF(TRIM(AS190)="","Yes","No")</f>
        <v>No</v>
      </c>
      <c r="AD190" s="0" t="str">
        <f aca="false">IF(AT190="","Yes","No")</f>
        <v>No</v>
      </c>
      <c r="AE190" s="0" t="str">
        <f aca="false">IF(W190&lt;0,"Yes","No")</f>
        <v>No</v>
      </c>
      <c r="AF190" s="0" t="str">
        <f aca="false">IF(P190="","No",IF(OR(P190&lt;0,P190&gt;0.3),"Yes","No"))</f>
        <v>No</v>
      </c>
      <c r="AG190" s="4" t="s">
        <v>50</v>
      </c>
      <c r="AH190" s="0" t="str">
        <f aca="false">IF(AND(AA190="Completed",Z190="Paid"),"Yes","No")</f>
        <v>Yes</v>
      </c>
      <c r="AI190" s="0" t="str">
        <f aca="false">IF(OR(AE190="Yes",AF190="Yes",AG190="Yes"),"Invalid",IF(OR(AB190="Yes",AC190="Yes",AD190="Yes"),"Warning","Clean"))</f>
        <v>Clean</v>
      </c>
      <c r="AJ190" s="4" t="s">
        <v>872</v>
      </c>
      <c r="AK190" s="4" t="s">
        <v>873</v>
      </c>
      <c r="AL190" s="4" t="s">
        <v>158</v>
      </c>
      <c r="AM190" s="4" t="s">
        <v>128</v>
      </c>
      <c r="AN190" s="4" t="s">
        <v>69</v>
      </c>
      <c r="AO190" s="4" t="s">
        <v>139</v>
      </c>
      <c r="AP190" s="4" t="s">
        <v>140</v>
      </c>
      <c r="AQ190" s="4" t="s">
        <v>72</v>
      </c>
      <c r="AR190" s="4" t="s">
        <v>211</v>
      </c>
      <c r="AS190" s="4" t="s">
        <v>74</v>
      </c>
      <c r="AT190" s="0" t="n">
        <v>0.1</v>
      </c>
      <c r="AU190" s="4" t="s">
        <v>61</v>
      </c>
      <c r="AV190" s="4" t="s">
        <v>62</v>
      </c>
    </row>
    <row r="191" customFormat="false" ht="15" hidden="false" customHeight="false" outlineLevel="0" collapsed="false">
      <c r="A191" s="0" t="s">
        <v>874</v>
      </c>
      <c r="B191" s="3" t="n">
        <f aca="false">IF(AJ191="","",IF(ISNUMBER(SEARCH("/",AJ191)),DATE(VALUE(RIGHT(AJ191,4)),VALUE(LEFT(AJ191,2)),VALUE(MID(AJ191,4,2))),IF(ISNUMBER(SEARCH("-",AJ191)),IF(LEN(LEFT(AJ191,FIND("-",AJ191)-1))=4,DATE(VALUE(LEFT(AJ191,4)),VALUE(MID(AJ191,6,2)),VALUE(RIGHT(AJ191,2))),DATE(VALUE(RIGHT(AJ191,4)),VALUE(MID(AJ191,4,2)),VALUE(LEFT(AJ191,2)))),DATE(VALUE(RIGHT(AJ191,4)),MATCH(MID(AJ191,4,3),{"Jan","Feb","Mar","Apr","May","Jun","Jul","Aug","Sep","Oct","Nov","Dec"},0),VALUE(LEFT(AJ191,2))))))</f>
        <v>45783</v>
      </c>
      <c r="C191" s="3" t="n">
        <f aca="false">IF(AK191="","",IF(ISNUMBER(SEARCH("/",AK191)),DATE(VALUE(RIGHT(AK191,4)),VALUE(LEFT(AK191,2)),VALUE(MID(AK191,4,2))),IF(ISNUMBER(SEARCH("-",AK191)),IF(LEN(LEFT(AK191,FIND("-",AK191)-1))=4,DATE(VALUE(LEFT(AK191,4)),VALUE(MID(AK191,6,2)),VALUE(RIGHT(AK191,2))),DATE(VALUE(RIGHT(AK191,4)),VALUE(MID(AK191,4,2)),VALUE(LEFT(AK191,2)))),DATE(VALUE(RIGHT(AK191,4)),MATCH(MID(AK191,4,3),{"Jan","Feb","Mar","Apr","May","Jun","Jul","Aug","Sep","Oct","Nov","Dec"},0),VALUE(LEFT(AK191,2))))))</f>
        <v>45784</v>
      </c>
      <c r="D191" s="4" t="s">
        <v>875</v>
      </c>
      <c r="E191" s="0" t="str">
        <f aca="false">PROPER(TRIM(AL191))</f>
        <v>Arjun Bose</v>
      </c>
      <c r="F191" s="0" t="str">
        <f aca="false">PROPER(TRIM(AM191))</f>
        <v>Consumer</v>
      </c>
      <c r="G191" s="0" t="str">
        <f aca="false">IF(TRIM(AN191)="","Unknown",PROPER(TRIM(AN191)))</f>
        <v>West</v>
      </c>
      <c r="H191" s="0" t="str">
        <f aca="false">PROPER(TRIM(AO191))</f>
        <v>Rajasthan</v>
      </c>
      <c r="I191" s="0" t="str">
        <f aca="false">PROPER(TRIM(AP191))</f>
        <v>Udaipur</v>
      </c>
      <c r="J191" s="0" t="str">
        <f aca="false">PROPER(TRIM(AQ191))</f>
        <v>Furniture</v>
      </c>
      <c r="K191" s="0" t="str">
        <f aca="false">PROPER(TRIM(AR191))</f>
        <v>Bookcases</v>
      </c>
      <c r="M191" s="0" t="str">
        <f aca="false">IF(TRIM(AS191)="","Unknown",PROPER(TRIM(AS191)))</f>
        <v>First Class</v>
      </c>
      <c r="N191" s="0" t="n">
        <v>9</v>
      </c>
      <c r="O191" s="0" t="n">
        <v>3318.24</v>
      </c>
      <c r="P191" s="5" t="str">
        <f aca="false">IF(AT191="","",IF(ISNUMBER(AT191),AT191,VALUE(SUBSTITUTE(AT191,"%",""))/100))</f>
        <v/>
      </c>
      <c r="Q191" s="5" t="n">
        <f aca="false">IF(P191="",IF(AND(N191&lt;&gt;"",O191&lt;&gt;"",R191&lt;&gt;"",S191&lt;&gt;""),0,"REVIEW"),IF(OR(P191&lt;0,P191&gt;0.3),0,P191))</f>
        <v>0</v>
      </c>
      <c r="R191" s="0" t="n">
        <v>25384.54</v>
      </c>
      <c r="S191" s="0" t="n">
        <v>16872.39</v>
      </c>
      <c r="T191" s="6" t="n">
        <f aca="false">N191*O191*(1-Q191)</f>
        <v>29864.16</v>
      </c>
      <c r="U191" s="6" t="n">
        <f aca="false">T191-S191</f>
        <v>12991.77</v>
      </c>
      <c r="V191" s="7" t="n">
        <f aca="false">IF(T191=0,0,U191/T191)</f>
        <v>0.435028810453735</v>
      </c>
      <c r="W191" s="4" t="n">
        <f aca="false">C191-B191</f>
        <v>1</v>
      </c>
      <c r="X191" s="0" t="str">
        <f aca="false">TEXT(B191,"mmmm")</f>
        <v>May</v>
      </c>
      <c r="Y191" s="4" t="n">
        <f aca="false">YEAR(B191)</f>
        <v>2025</v>
      </c>
      <c r="Z191" s="0" t="str">
        <f aca="false">PROPER(TRIM(AU191))</f>
        <v>Paid</v>
      </c>
      <c r="AA191" s="0" t="str">
        <f aca="false">PROPER(TRIM(AV191))</f>
        <v>Completed</v>
      </c>
      <c r="AB191" s="0" t="str">
        <f aca="false">IF(TRIM(AN191)="","Yes","No")</f>
        <v>No</v>
      </c>
      <c r="AC191" s="0" t="str">
        <f aca="false">IF(TRIM(AS191)="","Yes","No")</f>
        <v>No</v>
      </c>
      <c r="AD191" s="0" t="str">
        <f aca="false">IF(AT191="","Yes","No")</f>
        <v>Yes</v>
      </c>
      <c r="AE191" s="0" t="str">
        <f aca="false">IF(W191&lt;0,"Yes","No")</f>
        <v>No</v>
      </c>
      <c r="AF191" s="0" t="str">
        <f aca="false">IF(P191="","No",IF(OR(P191&lt;0,P191&gt;0.3),"Yes","No"))</f>
        <v>No</v>
      </c>
      <c r="AG191" s="4" t="s">
        <v>50</v>
      </c>
      <c r="AH191" s="0" t="str">
        <f aca="false">IF(AND(AA191="Completed",Z191="Paid"),"Yes","No")</f>
        <v>Yes</v>
      </c>
      <c r="AI191" s="0" t="str">
        <f aca="false">IF(OR(AE191="Yes",AF191="Yes",AG191="Yes"),"Invalid",IF(OR(AB191="Yes",AC191="Yes",AD191="Yes"),"Warning","Clean"))</f>
        <v>Warning</v>
      </c>
      <c r="AJ191" s="4" t="s">
        <v>876</v>
      </c>
      <c r="AK191" s="4" t="s">
        <v>877</v>
      </c>
      <c r="AL191" s="4" t="s">
        <v>86</v>
      </c>
      <c r="AM191" s="4" t="s">
        <v>54</v>
      </c>
      <c r="AN191" s="4" t="s">
        <v>97</v>
      </c>
      <c r="AO191" s="4" t="s">
        <v>56</v>
      </c>
      <c r="AP191" s="4" t="s">
        <v>152</v>
      </c>
      <c r="AQ191" s="4" t="s">
        <v>72</v>
      </c>
      <c r="AR191" s="4" t="s">
        <v>211</v>
      </c>
      <c r="AS191" s="4" t="s">
        <v>81</v>
      </c>
      <c r="AU191" s="4" t="s">
        <v>61</v>
      </c>
      <c r="AV191" s="4" t="s">
        <v>878</v>
      </c>
    </row>
    <row r="192" customFormat="false" ht="15" hidden="false" customHeight="false" outlineLevel="0" collapsed="false">
      <c r="A192" s="0" t="s">
        <v>879</v>
      </c>
      <c r="B192" s="3" t="n">
        <f aca="false">IF(AJ192="","",IF(ISNUMBER(SEARCH("/",AJ192)),DATE(VALUE(RIGHT(AJ192,4)),VALUE(LEFT(AJ192,2)),VALUE(MID(AJ192,4,2))),IF(ISNUMBER(SEARCH("-",AJ192)),IF(LEN(LEFT(AJ192,FIND("-",AJ192)-1))=4,DATE(VALUE(LEFT(AJ192,4)),VALUE(MID(AJ192,6,2)),VALUE(RIGHT(AJ192,2))),DATE(VALUE(RIGHT(AJ192,4)),VALUE(MID(AJ192,4,2)),VALUE(LEFT(AJ192,2)))),DATE(VALUE(RIGHT(AJ192,4)),MATCH(MID(AJ192,4,3),{"Jan","Feb","Mar","Apr","May","Jun","Jul","Aug","Sep","Oct","Nov","Dec"},0),VALUE(LEFT(AJ192,2))))))</f>
        <v>45767</v>
      </c>
      <c r="C192" s="3" t="n">
        <f aca="false">IF(AK192="","",IF(ISNUMBER(SEARCH("/",AK192)),DATE(VALUE(RIGHT(AK192,4)),VALUE(LEFT(AK192,2)),VALUE(MID(AK192,4,2))),IF(ISNUMBER(SEARCH("-",AK192)),IF(LEN(LEFT(AK192,FIND("-",AK192)-1))=4,DATE(VALUE(LEFT(AK192,4)),VALUE(MID(AK192,6,2)),VALUE(RIGHT(AK192,2))),DATE(VALUE(RIGHT(AK192,4)),VALUE(MID(AK192,4,2)),VALUE(LEFT(AK192,2)))),DATE(VALUE(RIGHT(AK192,4)),MATCH(MID(AK192,4,3),{"Jan","Feb","Mar","Apr","May","Jun","Jul","Aug","Sep","Oct","Nov","Dec"},0),VALUE(LEFT(AK192,2))))))</f>
        <v>45768</v>
      </c>
      <c r="D192" s="4" t="s">
        <v>880</v>
      </c>
      <c r="E192" s="0" t="str">
        <f aca="false">PROPER(TRIM(AL192))</f>
        <v>Aditi Sen</v>
      </c>
      <c r="F192" s="0" t="str">
        <f aca="false">PROPER(TRIM(AM192))</f>
        <v>Consumer</v>
      </c>
      <c r="G192" s="0" t="str">
        <f aca="false">IF(TRIM(AN192)="","Unknown",PROPER(TRIM(AN192)))</f>
        <v>South</v>
      </c>
      <c r="H192" s="0" t="str">
        <f aca="false">PROPER(TRIM(AO192))</f>
        <v>Tamil Nadu</v>
      </c>
      <c r="I192" s="0" t="str">
        <f aca="false">PROPER(TRIM(AP192))</f>
        <v>Chennai</v>
      </c>
      <c r="J192" s="0" t="str">
        <f aca="false">PROPER(TRIM(AQ192))</f>
        <v>Office Supplies</v>
      </c>
      <c r="K192" s="0" t="str">
        <f aca="false">PROPER(TRIM(AR192))</f>
        <v>Storage</v>
      </c>
      <c r="M192" s="0" t="str">
        <f aca="false">IF(TRIM(AS192)="","Unknown",PROPER(TRIM(AS192)))</f>
        <v>First Class</v>
      </c>
      <c r="N192" s="0" t="n">
        <v>3</v>
      </c>
      <c r="O192" s="0" t="n">
        <v>540.09</v>
      </c>
      <c r="P192" s="5" t="n">
        <f aca="false">IF(AT192="","",IF(ISNUMBER(AT192),AT192,VALUE(SUBSTITUTE(AT192,"%",""))/100))</f>
        <v>0.1</v>
      </c>
      <c r="Q192" s="5" t="n">
        <f aca="false">IF(P192="",IF(AND(N192&lt;&gt;"",O192&lt;&gt;"",R192&lt;&gt;"",S192&lt;&gt;""),0,"REVIEW"),IF(OR(P192&lt;0,P192&gt;0.3),0,P192))</f>
        <v>0.1</v>
      </c>
      <c r="R192" s="0" t="n">
        <v>1458.24</v>
      </c>
      <c r="S192" s="0" t="n">
        <v>943.32</v>
      </c>
      <c r="T192" s="6" t="n">
        <f aca="false">N192*O192*(1-Q192)</f>
        <v>1458.243</v>
      </c>
      <c r="U192" s="6" t="n">
        <f aca="false">T192-S192</f>
        <v>514.923</v>
      </c>
      <c r="V192" s="7" t="n">
        <f aca="false">IF(T192=0,0,U192/T192)</f>
        <v>0.353111929904687</v>
      </c>
      <c r="W192" s="4" t="n">
        <f aca="false">C192-B192</f>
        <v>1</v>
      </c>
      <c r="X192" s="0" t="str">
        <f aca="false">TEXT(B192,"mmmm")</f>
        <v>April</v>
      </c>
      <c r="Y192" s="4" t="n">
        <f aca="false">YEAR(B192)</f>
        <v>2025</v>
      </c>
      <c r="Z192" s="0" t="str">
        <f aca="false">PROPER(TRIM(AU192))</f>
        <v>Paid</v>
      </c>
      <c r="AA192" s="0" t="str">
        <f aca="false">PROPER(TRIM(AV192))</f>
        <v>Completed</v>
      </c>
      <c r="AB192" s="0" t="str">
        <f aca="false">IF(TRIM(AN192)="","Yes","No")</f>
        <v>No</v>
      </c>
      <c r="AC192" s="0" t="str">
        <f aca="false">IF(TRIM(AS192)="","Yes","No")</f>
        <v>No</v>
      </c>
      <c r="AD192" s="0" t="str">
        <f aca="false">IF(AT192="","Yes","No")</f>
        <v>No</v>
      </c>
      <c r="AE192" s="0" t="str">
        <f aca="false">IF(W192&lt;0,"Yes","No")</f>
        <v>No</v>
      </c>
      <c r="AF192" s="0" t="str">
        <f aca="false">IF(P192="","No",IF(OR(P192&lt;0,P192&gt;0.3),"Yes","No"))</f>
        <v>No</v>
      </c>
      <c r="AG192" s="4" t="s">
        <v>50</v>
      </c>
      <c r="AH192" s="0" t="str">
        <f aca="false">IF(AND(AA192="Completed",Z192="Paid"),"Yes","No")</f>
        <v>Yes</v>
      </c>
      <c r="AI192" s="0" t="str">
        <f aca="false">IF(OR(AE192="Yes",AF192="Yes",AG192="Yes"),"Invalid",IF(OR(AB192="Yes",AC192="Yes",AD192="Yes"),"Warning","Clean"))</f>
        <v>Clean</v>
      </c>
      <c r="AJ192" s="4" t="s">
        <v>881</v>
      </c>
      <c r="AK192" s="4" t="s">
        <v>882</v>
      </c>
      <c r="AL192" s="4" t="s">
        <v>127</v>
      </c>
      <c r="AM192" s="4" t="s">
        <v>54</v>
      </c>
      <c r="AN192" s="4" t="s">
        <v>87</v>
      </c>
      <c r="AO192" s="4" t="s">
        <v>323</v>
      </c>
      <c r="AP192" s="4" t="s">
        <v>324</v>
      </c>
      <c r="AQ192" s="4" t="s">
        <v>58</v>
      </c>
      <c r="AR192" s="4" t="s">
        <v>171</v>
      </c>
      <c r="AS192" s="4" t="s">
        <v>81</v>
      </c>
      <c r="AT192" s="0" t="n">
        <v>0.1</v>
      </c>
      <c r="AU192" s="4" t="s">
        <v>61</v>
      </c>
      <c r="AV192" s="4" t="s">
        <v>883</v>
      </c>
    </row>
    <row r="193" customFormat="false" ht="15" hidden="false" customHeight="false" outlineLevel="0" collapsed="false">
      <c r="A193" s="0" t="s">
        <v>884</v>
      </c>
      <c r="B193" s="3" t="n">
        <f aca="false">IF(AJ193="","",IF(ISNUMBER(SEARCH("/",AJ193)),DATE(VALUE(RIGHT(AJ193,4)),VALUE(LEFT(AJ193,2)),VALUE(MID(AJ193,4,2))),IF(ISNUMBER(SEARCH("-",AJ193)),IF(LEN(LEFT(AJ193,FIND("-",AJ193)-1))=4,DATE(VALUE(LEFT(AJ193,4)),VALUE(MID(AJ193,6,2)),VALUE(RIGHT(AJ193,2))),DATE(VALUE(RIGHT(AJ193,4)),VALUE(MID(AJ193,4,2)),VALUE(LEFT(AJ193,2)))),DATE(VALUE(RIGHT(AJ193,4)),MATCH(MID(AJ193,4,3),{"Jan","Feb","Mar","Apr","May","Jun","Jul","Aug","Sep","Oct","Nov","Dec"},0),VALUE(LEFT(AJ193,2))))))</f>
        <v>45584</v>
      </c>
      <c r="C193" s="3" t="n">
        <f aca="false">IF(AK193="","",IF(ISNUMBER(SEARCH("/",AK193)),DATE(VALUE(RIGHT(AK193,4)),VALUE(LEFT(AK193,2)),VALUE(MID(AK193,4,2))),IF(ISNUMBER(SEARCH("-",AK193)),IF(LEN(LEFT(AK193,FIND("-",AK193)-1))=4,DATE(VALUE(LEFT(AK193,4)),VALUE(MID(AK193,6,2)),VALUE(RIGHT(AK193,2))),DATE(VALUE(RIGHT(AK193,4)),VALUE(MID(AK193,4,2)),VALUE(LEFT(AK193,2)))),DATE(VALUE(RIGHT(AK193,4)),MATCH(MID(AK193,4,3),{"Jan","Feb","Mar","Apr","May","Jun","Jul","Aug","Sep","Oct","Nov","Dec"},0),VALUE(LEFT(AK193,2))))))</f>
        <v>45589</v>
      </c>
      <c r="D193" s="4" t="s">
        <v>885</v>
      </c>
      <c r="E193" s="0" t="str">
        <f aca="false">PROPER(TRIM(AL193))</f>
        <v>Sneha Kapoor</v>
      </c>
      <c r="F193" s="0" t="str">
        <f aca="false">PROPER(TRIM(AM193))</f>
        <v>Small Business</v>
      </c>
      <c r="G193" s="0" t="str">
        <f aca="false">IF(TRIM(AN193)="","Unknown",PROPER(TRIM(AN193)))</f>
        <v>South</v>
      </c>
      <c r="H193" s="0" t="str">
        <f aca="false">PROPER(TRIM(AO193))</f>
        <v>Tamil Nadu</v>
      </c>
      <c r="I193" s="0" t="str">
        <f aca="false">PROPER(TRIM(AP193))</f>
        <v>Chennai</v>
      </c>
      <c r="J193" s="0" t="str">
        <f aca="false">PROPER(TRIM(AQ193))</f>
        <v>Furniture</v>
      </c>
      <c r="K193" s="0" t="str">
        <f aca="false">PROPER(TRIM(AR193))</f>
        <v>Bookcases</v>
      </c>
      <c r="M193" s="0" t="str">
        <f aca="false">IF(TRIM(AS193)="","Unknown",PROPER(TRIM(AS193)))</f>
        <v>Second Class</v>
      </c>
      <c r="N193" s="0" t="n">
        <v>6</v>
      </c>
      <c r="O193" s="0" t="n">
        <v>4308.4</v>
      </c>
      <c r="P193" s="5" t="n">
        <f aca="false">IF(AT193="","",IF(ISNUMBER(AT193),AT193,VALUE(SUBSTITUTE(AT193,"%",""))/100))</f>
        <v>0.65</v>
      </c>
      <c r="Q193" s="5" t="n">
        <f aca="false">IF(P193="",IF(AND(N193&lt;&gt;"",O193&lt;&gt;"",R193&lt;&gt;"",S193&lt;&gt;""),0,"REVIEW"),IF(OR(P193&lt;0,P193&gt;0.3),0,P193))</f>
        <v>0</v>
      </c>
      <c r="R193" s="0" t="n">
        <v>25850.4</v>
      </c>
      <c r="S193" s="0" t="n">
        <v>19397.68</v>
      </c>
      <c r="T193" s="6" t="n">
        <f aca="false">N193*O193*(1-Q193)</f>
        <v>25850.4</v>
      </c>
      <c r="U193" s="6" t="n">
        <f aca="false">T193-S193</f>
        <v>6452.72</v>
      </c>
      <c r="V193" s="7" t="n">
        <f aca="false">IF(T193=0,0,U193/T193)</f>
        <v>0.249617800885093</v>
      </c>
      <c r="W193" s="4" t="n">
        <f aca="false">C193-B193</f>
        <v>5</v>
      </c>
      <c r="X193" s="0" t="str">
        <f aca="false">TEXT(B193,"mmmm")</f>
        <v>October</v>
      </c>
      <c r="Y193" s="4" t="n">
        <f aca="false">YEAR(B193)</f>
        <v>2024</v>
      </c>
      <c r="Z193" s="0" t="str">
        <f aca="false">PROPER(TRIM(AU193))</f>
        <v>Paid</v>
      </c>
      <c r="AA193" s="0" t="str">
        <f aca="false">PROPER(TRIM(AV193))</f>
        <v>Completed</v>
      </c>
      <c r="AB193" s="0" t="str">
        <f aca="false">IF(TRIM(AN193)="","Yes","No")</f>
        <v>No</v>
      </c>
      <c r="AC193" s="0" t="str">
        <f aca="false">IF(TRIM(AS193)="","Yes","No")</f>
        <v>No</v>
      </c>
      <c r="AD193" s="0" t="str">
        <f aca="false">IF(AT193="","Yes","No")</f>
        <v>No</v>
      </c>
      <c r="AE193" s="0" t="str">
        <f aca="false">IF(W193&lt;0,"Yes","No")</f>
        <v>No</v>
      </c>
      <c r="AF193" s="0" t="str">
        <f aca="false">IF(P193="","No",IF(OR(P193&lt;0,P193&gt;0.3),"Yes","No"))</f>
        <v>Yes</v>
      </c>
      <c r="AG193" s="4" t="s">
        <v>50</v>
      </c>
      <c r="AH193" s="0" t="str">
        <f aca="false">IF(AND(AA193="Completed",Z193="Paid"),"Yes","No")</f>
        <v>Yes</v>
      </c>
      <c r="AI193" s="0" t="str">
        <f aca="false">IF(OR(AE193="Yes",AF193="Yes",AG193="Yes"),"Invalid",IF(OR(AB193="Yes",AC193="Yes",AD193="Yes"),"Warning","Clean"))</f>
        <v>Invalid</v>
      </c>
      <c r="AJ193" s="4" t="s">
        <v>886</v>
      </c>
      <c r="AK193" s="4" t="s">
        <v>574</v>
      </c>
      <c r="AL193" s="4" t="s">
        <v>181</v>
      </c>
      <c r="AM193" s="4" t="s">
        <v>68</v>
      </c>
      <c r="AN193" s="4" t="s">
        <v>87</v>
      </c>
      <c r="AO193" s="4" t="s">
        <v>323</v>
      </c>
      <c r="AP193" s="4" t="s">
        <v>324</v>
      </c>
      <c r="AQ193" s="4" t="s">
        <v>72</v>
      </c>
      <c r="AR193" s="4" t="s">
        <v>211</v>
      </c>
      <c r="AS193" s="4" t="s">
        <v>60</v>
      </c>
      <c r="AT193" s="0" t="n">
        <v>0.65</v>
      </c>
      <c r="AU193" s="4" t="s">
        <v>61</v>
      </c>
      <c r="AV193" s="4" t="s">
        <v>62</v>
      </c>
    </row>
    <row r="194" customFormat="false" ht="15" hidden="false" customHeight="false" outlineLevel="0" collapsed="false">
      <c r="A194" s="0" t="s">
        <v>887</v>
      </c>
      <c r="B194" s="3" t="n">
        <f aca="false">IF(AJ194="","",IF(ISNUMBER(SEARCH("/",AJ194)),DATE(VALUE(RIGHT(AJ194,4)),VALUE(LEFT(AJ194,2)),VALUE(MID(AJ194,4,2))),IF(ISNUMBER(SEARCH("-",AJ194)),IF(LEN(LEFT(AJ194,FIND("-",AJ194)-1))=4,DATE(VALUE(LEFT(AJ194,4)),VALUE(MID(AJ194,6,2)),VALUE(RIGHT(AJ194,2))),DATE(VALUE(RIGHT(AJ194,4)),VALUE(MID(AJ194,4,2)),VALUE(LEFT(AJ194,2)))),DATE(VALUE(RIGHT(AJ194,4)),MATCH(MID(AJ194,4,3),{"Jan","Feb","Mar","Apr","May","Jun","Jul","Aug","Sep","Oct","Nov","Dec"},0),VALUE(LEFT(AJ194,2))))))</f>
        <v>45635</v>
      </c>
      <c r="C194" s="3" t="n">
        <f aca="false">IF(AK194="","",IF(ISNUMBER(SEARCH("/",AK194)),DATE(VALUE(RIGHT(AK194,4)),VALUE(LEFT(AK194,2)),VALUE(MID(AK194,4,2))),IF(ISNUMBER(SEARCH("-",AK194)),IF(LEN(LEFT(AK194,FIND("-",AK194)-1))=4,DATE(VALUE(LEFT(AK194,4)),VALUE(MID(AK194,6,2)),VALUE(RIGHT(AK194,2))),DATE(VALUE(RIGHT(AK194,4)),VALUE(MID(AK194,4,2)),VALUE(LEFT(AK194,2)))),DATE(VALUE(RIGHT(AK194,4)),MATCH(MID(AK194,4,3),{"Jan","Feb","Mar","Apr","May","Jun","Jul","Aug","Sep","Oct","Nov","Dec"},0),VALUE(LEFT(AK194,2))))))</f>
        <v>45642</v>
      </c>
      <c r="D194" s="4" t="s">
        <v>888</v>
      </c>
      <c r="E194" s="0" t="str">
        <f aca="false">PROPER(TRIM(AL194))</f>
        <v>Isha Nair</v>
      </c>
      <c r="F194" s="0" t="str">
        <f aca="false">PROPER(TRIM(AM194))</f>
        <v>Home Office</v>
      </c>
      <c r="G194" s="0" t="str">
        <f aca="false">IF(TRIM(AN194)="","Unknown",PROPER(TRIM(AN194)))</f>
        <v>West</v>
      </c>
      <c r="H194" s="0" t="str">
        <f aca="false">PROPER(TRIM(AO194))</f>
        <v>Gujarat</v>
      </c>
      <c r="I194" s="0" t="str">
        <f aca="false">PROPER(TRIM(AP194))</f>
        <v>Ahmedabad</v>
      </c>
      <c r="J194" s="0" t="str">
        <f aca="false">PROPER(TRIM(AQ194))</f>
        <v>Furniture</v>
      </c>
      <c r="K194" s="0" t="str">
        <f aca="false">PROPER(TRIM(AR194))</f>
        <v>Chairs</v>
      </c>
      <c r="M194" s="0" t="str">
        <f aca="false">IF(TRIM(AS194)="","Unknown",PROPER(TRIM(AS194)))</f>
        <v>First Class</v>
      </c>
      <c r="N194" s="0" t="n">
        <v>4</v>
      </c>
      <c r="O194" s="0" t="n">
        <v>2191.03</v>
      </c>
      <c r="P194" s="5" t="n">
        <f aca="false">IF(AT194="","",IF(ISNUMBER(AT194),AT194,VALUE(SUBSTITUTE(AT194,"%",""))/100))</f>
        <v>0</v>
      </c>
      <c r="Q194" s="5" t="n">
        <f aca="false">IF(P194="",IF(AND(N194&lt;&gt;"",O194&lt;&gt;"",R194&lt;&gt;"",S194&lt;&gt;""),0,"REVIEW"),IF(OR(P194&lt;0,P194&gt;0.3),0,P194))</f>
        <v>0</v>
      </c>
      <c r="R194" s="0" t="n">
        <v>8764.12</v>
      </c>
      <c r="S194" s="0" t="n">
        <v>7220.05</v>
      </c>
      <c r="T194" s="6" t="n">
        <f aca="false">N194*O194*(1-Q194)</f>
        <v>8764.12</v>
      </c>
      <c r="U194" s="6" t="n">
        <f aca="false">T194-S194</f>
        <v>1544.07</v>
      </c>
      <c r="V194" s="7" t="n">
        <f aca="false">IF(T194=0,0,U194/T194)</f>
        <v>0.176180837323086</v>
      </c>
      <c r="W194" s="4" t="n">
        <f aca="false">C194-B194</f>
        <v>7</v>
      </c>
      <c r="X194" s="0" t="str">
        <f aca="false">TEXT(B194,"mmmm")</f>
        <v>December</v>
      </c>
      <c r="Y194" s="4" t="n">
        <f aca="false">YEAR(B194)</f>
        <v>2024</v>
      </c>
      <c r="Z194" s="0" t="str">
        <f aca="false">PROPER(TRIM(AU194))</f>
        <v>Paid</v>
      </c>
      <c r="AA194" s="0" t="str">
        <f aca="false">PROPER(TRIM(AV194))</f>
        <v>Completed</v>
      </c>
      <c r="AB194" s="0" t="str">
        <f aca="false">IF(TRIM(AN194)="","Yes","No")</f>
        <v>No</v>
      </c>
      <c r="AC194" s="0" t="str">
        <f aca="false">IF(TRIM(AS194)="","Yes","No")</f>
        <v>No</v>
      </c>
      <c r="AD194" s="0" t="str">
        <f aca="false">IF(AT194="","Yes","No")</f>
        <v>No</v>
      </c>
      <c r="AE194" s="0" t="str">
        <f aca="false">IF(W194&lt;0,"Yes","No")</f>
        <v>No</v>
      </c>
      <c r="AF194" s="0" t="str">
        <f aca="false">IF(P194="","No",IF(OR(P194&lt;0,P194&gt;0.3),"Yes","No"))</f>
        <v>No</v>
      </c>
      <c r="AG194" s="4" t="s">
        <v>50</v>
      </c>
      <c r="AH194" s="0" t="str">
        <f aca="false">IF(AND(AA194="Completed",Z194="Paid"),"Yes","No")</f>
        <v>Yes</v>
      </c>
      <c r="AI194" s="0" t="str">
        <f aca="false">IF(OR(AE194="Yes",AF194="Yes",AG194="Yes"),"Invalid",IF(OR(AB194="Yes",AC194="Yes",AD194="Yes"),"Warning","Clean"))</f>
        <v>Clean</v>
      </c>
      <c r="AJ194" s="4" t="s">
        <v>889</v>
      </c>
      <c r="AK194" s="4" t="s">
        <v>890</v>
      </c>
      <c r="AL194" s="4" t="s">
        <v>79</v>
      </c>
      <c r="AM194" s="4" t="s">
        <v>134</v>
      </c>
      <c r="AN194" s="4" t="s">
        <v>97</v>
      </c>
      <c r="AO194" s="4" t="s">
        <v>238</v>
      </c>
      <c r="AP194" s="4" t="s">
        <v>239</v>
      </c>
      <c r="AQ194" s="4" t="s">
        <v>72</v>
      </c>
      <c r="AR194" s="4" t="s">
        <v>100</v>
      </c>
      <c r="AS194" s="4" t="s">
        <v>81</v>
      </c>
      <c r="AT194" s="0" t="n">
        <v>0</v>
      </c>
      <c r="AU194" s="4" t="s">
        <v>61</v>
      </c>
      <c r="AV194" s="4" t="s">
        <v>62</v>
      </c>
    </row>
    <row r="195" customFormat="false" ht="15" hidden="false" customHeight="false" outlineLevel="0" collapsed="false">
      <c r="A195" s="0" t="s">
        <v>891</v>
      </c>
      <c r="B195" s="3" t="n">
        <f aca="false">IF(AJ195="","",IF(ISNUMBER(SEARCH("/",AJ195)),DATE(VALUE(RIGHT(AJ195,4)),VALUE(LEFT(AJ195,2)),VALUE(MID(AJ195,4,2))),IF(ISNUMBER(SEARCH("-",AJ195)),IF(LEN(LEFT(AJ195,FIND("-",AJ195)-1))=4,DATE(VALUE(LEFT(AJ195,4)),VALUE(MID(AJ195,6,2)),VALUE(RIGHT(AJ195,2))),DATE(VALUE(RIGHT(AJ195,4)),VALUE(MID(AJ195,4,2)),VALUE(LEFT(AJ195,2)))),DATE(VALUE(RIGHT(AJ195,4)),MATCH(MID(AJ195,4,3),{"Jan","Feb","Mar","Apr","May","Jun","Jul","Aug","Sep","Oct","Nov","Dec"},0),VALUE(LEFT(AJ195,2))))))</f>
        <v>45466</v>
      </c>
      <c r="C195" s="3" t="n">
        <f aca="false">IF(AK195="","",IF(ISNUMBER(SEARCH("/",AK195)),DATE(VALUE(RIGHT(AK195,4)),VALUE(LEFT(AK195,2)),VALUE(MID(AK195,4,2))),IF(ISNUMBER(SEARCH("-",AK195)),IF(LEN(LEFT(AK195,FIND("-",AK195)-1))=4,DATE(VALUE(LEFT(AK195,4)),VALUE(MID(AK195,6,2)),VALUE(RIGHT(AK195,2))),DATE(VALUE(RIGHT(AK195,4)),VALUE(MID(AK195,4,2)),VALUE(LEFT(AK195,2)))),DATE(VALUE(RIGHT(AK195,4)),MATCH(MID(AK195,4,3),{"Jan","Feb","Mar","Apr","May","Jun","Jul","Aug","Sep","Oct","Nov","Dec"},0),VALUE(LEFT(AK195,2))))))</f>
        <v>45471</v>
      </c>
      <c r="D195" s="4" t="s">
        <v>892</v>
      </c>
      <c r="E195" s="0" t="str">
        <f aca="false">PROPER(TRIM(AL195))</f>
        <v>Priya Menon</v>
      </c>
      <c r="F195" s="0" t="str">
        <f aca="false">PROPER(TRIM(AM195))</f>
        <v>Small Business</v>
      </c>
      <c r="G195" s="0" t="str">
        <f aca="false">IF(TRIM(AN195)="","Unknown",PROPER(TRIM(AN195)))</f>
        <v>North</v>
      </c>
      <c r="H195" s="0" t="str">
        <f aca="false">PROPER(TRIM(AO195))</f>
        <v>Punjab</v>
      </c>
      <c r="I195" s="0" t="str">
        <f aca="false">PROPER(TRIM(AP195))</f>
        <v>Ludhiana</v>
      </c>
      <c r="J195" s="0" t="str">
        <f aca="false">PROPER(TRIM(AQ195))</f>
        <v>Technology</v>
      </c>
      <c r="K195" s="0" t="str">
        <f aca="false">PROPER(TRIM(AR195))</f>
        <v>Copiers</v>
      </c>
      <c r="M195" s="0" t="str">
        <f aca="false">IF(TRIM(AS195)="","Unknown",PROPER(TRIM(AS195)))</f>
        <v>Same Day</v>
      </c>
      <c r="N195" s="0" t="n">
        <v>6</v>
      </c>
      <c r="O195" s="0" t="n">
        <v>1956.63</v>
      </c>
      <c r="P195" s="5" t="n">
        <f aca="false">IF(AT195="","",IF(ISNUMBER(AT195),AT195,VALUE(SUBSTITUTE(AT195,"%",""))/100))</f>
        <v>0.2</v>
      </c>
      <c r="Q195" s="5" t="n">
        <f aca="false">IF(P195="",IF(AND(N195&lt;&gt;"",O195&lt;&gt;"",R195&lt;&gt;"",S195&lt;&gt;""),0,"REVIEW"),IF(OR(P195&lt;0,P195&gt;0.3),0,P195))</f>
        <v>0.2</v>
      </c>
      <c r="R195" s="0" t="n">
        <v>9391.82</v>
      </c>
      <c r="S195" s="0" t="n">
        <v>6013.22</v>
      </c>
      <c r="T195" s="6" t="n">
        <f aca="false">N195*O195*(1-Q195)</f>
        <v>9391.824</v>
      </c>
      <c r="U195" s="6" t="n">
        <f aca="false">T195-S195</f>
        <v>3378.604</v>
      </c>
      <c r="V195" s="7" t="n">
        <f aca="false">IF(T195=0,0,U195/T195)</f>
        <v>0.359738853709354</v>
      </c>
      <c r="W195" s="4" t="n">
        <f aca="false">C195-B195</f>
        <v>5</v>
      </c>
      <c r="X195" s="0" t="str">
        <f aca="false">TEXT(B195,"mmmm")</f>
        <v>June</v>
      </c>
      <c r="Y195" s="4" t="n">
        <f aca="false">YEAR(B195)</f>
        <v>2024</v>
      </c>
      <c r="Z195" s="0" t="str">
        <f aca="false">PROPER(TRIM(AU195))</f>
        <v>Refunded</v>
      </c>
      <c r="AA195" s="0" t="str">
        <f aca="false">PROPER(TRIM(AV195))</f>
        <v>Returned</v>
      </c>
      <c r="AB195" s="0" t="str">
        <f aca="false">IF(TRIM(AN195)="","Yes","No")</f>
        <v>No</v>
      </c>
      <c r="AC195" s="0" t="str">
        <f aca="false">IF(TRIM(AS195)="","Yes","No")</f>
        <v>No</v>
      </c>
      <c r="AD195" s="0" t="str">
        <f aca="false">IF(AT195="","Yes","No")</f>
        <v>No</v>
      </c>
      <c r="AE195" s="0" t="str">
        <f aca="false">IF(W195&lt;0,"Yes","No")</f>
        <v>No</v>
      </c>
      <c r="AF195" s="0" t="str">
        <f aca="false">IF(P195="","No",IF(OR(P195&lt;0,P195&gt;0.3),"Yes","No"))</f>
        <v>No</v>
      </c>
      <c r="AG195" s="4" t="s">
        <v>50</v>
      </c>
      <c r="AH195" s="0" t="str">
        <f aca="false">IF(AND(AA195="Completed",Z195="Paid"),"Yes","No")</f>
        <v>No</v>
      </c>
      <c r="AI195" s="0" t="str">
        <f aca="false">IF(OR(AE195="Yes",AF195="Yes",AG195="Yes"),"Invalid",IF(OR(AB195="Yes",AC195="Yes",AD195="Yes"),"Warning","Clean"))</f>
        <v>Clean</v>
      </c>
      <c r="AJ195" s="4" t="s">
        <v>893</v>
      </c>
      <c r="AK195" s="4" t="s">
        <v>894</v>
      </c>
      <c r="AL195" s="4" t="s">
        <v>158</v>
      </c>
      <c r="AM195" s="4" t="s">
        <v>68</v>
      </c>
      <c r="AN195" s="4" t="s">
        <v>168</v>
      </c>
      <c r="AO195" s="4" t="s">
        <v>169</v>
      </c>
      <c r="AP195" s="4" t="s">
        <v>170</v>
      </c>
      <c r="AQ195" s="4" t="s">
        <v>109</v>
      </c>
      <c r="AR195" s="4" t="s">
        <v>116</v>
      </c>
      <c r="AS195" s="4" t="s">
        <v>74</v>
      </c>
      <c r="AT195" s="0" t="n">
        <v>0.2</v>
      </c>
      <c r="AU195" s="4" t="s">
        <v>141</v>
      </c>
      <c r="AV195" s="4" t="s">
        <v>142</v>
      </c>
    </row>
    <row r="196" customFormat="false" ht="15" hidden="false" customHeight="false" outlineLevel="0" collapsed="false">
      <c r="A196" s="0" t="s">
        <v>895</v>
      </c>
      <c r="B196" s="3" t="n">
        <f aca="false">IF(AJ196="","",IF(ISNUMBER(SEARCH("/",AJ196)),DATE(VALUE(RIGHT(AJ196,4)),VALUE(LEFT(AJ196,2)),VALUE(MID(AJ196,4,2))),IF(ISNUMBER(SEARCH("-",AJ196)),IF(LEN(LEFT(AJ196,FIND("-",AJ196)-1))=4,DATE(VALUE(LEFT(AJ196,4)),VALUE(MID(AJ196,6,2)),VALUE(RIGHT(AJ196,2))),DATE(VALUE(RIGHT(AJ196,4)),VALUE(MID(AJ196,4,2)),VALUE(LEFT(AJ196,2)))),DATE(VALUE(RIGHT(AJ196,4)),MATCH(MID(AJ196,4,3),{"Jan","Feb","Mar","Apr","May","Jun","Jul","Aug","Sep","Oct","Nov","Dec"},0),VALUE(LEFT(AJ196,2))))))</f>
        <v>45685</v>
      </c>
      <c r="C196" s="3" t="n">
        <f aca="false">IF(AK196="","",IF(ISNUMBER(SEARCH("/",AK196)),DATE(VALUE(RIGHT(AK196,4)),VALUE(LEFT(AK196,2)),VALUE(MID(AK196,4,2))),IF(ISNUMBER(SEARCH("-",AK196)),IF(LEN(LEFT(AK196,FIND("-",AK196)-1))=4,DATE(VALUE(LEFT(AK196,4)),VALUE(MID(AK196,6,2)),VALUE(RIGHT(AK196,2))),DATE(VALUE(RIGHT(AK196,4)),VALUE(MID(AK196,4,2)),VALUE(LEFT(AK196,2)))),DATE(VALUE(RIGHT(AK196,4)),MATCH(MID(AK196,4,3),{"Jan","Feb","Mar","Apr","May","Jun","Jul","Aug","Sep","Oct","Nov","Dec"},0),VALUE(LEFT(AK196,2))))))</f>
        <v>45688</v>
      </c>
      <c r="D196" s="4" t="s">
        <v>896</v>
      </c>
      <c r="E196" s="0" t="str">
        <f aca="false">PROPER(TRIM(AL196))</f>
        <v>Priya Menon</v>
      </c>
      <c r="F196" s="0" t="str">
        <f aca="false">PROPER(TRIM(AM196))</f>
        <v>Consumer</v>
      </c>
      <c r="G196" s="0" t="str">
        <f aca="false">IF(TRIM(AN196)="","Unknown",PROPER(TRIM(AN196)))</f>
        <v>West</v>
      </c>
      <c r="H196" s="0" t="str">
        <f aca="false">PROPER(TRIM(AO196))</f>
        <v>Maharashtra</v>
      </c>
      <c r="I196" s="0" t="str">
        <f aca="false">PROPER(TRIM(AP196))</f>
        <v>Mumbai</v>
      </c>
      <c r="J196" s="0" t="str">
        <f aca="false">PROPER(TRIM(AQ196))</f>
        <v>Furniture</v>
      </c>
      <c r="K196" s="0" t="str">
        <f aca="false">PROPER(TRIM(AR196))</f>
        <v>Furnishings</v>
      </c>
      <c r="M196" s="0" t="str">
        <f aca="false">IF(TRIM(AS196)="","Unknown",PROPER(TRIM(AS196)))</f>
        <v>First Class</v>
      </c>
      <c r="N196" s="0" t="n">
        <v>9</v>
      </c>
      <c r="O196" s="0" t="n">
        <v>858.39</v>
      </c>
      <c r="P196" s="5" t="n">
        <f aca="false">IF(AT196="","",IF(ISNUMBER(AT196),AT196,VALUE(SUBSTITUTE(AT196,"%",""))/100))</f>
        <v>0.05</v>
      </c>
      <c r="Q196" s="5" t="n">
        <f aca="false">IF(P196="",IF(AND(N196&lt;&gt;"",O196&lt;&gt;"",R196&lt;&gt;"",S196&lt;&gt;""),0,"REVIEW"),IF(OR(P196&lt;0,P196&gt;0.3),0,P196))</f>
        <v>0.05</v>
      </c>
      <c r="R196" s="0" t="n">
        <v>7339.23</v>
      </c>
      <c r="S196" s="0" t="n">
        <v>5434.12</v>
      </c>
      <c r="T196" s="6" t="n">
        <f aca="false">N196*O196*(1-Q196)</f>
        <v>7339.2345</v>
      </c>
      <c r="U196" s="6" t="n">
        <f aca="false">T196-S196</f>
        <v>1905.1145</v>
      </c>
      <c r="V196" s="7" t="n">
        <f aca="false">IF(T196=0,0,U196/T196)</f>
        <v>0.259579456140828</v>
      </c>
      <c r="W196" s="4" t="n">
        <f aca="false">C196-B196</f>
        <v>3</v>
      </c>
      <c r="X196" s="0" t="str">
        <f aca="false">TEXT(B196,"mmmm")</f>
        <v>January</v>
      </c>
      <c r="Y196" s="4" t="n">
        <f aca="false">YEAR(B196)</f>
        <v>2025</v>
      </c>
      <c r="Z196" s="0" t="str">
        <f aca="false">PROPER(TRIM(AU196))</f>
        <v>Pending</v>
      </c>
      <c r="AA196" s="0" t="str">
        <f aca="false">PROPER(TRIM(AV196))</f>
        <v>Returned</v>
      </c>
      <c r="AB196" s="0" t="str">
        <f aca="false">IF(TRIM(AN196)="","Yes","No")</f>
        <v>No</v>
      </c>
      <c r="AC196" s="0" t="str">
        <f aca="false">IF(TRIM(AS196)="","Yes","No")</f>
        <v>No</v>
      </c>
      <c r="AD196" s="0" t="str">
        <f aca="false">IF(AT196="","Yes","No")</f>
        <v>No</v>
      </c>
      <c r="AE196" s="0" t="str">
        <f aca="false">IF(W196&lt;0,"Yes","No")</f>
        <v>No</v>
      </c>
      <c r="AF196" s="0" t="str">
        <f aca="false">IF(P196="","No",IF(OR(P196&lt;0,P196&gt;0.3),"Yes","No"))</f>
        <v>No</v>
      </c>
      <c r="AG196" s="4" t="s">
        <v>50</v>
      </c>
      <c r="AH196" s="0" t="str">
        <f aca="false">IF(AND(AA196="Completed",Z196="Paid"),"Yes","No")</f>
        <v>No</v>
      </c>
      <c r="AI196" s="0" t="str">
        <f aca="false">IF(OR(AE196="Yes",AF196="Yes",AG196="Yes"),"Invalid",IF(OR(AB196="Yes",AC196="Yes",AD196="Yes"),"Warning","Clean"))</f>
        <v>Clean</v>
      </c>
      <c r="AJ196" s="4" t="s">
        <v>897</v>
      </c>
      <c r="AK196" s="4" t="s">
        <v>898</v>
      </c>
      <c r="AL196" s="4" t="s">
        <v>158</v>
      </c>
      <c r="AM196" s="4" t="s">
        <v>54</v>
      </c>
      <c r="AN196" s="4" t="s">
        <v>899</v>
      </c>
      <c r="AO196" s="4" t="s">
        <v>98</v>
      </c>
      <c r="AP196" s="4" t="s">
        <v>99</v>
      </c>
      <c r="AQ196" s="4" t="s">
        <v>72</v>
      </c>
      <c r="AR196" s="4" t="s">
        <v>90</v>
      </c>
      <c r="AS196" s="4" t="s">
        <v>81</v>
      </c>
      <c r="AT196" s="0" t="n">
        <v>0.05</v>
      </c>
      <c r="AU196" s="4" t="s">
        <v>153</v>
      </c>
      <c r="AV196" s="4" t="s">
        <v>142</v>
      </c>
    </row>
    <row r="197" customFormat="false" ht="15" hidden="false" customHeight="false" outlineLevel="0" collapsed="false">
      <c r="A197" s="0" t="s">
        <v>900</v>
      </c>
      <c r="B197" s="3" t="n">
        <f aca="false">IF(AJ197="","",IF(ISNUMBER(SEARCH("/",AJ197)),DATE(VALUE(RIGHT(AJ197,4)),VALUE(LEFT(AJ197,2)),VALUE(MID(AJ197,4,2))),IF(ISNUMBER(SEARCH("-",AJ197)),IF(LEN(LEFT(AJ197,FIND("-",AJ197)-1))=4,DATE(VALUE(LEFT(AJ197,4)),VALUE(MID(AJ197,6,2)),VALUE(RIGHT(AJ197,2))),DATE(VALUE(RIGHT(AJ197,4)),VALUE(MID(AJ197,4,2)),VALUE(LEFT(AJ197,2)))),DATE(VALUE(RIGHT(AJ197,4)),MATCH(MID(AJ197,4,3),{"Jan","Feb","Mar","Apr","May","Jun","Jul","Aug","Sep","Oct","Nov","Dec"},0),VALUE(LEFT(AJ197,2))))))</f>
        <v>45860</v>
      </c>
      <c r="C197" s="3" t="n">
        <f aca="false">IF(AK197="","",IF(ISNUMBER(SEARCH("/",AK197)),DATE(VALUE(RIGHT(AK197,4)),VALUE(LEFT(AK197,2)),VALUE(MID(AK197,4,2))),IF(ISNUMBER(SEARCH("-",AK197)),IF(LEN(LEFT(AK197,FIND("-",AK197)-1))=4,DATE(VALUE(LEFT(AK197,4)),VALUE(MID(AK197,6,2)),VALUE(RIGHT(AK197,2))),DATE(VALUE(RIGHT(AK197,4)),VALUE(MID(AK197,4,2)),VALUE(LEFT(AK197,2)))),DATE(VALUE(RIGHT(AK197,4)),MATCH(MID(AK197,4,3),{"Jan","Feb","Mar","Apr","May","Jun","Jul","Aug","Sep","Oct","Nov","Dec"},0),VALUE(LEFT(AK197,2))))))</f>
        <v>45862</v>
      </c>
      <c r="D197" s="4" t="s">
        <v>901</v>
      </c>
      <c r="E197" s="0" t="str">
        <f aca="false">PROPER(TRIM(AL197))</f>
        <v>Neha Gupta</v>
      </c>
      <c r="F197" s="0" t="str">
        <f aca="false">PROPER(TRIM(AM197))</f>
        <v>Home Office</v>
      </c>
      <c r="G197" s="0" t="str">
        <f aca="false">IF(TRIM(AN197)="","Unknown",PROPER(TRIM(AN197)))</f>
        <v>South</v>
      </c>
      <c r="H197" s="0" t="str">
        <f aca="false">PROPER(TRIM(AO197))</f>
        <v>Andhra Pradesh</v>
      </c>
      <c r="I197" s="0" t="str">
        <f aca="false">PROPER(TRIM(AP197))</f>
        <v>Vijayawada</v>
      </c>
      <c r="J197" s="0" t="str">
        <f aca="false">PROPER(TRIM(AQ197))</f>
        <v>Furniture</v>
      </c>
      <c r="K197" s="0" t="str">
        <f aca="false">PROPER(TRIM(AR197))</f>
        <v>Furnishings</v>
      </c>
      <c r="M197" s="0" t="str">
        <f aca="false">IF(TRIM(AS197)="","Unknown",PROPER(TRIM(AS197)))</f>
        <v>Same Day</v>
      </c>
      <c r="N197" s="0" t="n">
        <v>5</v>
      </c>
      <c r="O197" s="0" t="n">
        <v>1922.83</v>
      </c>
      <c r="P197" s="5" t="n">
        <f aca="false">IF(AT197="","",IF(ISNUMBER(AT197),AT197,VALUE(SUBSTITUTE(AT197,"%",""))/100))</f>
        <v>0</v>
      </c>
      <c r="Q197" s="5" t="n">
        <f aca="false">IF(P197="",IF(AND(N197&lt;&gt;"",O197&lt;&gt;"",R197&lt;&gt;"",S197&lt;&gt;""),0,"REVIEW"),IF(OR(P197&lt;0,P197&gt;0.3),0,P197))</f>
        <v>0</v>
      </c>
      <c r="R197" s="0" t="n">
        <v>9614.15</v>
      </c>
      <c r="S197" s="0" t="n">
        <v>7576.84</v>
      </c>
      <c r="T197" s="6" t="n">
        <f aca="false">N197*O197*(1-Q197)</f>
        <v>9614.15</v>
      </c>
      <c r="U197" s="6" t="n">
        <f aca="false">T197-S197</f>
        <v>2037.31</v>
      </c>
      <c r="V197" s="7" t="n">
        <f aca="false">IF(T197=0,0,U197/T197)</f>
        <v>0.211907448916441</v>
      </c>
      <c r="W197" s="4" t="n">
        <f aca="false">C197-B197</f>
        <v>2</v>
      </c>
      <c r="X197" s="0" t="str">
        <f aca="false">TEXT(B197,"mmmm")</f>
        <v>July</v>
      </c>
      <c r="Y197" s="4" t="n">
        <f aca="false">YEAR(B197)</f>
        <v>2025</v>
      </c>
      <c r="Z197" s="0" t="str">
        <f aca="false">PROPER(TRIM(AU197))</f>
        <v>Paid</v>
      </c>
      <c r="AA197" s="0" t="str">
        <f aca="false">PROPER(TRIM(AV197))</f>
        <v>Completed</v>
      </c>
      <c r="AB197" s="0" t="str">
        <f aca="false">IF(TRIM(AN197)="","Yes","No")</f>
        <v>No</v>
      </c>
      <c r="AC197" s="0" t="str">
        <f aca="false">IF(TRIM(AS197)="","Yes","No")</f>
        <v>No</v>
      </c>
      <c r="AD197" s="0" t="str">
        <f aca="false">IF(AT197="","Yes","No")</f>
        <v>No</v>
      </c>
      <c r="AE197" s="0" t="str">
        <f aca="false">IF(W197&lt;0,"Yes","No")</f>
        <v>No</v>
      </c>
      <c r="AF197" s="0" t="str">
        <f aca="false">IF(P197="","No",IF(OR(P197&lt;0,P197&gt;0.3),"Yes","No"))</f>
        <v>No</v>
      </c>
      <c r="AG197" s="4" t="s">
        <v>50</v>
      </c>
      <c r="AH197" s="0" t="str">
        <f aca="false">IF(AND(AA197="Completed",Z197="Paid"),"Yes","No")</f>
        <v>Yes</v>
      </c>
      <c r="AI197" s="0" t="str">
        <f aca="false">IF(OR(AE197="Yes",AF197="Yes",AG197="Yes"),"Invalid",IF(OR(AB197="Yes",AC197="Yes",AD197="Yes"),"Warning","Clean"))</f>
        <v>Clean</v>
      </c>
      <c r="AJ197" s="4" t="s">
        <v>902</v>
      </c>
      <c r="AK197" s="4" t="s">
        <v>903</v>
      </c>
      <c r="AL197" s="4" t="s">
        <v>115</v>
      </c>
      <c r="AM197" s="4" t="s">
        <v>134</v>
      </c>
      <c r="AN197" s="4" t="s">
        <v>87</v>
      </c>
      <c r="AO197" s="4" t="s">
        <v>121</v>
      </c>
      <c r="AP197" s="4" t="s">
        <v>122</v>
      </c>
      <c r="AQ197" s="4" t="s">
        <v>72</v>
      </c>
      <c r="AR197" s="4" t="s">
        <v>90</v>
      </c>
      <c r="AS197" s="4" t="s">
        <v>74</v>
      </c>
      <c r="AT197" s="0" t="n">
        <v>0</v>
      </c>
      <c r="AU197" s="4" t="s">
        <v>61</v>
      </c>
      <c r="AV197" s="4" t="s">
        <v>62</v>
      </c>
    </row>
    <row r="198" customFormat="false" ht="15" hidden="false" customHeight="false" outlineLevel="0" collapsed="false">
      <c r="A198" s="0" t="s">
        <v>904</v>
      </c>
      <c r="B198" s="3" t="n">
        <f aca="false">IF(AJ198="","",IF(ISNUMBER(SEARCH("/",AJ198)),DATE(VALUE(RIGHT(AJ198,4)),VALUE(LEFT(AJ198,2)),VALUE(MID(AJ198,4,2))),IF(ISNUMBER(SEARCH("-",AJ198)),IF(LEN(LEFT(AJ198,FIND("-",AJ198)-1))=4,DATE(VALUE(LEFT(AJ198,4)),VALUE(MID(AJ198,6,2)),VALUE(RIGHT(AJ198,2))),DATE(VALUE(RIGHT(AJ198,4)),VALUE(MID(AJ198,4,2)),VALUE(LEFT(AJ198,2)))),DATE(VALUE(RIGHT(AJ198,4)),MATCH(MID(AJ198,4,3),{"Jan","Feb","Mar","Apr","May","Jun","Jul","Aug","Sep","Oct","Nov","Dec"},0),VALUE(LEFT(AJ198,2))))))</f>
        <v>45313</v>
      </c>
      <c r="C198" s="3" t="n">
        <f aca="false">IF(AK198="","",IF(ISNUMBER(SEARCH("/",AK198)),DATE(VALUE(RIGHT(AK198,4)),VALUE(LEFT(AK198,2)),VALUE(MID(AK198,4,2))),IF(ISNUMBER(SEARCH("-",AK198)),IF(LEN(LEFT(AK198,FIND("-",AK198)-1))=4,DATE(VALUE(LEFT(AK198,4)),VALUE(MID(AK198,6,2)),VALUE(RIGHT(AK198,2))),DATE(VALUE(RIGHT(AK198,4)),VALUE(MID(AK198,4,2)),VALUE(LEFT(AK198,2)))),DATE(VALUE(RIGHT(AK198,4)),MATCH(MID(AK198,4,3),{"Jan","Feb","Mar","Apr","May","Jun","Jul","Aug","Sep","Oct","Nov","Dec"},0),VALUE(LEFT(AK198,2))))))</f>
        <v>45316</v>
      </c>
      <c r="D198" s="4" t="s">
        <v>905</v>
      </c>
      <c r="E198" s="0" t="str">
        <f aca="false">PROPER(TRIM(AL198))</f>
        <v>Kabir Singh</v>
      </c>
      <c r="F198" s="0" t="str">
        <f aca="false">PROPER(TRIM(AM198))</f>
        <v>Home Office</v>
      </c>
      <c r="G198" s="0" t="str">
        <f aca="false">IF(TRIM(AN198)="","Unknown",PROPER(TRIM(AN198)))</f>
        <v>North</v>
      </c>
      <c r="H198" s="0" t="str">
        <f aca="false">PROPER(TRIM(AO198))</f>
        <v>Uttar Pradesh</v>
      </c>
      <c r="I198" s="0" t="str">
        <f aca="false">PROPER(TRIM(AP198))</f>
        <v>Noida</v>
      </c>
      <c r="J198" s="0" t="str">
        <f aca="false">PROPER(TRIM(AQ198))</f>
        <v>Office Supplies</v>
      </c>
      <c r="K198" s="0" t="str">
        <f aca="false">PROPER(TRIM(AR198))</f>
        <v>Storage</v>
      </c>
      <c r="M198" s="0" t="str">
        <f aca="false">IF(TRIM(AS198)="","Unknown",PROPER(TRIM(AS198)))</f>
        <v>First Class</v>
      </c>
      <c r="N198" s="0" t="n">
        <v>3</v>
      </c>
      <c r="O198" s="0" t="n">
        <v>1212.03</v>
      </c>
      <c r="P198" s="5" t="n">
        <f aca="false">IF(AT198="","",IF(ISNUMBER(AT198),AT198,VALUE(SUBSTITUTE(AT198,"%",""))/100))</f>
        <v>0.1</v>
      </c>
      <c r="Q198" s="5" t="n">
        <f aca="false">IF(P198="",IF(AND(N198&lt;&gt;"",O198&lt;&gt;"",R198&lt;&gt;"",S198&lt;&gt;""),0,"REVIEW"),IF(OR(P198&lt;0,P198&gt;0.3),0,P198))</f>
        <v>0.1</v>
      </c>
      <c r="R198" s="0" t="n">
        <v>3272.48</v>
      </c>
      <c r="S198" s="0" t="n">
        <v>2517.44</v>
      </c>
      <c r="T198" s="6" t="n">
        <f aca="false">N198*O198*(1-Q198)</f>
        <v>3272.481</v>
      </c>
      <c r="U198" s="6" t="n">
        <f aca="false">T198-S198</f>
        <v>755.041</v>
      </c>
      <c r="V198" s="7" t="n">
        <f aca="false">IF(T198=0,0,U198/T198)</f>
        <v>0.230724334228373</v>
      </c>
      <c r="W198" s="4" t="n">
        <f aca="false">C198-B198</f>
        <v>3</v>
      </c>
      <c r="X198" s="0" t="str">
        <f aca="false">TEXT(B198,"mmmm")</f>
        <v>January</v>
      </c>
      <c r="Y198" s="4" t="n">
        <f aca="false">YEAR(B198)</f>
        <v>2024</v>
      </c>
      <c r="Z198" s="0" t="str">
        <f aca="false">PROPER(TRIM(AU198))</f>
        <v>Paid</v>
      </c>
      <c r="AA198" s="0" t="str">
        <f aca="false">PROPER(TRIM(AV198))</f>
        <v>Completed</v>
      </c>
      <c r="AB198" s="0" t="str">
        <f aca="false">IF(TRIM(AN198)="","Yes","No")</f>
        <v>No</v>
      </c>
      <c r="AC198" s="0" t="str">
        <f aca="false">IF(TRIM(AS198)="","Yes","No")</f>
        <v>No</v>
      </c>
      <c r="AD198" s="0" t="str">
        <f aca="false">IF(AT198="","Yes","No")</f>
        <v>No</v>
      </c>
      <c r="AE198" s="0" t="str">
        <f aca="false">IF(W198&lt;0,"Yes","No")</f>
        <v>No</v>
      </c>
      <c r="AF198" s="0" t="str">
        <f aca="false">IF(P198="","No",IF(OR(P198&lt;0,P198&gt;0.3),"Yes","No"))</f>
        <v>No</v>
      </c>
      <c r="AG198" s="4" t="s">
        <v>50</v>
      </c>
      <c r="AH198" s="0" t="str">
        <f aca="false">IF(AND(AA198="Completed",Z198="Paid"),"Yes","No")</f>
        <v>Yes</v>
      </c>
      <c r="AI198" s="0" t="str">
        <f aca="false">IF(OR(AE198="Yes",AF198="Yes",AG198="Yes"),"Invalid",IF(OR(AB198="Yes",AC198="Yes",AD198="Yes"),"Warning","Clean"))</f>
        <v>Clean</v>
      </c>
      <c r="AJ198" s="4" t="s">
        <v>906</v>
      </c>
      <c r="AK198" s="4" t="s">
        <v>907</v>
      </c>
      <c r="AL198" s="4" t="s">
        <v>347</v>
      </c>
      <c r="AM198" s="4" t="s">
        <v>134</v>
      </c>
      <c r="AN198" s="4" t="s">
        <v>168</v>
      </c>
      <c r="AO198" s="4" t="s">
        <v>186</v>
      </c>
      <c r="AP198" s="4" t="s">
        <v>187</v>
      </c>
      <c r="AQ198" s="4" t="s">
        <v>58</v>
      </c>
      <c r="AR198" s="4" t="s">
        <v>171</v>
      </c>
      <c r="AS198" s="4" t="s">
        <v>81</v>
      </c>
      <c r="AT198" s="0" t="n">
        <v>0.1</v>
      </c>
      <c r="AU198" s="4" t="s">
        <v>61</v>
      </c>
      <c r="AV198" s="4" t="s">
        <v>62</v>
      </c>
    </row>
    <row r="199" customFormat="false" ht="15" hidden="false" customHeight="false" outlineLevel="0" collapsed="false">
      <c r="A199" s="0" t="s">
        <v>908</v>
      </c>
      <c r="B199" s="3" t="n">
        <f aca="false">IF(AJ199="","",IF(ISNUMBER(SEARCH("/",AJ199)),DATE(VALUE(RIGHT(AJ199,4)),VALUE(LEFT(AJ199,2)),VALUE(MID(AJ199,4,2))),IF(ISNUMBER(SEARCH("-",AJ199)),IF(LEN(LEFT(AJ199,FIND("-",AJ199)-1))=4,DATE(VALUE(LEFT(AJ199,4)),VALUE(MID(AJ199,6,2)),VALUE(RIGHT(AJ199,2))),DATE(VALUE(RIGHT(AJ199,4)),VALUE(MID(AJ199,4,2)),VALUE(LEFT(AJ199,2)))),DATE(VALUE(RIGHT(AJ199,4)),MATCH(MID(AJ199,4,3),{"Jan","Feb","Mar","Apr","May","Jun","Jul","Aug","Sep","Oct","Nov","Dec"},0),VALUE(LEFT(AJ199,2))))))</f>
        <v>45747</v>
      </c>
      <c r="C199" s="3" t="n">
        <f aca="false">IF(AK199="","",IF(ISNUMBER(SEARCH("/",AK199)),DATE(VALUE(RIGHT(AK199,4)),VALUE(LEFT(AK199,2)),VALUE(MID(AK199,4,2))),IF(ISNUMBER(SEARCH("-",AK199)),IF(LEN(LEFT(AK199,FIND("-",AK199)-1))=4,DATE(VALUE(LEFT(AK199,4)),VALUE(MID(AK199,6,2)),VALUE(RIGHT(AK199,2))),DATE(VALUE(RIGHT(AK199,4)),VALUE(MID(AK199,4,2)),VALUE(LEFT(AK199,2)))),DATE(VALUE(RIGHT(AK199,4)),MATCH(MID(AK199,4,3),{"Jan","Feb","Mar","Apr","May","Jun","Jul","Aug","Sep","Oct","Nov","Dec"},0),VALUE(LEFT(AK199,2))))))</f>
        <v>45754</v>
      </c>
      <c r="D199" s="4" t="s">
        <v>507</v>
      </c>
      <c r="E199" s="0" t="str">
        <f aca="false">PROPER(TRIM(AL199))</f>
        <v>Rahul Verma</v>
      </c>
      <c r="F199" s="0" t="str">
        <f aca="false">PROPER(TRIM(AM199))</f>
        <v>Small Business</v>
      </c>
      <c r="G199" s="0" t="str">
        <f aca="false">IF(TRIM(AN199)="","Unknown",PROPER(TRIM(AN199)))</f>
        <v>East</v>
      </c>
      <c r="H199" s="0" t="str">
        <f aca="false">PROPER(TRIM(AO199))</f>
        <v>Bihar</v>
      </c>
      <c r="I199" s="0" t="str">
        <f aca="false">PROPER(TRIM(AP199))</f>
        <v>Patna</v>
      </c>
      <c r="J199" s="0" t="str">
        <f aca="false">PROPER(TRIM(AQ199))</f>
        <v>Office Supplies</v>
      </c>
      <c r="K199" s="0" t="str">
        <f aca="false">PROPER(TRIM(AR199))</f>
        <v>Storage</v>
      </c>
      <c r="M199" s="0" t="str">
        <f aca="false">IF(TRIM(AS199)="","Unknown",PROPER(TRIM(AS199)))</f>
        <v>Second Class</v>
      </c>
      <c r="N199" s="0" t="n">
        <v>5</v>
      </c>
      <c r="O199" s="0" t="n">
        <v>4096.44</v>
      </c>
      <c r="P199" s="5" t="n">
        <f aca="false">IF(AT199="","",IF(ISNUMBER(AT199),AT199,VALUE(SUBSTITUTE(AT199,"%",""))/100))</f>
        <v>0.15</v>
      </c>
      <c r="Q199" s="5" t="n">
        <f aca="false">IF(P199="",IF(AND(N199&lt;&gt;"",O199&lt;&gt;"",R199&lt;&gt;"",S199&lt;&gt;""),0,"REVIEW"),IF(OR(P199&lt;0,P199&gt;0.3),0,P199))</f>
        <v>0.15</v>
      </c>
      <c r="R199" s="0" t="n">
        <v>17409.87</v>
      </c>
      <c r="S199" s="0" t="n">
        <v>14076.25</v>
      </c>
      <c r="T199" s="6" t="n">
        <f aca="false">N199*O199*(1-Q199)</f>
        <v>17409.87</v>
      </c>
      <c r="U199" s="6" t="n">
        <f aca="false">T199-S199</f>
        <v>3333.62</v>
      </c>
      <c r="V199" s="7" t="n">
        <f aca="false">IF(T199=0,0,U199/T199)</f>
        <v>0.191478741656313</v>
      </c>
      <c r="W199" s="4" t="n">
        <f aca="false">C199-B199</f>
        <v>7</v>
      </c>
      <c r="X199" s="0" t="str">
        <f aca="false">TEXT(B199,"mmmm")</f>
        <v>March</v>
      </c>
      <c r="Y199" s="4" t="n">
        <f aca="false">YEAR(B199)</f>
        <v>2025</v>
      </c>
      <c r="Z199" s="0" t="str">
        <f aca="false">PROPER(TRIM(AU199))</f>
        <v>Paid</v>
      </c>
      <c r="AA199" s="0" t="str">
        <f aca="false">PROPER(TRIM(AV199))</f>
        <v>Completed</v>
      </c>
      <c r="AB199" s="0" t="str">
        <f aca="false">IF(TRIM(AN199)="","Yes","No")</f>
        <v>No</v>
      </c>
      <c r="AC199" s="0" t="str">
        <f aca="false">IF(TRIM(AS199)="","Yes","No")</f>
        <v>No</v>
      </c>
      <c r="AD199" s="0" t="str">
        <f aca="false">IF(AT199="","Yes","No")</f>
        <v>No</v>
      </c>
      <c r="AE199" s="0" t="str">
        <f aca="false">IF(W199&lt;0,"Yes","No")</f>
        <v>No</v>
      </c>
      <c r="AF199" s="0" t="str">
        <f aca="false">IF(P199="","No",IF(OR(P199&lt;0,P199&gt;0.3),"Yes","No"))</f>
        <v>No</v>
      </c>
      <c r="AG199" s="4" t="s">
        <v>50</v>
      </c>
      <c r="AH199" s="0" t="str">
        <f aca="false">IF(AND(AA199="Completed",Z199="Paid"),"Yes","No")</f>
        <v>Yes</v>
      </c>
      <c r="AI199" s="0" t="str">
        <f aca="false">IF(OR(AE199="Yes",AF199="Yes",AG199="Yes"),"Invalid",IF(OR(AB199="Yes",AC199="Yes",AD199="Yes"),"Warning","Clean"))</f>
        <v>Clean</v>
      </c>
      <c r="AJ199" s="4" t="s">
        <v>350</v>
      </c>
      <c r="AK199" s="4" t="s">
        <v>909</v>
      </c>
      <c r="AL199" s="4" t="s">
        <v>163</v>
      </c>
      <c r="AM199" s="4" t="s">
        <v>620</v>
      </c>
      <c r="AN199" s="4" t="s">
        <v>69</v>
      </c>
      <c r="AO199" s="4" t="s">
        <v>196</v>
      </c>
      <c r="AP199" s="4" t="s">
        <v>197</v>
      </c>
      <c r="AQ199" s="4" t="s">
        <v>58</v>
      </c>
      <c r="AR199" s="4" t="s">
        <v>171</v>
      </c>
      <c r="AS199" s="4" t="s">
        <v>60</v>
      </c>
      <c r="AT199" s="0" t="n">
        <v>0.15</v>
      </c>
      <c r="AU199" s="4" t="s">
        <v>61</v>
      </c>
      <c r="AV199" s="4" t="s">
        <v>62</v>
      </c>
    </row>
    <row r="200" customFormat="false" ht="15" hidden="false" customHeight="false" outlineLevel="0" collapsed="false">
      <c r="A200" s="0" t="s">
        <v>910</v>
      </c>
      <c r="B200" s="3" t="n">
        <f aca="false">IF(AJ200="","",IF(ISNUMBER(SEARCH("/",AJ200)),DATE(VALUE(RIGHT(AJ200,4)),VALUE(LEFT(AJ200,2)),VALUE(MID(AJ200,4,2))),IF(ISNUMBER(SEARCH("-",AJ200)),IF(LEN(LEFT(AJ200,FIND("-",AJ200)-1))=4,DATE(VALUE(LEFT(AJ200,4)),VALUE(MID(AJ200,6,2)),VALUE(RIGHT(AJ200,2))),DATE(VALUE(RIGHT(AJ200,4)),VALUE(MID(AJ200,4,2)),VALUE(LEFT(AJ200,2)))),DATE(VALUE(RIGHT(AJ200,4)),MATCH(MID(AJ200,4,3),{"Jan","Feb","Mar","Apr","May","Jun","Jul","Aug","Sep","Oct","Nov","Dec"},0),VALUE(LEFT(AJ200,2))))))</f>
        <v>45448</v>
      </c>
      <c r="C200" s="3" t="n">
        <f aca="false">IF(AK200="","",IF(ISNUMBER(SEARCH("/",AK200)),DATE(VALUE(RIGHT(AK200,4)),VALUE(LEFT(AK200,2)),VALUE(MID(AK200,4,2))),IF(ISNUMBER(SEARCH("-",AK200)),IF(LEN(LEFT(AK200,FIND("-",AK200)-1))=4,DATE(VALUE(LEFT(AK200,4)),VALUE(MID(AK200,6,2)),VALUE(RIGHT(AK200,2))),DATE(VALUE(RIGHT(AK200,4)),VALUE(MID(AK200,4,2)),VALUE(LEFT(AK200,2)))),DATE(VALUE(RIGHT(AK200,4)),MATCH(MID(AK200,4,3),{"Jan","Feb","Mar","Apr","May","Jun","Jul","Aug","Sep","Oct","Nov","Dec"},0),VALUE(LEFT(AK200,2))))))</f>
        <v>45449</v>
      </c>
      <c r="D200" s="4" t="s">
        <v>911</v>
      </c>
      <c r="E200" s="0" t="str">
        <f aca="false">PROPER(TRIM(AL200))</f>
        <v>Sneha Kapoor</v>
      </c>
      <c r="F200" s="0" t="str">
        <f aca="false">PROPER(TRIM(AM200))</f>
        <v>Consumer</v>
      </c>
      <c r="G200" s="0" t="str">
        <f aca="false">IF(TRIM(AN200)="","Unknown",PROPER(TRIM(AN200)))</f>
        <v>West</v>
      </c>
      <c r="H200" s="0" t="str">
        <f aca="false">PROPER(TRIM(AO200))</f>
        <v>Gujarat</v>
      </c>
      <c r="I200" s="0" t="str">
        <f aca="false">PROPER(TRIM(AP200))</f>
        <v>Ahmedabad</v>
      </c>
      <c r="J200" s="0" t="str">
        <f aca="false">PROPER(TRIM(AQ200))</f>
        <v>Office Supplies</v>
      </c>
      <c r="K200" s="0" t="str">
        <f aca="false">PROPER(TRIM(AR200))</f>
        <v>Art</v>
      </c>
      <c r="M200" s="0" t="str">
        <f aca="false">IF(TRIM(AS200)="","Unknown",PROPER(TRIM(AS200)))</f>
        <v>Second Class</v>
      </c>
      <c r="N200" s="0" t="n">
        <v>1</v>
      </c>
      <c r="O200" s="0" t="n">
        <v>1184.58</v>
      </c>
      <c r="P200" s="5" t="n">
        <f aca="false">IF(AT200="","",IF(ISNUMBER(AT200),AT200,VALUE(SUBSTITUTE(AT200,"%",""))/100))</f>
        <v>0.05</v>
      </c>
      <c r="Q200" s="5" t="n">
        <f aca="false">IF(P200="",IF(AND(N200&lt;&gt;"",O200&lt;&gt;"",R200&lt;&gt;"",S200&lt;&gt;""),0,"REVIEW"),IF(OR(P200&lt;0,P200&gt;0.3),0,P200))</f>
        <v>0.05</v>
      </c>
      <c r="R200" s="0" t="n">
        <v>1125.35</v>
      </c>
      <c r="S200" s="0" t="n">
        <v>676.97</v>
      </c>
      <c r="T200" s="6" t="n">
        <f aca="false">N200*O200*(1-Q200)</f>
        <v>1125.351</v>
      </c>
      <c r="U200" s="6" t="n">
        <f aca="false">T200-S200</f>
        <v>448.381</v>
      </c>
      <c r="V200" s="7" t="n">
        <f aca="false">IF(T200=0,0,U200/T200)</f>
        <v>0.398436576676966</v>
      </c>
      <c r="W200" s="4" t="n">
        <f aca="false">C200-B200</f>
        <v>1</v>
      </c>
      <c r="X200" s="0" t="str">
        <f aca="false">TEXT(B200,"mmmm")</f>
        <v>June</v>
      </c>
      <c r="Y200" s="4" t="n">
        <f aca="false">YEAR(B200)</f>
        <v>2024</v>
      </c>
      <c r="Z200" s="0" t="str">
        <f aca="false">PROPER(TRIM(AU200))</f>
        <v>Failed</v>
      </c>
      <c r="AA200" s="0" t="str">
        <f aca="false">PROPER(TRIM(AV200))</f>
        <v>Cancelled</v>
      </c>
      <c r="AB200" s="0" t="str">
        <f aca="false">IF(TRIM(AN200)="","Yes","No")</f>
        <v>No</v>
      </c>
      <c r="AC200" s="0" t="str">
        <f aca="false">IF(TRIM(AS200)="","Yes","No")</f>
        <v>No</v>
      </c>
      <c r="AD200" s="0" t="str">
        <f aca="false">IF(AT200="","Yes","No")</f>
        <v>No</v>
      </c>
      <c r="AE200" s="0" t="str">
        <f aca="false">IF(W200&lt;0,"Yes","No")</f>
        <v>No</v>
      </c>
      <c r="AF200" s="0" t="str">
        <f aca="false">IF(P200="","No",IF(OR(P200&lt;0,P200&gt;0.3),"Yes","No"))</f>
        <v>No</v>
      </c>
      <c r="AG200" s="4" t="s">
        <v>50</v>
      </c>
      <c r="AH200" s="0" t="str">
        <f aca="false">IF(AND(AA200="Completed",Z200="Paid"),"Yes","No")</f>
        <v>No</v>
      </c>
      <c r="AI200" s="0" t="str">
        <f aca="false">IF(OR(AE200="Yes",AF200="Yes",AG200="Yes"),"Invalid",IF(OR(AB200="Yes",AC200="Yes",AD200="Yes"),"Warning","Clean"))</f>
        <v>Clean</v>
      </c>
      <c r="AJ200" s="4" t="s">
        <v>912</v>
      </c>
      <c r="AK200" s="4" t="s">
        <v>913</v>
      </c>
      <c r="AL200" s="4" t="s">
        <v>181</v>
      </c>
      <c r="AM200" s="4" t="s">
        <v>54</v>
      </c>
      <c r="AN200" s="4" t="s">
        <v>97</v>
      </c>
      <c r="AO200" s="4" t="s">
        <v>238</v>
      </c>
      <c r="AP200" s="4" t="s">
        <v>239</v>
      </c>
      <c r="AQ200" s="4" t="s">
        <v>58</v>
      </c>
      <c r="AR200" s="4" t="s">
        <v>80</v>
      </c>
      <c r="AS200" s="4" t="s">
        <v>60</v>
      </c>
      <c r="AT200" s="0" t="n">
        <v>0.05</v>
      </c>
      <c r="AU200" s="4" t="s">
        <v>207</v>
      </c>
      <c r="AV200" s="4" t="s">
        <v>101</v>
      </c>
    </row>
    <row r="201" customFormat="false" ht="15" hidden="false" customHeight="false" outlineLevel="0" collapsed="false">
      <c r="A201" s="0" t="s">
        <v>914</v>
      </c>
      <c r="B201" s="3" t="n">
        <f aca="false">IF(AJ201="","",IF(ISNUMBER(SEARCH("/",AJ201)),DATE(VALUE(RIGHT(AJ201,4)),VALUE(LEFT(AJ201,2)),VALUE(MID(AJ201,4,2))),IF(ISNUMBER(SEARCH("-",AJ201)),IF(LEN(LEFT(AJ201,FIND("-",AJ201)-1))=4,DATE(VALUE(LEFT(AJ201,4)),VALUE(MID(AJ201,6,2)),VALUE(RIGHT(AJ201,2))),DATE(VALUE(RIGHT(AJ201,4)),VALUE(MID(AJ201,4,2)),VALUE(LEFT(AJ201,2)))),DATE(VALUE(RIGHT(AJ201,4)),MATCH(MID(AJ201,4,3),{"Jan","Feb","Mar","Apr","May","Jun","Jul","Aug","Sep","Oct","Nov","Dec"},0),VALUE(LEFT(AJ201,2))))))</f>
        <v>45363</v>
      </c>
      <c r="C201" s="3" t="n">
        <f aca="false">IF(AK201="","",IF(ISNUMBER(SEARCH("/",AK201)),DATE(VALUE(RIGHT(AK201,4)),VALUE(LEFT(AK201,2)),VALUE(MID(AK201,4,2))),IF(ISNUMBER(SEARCH("-",AK201)),IF(LEN(LEFT(AK201,FIND("-",AK201)-1))=4,DATE(VALUE(LEFT(AK201,4)),VALUE(MID(AK201,6,2)),VALUE(RIGHT(AK201,2))),DATE(VALUE(RIGHT(AK201,4)),VALUE(MID(AK201,4,2)),VALUE(LEFT(AK201,2)))),DATE(VALUE(RIGHT(AK201,4)),MATCH(MID(AK201,4,3),{"Jan","Feb","Mar","Apr","May","Jun","Jul","Aug","Sep","Oct","Nov","Dec"},0),VALUE(LEFT(AK201,2))))))</f>
        <v>45363</v>
      </c>
      <c r="D201" s="4" t="s">
        <v>915</v>
      </c>
      <c r="E201" s="0" t="str">
        <f aca="false">PROPER(TRIM(AL201))</f>
        <v>Rahul Verma</v>
      </c>
      <c r="F201" s="0" t="str">
        <f aca="false">PROPER(TRIM(AM201))</f>
        <v>Home Office</v>
      </c>
      <c r="G201" s="0" t="str">
        <f aca="false">IF(TRIM(AN201)="","Unknown",PROPER(TRIM(AN201)))</f>
        <v>East</v>
      </c>
      <c r="H201" s="0" t="str">
        <f aca="false">PROPER(TRIM(AO201))</f>
        <v>Bihar</v>
      </c>
      <c r="I201" s="0" t="str">
        <f aca="false">PROPER(TRIM(AP201))</f>
        <v>Patna</v>
      </c>
      <c r="J201" s="0" t="str">
        <f aca="false">PROPER(TRIM(AQ201))</f>
        <v>Technology</v>
      </c>
      <c r="K201" s="0" t="str">
        <f aca="false">PROPER(TRIM(AR201))</f>
        <v>Machines</v>
      </c>
      <c r="M201" s="0" t="str">
        <f aca="false">IF(TRIM(AS201)="","Unknown",PROPER(TRIM(AS201)))</f>
        <v>Unknown</v>
      </c>
      <c r="N201" s="0" t="n">
        <v>6</v>
      </c>
      <c r="O201" s="0" t="n">
        <v>2185.58</v>
      </c>
      <c r="P201" s="5" t="n">
        <f aca="false">IF(AT201="","",IF(ISNUMBER(AT201),AT201,VALUE(SUBSTITUTE(AT201,"%",""))/100))</f>
        <v>0.25</v>
      </c>
      <c r="Q201" s="5" t="n">
        <f aca="false">IF(P201="",IF(AND(N201&lt;&gt;"",O201&lt;&gt;"",R201&lt;&gt;"",S201&lt;&gt;""),0,"REVIEW"),IF(OR(P201&lt;0,P201&gt;0.3),0,P201))</f>
        <v>0.25</v>
      </c>
      <c r="R201" s="0" t="n">
        <v>9835.11</v>
      </c>
      <c r="S201" s="0" t="n">
        <v>5437.64</v>
      </c>
      <c r="T201" s="6" t="n">
        <f aca="false">N201*O201*(1-Q201)</f>
        <v>9835.11</v>
      </c>
      <c r="U201" s="6" t="n">
        <f aca="false">T201-S201</f>
        <v>4397.47</v>
      </c>
      <c r="V201" s="7" t="n">
        <f aca="false">IF(T201=0,0,U201/T201)</f>
        <v>0.44711955433137</v>
      </c>
      <c r="W201" s="4" t="n">
        <f aca="false">C201-B201</f>
        <v>0</v>
      </c>
      <c r="X201" s="0" t="str">
        <f aca="false">TEXT(B201,"mmmm")</f>
        <v>March</v>
      </c>
      <c r="Y201" s="4" t="n">
        <f aca="false">YEAR(B201)</f>
        <v>2024</v>
      </c>
      <c r="Z201" s="0" t="str">
        <f aca="false">PROPER(TRIM(AU201))</f>
        <v>Paid</v>
      </c>
      <c r="AA201" s="0" t="str">
        <f aca="false">PROPER(TRIM(AV201))</f>
        <v>Completed</v>
      </c>
      <c r="AB201" s="0" t="str">
        <f aca="false">IF(TRIM(AN201)="","Yes","No")</f>
        <v>No</v>
      </c>
      <c r="AC201" s="0" t="str">
        <f aca="false">IF(TRIM(AS201)="","Yes","No")</f>
        <v>Yes</v>
      </c>
      <c r="AD201" s="0" t="str">
        <f aca="false">IF(AT201="","Yes","No")</f>
        <v>No</v>
      </c>
      <c r="AE201" s="0" t="str">
        <f aca="false">IF(W201&lt;0,"Yes","No")</f>
        <v>No</v>
      </c>
      <c r="AF201" s="0" t="str">
        <f aca="false">IF(P201="","No",IF(OR(P201&lt;0,P201&gt;0.3),"Yes","No"))</f>
        <v>No</v>
      </c>
      <c r="AG201" s="4" t="s">
        <v>50</v>
      </c>
      <c r="AH201" s="0" t="str">
        <f aca="false">IF(AND(AA201="Completed",Z201="Paid"),"Yes","No")</f>
        <v>Yes</v>
      </c>
      <c r="AI201" s="0" t="str">
        <f aca="false">IF(OR(AE201="Yes",AF201="Yes",AG201="Yes"),"Invalid",IF(OR(AB201="Yes",AC201="Yes",AD201="Yes"),"Warning","Clean"))</f>
        <v>Warning</v>
      </c>
      <c r="AJ201" s="4" t="s">
        <v>294</v>
      </c>
      <c r="AK201" s="4" t="s">
        <v>916</v>
      </c>
      <c r="AL201" s="4" t="s">
        <v>163</v>
      </c>
      <c r="AM201" s="4" t="s">
        <v>134</v>
      </c>
      <c r="AN201" s="4" t="s">
        <v>69</v>
      </c>
      <c r="AO201" s="4" t="s">
        <v>196</v>
      </c>
      <c r="AP201" s="4" t="s">
        <v>197</v>
      </c>
      <c r="AQ201" s="4" t="s">
        <v>109</v>
      </c>
      <c r="AR201" s="4" t="s">
        <v>360</v>
      </c>
      <c r="AT201" s="0" t="n">
        <v>0.25</v>
      </c>
      <c r="AU201" s="4" t="s">
        <v>61</v>
      </c>
      <c r="AV201" s="4" t="s">
        <v>62</v>
      </c>
    </row>
    <row r="202" customFormat="false" ht="15" hidden="false" customHeight="false" outlineLevel="0" collapsed="false">
      <c r="A202" s="0" t="s">
        <v>917</v>
      </c>
      <c r="B202" s="3" t="n">
        <f aca="false">IF(AJ202="","",IF(ISNUMBER(SEARCH("/",AJ202)),DATE(VALUE(RIGHT(AJ202,4)),VALUE(LEFT(AJ202,2)),VALUE(MID(AJ202,4,2))),IF(ISNUMBER(SEARCH("-",AJ202)),IF(LEN(LEFT(AJ202,FIND("-",AJ202)-1))=4,DATE(VALUE(LEFT(AJ202,4)),VALUE(MID(AJ202,6,2)),VALUE(RIGHT(AJ202,2))),DATE(VALUE(RIGHT(AJ202,4)),VALUE(MID(AJ202,4,2)),VALUE(LEFT(AJ202,2)))),DATE(VALUE(RIGHT(AJ202,4)),MATCH(MID(AJ202,4,3),{"Jan","Feb","Mar","Apr","May","Jun","Jul","Aug","Sep","Oct","Nov","Dec"},0),VALUE(LEFT(AJ202,2))))))</f>
        <v>45835</v>
      </c>
      <c r="C202" s="3" t="n">
        <f aca="false">IF(AK202="","",IF(ISNUMBER(SEARCH("/",AK202)),DATE(VALUE(RIGHT(AK202,4)),VALUE(LEFT(AK202,2)),VALUE(MID(AK202,4,2))),IF(ISNUMBER(SEARCH("-",AK202)),IF(LEN(LEFT(AK202,FIND("-",AK202)-1))=4,DATE(VALUE(LEFT(AK202,4)),VALUE(MID(AK202,6,2)),VALUE(RIGHT(AK202,2))),DATE(VALUE(RIGHT(AK202,4)),VALUE(MID(AK202,4,2)),VALUE(LEFT(AK202,2)))),DATE(VALUE(RIGHT(AK202,4)),MATCH(MID(AK202,4,3),{"Jan","Feb","Mar","Apr","May","Jun","Jul","Aug","Sep","Oct","Nov","Dec"},0),VALUE(LEFT(AK202,2))))))</f>
        <v>45843</v>
      </c>
      <c r="D202" s="4" t="s">
        <v>918</v>
      </c>
      <c r="E202" s="0" t="str">
        <f aca="false">PROPER(TRIM(AL202))</f>
        <v>Priya Menon</v>
      </c>
      <c r="F202" s="0" t="str">
        <f aca="false">PROPER(TRIM(AM202))</f>
        <v>Small Business</v>
      </c>
      <c r="G202" s="0" t="str">
        <f aca="false">IF(TRIM(AN202)="","Unknown",PROPER(TRIM(AN202)))</f>
        <v>North</v>
      </c>
      <c r="H202" s="0" t="str">
        <f aca="false">PROPER(TRIM(AO202))</f>
        <v>Rajasthan</v>
      </c>
      <c r="I202" s="0" t="str">
        <f aca="false">PROPER(TRIM(AP202))</f>
        <v>Jaipur</v>
      </c>
      <c r="J202" s="0" t="str">
        <f aca="false">PROPER(TRIM(AQ202))</f>
        <v>Technology</v>
      </c>
      <c r="K202" s="0" t="str">
        <f aca="false">PROPER(TRIM(AR202))</f>
        <v>Copiers</v>
      </c>
      <c r="M202" s="0" t="str">
        <f aca="false">IF(TRIM(AS202)="","Unknown",PROPER(TRIM(AS202)))</f>
        <v>First Class</v>
      </c>
      <c r="N202" s="0" t="n">
        <v>5</v>
      </c>
      <c r="O202" s="0" t="n">
        <v>2868.44</v>
      </c>
      <c r="P202" s="5" t="n">
        <f aca="false">IF(AT202="","",IF(ISNUMBER(AT202),AT202,VALUE(SUBSTITUTE(AT202,"%",""))/100))</f>
        <v>0.1</v>
      </c>
      <c r="Q202" s="5" t="n">
        <f aca="false">IF(P202="",IF(AND(N202&lt;&gt;"",O202&lt;&gt;"",R202&lt;&gt;"",S202&lt;&gt;""),0,"REVIEW"),IF(OR(P202&lt;0,P202&gt;0.3),0,P202))</f>
        <v>0.1</v>
      </c>
      <c r="R202" s="0" t="n">
        <v>12907.98</v>
      </c>
      <c r="S202" s="0" t="n">
        <v>9197.08</v>
      </c>
      <c r="T202" s="6" t="n">
        <f aca="false">N202*O202*(1-Q202)</f>
        <v>12907.98</v>
      </c>
      <c r="U202" s="6" t="n">
        <f aca="false">T202-S202</f>
        <v>3710.9</v>
      </c>
      <c r="V202" s="7" t="n">
        <f aca="false">IF(T202=0,0,U202/T202)</f>
        <v>0.287488824742524</v>
      </c>
      <c r="W202" s="4" t="n">
        <f aca="false">C202-B202</f>
        <v>8</v>
      </c>
      <c r="X202" s="0" t="str">
        <f aca="false">TEXT(B202,"mmmm")</f>
        <v>June</v>
      </c>
      <c r="Y202" s="4" t="n">
        <f aca="false">YEAR(B202)</f>
        <v>2025</v>
      </c>
      <c r="Z202" s="0" t="str">
        <f aca="false">PROPER(TRIM(AU202))</f>
        <v>Pending</v>
      </c>
      <c r="AA202" s="0" t="str">
        <f aca="false">PROPER(TRIM(AV202))</f>
        <v>Cancelled</v>
      </c>
      <c r="AB202" s="0" t="str">
        <f aca="false">IF(TRIM(AN202)="","Yes","No")</f>
        <v>No</v>
      </c>
      <c r="AC202" s="0" t="str">
        <f aca="false">IF(TRIM(AS202)="","Yes","No")</f>
        <v>No</v>
      </c>
      <c r="AD202" s="0" t="str">
        <f aca="false">IF(AT202="","Yes","No")</f>
        <v>No</v>
      </c>
      <c r="AE202" s="0" t="str">
        <f aca="false">IF(W202&lt;0,"Yes","No")</f>
        <v>No</v>
      </c>
      <c r="AF202" s="0" t="str">
        <f aca="false">IF(P202="","No",IF(OR(P202&lt;0,P202&gt;0.3),"Yes","No"))</f>
        <v>No</v>
      </c>
      <c r="AG202" s="4" t="s">
        <v>50</v>
      </c>
      <c r="AH202" s="0" t="str">
        <f aca="false">IF(AND(AA202="Completed",Z202="Paid"),"Yes","No")</f>
        <v>No</v>
      </c>
      <c r="AI202" s="0" t="str">
        <f aca="false">IF(OR(AE202="Yes",AF202="Yes",AG202="Yes"),"Invalid",IF(OR(AB202="Yes",AC202="Yes",AD202="Yes"),"Warning","Clean"))</f>
        <v>Clean</v>
      </c>
      <c r="AJ202" s="4" t="s">
        <v>857</v>
      </c>
      <c r="AK202" s="4" t="s">
        <v>919</v>
      </c>
      <c r="AL202" s="4" t="s">
        <v>158</v>
      </c>
      <c r="AM202" s="4" t="s">
        <v>68</v>
      </c>
      <c r="AN202" s="4" t="s">
        <v>168</v>
      </c>
      <c r="AO202" s="4" t="s">
        <v>56</v>
      </c>
      <c r="AP202" s="4" t="s">
        <v>57</v>
      </c>
      <c r="AQ202" s="4" t="s">
        <v>109</v>
      </c>
      <c r="AR202" s="4" t="s">
        <v>116</v>
      </c>
      <c r="AS202" s="4" t="s">
        <v>81</v>
      </c>
      <c r="AT202" s="0" t="n">
        <v>0.1</v>
      </c>
      <c r="AU202" s="4" t="s">
        <v>153</v>
      </c>
      <c r="AV202" s="4" t="s">
        <v>101</v>
      </c>
    </row>
    <row r="203" customFormat="false" ht="15" hidden="false" customHeight="false" outlineLevel="0" collapsed="false">
      <c r="A203" s="0" t="s">
        <v>920</v>
      </c>
      <c r="B203" s="3" t="n">
        <f aca="false">IF(AJ203="","",IF(ISNUMBER(SEARCH("/",AJ203)),DATE(VALUE(RIGHT(AJ203,4)),VALUE(LEFT(AJ203,2)),VALUE(MID(AJ203,4,2))),IF(ISNUMBER(SEARCH("-",AJ203)),IF(LEN(LEFT(AJ203,FIND("-",AJ203)-1))=4,DATE(VALUE(LEFT(AJ203,4)),VALUE(MID(AJ203,6,2)),VALUE(RIGHT(AJ203,2))),DATE(VALUE(RIGHT(AJ203,4)),VALUE(MID(AJ203,4,2)),VALUE(LEFT(AJ203,2)))),DATE(VALUE(RIGHT(AJ203,4)),MATCH(MID(AJ203,4,3),{"Jan","Feb","Mar","Apr","May","Jun","Jul","Aug","Sep","Oct","Nov","Dec"},0),VALUE(LEFT(AJ203,2))))))</f>
        <v>45864</v>
      </c>
      <c r="C203" s="3" t="n">
        <f aca="false">IF(AK203="","",IF(ISNUMBER(SEARCH("/",AK203)),DATE(VALUE(RIGHT(AK203,4)),VALUE(LEFT(AK203,2)),VALUE(MID(AK203,4,2))),IF(ISNUMBER(SEARCH("-",AK203)),IF(LEN(LEFT(AK203,FIND("-",AK203)-1))=4,DATE(VALUE(LEFT(AK203,4)),VALUE(MID(AK203,6,2)),VALUE(RIGHT(AK203,2))),DATE(VALUE(RIGHT(AK203,4)),VALUE(MID(AK203,4,2)),VALUE(LEFT(AK203,2)))),DATE(VALUE(RIGHT(AK203,4)),MATCH(MID(AK203,4,3),{"Jan","Feb","Mar","Apr","May","Jun","Jul","Aug","Sep","Oct","Nov","Dec"},0),VALUE(LEFT(AK203,2))))))</f>
        <v>45872</v>
      </c>
      <c r="D203" s="4" t="s">
        <v>921</v>
      </c>
      <c r="E203" s="0" t="str">
        <f aca="false">PROPER(TRIM(AL203))</f>
        <v>Vikram Iyer</v>
      </c>
      <c r="F203" s="0" t="str">
        <f aca="false">PROPER(TRIM(AM203))</f>
        <v>Consumer</v>
      </c>
      <c r="G203" s="0" t="str">
        <f aca="false">IF(TRIM(AN203)="","Unknown",PROPER(TRIM(AN203)))</f>
        <v>West</v>
      </c>
      <c r="H203" s="0" t="str">
        <f aca="false">PROPER(TRIM(AO203))</f>
        <v>Madhya Pradesh</v>
      </c>
      <c r="I203" s="0" t="str">
        <f aca="false">PROPER(TRIM(AP203))</f>
        <v>Indore</v>
      </c>
      <c r="J203" s="0" t="str">
        <f aca="false">PROPER(TRIM(AQ203))</f>
        <v>Office Supplies</v>
      </c>
      <c r="K203" s="0" t="str">
        <f aca="false">PROPER(TRIM(AR203))</f>
        <v>Labels</v>
      </c>
      <c r="M203" s="0" t="str">
        <f aca="false">IF(TRIM(AS203)="","Unknown",PROPER(TRIM(AS203)))</f>
        <v>Second Class</v>
      </c>
      <c r="N203" s="0" t="n">
        <v>2</v>
      </c>
      <c r="O203" s="0" t="n">
        <v>2503.53</v>
      </c>
      <c r="P203" s="5" t="n">
        <f aca="false">IF(AT203="","",IF(ISNUMBER(AT203),AT203,VALUE(SUBSTITUTE(AT203,"%",""))/100))</f>
        <v>-0.16</v>
      </c>
      <c r="Q203" s="5" t="n">
        <f aca="false">IF(P203="",IF(AND(N203&lt;&gt;"",O203&lt;&gt;"",R203&lt;&gt;"",S203&lt;&gt;""),0,"REVIEW"),IF(OR(P203&lt;0,P203&gt;0.3),0,P203))</f>
        <v>0</v>
      </c>
      <c r="R203" s="0" t="n">
        <v>4756.71</v>
      </c>
      <c r="S203" s="0" t="n">
        <v>2954.86</v>
      </c>
      <c r="T203" s="6" t="n">
        <f aca="false">N203*O203*(1-Q203)</f>
        <v>5007.06</v>
      </c>
      <c r="U203" s="6" t="n">
        <f aca="false">T203-S203</f>
        <v>2052.2</v>
      </c>
      <c r="V203" s="7" t="n">
        <f aca="false">IF(T203=0,0,U203/T203)</f>
        <v>0.40986127587846</v>
      </c>
      <c r="W203" s="4" t="n">
        <f aca="false">C203-B203</f>
        <v>8</v>
      </c>
      <c r="X203" s="0" t="str">
        <f aca="false">TEXT(B203,"mmmm")</f>
        <v>July</v>
      </c>
      <c r="Y203" s="4" t="n">
        <f aca="false">YEAR(B203)</f>
        <v>2025</v>
      </c>
      <c r="Z203" s="0" t="str">
        <f aca="false">PROPER(TRIM(AU203))</f>
        <v>Refunded</v>
      </c>
      <c r="AA203" s="0" t="str">
        <f aca="false">PROPER(TRIM(AV203))</f>
        <v>Cancelled</v>
      </c>
      <c r="AB203" s="0" t="str">
        <f aca="false">IF(TRIM(AN203)="","Yes","No")</f>
        <v>No</v>
      </c>
      <c r="AC203" s="0" t="str">
        <f aca="false">IF(TRIM(AS203)="","Yes","No")</f>
        <v>No</v>
      </c>
      <c r="AD203" s="0" t="str">
        <f aca="false">IF(AT203="","Yes","No")</f>
        <v>No</v>
      </c>
      <c r="AE203" s="0" t="str">
        <f aca="false">IF(W203&lt;0,"Yes","No")</f>
        <v>No</v>
      </c>
      <c r="AF203" s="0" t="str">
        <f aca="false">IF(P203="","No",IF(OR(P203&lt;0,P203&gt;0.3),"Yes","No"))</f>
        <v>Yes</v>
      </c>
      <c r="AG203" s="4" t="s">
        <v>50</v>
      </c>
      <c r="AH203" s="0" t="str">
        <f aca="false">IF(AND(AA203="Completed",Z203="Paid"),"Yes","No")</f>
        <v>No</v>
      </c>
      <c r="AI203" s="0" t="str">
        <f aca="false">IF(OR(AE203="Yes",AF203="Yes",AG203="Yes"),"Invalid",IF(OR(AB203="Yes",AC203="Yes",AD203="Yes"),"Warning","Clean"))</f>
        <v>Invalid</v>
      </c>
      <c r="AJ203" s="4" t="s">
        <v>922</v>
      </c>
      <c r="AK203" s="4" t="s">
        <v>923</v>
      </c>
      <c r="AL203" s="4" t="s">
        <v>106</v>
      </c>
      <c r="AM203" s="4" t="s">
        <v>54</v>
      </c>
      <c r="AN203" s="4" t="s">
        <v>97</v>
      </c>
      <c r="AO203" s="4" t="s">
        <v>107</v>
      </c>
      <c r="AP203" s="4" t="s">
        <v>108</v>
      </c>
      <c r="AQ203" s="4" t="s">
        <v>58</v>
      </c>
      <c r="AR203" s="4" t="s">
        <v>129</v>
      </c>
      <c r="AS203" s="4" t="s">
        <v>60</v>
      </c>
      <c r="AT203" s="0" t="n">
        <v>-0.16</v>
      </c>
      <c r="AU203" s="4" t="s">
        <v>141</v>
      </c>
      <c r="AV203" s="4" t="s">
        <v>101</v>
      </c>
    </row>
    <row r="204" customFormat="false" ht="15" hidden="false" customHeight="false" outlineLevel="0" collapsed="false">
      <c r="A204" s="0" t="s">
        <v>924</v>
      </c>
      <c r="B204" s="3" t="n">
        <f aca="false">IF(AJ204="","",IF(ISNUMBER(SEARCH("/",AJ204)),DATE(VALUE(RIGHT(AJ204,4)),VALUE(LEFT(AJ204,2)),VALUE(MID(AJ204,4,2))),IF(ISNUMBER(SEARCH("-",AJ204)),IF(LEN(LEFT(AJ204,FIND("-",AJ204)-1))=4,DATE(VALUE(LEFT(AJ204,4)),VALUE(MID(AJ204,6,2)),VALUE(RIGHT(AJ204,2))),DATE(VALUE(RIGHT(AJ204,4)),VALUE(MID(AJ204,4,2)),VALUE(LEFT(AJ204,2)))),DATE(VALUE(RIGHT(AJ204,4)),MATCH(MID(AJ204,4,3),{"Jan","Feb","Mar","Apr","May","Jun","Jul","Aug","Sep","Oct","Nov","Dec"},0),VALUE(LEFT(AJ204,2))))))</f>
        <v>45744</v>
      </c>
      <c r="C204" s="3" t="n">
        <f aca="false">IF(AK204="","",IF(ISNUMBER(SEARCH("/",AK204)),DATE(VALUE(RIGHT(AK204,4)),VALUE(LEFT(AK204,2)),VALUE(MID(AK204,4,2))),IF(ISNUMBER(SEARCH("-",AK204)),IF(LEN(LEFT(AK204,FIND("-",AK204)-1))=4,DATE(VALUE(LEFT(AK204,4)),VALUE(MID(AK204,6,2)),VALUE(RIGHT(AK204,2))),DATE(VALUE(RIGHT(AK204,4)),VALUE(MID(AK204,4,2)),VALUE(LEFT(AK204,2)))),DATE(VALUE(RIGHT(AK204,4)),MATCH(MID(AK204,4,3),{"Jan","Feb","Mar","Apr","May","Jun","Jul","Aug","Sep","Oct","Nov","Dec"},0),VALUE(LEFT(AK204,2))))))</f>
        <v>45744</v>
      </c>
      <c r="D204" s="4" t="s">
        <v>925</v>
      </c>
      <c r="E204" s="0" t="str">
        <f aca="false">PROPER(TRIM(AL204))</f>
        <v>Sneha Kapoor</v>
      </c>
      <c r="F204" s="0" t="str">
        <f aca="false">PROPER(TRIM(AM204))</f>
        <v>Corporate</v>
      </c>
      <c r="G204" s="0" t="str">
        <f aca="false">IF(TRIM(AN204)="","Unknown",PROPER(TRIM(AN204)))</f>
        <v>West</v>
      </c>
      <c r="H204" s="0" t="str">
        <f aca="false">PROPER(TRIM(AO204))</f>
        <v>Goa</v>
      </c>
      <c r="I204" s="0" t="str">
        <f aca="false">PROPER(TRIM(AP204))</f>
        <v>Panaji</v>
      </c>
      <c r="J204" s="0" t="str">
        <f aca="false">PROPER(TRIM(AQ204))</f>
        <v>Technology</v>
      </c>
      <c r="K204" s="0" t="str">
        <f aca="false">PROPER(TRIM(AR204))</f>
        <v>Accessories</v>
      </c>
      <c r="M204" s="0" t="str">
        <f aca="false">IF(TRIM(AS204)="","Unknown",PROPER(TRIM(AS204)))</f>
        <v>Standard Class</v>
      </c>
      <c r="N204" s="0" t="n">
        <v>8</v>
      </c>
      <c r="O204" s="0" t="n">
        <v>1740.94</v>
      </c>
      <c r="P204" s="5" t="n">
        <f aca="false">IF(AT204="","",IF(ISNUMBER(AT204),AT204,VALUE(SUBSTITUTE(AT204,"%",""))/100))</f>
        <v>0.05</v>
      </c>
      <c r="Q204" s="5" t="n">
        <f aca="false">IF(P204="",IF(AND(N204&lt;&gt;"",O204&lt;&gt;"",R204&lt;&gt;"",S204&lt;&gt;""),0,"REVIEW"),IF(OR(P204&lt;0,P204&gt;0.3),0,P204))</f>
        <v>0.05</v>
      </c>
      <c r="R204" s="0" t="n">
        <v>13231.14</v>
      </c>
      <c r="S204" s="0" t="n">
        <v>11290.06</v>
      </c>
      <c r="T204" s="6" t="n">
        <f aca="false">N204*O204*(1-Q204)</f>
        <v>13231.144</v>
      </c>
      <c r="U204" s="6" t="n">
        <f aca="false">T204-S204</f>
        <v>1941.084</v>
      </c>
      <c r="V204" s="7" t="n">
        <f aca="false">IF(T204=0,0,U204/T204)</f>
        <v>0.146705681685575</v>
      </c>
      <c r="W204" s="4" t="n">
        <f aca="false">C204-B204</f>
        <v>0</v>
      </c>
      <c r="X204" s="0" t="str">
        <f aca="false">TEXT(B204,"mmmm")</f>
        <v>March</v>
      </c>
      <c r="Y204" s="4" t="n">
        <f aca="false">YEAR(B204)</f>
        <v>2025</v>
      </c>
      <c r="Z204" s="0" t="str">
        <f aca="false">PROPER(TRIM(AU204))</f>
        <v>Paid</v>
      </c>
      <c r="AA204" s="0" t="str">
        <f aca="false">PROPER(TRIM(AV204))</f>
        <v>Completed</v>
      </c>
      <c r="AB204" s="0" t="str">
        <f aca="false">IF(TRIM(AN204)="","Yes","No")</f>
        <v>No</v>
      </c>
      <c r="AC204" s="0" t="str">
        <f aca="false">IF(TRIM(AS204)="","Yes","No")</f>
        <v>No</v>
      </c>
      <c r="AD204" s="0" t="str">
        <f aca="false">IF(AT204="","Yes","No")</f>
        <v>No</v>
      </c>
      <c r="AE204" s="0" t="str">
        <f aca="false">IF(W204&lt;0,"Yes","No")</f>
        <v>No</v>
      </c>
      <c r="AF204" s="0" t="str">
        <f aca="false">IF(P204="","No",IF(OR(P204&lt;0,P204&gt;0.3),"Yes","No"))</f>
        <v>No</v>
      </c>
      <c r="AG204" s="4" t="s">
        <v>50</v>
      </c>
      <c r="AH204" s="0" t="str">
        <f aca="false">IF(AND(AA204="Completed",Z204="Paid"),"Yes","No")</f>
        <v>Yes</v>
      </c>
      <c r="AI204" s="0" t="str">
        <f aca="false">IF(OR(AE204="Yes",AF204="Yes",AG204="Yes"),"Invalid",IF(OR(AB204="Yes",AC204="Yes",AD204="Yes"),"Warning","Clean"))</f>
        <v>Clean</v>
      </c>
      <c r="AJ204" s="4" t="s">
        <v>926</v>
      </c>
      <c r="AK204" s="4" t="s">
        <v>927</v>
      </c>
      <c r="AL204" s="4" t="s">
        <v>181</v>
      </c>
      <c r="AM204" s="4" t="s">
        <v>128</v>
      </c>
      <c r="AN204" s="4" t="s">
        <v>97</v>
      </c>
      <c r="AO204" s="4" t="s">
        <v>250</v>
      </c>
      <c r="AP204" s="4" t="s">
        <v>251</v>
      </c>
      <c r="AQ204" s="4" t="s">
        <v>109</v>
      </c>
      <c r="AR204" s="4" t="s">
        <v>110</v>
      </c>
      <c r="AS204" s="4" t="s">
        <v>91</v>
      </c>
      <c r="AT204" s="0" t="n">
        <v>0.05</v>
      </c>
      <c r="AU204" s="4" t="s">
        <v>61</v>
      </c>
      <c r="AV204" s="4" t="s">
        <v>62</v>
      </c>
    </row>
    <row r="205" customFormat="false" ht="15" hidden="false" customHeight="false" outlineLevel="0" collapsed="false">
      <c r="A205" s="0" t="s">
        <v>928</v>
      </c>
      <c r="B205" s="3" t="n">
        <f aca="false">IF(AJ205="","",IF(ISNUMBER(SEARCH("/",AJ205)),DATE(VALUE(RIGHT(AJ205,4)),VALUE(LEFT(AJ205,2)),VALUE(MID(AJ205,4,2))),IF(ISNUMBER(SEARCH("-",AJ205)),IF(LEN(LEFT(AJ205,FIND("-",AJ205)-1))=4,DATE(VALUE(LEFT(AJ205,4)),VALUE(MID(AJ205,6,2)),VALUE(RIGHT(AJ205,2))),DATE(VALUE(RIGHT(AJ205,4)),VALUE(MID(AJ205,4,2)),VALUE(LEFT(AJ205,2)))),DATE(VALUE(RIGHT(AJ205,4)),MATCH(MID(AJ205,4,3),{"Jan","Feb","Mar","Apr","May","Jun","Jul","Aug","Sep","Oct","Nov","Dec"},0),VALUE(LEFT(AJ205,2))))))</f>
        <v>45379</v>
      </c>
      <c r="C205" s="3" t="n">
        <f aca="false">IF(AK205="","",IF(ISNUMBER(SEARCH("/",AK205)),DATE(VALUE(RIGHT(AK205,4)),VALUE(LEFT(AK205,2)),VALUE(MID(AK205,4,2))),IF(ISNUMBER(SEARCH("-",AK205)),IF(LEN(LEFT(AK205,FIND("-",AK205)-1))=4,DATE(VALUE(LEFT(AK205,4)),VALUE(MID(AK205,6,2)),VALUE(RIGHT(AK205,2))),DATE(VALUE(RIGHT(AK205,4)),VALUE(MID(AK205,4,2)),VALUE(LEFT(AK205,2)))),DATE(VALUE(RIGHT(AK205,4)),MATCH(MID(AK205,4,3),{"Jan","Feb","Mar","Apr","May","Jun","Jul","Aug","Sep","Oct","Nov","Dec"},0),VALUE(LEFT(AK205,2))))))</f>
        <v>45381</v>
      </c>
      <c r="D205" s="4" t="s">
        <v>929</v>
      </c>
      <c r="E205" s="0" t="str">
        <f aca="false">PROPER(TRIM(AL205))</f>
        <v>Sneha Kapoor</v>
      </c>
      <c r="F205" s="0" t="str">
        <f aca="false">PROPER(TRIM(AM205))</f>
        <v>Corporate</v>
      </c>
      <c r="G205" s="0" t="str">
        <f aca="false">IF(TRIM(AN205)="","Unknown",PROPER(TRIM(AN205)))</f>
        <v>West</v>
      </c>
      <c r="H205" s="0" t="str">
        <f aca="false">PROPER(TRIM(AO205))</f>
        <v>Rajasthan</v>
      </c>
      <c r="I205" s="0" t="str">
        <f aca="false">PROPER(TRIM(AP205))</f>
        <v>Udaipur</v>
      </c>
      <c r="J205" s="0" t="str">
        <f aca="false">PROPER(TRIM(AQ205))</f>
        <v>Technology</v>
      </c>
      <c r="K205" s="0" t="str">
        <f aca="false">PROPER(TRIM(AR205))</f>
        <v>Accessories</v>
      </c>
      <c r="M205" s="0" t="str">
        <f aca="false">IF(TRIM(AS205)="","Unknown",PROPER(TRIM(AS205)))</f>
        <v>Second Class</v>
      </c>
      <c r="N205" s="0" t="n">
        <v>1</v>
      </c>
      <c r="O205" s="0" t="n">
        <v>570.34</v>
      </c>
      <c r="P205" s="5" t="n">
        <f aca="false">IF(AT205="","",IF(ISNUMBER(AT205),AT205,VALUE(SUBSTITUTE(AT205,"%",""))/100))</f>
        <v>0.15</v>
      </c>
      <c r="Q205" s="5" t="n">
        <f aca="false">IF(P205="",IF(AND(N205&lt;&gt;"",O205&lt;&gt;"",R205&lt;&gt;"",S205&lt;&gt;""),0,"REVIEW"),IF(OR(P205&lt;0,P205&gt;0.3),0,P205))</f>
        <v>0.15</v>
      </c>
      <c r="R205" s="0" t="n">
        <v>484.79</v>
      </c>
      <c r="S205" s="0" t="n">
        <v>333.54</v>
      </c>
      <c r="T205" s="6" t="n">
        <f aca="false">N205*O205*(1-Q205)</f>
        <v>484.789</v>
      </c>
      <c r="U205" s="6" t="n">
        <f aca="false">T205-S205</f>
        <v>151.249</v>
      </c>
      <c r="V205" s="7" t="n">
        <f aca="false">IF(T205=0,0,U205/T205)</f>
        <v>0.311989339692113</v>
      </c>
      <c r="W205" s="4" t="n">
        <f aca="false">C205-B205</f>
        <v>2</v>
      </c>
      <c r="X205" s="0" t="str">
        <f aca="false">TEXT(B205,"mmmm")</f>
        <v>March</v>
      </c>
      <c r="Y205" s="4" t="n">
        <f aca="false">YEAR(B205)</f>
        <v>2024</v>
      </c>
      <c r="Z205" s="0" t="str">
        <f aca="false">PROPER(TRIM(AU205))</f>
        <v>Paid</v>
      </c>
      <c r="AA205" s="0" t="str">
        <f aca="false">PROPER(TRIM(AV205))</f>
        <v>Completed</v>
      </c>
      <c r="AB205" s="0" t="str">
        <f aca="false">IF(TRIM(AN205)="","Yes","No")</f>
        <v>No</v>
      </c>
      <c r="AC205" s="0" t="str">
        <f aca="false">IF(TRIM(AS205)="","Yes","No")</f>
        <v>No</v>
      </c>
      <c r="AD205" s="0" t="str">
        <f aca="false">IF(AT205="","Yes","No")</f>
        <v>No</v>
      </c>
      <c r="AE205" s="0" t="str">
        <f aca="false">IF(W205&lt;0,"Yes","No")</f>
        <v>No</v>
      </c>
      <c r="AF205" s="0" t="str">
        <f aca="false">IF(P205="","No",IF(OR(P205&lt;0,P205&gt;0.3),"Yes","No"))</f>
        <v>No</v>
      </c>
      <c r="AG205" s="4" t="s">
        <v>50</v>
      </c>
      <c r="AH205" s="0" t="str">
        <f aca="false">IF(AND(AA205="Completed",Z205="Paid"),"Yes","No")</f>
        <v>Yes</v>
      </c>
      <c r="AI205" s="0" t="str">
        <f aca="false">IF(OR(AE205="Yes",AF205="Yes",AG205="Yes"),"Invalid",IF(OR(AB205="Yes",AC205="Yes",AD205="Yes"),"Warning","Clean"))</f>
        <v>Clean</v>
      </c>
      <c r="AJ205" s="4" t="s">
        <v>930</v>
      </c>
      <c r="AK205" s="4" t="s">
        <v>931</v>
      </c>
      <c r="AL205" s="4" t="s">
        <v>181</v>
      </c>
      <c r="AM205" s="4" t="s">
        <v>128</v>
      </c>
      <c r="AN205" s="4" t="s">
        <v>97</v>
      </c>
      <c r="AO205" s="4" t="s">
        <v>56</v>
      </c>
      <c r="AP205" s="4" t="s">
        <v>152</v>
      </c>
      <c r="AQ205" s="4" t="s">
        <v>109</v>
      </c>
      <c r="AR205" s="4" t="s">
        <v>110</v>
      </c>
      <c r="AS205" s="4" t="s">
        <v>60</v>
      </c>
      <c r="AT205" s="0" t="n">
        <v>0.15</v>
      </c>
      <c r="AU205" s="4" t="s">
        <v>61</v>
      </c>
      <c r="AV205" s="4" t="s">
        <v>62</v>
      </c>
    </row>
    <row r="206" customFormat="false" ht="15" hidden="false" customHeight="false" outlineLevel="0" collapsed="false">
      <c r="A206" s="0" t="s">
        <v>932</v>
      </c>
      <c r="B206" s="3" t="n">
        <f aca="false">IF(AJ206="","",IF(ISNUMBER(SEARCH("/",AJ206)),DATE(VALUE(RIGHT(AJ206,4)),VALUE(LEFT(AJ206,2)),VALUE(MID(AJ206,4,2))),IF(ISNUMBER(SEARCH("-",AJ206)),IF(LEN(LEFT(AJ206,FIND("-",AJ206)-1))=4,DATE(VALUE(LEFT(AJ206,4)),VALUE(MID(AJ206,6,2)),VALUE(RIGHT(AJ206,2))),DATE(VALUE(RIGHT(AJ206,4)),VALUE(MID(AJ206,4,2)),VALUE(LEFT(AJ206,2)))),DATE(VALUE(RIGHT(AJ206,4)),MATCH(MID(AJ206,4,3),{"Jan","Feb","Mar","Apr","May","Jun","Jul","Aug","Sep","Oct","Nov","Dec"},0),VALUE(LEFT(AJ206,2))))))</f>
        <v>45858</v>
      </c>
      <c r="C206" s="3" t="n">
        <f aca="false">IF(AK206="","",IF(ISNUMBER(SEARCH("/",AK206)),DATE(VALUE(RIGHT(AK206,4)),VALUE(LEFT(AK206,2)),VALUE(MID(AK206,4,2))),IF(ISNUMBER(SEARCH("-",AK206)),IF(LEN(LEFT(AK206,FIND("-",AK206)-1))=4,DATE(VALUE(LEFT(AK206,4)),VALUE(MID(AK206,6,2)),VALUE(RIGHT(AK206,2))),DATE(VALUE(RIGHT(AK206,4)),VALUE(MID(AK206,4,2)),VALUE(LEFT(AK206,2)))),DATE(VALUE(RIGHT(AK206,4)),MATCH(MID(AK206,4,3),{"Jan","Feb","Mar","Apr","May","Jun","Jul","Aug","Sep","Oct","Nov","Dec"},0),VALUE(LEFT(AK206,2))))))</f>
        <v>45861</v>
      </c>
      <c r="D206" s="4" t="s">
        <v>933</v>
      </c>
      <c r="E206" s="0" t="str">
        <f aca="false">PROPER(TRIM(AL206))</f>
        <v>Mira Das</v>
      </c>
      <c r="F206" s="0" t="str">
        <f aca="false">PROPER(TRIM(AM206))</f>
        <v>Home Office</v>
      </c>
      <c r="G206" s="0" t="str">
        <f aca="false">IF(TRIM(AN206)="","Unknown",PROPER(TRIM(AN206)))</f>
        <v>East</v>
      </c>
      <c r="H206" s="0" t="str">
        <f aca="false">PROPER(TRIM(AO206))</f>
        <v>West Bengal</v>
      </c>
      <c r="I206" s="0" t="str">
        <f aca="false">PROPER(TRIM(AP206))</f>
        <v>Kolkata</v>
      </c>
      <c r="J206" s="0" t="str">
        <f aca="false">PROPER(TRIM(AQ206))</f>
        <v>Furniture</v>
      </c>
      <c r="K206" s="0" t="str">
        <f aca="false">PROPER(TRIM(AR206))</f>
        <v>Tables</v>
      </c>
      <c r="M206" s="0" t="str">
        <f aca="false">IF(TRIM(AS206)="","Unknown",PROPER(TRIM(AS206)))</f>
        <v>Second Class</v>
      </c>
      <c r="N206" s="0" t="n">
        <v>4</v>
      </c>
      <c r="O206" s="0" t="n">
        <v>477.69</v>
      </c>
      <c r="P206" s="5" t="n">
        <f aca="false">IF(AT206="","",IF(ISNUMBER(AT206),AT206,VALUE(SUBSTITUTE(AT206,"%",""))/100))</f>
        <v>0.15</v>
      </c>
      <c r="Q206" s="5" t="n">
        <f aca="false">IF(P206="",IF(AND(N206&lt;&gt;"",O206&lt;&gt;"",R206&lt;&gt;"",S206&lt;&gt;""),0,"REVIEW"),IF(OR(P206&lt;0,P206&gt;0.3),0,P206))</f>
        <v>0.15</v>
      </c>
      <c r="R206" s="0" t="n">
        <v>1624.15</v>
      </c>
      <c r="S206" s="0" t="n">
        <v>1217.99</v>
      </c>
      <c r="T206" s="6" t="n">
        <f aca="false">N206*O206*(1-Q206)</f>
        <v>1624.146</v>
      </c>
      <c r="U206" s="6" t="n">
        <f aca="false">T206-S206</f>
        <v>406.156</v>
      </c>
      <c r="V206" s="7" t="n">
        <f aca="false">IF(T206=0,0,U206/T206)</f>
        <v>0.25007357712915</v>
      </c>
      <c r="W206" s="4" t="n">
        <f aca="false">C206-B206</f>
        <v>3</v>
      </c>
      <c r="X206" s="0" t="str">
        <f aca="false">TEXT(B206,"mmmm")</f>
        <v>July</v>
      </c>
      <c r="Y206" s="4" t="n">
        <f aca="false">YEAR(B206)</f>
        <v>2025</v>
      </c>
      <c r="Z206" s="0" t="str">
        <f aca="false">PROPER(TRIM(AU206))</f>
        <v>Paid</v>
      </c>
      <c r="AA206" s="0" t="str">
        <f aca="false">PROPER(TRIM(AV206))</f>
        <v>Completed</v>
      </c>
      <c r="AB206" s="0" t="str">
        <f aca="false">IF(TRIM(AN206)="","Yes","No")</f>
        <v>No</v>
      </c>
      <c r="AC206" s="0" t="str">
        <f aca="false">IF(TRIM(AS206)="","Yes","No")</f>
        <v>No</v>
      </c>
      <c r="AD206" s="0" t="str">
        <f aca="false">IF(AT206="","Yes","No")</f>
        <v>No</v>
      </c>
      <c r="AE206" s="0" t="str">
        <f aca="false">IF(W206&lt;0,"Yes","No")</f>
        <v>No</v>
      </c>
      <c r="AF206" s="0" t="str">
        <f aca="false">IF(P206="","No",IF(OR(P206&lt;0,P206&gt;0.3),"Yes","No"))</f>
        <v>No</v>
      </c>
      <c r="AG206" s="4" t="s">
        <v>50</v>
      </c>
      <c r="AH206" s="0" t="str">
        <f aca="false">IF(AND(AA206="Completed",Z206="Paid"),"Yes","No")</f>
        <v>Yes</v>
      </c>
      <c r="AI206" s="0" t="str">
        <f aca="false">IF(OR(AE206="Yes",AF206="Yes",AG206="Yes"),"Invalid",IF(OR(AB206="Yes",AC206="Yes",AD206="Yes"),"Warning","Clean"))</f>
        <v>Clean</v>
      </c>
      <c r="AJ206" s="4" t="s">
        <v>934</v>
      </c>
      <c r="AK206" s="4" t="s">
        <v>935</v>
      </c>
      <c r="AL206" s="4" t="s">
        <v>67</v>
      </c>
      <c r="AM206" s="4" t="s">
        <v>134</v>
      </c>
      <c r="AN206" s="4" t="s">
        <v>69</v>
      </c>
      <c r="AO206" s="4" t="s">
        <v>139</v>
      </c>
      <c r="AP206" s="4" t="s">
        <v>140</v>
      </c>
      <c r="AQ206" s="4" t="s">
        <v>72</v>
      </c>
      <c r="AR206" s="4" t="s">
        <v>73</v>
      </c>
      <c r="AS206" s="4" t="s">
        <v>60</v>
      </c>
      <c r="AT206" s="0" t="n">
        <v>0.15</v>
      </c>
      <c r="AU206" s="4" t="s">
        <v>61</v>
      </c>
      <c r="AV206" s="4" t="s">
        <v>62</v>
      </c>
    </row>
    <row r="207" customFormat="false" ht="15" hidden="false" customHeight="false" outlineLevel="0" collapsed="false">
      <c r="A207" s="0" t="s">
        <v>936</v>
      </c>
      <c r="B207" s="3" t="n">
        <f aca="false">IF(AJ207="","",IF(ISNUMBER(SEARCH("/",AJ207)),DATE(VALUE(RIGHT(AJ207,4)),VALUE(LEFT(AJ207,2)),VALUE(MID(AJ207,4,2))),IF(ISNUMBER(SEARCH("-",AJ207)),IF(LEN(LEFT(AJ207,FIND("-",AJ207)-1))=4,DATE(VALUE(LEFT(AJ207,4)),VALUE(MID(AJ207,6,2)),VALUE(RIGHT(AJ207,2))),DATE(VALUE(RIGHT(AJ207,4)),VALUE(MID(AJ207,4,2)),VALUE(LEFT(AJ207,2)))),DATE(VALUE(RIGHT(AJ207,4)),MATCH(MID(AJ207,4,3),{"Jan","Feb","Mar","Apr","May","Jun","Jul","Aug","Sep","Oct","Nov","Dec"},0),VALUE(LEFT(AJ207,2))))))</f>
        <v>45768</v>
      </c>
      <c r="C207" s="3" t="n">
        <f aca="false">IF(AK207="","",IF(ISNUMBER(SEARCH("/",AK207)),DATE(VALUE(RIGHT(AK207,4)),VALUE(LEFT(AK207,2)),VALUE(MID(AK207,4,2))),IF(ISNUMBER(SEARCH("-",AK207)),IF(LEN(LEFT(AK207,FIND("-",AK207)-1))=4,DATE(VALUE(LEFT(AK207,4)),VALUE(MID(AK207,6,2)),VALUE(RIGHT(AK207,2))),DATE(VALUE(RIGHT(AK207,4)),VALUE(MID(AK207,4,2)),VALUE(LEFT(AK207,2)))),DATE(VALUE(RIGHT(AK207,4)),MATCH(MID(AK207,4,3),{"Jan","Feb","Mar","Apr","May","Jun","Jul","Aug","Sep","Oct","Nov","Dec"},0),VALUE(LEFT(AK207,2))))))</f>
        <v>45773</v>
      </c>
      <c r="D207" s="4" t="s">
        <v>937</v>
      </c>
      <c r="E207" s="0" t="str">
        <f aca="false">PROPER(TRIM(AL207))</f>
        <v>Ananya Rao</v>
      </c>
      <c r="F207" s="0" t="str">
        <f aca="false">PROPER(TRIM(AM207))</f>
        <v>Consumer</v>
      </c>
      <c r="G207" s="0" t="str">
        <f aca="false">IF(TRIM(AN207)="","Unknown",PROPER(TRIM(AN207)))</f>
        <v>West</v>
      </c>
      <c r="H207" s="0" t="str">
        <f aca="false">PROPER(TRIM(AO207))</f>
        <v>Maharashtra</v>
      </c>
      <c r="I207" s="0" t="str">
        <f aca="false">PROPER(TRIM(AP207))</f>
        <v>Mumbai</v>
      </c>
      <c r="J207" s="0" t="str">
        <f aca="false">PROPER(TRIM(AQ207))</f>
        <v>Office Supplies</v>
      </c>
      <c r="K207" s="0" t="str">
        <f aca="false">PROPER(TRIM(AR207))</f>
        <v>Labels</v>
      </c>
      <c r="M207" s="0" t="str">
        <f aca="false">IF(TRIM(AS207)="","Unknown",PROPER(TRIM(AS207)))</f>
        <v>Same Day</v>
      </c>
      <c r="N207" s="0" t="n">
        <v>6</v>
      </c>
      <c r="O207" s="0" t="n">
        <v>873.59</v>
      </c>
      <c r="P207" s="5" t="n">
        <f aca="false">IF(AT207="","",IF(ISNUMBER(AT207),AT207,VALUE(SUBSTITUTE(AT207,"%",""))/100))</f>
        <v>0.2</v>
      </c>
      <c r="Q207" s="5" t="n">
        <f aca="false">IF(P207="",IF(AND(N207&lt;&gt;"",O207&lt;&gt;"",R207&lt;&gt;"",S207&lt;&gt;""),0,"REVIEW"),IF(OR(P207&lt;0,P207&gt;0.3),0,P207))</f>
        <v>0.2</v>
      </c>
      <c r="R207" s="0" t="n">
        <v>4193.23</v>
      </c>
      <c r="S207" s="0" t="n">
        <v>3329.99</v>
      </c>
      <c r="T207" s="6" t="n">
        <f aca="false">N207*O207*(1-Q207)</f>
        <v>4193.232</v>
      </c>
      <c r="U207" s="6" t="n">
        <f aca="false">T207-S207</f>
        <v>863.242</v>
      </c>
      <c r="V207" s="7" t="n">
        <f aca="false">IF(T207=0,0,U207/T207)</f>
        <v>0.205865547148357</v>
      </c>
      <c r="W207" s="4" t="n">
        <f aca="false">C207-B207</f>
        <v>5</v>
      </c>
      <c r="X207" s="0" t="str">
        <f aca="false">TEXT(B207,"mmmm")</f>
        <v>April</v>
      </c>
      <c r="Y207" s="4" t="n">
        <f aca="false">YEAR(B207)</f>
        <v>2025</v>
      </c>
      <c r="Z207" s="0" t="str">
        <f aca="false">PROPER(TRIM(AU207))</f>
        <v>Paid</v>
      </c>
      <c r="AA207" s="0" t="str">
        <f aca="false">PROPER(TRIM(AV207))</f>
        <v>Completed</v>
      </c>
      <c r="AB207" s="0" t="str">
        <f aca="false">IF(TRIM(AN207)="","Yes","No")</f>
        <v>No</v>
      </c>
      <c r="AC207" s="0" t="str">
        <f aca="false">IF(TRIM(AS207)="","Yes","No")</f>
        <v>No</v>
      </c>
      <c r="AD207" s="0" t="str">
        <f aca="false">IF(AT207="","Yes","No")</f>
        <v>No</v>
      </c>
      <c r="AE207" s="0" t="str">
        <f aca="false">IF(W207&lt;0,"Yes","No")</f>
        <v>No</v>
      </c>
      <c r="AF207" s="0" t="str">
        <f aca="false">IF(P207="","No",IF(OR(P207&lt;0,P207&gt;0.3),"Yes","No"))</f>
        <v>No</v>
      </c>
      <c r="AG207" s="4" t="s">
        <v>50</v>
      </c>
      <c r="AH207" s="0" t="str">
        <f aca="false">IF(AND(AA207="Completed",Z207="Paid"),"Yes","No")</f>
        <v>Yes</v>
      </c>
      <c r="AI207" s="0" t="str">
        <f aca="false">IF(OR(AE207="Yes",AF207="Yes",AG207="Yes"),"Invalid",IF(OR(AB207="Yes",AC207="Yes",AD207="Yes"),"Warning","Clean"))</f>
        <v>Clean</v>
      </c>
      <c r="AJ207" s="4" t="s">
        <v>938</v>
      </c>
      <c r="AK207" s="4" t="s">
        <v>939</v>
      </c>
      <c r="AL207" s="4" t="s">
        <v>96</v>
      </c>
      <c r="AM207" s="4" t="s">
        <v>54</v>
      </c>
      <c r="AN207" s="4" t="s">
        <v>97</v>
      </c>
      <c r="AO207" s="4" t="s">
        <v>98</v>
      </c>
      <c r="AP207" s="4" t="s">
        <v>99</v>
      </c>
      <c r="AQ207" s="4" t="s">
        <v>794</v>
      </c>
      <c r="AR207" s="4" t="s">
        <v>129</v>
      </c>
      <c r="AS207" s="4" t="s">
        <v>74</v>
      </c>
      <c r="AT207" s="0" t="n">
        <v>0.2</v>
      </c>
      <c r="AU207" s="4" t="s">
        <v>61</v>
      </c>
      <c r="AV207" s="4" t="s">
        <v>62</v>
      </c>
    </row>
    <row r="208" customFormat="false" ht="15" hidden="false" customHeight="false" outlineLevel="0" collapsed="false">
      <c r="A208" s="0" t="s">
        <v>940</v>
      </c>
      <c r="B208" s="3" t="n">
        <f aca="false">IF(AJ208="","",IF(ISNUMBER(SEARCH("/",AJ208)),DATE(VALUE(RIGHT(AJ208,4)),VALUE(LEFT(AJ208,2)),VALUE(MID(AJ208,4,2))),IF(ISNUMBER(SEARCH("-",AJ208)),IF(LEN(LEFT(AJ208,FIND("-",AJ208)-1))=4,DATE(VALUE(LEFT(AJ208,4)),VALUE(MID(AJ208,6,2)),VALUE(RIGHT(AJ208,2))),DATE(VALUE(RIGHT(AJ208,4)),VALUE(MID(AJ208,4,2)),VALUE(LEFT(AJ208,2)))),DATE(VALUE(RIGHT(AJ208,4)),MATCH(MID(AJ208,4,3),{"Jan","Feb","Mar","Apr","May","Jun","Jul","Aug","Sep","Oct","Nov","Dec"},0),VALUE(LEFT(AJ208,2))))))</f>
        <v>45795</v>
      </c>
      <c r="C208" s="3" t="n">
        <f aca="false">IF(AK208="","",IF(ISNUMBER(SEARCH("/",AK208)),DATE(VALUE(RIGHT(AK208,4)),VALUE(LEFT(AK208,2)),VALUE(MID(AK208,4,2))),IF(ISNUMBER(SEARCH("-",AK208)),IF(LEN(LEFT(AK208,FIND("-",AK208)-1))=4,DATE(VALUE(LEFT(AK208,4)),VALUE(MID(AK208,6,2)),VALUE(RIGHT(AK208,2))),DATE(VALUE(RIGHT(AK208,4)),VALUE(MID(AK208,4,2)),VALUE(LEFT(AK208,2)))),DATE(VALUE(RIGHT(AK208,4)),MATCH(MID(AK208,4,3),{"Jan","Feb","Mar","Apr","May","Jun","Jul","Aug","Sep","Oct","Nov","Dec"},0),VALUE(LEFT(AK208,2))))))</f>
        <v>45797</v>
      </c>
      <c r="D208" s="4" t="s">
        <v>941</v>
      </c>
      <c r="E208" s="0" t="str">
        <f aca="false">PROPER(TRIM(AL208))</f>
        <v>Diya Patel</v>
      </c>
      <c r="F208" s="0" t="str">
        <f aca="false">PROPER(TRIM(AM208))</f>
        <v>Small Business</v>
      </c>
      <c r="G208" s="0" t="str">
        <f aca="false">IF(TRIM(AN208)="","Unknown",PROPER(TRIM(AN208)))</f>
        <v>North</v>
      </c>
      <c r="H208" s="0" t="str">
        <f aca="false">PROPER(TRIM(AO208))</f>
        <v>Uttar Pradesh</v>
      </c>
      <c r="I208" s="0" t="str">
        <f aca="false">PROPER(TRIM(AP208))</f>
        <v>Noida</v>
      </c>
      <c r="J208" s="0" t="str">
        <f aca="false">PROPER(TRIM(AQ208))</f>
        <v>Furniture</v>
      </c>
      <c r="K208" s="0" t="str">
        <f aca="false">PROPER(TRIM(AR208))</f>
        <v>Furnishings</v>
      </c>
      <c r="M208" s="0" t="str">
        <f aca="false">IF(TRIM(AS208)="","Unknown",PROPER(TRIM(AS208)))</f>
        <v>First Class</v>
      </c>
      <c r="N208" s="0" t="n">
        <v>2</v>
      </c>
      <c r="O208" s="0" t="n">
        <v>215.13</v>
      </c>
      <c r="P208" s="5" t="n">
        <f aca="false">IF(AT208="","",IF(ISNUMBER(AT208),AT208,VALUE(SUBSTITUTE(AT208,"%",""))/100))</f>
        <v>0</v>
      </c>
      <c r="Q208" s="5" t="n">
        <f aca="false">IF(P208="",IF(AND(N208&lt;&gt;"",O208&lt;&gt;"",R208&lt;&gt;"",S208&lt;&gt;""),0,"REVIEW"),IF(OR(P208&lt;0,P208&gt;0.3),0,P208))</f>
        <v>0</v>
      </c>
      <c r="R208" s="0" t="n">
        <v>430.26</v>
      </c>
      <c r="S208" s="0" t="n">
        <v>286.38</v>
      </c>
      <c r="T208" s="6" t="n">
        <f aca="false">N208*O208*(1-Q208)</f>
        <v>430.26</v>
      </c>
      <c r="U208" s="6" t="n">
        <f aca="false">T208-S208</f>
        <v>143.88</v>
      </c>
      <c r="V208" s="7" t="n">
        <f aca="false">IF(T208=0,0,U208/T208)</f>
        <v>0.33440245432994</v>
      </c>
      <c r="W208" s="4" t="n">
        <f aca="false">C208-B208</f>
        <v>2</v>
      </c>
      <c r="X208" s="0" t="str">
        <f aca="false">TEXT(B208,"mmmm")</f>
        <v>May</v>
      </c>
      <c r="Y208" s="4" t="n">
        <f aca="false">YEAR(B208)</f>
        <v>2025</v>
      </c>
      <c r="Z208" s="0" t="str">
        <f aca="false">PROPER(TRIM(AU208))</f>
        <v>Paid</v>
      </c>
      <c r="AA208" s="0" t="str">
        <f aca="false">PROPER(TRIM(AV208))</f>
        <v>Completed</v>
      </c>
      <c r="AB208" s="0" t="str">
        <f aca="false">IF(TRIM(AN208)="","Yes","No")</f>
        <v>No</v>
      </c>
      <c r="AC208" s="0" t="str">
        <f aca="false">IF(TRIM(AS208)="","Yes","No")</f>
        <v>No</v>
      </c>
      <c r="AD208" s="0" t="str">
        <f aca="false">IF(AT208="","Yes","No")</f>
        <v>No</v>
      </c>
      <c r="AE208" s="0" t="str">
        <f aca="false">IF(W208&lt;0,"Yes","No")</f>
        <v>No</v>
      </c>
      <c r="AF208" s="0" t="str">
        <f aca="false">IF(P208="","No",IF(OR(P208&lt;0,P208&gt;0.3),"Yes","No"))</f>
        <v>No</v>
      </c>
      <c r="AG208" s="4" t="s">
        <v>50</v>
      </c>
      <c r="AH208" s="0" t="str">
        <f aca="false">IF(AND(AA208="Completed",Z208="Paid"),"Yes","No")</f>
        <v>Yes</v>
      </c>
      <c r="AI208" s="0" t="str">
        <f aca="false">IF(OR(AE208="Yes",AF208="Yes",AG208="Yes"),"Invalid",IF(OR(AB208="Yes",AC208="Yes",AD208="Yes"),"Warning","Clean"))</f>
        <v>Clean</v>
      </c>
      <c r="AJ208" s="4" t="s">
        <v>942</v>
      </c>
      <c r="AK208" s="4" t="s">
        <v>137</v>
      </c>
      <c r="AL208" s="4" t="s">
        <v>216</v>
      </c>
      <c r="AM208" s="4" t="s">
        <v>68</v>
      </c>
      <c r="AN208" s="4" t="s">
        <v>55</v>
      </c>
      <c r="AO208" s="4" t="s">
        <v>186</v>
      </c>
      <c r="AP208" s="4" t="s">
        <v>187</v>
      </c>
      <c r="AQ208" s="4" t="s">
        <v>72</v>
      </c>
      <c r="AR208" s="4" t="s">
        <v>90</v>
      </c>
      <c r="AS208" s="4" t="s">
        <v>81</v>
      </c>
      <c r="AT208" s="0" t="n">
        <v>0</v>
      </c>
      <c r="AU208" s="4" t="s">
        <v>61</v>
      </c>
      <c r="AV208" s="4" t="s">
        <v>62</v>
      </c>
    </row>
    <row r="209" customFormat="false" ht="15" hidden="false" customHeight="false" outlineLevel="0" collapsed="false">
      <c r="A209" s="0" t="s">
        <v>943</v>
      </c>
      <c r="B209" s="3" t="n">
        <f aca="false">IF(AJ209="","",IF(ISNUMBER(SEARCH("/",AJ209)),DATE(VALUE(RIGHT(AJ209,4)),VALUE(LEFT(AJ209,2)),VALUE(MID(AJ209,4,2))),IF(ISNUMBER(SEARCH("-",AJ209)),IF(LEN(LEFT(AJ209,FIND("-",AJ209)-1))=4,DATE(VALUE(LEFT(AJ209,4)),VALUE(MID(AJ209,6,2)),VALUE(RIGHT(AJ209,2))),DATE(VALUE(RIGHT(AJ209,4)),VALUE(MID(AJ209,4,2)),VALUE(LEFT(AJ209,2)))),DATE(VALUE(RIGHT(AJ209,4)),MATCH(MID(AJ209,4,3),{"Jan","Feb","Mar","Apr","May","Jun","Jul","Aug","Sep","Oct","Nov","Dec"},0),VALUE(LEFT(AJ209,2))))))</f>
        <v>45483</v>
      </c>
      <c r="C209" s="3" t="n">
        <f aca="false">IF(AK209="","",IF(ISNUMBER(SEARCH("/",AK209)),DATE(VALUE(RIGHT(AK209,4)),VALUE(LEFT(AK209,2)),VALUE(MID(AK209,4,2))),IF(ISNUMBER(SEARCH("-",AK209)),IF(LEN(LEFT(AK209,FIND("-",AK209)-1))=4,DATE(VALUE(LEFT(AK209,4)),VALUE(MID(AK209,6,2)),VALUE(RIGHT(AK209,2))),DATE(VALUE(RIGHT(AK209,4)),VALUE(MID(AK209,4,2)),VALUE(LEFT(AK209,2)))),DATE(VALUE(RIGHT(AK209,4)),MATCH(MID(AK209,4,3),{"Jan","Feb","Mar","Apr","May","Jun","Jul","Aug","Sep","Oct","Nov","Dec"},0),VALUE(LEFT(AK209,2))))))</f>
        <v>45489</v>
      </c>
      <c r="D209" s="4" t="s">
        <v>944</v>
      </c>
      <c r="E209" s="0" t="str">
        <f aca="false">PROPER(TRIM(AL209))</f>
        <v>Aarav Sharma</v>
      </c>
      <c r="F209" s="0" t="str">
        <f aca="false">PROPER(TRIM(AM209))</f>
        <v>Home Office</v>
      </c>
      <c r="G209" s="0" t="str">
        <f aca="false">IF(TRIM(AN209)="","Unknown",PROPER(TRIM(AN209)))</f>
        <v>West</v>
      </c>
      <c r="H209" s="0" t="str">
        <f aca="false">PROPER(TRIM(AO209))</f>
        <v>Goa</v>
      </c>
      <c r="I209" s="0" t="str">
        <f aca="false">PROPER(TRIM(AP209))</f>
        <v>Panaji</v>
      </c>
      <c r="J209" s="0" t="str">
        <f aca="false">PROPER(TRIM(AQ209))</f>
        <v>Furniture</v>
      </c>
      <c r="K209" s="0" t="str">
        <f aca="false">PROPER(TRIM(AR209))</f>
        <v>Bookcases</v>
      </c>
      <c r="M209" s="0" t="str">
        <f aca="false">IF(TRIM(AS209)="","Unknown",PROPER(TRIM(AS209)))</f>
        <v>Second Class</v>
      </c>
      <c r="N209" s="0" t="n">
        <v>2</v>
      </c>
      <c r="O209" s="0" t="n">
        <v>1095.45</v>
      </c>
      <c r="P209" s="5" t="n">
        <f aca="false">IF(AT209="","",IF(ISNUMBER(AT209),AT209,VALUE(SUBSTITUTE(AT209,"%",""))/100))</f>
        <v>0.2</v>
      </c>
      <c r="Q209" s="5" t="n">
        <f aca="false">IF(P209="",IF(AND(N209&lt;&gt;"",O209&lt;&gt;"",R209&lt;&gt;"",S209&lt;&gt;""),0,"REVIEW"),IF(OR(P209&lt;0,P209&gt;0.3),0,P209))</f>
        <v>0.2</v>
      </c>
      <c r="R209" s="0" t="n">
        <v>1752.72</v>
      </c>
      <c r="S209" s="0" t="n">
        <v>996.41</v>
      </c>
      <c r="T209" s="6" t="n">
        <f aca="false">N209*O209*(1-Q209)</f>
        <v>1752.72</v>
      </c>
      <c r="U209" s="6" t="n">
        <f aca="false">T209-S209</f>
        <v>756.31</v>
      </c>
      <c r="V209" s="7" t="n">
        <f aca="false">IF(T209=0,0,U209/T209)</f>
        <v>0.431506458533023</v>
      </c>
      <c r="W209" s="4" t="n">
        <f aca="false">C209-B209</f>
        <v>6</v>
      </c>
      <c r="X209" s="0" t="str">
        <f aca="false">TEXT(B209,"mmmm")</f>
        <v>July</v>
      </c>
      <c r="Y209" s="4" t="n">
        <f aca="false">YEAR(B209)</f>
        <v>2024</v>
      </c>
      <c r="Z209" s="0" t="str">
        <f aca="false">PROPER(TRIM(AU209))</f>
        <v>Paid</v>
      </c>
      <c r="AA209" s="0" t="str">
        <f aca="false">PROPER(TRIM(AV209))</f>
        <v>Completed</v>
      </c>
      <c r="AB209" s="0" t="str">
        <f aca="false">IF(TRIM(AN209)="","Yes","No")</f>
        <v>No</v>
      </c>
      <c r="AC209" s="0" t="str">
        <f aca="false">IF(TRIM(AS209)="","Yes","No")</f>
        <v>No</v>
      </c>
      <c r="AD209" s="0" t="str">
        <f aca="false">IF(AT209="","Yes","No")</f>
        <v>No</v>
      </c>
      <c r="AE209" s="0" t="str">
        <f aca="false">IF(W209&lt;0,"Yes","No")</f>
        <v>No</v>
      </c>
      <c r="AF209" s="0" t="str">
        <f aca="false">IF(P209="","No",IF(OR(P209&lt;0,P209&gt;0.3),"Yes","No"))</f>
        <v>No</v>
      </c>
      <c r="AG209" s="4" t="s">
        <v>50</v>
      </c>
      <c r="AH209" s="0" t="str">
        <f aca="false">IF(AND(AA209="Completed",Z209="Paid"),"Yes","No")</f>
        <v>Yes</v>
      </c>
      <c r="AI209" s="0" t="str">
        <f aca="false">IF(OR(AE209="Yes",AF209="Yes",AG209="Yes"),"Invalid",IF(OR(AB209="Yes",AC209="Yes",AD209="Yes"),"Warning","Clean"))</f>
        <v>Clean</v>
      </c>
      <c r="AJ209" s="4" t="s">
        <v>945</v>
      </c>
      <c r="AK209" s="4" t="s">
        <v>946</v>
      </c>
      <c r="AL209" s="4" t="s">
        <v>176</v>
      </c>
      <c r="AM209" s="4" t="s">
        <v>134</v>
      </c>
      <c r="AN209" s="4" t="s">
        <v>97</v>
      </c>
      <c r="AO209" s="4" t="s">
        <v>250</v>
      </c>
      <c r="AP209" s="4" t="s">
        <v>251</v>
      </c>
      <c r="AQ209" s="4" t="s">
        <v>72</v>
      </c>
      <c r="AR209" s="4" t="s">
        <v>211</v>
      </c>
      <c r="AS209" s="4" t="s">
        <v>60</v>
      </c>
      <c r="AT209" s="0" t="n">
        <v>0.2</v>
      </c>
      <c r="AU209" s="4" t="s">
        <v>61</v>
      </c>
      <c r="AV209" s="4" t="s">
        <v>62</v>
      </c>
    </row>
    <row r="210" customFormat="false" ht="15" hidden="false" customHeight="false" outlineLevel="0" collapsed="false">
      <c r="A210" s="0" t="s">
        <v>947</v>
      </c>
      <c r="B210" s="3" t="n">
        <f aca="false">IF(AJ210="","",IF(ISNUMBER(SEARCH("/",AJ210)),DATE(VALUE(RIGHT(AJ210,4)),VALUE(LEFT(AJ210,2)),VALUE(MID(AJ210,4,2))),IF(ISNUMBER(SEARCH("-",AJ210)),IF(LEN(LEFT(AJ210,FIND("-",AJ210)-1))=4,DATE(VALUE(LEFT(AJ210,4)),VALUE(MID(AJ210,6,2)),VALUE(RIGHT(AJ210,2))),DATE(VALUE(RIGHT(AJ210,4)),VALUE(MID(AJ210,4,2)),VALUE(LEFT(AJ210,2)))),DATE(VALUE(RIGHT(AJ210,4)),MATCH(MID(AJ210,4,3),{"Jan","Feb","Mar","Apr","May","Jun","Jul","Aug","Sep","Oct","Nov","Dec"},0),VALUE(LEFT(AJ210,2))))))</f>
        <v>45837</v>
      </c>
      <c r="C210" s="3" t="n">
        <f aca="false">IF(AK210="","",IF(ISNUMBER(SEARCH("/",AK210)),DATE(VALUE(RIGHT(AK210,4)),VALUE(LEFT(AK210,2)),VALUE(MID(AK210,4,2))),IF(ISNUMBER(SEARCH("-",AK210)),IF(LEN(LEFT(AK210,FIND("-",AK210)-1))=4,DATE(VALUE(LEFT(AK210,4)),VALUE(MID(AK210,6,2)),VALUE(RIGHT(AK210,2))),DATE(VALUE(RIGHT(AK210,4)),VALUE(MID(AK210,4,2)),VALUE(LEFT(AK210,2)))),DATE(VALUE(RIGHT(AK210,4)),MATCH(MID(AK210,4,3),{"Jan","Feb","Mar","Apr","May","Jun","Jul","Aug","Sep","Oct","Nov","Dec"},0),VALUE(LEFT(AK210,2))))))</f>
        <v>45843</v>
      </c>
      <c r="D210" s="4" t="s">
        <v>948</v>
      </c>
      <c r="E210" s="0" t="str">
        <f aca="false">PROPER(TRIM(AL210))</f>
        <v>Diya Patel</v>
      </c>
      <c r="F210" s="0" t="str">
        <f aca="false">PROPER(TRIM(AM210))</f>
        <v>Consumer</v>
      </c>
      <c r="G210" s="0" t="str">
        <f aca="false">IF(TRIM(AN210)="","Unknown",PROPER(TRIM(AN210)))</f>
        <v>North</v>
      </c>
      <c r="H210" s="0" t="str">
        <f aca="false">PROPER(TRIM(AO210))</f>
        <v>Punjab</v>
      </c>
      <c r="I210" s="0" t="str">
        <f aca="false">PROPER(TRIM(AP210))</f>
        <v>Ludhiana</v>
      </c>
      <c r="J210" s="0" t="str">
        <f aca="false">PROPER(TRIM(AQ210))</f>
        <v>Furniture</v>
      </c>
      <c r="K210" s="0" t="str">
        <f aca="false">PROPER(TRIM(AR210))</f>
        <v>Chairs</v>
      </c>
      <c r="M210" s="0" t="str">
        <f aca="false">IF(TRIM(AS210)="","Unknown",PROPER(TRIM(AS210)))</f>
        <v>Same Day</v>
      </c>
      <c r="N210" s="0" t="n">
        <v>1</v>
      </c>
      <c r="O210" s="0" t="n">
        <v>999.83</v>
      </c>
      <c r="P210" s="5" t="n">
        <f aca="false">IF(AT210="","",IF(ISNUMBER(AT210),AT210,VALUE(SUBSTITUTE(AT210,"%",""))/100))</f>
        <v>0</v>
      </c>
      <c r="Q210" s="5" t="n">
        <f aca="false">IF(P210="",IF(AND(N210&lt;&gt;"",O210&lt;&gt;"",R210&lt;&gt;"",S210&lt;&gt;""),0,"REVIEW"),IF(OR(P210&lt;0,P210&gt;0.3),0,P210))</f>
        <v>0</v>
      </c>
      <c r="R210" s="0" t="n">
        <v>999.83</v>
      </c>
      <c r="S210" s="0" t="n">
        <v>634.91</v>
      </c>
      <c r="T210" s="6" t="n">
        <f aca="false">N210*O210*(1-Q210)</f>
        <v>999.83</v>
      </c>
      <c r="U210" s="6" t="n">
        <f aca="false">T210-S210</f>
        <v>364.92</v>
      </c>
      <c r="V210" s="7" t="n">
        <f aca="false">IF(T210=0,0,U210/T210)</f>
        <v>0.364982046947981</v>
      </c>
      <c r="W210" s="4" t="n">
        <f aca="false">C210-B210</f>
        <v>6</v>
      </c>
      <c r="X210" s="0" t="str">
        <f aca="false">TEXT(B210,"mmmm")</f>
        <v>June</v>
      </c>
      <c r="Y210" s="4" t="n">
        <f aca="false">YEAR(B210)</f>
        <v>2025</v>
      </c>
      <c r="Z210" s="0" t="str">
        <f aca="false">PROPER(TRIM(AU210))</f>
        <v>Paid</v>
      </c>
      <c r="AA210" s="0" t="str">
        <f aca="false">PROPER(TRIM(AV210))</f>
        <v>Completed</v>
      </c>
      <c r="AB210" s="0" t="str">
        <f aca="false">IF(TRIM(AN210)="","Yes","No")</f>
        <v>No</v>
      </c>
      <c r="AC210" s="0" t="str">
        <f aca="false">IF(TRIM(AS210)="","Yes","No")</f>
        <v>No</v>
      </c>
      <c r="AD210" s="0" t="str">
        <f aca="false">IF(AT210="","Yes","No")</f>
        <v>No</v>
      </c>
      <c r="AE210" s="0" t="str">
        <f aca="false">IF(W210&lt;0,"Yes","No")</f>
        <v>No</v>
      </c>
      <c r="AF210" s="0" t="str">
        <f aca="false">IF(P210="","No",IF(OR(P210&lt;0,P210&gt;0.3),"Yes","No"))</f>
        <v>No</v>
      </c>
      <c r="AG210" s="4" t="s">
        <v>50</v>
      </c>
      <c r="AH210" s="0" t="str">
        <f aca="false">IF(AND(AA210="Completed",Z210="Paid"),"Yes","No")</f>
        <v>Yes</v>
      </c>
      <c r="AI210" s="0" t="str">
        <f aca="false">IF(OR(AE210="Yes",AF210="Yes",AG210="Yes"),"Invalid",IF(OR(AB210="Yes",AC210="Yes",AD210="Yes"),"Warning","Clean"))</f>
        <v>Clean</v>
      </c>
      <c r="AJ210" s="4" t="s">
        <v>949</v>
      </c>
      <c r="AK210" s="4" t="s">
        <v>950</v>
      </c>
      <c r="AL210" s="4" t="s">
        <v>216</v>
      </c>
      <c r="AM210" s="4" t="s">
        <v>54</v>
      </c>
      <c r="AN210" s="4" t="s">
        <v>168</v>
      </c>
      <c r="AO210" s="4" t="s">
        <v>169</v>
      </c>
      <c r="AP210" s="4" t="s">
        <v>170</v>
      </c>
      <c r="AQ210" s="4" t="s">
        <v>72</v>
      </c>
      <c r="AR210" s="4" t="s">
        <v>100</v>
      </c>
      <c r="AS210" s="4" t="s">
        <v>74</v>
      </c>
      <c r="AT210" s="0" t="n">
        <v>0</v>
      </c>
      <c r="AU210" s="4" t="s">
        <v>61</v>
      </c>
      <c r="AV210" s="4" t="s">
        <v>62</v>
      </c>
    </row>
    <row r="211" customFormat="false" ht="15" hidden="false" customHeight="false" outlineLevel="0" collapsed="false">
      <c r="A211" s="0" t="s">
        <v>951</v>
      </c>
      <c r="B211" s="3" t="n">
        <f aca="false">IF(AJ211="","",IF(ISNUMBER(SEARCH("/",AJ211)),DATE(VALUE(RIGHT(AJ211,4)),VALUE(LEFT(AJ211,2)),VALUE(MID(AJ211,4,2))),IF(ISNUMBER(SEARCH("-",AJ211)),IF(LEN(LEFT(AJ211,FIND("-",AJ211)-1))=4,DATE(VALUE(LEFT(AJ211,4)),VALUE(MID(AJ211,6,2)),VALUE(RIGHT(AJ211,2))),DATE(VALUE(RIGHT(AJ211,4)),VALUE(MID(AJ211,4,2)),VALUE(LEFT(AJ211,2)))),DATE(VALUE(RIGHT(AJ211,4)),MATCH(MID(AJ211,4,3),{"Jan","Feb","Mar","Apr","May","Jun","Jul","Aug","Sep","Oct","Nov","Dec"},0),VALUE(LEFT(AJ211,2))))))</f>
        <v>45882</v>
      </c>
      <c r="C211" s="3" t="n">
        <f aca="false">IF(AK211="","",IF(ISNUMBER(SEARCH("/",AK211)),DATE(VALUE(RIGHT(AK211,4)),VALUE(LEFT(AK211,2)),VALUE(MID(AK211,4,2))),IF(ISNUMBER(SEARCH("-",AK211)),IF(LEN(LEFT(AK211,FIND("-",AK211)-1))=4,DATE(VALUE(LEFT(AK211,4)),VALUE(MID(AK211,6,2)),VALUE(RIGHT(AK211,2))),DATE(VALUE(RIGHT(AK211,4)),VALUE(MID(AK211,4,2)),VALUE(LEFT(AK211,2)))),DATE(VALUE(RIGHT(AK211,4)),MATCH(MID(AK211,4,3),{"Jan","Feb","Mar","Apr","May","Jun","Jul","Aug","Sep","Oct","Nov","Dec"},0),VALUE(LEFT(AK211,2))))))</f>
        <v>45883</v>
      </c>
      <c r="D211" s="4" t="s">
        <v>952</v>
      </c>
      <c r="E211" s="0" t="str">
        <f aca="false">PROPER(TRIM(AL211))</f>
        <v>Rohan Mehta</v>
      </c>
      <c r="F211" s="0" t="str">
        <f aca="false">PROPER(TRIM(AM211))</f>
        <v>Small Business</v>
      </c>
      <c r="G211" s="0" t="str">
        <f aca="false">IF(TRIM(AN211)="","Unknown",PROPER(TRIM(AN211)))</f>
        <v>South</v>
      </c>
      <c r="H211" s="0" t="str">
        <f aca="false">PROPER(TRIM(AO211))</f>
        <v>Andhra Pradesh</v>
      </c>
      <c r="I211" s="0" t="str">
        <f aca="false">PROPER(TRIM(AP211))</f>
        <v>Vijayawada</v>
      </c>
      <c r="J211" s="0" t="str">
        <f aca="false">PROPER(TRIM(AQ211))</f>
        <v>Office Supplies</v>
      </c>
      <c r="K211" s="0" t="str">
        <f aca="false">PROPER(TRIM(AR211))</f>
        <v>Paper</v>
      </c>
      <c r="M211" s="0" t="str">
        <f aca="false">IF(TRIM(AS211)="","Unknown",PROPER(TRIM(AS211)))</f>
        <v>First Class</v>
      </c>
      <c r="N211" s="0" t="n">
        <v>9</v>
      </c>
      <c r="O211" s="0" t="n">
        <v>864.98</v>
      </c>
      <c r="P211" s="5" t="n">
        <f aca="false">IF(AT211="","",IF(ISNUMBER(AT211),AT211,VALUE(SUBSTITUTE(AT211,"%",""))/100))</f>
        <v>0.1</v>
      </c>
      <c r="Q211" s="5" t="n">
        <f aca="false">IF(P211="",IF(AND(N211&lt;&gt;"",O211&lt;&gt;"",R211&lt;&gt;"",S211&lt;&gt;""),0,"REVIEW"),IF(OR(P211&lt;0,P211&gt;0.3),0,P211))</f>
        <v>0.1</v>
      </c>
      <c r="R211" s="0" t="n">
        <v>7006.34</v>
      </c>
      <c r="S211" s="0" t="n">
        <v>4640.88</v>
      </c>
      <c r="T211" s="6" t="n">
        <f aca="false">N211*O211*(1-Q211)</f>
        <v>7006.338</v>
      </c>
      <c r="U211" s="6" t="n">
        <f aca="false">T211-S211</f>
        <v>2365.458</v>
      </c>
      <c r="V211" s="7" t="n">
        <f aca="false">IF(T211=0,0,U211/T211)</f>
        <v>0.337616883456094</v>
      </c>
      <c r="W211" s="4" t="n">
        <f aca="false">C211-B211</f>
        <v>1</v>
      </c>
      <c r="X211" s="0" t="str">
        <f aca="false">TEXT(B211,"mmmm")</f>
        <v>August</v>
      </c>
      <c r="Y211" s="4" t="n">
        <f aca="false">YEAR(B211)</f>
        <v>2025</v>
      </c>
      <c r="Z211" s="0" t="str">
        <f aca="false">PROPER(TRIM(AU211))</f>
        <v>Paid</v>
      </c>
      <c r="AA211" s="0" t="str">
        <f aca="false">PROPER(TRIM(AV211))</f>
        <v>Completed</v>
      </c>
      <c r="AB211" s="0" t="str">
        <f aca="false">IF(TRIM(AN211)="","Yes","No")</f>
        <v>No</v>
      </c>
      <c r="AC211" s="0" t="str">
        <f aca="false">IF(TRIM(AS211)="","Yes","No")</f>
        <v>No</v>
      </c>
      <c r="AD211" s="0" t="str">
        <f aca="false">IF(AT211="","Yes","No")</f>
        <v>No</v>
      </c>
      <c r="AE211" s="0" t="str">
        <f aca="false">IF(W211&lt;0,"Yes","No")</f>
        <v>No</v>
      </c>
      <c r="AF211" s="0" t="str">
        <f aca="false">IF(P211="","No",IF(OR(P211&lt;0,P211&gt;0.3),"Yes","No"))</f>
        <v>No</v>
      </c>
      <c r="AG211" s="4" t="s">
        <v>50</v>
      </c>
      <c r="AH211" s="0" t="str">
        <f aca="false">IF(AND(AA211="Completed",Z211="Paid"),"Yes","No")</f>
        <v>Yes</v>
      </c>
      <c r="AI211" s="0" t="str">
        <f aca="false">IF(OR(AE211="Yes",AF211="Yes",AG211="Yes"),"Invalid",IF(OR(AB211="Yes",AC211="Yes",AD211="Yes"),"Warning","Clean"))</f>
        <v>Clean</v>
      </c>
      <c r="AJ211" s="4" t="s">
        <v>953</v>
      </c>
      <c r="AK211" s="4" t="s">
        <v>954</v>
      </c>
      <c r="AL211" s="4" t="s">
        <v>191</v>
      </c>
      <c r="AM211" s="4" t="s">
        <v>68</v>
      </c>
      <c r="AN211" s="4" t="s">
        <v>87</v>
      </c>
      <c r="AO211" s="4" t="s">
        <v>121</v>
      </c>
      <c r="AP211" s="4" t="s">
        <v>122</v>
      </c>
      <c r="AQ211" s="4" t="s">
        <v>58</v>
      </c>
      <c r="AR211" s="4" t="s">
        <v>59</v>
      </c>
      <c r="AS211" s="4" t="s">
        <v>81</v>
      </c>
      <c r="AT211" s="0" t="n">
        <v>0.1</v>
      </c>
      <c r="AU211" s="4" t="s">
        <v>61</v>
      </c>
      <c r="AV211" s="4" t="s">
        <v>62</v>
      </c>
    </row>
    <row r="212" customFormat="false" ht="15" hidden="false" customHeight="false" outlineLevel="0" collapsed="false">
      <c r="A212" s="0" t="s">
        <v>955</v>
      </c>
      <c r="B212" s="3" t="n">
        <f aca="false">IF(AJ212="","",IF(ISNUMBER(SEARCH("/",AJ212)),DATE(VALUE(RIGHT(AJ212,4)),VALUE(LEFT(AJ212,2)),VALUE(MID(AJ212,4,2))),IF(ISNUMBER(SEARCH("-",AJ212)),IF(LEN(LEFT(AJ212,FIND("-",AJ212)-1))=4,DATE(VALUE(LEFT(AJ212,4)),VALUE(MID(AJ212,6,2)),VALUE(RIGHT(AJ212,2))),DATE(VALUE(RIGHT(AJ212,4)),VALUE(MID(AJ212,4,2)),VALUE(LEFT(AJ212,2)))),DATE(VALUE(RIGHT(AJ212,4)),MATCH(MID(AJ212,4,3),{"Jan","Feb","Mar","Apr","May","Jun","Jul","Aug","Sep","Oct","Nov","Dec"},0),VALUE(LEFT(AJ212,2))))))</f>
        <v>45366</v>
      </c>
      <c r="C212" s="3" t="n">
        <f aca="false">IF(AK212="","",IF(ISNUMBER(SEARCH("/",AK212)),DATE(VALUE(RIGHT(AK212,4)),VALUE(LEFT(AK212,2)),VALUE(MID(AK212,4,2))),IF(ISNUMBER(SEARCH("-",AK212)),IF(LEN(LEFT(AK212,FIND("-",AK212)-1))=4,DATE(VALUE(LEFT(AK212,4)),VALUE(MID(AK212,6,2)),VALUE(RIGHT(AK212,2))),DATE(VALUE(RIGHT(AK212,4)),VALUE(MID(AK212,4,2)),VALUE(LEFT(AK212,2)))),DATE(VALUE(RIGHT(AK212,4)),MATCH(MID(AK212,4,3),{"Jan","Feb","Mar","Apr","May","Jun","Jul","Aug","Sep","Oct","Nov","Dec"},0),VALUE(LEFT(AK212,2))))))</f>
        <v>45369</v>
      </c>
      <c r="D212" s="4" t="s">
        <v>956</v>
      </c>
      <c r="E212" s="0" t="str">
        <f aca="false">PROPER(TRIM(AL212))</f>
        <v>Kabir Singh</v>
      </c>
      <c r="F212" s="0" t="str">
        <f aca="false">PROPER(TRIM(AM212))</f>
        <v>Home Office</v>
      </c>
      <c r="G212" s="0" t="str">
        <f aca="false">IF(TRIM(AN212)="","Unknown",PROPER(TRIM(AN212)))</f>
        <v>South</v>
      </c>
      <c r="H212" s="0" t="str">
        <f aca="false">PROPER(TRIM(AO212))</f>
        <v>Karnataka</v>
      </c>
      <c r="I212" s="0" t="str">
        <f aca="false">PROPER(TRIM(AP212))</f>
        <v>Bengaluru</v>
      </c>
      <c r="J212" s="0" t="str">
        <f aca="false">PROPER(TRIM(AQ212))</f>
        <v>Technology</v>
      </c>
      <c r="K212" s="0" t="str">
        <f aca="false">PROPER(TRIM(AR212))</f>
        <v>Machines</v>
      </c>
      <c r="M212" s="0" t="str">
        <f aca="false">IF(TRIM(AS212)="","Unknown",PROPER(TRIM(AS212)))</f>
        <v>Second Class</v>
      </c>
      <c r="N212" s="0" t="n">
        <v>1</v>
      </c>
      <c r="O212" s="0" t="n">
        <v>4131.36</v>
      </c>
      <c r="P212" s="5" t="n">
        <f aca="false">IF(AT212="","",IF(ISNUMBER(AT212),AT212,VALUE(SUBSTITUTE(AT212,"%",""))/100))</f>
        <v>0</v>
      </c>
      <c r="Q212" s="5" t="n">
        <f aca="false">IF(P212="",IF(AND(N212&lt;&gt;"",O212&lt;&gt;"",R212&lt;&gt;"",S212&lt;&gt;""),0,"REVIEW"),IF(OR(P212&lt;0,P212&gt;0.3),0,P212))</f>
        <v>0</v>
      </c>
      <c r="R212" s="0" t="n">
        <v>4131.36</v>
      </c>
      <c r="S212" s="0" t="n">
        <v>2937.07</v>
      </c>
      <c r="T212" s="6" t="n">
        <f aca="false">N212*O212*(1-Q212)</f>
        <v>4131.36</v>
      </c>
      <c r="U212" s="6" t="n">
        <f aca="false">T212-S212</f>
        <v>1194.29</v>
      </c>
      <c r="V212" s="7" t="n">
        <f aca="false">IF(T212=0,0,U212/T212)</f>
        <v>0.289079141009256</v>
      </c>
      <c r="W212" s="4" t="n">
        <f aca="false">C212-B212</f>
        <v>3</v>
      </c>
      <c r="X212" s="0" t="str">
        <f aca="false">TEXT(B212,"mmmm")</f>
        <v>March</v>
      </c>
      <c r="Y212" s="4" t="n">
        <f aca="false">YEAR(B212)</f>
        <v>2024</v>
      </c>
      <c r="Z212" s="0" t="str">
        <f aca="false">PROPER(TRIM(AU212))</f>
        <v>Failed</v>
      </c>
      <c r="AA212" s="0" t="str">
        <f aca="false">PROPER(TRIM(AV212))</f>
        <v>Returned</v>
      </c>
      <c r="AB212" s="0" t="str">
        <f aca="false">IF(TRIM(AN212)="","Yes","No")</f>
        <v>No</v>
      </c>
      <c r="AC212" s="0" t="str">
        <f aca="false">IF(TRIM(AS212)="","Yes","No")</f>
        <v>No</v>
      </c>
      <c r="AD212" s="0" t="str">
        <f aca="false">IF(AT212="","Yes","No")</f>
        <v>No</v>
      </c>
      <c r="AE212" s="0" t="str">
        <f aca="false">IF(W212&lt;0,"Yes","No")</f>
        <v>No</v>
      </c>
      <c r="AF212" s="0" t="str">
        <f aca="false">IF(P212="","No",IF(OR(P212&lt;0,P212&gt;0.3),"Yes","No"))</f>
        <v>No</v>
      </c>
      <c r="AG212" s="4" t="s">
        <v>50</v>
      </c>
      <c r="AH212" s="0" t="str">
        <f aca="false">IF(AND(AA212="Completed",Z212="Paid"),"Yes","No")</f>
        <v>No</v>
      </c>
      <c r="AI212" s="0" t="str">
        <f aca="false">IF(OR(AE212="Yes",AF212="Yes",AG212="Yes"),"Invalid",IF(OR(AB212="Yes",AC212="Yes",AD212="Yes"),"Warning","Clean"))</f>
        <v>Clean</v>
      </c>
      <c r="AJ212" s="4" t="s">
        <v>957</v>
      </c>
      <c r="AK212" s="4" t="s">
        <v>958</v>
      </c>
      <c r="AL212" s="4" t="s">
        <v>347</v>
      </c>
      <c r="AM212" s="4" t="s">
        <v>134</v>
      </c>
      <c r="AN212" s="4" t="s">
        <v>87</v>
      </c>
      <c r="AO212" s="4" t="s">
        <v>233</v>
      </c>
      <c r="AP212" s="4" t="s">
        <v>234</v>
      </c>
      <c r="AQ212" s="4" t="s">
        <v>109</v>
      </c>
      <c r="AR212" s="4" t="s">
        <v>360</v>
      </c>
      <c r="AS212" s="4" t="s">
        <v>60</v>
      </c>
      <c r="AT212" s="0" t="n">
        <v>0</v>
      </c>
      <c r="AU212" s="4" t="s">
        <v>207</v>
      </c>
      <c r="AV212" s="4" t="s">
        <v>142</v>
      </c>
    </row>
    <row r="213" customFormat="false" ht="15" hidden="false" customHeight="false" outlineLevel="0" collapsed="false">
      <c r="A213" s="0" t="s">
        <v>959</v>
      </c>
      <c r="B213" s="3" t="n">
        <f aca="false">IF(AJ213="","",IF(ISNUMBER(SEARCH("/",AJ213)),DATE(VALUE(RIGHT(AJ213,4)),VALUE(LEFT(AJ213,2)),VALUE(MID(AJ213,4,2))),IF(ISNUMBER(SEARCH("-",AJ213)),IF(LEN(LEFT(AJ213,FIND("-",AJ213)-1))=4,DATE(VALUE(LEFT(AJ213,4)),VALUE(MID(AJ213,6,2)),VALUE(RIGHT(AJ213,2))),DATE(VALUE(RIGHT(AJ213,4)),VALUE(MID(AJ213,4,2)),VALUE(LEFT(AJ213,2)))),DATE(VALUE(RIGHT(AJ213,4)),MATCH(MID(AJ213,4,3),{"Jan","Feb","Mar","Apr","May","Jun","Jul","Aug","Sep","Oct","Nov","Dec"},0),VALUE(LEFT(AJ213,2))))))</f>
        <v>45428</v>
      </c>
      <c r="C213" s="3" t="n">
        <f aca="false">IF(AK213="","",IF(ISNUMBER(SEARCH("/",AK213)),DATE(VALUE(RIGHT(AK213,4)),VALUE(LEFT(AK213,2)),VALUE(MID(AK213,4,2))),IF(ISNUMBER(SEARCH("-",AK213)),IF(LEN(LEFT(AK213,FIND("-",AK213)-1))=4,DATE(VALUE(LEFT(AK213,4)),VALUE(MID(AK213,6,2)),VALUE(RIGHT(AK213,2))),DATE(VALUE(RIGHT(AK213,4)),VALUE(MID(AK213,4,2)),VALUE(LEFT(AK213,2)))),DATE(VALUE(RIGHT(AK213,4)),MATCH(MID(AK213,4,3),{"Jan","Feb","Mar","Apr","May","Jun","Jul","Aug","Sep","Oct","Nov","Dec"},0),VALUE(LEFT(AK213,2))))))</f>
        <v>45429</v>
      </c>
      <c r="D213" s="4" t="s">
        <v>960</v>
      </c>
      <c r="E213" s="0" t="str">
        <f aca="false">PROPER(TRIM(AL213))</f>
        <v>Rohan Mehta</v>
      </c>
      <c r="F213" s="0" t="str">
        <f aca="false">PROPER(TRIM(AM213))</f>
        <v>Corporate</v>
      </c>
      <c r="G213" s="0" t="str">
        <f aca="false">IF(TRIM(AN213)="","Unknown",PROPER(TRIM(AN213)))</f>
        <v>East</v>
      </c>
      <c r="H213" s="0" t="str">
        <f aca="false">PROPER(TRIM(AO213))</f>
        <v>West Bengal</v>
      </c>
      <c r="I213" s="0" t="str">
        <f aca="false">PROPER(TRIM(AP213))</f>
        <v>Kolkata</v>
      </c>
      <c r="J213" s="0" t="str">
        <f aca="false">PROPER(TRIM(AQ213))</f>
        <v>Technology</v>
      </c>
      <c r="K213" s="0" t="str">
        <f aca="false">PROPER(TRIM(AR213))</f>
        <v>Copiers</v>
      </c>
      <c r="M213" s="0" t="str">
        <f aca="false">IF(TRIM(AS213)="","Unknown",PROPER(TRIM(AS213)))</f>
        <v>Second Class</v>
      </c>
      <c r="N213" s="0" t="n">
        <v>8</v>
      </c>
      <c r="O213" s="0" t="n">
        <v>4221.95</v>
      </c>
      <c r="P213" s="5" t="n">
        <f aca="false">IF(AT213="","",IF(ISNUMBER(AT213),AT213,VALUE(SUBSTITUTE(AT213,"%",""))/100))</f>
        <v>0.2</v>
      </c>
      <c r="Q213" s="5" t="n">
        <f aca="false">IF(P213="",IF(AND(N213&lt;&gt;"",O213&lt;&gt;"",R213&lt;&gt;"",S213&lt;&gt;""),0,"REVIEW"),IF(OR(P213&lt;0,P213&gt;0.3),0,P213))</f>
        <v>0.2</v>
      </c>
      <c r="R213" s="0" t="n">
        <v>27020.48</v>
      </c>
      <c r="S213" s="0" t="n">
        <v>22885.24</v>
      </c>
      <c r="T213" s="6" t="n">
        <f aca="false">N213*O213*(1-Q213)</f>
        <v>27020.48</v>
      </c>
      <c r="U213" s="6" t="n">
        <f aca="false">T213-S213</f>
        <v>4135.24</v>
      </c>
      <c r="V213" s="7" t="n">
        <f aca="false">IF(T213=0,0,U213/T213)</f>
        <v>0.153040952640368</v>
      </c>
      <c r="W213" s="4" t="n">
        <f aca="false">C213-B213</f>
        <v>1</v>
      </c>
      <c r="X213" s="0" t="str">
        <f aca="false">TEXT(B213,"mmmm")</f>
        <v>May</v>
      </c>
      <c r="Y213" s="4" t="n">
        <f aca="false">YEAR(B213)</f>
        <v>2024</v>
      </c>
      <c r="Z213" s="0" t="str">
        <f aca="false">PROPER(TRIM(AU213))</f>
        <v>Paid</v>
      </c>
      <c r="AA213" s="0" t="str">
        <f aca="false">PROPER(TRIM(AV213))</f>
        <v>Completed</v>
      </c>
      <c r="AB213" s="0" t="str">
        <f aca="false">IF(TRIM(AN213)="","Yes","No")</f>
        <v>No</v>
      </c>
      <c r="AC213" s="0" t="str">
        <f aca="false">IF(TRIM(AS213)="","Yes","No")</f>
        <v>No</v>
      </c>
      <c r="AD213" s="0" t="str">
        <f aca="false">IF(AT213="","Yes","No")</f>
        <v>No</v>
      </c>
      <c r="AE213" s="0" t="str">
        <f aca="false">IF(W213&lt;0,"Yes","No")</f>
        <v>No</v>
      </c>
      <c r="AF213" s="0" t="str">
        <f aca="false">IF(P213="","No",IF(OR(P213&lt;0,P213&gt;0.3),"Yes","No"))</f>
        <v>No</v>
      </c>
      <c r="AG213" s="4" t="s">
        <v>50</v>
      </c>
      <c r="AH213" s="0" t="str">
        <f aca="false">IF(AND(AA213="Completed",Z213="Paid"),"Yes","No")</f>
        <v>Yes</v>
      </c>
      <c r="AI213" s="0" t="str">
        <f aca="false">IF(OR(AE213="Yes",AF213="Yes",AG213="Yes"),"Invalid",IF(OR(AB213="Yes",AC213="Yes",AD213="Yes"),"Warning","Clean"))</f>
        <v>Clean</v>
      </c>
      <c r="AJ213" s="4" t="s">
        <v>961</v>
      </c>
      <c r="AK213" s="4" t="s">
        <v>962</v>
      </c>
      <c r="AL213" s="4" t="s">
        <v>191</v>
      </c>
      <c r="AM213" s="4" t="s">
        <v>128</v>
      </c>
      <c r="AN213" s="4" t="s">
        <v>963</v>
      </c>
      <c r="AO213" s="4" t="s">
        <v>139</v>
      </c>
      <c r="AP213" s="4" t="s">
        <v>140</v>
      </c>
      <c r="AQ213" s="4" t="s">
        <v>109</v>
      </c>
      <c r="AR213" s="4" t="s">
        <v>116</v>
      </c>
      <c r="AS213" s="4" t="s">
        <v>60</v>
      </c>
      <c r="AT213" s="0" t="n">
        <v>0.2</v>
      </c>
      <c r="AU213" s="4" t="s">
        <v>61</v>
      </c>
      <c r="AV213" s="4" t="s">
        <v>62</v>
      </c>
    </row>
    <row r="214" customFormat="false" ht="15" hidden="false" customHeight="false" outlineLevel="0" collapsed="false">
      <c r="A214" s="0" t="s">
        <v>964</v>
      </c>
      <c r="B214" s="3" t="n">
        <f aca="false">IF(AJ214="","",IF(ISNUMBER(SEARCH("/",AJ214)),DATE(VALUE(RIGHT(AJ214,4)),VALUE(LEFT(AJ214,2)),VALUE(MID(AJ214,4,2))),IF(ISNUMBER(SEARCH("-",AJ214)),IF(LEN(LEFT(AJ214,FIND("-",AJ214)-1))=4,DATE(VALUE(LEFT(AJ214,4)),VALUE(MID(AJ214,6,2)),VALUE(RIGHT(AJ214,2))),DATE(VALUE(RIGHT(AJ214,4)),VALUE(MID(AJ214,4,2)),VALUE(LEFT(AJ214,2)))),DATE(VALUE(RIGHT(AJ214,4)),MATCH(MID(AJ214,4,3),{"Jan","Feb","Mar","Apr","May","Jun","Jul","Aug","Sep","Oct","Nov","Dec"},0),VALUE(LEFT(AJ214,2))))))</f>
        <v>45556</v>
      </c>
      <c r="C214" s="3" t="n">
        <f aca="false">IF(AK214="","",IF(ISNUMBER(SEARCH("/",AK214)),DATE(VALUE(RIGHT(AK214,4)),VALUE(LEFT(AK214,2)),VALUE(MID(AK214,4,2))),IF(ISNUMBER(SEARCH("-",AK214)),IF(LEN(LEFT(AK214,FIND("-",AK214)-1))=4,DATE(VALUE(LEFT(AK214,4)),VALUE(MID(AK214,6,2)),VALUE(RIGHT(AK214,2))),DATE(VALUE(RIGHT(AK214,4)),VALUE(MID(AK214,4,2)),VALUE(LEFT(AK214,2)))),DATE(VALUE(RIGHT(AK214,4)),MATCH(MID(AK214,4,3),{"Jan","Feb","Mar","Apr","May","Jun","Jul","Aug","Sep","Oct","Nov","Dec"},0),VALUE(LEFT(AK214,2))))))</f>
        <v>45556</v>
      </c>
      <c r="D214" s="4" t="s">
        <v>965</v>
      </c>
      <c r="E214" s="0" t="str">
        <f aca="false">PROPER(TRIM(AL214))</f>
        <v>Ananya Rao</v>
      </c>
      <c r="F214" s="0" t="str">
        <f aca="false">PROPER(TRIM(AM214))</f>
        <v>Small Business</v>
      </c>
      <c r="G214" s="0" t="str">
        <f aca="false">IF(TRIM(AN214)="","Unknown",PROPER(TRIM(AN214)))</f>
        <v>East</v>
      </c>
      <c r="H214" s="0" t="str">
        <f aca="false">PROPER(TRIM(AO214))</f>
        <v>Odisha</v>
      </c>
      <c r="I214" s="0" t="str">
        <f aca="false">PROPER(TRIM(AP214))</f>
        <v>Bhubaneswar</v>
      </c>
      <c r="J214" s="0" t="str">
        <f aca="false">PROPER(TRIM(AQ214))</f>
        <v>Technology</v>
      </c>
      <c r="K214" s="0" t="str">
        <f aca="false">PROPER(TRIM(AR214))</f>
        <v>Phones</v>
      </c>
      <c r="M214" s="0" t="str">
        <f aca="false">IF(TRIM(AS214)="","Unknown",PROPER(TRIM(AS214)))</f>
        <v>Same Day</v>
      </c>
      <c r="N214" s="0" t="n">
        <v>2</v>
      </c>
      <c r="O214" s="0" t="n">
        <v>214.5</v>
      </c>
      <c r="P214" s="5" t="n">
        <f aca="false">IF(AT214="","",IF(ISNUMBER(AT214),AT214,VALUE(SUBSTITUTE(AT214,"%",""))/100))</f>
        <v>0.15</v>
      </c>
      <c r="Q214" s="5" t="n">
        <f aca="false">IF(P214="",IF(AND(N214&lt;&gt;"",O214&lt;&gt;"",R214&lt;&gt;"",S214&lt;&gt;""),0,"REVIEW"),IF(OR(P214&lt;0,P214&gt;0.3),0,P214))</f>
        <v>0.15</v>
      </c>
      <c r="R214" s="0" t="n">
        <v>364.65</v>
      </c>
      <c r="S214" s="0" t="n">
        <v>280.74</v>
      </c>
      <c r="T214" s="6" t="n">
        <f aca="false">N214*O214*(1-Q214)</f>
        <v>364.65</v>
      </c>
      <c r="U214" s="6" t="n">
        <f aca="false">T214-S214</f>
        <v>83.91</v>
      </c>
      <c r="V214" s="7" t="n">
        <f aca="false">IF(T214=0,0,U214/T214)</f>
        <v>0.230111065405183</v>
      </c>
      <c r="W214" s="4" t="n">
        <f aca="false">C214-B214</f>
        <v>0</v>
      </c>
      <c r="X214" s="0" t="str">
        <f aca="false">TEXT(B214,"mmmm")</f>
        <v>September</v>
      </c>
      <c r="Y214" s="4" t="n">
        <f aca="false">YEAR(B214)</f>
        <v>2024</v>
      </c>
      <c r="Z214" s="0" t="str">
        <f aca="false">PROPER(TRIM(AU214))</f>
        <v>Paid</v>
      </c>
      <c r="AA214" s="0" t="str">
        <f aca="false">PROPER(TRIM(AV214))</f>
        <v>Completed</v>
      </c>
      <c r="AB214" s="0" t="str">
        <f aca="false">IF(TRIM(AN214)="","Yes","No")</f>
        <v>No</v>
      </c>
      <c r="AC214" s="0" t="str">
        <f aca="false">IF(TRIM(AS214)="","Yes","No")</f>
        <v>No</v>
      </c>
      <c r="AD214" s="0" t="str">
        <f aca="false">IF(AT214="","Yes","No")</f>
        <v>No</v>
      </c>
      <c r="AE214" s="0" t="str">
        <f aca="false">IF(W214&lt;0,"Yes","No")</f>
        <v>No</v>
      </c>
      <c r="AF214" s="0" t="str">
        <f aca="false">IF(P214="","No",IF(OR(P214&lt;0,P214&gt;0.3),"Yes","No"))</f>
        <v>No</v>
      </c>
      <c r="AG214" s="4" t="s">
        <v>50</v>
      </c>
      <c r="AH214" s="0" t="str">
        <f aca="false">IF(AND(AA214="Completed",Z214="Paid"),"Yes","No")</f>
        <v>Yes</v>
      </c>
      <c r="AI214" s="0" t="str">
        <f aca="false">IF(OR(AE214="Yes",AF214="Yes",AG214="Yes"),"Invalid",IF(OR(AB214="Yes",AC214="Yes",AD214="Yes"),"Warning","Clean"))</f>
        <v>Clean</v>
      </c>
      <c r="AJ214" s="4" t="s">
        <v>966</v>
      </c>
      <c r="AK214" s="4" t="s">
        <v>967</v>
      </c>
      <c r="AL214" s="4" t="s">
        <v>96</v>
      </c>
      <c r="AM214" s="4" t="s">
        <v>68</v>
      </c>
      <c r="AN214" s="4" t="s">
        <v>69</v>
      </c>
      <c r="AO214" s="4" t="s">
        <v>70</v>
      </c>
      <c r="AP214" s="4" t="s">
        <v>71</v>
      </c>
      <c r="AQ214" s="4" t="s">
        <v>109</v>
      </c>
      <c r="AR214" s="4" t="s">
        <v>227</v>
      </c>
      <c r="AS214" s="4" t="s">
        <v>74</v>
      </c>
      <c r="AT214" s="0" t="n">
        <v>0.15</v>
      </c>
      <c r="AU214" s="4" t="s">
        <v>61</v>
      </c>
      <c r="AV214" s="4" t="s">
        <v>62</v>
      </c>
    </row>
    <row r="215" customFormat="false" ht="15" hidden="false" customHeight="false" outlineLevel="0" collapsed="false">
      <c r="A215" s="0" t="s">
        <v>968</v>
      </c>
      <c r="B215" s="3" t="n">
        <f aca="false">IF(AJ215="","",IF(ISNUMBER(SEARCH("/",AJ215)),DATE(VALUE(RIGHT(AJ215,4)),VALUE(LEFT(AJ215,2)),VALUE(MID(AJ215,4,2))),IF(ISNUMBER(SEARCH("-",AJ215)),IF(LEN(LEFT(AJ215,FIND("-",AJ215)-1))=4,DATE(VALUE(LEFT(AJ215,4)),VALUE(MID(AJ215,6,2)),VALUE(RIGHT(AJ215,2))),DATE(VALUE(RIGHT(AJ215,4)),VALUE(MID(AJ215,4,2)),VALUE(LEFT(AJ215,2)))),DATE(VALUE(RIGHT(AJ215,4)),MATCH(MID(AJ215,4,3),{"Jan","Feb","Mar","Apr","May","Jun","Jul","Aug","Sep","Oct","Nov","Dec"},0),VALUE(LEFT(AJ215,2))))))</f>
        <v>45427</v>
      </c>
      <c r="C215" s="3" t="n">
        <f aca="false">IF(AK215="","",IF(ISNUMBER(SEARCH("/",AK215)),DATE(VALUE(RIGHT(AK215,4)),VALUE(LEFT(AK215,2)),VALUE(MID(AK215,4,2))),IF(ISNUMBER(SEARCH("-",AK215)),IF(LEN(LEFT(AK215,FIND("-",AK215)-1))=4,DATE(VALUE(LEFT(AK215,4)),VALUE(MID(AK215,6,2)),VALUE(RIGHT(AK215,2))),DATE(VALUE(RIGHT(AK215,4)),VALUE(MID(AK215,4,2)),VALUE(LEFT(AK215,2)))),DATE(VALUE(RIGHT(AK215,4)),MATCH(MID(AK215,4,3),{"Jan","Feb","Mar","Apr","May","Jun","Jul","Aug","Sep","Oct","Nov","Dec"},0),VALUE(LEFT(AK215,2))))))</f>
        <v>45433</v>
      </c>
      <c r="D215" s="4" t="s">
        <v>969</v>
      </c>
      <c r="E215" s="0" t="str">
        <f aca="false">PROPER(TRIM(AL215))</f>
        <v>Isha Nair</v>
      </c>
      <c r="F215" s="0" t="str">
        <f aca="false">PROPER(TRIM(AM215))</f>
        <v>Small Business</v>
      </c>
      <c r="G215" s="0" t="str">
        <f aca="false">IF(TRIM(AN215)="","Unknown",PROPER(TRIM(AN215)))</f>
        <v>East</v>
      </c>
      <c r="H215" s="0" t="str">
        <f aca="false">PROPER(TRIM(AO215))</f>
        <v>Bihar</v>
      </c>
      <c r="I215" s="0" t="str">
        <f aca="false">PROPER(TRIM(AP215))</f>
        <v>Patna</v>
      </c>
      <c r="J215" s="0" t="str">
        <f aca="false">PROPER(TRIM(AQ215))</f>
        <v>Technology</v>
      </c>
      <c r="K215" s="0" t="str">
        <f aca="false">PROPER(TRIM(AR215))</f>
        <v>Accessories</v>
      </c>
      <c r="M215" s="0" t="str">
        <f aca="false">IF(TRIM(AS215)="","Unknown",PROPER(TRIM(AS215)))</f>
        <v>Second Class</v>
      </c>
      <c r="N215" s="0" t="n">
        <v>4</v>
      </c>
      <c r="O215" s="0" t="n">
        <v>4332.73</v>
      </c>
      <c r="P215" s="5" t="n">
        <f aca="false">IF(AT215="","",IF(ISNUMBER(AT215),AT215,VALUE(SUBSTITUTE(AT215,"%",""))/100))</f>
        <v>0.2</v>
      </c>
      <c r="Q215" s="5" t="n">
        <f aca="false">IF(P215="",IF(AND(N215&lt;&gt;"",O215&lt;&gt;"",R215&lt;&gt;"",S215&lt;&gt;""),0,"REVIEW"),IF(OR(P215&lt;0,P215&gt;0.3),0,P215))</f>
        <v>0.2</v>
      </c>
      <c r="R215" s="0" t="n">
        <v>13864.74</v>
      </c>
      <c r="S215" s="0" t="n">
        <v>11294.06</v>
      </c>
      <c r="T215" s="6" t="n">
        <f aca="false">N215*O215*(1-Q215)</f>
        <v>13864.736</v>
      </c>
      <c r="U215" s="6" t="n">
        <f aca="false">T215-S215</f>
        <v>2570.676</v>
      </c>
      <c r="V215" s="7" t="n">
        <f aca="false">IF(T215=0,0,U215/T215)</f>
        <v>0.185411103392088</v>
      </c>
      <c r="W215" s="4" t="n">
        <f aca="false">C215-B215</f>
        <v>6</v>
      </c>
      <c r="X215" s="0" t="str">
        <f aca="false">TEXT(B215,"mmmm")</f>
        <v>May</v>
      </c>
      <c r="Y215" s="4" t="n">
        <f aca="false">YEAR(B215)</f>
        <v>2024</v>
      </c>
      <c r="Z215" s="0" t="str">
        <f aca="false">PROPER(TRIM(AU215))</f>
        <v>Paid</v>
      </c>
      <c r="AA215" s="0" t="str">
        <f aca="false">PROPER(TRIM(AV215))</f>
        <v>Completed</v>
      </c>
      <c r="AB215" s="0" t="str">
        <f aca="false">IF(TRIM(AN215)="","Yes","No")</f>
        <v>No</v>
      </c>
      <c r="AC215" s="0" t="str">
        <f aca="false">IF(TRIM(AS215)="","Yes","No")</f>
        <v>No</v>
      </c>
      <c r="AD215" s="0" t="str">
        <f aca="false">IF(AT215="","Yes","No")</f>
        <v>No</v>
      </c>
      <c r="AE215" s="0" t="str">
        <f aca="false">IF(W215&lt;0,"Yes","No")</f>
        <v>No</v>
      </c>
      <c r="AF215" s="0" t="str">
        <f aca="false">IF(P215="","No",IF(OR(P215&lt;0,P215&gt;0.3),"Yes","No"))</f>
        <v>No</v>
      </c>
      <c r="AG215" s="4" t="s">
        <v>50</v>
      </c>
      <c r="AH215" s="0" t="str">
        <f aca="false">IF(AND(AA215="Completed",Z215="Paid"),"Yes","No")</f>
        <v>Yes</v>
      </c>
      <c r="AI215" s="0" t="str">
        <f aca="false">IF(OR(AE215="Yes",AF215="Yes",AG215="Yes"),"Invalid",IF(OR(AB215="Yes",AC215="Yes",AD215="Yes"),"Warning","Clean"))</f>
        <v>Clean</v>
      </c>
      <c r="AJ215" s="4" t="s">
        <v>970</v>
      </c>
      <c r="AK215" s="4" t="s">
        <v>971</v>
      </c>
      <c r="AL215" s="4" t="s">
        <v>79</v>
      </c>
      <c r="AM215" s="4" t="s">
        <v>68</v>
      </c>
      <c r="AN215" s="4" t="s">
        <v>69</v>
      </c>
      <c r="AO215" s="4" t="s">
        <v>196</v>
      </c>
      <c r="AP215" s="4" t="s">
        <v>197</v>
      </c>
      <c r="AQ215" s="4" t="s">
        <v>109</v>
      </c>
      <c r="AR215" s="4" t="s">
        <v>110</v>
      </c>
      <c r="AS215" s="4" t="s">
        <v>972</v>
      </c>
      <c r="AT215" s="0" t="n">
        <v>0.2</v>
      </c>
      <c r="AU215" s="4" t="s">
        <v>61</v>
      </c>
      <c r="AV215" s="4" t="s">
        <v>62</v>
      </c>
    </row>
    <row r="216" customFormat="false" ht="15" hidden="false" customHeight="false" outlineLevel="0" collapsed="false">
      <c r="A216" s="0" t="s">
        <v>973</v>
      </c>
      <c r="B216" s="3" t="n">
        <f aca="false">IF(AJ216="","",IF(ISNUMBER(SEARCH("/",AJ216)),DATE(VALUE(RIGHT(AJ216,4)),VALUE(LEFT(AJ216,2)),VALUE(MID(AJ216,4,2))),IF(ISNUMBER(SEARCH("-",AJ216)),IF(LEN(LEFT(AJ216,FIND("-",AJ216)-1))=4,DATE(VALUE(LEFT(AJ216,4)),VALUE(MID(AJ216,6,2)),VALUE(RIGHT(AJ216,2))),DATE(VALUE(RIGHT(AJ216,4)),VALUE(MID(AJ216,4,2)),VALUE(LEFT(AJ216,2)))),DATE(VALUE(RIGHT(AJ216,4)),MATCH(MID(AJ216,4,3),{"Jan","Feb","Mar","Apr","May","Jun","Jul","Aug","Sep","Oct","Nov","Dec"},0),VALUE(LEFT(AJ216,2))))))</f>
        <v>45368</v>
      </c>
      <c r="C216" s="3" t="n">
        <f aca="false">IF(AK216="","",IF(ISNUMBER(SEARCH("/",AK216)),DATE(VALUE(RIGHT(AK216,4)),VALUE(LEFT(AK216,2)),VALUE(MID(AK216,4,2))),IF(ISNUMBER(SEARCH("-",AK216)),IF(LEN(LEFT(AK216,FIND("-",AK216)-1))=4,DATE(VALUE(LEFT(AK216,4)),VALUE(MID(AK216,6,2)),VALUE(RIGHT(AK216,2))),DATE(VALUE(RIGHT(AK216,4)),VALUE(MID(AK216,4,2)),VALUE(LEFT(AK216,2)))),DATE(VALUE(RIGHT(AK216,4)),MATCH(MID(AK216,4,3),{"Jan","Feb","Mar","Apr","May","Jun","Jul","Aug","Sep","Oct","Nov","Dec"},0),VALUE(LEFT(AK216,2))))))</f>
        <v>45374</v>
      </c>
      <c r="D216" s="4" t="s">
        <v>974</v>
      </c>
      <c r="E216" s="0" t="str">
        <f aca="false">PROPER(TRIM(AL216))</f>
        <v>Rahul Verma</v>
      </c>
      <c r="F216" s="0" t="str">
        <f aca="false">PROPER(TRIM(AM216))</f>
        <v>Consumer</v>
      </c>
      <c r="G216" s="0" t="str">
        <f aca="false">IF(TRIM(AN216)="","Unknown",PROPER(TRIM(AN216)))</f>
        <v>North</v>
      </c>
      <c r="H216" s="0" t="str">
        <f aca="false">PROPER(TRIM(AO216))</f>
        <v>Haryana</v>
      </c>
      <c r="I216" s="0" t="str">
        <f aca="false">PROPER(TRIM(AP216))</f>
        <v>Gurugram</v>
      </c>
      <c r="J216" s="0" t="str">
        <f aca="false">PROPER(TRIM(AQ216))</f>
        <v>Technology</v>
      </c>
      <c r="K216" s="0" t="str">
        <f aca="false">PROPER(TRIM(AR216))</f>
        <v>Accessories</v>
      </c>
      <c r="M216" s="0" t="str">
        <f aca="false">IF(TRIM(AS216)="","Unknown",PROPER(TRIM(AS216)))</f>
        <v>First Class</v>
      </c>
      <c r="N216" s="0" t="n">
        <v>3</v>
      </c>
      <c r="O216" s="0" t="n">
        <v>248.18</v>
      </c>
      <c r="P216" s="5" t="n">
        <f aca="false">IF(AT216="","",IF(ISNUMBER(AT216),AT216,VALUE(SUBSTITUTE(AT216,"%",""))/100))</f>
        <v>0.05</v>
      </c>
      <c r="Q216" s="5" t="n">
        <f aca="false">IF(P216="",IF(AND(N216&lt;&gt;"",O216&lt;&gt;"",R216&lt;&gt;"",S216&lt;&gt;""),0,"REVIEW"),IF(OR(P216&lt;0,P216&gt;0.3),0,P216))</f>
        <v>0.05</v>
      </c>
      <c r="R216" s="0" t="n">
        <v>707.31</v>
      </c>
      <c r="S216" s="0" t="n">
        <v>569</v>
      </c>
      <c r="T216" s="6" t="n">
        <f aca="false">N216*O216*(1-Q216)</f>
        <v>707.313</v>
      </c>
      <c r="U216" s="6" t="n">
        <f aca="false">T216-S216</f>
        <v>138.313</v>
      </c>
      <c r="V216" s="7" t="n">
        <f aca="false">IF(T216=0,0,U216/T216)</f>
        <v>0.195547091598769</v>
      </c>
      <c r="W216" s="4" t="n">
        <f aca="false">C216-B216</f>
        <v>6</v>
      </c>
      <c r="X216" s="0" t="str">
        <f aca="false">TEXT(B216,"mmmm")</f>
        <v>March</v>
      </c>
      <c r="Y216" s="4" t="n">
        <f aca="false">YEAR(B216)</f>
        <v>2024</v>
      </c>
      <c r="Z216" s="0" t="str">
        <f aca="false">PROPER(TRIM(AU216))</f>
        <v>Paid</v>
      </c>
      <c r="AA216" s="0" t="str">
        <f aca="false">PROPER(TRIM(AV216))</f>
        <v>Completed</v>
      </c>
      <c r="AB216" s="0" t="str">
        <f aca="false">IF(TRIM(AN216)="","Yes","No")</f>
        <v>No</v>
      </c>
      <c r="AC216" s="0" t="str">
        <f aca="false">IF(TRIM(AS216)="","Yes","No")</f>
        <v>No</v>
      </c>
      <c r="AD216" s="0" t="str">
        <f aca="false">IF(AT216="","Yes","No")</f>
        <v>No</v>
      </c>
      <c r="AE216" s="0" t="str">
        <f aca="false">IF(W216&lt;0,"Yes","No")</f>
        <v>No</v>
      </c>
      <c r="AF216" s="0" t="str">
        <f aca="false">IF(P216="","No",IF(OR(P216&lt;0,P216&gt;0.3),"Yes","No"))</f>
        <v>No</v>
      </c>
      <c r="AG216" s="4" t="s">
        <v>50</v>
      </c>
      <c r="AH216" s="0" t="str">
        <f aca="false">IF(AND(AA216="Completed",Z216="Paid"),"Yes","No")</f>
        <v>Yes</v>
      </c>
      <c r="AI216" s="0" t="str">
        <f aca="false">IF(OR(AE216="Yes",AF216="Yes",AG216="Yes"),"Invalid",IF(OR(AB216="Yes",AC216="Yes",AD216="Yes"),"Warning","Clean"))</f>
        <v>Clean</v>
      </c>
      <c r="AJ216" s="4" t="s">
        <v>975</v>
      </c>
      <c r="AK216" s="4" t="s">
        <v>976</v>
      </c>
      <c r="AL216" s="4" t="s">
        <v>163</v>
      </c>
      <c r="AM216" s="4" t="s">
        <v>54</v>
      </c>
      <c r="AN216" s="4" t="s">
        <v>168</v>
      </c>
      <c r="AO216" s="4" t="s">
        <v>310</v>
      </c>
      <c r="AP216" s="4" t="s">
        <v>311</v>
      </c>
      <c r="AQ216" s="4" t="s">
        <v>109</v>
      </c>
      <c r="AR216" s="4" t="s">
        <v>110</v>
      </c>
      <c r="AS216" s="4" t="s">
        <v>977</v>
      </c>
      <c r="AT216" s="0" t="n">
        <v>0.05</v>
      </c>
      <c r="AU216" s="4" t="s">
        <v>61</v>
      </c>
      <c r="AV216" s="4" t="s">
        <v>62</v>
      </c>
    </row>
    <row r="217" customFormat="false" ht="15" hidden="false" customHeight="false" outlineLevel="0" collapsed="false">
      <c r="A217" s="0" t="s">
        <v>978</v>
      </c>
      <c r="B217" s="3" t="n">
        <f aca="false">IF(AJ217="","",IF(ISNUMBER(SEARCH("/",AJ217)),DATE(VALUE(RIGHT(AJ217,4)),VALUE(LEFT(AJ217,2)),VALUE(MID(AJ217,4,2))),IF(ISNUMBER(SEARCH("-",AJ217)),IF(LEN(LEFT(AJ217,FIND("-",AJ217)-1))=4,DATE(VALUE(LEFT(AJ217,4)),VALUE(MID(AJ217,6,2)),VALUE(RIGHT(AJ217,2))),DATE(VALUE(RIGHT(AJ217,4)),VALUE(MID(AJ217,4,2)),VALUE(LEFT(AJ217,2)))),DATE(VALUE(RIGHT(AJ217,4)),MATCH(MID(AJ217,4,3),{"Jan","Feb","Mar","Apr","May","Jun","Jul","Aug","Sep","Oct","Nov","Dec"},0),VALUE(LEFT(AJ217,2))))))</f>
        <v>45352</v>
      </c>
      <c r="C217" s="3" t="n">
        <f aca="false">IF(AK217="","",IF(ISNUMBER(SEARCH("/",AK217)),DATE(VALUE(RIGHT(AK217,4)),VALUE(LEFT(AK217,2)),VALUE(MID(AK217,4,2))),IF(ISNUMBER(SEARCH("-",AK217)),IF(LEN(LEFT(AK217,FIND("-",AK217)-1))=4,DATE(VALUE(LEFT(AK217,4)),VALUE(MID(AK217,6,2)),VALUE(RIGHT(AK217,2))),DATE(VALUE(RIGHT(AK217,4)),VALUE(MID(AK217,4,2)),VALUE(LEFT(AK217,2)))),DATE(VALUE(RIGHT(AK217,4)),MATCH(MID(AK217,4,3),{"Jan","Feb","Mar","Apr","May","Jun","Jul","Aug","Sep","Oct","Nov","Dec"},0),VALUE(LEFT(AK217,2))))))</f>
        <v>45355</v>
      </c>
      <c r="D217" s="4" t="s">
        <v>979</v>
      </c>
      <c r="E217" s="0" t="str">
        <f aca="false">PROPER(TRIM(AL217))</f>
        <v>Mira Das</v>
      </c>
      <c r="F217" s="0" t="str">
        <f aca="false">PROPER(TRIM(AM217))</f>
        <v>Consumer</v>
      </c>
      <c r="G217" s="0" t="str">
        <f aca="false">IF(TRIM(AN217)="","Unknown",PROPER(TRIM(AN217)))</f>
        <v>West</v>
      </c>
      <c r="H217" s="0" t="str">
        <f aca="false">PROPER(TRIM(AO217))</f>
        <v>Madhya Pradesh</v>
      </c>
      <c r="I217" s="0" t="str">
        <f aca="false">PROPER(TRIM(AP217))</f>
        <v>Indore</v>
      </c>
      <c r="J217" s="0" t="str">
        <f aca="false">PROPER(TRIM(AQ217))</f>
        <v>Office Supplies</v>
      </c>
      <c r="K217" s="0" t="str">
        <f aca="false">PROPER(TRIM(AR217))</f>
        <v>Paper</v>
      </c>
      <c r="M217" s="0" t="str">
        <f aca="false">IF(TRIM(AS217)="","Unknown",PROPER(TRIM(AS217)))</f>
        <v>First Class</v>
      </c>
      <c r="N217" s="0" t="n">
        <v>8</v>
      </c>
      <c r="O217" s="0" t="n">
        <v>3202.4</v>
      </c>
      <c r="P217" s="5" t="n">
        <f aca="false">IF(AT217="","",IF(ISNUMBER(AT217),AT217,VALUE(SUBSTITUTE(AT217,"%",""))/100))</f>
        <v>0.25</v>
      </c>
      <c r="Q217" s="5" t="n">
        <f aca="false">IF(P217="",IF(AND(N217&lt;&gt;"",O217&lt;&gt;"",R217&lt;&gt;"",S217&lt;&gt;""),0,"REVIEW"),IF(OR(P217&lt;0,P217&gt;0.3),0,P217))</f>
        <v>0.25</v>
      </c>
      <c r="R217" s="0" t="n">
        <v>19214.4</v>
      </c>
      <c r="S217" s="0" t="n">
        <v>10916.01</v>
      </c>
      <c r="T217" s="6" t="n">
        <f aca="false">N217*O217*(1-Q217)</f>
        <v>19214.4</v>
      </c>
      <c r="U217" s="6" t="n">
        <f aca="false">T217-S217</f>
        <v>8298.39</v>
      </c>
      <c r="V217" s="7" t="n">
        <f aca="false">IF(T217=0,0,U217/T217)</f>
        <v>0.431883899575319</v>
      </c>
      <c r="W217" s="4" t="n">
        <f aca="false">C217-B217</f>
        <v>3</v>
      </c>
      <c r="X217" s="0" t="str">
        <f aca="false">TEXT(B217,"mmmm")</f>
        <v>March</v>
      </c>
      <c r="Y217" s="4" t="n">
        <f aca="false">YEAR(B217)</f>
        <v>2024</v>
      </c>
      <c r="Z217" s="0" t="str">
        <f aca="false">PROPER(TRIM(AU217))</f>
        <v>Paid</v>
      </c>
      <c r="AA217" s="0" t="str">
        <f aca="false">PROPER(TRIM(AV217))</f>
        <v>Completed</v>
      </c>
      <c r="AB217" s="0" t="str">
        <f aca="false">IF(TRIM(AN217)="","Yes","No")</f>
        <v>No</v>
      </c>
      <c r="AC217" s="0" t="str">
        <f aca="false">IF(TRIM(AS217)="","Yes","No")</f>
        <v>No</v>
      </c>
      <c r="AD217" s="0" t="str">
        <f aca="false">IF(AT217="","Yes","No")</f>
        <v>No</v>
      </c>
      <c r="AE217" s="0" t="str">
        <f aca="false">IF(W217&lt;0,"Yes","No")</f>
        <v>No</v>
      </c>
      <c r="AF217" s="0" t="str">
        <f aca="false">IF(P217="","No",IF(OR(P217&lt;0,P217&gt;0.3),"Yes","No"))</f>
        <v>No</v>
      </c>
      <c r="AG217" s="4" t="s">
        <v>50</v>
      </c>
      <c r="AH217" s="0" t="str">
        <f aca="false">IF(AND(AA217="Completed",Z217="Paid"),"Yes","No")</f>
        <v>Yes</v>
      </c>
      <c r="AI217" s="0" t="str">
        <f aca="false">IF(OR(AE217="Yes",AF217="Yes",AG217="Yes"),"Invalid",IF(OR(AB217="Yes",AC217="Yes",AD217="Yes"),"Warning","Clean"))</f>
        <v>Clean</v>
      </c>
      <c r="AJ217" s="4" t="s">
        <v>980</v>
      </c>
      <c r="AK217" s="4" t="s">
        <v>214</v>
      </c>
      <c r="AL217" s="4" t="s">
        <v>67</v>
      </c>
      <c r="AM217" s="4" t="s">
        <v>54</v>
      </c>
      <c r="AN217" s="4" t="s">
        <v>97</v>
      </c>
      <c r="AO217" s="4" t="s">
        <v>107</v>
      </c>
      <c r="AP217" s="4" t="s">
        <v>108</v>
      </c>
      <c r="AQ217" s="4" t="s">
        <v>58</v>
      </c>
      <c r="AR217" s="4" t="s">
        <v>59</v>
      </c>
      <c r="AS217" s="4" t="s">
        <v>81</v>
      </c>
      <c r="AT217" s="0" t="n">
        <v>0.25</v>
      </c>
      <c r="AU217" s="4" t="s">
        <v>61</v>
      </c>
      <c r="AV217" s="4" t="s">
        <v>62</v>
      </c>
    </row>
    <row r="218" customFormat="false" ht="15" hidden="false" customHeight="false" outlineLevel="0" collapsed="false">
      <c r="A218" s="0" t="s">
        <v>981</v>
      </c>
      <c r="B218" s="3" t="n">
        <f aca="false">IF(AJ218="","",IF(ISNUMBER(SEARCH("/",AJ218)),DATE(VALUE(RIGHT(AJ218,4)),VALUE(LEFT(AJ218,2)),VALUE(MID(AJ218,4,2))),IF(ISNUMBER(SEARCH("-",AJ218)),IF(LEN(LEFT(AJ218,FIND("-",AJ218)-1))=4,DATE(VALUE(LEFT(AJ218,4)),VALUE(MID(AJ218,6,2)),VALUE(RIGHT(AJ218,2))),DATE(VALUE(RIGHT(AJ218,4)),VALUE(MID(AJ218,4,2)),VALUE(LEFT(AJ218,2)))),DATE(VALUE(RIGHT(AJ218,4)),MATCH(MID(AJ218,4,3),{"Jan","Feb","Mar","Apr","May","Jun","Jul","Aug","Sep","Oct","Nov","Dec"},0),VALUE(LEFT(AJ218,2))))))</f>
        <v>45757</v>
      </c>
      <c r="C218" s="3" t="n">
        <f aca="false">IF(AK218="","",IF(ISNUMBER(SEARCH("/",AK218)),DATE(VALUE(RIGHT(AK218,4)),VALUE(LEFT(AK218,2)),VALUE(MID(AK218,4,2))),IF(ISNUMBER(SEARCH("-",AK218)),IF(LEN(LEFT(AK218,FIND("-",AK218)-1))=4,DATE(VALUE(LEFT(AK218,4)),VALUE(MID(AK218,6,2)),VALUE(RIGHT(AK218,2))),DATE(VALUE(RIGHT(AK218,4)),VALUE(MID(AK218,4,2)),VALUE(LEFT(AK218,2)))),DATE(VALUE(RIGHT(AK218,4)),MATCH(MID(AK218,4,3),{"Jan","Feb","Mar","Apr","May","Jun","Jul","Aug","Sep","Oct","Nov","Dec"},0),VALUE(LEFT(AK218,2))))))</f>
        <v>45762</v>
      </c>
      <c r="D218" s="4" t="s">
        <v>982</v>
      </c>
      <c r="E218" s="0" t="str">
        <f aca="false">PROPER(TRIM(AL218))</f>
        <v>Isha Nair</v>
      </c>
      <c r="F218" s="0" t="str">
        <f aca="false">PROPER(TRIM(AM218))</f>
        <v>Consumer</v>
      </c>
      <c r="G218" s="0" t="str">
        <f aca="false">IF(TRIM(AN218)="","Unknown",PROPER(TRIM(AN218)))</f>
        <v>West</v>
      </c>
      <c r="H218" s="0" t="str">
        <f aca="false">PROPER(TRIM(AO218))</f>
        <v>Gujarat</v>
      </c>
      <c r="I218" s="0" t="str">
        <f aca="false">PROPER(TRIM(AP218))</f>
        <v>Ahmedabad</v>
      </c>
      <c r="J218" s="0" t="str">
        <f aca="false">PROPER(TRIM(AQ218))</f>
        <v>Furniture</v>
      </c>
      <c r="K218" s="0" t="str">
        <f aca="false">PROPER(TRIM(AR218))</f>
        <v>Tables</v>
      </c>
      <c r="M218" s="0" t="str">
        <f aca="false">IF(TRIM(AS218)="","Unknown",PROPER(TRIM(AS218)))</f>
        <v>Standard Class</v>
      </c>
      <c r="N218" s="0" t="n">
        <v>8</v>
      </c>
      <c r="O218" s="0" t="n">
        <v>1839.87</v>
      </c>
      <c r="P218" s="5" t="n">
        <f aca="false">IF(AT218="","",IF(ISNUMBER(AT218),AT218,VALUE(SUBSTITUTE(AT218,"%",""))/100))</f>
        <v>0.25</v>
      </c>
      <c r="Q218" s="5" t="n">
        <f aca="false">IF(P218="",IF(AND(N218&lt;&gt;"",O218&lt;&gt;"",R218&lt;&gt;"",S218&lt;&gt;""),0,"REVIEW"),IF(OR(P218&lt;0,P218&gt;0.3),0,P218))</f>
        <v>0.25</v>
      </c>
      <c r="R218" s="0" t="n">
        <v>11039.22</v>
      </c>
      <c r="S218" s="0" t="n">
        <v>7642.91</v>
      </c>
      <c r="T218" s="6" t="n">
        <f aca="false">N218*O218*(1-Q218)</f>
        <v>11039.22</v>
      </c>
      <c r="U218" s="6" t="n">
        <f aca="false">T218-S218</f>
        <v>3396.31</v>
      </c>
      <c r="V218" s="7" t="n">
        <f aca="false">IF(T218=0,0,U218/T218)</f>
        <v>0.307658512105022</v>
      </c>
      <c r="W218" s="4" t="n">
        <f aca="false">C218-B218</f>
        <v>5</v>
      </c>
      <c r="X218" s="0" t="str">
        <f aca="false">TEXT(B218,"mmmm")</f>
        <v>April</v>
      </c>
      <c r="Y218" s="4" t="n">
        <f aca="false">YEAR(B218)</f>
        <v>2025</v>
      </c>
      <c r="Z218" s="0" t="str">
        <f aca="false">PROPER(TRIM(AU218))</f>
        <v>Failed</v>
      </c>
      <c r="AA218" s="0" t="str">
        <f aca="false">PROPER(TRIM(AV218))</f>
        <v>Returned</v>
      </c>
      <c r="AB218" s="0" t="str">
        <f aca="false">IF(TRIM(AN218)="","Yes","No")</f>
        <v>No</v>
      </c>
      <c r="AC218" s="0" t="str">
        <f aca="false">IF(TRIM(AS218)="","Yes","No")</f>
        <v>No</v>
      </c>
      <c r="AD218" s="0" t="str">
        <f aca="false">IF(AT218="","Yes","No")</f>
        <v>No</v>
      </c>
      <c r="AE218" s="0" t="str">
        <f aca="false">IF(W218&lt;0,"Yes","No")</f>
        <v>No</v>
      </c>
      <c r="AF218" s="0" t="str">
        <f aca="false">IF(P218="","No",IF(OR(P218&lt;0,P218&gt;0.3),"Yes","No"))</f>
        <v>No</v>
      </c>
      <c r="AG218" s="4" t="s">
        <v>50</v>
      </c>
      <c r="AH218" s="0" t="str">
        <f aca="false">IF(AND(AA218="Completed",Z218="Paid"),"Yes","No")</f>
        <v>No</v>
      </c>
      <c r="AI218" s="0" t="str">
        <f aca="false">IF(OR(AE218="Yes",AF218="Yes",AG218="Yes"),"Invalid",IF(OR(AB218="Yes",AC218="Yes",AD218="Yes"),"Warning","Clean"))</f>
        <v>Clean</v>
      </c>
      <c r="AJ218" s="4" t="s">
        <v>113</v>
      </c>
      <c r="AK218" s="4" t="s">
        <v>983</v>
      </c>
      <c r="AL218" s="4" t="s">
        <v>79</v>
      </c>
      <c r="AM218" s="4" t="s">
        <v>54</v>
      </c>
      <c r="AN218" s="4" t="s">
        <v>97</v>
      </c>
      <c r="AO218" s="4" t="s">
        <v>238</v>
      </c>
      <c r="AP218" s="4" t="s">
        <v>239</v>
      </c>
      <c r="AQ218" s="4" t="s">
        <v>72</v>
      </c>
      <c r="AR218" s="4" t="s">
        <v>73</v>
      </c>
      <c r="AS218" s="4" t="s">
        <v>91</v>
      </c>
      <c r="AT218" s="0" t="n">
        <v>0.25</v>
      </c>
      <c r="AU218" s="4" t="s">
        <v>207</v>
      </c>
      <c r="AV218" s="4" t="s">
        <v>142</v>
      </c>
    </row>
    <row r="219" customFormat="false" ht="15" hidden="false" customHeight="false" outlineLevel="0" collapsed="false">
      <c r="A219" s="0" t="s">
        <v>984</v>
      </c>
      <c r="B219" s="3" t="n">
        <f aca="false">IF(AJ219="","",IF(ISNUMBER(SEARCH("/",AJ219)),DATE(VALUE(RIGHT(AJ219,4)),VALUE(LEFT(AJ219,2)),VALUE(MID(AJ219,4,2))),IF(ISNUMBER(SEARCH("-",AJ219)),IF(LEN(LEFT(AJ219,FIND("-",AJ219)-1))=4,DATE(VALUE(LEFT(AJ219,4)),VALUE(MID(AJ219,6,2)),VALUE(RIGHT(AJ219,2))),DATE(VALUE(RIGHT(AJ219,4)),VALUE(MID(AJ219,4,2)),VALUE(LEFT(AJ219,2)))),DATE(VALUE(RIGHT(AJ219,4)),MATCH(MID(AJ219,4,3),{"Jan","Feb","Mar","Apr","May","Jun","Jul","Aug","Sep","Oct","Nov","Dec"},0),VALUE(LEFT(AJ219,2))))))</f>
        <v>45748</v>
      </c>
      <c r="C219" s="3" t="n">
        <f aca="false">IF(AK219="","",IF(ISNUMBER(SEARCH("/",AK219)),DATE(VALUE(RIGHT(AK219,4)),VALUE(LEFT(AK219,2)),VALUE(MID(AK219,4,2))),IF(ISNUMBER(SEARCH("-",AK219)),IF(LEN(LEFT(AK219,FIND("-",AK219)-1))=4,DATE(VALUE(LEFT(AK219,4)),VALUE(MID(AK219,6,2)),VALUE(RIGHT(AK219,2))),DATE(VALUE(RIGHT(AK219,4)),VALUE(MID(AK219,4,2)),VALUE(LEFT(AK219,2)))),DATE(VALUE(RIGHT(AK219,4)),MATCH(MID(AK219,4,3),{"Jan","Feb","Mar","Apr","May","Jun","Jul","Aug","Sep","Oct","Nov","Dec"},0),VALUE(LEFT(AK219,2))))))</f>
        <v>45755</v>
      </c>
      <c r="D219" s="4" t="s">
        <v>985</v>
      </c>
      <c r="E219" s="0" t="str">
        <f aca="false">PROPER(TRIM(AL219))</f>
        <v>Aditi Sen</v>
      </c>
      <c r="F219" s="0" t="str">
        <f aca="false">PROPER(TRIM(AM219))</f>
        <v>Consumer</v>
      </c>
      <c r="G219" s="0" t="str">
        <f aca="false">IF(TRIM(AN219)="","Unknown",PROPER(TRIM(AN219)))</f>
        <v>East</v>
      </c>
      <c r="H219" s="0" t="str">
        <f aca="false">PROPER(TRIM(AO219))</f>
        <v>Odisha</v>
      </c>
      <c r="I219" s="0" t="str">
        <f aca="false">PROPER(TRIM(AP219))</f>
        <v>Bhubaneswar</v>
      </c>
      <c r="J219" s="0" t="str">
        <f aca="false">PROPER(TRIM(AQ219))</f>
        <v>Furniture</v>
      </c>
      <c r="K219" s="0" t="str">
        <f aca="false">PROPER(TRIM(AR219))</f>
        <v>Bookcases</v>
      </c>
      <c r="M219" s="0" t="str">
        <f aca="false">IF(TRIM(AS219)="","Unknown",PROPER(TRIM(AS219)))</f>
        <v>Second Class</v>
      </c>
      <c r="N219" s="0" t="n">
        <v>5</v>
      </c>
      <c r="O219" s="0" t="n">
        <v>1021.28</v>
      </c>
      <c r="P219" s="5" t="n">
        <f aca="false">IF(AT219="","",IF(ISNUMBER(AT219),AT219,VALUE(SUBSTITUTE(AT219,"%",""))/100))</f>
        <v>0.1</v>
      </c>
      <c r="Q219" s="5" t="n">
        <f aca="false">IF(P219="",IF(AND(N219&lt;&gt;"",O219&lt;&gt;"",R219&lt;&gt;"",S219&lt;&gt;""),0,"REVIEW"),IF(OR(P219&lt;0,P219&gt;0.3),0,P219))</f>
        <v>0.1</v>
      </c>
      <c r="R219" s="0" t="n">
        <v>4595.76</v>
      </c>
      <c r="S219" s="0" t="n">
        <v>3396.8</v>
      </c>
      <c r="T219" s="6" t="n">
        <f aca="false">N219*O219*(1-Q219)</f>
        <v>4595.76</v>
      </c>
      <c r="U219" s="6" t="n">
        <f aca="false">T219-S219</f>
        <v>1198.96</v>
      </c>
      <c r="V219" s="7" t="n">
        <f aca="false">IF(T219=0,0,U219/T219)</f>
        <v>0.260883945201664</v>
      </c>
      <c r="W219" s="4" t="n">
        <f aca="false">C219-B219</f>
        <v>7</v>
      </c>
      <c r="X219" s="0" t="str">
        <f aca="false">TEXT(B219,"mmmm")</f>
        <v>April</v>
      </c>
      <c r="Y219" s="4" t="n">
        <f aca="false">YEAR(B219)</f>
        <v>2025</v>
      </c>
      <c r="Z219" s="0" t="str">
        <f aca="false">PROPER(TRIM(AU219))</f>
        <v>Refunded</v>
      </c>
      <c r="AA219" s="0" t="str">
        <f aca="false">PROPER(TRIM(AV219))</f>
        <v>Cancelled</v>
      </c>
      <c r="AB219" s="0" t="str">
        <f aca="false">IF(TRIM(AN219)="","Yes","No")</f>
        <v>No</v>
      </c>
      <c r="AC219" s="0" t="str">
        <f aca="false">IF(TRIM(AS219)="","Yes","No")</f>
        <v>No</v>
      </c>
      <c r="AD219" s="0" t="str">
        <f aca="false">IF(AT219="","Yes","No")</f>
        <v>No</v>
      </c>
      <c r="AE219" s="0" t="str">
        <f aca="false">IF(W219&lt;0,"Yes","No")</f>
        <v>No</v>
      </c>
      <c r="AF219" s="0" t="str">
        <f aca="false">IF(P219="","No",IF(OR(P219&lt;0,P219&gt;0.3),"Yes","No"))</f>
        <v>No</v>
      </c>
      <c r="AG219" s="4" t="s">
        <v>50</v>
      </c>
      <c r="AH219" s="0" t="str">
        <f aca="false">IF(AND(AA219="Completed",Z219="Paid"),"Yes","No")</f>
        <v>No</v>
      </c>
      <c r="AI219" s="0" t="str">
        <f aca="false">IF(OR(AE219="Yes",AF219="Yes",AG219="Yes"),"Invalid",IF(OR(AB219="Yes",AC219="Yes",AD219="Yes"),"Warning","Clean"))</f>
        <v>Clean</v>
      </c>
      <c r="AJ219" s="4" t="s">
        <v>986</v>
      </c>
      <c r="AK219" s="4" t="s">
        <v>987</v>
      </c>
      <c r="AL219" s="4" t="s">
        <v>127</v>
      </c>
      <c r="AM219" s="4" t="s">
        <v>54</v>
      </c>
      <c r="AN219" s="4" t="s">
        <v>69</v>
      </c>
      <c r="AO219" s="4" t="s">
        <v>70</v>
      </c>
      <c r="AP219" s="4" t="s">
        <v>71</v>
      </c>
      <c r="AQ219" s="4" t="s">
        <v>72</v>
      </c>
      <c r="AR219" s="4" t="s">
        <v>211</v>
      </c>
      <c r="AS219" s="4" t="s">
        <v>60</v>
      </c>
      <c r="AT219" s="0" t="n">
        <v>0.1</v>
      </c>
      <c r="AU219" s="4" t="s">
        <v>141</v>
      </c>
      <c r="AV219" s="4" t="s">
        <v>101</v>
      </c>
    </row>
    <row r="220" customFormat="false" ht="15" hidden="false" customHeight="false" outlineLevel="0" collapsed="false">
      <c r="A220" s="0" t="s">
        <v>988</v>
      </c>
      <c r="B220" s="3" t="n">
        <f aca="false">IF(AJ220="","",IF(ISNUMBER(SEARCH("/",AJ220)),DATE(VALUE(RIGHT(AJ220,4)),VALUE(LEFT(AJ220,2)),VALUE(MID(AJ220,4,2))),IF(ISNUMBER(SEARCH("-",AJ220)),IF(LEN(LEFT(AJ220,FIND("-",AJ220)-1))=4,DATE(VALUE(LEFT(AJ220,4)),VALUE(MID(AJ220,6,2)),VALUE(RIGHT(AJ220,2))),DATE(VALUE(RIGHT(AJ220,4)),VALUE(MID(AJ220,4,2)),VALUE(LEFT(AJ220,2)))),DATE(VALUE(RIGHT(AJ220,4)),MATCH(MID(AJ220,4,3),{"Jan","Feb","Mar","Apr","May","Jun","Jul","Aug","Sep","Oct","Nov","Dec"},0),VALUE(LEFT(AJ220,2))))))</f>
        <v>45714</v>
      </c>
      <c r="C220" s="3" t="n">
        <f aca="false">IF(AK220="","",IF(ISNUMBER(SEARCH("/",AK220)),DATE(VALUE(RIGHT(AK220,4)),VALUE(LEFT(AK220,2)),VALUE(MID(AK220,4,2))),IF(ISNUMBER(SEARCH("-",AK220)),IF(LEN(LEFT(AK220,FIND("-",AK220)-1))=4,DATE(VALUE(LEFT(AK220,4)),VALUE(MID(AK220,6,2)),VALUE(RIGHT(AK220,2))),DATE(VALUE(RIGHT(AK220,4)),VALUE(MID(AK220,4,2)),VALUE(LEFT(AK220,2)))),DATE(VALUE(RIGHT(AK220,4)),MATCH(MID(AK220,4,3),{"Jan","Feb","Mar","Apr","May","Jun","Jul","Aug","Sep","Oct","Nov","Dec"},0),VALUE(LEFT(AK220,2))))))</f>
        <v>45715</v>
      </c>
      <c r="D220" s="4" t="s">
        <v>989</v>
      </c>
      <c r="E220" s="0" t="str">
        <f aca="false">PROPER(TRIM(AL220))</f>
        <v>Priya Menon</v>
      </c>
      <c r="F220" s="0" t="str">
        <f aca="false">PROPER(TRIM(AM220))</f>
        <v>Corporate</v>
      </c>
      <c r="G220" s="0" t="str">
        <f aca="false">IF(TRIM(AN220)="","Unknown",PROPER(TRIM(AN220)))</f>
        <v>West</v>
      </c>
      <c r="H220" s="0" t="str">
        <f aca="false">PROPER(TRIM(AO220))</f>
        <v>Gujarat</v>
      </c>
      <c r="I220" s="0" t="str">
        <f aca="false">PROPER(TRIM(AP220))</f>
        <v>Ahmedabad</v>
      </c>
      <c r="J220" s="0" t="str">
        <f aca="false">PROPER(TRIM(AQ220))</f>
        <v>Furniture</v>
      </c>
      <c r="K220" s="0" t="str">
        <f aca="false">PROPER(TRIM(AR220))</f>
        <v>Bookcases</v>
      </c>
      <c r="M220" s="0" t="str">
        <f aca="false">IF(TRIM(AS220)="","Unknown",PROPER(TRIM(AS220)))</f>
        <v>Standard Class</v>
      </c>
      <c r="N220" s="0" t="n">
        <v>5</v>
      </c>
      <c r="O220" s="0" t="n">
        <v>258.28</v>
      </c>
      <c r="P220" s="5" t="n">
        <f aca="false">IF(AT220="","",IF(ISNUMBER(AT220),AT220,VALUE(SUBSTITUTE(AT220,"%",""))/100))</f>
        <v>0</v>
      </c>
      <c r="Q220" s="5" t="n">
        <f aca="false">IF(P220="",IF(AND(N220&lt;&gt;"",O220&lt;&gt;"",R220&lt;&gt;"",S220&lt;&gt;""),0,"REVIEW"),IF(OR(P220&lt;0,P220&gt;0.3),0,P220))</f>
        <v>0</v>
      </c>
      <c r="R220" s="0" t="n">
        <v>1291.4</v>
      </c>
      <c r="S220" s="0" t="n">
        <v>756.93</v>
      </c>
      <c r="T220" s="6" t="n">
        <f aca="false">N220*O220*(1-Q220)</f>
        <v>1291.4</v>
      </c>
      <c r="U220" s="6" t="n">
        <f aca="false">T220-S220</f>
        <v>534.47</v>
      </c>
      <c r="V220" s="7" t="n">
        <f aca="false">IF(T220=0,0,U220/T220)</f>
        <v>0.413868669660833</v>
      </c>
      <c r="W220" s="4" t="n">
        <f aca="false">C220-B220</f>
        <v>1</v>
      </c>
      <c r="X220" s="0" t="str">
        <f aca="false">TEXT(B220,"mmmm")</f>
        <v>February</v>
      </c>
      <c r="Y220" s="4" t="n">
        <f aca="false">YEAR(B220)</f>
        <v>2025</v>
      </c>
      <c r="Z220" s="0" t="str">
        <f aca="false">PROPER(TRIM(AU220))</f>
        <v>Paid</v>
      </c>
      <c r="AA220" s="0" t="str">
        <f aca="false">PROPER(TRIM(AV220))</f>
        <v>Completed</v>
      </c>
      <c r="AB220" s="0" t="str">
        <f aca="false">IF(TRIM(AN220)="","Yes","No")</f>
        <v>No</v>
      </c>
      <c r="AC220" s="0" t="str">
        <f aca="false">IF(TRIM(AS220)="","Yes","No")</f>
        <v>No</v>
      </c>
      <c r="AD220" s="0" t="str">
        <f aca="false">IF(AT220="","Yes","No")</f>
        <v>No</v>
      </c>
      <c r="AE220" s="0" t="str">
        <f aca="false">IF(W220&lt;0,"Yes","No")</f>
        <v>No</v>
      </c>
      <c r="AF220" s="0" t="str">
        <f aca="false">IF(P220="","No",IF(OR(P220&lt;0,P220&gt;0.3),"Yes","No"))</f>
        <v>No</v>
      </c>
      <c r="AG220" s="4" t="s">
        <v>50</v>
      </c>
      <c r="AH220" s="0" t="str">
        <f aca="false">IF(AND(AA220="Completed",Z220="Paid"),"Yes","No")</f>
        <v>Yes</v>
      </c>
      <c r="AI220" s="0" t="str">
        <f aca="false">IF(OR(AE220="Yes",AF220="Yes",AG220="Yes"),"Invalid",IF(OR(AB220="Yes",AC220="Yes",AD220="Yes"),"Warning","Clean"))</f>
        <v>Clean</v>
      </c>
      <c r="AJ220" s="4" t="s">
        <v>990</v>
      </c>
      <c r="AK220" s="4" t="s">
        <v>991</v>
      </c>
      <c r="AL220" s="4" t="s">
        <v>158</v>
      </c>
      <c r="AM220" s="4" t="s">
        <v>128</v>
      </c>
      <c r="AN220" s="4" t="s">
        <v>97</v>
      </c>
      <c r="AO220" s="4" t="s">
        <v>238</v>
      </c>
      <c r="AP220" s="4" t="s">
        <v>239</v>
      </c>
      <c r="AQ220" s="4" t="s">
        <v>72</v>
      </c>
      <c r="AR220" s="4" t="s">
        <v>211</v>
      </c>
      <c r="AS220" s="4" t="s">
        <v>91</v>
      </c>
      <c r="AT220" s="0" t="n">
        <v>0</v>
      </c>
      <c r="AU220" s="4" t="s">
        <v>61</v>
      </c>
      <c r="AV220" s="4" t="s">
        <v>62</v>
      </c>
    </row>
    <row r="221" customFormat="false" ht="15" hidden="false" customHeight="false" outlineLevel="0" collapsed="false">
      <c r="A221" s="0" t="s">
        <v>992</v>
      </c>
      <c r="B221" s="3" t="n">
        <f aca="false">IF(AJ221="","",IF(ISNUMBER(SEARCH("/",AJ221)),DATE(VALUE(RIGHT(AJ221,4)),VALUE(LEFT(AJ221,2)),VALUE(MID(AJ221,4,2))),IF(ISNUMBER(SEARCH("-",AJ221)),IF(LEN(LEFT(AJ221,FIND("-",AJ221)-1))=4,DATE(VALUE(LEFT(AJ221,4)),VALUE(MID(AJ221,6,2)),VALUE(RIGHT(AJ221,2))),DATE(VALUE(RIGHT(AJ221,4)),VALUE(MID(AJ221,4,2)),VALUE(LEFT(AJ221,2)))),DATE(VALUE(RIGHT(AJ221,4)),MATCH(MID(AJ221,4,3),{"Jan","Feb","Mar","Apr","May","Jun","Jul","Aug","Sep","Oct","Nov","Dec"},0),VALUE(LEFT(AJ221,2))))))</f>
        <v>45461</v>
      </c>
      <c r="C221" s="3" t="n">
        <f aca="false">IF(AK221="","",IF(ISNUMBER(SEARCH("/",AK221)),DATE(VALUE(RIGHT(AK221,4)),VALUE(LEFT(AK221,2)),VALUE(MID(AK221,4,2))),IF(ISNUMBER(SEARCH("-",AK221)),IF(LEN(LEFT(AK221,FIND("-",AK221)-1))=4,DATE(VALUE(LEFT(AK221,4)),VALUE(MID(AK221,6,2)),VALUE(RIGHT(AK221,2))),DATE(VALUE(RIGHT(AK221,4)),VALUE(MID(AK221,4,2)),VALUE(LEFT(AK221,2)))),DATE(VALUE(RIGHT(AK221,4)),MATCH(MID(AK221,4,3),{"Jan","Feb","Mar","Apr","May","Jun","Jul","Aug","Sep","Oct","Nov","Dec"},0),VALUE(LEFT(AK221,2))))))</f>
        <v>45462</v>
      </c>
      <c r="D221" s="4" t="s">
        <v>993</v>
      </c>
      <c r="E221" s="0" t="str">
        <f aca="false">PROPER(TRIM(AL221))</f>
        <v>Rahul Verma</v>
      </c>
      <c r="F221" s="0" t="str">
        <f aca="false">PROPER(TRIM(AM221))</f>
        <v>Consumer</v>
      </c>
      <c r="G221" s="0" t="str">
        <f aca="false">IF(TRIM(AN221)="","Unknown",PROPER(TRIM(AN221)))</f>
        <v>East</v>
      </c>
      <c r="H221" s="0" t="str">
        <f aca="false">PROPER(TRIM(AO221))</f>
        <v>Bihar</v>
      </c>
      <c r="I221" s="0" t="str">
        <f aca="false">PROPER(TRIM(AP221))</f>
        <v>Patna</v>
      </c>
      <c r="J221" s="0" t="str">
        <f aca="false">PROPER(TRIM(AQ221))</f>
        <v>Technology</v>
      </c>
      <c r="K221" s="0" t="str">
        <f aca="false">PROPER(TRIM(AR221))</f>
        <v>Machines</v>
      </c>
      <c r="M221" s="0" t="str">
        <f aca="false">IF(TRIM(AS221)="","Unknown",PROPER(TRIM(AS221)))</f>
        <v>First Class</v>
      </c>
      <c r="N221" s="0" t="n">
        <v>2</v>
      </c>
      <c r="O221" s="0" t="n">
        <v>121.49</v>
      </c>
      <c r="P221" s="5" t="n">
        <f aca="false">IF(AT221="","",IF(ISNUMBER(AT221),AT221,VALUE(SUBSTITUTE(AT221,"%",""))/100))</f>
        <v>0.85</v>
      </c>
      <c r="Q221" s="5" t="n">
        <f aca="false">IF(P221="",IF(AND(N221&lt;&gt;"",O221&lt;&gt;"",R221&lt;&gt;"",S221&lt;&gt;""),0,"REVIEW"),IF(OR(P221&lt;0,P221&gt;0.3),0,P221))</f>
        <v>0</v>
      </c>
      <c r="R221" s="0" t="n">
        <v>242.98</v>
      </c>
      <c r="S221" s="0" t="n">
        <v>161.42</v>
      </c>
      <c r="T221" s="6" t="n">
        <f aca="false">N221*O221*(1-Q221)</f>
        <v>242.98</v>
      </c>
      <c r="U221" s="6" t="n">
        <f aca="false">T221-S221</f>
        <v>81.56</v>
      </c>
      <c r="V221" s="7" t="n">
        <f aca="false">IF(T221=0,0,U221/T221)</f>
        <v>0.335665486871347</v>
      </c>
      <c r="W221" s="4" t="n">
        <f aca="false">C221-B221</f>
        <v>1</v>
      </c>
      <c r="X221" s="0" t="str">
        <f aca="false">TEXT(B221,"mmmm")</f>
        <v>June</v>
      </c>
      <c r="Y221" s="4" t="n">
        <f aca="false">YEAR(B221)</f>
        <v>2024</v>
      </c>
      <c r="Z221" s="0" t="str">
        <f aca="false">PROPER(TRIM(AU221))</f>
        <v>Paid</v>
      </c>
      <c r="AA221" s="0" t="str">
        <f aca="false">PROPER(TRIM(AV221))</f>
        <v>Completed</v>
      </c>
      <c r="AB221" s="0" t="str">
        <f aca="false">IF(TRIM(AN221)="","Yes","No")</f>
        <v>No</v>
      </c>
      <c r="AC221" s="0" t="str">
        <f aca="false">IF(TRIM(AS221)="","Yes","No")</f>
        <v>No</v>
      </c>
      <c r="AD221" s="0" t="str">
        <f aca="false">IF(AT221="","Yes","No")</f>
        <v>No</v>
      </c>
      <c r="AE221" s="0" t="str">
        <f aca="false">IF(W221&lt;0,"Yes","No")</f>
        <v>No</v>
      </c>
      <c r="AF221" s="0" t="str">
        <f aca="false">IF(P221="","No",IF(OR(P221&lt;0,P221&gt;0.3),"Yes","No"))</f>
        <v>Yes</v>
      </c>
      <c r="AG221" s="4" t="s">
        <v>50</v>
      </c>
      <c r="AH221" s="0" t="str">
        <f aca="false">IF(AND(AA221="Completed",Z221="Paid"),"Yes","No")</f>
        <v>Yes</v>
      </c>
      <c r="AI221" s="0" t="str">
        <f aca="false">IF(OR(AE221="Yes",AF221="Yes",AG221="Yes"),"Invalid",IF(OR(AB221="Yes",AC221="Yes",AD221="Yes"),"Warning","Clean"))</f>
        <v>Invalid</v>
      </c>
      <c r="AJ221" s="4" t="s">
        <v>606</v>
      </c>
      <c r="AK221" s="4" t="s">
        <v>994</v>
      </c>
      <c r="AL221" s="4" t="s">
        <v>163</v>
      </c>
      <c r="AM221" s="4" t="s">
        <v>54</v>
      </c>
      <c r="AN221" s="4" t="s">
        <v>69</v>
      </c>
      <c r="AO221" s="4" t="s">
        <v>196</v>
      </c>
      <c r="AP221" s="4" t="s">
        <v>197</v>
      </c>
      <c r="AQ221" s="4" t="s">
        <v>109</v>
      </c>
      <c r="AR221" s="4" t="s">
        <v>360</v>
      </c>
      <c r="AS221" s="4" t="s">
        <v>81</v>
      </c>
      <c r="AT221" s="4" t="s">
        <v>995</v>
      </c>
      <c r="AU221" s="4" t="s">
        <v>61</v>
      </c>
      <c r="AV221" s="4" t="s">
        <v>62</v>
      </c>
    </row>
    <row r="222" customFormat="false" ht="15" hidden="false" customHeight="false" outlineLevel="0" collapsed="false">
      <c r="A222" s="0" t="s">
        <v>996</v>
      </c>
      <c r="B222" s="3" t="n">
        <f aca="false">IF(AJ222="","",IF(ISNUMBER(SEARCH("/",AJ222)),DATE(VALUE(RIGHT(AJ222,4)),VALUE(LEFT(AJ222,2)),VALUE(MID(AJ222,4,2))),IF(ISNUMBER(SEARCH("-",AJ222)),IF(LEN(LEFT(AJ222,FIND("-",AJ222)-1))=4,DATE(VALUE(LEFT(AJ222,4)),VALUE(MID(AJ222,6,2)),VALUE(RIGHT(AJ222,2))),DATE(VALUE(RIGHT(AJ222,4)),VALUE(MID(AJ222,4,2)),VALUE(LEFT(AJ222,2)))),DATE(VALUE(RIGHT(AJ222,4)),MATCH(MID(AJ222,4,3),{"Jan","Feb","Mar","Apr","May","Jun","Jul","Aug","Sep","Oct","Nov","Dec"},0),VALUE(LEFT(AJ222,2))))))</f>
        <v>45538</v>
      </c>
      <c r="C222" s="3" t="n">
        <f aca="false">IF(AK222="","",IF(ISNUMBER(SEARCH("/",AK222)),DATE(VALUE(RIGHT(AK222,4)),VALUE(LEFT(AK222,2)),VALUE(MID(AK222,4,2))),IF(ISNUMBER(SEARCH("-",AK222)),IF(LEN(LEFT(AK222,FIND("-",AK222)-1))=4,DATE(VALUE(LEFT(AK222,4)),VALUE(MID(AK222,6,2)),VALUE(RIGHT(AK222,2))),DATE(VALUE(RIGHT(AK222,4)),VALUE(MID(AK222,4,2)),VALUE(LEFT(AK222,2)))),DATE(VALUE(RIGHT(AK222,4)),MATCH(MID(AK222,4,3),{"Jan","Feb","Mar","Apr","May","Jun","Jul","Aug","Sep","Oct","Nov","Dec"},0),VALUE(LEFT(AK222,2))))))</f>
        <v>45538</v>
      </c>
      <c r="D222" s="4" t="s">
        <v>997</v>
      </c>
      <c r="E222" s="0" t="str">
        <f aca="false">PROPER(TRIM(AL222))</f>
        <v>Sneha Kapoor</v>
      </c>
      <c r="F222" s="0" t="str">
        <f aca="false">PROPER(TRIM(AM222))</f>
        <v>Consumer</v>
      </c>
      <c r="G222" s="0" t="str">
        <f aca="false">IF(TRIM(AN222)="","Unknown",PROPER(TRIM(AN222)))</f>
        <v>South</v>
      </c>
      <c r="H222" s="0" t="str">
        <f aca="false">PROPER(TRIM(AO222))</f>
        <v>Kerala</v>
      </c>
      <c r="I222" s="0" t="str">
        <f aca="false">PROPER(TRIM(AP222))</f>
        <v>Kochi</v>
      </c>
      <c r="J222" s="0" t="str">
        <f aca="false">PROPER(TRIM(AQ222))</f>
        <v>Office Supplies</v>
      </c>
      <c r="K222" s="0" t="str">
        <f aca="false">PROPER(TRIM(AR222))</f>
        <v>Storage</v>
      </c>
      <c r="M222" s="0" t="str">
        <f aca="false">IF(TRIM(AS222)="","Unknown",PROPER(TRIM(AS222)))</f>
        <v>First Class</v>
      </c>
      <c r="N222" s="0" t="n">
        <v>4</v>
      </c>
      <c r="O222" s="0" t="n">
        <v>2810.17</v>
      </c>
      <c r="P222" s="5" t="n">
        <f aca="false">IF(AT222="","",IF(ISNUMBER(AT222),AT222,VALUE(SUBSTITUTE(AT222,"%",""))/100))</f>
        <v>0.15</v>
      </c>
      <c r="Q222" s="5" t="n">
        <f aca="false">IF(P222="",IF(AND(N222&lt;&gt;"",O222&lt;&gt;"",R222&lt;&gt;"",S222&lt;&gt;""),0,"REVIEW"),IF(OR(P222&lt;0,P222&gt;0.3),0,P222))</f>
        <v>0.15</v>
      </c>
      <c r="R222" s="0" t="n">
        <v>9554.58</v>
      </c>
      <c r="S222" s="0" t="n">
        <v>6068.47</v>
      </c>
      <c r="T222" s="6" t="n">
        <f aca="false">N222*O222*(1-Q222)</f>
        <v>9554.578</v>
      </c>
      <c r="U222" s="6" t="n">
        <f aca="false">T222-S222</f>
        <v>3486.108</v>
      </c>
      <c r="V222" s="7" t="n">
        <f aca="false">IF(T222=0,0,U222/T222)</f>
        <v>0.36486258210462</v>
      </c>
      <c r="W222" s="4" t="n">
        <f aca="false">C222-B222</f>
        <v>0</v>
      </c>
      <c r="X222" s="0" t="str">
        <f aca="false">TEXT(B222,"mmmm")</f>
        <v>September</v>
      </c>
      <c r="Y222" s="4" t="n">
        <f aca="false">YEAR(B222)</f>
        <v>2024</v>
      </c>
      <c r="Z222" s="0" t="str">
        <f aca="false">PROPER(TRIM(AU222))</f>
        <v>Refunded</v>
      </c>
      <c r="AA222" s="0" t="str">
        <f aca="false">PROPER(TRIM(AV222))</f>
        <v>Cancelled</v>
      </c>
      <c r="AB222" s="0" t="str">
        <f aca="false">IF(TRIM(AN222)="","Yes","No")</f>
        <v>No</v>
      </c>
      <c r="AC222" s="0" t="str">
        <f aca="false">IF(TRIM(AS222)="","Yes","No")</f>
        <v>No</v>
      </c>
      <c r="AD222" s="0" t="str">
        <f aca="false">IF(AT222="","Yes","No")</f>
        <v>No</v>
      </c>
      <c r="AE222" s="0" t="str">
        <f aca="false">IF(W222&lt;0,"Yes","No")</f>
        <v>No</v>
      </c>
      <c r="AF222" s="0" t="str">
        <f aca="false">IF(P222="","No",IF(OR(P222&lt;0,P222&gt;0.3),"Yes","No"))</f>
        <v>No</v>
      </c>
      <c r="AG222" s="4" t="s">
        <v>50</v>
      </c>
      <c r="AH222" s="0" t="str">
        <f aca="false">IF(AND(AA222="Completed",Z222="Paid"),"Yes","No")</f>
        <v>No</v>
      </c>
      <c r="AI222" s="0" t="str">
        <f aca="false">IF(OR(AE222="Yes",AF222="Yes",AG222="Yes"),"Invalid",IF(OR(AB222="Yes",AC222="Yes",AD222="Yes"),"Warning","Clean"))</f>
        <v>Clean</v>
      </c>
      <c r="AJ222" s="4" t="s">
        <v>998</v>
      </c>
      <c r="AK222" s="4" t="s">
        <v>998</v>
      </c>
      <c r="AL222" s="4" t="s">
        <v>181</v>
      </c>
      <c r="AM222" s="4" t="s">
        <v>54</v>
      </c>
      <c r="AN222" s="4" t="s">
        <v>87</v>
      </c>
      <c r="AO222" s="4" t="s">
        <v>244</v>
      </c>
      <c r="AP222" s="4" t="s">
        <v>245</v>
      </c>
      <c r="AQ222" s="4" t="s">
        <v>58</v>
      </c>
      <c r="AR222" s="4" t="s">
        <v>171</v>
      </c>
      <c r="AS222" s="4" t="s">
        <v>81</v>
      </c>
      <c r="AT222" s="0" t="n">
        <v>0.15</v>
      </c>
      <c r="AU222" s="4" t="s">
        <v>141</v>
      </c>
      <c r="AV222" s="4" t="s">
        <v>101</v>
      </c>
    </row>
    <row r="223" customFormat="false" ht="15" hidden="false" customHeight="false" outlineLevel="0" collapsed="false">
      <c r="A223" s="0" t="s">
        <v>999</v>
      </c>
      <c r="B223" s="3" t="n">
        <f aca="false">IF(AJ223="","",IF(ISNUMBER(SEARCH("/",AJ223)),DATE(VALUE(RIGHT(AJ223,4)),VALUE(LEFT(AJ223,2)),VALUE(MID(AJ223,4,2))),IF(ISNUMBER(SEARCH("-",AJ223)),IF(LEN(LEFT(AJ223,FIND("-",AJ223)-1))=4,DATE(VALUE(LEFT(AJ223,4)),VALUE(MID(AJ223,6,2)),VALUE(RIGHT(AJ223,2))),DATE(VALUE(RIGHT(AJ223,4)),VALUE(MID(AJ223,4,2)),VALUE(LEFT(AJ223,2)))),DATE(VALUE(RIGHT(AJ223,4)),MATCH(MID(AJ223,4,3),{"Jan","Feb","Mar","Apr","May","Jun","Jul","Aug","Sep","Oct","Nov","Dec"},0),VALUE(LEFT(AJ223,2))))))</f>
        <v>45669</v>
      </c>
      <c r="C223" s="3" t="n">
        <f aca="false">IF(AK223="","",IF(ISNUMBER(SEARCH("/",AK223)),DATE(VALUE(RIGHT(AK223,4)),VALUE(LEFT(AK223,2)),VALUE(MID(AK223,4,2))),IF(ISNUMBER(SEARCH("-",AK223)),IF(LEN(LEFT(AK223,FIND("-",AK223)-1))=4,DATE(VALUE(LEFT(AK223,4)),VALUE(MID(AK223,6,2)),VALUE(RIGHT(AK223,2))),DATE(VALUE(RIGHT(AK223,4)),VALUE(MID(AK223,4,2)),VALUE(LEFT(AK223,2)))),DATE(VALUE(RIGHT(AK223,4)),MATCH(MID(AK223,4,3),{"Jan","Feb","Mar","Apr","May","Jun","Jul","Aug","Sep","Oct","Nov","Dec"},0),VALUE(LEFT(AK223,2))))))</f>
        <v>45672</v>
      </c>
      <c r="D223" s="4" t="s">
        <v>1000</v>
      </c>
      <c r="E223" s="0" t="str">
        <f aca="false">PROPER(TRIM(AL223))</f>
        <v>Mira Das</v>
      </c>
      <c r="F223" s="0" t="str">
        <f aca="false">PROPER(TRIM(AM223))</f>
        <v>Corporate</v>
      </c>
      <c r="G223" s="0" t="str">
        <f aca="false">IF(TRIM(AN223)="","Unknown",PROPER(TRIM(AN223)))</f>
        <v>South</v>
      </c>
      <c r="H223" s="0" t="str">
        <f aca="false">PROPER(TRIM(AO223))</f>
        <v>Karnataka</v>
      </c>
      <c r="I223" s="0" t="str">
        <f aca="false">PROPER(TRIM(AP223))</f>
        <v>Bengaluru</v>
      </c>
      <c r="J223" s="0" t="str">
        <f aca="false">PROPER(TRIM(AQ223))</f>
        <v>Furniture</v>
      </c>
      <c r="K223" s="0" t="str">
        <f aca="false">PROPER(TRIM(AR223))</f>
        <v>Chairs</v>
      </c>
      <c r="M223" s="0" t="str">
        <f aca="false">IF(TRIM(AS223)="","Unknown",PROPER(TRIM(AS223)))</f>
        <v>Same Day</v>
      </c>
      <c r="N223" s="0" t="n">
        <v>4</v>
      </c>
      <c r="O223" s="0" t="n">
        <v>1531.53</v>
      </c>
      <c r="P223" s="5" t="n">
        <f aca="false">IF(AT223="","",IF(ISNUMBER(AT223),AT223,VALUE(SUBSTITUTE(AT223,"%",""))/100))</f>
        <v>0.2</v>
      </c>
      <c r="Q223" s="5" t="n">
        <f aca="false">IF(P223="",IF(AND(N223&lt;&gt;"",O223&lt;&gt;"",R223&lt;&gt;"",S223&lt;&gt;""),0,"REVIEW"),IF(OR(P223&lt;0,P223&gt;0.3),0,P223))</f>
        <v>0.2</v>
      </c>
      <c r="R223" s="0" t="n">
        <v>4900.9</v>
      </c>
      <c r="S223" s="0" t="n">
        <v>3552.69</v>
      </c>
      <c r="T223" s="6" t="n">
        <f aca="false">N223*O223*(1-Q223)</f>
        <v>4900.896</v>
      </c>
      <c r="U223" s="6" t="n">
        <f aca="false">T223-S223</f>
        <v>1348.206</v>
      </c>
      <c r="V223" s="7" t="n">
        <f aca="false">IF(T223=0,0,U223/T223)</f>
        <v>0.275093778770249</v>
      </c>
      <c r="W223" s="4" t="n">
        <f aca="false">C223-B223</f>
        <v>3</v>
      </c>
      <c r="X223" s="0" t="str">
        <f aca="false">TEXT(B223,"mmmm")</f>
        <v>January</v>
      </c>
      <c r="Y223" s="4" t="n">
        <f aca="false">YEAR(B223)</f>
        <v>2025</v>
      </c>
      <c r="Z223" s="0" t="str">
        <f aca="false">PROPER(TRIM(AU223))</f>
        <v>Paid</v>
      </c>
      <c r="AA223" s="0" t="str">
        <f aca="false">PROPER(TRIM(AV223))</f>
        <v>Completed</v>
      </c>
      <c r="AB223" s="0" t="str">
        <f aca="false">IF(TRIM(AN223)="","Yes","No")</f>
        <v>No</v>
      </c>
      <c r="AC223" s="0" t="str">
        <f aca="false">IF(TRIM(AS223)="","Yes","No")</f>
        <v>No</v>
      </c>
      <c r="AD223" s="0" t="str">
        <f aca="false">IF(AT223="","Yes","No")</f>
        <v>No</v>
      </c>
      <c r="AE223" s="0" t="str">
        <f aca="false">IF(W223&lt;0,"Yes","No")</f>
        <v>No</v>
      </c>
      <c r="AF223" s="0" t="str">
        <f aca="false">IF(P223="","No",IF(OR(P223&lt;0,P223&gt;0.3),"Yes","No"))</f>
        <v>No</v>
      </c>
      <c r="AG223" s="4" t="s">
        <v>50</v>
      </c>
      <c r="AH223" s="0" t="str">
        <f aca="false">IF(AND(AA223="Completed",Z223="Paid"),"Yes","No")</f>
        <v>Yes</v>
      </c>
      <c r="AI223" s="0" t="str">
        <f aca="false">IF(OR(AE223="Yes",AF223="Yes",AG223="Yes"),"Invalid",IF(OR(AB223="Yes",AC223="Yes",AD223="Yes"),"Warning","Clean"))</f>
        <v>Clean</v>
      </c>
      <c r="AJ223" s="4" t="s">
        <v>1001</v>
      </c>
      <c r="AK223" s="4" t="s">
        <v>1002</v>
      </c>
      <c r="AL223" s="4" t="s">
        <v>67</v>
      </c>
      <c r="AM223" s="4" t="s">
        <v>128</v>
      </c>
      <c r="AN223" s="4" t="s">
        <v>87</v>
      </c>
      <c r="AO223" s="4" t="s">
        <v>233</v>
      </c>
      <c r="AP223" s="4" t="s">
        <v>234</v>
      </c>
      <c r="AQ223" s="4" t="s">
        <v>72</v>
      </c>
      <c r="AR223" s="4" t="s">
        <v>100</v>
      </c>
      <c r="AS223" s="4" t="s">
        <v>74</v>
      </c>
      <c r="AT223" s="0" t="n">
        <v>0.2</v>
      </c>
      <c r="AU223" s="4" t="s">
        <v>61</v>
      </c>
      <c r="AV223" s="4" t="s">
        <v>62</v>
      </c>
    </row>
    <row r="224" customFormat="false" ht="15" hidden="false" customHeight="false" outlineLevel="0" collapsed="false">
      <c r="A224" s="0" t="s">
        <v>1003</v>
      </c>
      <c r="B224" s="3" t="n">
        <f aca="false">IF(AJ224="","",IF(ISNUMBER(SEARCH("/",AJ224)),DATE(VALUE(RIGHT(AJ224,4)),VALUE(LEFT(AJ224,2)),VALUE(MID(AJ224,4,2))),IF(ISNUMBER(SEARCH("-",AJ224)),IF(LEN(LEFT(AJ224,FIND("-",AJ224)-1))=4,DATE(VALUE(LEFT(AJ224,4)),VALUE(MID(AJ224,6,2)),VALUE(RIGHT(AJ224,2))),DATE(VALUE(RIGHT(AJ224,4)),VALUE(MID(AJ224,4,2)),VALUE(LEFT(AJ224,2)))),DATE(VALUE(RIGHT(AJ224,4)),MATCH(MID(AJ224,4,3),{"Jan","Feb","Mar","Apr","May","Jun","Jul","Aug","Sep","Oct","Nov","Dec"},0),VALUE(LEFT(AJ224,2))))))</f>
        <v>45776</v>
      </c>
      <c r="C224" s="3" t="n">
        <f aca="false">IF(AK224="","",IF(ISNUMBER(SEARCH("/",AK224)),DATE(VALUE(RIGHT(AK224,4)),VALUE(LEFT(AK224,2)),VALUE(MID(AK224,4,2))),IF(ISNUMBER(SEARCH("-",AK224)),IF(LEN(LEFT(AK224,FIND("-",AK224)-1))=4,DATE(VALUE(LEFT(AK224,4)),VALUE(MID(AK224,6,2)),VALUE(RIGHT(AK224,2))),DATE(VALUE(RIGHT(AK224,4)),VALUE(MID(AK224,4,2)),VALUE(LEFT(AK224,2)))),DATE(VALUE(RIGHT(AK224,4)),MATCH(MID(AK224,4,3),{"Jan","Feb","Mar","Apr","May","Jun","Jul","Aug","Sep","Oct","Nov","Dec"},0),VALUE(LEFT(AK224,2))))))</f>
        <v>45779</v>
      </c>
      <c r="D224" s="4" t="s">
        <v>1004</v>
      </c>
      <c r="E224" s="0" t="str">
        <f aca="false">PROPER(TRIM(AL224))</f>
        <v>Vikram Iyer</v>
      </c>
      <c r="F224" s="0" t="str">
        <f aca="false">PROPER(TRIM(AM224))</f>
        <v>Small Business</v>
      </c>
      <c r="G224" s="0" t="str">
        <f aca="false">IF(TRIM(AN224)="","Unknown",PROPER(TRIM(AN224)))</f>
        <v>West</v>
      </c>
      <c r="H224" s="0" t="str">
        <f aca="false">PROPER(TRIM(AO224))</f>
        <v>Goa</v>
      </c>
      <c r="I224" s="0" t="str">
        <f aca="false">PROPER(TRIM(AP224))</f>
        <v>Panaji</v>
      </c>
      <c r="J224" s="0" t="str">
        <f aca="false">PROPER(TRIM(AQ224))</f>
        <v>Office Supplies</v>
      </c>
      <c r="K224" s="0" t="str">
        <f aca="false">PROPER(TRIM(AR224))</f>
        <v>Storage</v>
      </c>
      <c r="M224" s="0" t="str">
        <f aca="false">IF(TRIM(AS224)="","Unknown",PROPER(TRIM(AS224)))</f>
        <v>First Class</v>
      </c>
      <c r="N224" s="0" t="n">
        <v>6</v>
      </c>
      <c r="O224" s="0" t="n">
        <v>4308.09</v>
      </c>
      <c r="P224" s="5" t="n">
        <f aca="false">IF(AT224="","",IF(ISNUMBER(AT224),AT224,VALUE(SUBSTITUTE(AT224,"%",""))/100))</f>
        <v>0</v>
      </c>
      <c r="Q224" s="5" t="n">
        <f aca="false">IF(P224="",IF(AND(N224&lt;&gt;"",O224&lt;&gt;"",R224&lt;&gt;"",S224&lt;&gt;""),0,"REVIEW"),IF(OR(P224&lt;0,P224&gt;0.3),0,P224))</f>
        <v>0</v>
      </c>
      <c r="R224" s="0" t="n">
        <v>25848.54</v>
      </c>
      <c r="S224" s="0" t="n">
        <v>17729.09</v>
      </c>
      <c r="T224" s="6" t="n">
        <f aca="false">N224*O224*(1-Q224)</f>
        <v>25848.54</v>
      </c>
      <c r="U224" s="6" t="n">
        <f aca="false">T224-S224</f>
        <v>8119.45</v>
      </c>
      <c r="V224" s="7" t="n">
        <f aca="false">IF(T224=0,0,U224/T224)</f>
        <v>0.314116387231155</v>
      </c>
      <c r="W224" s="4" t="n">
        <f aca="false">C224-B224</f>
        <v>3</v>
      </c>
      <c r="X224" s="0" t="str">
        <f aca="false">TEXT(B224,"mmmm")</f>
        <v>April</v>
      </c>
      <c r="Y224" s="4" t="n">
        <f aca="false">YEAR(B224)</f>
        <v>2025</v>
      </c>
      <c r="Z224" s="0" t="str">
        <f aca="false">PROPER(TRIM(AU224))</f>
        <v>Paid</v>
      </c>
      <c r="AA224" s="0" t="str">
        <f aca="false">PROPER(TRIM(AV224))</f>
        <v>Completed</v>
      </c>
      <c r="AB224" s="0" t="str">
        <f aca="false">IF(TRIM(AN224)="","Yes","No")</f>
        <v>No</v>
      </c>
      <c r="AC224" s="0" t="str">
        <f aca="false">IF(TRIM(AS224)="","Yes","No")</f>
        <v>No</v>
      </c>
      <c r="AD224" s="0" t="str">
        <f aca="false">IF(AT224="","Yes","No")</f>
        <v>No</v>
      </c>
      <c r="AE224" s="0" t="str">
        <f aca="false">IF(W224&lt;0,"Yes","No")</f>
        <v>No</v>
      </c>
      <c r="AF224" s="0" t="str">
        <f aca="false">IF(P224="","No",IF(OR(P224&lt;0,P224&gt;0.3),"Yes","No"))</f>
        <v>No</v>
      </c>
      <c r="AG224" s="4" t="s">
        <v>50</v>
      </c>
      <c r="AH224" s="0" t="str">
        <f aca="false">IF(AND(AA224="Completed",Z224="Paid"),"Yes","No")</f>
        <v>Yes</v>
      </c>
      <c r="AI224" s="0" t="str">
        <f aca="false">IF(OR(AE224="Yes",AF224="Yes",AG224="Yes"),"Invalid",IF(OR(AB224="Yes",AC224="Yes",AD224="Yes"),"Warning","Clean"))</f>
        <v>Clean</v>
      </c>
      <c r="AJ224" s="4" t="s">
        <v>1005</v>
      </c>
      <c r="AK224" s="4" t="s">
        <v>869</v>
      </c>
      <c r="AL224" s="4" t="s">
        <v>106</v>
      </c>
      <c r="AM224" s="4" t="s">
        <v>68</v>
      </c>
      <c r="AN224" s="4" t="s">
        <v>97</v>
      </c>
      <c r="AO224" s="4" t="s">
        <v>250</v>
      </c>
      <c r="AP224" s="4" t="s">
        <v>251</v>
      </c>
      <c r="AQ224" s="4" t="s">
        <v>58</v>
      </c>
      <c r="AR224" s="4" t="s">
        <v>171</v>
      </c>
      <c r="AS224" s="4" t="s">
        <v>81</v>
      </c>
      <c r="AT224" s="0" t="n">
        <v>0</v>
      </c>
      <c r="AU224" s="4" t="s">
        <v>61</v>
      </c>
      <c r="AV224" s="4" t="s">
        <v>62</v>
      </c>
    </row>
    <row r="225" customFormat="false" ht="15" hidden="false" customHeight="false" outlineLevel="0" collapsed="false">
      <c r="A225" s="0" t="s">
        <v>1006</v>
      </c>
      <c r="B225" s="3" t="n">
        <f aca="false">IF(AJ225="","",IF(ISNUMBER(SEARCH("/",AJ225)),DATE(VALUE(RIGHT(AJ225,4)),VALUE(LEFT(AJ225,2)),VALUE(MID(AJ225,4,2))),IF(ISNUMBER(SEARCH("-",AJ225)),IF(LEN(LEFT(AJ225,FIND("-",AJ225)-1))=4,DATE(VALUE(LEFT(AJ225,4)),VALUE(MID(AJ225,6,2)),VALUE(RIGHT(AJ225,2))),DATE(VALUE(RIGHT(AJ225,4)),VALUE(MID(AJ225,4,2)),VALUE(LEFT(AJ225,2)))),DATE(VALUE(RIGHT(AJ225,4)),MATCH(MID(AJ225,4,3),{"Jan","Feb","Mar","Apr","May","Jun","Jul","Aug","Sep","Oct","Nov","Dec"},0),VALUE(LEFT(AJ225,2))))))</f>
        <v>45707</v>
      </c>
      <c r="C225" s="3" t="n">
        <f aca="false">IF(AK225="","",IF(ISNUMBER(SEARCH("/",AK225)),DATE(VALUE(RIGHT(AK225,4)),VALUE(LEFT(AK225,2)),VALUE(MID(AK225,4,2))),IF(ISNUMBER(SEARCH("-",AK225)),IF(LEN(LEFT(AK225,FIND("-",AK225)-1))=4,DATE(VALUE(LEFT(AK225,4)),VALUE(MID(AK225,6,2)),VALUE(RIGHT(AK225,2))),DATE(VALUE(RIGHT(AK225,4)),VALUE(MID(AK225,4,2)),VALUE(LEFT(AK225,2)))),DATE(VALUE(RIGHT(AK225,4)),MATCH(MID(AK225,4,3),{"Jan","Feb","Mar","Apr","May","Jun","Jul","Aug","Sep","Oct","Nov","Dec"},0),VALUE(LEFT(AK225,2))))))</f>
        <v>45714</v>
      </c>
      <c r="D225" s="4" t="s">
        <v>1007</v>
      </c>
      <c r="E225" s="0" t="str">
        <f aca="false">PROPER(TRIM(AL225))</f>
        <v>Mira Das</v>
      </c>
      <c r="F225" s="0" t="str">
        <f aca="false">PROPER(TRIM(AM225))</f>
        <v>Corporate</v>
      </c>
      <c r="G225" s="0" t="str">
        <f aca="false">IF(TRIM(AN225)="","Unknown",PROPER(TRIM(AN225)))</f>
        <v>West</v>
      </c>
      <c r="H225" s="0" t="str">
        <f aca="false">PROPER(TRIM(AO225))</f>
        <v>Maharashtra</v>
      </c>
      <c r="I225" s="0" t="str">
        <f aca="false">PROPER(TRIM(AP225))</f>
        <v>Mumbai</v>
      </c>
      <c r="J225" s="0" t="str">
        <f aca="false">PROPER(TRIM(AQ225))</f>
        <v>Furniture</v>
      </c>
      <c r="K225" s="0" t="str">
        <f aca="false">PROPER(TRIM(AR225))</f>
        <v>Furnishings</v>
      </c>
      <c r="M225" s="0" t="str">
        <f aca="false">IF(TRIM(AS225)="","Unknown",PROPER(TRIM(AS225)))</f>
        <v>First Class</v>
      </c>
      <c r="N225" s="0" t="n">
        <v>3</v>
      </c>
      <c r="O225" s="0" t="n">
        <v>490.3</v>
      </c>
      <c r="P225" s="5" t="n">
        <f aca="false">IF(AT225="","",IF(ISNUMBER(AT225),AT225,VALUE(SUBSTITUTE(AT225,"%",""))/100))</f>
        <v>0.2</v>
      </c>
      <c r="Q225" s="5" t="n">
        <f aca="false">IF(P225="",IF(AND(N225&lt;&gt;"",O225&lt;&gt;"",R225&lt;&gt;"",S225&lt;&gt;""),0,"REVIEW"),IF(OR(P225&lt;0,P225&gt;0.3),0,P225))</f>
        <v>0.2</v>
      </c>
      <c r="R225" s="0" t="n">
        <v>1176.72</v>
      </c>
      <c r="S225" s="0" t="n">
        <v>654.33</v>
      </c>
      <c r="T225" s="6" t="n">
        <f aca="false">N225*O225*(1-Q225)</f>
        <v>1176.72</v>
      </c>
      <c r="U225" s="6" t="n">
        <f aca="false">T225-S225</f>
        <v>522.39</v>
      </c>
      <c r="V225" s="7" t="n">
        <f aca="false">IF(T225=0,0,U225/T225)</f>
        <v>0.443937385274322</v>
      </c>
      <c r="W225" s="4" t="n">
        <f aca="false">C225-B225</f>
        <v>7</v>
      </c>
      <c r="X225" s="0" t="str">
        <f aca="false">TEXT(B225,"mmmm")</f>
        <v>February</v>
      </c>
      <c r="Y225" s="4" t="n">
        <f aca="false">YEAR(B225)</f>
        <v>2025</v>
      </c>
      <c r="Z225" s="0" t="str">
        <f aca="false">PROPER(TRIM(AU225))</f>
        <v>Pending</v>
      </c>
      <c r="AA225" s="0" t="str">
        <f aca="false">PROPER(TRIM(AV225))</f>
        <v>Returned</v>
      </c>
      <c r="AB225" s="0" t="str">
        <f aca="false">IF(TRIM(AN225)="","Yes","No")</f>
        <v>No</v>
      </c>
      <c r="AC225" s="0" t="str">
        <f aca="false">IF(TRIM(AS225)="","Yes","No")</f>
        <v>No</v>
      </c>
      <c r="AD225" s="0" t="str">
        <f aca="false">IF(AT225="","Yes","No")</f>
        <v>No</v>
      </c>
      <c r="AE225" s="0" t="str">
        <f aca="false">IF(W225&lt;0,"Yes","No")</f>
        <v>No</v>
      </c>
      <c r="AF225" s="0" t="str">
        <f aca="false">IF(P225="","No",IF(OR(P225&lt;0,P225&gt;0.3),"Yes","No"))</f>
        <v>No</v>
      </c>
      <c r="AG225" s="4" t="s">
        <v>50</v>
      </c>
      <c r="AH225" s="0" t="str">
        <f aca="false">IF(AND(AA225="Completed",Z225="Paid"),"Yes","No")</f>
        <v>No</v>
      </c>
      <c r="AI225" s="0" t="str">
        <f aca="false">IF(OR(AE225="Yes",AF225="Yes",AG225="Yes"),"Invalid",IF(OR(AB225="Yes",AC225="Yes",AD225="Yes"),"Warning","Clean"))</f>
        <v>Clean</v>
      </c>
      <c r="AJ225" s="4" t="s">
        <v>1008</v>
      </c>
      <c r="AK225" s="4" t="s">
        <v>1009</v>
      </c>
      <c r="AL225" s="4" t="s">
        <v>67</v>
      </c>
      <c r="AM225" s="4" t="s">
        <v>128</v>
      </c>
      <c r="AN225" s="4" t="s">
        <v>97</v>
      </c>
      <c r="AO225" s="4" t="s">
        <v>98</v>
      </c>
      <c r="AP225" s="4" t="s">
        <v>99</v>
      </c>
      <c r="AQ225" s="4" t="s">
        <v>72</v>
      </c>
      <c r="AR225" s="4" t="s">
        <v>90</v>
      </c>
      <c r="AS225" s="4" t="s">
        <v>81</v>
      </c>
      <c r="AT225" s="0" t="n">
        <v>0.2</v>
      </c>
      <c r="AU225" s="4" t="s">
        <v>153</v>
      </c>
      <c r="AV225" s="4" t="s">
        <v>142</v>
      </c>
    </row>
    <row r="226" customFormat="false" ht="15" hidden="false" customHeight="false" outlineLevel="0" collapsed="false">
      <c r="A226" s="0" t="s">
        <v>1010</v>
      </c>
      <c r="B226" s="3" t="n">
        <f aca="false">IF(AJ226="","",IF(ISNUMBER(SEARCH("/",AJ226)),DATE(VALUE(RIGHT(AJ226,4)),VALUE(LEFT(AJ226,2)),VALUE(MID(AJ226,4,2))),IF(ISNUMBER(SEARCH("-",AJ226)),IF(LEN(LEFT(AJ226,FIND("-",AJ226)-1))=4,DATE(VALUE(LEFT(AJ226,4)),VALUE(MID(AJ226,6,2)),VALUE(RIGHT(AJ226,2))),DATE(VALUE(RIGHT(AJ226,4)),VALUE(MID(AJ226,4,2)),VALUE(LEFT(AJ226,2)))),DATE(VALUE(RIGHT(AJ226,4)),MATCH(MID(AJ226,4,3),{"Jan","Feb","Mar","Apr","May","Jun","Jul","Aug","Sep","Oct","Nov","Dec"},0),VALUE(LEFT(AJ226,2))))))</f>
        <v>45932</v>
      </c>
      <c r="C226" s="3" t="n">
        <f aca="false">IF(AK226="","",IF(ISNUMBER(SEARCH("/",AK226)),DATE(VALUE(RIGHT(AK226,4)),VALUE(LEFT(AK226,2)),VALUE(MID(AK226,4,2))),IF(ISNUMBER(SEARCH("-",AK226)),IF(LEN(LEFT(AK226,FIND("-",AK226)-1))=4,DATE(VALUE(LEFT(AK226,4)),VALUE(MID(AK226,6,2)),VALUE(RIGHT(AK226,2))),DATE(VALUE(RIGHT(AK226,4)),VALUE(MID(AK226,4,2)),VALUE(LEFT(AK226,2)))),DATE(VALUE(RIGHT(AK226,4)),MATCH(MID(AK226,4,3),{"Jan","Feb","Mar","Apr","May","Jun","Jul","Aug","Sep","Oct","Nov","Dec"},0),VALUE(LEFT(AK226,2))))))</f>
        <v>45938</v>
      </c>
      <c r="D226" s="4" t="s">
        <v>1011</v>
      </c>
      <c r="E226" s="0" t="str">
        <f aca="false">PROPER(TRIM(AL226))</f>
        <v>Isha Nair</v>
      </c>
      <c r="F226" s="0" t="str">
        <f aca="false">PROPER(TRIM(AM226))</f>
        <v>Small Business</v>
      </c>
      <c r="G226" s="0" t="str">
        <f aca="false">IF(TRIM(AN226)="","Unknown",PROPER(TRIM(AN226)))</f>
        <v>North</v>
      </c>
      <c r="H226" s="0" t="str">
        <f aca="false">PROPER(TRIM(AO226))</f>
        <v>Punjab</v>
      </c>
      <c r="I226" s="0" t="str">
        <f aca="false">PROPER(TRIM(AP226))</f>
        <v>Ludhiana</v>
      </c>
      <c r="J226" s="0" t="str">
        <f aca="false">PROPER(TRIM(AQ226))</f>
        <v>Furniture</v>
      </c>
      <c r="K226" s="0" t="str">
        <f aca="false">PROPER(TRIM(AR226))</f>
        <v>Furnishings</v>
      </c>
      <c r="M226" s="0" t="str">
        <f aca="false">IF(TRIM(AS226)="","Unknown",PROPER(TRIM(AS226)))</f>
        <v>Standard Class</v>
      </c>
      <c r="N226" s="0" t="n">
        <v>4</v>
      </c>
      <c r="O226" s="0" t="n">
        <v>3944.64</v>
      </c>
      <c r="P226" s="5" t="n">
        <f aca="false">IF(AT226="","",IF(ISNUMBER(AT226),AT226,VALUE(SUBSTITUTE(AT226,"%",""))/100))</f>
        <v>0.25</v>
      </c>
      <c r="Q226" s="5" t="n">
        <f aca="false">IF(P226="",IF(AND(N226&lt;&gt;"",O226&lt;&gt;"",R226&lt;&gt;"",S226&lt;&gt;""),0,"REVIEW"),IF(OR(P226&lt;0,P226&gt;0.3),0,P226))</f>
        <v>0.25</v>
      </c>
      <c r="R226" s="0" t="n">
        <v>11833.92</v>
      </c>
      <c r="S226" s="0" t="n">
        <v>6682.92</v>
      </c>
      <c r="T226" s="6" t="n">
        <f aca="false">N226*O226*(1-Q226)</f>
        <v>11833.92</v>
      </c>
      <c r="U226" s="6" t="n">
        <f aca="false">T226-S226</f>
        <v>5151</v>
      </c>
      <c r="V226" s="7" t="n">
        <f aca="false">IF(T226=0,0,U226/T226)</f>
        <v>0.435274194856818</v>
      </c>
      <c r="W226" s="4" t="n">
        <f aca="false">C226-B226</f>
        <v>6</v>
      </c>
      <c r="X226" s="0" t="str">
        <f aca="false">TEXT(B226,"mmmm")</f>
        <v>October</v>
      </c>
      <c r="Y226" s="4" t="n">
        <f aca="false">YEAR(B226)</f>
        <v>2025</v>
      </c>
      <c r="Z226" s="0" t="str">
        <f aca="false">PROPER(TRIM(AU226))</f>
        <v>Paid</v>
      </c>
      <c r="AA226" s="0" t="str">
        <f aca="false">PROPER(TRIM(AV226))</f>
        <v>Cancelled</v>
      </c>
      <c r="AB226" s="0" t="str">
        <f aca="false">IF(TRIM(AN226)="","Yes","No")</f>
        <v>No</v>
      </c>
      <c r="AC226" s="0" t="str">
        <f aca="false">IF(TRIM(AS226)="","Yes","No")</f>
        <v>No</v>
      </c>
      <c r="AD226" s="0" t="str">
        <f aca="false">IF(AT226="","Yes","No")</f>
        <v>No</v>
      </c>
      <c r="AE226" s="0" t="str">
        <f aca="false">IF(W226&lt;0,"Yes","No")</f>
        <v>No</v>
      </c>
      <c r="AF226" s="0" t="str">
        <f aca="false">IF(P226="","No",IF(OR(P226&lt;0,P226&gt;0.3),"Yes","No"))</f>
        <v>No</v>
      </c>
      <c r="AG226" s="4" t="s">
        <v>497</v>
      </c>
      <c r="AH226" s="0" t="str">
        <f aca="false">IF(AND(AA226="Completed",Z226="Paid"),"Yes","No")</f>
        <v>No</v>
      </c>
      <c r="AI226" s="0" t="str">
        <f aca="false">IF(OR(AE226="Yes",AF226="Yes",AG226="Yes"),"Invalid",IF(OR(AB226="Yes",AC226="Yes",AD226="Yes"),"Warning","Clean"))</f>
        <v>Invalid</v>
      </c>
      <c r="AJ226" s="4" t="s">
        <v>1012</v>
      </c>
      <c r="AK226" s="4" t="s">
        <v>1013</v>
      </c>
      <c r="AL226" s="4" t="s">
        <v>79</v>
      </c>
      <c r="AM226" s="4" t="s">
        <v>68</v>
      </c>
      <c r="AN226" s="4" t="s">
        <v>168</v>
      </c>
      <c r="AO226" s="4" t="s">
        <v>169</v>
      </c>
      <c r="AP226" s="4" t="s">
        <v>170</v>
      </c>
      <c r="AQ226" s="4" t="s">
        <v>72</v>
      </c>
      <c r="AR226" s="4" t="s">
        <v>90</v>
      </c>
      <c r="AS226" s="4" t="s">
        <v>91</v>
      </c>
      <c r="AT226" s="0" t="n">
        <v>0.25</v>
      </c>
      <c r="AU226" s="4" t="s">
        <v>61</v>
      </c>
      <c r="AV226" s="4" t="s">
        <v>101</v>
      </c>
    </row>
    <row r="227" customFormat="false" ht="15" hidden="false" customHeight="false" outlineLevel="0" collapsed="false">
      <c r="A227" s="0" t="s">
        <v>1014</v>
      </c>
      <c r="B227" s="3" t="n">
        <f aca="false">IF(AJ227="","",IF(ISNUMBER(SEARCH("/",AJ227)),DATE(VALUE(RIGHT(AJ227,4)),VALUE(LEFT(AJ227,2)),VALUE(MID(AJ227,4,2))),IF(ISNUMBER(SEARCH("-",AJ227)),IF(LEN(LEFT(AJ227,FIND("-",AJ227)-1))=4,DATE(VALUE(LEFT(AJ227,4)),VALUE(MID(AJ227,6,2)),VALUE(RIGHT(AJ227,2))),DATE(VALUE(RIGHT(AJ227,4)),VALUE(MID(AJ227,4,2)),VALUE(LEFT(AJ227,2)))),DATE(VALUE(RIGHT(AJ227,4)),MATCH(MID(AJ227,4,3),{"Jan","Feb","Mar","Apr","May","Jun","Jul","Aug","Sep","Oct","Nov","Dec"},0),VALUE(LEFT(AJ227,2))))))</f>
        <v>45537</v>
      </c>
      <c r="C227" s="3" t="n">
        <f aca="false">IF(AK227="","",IF(ISNUMBER(SEARCH("/",AK227)),DATE(VALUE(RIGHT(AK227,4)),VALUE(LEFT(AK227,2)),VALUE(MID(AK227,4,2))),IF(ISNUMBER(SEARCH("-",AK227)),IF(LEN(LEFT(AK227,FIND("-",AK227)-1))=4,DATE(VALUE(LEFT(AK227,4)),VALUE(MID(AK227,6,2)),VALUE(RIGHT(AK227,2))),DATE(VALUE(RIGHT(AK227,4)),VALUE(MID(AK227,4,2)),VALUE(LEFT(AK227,2)))),DATE(VALUE(RIGHT(AK227,4)),MATCH(MID(AK227,4,3),{"Jan","Feb","Mar","Apr","May","Jun","Jul","Aug","Sep","Oct","Nov","Dec"},0),VALUE(LEFT(AK227,2))))))</f>
        <v>45545</v>
      </c>
      <c r="D227" s="4" t="s">
        <v>1015</v>
      </c>
      <c r="E227" s="0" t="str">
        <f aca="false">PROPER(TRIM(AL227))</f>
        <v>Mira Das</v>
      </c>
      <c r="F227" s="0" t="str">
        <f aca="false">PROPER(TRIM(AM227))</f>
        <v>Corporate</v>
      </c>
      <c r="G227" s="0" t="str">
        <f aca="false">IF(TRIM(AN227)="","Unknown",PROPER(TRIM(AN227)))</f>
        <v>West</v>
      </c>
      <c r="H227" s="0" t="str">
        <f aca="false">PROPER(TRIM(AO227))</f>
        <v>Goa</v>
      </c>
      <c r="I227" s="0" t="str">
        <f aca="false">PROPER(TRIM(AP227))</f>
        <v>Panaji</v>
      </c>
      <c r="J227" s="0" t="str">
        <f aca="false">PROPER(TRIM(AQ227))</f>
        <v>Technology</v>
      </c>
      <c r="K227" s="0" t="str">
        <f aca="false">PROPER(TRIM(AR227))</f>
        <v>Phones</v>
      </c>
      <c r="M227" s="0" t="str">
        <f aca="false">IF(TRIM(AS227)="","Unknown",PROPER(TRIM(AS227)))</f>
        <v>Standard Class</v>
      </c>
      <c r="N227" s="0" t="n">
        <v>6</v>
      </c>
      <c r="O227" s="0" t="n">
        <v>1032.47</v>
      </c>
      <c r="P227" s="5" t="n">
        <f aca="false">IF(AT227="","",IF(ISNUMBER(AT227),AT227,VALUE(SUBSTITUTE(AT227,"%",""))/100))</f>
        <v>0.15</v>
      </c>
      <c r="Q227" s="5" t="n">
        <f aca="false">IF(P227="",IF(AND(N227&lt;&gt;"",O227&lt;&gt;"",R227&lt;&gt;"",S227&lt;&gt;""),0,"REVIEW"),IF(OR(P227&lt;0,P227&gt;0.3),0,P227))</f>
        <v>0.15</v>
      </c>
      <c r="R227" s="0" t="n">
        <v>5265.6</v>
      </c>
      <c r="S227" s="0" t="n">
        <v>4293.11</v>
      </c>
      <c r="T227" s="6" t="n">
        <f aca="false">N227*O227*(1-Q227)</f>
        <v>5265.597</v>
      </c>
      <c r="U227" s="6" t="n">
        <f aca="false">T227-S227</f>
        <v>972.487</v>
      </c>
      <c r="V227" s="7" t="n">
        <f aca="false">IF(T227=0,0,U227/T227)</f>
        <v>0.18468694053115</v>
      </c>
      <c r="W227" s="4" t="n">
        <f aca="false">C227-B227</f>
        <v>8</v>
      </c>
      <c r="X227" s="0" t="str">
        <f aca="false">TEXT(B227,"mmmm")</f>
        <v>September</v>
      </c>
      <c r="Y227" s="4" t="n">
        <f aca="false">YEAR(B227)</f>
        <v>2024</v>
      </c>
      <c r="Z227" s="0" t="str">
        <f aca="false">PROPER(TRIM(AU227))</f>
        <v>Paid</v>
      </c>
      <c r="AA227" s="0" t="str">
        <f aca="false">PROPER(TRIM(AV227))</f>
        <v>Completed</v>
      </c>
      <c r="AB227" s="0" t="str">
        <f aca="false">IF(TRIM(AN227)="","Yes","No")</f>
        <v>No</v>
      </c>
      <c r="AC227" s="0" t="str">
        <f aca="false">IF(TRIM(AS227)="","Yes","No")</f>
        <v>No</v>
      </c>
      <c r="AD227" s="0" t="str">
        <f aca="false">IF(AT227="","Yes","No")</f>
        <v>No</v>
      </c>
      <c r="AE227" s="0" t="str">
        <f aca="false">IF(W227&lt;0,"Yes","No")</f>
        <v>No</v>
      </c>
      <c r="AF227" s="0" t="str">
        <f aca="false">IF(P227="","No",IF(OR(P227&lt;0,P227&gt;0.3),"Yes","No"))</f>
        <v>No</v>
      </c>
      <c r="AG227" s="4" t="s">
        <v>50</v>
      </c>
      <c r="AH227" s="0" t="str">
        <f aca="false">IF(AND(AA227="Completed",Z227="Paid"),"Yes","No")</f>
        <v>Yes</v>
      </c>
      <c r="AI227" s="0" t="str">
        <f aca="false">IF(OR(AE227="Yes",AF227="Yes",AG227="Yes"),"Invalid",IF(OR(AB227="Yes",AC227="Yes",AD227="Yes"),"Warning","Clean"))</f>
        <v>Clean</v>
      </c>
      <c r="AJ227" s="4" t="s">
        <v>1016</v>
      </c>
      <c r="AK227" s="4" t="s">
        <v>1017</v>
      </c>
      <c r="AL227" s="4" t="s">
        <v>67</v>
      </c>
      <c r="AM227" s="4" t="s">
        <v>128</v>
      </c>
      <c r="AN227" s="4" t="s">
        <v>97</v>
      </c>
      <c r="AO227" s="4" t="s">
        <v>250</v>
      </c>
      <c r="AP227" s="4" t="s">
        <v>251</v>
      </c>
      <c r="AQ227" s="4" t="s">
        <v>109</v>
      </c>
      <c r="AR227" s="4" t="s">
        <v>227</v>
      </c>
      <c r="AS227" s="4" t="s">
        <v>91</v>
      </c>
      <c r="AT227" s="0" t="n">
        <v>0.15</v>
      </c>
      <c r="AU227" s="4" t="s">
        <v>61</v>
      </c>
      <c r="AV227" s="4" t="s">
        <v>62</v>
      </c>
    </row>
    <row r="228" customFormat="false" ht="15" hidden="false" customHeight="false" outlineLevel="0" collapsed="false">
      <c r="A228" s="0" t="s">
        <v>1018</v>
      </c>
      <c r="B228" s="3" t="n">
        <f aca="false">IF(AJ228="","",IF(ISNUMBER(SEARCH("/",AJ228)),DATE(VALUE(RIGHT(AJ228,4)),VALUE(LEFT(AJ228,2)),VALUE(MID(AJ228,4,2))),IF(ISNUMBER(SEARCH("-",AJ228)),IF(LEN(LEFT(AJ228,FIND("-",AJ228)-1))=4,DATE(VALUE(LEFT(AJ228,4)),VALUE(MID(AJ228,6,2)),VALUE(RIGHT(AJ228,2))),DATE(VALUE(RIGHT(AJ228,4)),VALUE(MID(AJ228,4,2)),VALUE(LEFT(AJ228,2)))),DATE(VALUE(RIGHT(AJ228,4)),MATCH(MID(AJ228,4,3),{"Jan","Feb","Mar","Apr","May","Jun","Jul","Aug","Sep","Oct","Nov","Dec"},0),VALUE(LEFT(AJ228,2))))))</f>
        <v>45757</v>
      </c>
      <c r="C228" s="3" t="n">
        <f aca="false">IF(AK228="","",IF(ISNUMBER(SEARCH("/",AK228)),DATE(VALUE(RIGHT(AK228,4)),VALUE(LEFT(AK228,2)),VALUE(MID(AK228,4,2))),IF(ISNUMBER(SEARCH("-",AK228)),IF(LEN(LEFT(AK228,FIND("-",AK228)-1))=4,DATE(VALUE(LEFT(AK228,4)),VALUE(MID(AK228,6,2)),VALUE(RIGHT(AK228,2))),DATE(VALUE(RIGHT(AK228,4)),VALUE(MID(AK228,4,2)),VALUE(LEFT(AK228,2)))),DATE(VALUE(RIGHT(AK228,4)),MATCH(MID(AK228,4,3),{"Jan","Feb","Mar","Apr","May","Jun","Jul","Aug","Sep","Oct","Nov","Dec"},0),VALUE(LEFT(AK228,2))))))</f>
        <v>45762</v>
      </c>
      <c r="D228" s="4" t="s">
        <v>1019</v>
      </c>
      <c r="E228" s="0" t="str">
        <f aca="false">PROPER(TRIM(AL228))</f>
        <v>Diya Patel</v>
      </c>
      <c r="F228" s="0" t="str">
        <f aca="false">PROPER(TRIM(AM228))</f>
        <v>Home Office</v>
      </c>
      <c r="G228" s="0" t="str">
        <f aca="false">IF(TRIM(AN228)="","Unknown",PROPER(TRIM(AN228)))</f>
        <v>Unknown</v>
      </c>
      <c r="H228" s="0" t="str">
        <f aca="false">PROPER(TRIM(AO228))</f>
        <v>Kerala</v>
      </c>
      <c r="I228" s="0" t="str">
        <f aca="false">PROPER(TRIM(AP228))</f>
        <v>Kochi</v>
      </c>
      <c r="J228" s="0" t="str">
        <f aca="false">PROPER(TRIM(AQ228))</f>
        <v>Technology</v>
      </c>
      <c r="K228" s="0" t="str">
        <f aca="false">PROPER(TRIM(AR228))</f>
        <v>Copiers</v>
      </c>
      <c r="M228" s="0" t="str">
        <f aca="false">IF(TRIM(AS228)="","Unknown",PROPER(TRIM(AS228)))</f>
        <v>Same Day</v>
      </c>
      <c r="N228" s="0" t="n">
        <v>1</v>
      </c>
      <c r="O228" s="0" t="n">
        <v>2208.27</v>
      </c>
      <c r="P228" s="5" t="n">
        <f aca="false">IF(AT228="","",IF(ISNUMBER(AT228),AT228,VALUE(SUBSTITUTE(AT228,"%",""))/100))</f>
        <v>0.1</v>
      </c>
      <c r="Q228" s="5" t="n">
        <f aca="false">IF(P228="",IF(AND(N228&lt;&gt;"",O228&lt;&gt;"",R228&lt;&gt;"",S228&lt;&gt;""),0,"REVIEW"),IF(OR(P228&lt;0,P228&gt;0.3),0,P228))</f>
        <v>0.1</v>
      </c>
      <c r="R228" s="0" t="n">
        <v>1987.44</v>
      </c>
      <c r="S228" s="0" t="n">
        <v>1110.23</v>
      </c>
      <c r="T228" s="6" t="n">
        <f aca="false">N228*O228*(1-Q228)</f>
        <v>1987.443</v>
      </c>
      <c r="U228" s="6" t="n">
        <f aca="false">T228-S228</f>
        <v>877.213</v>
      </c>
      <c r="V228" s="7" t="n">
        <f aca="false">IF(T228=0,0,U228/T228)</f>
        <v>0.44137768982557</v>
      </c>
      <c r="W228" s="4" t="n">
        <f aca="false">C228-B228</f>
        <v>5</v>
      </c>
      <c r="X228" s="0" t="str">
        <f aca="false">TEXT(B228,"mmmm")</f>
        <v>April</v>
      </c>
      <c r="Y228" s="4" t="n">
        <f aca="false">YEAR(B228)</f>
        <v>2025</v>
      </c>
      <c r="Z228" s="0" t="str">
        <f aca="false">PROPER(TRIM(AU228))</f>
        <v>Paid</v>
      </c>
      <c r="AA228" s="0" t="str">
        <f aca="false">PROPER(TRIM(AV228))</f>
        <v>Completed</v>
      </c>
      <c r="AB228" s="0" t="str">
        <f aca="false">IF(TRIM(AN228)="","Yes","No")</f>
        <v>Yes</v>
      </c>
      <c r="AC228" s="0" t="str">
        <f aca="false">IF(TRIM(AS228)="","Yes","No")</f>
        <v>No</v>
      </c>
      <c r="AD228" s="0" t="str">
        <f aca="false">IF(AT228="","Yes","No")</f>
        <v>No</v>
      </c>
      <c r="AE228" s="0" t="str">
        <f aca="false">IF(W228&lt;0,"Yes","No")</f>
        <v>No</v>
      </c>
      <c r="AF228" s="0" t="str">
        <f aca="false">IF(P228="","No",IF(OR(P228&lt;0,P228&gt;0.3),"Yes","No"))</f>
        <v>No</v>
      </c>
      <c r="AG228" s="4" t="s">
        <v>50</v>
      </c>
      <c r="AH228" s="0" t="str">
        <f aca="false">IF(AND(AA228="Completed",Z228="Paid"),"Yes","No")</f>
        <v>Yes</v>
      </c>
      <c r="AI228" s="0" t="str">
        <f aca="false">IF(OR(AE228="Yes",AF228="Yes",AG228="Yes"),"Invalid",IF(OR(AB228="Yes",AC228="Yes",AD228="Yes"),"Warning","Clean"))</f>
        <v>Warning</v>
      </c>
      <c r="AJ228" s="4" t="s">
        <v>1020</v>
      </c>
      <c r="AK228" s="4" t="s">
        <v>983</v>
      </c>
      <c r="AL228" s="4" t="s">
        <v>216</v>
      </c>
      <c r="AM228" s="4" t="s">
        <v>134</v>
      </c>
      <c r="AO228" s="4" t="s">
        <v>244</v>
      </c>
      <c r="AP228" s="4" t="s">
        <v>245</v>
      </c>
      <c r="AQ228" s="4" t="s">
        <v>109</v>
      </c>
      <c r="AR228" s="4" t="s">
        <v>116</v>
      </c>
      <c r="AS228" s="4" t="s">
        <v>74</v>
      </c>
      <c r="AT228" s="0" t="n">
        <v>0.1</v>
      </c>
      <c r="AU228" s="4" t="s">
        <v>61</v>
      </c>
      <c r="AV228" s="4" t="s">
        <v>62</v>
      </c>
    </row>
    <row r="229" customFormat="false" ht="15" hidden="false" customHeight="false" outlineLevel="0" collapsed="false">
      <c r="A229" s="0" t="s">
        <v>1021</v>
      </c>
      <c r="B229" s="3" t="n">
        <f aca="false">IF(AJ229="","",IF(ISNUMBER(SEARCH("/",AJ229)),DATE(VALUE(RIGHT(AJ229,4)),VALUE(LEFT(AJ229,2)),VALUE(MID(AJ229,4,2))),IF(ISNUMBER(SEARCH("-",AJ229)),IF(LEN(LEFT(AJ229,FIND("-",AJ229)-1))=4,DATE(VALUE(LEFT(AJ229,4)),VALUE(MID(AJ229,6,2)),VALUE(RIGHT(AJ229,2))),DATE(VALUE(RIGHT(AJ229,4)),VALUE(MID(AJ229,4,2)),VALUE(LEFT(AJ229,2)))),DATE(VALUE(RIGHT(AJ229,4)),MATCH(MID(AJ229,4,3),{"Jan","Feb","Mar","Apr","May","Jun","Jul","Aug","Sep","Oct","Nov","Dec"},0),VALUE(LEFT(AJ229,2))))))</f>
        <v>45478</v>
      </c>
      <c r="C229" s="3" t="n">
        <f aca="false">IF(AK229="","",IF(ISNUMBER(SEARCH("/",AK229)),DATE(VALUE(RIGHT(AK229,4)),VALUE(LEFT(AK229,2)),VALUE(MID(AK229,4,2))),IF(ISNUMBER(SEARCH("-",AK229)),IF(LEN(LEFT(AK229,FIND("-",AK229)-1))=4,DATE(VALUE(LEFT(AK229,4)),VALUE(MID(AK229,6,2)),VALUE(RIGHT(AK229,2))),DATE(VALUE(RIGHT(AK229,4)),VALUE(MID(AK229,4,2)),VALUE(LEFT(AK229,2)))),DATE(VALUE(RIGHT(AK229,4)),MATCH(MID(AK229,4,3),{"Jan","Feb","Mar","Apr","May","Jun","Jul","Aug","Sep","Oct","Nov","Dec"},0),VALUE(LEFT(AK229,2))))))</f>
        <v>45485</v>
      </c>
      <c r="D229" s="4" t="s">
        <v>1022</v>
      </c>
      <c r="E229" s="0" t="str">
        <f aca="false">PROPER(TRIM(AL229))</f>
        <v>Ananya Rao</v>
      </c>
      <c r="F229" s="0" t="str">
        <f aca="false">PROPER(TRIM(AM229))</f>
        <v>Small Business</v>
      </c>
      <c r="G229" s="0" t="str">
        <f aca="false">IF(TRIM(AN229)="","Unknown",PROPER(TRIM(AN229)))</f>
        <v>West</v>
      </c>
      <c r="H229" s="0" t="str">
        <f aca="false">PROPER(TRIM(AO229))</f>
        <v>Goa</v>
      </c>
      <c r="I229" s="0" t="str">
        <f aca="false">PROPER(TRIM(AP229))</f>
        <v>Panaji</v>
      </c>
      <c r="J229" s="0" t="str">
        <f aca="false">PROPER(TRIM(AQ229))</f>
        <v>Office Supplies</v>
      </c>
      <c r="K229" s="0" t="str">
        <f aca="false">PROPER(TRIM(AR229))</f>
        <v>Binders</v>
      </c>
      <c r="M229" s="0" t="str">
        <f aca="false">IF(TRIM(AS229)="","Unknown",PROPER(TRIM(AS229)))</f>
        <v>First Class</v>
      </c>
      <c r="N229" s="0" t="n">
        <v>3</v>
      </c>
      <c r="O229" s="0" t="n">
        <v>577.75</v>
      </c>
      <c r="P229" s="5" t="n">
        <f aca="false">IF(AT229="","",IF(ISNUMBER(AT229),AT229,VALUE(SUBSTITUTE(AT229,"%",""))/100))</f>
        <v>0.15</v>
      </c>
      <c r="Q229" s="5" t="n">
        <f aca="false">IF(P229="",IF(AND(N229&lt;&gt;"",O229&lt;&gt;"",R229&lt;&gt;"",S229&lt;&gt;""),0,"REVIEW"),IF(OR(P229&lt;0,P229&gt;0.3),0,P229))</f>
        <v>0.15</v>
      </c>
      <c r="R229" s="0" t="n">
        <v>1473.26</v>
      </c>
      <c r="S229" s="0" t="n">
        <v>899.86</v>
      </c>
      <c r="T229" s="6" t="n">
        <f aca="false">N229*O229*(1-Q229)</f>
        <v>1473.2625</v>
      </c>
      <c r="U229" s="6" t="n">
        <f aca="false">T229-S229</f>
        <v>573.4025</v>
      </c>
      <c r="V229" s="7" t="n">
        <f aca="false">IF(T229=0,0,U229/T229)</f>
        <v>0.389205929018081</v>
      </c>
      <c r="W229" s="4" t="n">
        <f aca="false">C229-B229</f>
        <v>7</v>
      </c>
      <c r="X229" s="0" t="str">
        <f aca="false">TEXT(B229,"mmmm")</f>
        <v>July</v>
      </c>
      <c r="Y229" s="4" t="n">
        <f aca="false">YEAR(B229)</f>
        <v>2024</v>
      </c>
      <c r="Z229" s="0" t="str">
        <f aca="false">PROPER(TRIM(AU229))</f>
        <v>Paid</v>
      </c>
      <c r="AA229" s="0" t="str">
        <f aca="false">PROPER(TRIM(AV229))</f>
        <v>Completed</v>
      </c>
      <c r="AB229" s="0" t="str">
        <f aca="false">IF(TRIM(AN229)="","Yes","No")</f>
        <v>No</v>
      </c>
      <c r="AC229" s="0" t="str">
        <f aca="false">IF(TRIM(AS229)="","Yes","No")</f>
        <v>No</v>
      </c>
      <c r="AD229" s="0" t="str">
        <f aca="false">IF(AT229="","Yes","No")</f>
        <v>No</v>
      </c>
      <c r="AE229" s="0" t="str">
        <f aca="false">IF(W229&lt;0,"Yes","No")</f>
        <v>No</v>
      </c>
      <c r="AF229" s="0" t="str">
        <f aca="false">IF(P229="","No",IF(OR(P229&lt;0,P229&gt;0.3),"Yes","No"))</f>
        <v>No</v>
      </c>
      <c r="AG229" s="4" t="s">
        <v>50</v>
      </c>
      <c r="AH229" s="0" t="str">
        <f aca="false">IF(AND(AA229="Completed",Z229="Paid"),"Yes","No")</f>
        <v>Yes</v>
      </c>
      <c r="AI229" s="0" t="str">
        <f aca="false">IF(OR(AE229="Yes",AF229="Yes",AG229="Yes"),"Invalid",IF(OR(AB229="Yes",AC229="Yes",AD229="Yes"),"Warning","Clean"))</f>
        <v>Clean</v>
      </c>
      <c r="AJ229" s="4" t="s">
        <v>1023</v>
      </c>
      <c r="AK229" s="4" t="s">
        <v>1024</v>
      </c>
      <c r="AL229" s="4" t="s">
        <v>96</v>
      </c>
      <c r="AM229" s="4" t="s">
        <v>1025</v>
      </c>
      <c r="AN229" s="4" t="s">
        <v>97</v>
      </c>
      <c r="AO229" s="4" t="s">
        <v>250</v>
      </c>
      <c r="AP229" s="4" t="s">
        <v>251</v>
      </c>
      <c r="AQ229" s="4" t="s">
        <v>58</v>
      </c>
      <c r="AR229" s="4" t="s">
        <v>206</v>
      </c>
      <c r="AS229" s="4" t="s">
        <v>81</v>
      </c>
      <c r="AT229" s="0" t="n">
        <v>0.15</v>
      </c>
      <c r="AU229" s="4" t="s">
        <v>61</v>
      </c>
      <c r="AV229" s="4" t="s">
        <v>62</v>
      </c>
    </row>
    <row r="230" customFormat="false" ht="15" hidden="false" customHeight="false" outlineLevel="0" collapsed="false">
      <c r="A230" s="0" t="s">
        <v>1026</v>
      </c>
      <c r="B230" s="3" t="n">
        <f aca="false">IF(AJ230="","",IF(ISNUMBER(SEARCH("/",AJ230)),DATE(VALUE(RIGHT(AJ230,4)),VALUE(LEFT(AJ230,2)),VALUE(MID(AJ230,4,2))),IF(ISNUMBER(SEARCH("-",AJ230)),IF(LEN(LEFT(AJ230,FIND("-",AJ230)-1))=4,DATE(VALUE(LEFT(AJ230,4)),VALUE(MID(AJ230,6,2)),VALUE(RIGHT(AJ230,2))),DATE(VALUE(RIGHT(AJ230,4)),VALUE(MID(AJ230,4,2)),VALUE(LEFT(AJ230,2)))),DATE(VALUE(RIGHT(AJ230,4)),MATCH(MID(AJ230,4,3),{"Jan","Feb","Mar","Apr","May","Jun","Jul","Aug","Sep","Oct","Nov","Dec"},0),VALUE(LEFT(AJ230,2))))))</f>
        <v>45406</v>
      </c>
      <c r="C230" s="3" t="n">
        <f aca="false">IF(AK230="","",IF(ISNUMBER(SEARCH("/",AK230)),DATE(VALUE(RIGHT(AK230,4)),VALUE(LEFT(AK230,2)),VALUE(MID(AK230,4,2))),IF(ISNUMBER(SEARCH("-",AK230)),IF(LEN(LEFT(AK230,FIND("-",AK230)-1))=4,DATE(VALUE(LEFT(AK230,4)),VALUE(MID(AK230,6,2)),VALUE(RIGHT(AK230,2))),DATE(VALUE(RIGHT(AK230,4)),VALUE(MID(AK230,4,2)),VALUE(LEFT(AK230,2)))),DATE(VALUE(RIGHT(AK230,4)),MATCH(MID(AK230,4,3),{"Jan","Feb","Mar","Apr","May","Jun","Jul","Aug","Sep","Oct","Nov","Dec"},0),VALUE(LEFT(AK230,2))))))</f>
        <v>45410</v>
      </c>
      <c r="D230" s="4" t="s">
        <v>1027</v>
      </c>
      <c r="E230" s="0" t="str">
        <f aca="false">PROPER(TRIM(AL230))</f>
        <v>Karan Malhotra</v>
      </c>
      <c r="F230" s="0" t="str">
        <f aca="false">PROPER(TRIM(AM230))</f>
        <v>Small Business</v>
      </c>
      <c r="G230" s="0" t="str">
        <f aca="false">IF(TRIM(AN230)="","Unknown",PROPER(TRIM(AN230)))</f>
        <v>South</v>
      </c>
      <c r="H230" s="0" t="str">
        <f aca="false">PROPER(TRIM(AO230))</f>
        <v>Telangana</v>
      </c>
      <c r="I230" s="0" t="str">
        <f aca="false">PROPER(TRIM(AP230))</f>
        <v>Hyderabad</v>
      </c>
      <c r="J230" s="0" t="str">
        <f aca="false">PROPER(TRIM(AQ230))</f>
        <v>Office Supplies</v>
      </c>
      <c r="K230" s="0" t="str">
        <f aca="false">PROPER(TRIM(AR230))</f>
        <v>Labels</v>
      </c>
      <c r="M230" s="0" t="str">
        <f aca="false">IF(TRIM(AS230)="","Unknown",PROPER(TRIM(AS230)))</f>
        <v>Second Class</v>
      </c>
      <c r="N230" s="0" t="n">
        <v>1</v>
      </c>
      <c r="O230" s="0" t="n">
        <v>3194.37</v>
      </c>
      <c r="P230" s="5" t="n">
        <f aca="false">IF(AT230="","",IF(ISNUMBER(AT230),AT230,VALUE(SUBSTITUTE(AT230,"%",""))/100))</f>
        <v>0.15</v>
      </c>
      <c r="Q230" s="5" t="n">
        <f aca="false">IF(P230="",IF(AND(N230&lt;&gt;"",O230&lt;&gt;"",R230&lt;&gt;"",S230&lt;&gt;""),0,"REVIEW"),IF(OR(P230&lt;0,P230&gt;0.3),0,P230))</f>
        <v>0.15</v>
      </c>
      <c r="R230" s="0" t="n">
        <v>2715.21</v>
      </c>
      <c r="S230" s="0" t="n">
        <v>1551.55</v>
      </c>
      <c r="T230" s="6" t="n">
        <f aca="false">N230*O230*(1-Q230)</f>
        <v>2715.2145</v>
      </c>
      <c r="U230" s="6" t="n">
        <f aca="false">T230-S230</f>
        <v>1163.6645</v>
      </c>
      <c r="V230" s="7" t="n">
        <f aca="false">IF(T230=0,0,U230/T230)</f>
        <v>0.428571849480032</v>
      </c>
      <c r="W230" s="4" t="n">
        <f aca="false">C230-B230</f>
        <v>4</v>
      </c>
      <c r="X230" s="0" t="str">
        <f aca="false">TEXT(B230,"mmmm")</f>
        <v>April</v>
      </c>
      <c r="Y230" s="4" t="n">
        <f aca="false">YEAR(B230)</f>
        <v>2024</v>
      </c>
      <c r="Z230" s="0" t="str">
        <f aca="false">PROPER(TRIM(AU230))</f>
        <v>Paid</v>
      </c>
      <c r="AA230" s="0" t="str">
        <f aca="false">PROPER(TRIM(AV230))</f>
        <v>Completed</v>
      </c>
      <c r="AB230" s="0" t="str">
        <f aca="false">IF(TRIM(AN230)="","Yes","No")</f>
        <v>No</v>
      </c>
      <c r="AC230" s="0" t="str">
        <f aca="false">IF(TRIM(AS230)="","Yes","No")</f>
        <v>No</v>
      </c>
      <c r="AD230" s="0" t="str">
        <f aca="false">IF(AT230="","Yes","No")</f>
        <v>No</v>
      </c>
      <c r="AE230" s="0" t="str">
        <f aca="false">IF(W230&lt;0,"Yes","No")</f>
        <v>No</v>
      </c>
      <c r="AF230" s="0" t="str">
        <f aca="false">IF(P230="","No",IF(OR(P230&lt;0,P230&gt;0.3),"Yes","No"))</f>
        <v>No</v>
      </c>
      <c r="AG230" s="4" t="s">
        <v>50</v>
      </c>
      <c r="AH230" s="0" t="str">
        <f aca="false">IF(AND(AA230="Completed",Z230="Paid"),"Yes","No")</f>
        <v>Yes</v>
      </c>
      <c r="AI230" s="0" t="str">
        <f aca="false">IF(OR(AE230="Yes",AF230="Yes",AG230="Yes"),"Invalid",IF(OR(AB230="Yes",AC230="Yes",AD230="Yes"),"Warning","Clean"))</f>
        <v>Clean</v>
      </c>
      <c r="AJ230" s="4" t="s">
        <v>1028</v>
      </c>
      <c r="AK230" s="4" t="s">
        <v>1029</v>
      </c>
      <c r="AL230" s="4" t="s">
        <v>53</v>
      </c>
      <c r="AM230" s="4" t="s">
        <v>68</v>
      </c>
      <c r="AN230" s="4" t="s">
        <v>87</v>
      </c>
      <c r="AO230" s="4" t="s">
        <v>88</v>
      </c>
      <c r="AP230" s="4" t="s">
        <v>89</v>
      </c>
      <c r="AQ230" s="4" t="s">
        <v>58</v>
      </c>
      <c r="AR230" s="4" t="s">
        <v>129</v>
      </c>
      <c r="AS230" s="4" t="s">
        <v>60</v>
      </c>
      <c r="AT230" s="0" t="n">
        <v>0.15</v>
      </c>
      <c r="AU230" s="4" t="s">
        <v>61</v>
      </c>
      <c r="AV230" s="4" t="s">
        <v>62</v>
      </c>
    </row>
    <row r="231" customFormat="false" ht="15" hidden="false" customHeight="false" outlineLevel="0" collapsed="false">
      <c r="A231" s="0" t="s">
        <v>1030</v>
      </c>
      <c r="B231" s="3" t="n">
        <f aca="false">IF(AJ231="","",IF(ISNUMBER(SEARCH("/",AJ231)),DATE(VALUE(RIGHT(AJ231,4)),VALUE(LEFT(AJ231,2)),VALUE(MID(AJ231,4,2))),IF(ISNUMBER(SEARCH("-",AJ231)),IF(LEN(LEFT(AJ231,FIND("-",AJ231)-1))=4,DATE(VALUE(LEFT(AJ231,4)),VALUE(MID(AJ231,6,2)),VALUE(RIGHT(AJ231,2))),DATE(VALUE(RIGHT(AJ231,4)),VALUE(MID(AJ231,4,2)),VALUE(LEFT(AJ231,2)))),DATE(VALUE(RIGHT(AJ231,4)),MATCH(MID(AJ231,4,3),{"Jan","Feb","Mar","Apr","May","Jun","Jul","Aug","Sep","Oct","Nov","Dec"},0),VALUE(LEFT(AJ231,2))))))</f>
        <v>45836</v>
      </c>
      <c r="C231" s="3" t="n">
        <f aca="false">IF(AK231="","",IF(ISNUMBER(SEARCH("/",AK231)),DATE(VALUE(RIGHT(AK231,4)),VALUE(LEFT(AK231,2)),VALUE(MID(AK231,4,2))),IF(ISNUMBER(SEARCH("-",AK231)),IF(LEN(LEFT(AK231,FIND("-",AK231)-1))=4,DATE(VALUE(LEFT(AK231,4)),VALUE(MID(AK231,6,2)),VALUE(RIGHT(AK231,2))),DATE(VALUE(RIGHT(AK231,4)),VALUE(MID(AK231,4,2)),VALUE(LEFT(AK231,2)))),DATE(VALUE(RIGHT(AK231,4)),MATCH(MID(AK231,4,3),{"Jan","Feb","Mar","Apr","May","Jun","Jul","Aug","Sep","Oct","Nov","Dec"},0),VALUE(LEFT(AK231,2))))))</f>
        <v>45842</v>
      </c>
      <c r="D231" s="4" t="s">
        <v>1031</v>
      </c>
      <c r="E231" s="0" t="str">
        <f aca="false">PROPER(TRIM(AL231))</f>
        <v>Rohan Mehta</v>
      </c>
      <c r="F231" s="0" t="str">
        <f aca="false">PROPER(TRIM(AM231))</f>
        <v>Consumer</v>
      </c>
      <c r="G231" s="0" t="str">
        <f aca="false">IF(TRIM(AN231)="","Unknown",PROPER(TRIM(AN231)))</f>
        <v>South</v>
      </c>
      <c r="H231" s="0" t="str">
        <f aca="false">PROPER(TRIM(AO231))</f>
        <v>Telangana</v>
      </c>
      <c r="I231" s="0" t="str">
        <f aca="false">PROPER(TRIM(AP231))</f>
        <v>Hyderabad</v>
      </c>
      <c r="J231" s="0" t="str">
        <f aca="false">PROPER(TRIM(AQ231))</f>
        <v>Furniture</v>
      </c>
      <c r="K231" s="0" t="str">
        <f aca="false">PROPER(TRIM(AR231))</f>
        <v>Bookcases</v>
      </c>
      <c r="M231" s="0" t="str">
        <f aca="false">IF(TRIM(AS231)="","Unknown",PROPER(TRIM(AS231)))</f>
        <v>First Class</v>
      </c>
      <c r="N231" s="0" t="n">
        <v>3</v>
      </c>
      <c r="O231" s="0" t="n">
        <v>2886.23</v>
      </c>
      <c r="P231" s="5" t="n">
        <f aca="false">IF(AT231="","",IF(ISNUMBER(AT231),AT231,VALUE(SUBSTITUTE(AT231,"%",""))/100))</f>
        <v>0</v>
      </c>
      <c r="Q231" s="5" t="n">
        <f aca="false">IF(P231="",IF(AND(N231&lt;&gt;"",O231&lt;&gt;"",R231&lt;&gt;"",S231&lt;&gt;""),0,"REVIEW"),IF(OR(P231&lt;0,P231&gt;0.3),0,P231))</f>
        <v>0</v>
      </c>
      <c r="R231" s="0" t="n">
        <v>8658.69</v>
      </c>
      <c r="S231" s="0" t="n">
        <v>5535.94</v>
      </c>
      <c r="T231" s="6" t="n">
        <f aca="false">N231*O231*(1-Q231)</f>
        <v>8658.69</v>
      </c>
      <c r="U231" s="6" t="n">
        <f aca="false">T231-S231</f>
        <v>3122.75</v>
      </c>
      <c r="V231" s="7" t="n">
        <f aca="false">IF(T231=0,0,U231/T231)</f>
        <v>0.360649243707767</v>
      </c>
      <c r="W231" s="4" t="n">
        <f aca="false">C231-B231</f>
        <v>6</v>
      </c>
      <c r="X231" s="0" t="str">
        <f aca="false">TEXT(B231,"mmmm")</f>
        <v>June</v>
      </c>
      <c r="Y231" s="4" t="n">
        <f aca="false">YEAR(B231)</f>
        <v>2025</v>
      </c>
      <c r="Z231" s="0" t="str">
        <f aca="false">PROPER(TRIM(AU231))</f>
        <v>Refunded</v>
      </c>
      <c r="AA231" s="0" t="str">
        <f aca="false">PROPER(TRIM(AV231))</f>
        <v>Returned</v>
      </c>
      <c r="AB231" s="0" t="str">
        <f aca="false">IF(TRIM(AN231)="","Yes","No")</f>
        <v>No</v>
      </c>
      <c r="AC231" s="0" t="str">
        <f aca="false">IF(TRIM(AS231)="","Yes","No")</f>
        <v>No</v>
      </c>
      <c r="AD231" s="0" t="str">
        <f aca="false">IF(AT231="","Yes","No")</f>
        <v>No</v>
      </c>
      <c r="AE231" s="0" t="str">
        <f aca="false">IF(W231&lt;0,"Yes","No")</f>
        <v>No</v>
      </c>
      <c r="AF231" s="0" t="str">
        <f aca="false">IF(P231="","No",IF(OR(P231&lt;0,P231&gt;0.3),"Yes","No"))</f>
        <v>No</v>
      </c>
      <c r="AG231" s="4" t="s">
        <v>50</v>
      </c>
      <c r="AH231" s="0" t="str">
        <f aca="false">IF(AND(AA231="Completed",Z231="Paid"),"Yes","No")</f>
        <v>No</v>
      </c>
      <c r="AI231" s="0" t="str">
        <f aca="false">IF(OR(AE231="Yes",AF231="Yes",AG231="Yes"),"Invalid",IF(OR(AB231="Yes",AC231="Yes",AD231="Yes"),"Warning","Clean"))</f>
        <v>Clean</v>
      </c>
      <c r="AJ231" s="4" t="s">
        <v>1032</v>
      </c>
      <c r="AK231" s="4" t="s">
        <v>1033</v>
      </c>
      <c r="AL231" s="4" t="s">
        <v>191</v>
      </c>
      <c r="AM231" s="4" t="s">
        <v>54</v>
      </c>
      <c r="AN231" s="4" t="s">
        <v>87</v>
      </c>
      <c r="AO231" s="4" t="s">
        <v>88</v>
      </c>
      <c r="AP231" s="4" t="s">
        <v>89</v>
      </c>
      <c r="AQ231" s="4" t="s">
        <v>72</v>
      </c>
      <c r="AR231" s="4" t="s">
        <v>211</v>
      </c>
      <c r="AS231" s="4" t="s">
        <v>81</v>
      </c>
      <c r="AT231" s="0" t="n">
        <v>0</v>
      </c>
      <c r="AU231" s="4" t="s">
        <v>141</v>
      </c>
      <c r="AV231" s="4" t="s">
        <v>142</v>
      </c>
    </row>
    <row r="232" customFormat="false" ht="15" hidden="false" customHeight="false" outlineLevel="0" collapsed="false">
      <c r="A232" s="0" t="s">
        <v>1034</v>
      </c>
      <c r="B232" s="3" t="n">
        <f aca="false">IF(AJ232="","",IF(ISNUMBER(SEARCH("/",AJ232)),DATE(VALUE(RIGHT(AJ232,4)),VALUE(LEFT(AJ232,2)),VALUE(MID(AJ232,4,2))),IF(ISNUMBER(SEARCH("-",AJ232)),IF(LEN(LEFT(AJ232,FIND("-",AJ232)-1))=4,DATE(VALUE(LEFT(AJ232,4)),VALUE(MID(AJ232,6,2)),VALUE(RIGHT(AJ232,2))),DATE(VALUE(RIGHT(AJ232,4)),VALUE(MID(AJ232,4,2)),VALUE(LEFT(AJ232,2)))),DATE(VALUE(RIGHT(AJ232,4)),MATCH(MID(AJ232,4,3),{"Jan","Feb","Mar","Apr","May","Jun","Jul","Aug","Sep","Oct","Nov","Dec"},0),VALUE(LEFT(AJ232,2))))))</f>
        <v>45440</v>
      </c>
      <c r="C232" s="3" t="n">
        <f aca="false">IF(AK232="","",IF(ISNUMBER(SEARCH("/",AK232)),DATE(VALUE(RIGHT(AK232,4)),VALUE(LEFT(AK232,2)),VALUE(MID(AK232,4,2))),IF(ISNUMBER(SEARCH("-",AK232)),IF(LEN(LEFT(AK232,FIND("-",AK232)-1))=4,DATE(VALUE(LEFT(AK232,4)),VALUE(MID(AK232,6,2)),VALUE(RIGHT(AK232,2))),DATE(VALUE(RIGHT(AK232,4)),VALUE(MID(AK232,4,2)),VALUE(LEFT(AK232,2)))),DATE(VALUE(RIGHT(AK232,4)),MATCH(MID(AK232,4,3),{"Jan","Feb","Mar","Apr","May","Jun","Jul","Aug","Sep","Oct","Nov","Dec"},0),VALUE(LEFT(AK232,2))))))</f>
        <v>45446</v>
      </c>
      <c r="D232" s="4" t="s">
        <v>1035</v>
      </c>
      <c r="E232" s="0" t="str">
        <f aca="false">PROPER(TRIM(AL232))</f>
        <v>Neha Gupta</v>
      </c>
      <c r="F232" s="0" t="str">
        <f aca="false">PROPER(TRIM(AM232))</f>
        <v>Small Business</v>
      </c>
      <c r="G232" s="0" t="str">
        <f aca="false">IF(TRIM(AN232)="","Unknown",PROPER(TRIM(AN232)))</f>
        <v>North</v>
      </c>
      <c r="H232" s="0" t="str">
        <f aca="false">PROPER(TRIM(AO232))</f>
        <v>Rajasthan</v>
      </c>
      <c r="I232" s="0" t="str">
        <f aca="false">PROPER(TRIM(AP232))</f>
        <v>Jaipur</v>
      </c>
      <c r="J232" s="0" t="str">
        <f aca="false">PROPER(TRIM(AQ232))</f>
        <v>Office Supplies</v>
      </c>
      <c r="K232" s="0" t="str">
        <f aca="false">PROPER(TRIM(AR232))</f>
        <v>Paper</v>
      </c>
      <c r="M232" s="0" t="str">
        <f aca="false">IF(TRIM(AS232)="","Unknown",PROPER(TRIM(AS232)))</f>
        <v>Standard Class</v>
      </c>
      <c r="N232" s="0" t="n">
        <v>8</v>
      </c>
      <c r="O232" s="0" t="n">
        <v>1540.33</v>
      </c>
      <c r="P232" s="5" t="n">
        <f aca="false">IF(AT232="","",IF(ISNUMBER(AT232),AT232,VALUE(SUBSTITUTE(AT232,"%",""))/100))</f>
        <v>0.1</v>
      </c>
      <c r="Q232" s="5" t="n">
        <f aca="false">IF(P232="",IF(AND(N232&lt;&gt;"",O232&lt;&gt;"",R232&lt;&gt;"",S232&lt;&gt;""),0,"REVIEW"),IF(OR(P232&lt;0,P232&gt;0.3),0,P232))</f>
        <v>0.1</v>
      </c>
      <c r="R232" s="0" t="n">
        <v>11090.38</v>
      </c>
      <c r="S232" s="0" t="n">
        <v>8840.95</v>
      </c>
      <c r="T232" s="6" t="n">
        <f aca="false">N232*O232*(1-Q232)</f>
        <v>11090.376</v>
      </c>
      <c r="U232" s="6" t="n">
        <f aca="false">T232-S232</f>
        <v>2249.426</v>
      </c>
      <c r="V232" s="7" t="n">
        <f aca="false">IF(T232=0,0,U232/T232)</f>
        <v>0.20282684734945</v>
      </c>
      <c r="W232" s="4" t="n">
        <f aca="false">C232-B232</f>
        <v>6</v>
      </c>
      <c r="X232" s="0" t="str">
        <f aca="false">TEXT(B232,"mmmm")</f>
        <v>May</v>
      </c>
      <c r="Y232" s="4" t="n">
        <f aca="false">YEAR(B232)</f>
        <v>2024</v>
      </c>
      <c r="Z232" s="0" t="str">
        <f aca="false">PROPER(TRIM(AU232))</f>
        <v>Paid</v>
      </c>
      <c r="AA232" s="0" t="str">
        <f aca="false">PROPER(TRIM(AV232))</f>
        <v>Completed</v>
      </c>
      <c r="AB232" s="0" t="str">
        <f aca="false">IF(TRIM(AN232)="","Yes","No")</f>
        <v>No</v>
      </c>
      <c r="AC232" s="0" t="str">
        <f aca="false">IF(TRIM(AS232)="","Yes","No")</f>
        <v>No</v>
      </c>
      <c r="AD232" s="0" t="str">
        <f aca="false">IF(AT232="","Yes","No")</f>
        <v>No</v>
      </c>
      <c r="AE232" s="0" t="str">
        <f aca="false">IF(W232&lt;0,"Yes","No")</f>
        <v>No</v>
      </c>
      <c r="AF232" s="0" t="str">
        <f aca="false">IF(P232="","No",IF(OR(P232&lt;0,P232&gt;0.3),"Yes","No"))</f>
        <v>No</v>
      </c>
      <c r="AG232" s="4" t="s">
        <v>50</v>
      </c>
      <c r="AH232" s="0" t="str">
        <f aca="false">IF(AND(AA232="Completed",Z232="Paid"),"Yes","No")</f>
        <v>Yes</v>
      </c>
      <c r="AI232" s="0" t="str">
        <f aca="false">IF(OR(AE232="Yes",AF232="Yes",AG232="Yes"),"Invalid",IF(OR(AB232="Yes",AC232="Yes",AD232="Yes"),"Warning","Clean"))</f>
        <v>Clean</v>
      </c>
      <c r="AJ232" s="4" t="s">
        <v>105</v>
      </c>
      <c r="AK232" s="4" t="s">
        <v>1036</v>
      </c>
      <c r="AL232" s="4" t="s">
        <v>115</v>
      </c>
      <c r="AM232" s="4" t="s">
        <v>68</v>
      </c>
      <c r="AN232" s="4" t="s">
        <v>168</v>
      </c>
      <c r="AO232" s="4" t="s">
        <v>56</v>
      </c>
      <c r="AP232" s="4" t="s">
        <v>57</v>
      </c>
      <c r="AQ232" s="4" t="s">
        <v>58</v>
      </c>
      <c r="AR232" s="4" t="s">
        <v>59</v>
      </c>
      <c r="AS232" s="4" t="s">
        <v>91</v>
      </c>
      <c r="AT232" s="0" t="n">
        <v>0.1</v>
      </c>
      <c r="AU232" s="4" t="s">
        <v>61</v>
      </c>
      <c r="AV232" s="4" t="s">
        <v>62</v>
      </c>
    </row>
    <row r="233" customFormat="false" ht="15" hidden="false" customHeight="false" outlineLevel="0" collapsed="false">
      <c r="A233" s="0" t="s">
        <v>1037</v>
      </c>
      <c r="B233" s="3" t="n">
        <f aca="false">IF(AJ233="","",IF(ISNUMBER(SEARCH("/",AJ233)),DATE(VALUE(RIGHT(AJ233,4)),VALUE(LEFT(AJ233,2)),VALUE(MID(AJ233,4,2))),IF(ISNUMBER(SEARCH("-",AJ233)),IF(LEN(LEFT(AJ233,FIND("-",AJ233)-1))=4,DATE(VALUE(LEFT(AJ233,4)),VALUE(MID(AJ233,6,2)),VALUE(RIGHT(AJ233,2))),DATE(VALUE(RIGHT(AJ233,4)),VALUE(MID(AJ233,4,2)),VALUE(LEFT(AJ233,2)))),DATE(VALUE(RIGHT(AJ233,4)),MATCH(MID(AJ233,4,3),{"Jan","Feb","Mar","Apr","May","Jun","Jul","Aug","Sep","Oct","Nov","Dec"},0),VALUE(LEFT(AJ233,2))))))</f>
        <v>45414</v>
      </c>
      <c r="C233" s="3" t="n">
        <f aca="false">IF(AK233="","",IF(ISNUMBER(SEARCH("/",AK233)),DATE(VALUE(RIGHT(AK233,4)),VALUE(LEFT(AK233,2)),VALUE(MID(AK233,4,2))),IF(ISNUMBER(SEARCH("-",AK233)),IF(LEN(LEFT(AK233,FIND("-",AK233)-1))=4,DATE(VALUE(LEFT(AK233,4)),VALUE(MID(AK233,6,2)),VALUE(RIGHT(AK233,2))),DATE(VALUE(RIGHT(AK233,4)),VALUE(MID(AK233,4,2)),VALUE(LEFT(AK233,2)))),DATE(VALUE(RIGHT(AK233,4)),MATCH(MID(AK233,4,3),{"Jan","Feb","Mar","Apr","May","Jun","Jul","Aug","Sep","Oct","Nov","Dec"},0),VALUE(LEFT(AK233,2))))))</f>
        <v>45414</v>
      </c>
      <c r="D233" s="4" t="s">
        <v>1038</v>
      </c>
      <c r="E233" s="0" t="str">
        <f aca="false">PROPER(TRIM(AL233))</f>
        <v>Ananya Rao</v>
      </c>
      <c r="F233" s="0" t="str">
        <f aca="false">PROPER(TRIM(AM233))</f>
        <v>Corporate</v>
      </c>
      <c r="G233" s="0" t="str">
        <f aca="false">IF(TRIM(AN233)="","Unknown",PROPER(TRIM(AN233)))</f>
        <v>North</v>
      </c>
      <c r="H233" s="0" t="str">
        <f aca="false">PROPER(TRIM(AO233))</f>
        <v>Rajasthan</v>
      </c>
      <c r="I233" s="0" t="str">
        <f aca="false">PROPER(TRIM(AP233))</f>
        <v>Jaipur</v>
      </c>
      <c r="J233" s="0" t="str">
        <f aca="false">PROPER(TRIM(AQ233))</f>
        <v>Office Supplies</v>
      </c>
      <c r="K233" s="0" t="str">
        <f aca="false">PROPER(TRIM(AR233))</f>
        <v>Labels</v>
      </c>
      <c r="M233" s="0" t="str">
        <f aca="false">IF(TRIM(AS233)="","Unknown",PROPER(TRIM(AS233)))</f>
        <v>First Class</v>
      </c>
      <c r="N233" s="0" t="n">
        <v>7</v>
      </c>
      <c r="O233" s="0" t="n">
        <v>2183.38</v>
      </c>
      <c r="P233" s="5" t="n">
        <f aca="false">IF(AT233="","",IF(ISNUMBER(AT233),AT233,VALUE(SUBSTITUTE(AT233,"%",""))/100))</f>
        <v>0.25</v>
      </c>
      <c r="Q233" s="5" t="n">
        <f aca="false">IF(P233="",IF(AND(N233&lt;&gt;"",O233&lt;&gt;"",R233&lt;&gt;"",S233&lt;&gt;""),0,"REVIEW"),IF(OR(P233&lt;0,P233&gt;0.3),0,P233))</f>
        <v>0.25</v>
      </c>
      <c r="R233" s="0" t="n">
        <v>11462.74</v>
      </c>
      <c r="S233" s="0" t="n">
        <v>7163.54</v>
      </c>
      <c r="T233" s="6" t="n">
        <f aca="false">N233*O233*(1-Q233)</f>
        <v>11462.745</v>
      </c>
      <c r="U233" s="6" t="n">
        <f aca="false">T233-S233</f>
        <v>4299.205</v>
      </c>
      <c r="V233" s="7" t="n">
        <f aca="false">IF(T233=0,0,U233/T233)</f>
        <v>0.375058940943029</v>
      </c>
      <c r="W233" s="4" t="n">
        <f aca="false">C233-B233</f>
        <v>0</v>
      </c>
      <c r="X233" s="0" t="str">
        <f aca="false">TEXT(B233,"mmmm")</f>
        <v>May</v>
      </c>
      <c r="Y233" s="4" t="n">
        <f aca="false">YEAR(B233)</f>
        <v>2024</v>
      </c>
      <c r="Z233" s="0" t="str">
        <f aca="false">PROPER(TRIM(AU233))</f>
        <v>Refunded</v>
      </c>
      <c r="AA233" s="0" t="str">
        <f aca="false">PROPER(TRIM(AV233))</f>
        <v>Cancelled</v>
      </c>
      <c r="AB233" s="0" t="str">
        <f aca="false">IF(TRIM(AN233)="","Yes","No")</f>
        <v>No</v>
      </c>
      <c r="AC233" s="0" t="str">
        <f aca="false">IF(TRIM(AS233)="","Yes","No")</f>
        <v>No</v>
      </c>
      <c r="AD233" s="0" t="str">
        <f aca="false">IF(AT233="","Yes","No")</f>
        <v>No</v>
      </c>
      <c r="AE233" s="0" t="str">
        <f aca="false">IF(W233&lt;0,"Yes","No")</f>
        <v>No</v>
      </c>
      <c r="AF233" s="0" t="str">
        <f aca="false">IF(P233="","No",IF(OR(P233&lt;0,P233&gt;0.3),"Yes","No"))</f>
        <v>No</v>
      </c>
      <c r="AG233" s="4" t="s">
        <v>50</v>
      </c>
      <c r="AH233" s="0" t="str">
        <f aca="false">IF(AND(AA233="Completed",Z233="Paid"),"Yes","No")</f>
        <v>No</v>
      </c>
      <c r="AI233" s="0" t="str">
        <f aca="false">IF(OR(AE233="Yes",AF233="Yes",AG233="Yes"),"Invalid",IF(OR(AB233="Yes",AC233="Yes",AD233="Yes"),"Warning","Clean"))</f>
        <v>Clean</v>
      </c>
      <c r="AJ233" s="4" t="s">
        <v>1039</v>
      </c>
      <c r="AK233" s="4" t="s">
        <v>1040</v>
      </c>
      <c r="AL233" s="4" t="s">
        <v>96</v>
      </c>
      <c r="AM233" s="4" t="s">
        <v>128</v>
      </c>
      <c r="AN233" s="4" t="s">
        <v>168</v>
      </c>
      <c r="AO233" s="4" t="s">
        <v>56</v>
      </c>
      <c r="AP233" s="4" t="s">
        <v>57</v>
      </c>
      <c r="AQ233" s="4" t="s">
        <v>1041</v>
      </c>
      <c r="AR233" s="4" t="s">
        <v>129</v>
      </c>
      <c r="AS233" s="4" t="s">
        <v>81</v>
      </c>
      <c r="AT233" s="0" t="n">
        <v>0.25</v>
      </c>
      <c r="AU233" s="4" t="s">
        <v>141</v>
      </c>
      <c r="AV233" s="4" t="s">
        <v>101</v>
      </c>
    </row>
    <row r="234" customFormat="false" ht="15" hidden="false" customHeight="false" outlineLevel="0" collapsed="false">
      <c r="A234" s="0" t="s">
        <v>1042</v>
      </c>
      <c r="B234" s="3" t="n">
        <f aca="false">IF(AJ234="","",IF(ISNUMBER(SEARCH("/",AJ234)),DATE(VALUE(RIGHT(AJ234,4)),VALUE(LEFT(AJ234,2)),VALUE(MID(AJ234,4,2))),IF(ISNUMBER(SEARCH("-",AJ234)),IF(LEN(LEFT(AJ234,FIND("-",AJ234)-1))=4,DATE(VALUE(LEFT(AJ234,4)),VALUE(MID(AJ234,6,2)),VALUE(RIGHT(AJ234,2))),DATE(VALUE(RIGHT(AJ234,4)),VALUE(MID(AJ234,4,2)),VALUE(LEFT(AJ234,2)))),DATE(VALUE(RIGHT(AJ234,4)),MATCH(MID(AJ234,4,3),{"Jan","Feb","Mar","Apr","May","Jun","Jul","Aug","Sep","Oct","Nov","Dec"},0),VALUE(LEFT(AJ234,2))))))</f>
        <v>45812</v>
      </c>
      <c r="C234" s="3" t="n">
        <f aca="false">IF(AK234="","",IF(ISNUMBER(SEARCH("/",AK234)),DATE(VALUE(RIGHT(AK234,4)),VALUE(LEFT(AK234,2)),VALUE(MID(AK234,4,2))),IF(ISNUMBER(SEARCH("-",AK234)),IF(LEN(LEFT(AK234,FIND("-",AK234)-1))=4,DATE(VALUE(LEFT(AK234,4)),VALUE(MID(AK234,6,2)),VALUE(RIGHT(AK234,2))),DATE(VALUE(RIGHT(AK234,4)),VALUE(MID(AK234,4,2)),VALUE(LEFT(AK234,2)))),DATE(VALUE(RIGHT(AK234,4)),MATCH(MID(AK234,4,3),{"Jan","Feb","Mar","Apr","May","Jun","Jul","Aug","Sep","Oct","Nov","Dec"},0),VALUE(LEFT(AK234,2))))))</f>
        <v>45818</v>
      </c>
      <c r="D234" s="4" t="s">
        <v>1043</v>
      </c>
      <c r="E234" s="0" t="str">
        <f aca="false">PROPER(TRIM(AL234))</f>
        <v>Rahul Verma</v>
      </c>
      <c r="F234" s="0" t="str">
        <f aca="false">PROPER(TRIM(AM234))</f>
        <v>Consumer</v>
      </c>
      <c r="G234" s="0" t="str">
        <f aca="false">IF(TRIM(AN234)="","Unknown",PROPER(TRIM(AN234)))</f>
        <v>South</v>
      </c>
      <c r="H234" s="0" t="str">
        <f aca="false">PROPER(TRIM(AO234))</f>
        <v>Andhra Pradesh</v>
      </c>
      <c r="I234" s="0" t="str">
        <f aca="false">PROPER(TRIM(AP234))</f>
        <v>Vijayawada</v>
      </c>
      <c r="J234" s="0" t="str">
        <f aca="false">PROPER(TRIM(AQ234))</f>
        <v>Technology</v>
      </c>
      <c r="K234" s="0" t="str">
        <f aca="false">PROPER(TRIM(AR234))</f>
        <v>Phones</v>
      </c>
      <c r="M234" s="0" t="str">
        <f aca="false">IF(TRIM(AS234)="","Unknown",PROPER(TRIM(AS234)))</f>
        <v>Standard Class</v>
      </c>
      <c r="N234" s="0" t="n">
        <v>4</v>
      </c>
      <c r="O234" s="0" t="n">
        <v>223.37</v>
      </c>
      <c r="P234" s="5" t="n">
        <f aca="false">IF(AT234="","",IF(ISNUMBER(AT234),AT234,VALUE(SUBSTITUTE(AT234,"%",""))/100))</f>
        <v>0.25</v>
      </c>
      <c r="Q234" s="5" t="n">
        <f aca="false">IF(P234="",IF(AND(N234&lt;&gt;"",O234&lt;&gt;"",R234&lt;&gt;"",S234&lt;&gt;""),0,"REVIEW"),IF(OR(P234&lt;0,P234&gt;0.3),0,P234))</f>
        <v>0.25</v>
      </c>
      <c r="R234" s="0" t="n">
        <v>670.11</v>
      </c>
      <c r="S234" s="0" t="n">
        <v>559.57</v>
      </c>
      <c r="T234" s="6" t="n">
        <f aca="false">N234*O234*(1-Q234)</f>
        <v>670.11</v>
      </c>
      <c r="U234" s="6" t="n">
        <f aca="false">T234-S234</f>
        <v>110.54</v>
      </c>
      <c r="V234" s="7" t="n">
        <f aca="false">IF(T234=0,0,U234/T234)</f>
        <v>0.164957991971467</v>
      </c>
      <c r="W234" s="4" t="n">
        <f aca="false">C234-B234</f>
        <v>6</v>
      </c>
      <c r="X234" s="0" t="str">
        <f aca="false">TEXT(B234,"mmmm")</f>
        <v>June</v>
      </c>
      <c r="Y234" s="4" t="n">
        <f aca="false">YEAR(B234)</f>
        <v>2025</v>
      </c>
      <c r="Z234" s="0" t="str">
        <f aca="false">PROPER(TRIM(AU234))</f>
        <v>Paid</v>
      </c>
      <c r="AA234" s="0" t="str">
        <f aca="false">PROPER(TRIM(AV234))</f>
        <v>Completed</v>
      </c>
      <c r="AB234" s="0" t="str">
        <f aca="false">IF(TRIM(AN234)="","Yes","No")</f>
        <v>No</v>
      </c>
      <c r="AC234" s="0" t="str">
        <f aca="false">IF(TRIM(AS234)="","Yes","No")</f>
        <v>No</v>
      </c>
      <c r="AD234" s="0" t="str">
        <f aca="false">IF(AT234="","Yes","No")</f>
        <v>No</v>
      </c>
      <c r="AE234" s="0" t="str">
        <f aca="false">IF(W234&lt;0,"Yes","No")</f>
        <v>No</v>
      </c>
      <c r="AF234" s="0" t="str">
        <f aca="false">IF(P234="","No",IF(OR(P234&lt;0,P234&gt;0.3),"Yes","No"))</f>
        <v>No</v>
      </c>
      <c r="AG234" s="4" t="s">
        <v>50</v>
      </c>
      <c r="AH234" s="0" t="str">
        <f aca="false">IF(AND(AA234="Completed",Z234="Paid"),"Yes","No")</f>
        <v>Yes</v>
      </c>
      <c r="AI234" s="0" t="str">
        <f aca="false">IF(OR(AE234="Yes",AF234="Yes",AG234="Yes"),"Invalid",IF(OR(AB234="Yes",AC234="Yes",AD234="Yes"),"Warning","Clean"))</f>
        <v>Clean</v>
      </c>
      <c r="AJ234" s="4" t="s">
        <v>1044</v>
      </c>
      <c r="AK234" s="4" t="s">
        <v>1045</v>
      </c>
      <c r="AL234" s="4" t="s">
        <v>163</v>
      </c>
      <c r="AM234" s="4" t="s">
        <v>54</v>
      </c>
      <c r="AN234" s="4" t="s">
        <v>87</v>
      </c>
      <c r="AO234" s="4" t="s">
        <v>121</v>
      </c>
      <c r="AP234" s="4" t="s">
        <v>122</v>
      </c>
      <c r="AQ234" s="4" t="s">
        <v>109</v>
      </c>
      <c r="AR234" s="4" t="s">
        <v>227</v>
      </c>
      <c r="AS234" s="4" t="s">
        <v>91</v>
      </c>
      <c r="AT234" s="0" t="n">
        <v>0.25</v>
      </c>
      <c r="AU234" s="4" t="s">
        <v>61</v>
      </c>
      <c r="AV234" s="4" t="s">
        <v>62</v>
      </c>
    </row>
    <row r="235" customFormat="false" ht="15" hidden="false" customHeight="false" outlineLevel="0" collapsed="false">
      <c r="A235" s="0" t="s">
        <v>1046</v>
      </c>
      <c r="B235" s="3" t="n">
        <f aca="false">IF(AJ235="","",IF(ISNUMBER(SEARCH("/",AJ235)),DATE(VALUE(RIGHT(AJ235,4)),VALUE(LEFT(AJ235,2)),VALUE(MID(AJ235,4,2))),IF(ISNUMBER(SEARCH("-",AJ235)),IF(LEN(LEFT(AJ235,FIND("-",AJ235)-1))=4,DATE(VALUE(LEFT(AJ235,4)),VALUE(MID(AJ235,6,2)),VALUE(RIGHT(AJ235,2))),DATE(VALUE(RIGHT(AJ235,4)),VALUE(MID(AJ235,4,2)),VALUE(LEFT(AJ235,2)))),DATE(VALUE(RIGHT(AJ235,4)),MATCH(MID(AJ235,4,3),{"Jan","Feb","Mar","Apr","May","Jun","Jul","Aug","Sep","Oct","Nov","Dec"},0),VALUE(LEFT(AJ235,2))))))</f>
        <v>45579</v>
      </c>
      <c r="C235" s="3" t="n">
        <f aca="false">IF(AK235="","",IF(ISNUMBER(SEARCH("/",AK235)),DATE(VALUE(RIGHT(AK235,4)),VALUE(LEFT(AK235,2)),VALUE(MID(AK235,4,2))),IF(ISNUMBER(SEARCH("-",AK235)),IF(LEN(LEFT(AK235,FIND("-",AK235)-1))=4,DATE(VALUE(LEFT(AK235,4)),VALUE(MID(AK235,6,2)),VALUE(RIGHT(AK235,2))),DATE(VALUE(RIGHT(AK235,4)),VALUE(MID(AK235,4,2)),VALUE(LEFT(AK235,2)))),DATE(VALUE(RIGHT(AK235,4)),MATCH(MID(AK235,4,3),{"Jan","Feb","Mar","Apr","May","Jun","Jul","Aug","Sep","Oct","Nov","Dec"},0),VALUE(LEFT(AK235,2))))))</f>
        <v>45579</v>
      </c>
      <c r="D235" s="4" t="s">
        <v>1047</v>
      </c>
      <c r="E235" s="0" t="str">
        <f aca="false">PROPER(TRIM(AL235))</f>
        <v>Vikram Iyer</v>
      </c>
      <c r="F235" s="0" t="str">
        <f aca="false">PROPER(TRIM(AM235))</f>
        <v>Corporate</v>
      </c>
      <c r="G235" s="0" t="str">
        <f aca="false">IF(TRIM(AN235)="","Unknown",PROPER(TRIM(AN235)))</f>
        <v>South</v>
      </c>
      <c r="H235" s="0" t="str">
        <f aca="false">PROPER(TRIM(AO235))</f>
        <v>Karnataka</v>
      </c>
      <c r="I235" s="0" t="str">
        <f aca="false">PROPER(TRIM(AP235))</f>
        <v>Bengaluru</v>
      </c>
      <c r="J235" s="0" t="str">
        <f aca="false">PROPER(TRIM(AQ235))</f>
        <v>Furniture</v>
      </c>
      <c r="K235" s="0" t="str">
        <f aca="false">PROPER(TRIM(AR235))</f>
        <v>Bookcases</v>
      </c>
      <c r="M235" s="0" t="str">
        <f aca="false">IF(TRIM(AS235)="","Unknown",PROPER(TRIM(AS235)))</f>
        <v>Unknown</v>
      </c>
      <c r="N235" s="0" t="n">
        <v>8</v>
      </c>
      <c r="O235" s="0" t="n">
        <v>3904.59</v>
      </c>
      <c r="P235" s="5" t="n">
        <f aca="false">IF(AT235="","",IF(ISNUMBER(AT235),AT235,VALUE(SUBSTITUTE(AT235,"%",""))/100))</f>
        <v>0</v>
      </c>
      <c r="Q235" s="5" t="n">
        <f aca="false">IF(P235="",IF(AND(N235&lt;&gt;"",O235&lt;&gt;"",R235&lt;&gt;"",S235&lt;&gt;""),0,"REVIEW"),IF(OR(P235&lt;0,P235&gt;0.3),0,P235))</f>
        <v>0</v>
      </c>
      <c r="R235" s="0" t="n">
        <v>31236.72</v>
      </c>
      <c r="S235" s="0" t="n">
        <v>26377.7</v>
      </c>
      <c r="T235" s="6" t="n">
        <f aca="false">N235*O235*(1-Q235)</f>
        <v>31236.72</v>
      </c>
      <c r="U235" s="6" t="n">
        <f aca="false">T235-S235</f>
        <v>4859.02</v>
      </c>
      <c r="V235" s="7" t="n">
        <f aca="false">IF(T235=0,0,U235/T235)</f>
        <v>0.155554744544242</v>
      </c>
      <c r="W235" s="4" t="n">
        <f aca="false">C235-B235</f>
        <v>0</v>
      </c>
      <c r="X235" s="0" t="str">
        <f aca="false">TEXT(B235,"mmmm")</f>
        <v>October</v>
      </c>
      <c r="Y235" s="4" t="n">
        <f aca="false">YEAR(B235)</f>
        <v>2024</v>
      </c>
      <c r="Z235" s="0" t="str">
        <f aca="false">PROPER(TRIM(AU235))</f>
        <v>Paid</v>
      </c>
      <c r="AA235" s="0" t="str">
        <f aca="false">PROPER(TRIM(AV235))</f>
        <v>Completed</v>
      </c>
      <c r="AB235" s="0" t="str">
        <f aca="false">IF(TRIM(AN235)="","Yes","No")</f>
        <v>No</v>
      </c>
      <c r="AC235" s="0" t="str">
        <f aca="false">IF(TRIM(AS235)="","Yes","No")</f>
        <v>Yes</v>
      </c>
      <c r="AD235" s="0" t="str">
        <f aca="false">IF(AT235="","Yes","No")</f>
        <v>No</v>
      </c>
      <c r="AE235" s="0" t="str">
        <f aca="false">IF(W235&lt;0,"Yes","No")</f>
        <v>No</v>
      </c>
      <c r="AF235" s="0" t="str">
        <f aca="false">IF(P235="","No",IF(OR(P235&lt;0,P235&gt;0.3),"Yes","No"))</f>
        <v>No</v>
      </c>
      <c r="AG235" s="4" t="s">
        <v>50</v>
      </c>
      <c r="AH235" s="0" t="str">
        <f aca="false">IF(AND(AA235="Completed",Z235="Paid"),"Yes","No")</f>
        <v>Yes</v>
      </c>
      <c r="AI235" s="0" t="str">
        <f aca="false">IF(OR(AE235="Yes",AF235="Yes",AG235="Yes"),"Invalid",IF(OR(AB235="Yes",AC235="Yes",AD235="Yes"),"Warning","Clean"))</f>
        <v>Warning</v>
      </c>
      <c r="AJ235" s="4" t="s">
        <v>1048</v>
      </c>
      <c r="AK235" s="4" t="s">
        <v>1049</v>
      </c>
      <c r="AL235" s="4" t="s">
        <v>106</v>
      </c>
      <c r="AM235" s="4" t="s">
        <v>128</v>
      </c>
      <c r="AN235" s="4" t="s">
        <v>87</v>
      </c>
      <c r="AO235" s="4" t="s">
        <v>233</v>
      </c>
      <c r="AP235" s="4" t="s">
        <v>234</v>
      </c>
      <c r="AQ235" s="4" t="s">
        <v>72</v>
      </c>
      <c r="AR235" s="4" t="s">
        <v>211</v>
      </c>
      <c r="AT235" s="0" t="n">
        <v>0</v>
      </c>
      <c r="AU235" s="4" t="s">
        <v>61</v>
      </c>
      <c r="AV235" s="4" t="s">
        <v>62</v>
      </c>
    </row>
    <row r="236" customFormat="false" ht="15" hidden="false" customHeight="false" outlineLevel="0" collapsed="false">
      <c r="A236" s="0" t="s">
        <v>1050</v>
      </c>
      <c r="B236" s="3" t="n">
        <f aca="false">IF(AJ236="","",IF(ISNUMBER(SEARCH("/",AJ236)),DATE(VALUE(RIGHT(AJ236,4)),VALUE(LEFT(AJ236,2)),VALUE(MID(AJ236,4,2))),IF(ISNUMBER(SEARCH("-",AJ236)),IF(LEN(LEFT(AJ236,FIND("-",AJ236)-1))=4,DATE(VALUE(LEFT(AJ236,4)),VALUE(MID(AJ236,6,2)),VALUE(RIGHT(AJ236,2))),DATE(VALUE(RIGHT(AJ236,4)),VALUE(MID(AJ236,4,2)),VALUE(LEFT(AJ236,2)))),DATE(VALUE(RIGHT(AJ236,4)),MATCH(MID(AJ236,4,3),{"Jan","Feb","Mar","Apr","May","Jun","Jul","Aug","Sep","Oct","Nov","Dec"},0),VALUE(LEFT(AJ236,2))))))</f>
        <v>45537</v>
      </c>
      <c r="C236" s="3" t="n">
        <f aca="false">IF(AK236="","",IF(ISNUMBER(SEARCH("/",AK236)),DATE(VALUE(RIGHT(AK236,4)),VALUE(LEFT(AK236,2)),VALUE(MID(AK236,4,2))),IF(ISNUMBER(SEARCH("-",AK236)),IF(LEN(LEFT(AK236,FIND("-",AK236)-1))=4,DATE(VALUE(LEFT(AK236,4)),VALUE(MID(AK236,6,2)),VALUE(RIGHT(AK236,2))),DATE(VALUE(RIGHT(AK236,4)),VALUE(MID(AK236,4,2)),VALUE(LEFT(AK236,2)))),DATE(VALUE(RIGHT(AK236,4)),MATCH(MID(AK236,4,3),{"Jan","Feb","Mar","Apr","May","Jun","Jul","Aug","Sep","Oct","Nov","Dec"},0),VALUE(LEFT(AK236,2))))))</f>
        <v>45538</v>
      </c>
      <c r="D236" s="4" t="s">
        <v>1051</v>
      </c>
      <c r="E236" s="0" t="str">
        <f aca="false">PROPER(TRIM(AL236))</f>
        <v>Kabir Singh</v>
      </c>
      <c r="F236" s="0" t="str">
        <f aca="false">PROPER(TRIM(AM236))</f>
        <v>Home Office</v>
      </c>
      <c r="G236" s="0" t="str">
        <f aca="false">IF(TRIM(AN236)="","Unknown",PROPER(TRIM(AN236)))</f>
        <v>North</v>
      </c>
      <c r="H236" s="0" t="str">
        <f aca="false">PROPER(TRIM(AO236))</f>
        <v>Delhi</v>
      </c>
      <c r="I236" s="0" t="str">
        <f aca="false">PROPER(TRIM(AP236))</f>
        <v>New Delhi</v>
      </c>
      <c r="J236" s="0" t="str">
        <f aca="false">PROPER(TRIM(AQ236))</f>
        <v>Furniture</v>
      </c>
      <c r="K236" s="0" t="str">
        <f aca="false">PROPER(TRIM(AR236))</f>
        <v>Furnishings</v>
      </c>
      <c r="M236" s="0" t="str">
        <f aca="false">IF(TRIM(AS236)="","Unknown",PROPER(TRIM(AS236)))</f>
        <v>First Class</v>
      </c>
      <c r="N236" s="0" t="n">
        <v>9</v>
      </c>
      <c r="O236" s="0" t="n">
        <v>1353.61</v>
      </c>
      <c r="P236" s="5" t="n">
        <f aca="false">IF(AT236="","",IF(ISNUMBER(AT236),AT236,VALUE(SUBSTITUTE(AT236,"%",""))/100))</f>
        <v>0.1</v>
      </c>
      <c r="Q236" s="5" t="n">
        <f aca="false">IF(P236="",IF(AND(N236&lt;&gt;"",O236&lt;&gt;"",R236&lt;&gt;"",S236&lt;&gt;""),0,"REVIEW"),IF(OR(P236&lt;0,P236&gt;0.3),0,P236))</f>
        <v>0.1</v>
      </c>
      <c r="R236" s="0" t="n">
        <v>10964.24</v>
      </c>
      <c r="S236" s="0" t="n">
        <v>9262.47</v>
      </c>
      <c r="T236" s="6" t="n">
        <f aca="false">N236*O236*(1-Q236)</f>
        <v>10964.241</v>
      </c>
      <c r="U236" s="6" t="n">
        <f aca="false">T236-S236</f>
        <v>1701.771</v>
      </c>
      <c r="V236" s="7" t="n">
        <f aca="false">IF(T236=0,0,U236/T236)</f>
        <v>0.155211017342651</v>
      </c>
      <c r="W236" s="4" t="n">
        <f aca="false">C236-B236</f>
        <v>1</v>
      </c>
      <c r="X236" s="0" t="str">
        <f aca="false">TEXT(B236,"mmmm")</f>
        <v>September</v>
      </c>
      <c r="Y236" s="4" t="n">
        <f aca="false">YEAR(B236)</f>
        <v>2024</v>
      </c>
      <c r="Z236" s="0" t="str">
        <f aca="false">PROPER(TRIM(AU236))</f>
        <v>Paid</v>
      </c>
      <c r="AA236" s="0" t="str">
        <f aca="false">PROPER(TRIM(AV236))</f>
        <v>Completed</v>
      </c>
      <c r="AB236" s="0" t="str">
        <f aca="false">IF(TRIM(AN236)="","Yes","No")</f>
        <v>No</v>
      </c>
      <c r="AC236" s="0" t="str">
        <f aca="false">IF(TRIM(AS236)="","Yes","No")</f>
        <v>No</v>
      </c>
      <c r="AD236" s="0" t="str">
        <f aca="false">IF(AT236="","Yes","No")</f>
        <v>No</v>
      </c>
      <c r="AE236" s="0" t="str">
        <f aca="false">IF(W236&lt;0,"Yes","No")</f>
        <v>No</v>
      </c>
      <c r="AF236" s="0" t="str">
        <f aca="false">IF(P236="","No",IF(OR(P236&lt;0,P236&gt;0.3),"Yes","No"))</f>
        <v>No</v>
      </c>
      <c r="AG236" s="4" t="s">
        <v>50</v>
      </c>
      <c r="AH236" s="0" t="str">
        <f aca="false">IF(AND(AA236="Completed",Z236="Paid"),"Yes","No")</f>
        <v>Yes</v>
      </c>
      <c r="AI236" s="0" t="str">
        <f aca="false">IF(OR(AE236="Yes",AF236="Yes",AG236="Yes"),"Invalid",IF(OR(AB236="Yes",AC236="Yes",AD236="Yes"),"Warning","Clean"))</f>
        <v>Clean</v>
      </c>
      <c r="AJ236" s="4" t="s">
        <v>1052</v>
      </c>
      <c r="AK236" s="4" t="s">
        <v>1053</v>
      </c>
      <c r="AL236" s="4" t="s">
        <v>347</v>
      </c>
      <c r="AM236" s="4" t="s">
        <v>134</v>
      </c>
      <c r="AN236" s="4" t="s">
        <v>168</v>
      </c>
      <c r="AO236" s="4" t="s">
        <v>461</v>
      </c>
      <c r="AP236" s="4" t="s">
        <v>462</v>
      </c>
      <c r="AQ236" s="4" t="s">
        <v>72</v>
      </c>
      <c r="AR236" s="4" t="s">
        <v>90</v>
      </c>
      <c r="AS236" s="4" t="s">
        <v>81</v>
      </c>
      <c r="AT236" s="0" t="n">
        <v>0.1</v>
      </c>
      <c r="AU236" s="4" t="s">
        <v>61</v>
      </c>
      <c r="AV236" s="4" t="s">
        <v>62</v>
      </c>
    </row>
    <row r="237" customFormat="false" ht="15" hidden="false" customHeight="false" outlineLevel="0" collapsed="false">
      <c r="A237" s="0" t="s">
        <v>1054</v>
      </c>
      <c r="B237" s="3" t="n">
        <f aca="false">IF(AJ237="","",IF(ISNUMBER(SEARCH("/",AJ237)),DATE(VALUE(RIGHT(AJ237,4)),VALUE(LEFT(AJ237,2)),VALUE(MID(AJ237,4,2))),IF(ISNUMBER(SEARCH("-",AJ237)),IF(LEN(LEFT(AJ237,FIND("-",AJ237)-1))=4,DATE(VALUE(LEFT(AJ237,4)),VALUE(MID(AJ237,6,2)),VALUE(RIGHT(AJ237,2))),DATE(VALUE(RIGHT(AJ237,4)),VALUE(MID(AJ237,4,2)),VALUE(LEFT(AJ237,2)))),DATE(VALUE(RIGHT(AJ237,4)),MATCH(MID(AJ237,4,3),{"Jan","Feb","Mar","Apr","May","Jun","Jul","Aug","Sep","Oct","Nov","Dec"},0),VALUE(LEFT(AJ237,2))))))</f>
        <v>45598</v>
      </c>
      <c r="C237" s="3" t="n">
        <f aca="false">IF(AK237="","",IF(ISNUMBER(SEARCH("/",AK237)),DATE(VALUE(RIGHT(AK237,4)),VALUE(LEFT(AK237,2)),VALUE(MID(AK237,4,2))),IF(ISNUMBER(SEARCH("-",AK237)),IF(LEN(LEFT(AK237,FIND("-",AK237)-1))=4,DATE(VALUE(LEFT(AK237,4)),VALUE(MID(AK237,6,2)),VALUE(RIGHT(AK237,2))),DATE(VALUE(RIGHT(AK237,4)),VALUE(MID(AK237,4,2)),VALUE(LEFT(AK237,2)))),DATE(VALUE(RIGHT(AK237,4)),MATCH(MID(AK237,4,3),{"Jan","Feb","Mar","Apr","May","Jun","Jul","Aug","Sep","Oct","Nov","Dec"},0),VALUE(LEFT(AK237,2))))))</f>
        <v>45599</v>
      </c>
      <c r="D237" s="4" t="s">
        <v>1055</v>
      </c>
      <c r="E237" s="0" t="str">
        <f aca="false">PROPER(TRIM(AL237))</f>
        <v>Rahul Verma</v>
      </c>
      <c r="F237" s="0" t="str">
        <f aca="false">PROPER(TRIM(AM237))</f>
        <v>Small Business</v>
      </c>
      <c r="G237" s="0" t="str">
        <f aca="false">IF(TRIM(AN237)="","Unknown",PROPER(TRIM(AN237)))</f>
        <v>West</v>
      </c>
      <c r="H237" s="0" t="str">
        <f aca="false">PROPER(TRIM(AO237))</f>
        <v>Rajasthan</v>
      </c>
      <c r="I237" s="0" t="str">
        <f aca="false">PROPER(TRIM(AP237))</f>
        <v>Udaipur</v>
      </c>
      <c r="J237" s="0" t="str">
        <f aca="false">PROPER(TRIM(AQ237))</f>
        <v>Office Supplies</v>
      </c>
      <c r="K237" s="0" t="str">
        <f aca="false">PROPER(TRIM(AR237))</f>
        <v>Storage</v>
      </c>
      <c r="M237" s="0" t="str">
        <f aca="false">IF(TRIM(AS237)="","Unknown",PROPER(TRIM(AS237)))</f>
        <v>Standard Class</v>
      </c>
      <c r="N237" s="0" t="n">
        <v>6</v>
      </c>
      <c r="O237" s="0" t="n">
        <v>2671.29</v>
      </c>
      <c r="P237" s="5" t="n">
        <f aca="false">IF(AT237="","",IF(ISNUMBER(AT237),AT237,VALUE(SUBSTITUTE(AT237,"%",""))/100))</f>
        <v>0.05</v>
      </c>
      <c r="Q237" s="5" t="n">
        <f aca="false">IF(P237="",IF(AND(N237&lt;&gt;"",O237&lt;&gt;"",R237&lt;&gt;"",S237&lt;&gt;""),0,"REVIEW"),IF(OR(P237&lt;0,P237&gt;0.3),0,P237))</f>
        <v>0.05</v>
      </c>
      <c r="R237" s="0" t="n">
        <v>15226.35</v>
      </c>
      <c r="S237" s="0" t="n">
        <v>11145.28</v>
      </c>
      <c r="T237" s="6" t="n">
        <f aca="false">N237*O237*(1-Q237)</f>
        <v>15226.353</v>
      </c>
      <c r="U237" s="6" t="n">
        <f aca="false">T237-S237</f>
        <v>4081.073</v>
      </c>
      <c r="V237" s="7" t="n">
        <f aca="false">IF(T237=0,0,U237/T237)</f>
        <v>0.268026953007066</v>
      </c>
      <c r="W237" s="4" t="n">
        <f aca="false">C237-B237</f>
        <v>1</v>
      </c>
      <c r="X237" s="0" t="str">
        <f aca="false">TEXT(B237,"mmmm")</f>
        <v>November</v>
      </c>
      <c r="Y237" s="4" t="n">
        <f aca="false">YEAR(B237)</f>
        <v>2024</v>
      </c>
      <c r="Z237" s="0" t="str">
        <f aca="false">PROPER(TRIM(AU237))</f>
        <v>Paid</v>
      </c>
      <c r="AA237" s="0" t="str">
        <f aca="false">PROPER(TRIM(AV237))</f>
        <v>Completed</v>
      </c>
      <c r="AB237" s="0" t="str">
        <f aca="false">IF(TRIM(AN237)="","Yes","No")</f>
        <v>No</v>
      </c>
      <c r="AC237" s="0" t="str">
        <f aca="false">IF(TRIM(AS237)="","Yes","No")</f>
        <v>No</v>
      </c>
      <c r="AD237" s="0" t="str">
        <f aca="false">IF(AT237="","Yes","No")</f>
        <v>No</v>
      </c>
      <c r="AE237" s="0" t="str">
        <f aca="false">IF(W237&lt;0,"Yes","No")</f>
        <v>No</v>
      </c>
      <c r="AF237" s="0" t="str">
        <f aca="false">IF(P237="","No",IF(OR(P237&lt;0,P237&gt;0.3),"Yes","No"))</f>
        <v>No</v>
      </c>
      <c r="AG237" s="4" t="s">
        <v>50</v>
      </c>
      <c r="AH237" s="0" t="str">
        <f aca="false">IF(AND(AA237="Completed",Z237="Paid"),"Yes","No")</f>
        <v>Yes</v>
      </c>
      <c r="AI237" s="0" t="str">
        <f aca="false">IF(OR(AE237="Yes",AF237="Yes",AG237="Yes"),"Invalid",IF(OR(AB237="Yes",AC237="Yes",AD237="Yes"),"Warning","Clean"))</f>
        <v>Clean</v>
      </c>
      <c r="AJ237" s="4" t="s">
        <v>1056</v>
      </c>
      <c r="AK237" s="4" t="s">
        <v>1057</v>
      </c>
      <c r="AL237" s="4" t="s">
        <v>163</v>
      </c>
      <c r="AM237" s="4" t="s">
        <v>68</v>
      </c>
      <c r="AN237" s="4" t="s">
        <v>97</v>
      </c>
      <c r="AO237" s="4" t="s">
        <v>56</v>
      </c>
      <c r="AP237" s="4" t="s">
        <v>152</v>
      </c>
      <c r="AQ237" s="4" t="s">
        <v>58</v>
      </c>
      <c r="AR237" s="4" t="s">
        <v>171</v>
      </c>
      <c r="AS237" s="4" t="s">
        <v>91</v>
      </c>
      <c r="AT237" s="0" t="n">
        <v>0.05</v>
      </c>
      <c r="AU237" s="4" t="s">
        <v>61</v>
      </c>
      <c r="AV237" s="4" t="s">
        <v>62</v>
      </c>
    </row>
    <row r="238" customFormat="false" ht="15" hidden="false" customHeight="false" outlineLevel="0" collapsed="false">
      <c r="A238" s="0" t="s">
        <v>1058</v>
      </c>
      <c r="B238" s="3" t="n">
        <f aca="false">IF(AJ238="","",IF(ISNUMBER(SEARCH("/",AJ238)),DATE(VALUE(RIGHT(AJ238,4)),VALUE(LEFT(AJ238,2)),VALUE(MID(AJ238,4,2))),IF(ISNUMBER(SEARCH("-",AJ238)),IF(LEN(LEFT(AJ238,FIND("-",AJ238)-1))=4,DATE(VALUE(LEFT(AJ238,4)),VALUE(MID(AJ238,6,2)),VALUE(RIGHT(AJ238,2))),DATE(VALUE(RIGHT(AJ238,4)),VALUE(MID(AJ238,4,2)),VALUE(LEFT(AJ238,2)))),DATE(VALUE(RIGHT(AJ238,4)),MATCH(MID(AJ238,4,3),{"Jan","Feb","Mar","Apr","May","Jun","Jul","Aug","Sep","Oct","Nov","Dec"},0),VALUE(LEFT(AJ238,2))))))</f>
        <v>45579</v>
      </c>
      <c r="C238" s="3" t="n">
        <f aca="false">IF(AK238="","",IF(ISNUMBER(SEARCH("/",AK238)),DATE(VALUE(RIGHT(AK238,4)),VALUE(LEFT(AK238,2)),VALUE(MID(AK238,4,2))),IF(ISNUMBER(SEARCH("-",AK238)),IF(LEN(LEFT(AK238,FIND("-",AK238)-1))=4,DATE(VALUE(LEFT(AK238,4)),VALUE(MID(AK238,6,2)),VALUE(RIGHT(AK238,2))),DATE(VALUE(RIGHT(AK238,4)),VALUE(MID(AK238,4,2)),VALUE(LEFT(AK238,2)))),DATE(VALUE(RIGHT(AK238,4)),MATCH(MID(AK238,4,3),{"Jan","Feb","Mar","Apr","May","Jun","Jul","Aug","Sep","Oct","Nov","Dec"},0),VALUE(LEFT(AK238,2))))))</f>
        <v>45586</v>
      </c>
      <c r="D238" s="4" t="s">
        <v>1059</v>
      </c>
      <c r="E238" s="0" t="str">
        <f aca="false">PROPER(TRIM(AL238))</f>
        <v>Priya Menon</v>
      </c>
      <c r="F238" s="0" t="str">
        <f aca="false">PROPER(TRIM(AM238))</f>
        <v>Corporate</v>
      </c>
      <c r="G238" s="0" t="str">
        <f aca="false">IF(TRIM(AN238)="","Unknown",PROPER(TRIM(AN238)))</f>
        <v>North</v>
      </c>
      <c r="H238" s="0" t="str">
        <f aca="false">PROPER(TRIM(AO238))</f>
        <v>Uttar Pradesh</v>
      </c>
      <c r="I238" s="0" t="str">
        <f aca="false">PROPER(TRIM(AP238))</f>
        <v>Noida</v>
      </c>
      <c r="J238" s="0" t="str">
        <f aca="false">PROPER(TRIM(AQ238))</f>
        <v>Furniture</v>
      </c>
      <c r="K238" s="0" t="str">
        <f aca="false">PROPER(TRIM(AR238))</f>
        <v>Bookcases</v>
      </c>
      <c r="M238" s="0" t="str">
        <f aca="false">IF(TRIM(AS238)="","Unknown",PROPER(TRIM(AS238)))</f>
        <v>First Class</v>
      </c>
      <c r="N238" s="0" t="n">
        <v>6</v>
      </c>
      <c r="O238" s="0" t="n">
        <v>4062.78</v>
      </c>
      <c r="P238" s="5" t="n">
        <f aca="false">IF(AT238="","",IF(ISNUMBER(AT238),AT238,VALUE(SUBSTITUTE(AT238,"%",""))/100))</f>
        <v>0</v>
      </c>
      <c r="Q238" s="5" t="n">
        <f aca="false">IF(P238="",IF(AND(N238&lt;&gt;"",O238&lt;&gt;"",R238&lt;&gt;"",S238&lt;&gt;""),0,"REVIEW"),IF(OR(P238&lt;0,P238&gt;0.3),0,P238))</f>
        <v>0</v>
      </c>
      <c r="R238" s="0" t="n">
        <v>24376.68</v>
      </c>
      <c r="S238" s="0" t="n">
        <v>18533.39</v>
      </c>
      <c r="T238" s="6" t="n">
        <f aca="false">N238*O238*(1-Q238)</f>
        <v>24376.68</v>
      </c>
      <c r="U238" s="6" t="n">
        <f aca="false">T238-S238</f>
        <v>5843.29</v>
      </c>
      <c r="V238" s="7" t="n">
        <f aca="false">IF(T238=0,0,U238/T238)</f>
        <v>0.23970819652225</v>
      </c>
      <c r="W238" s="4" t="n">
        <f aca="false">C238-B238</f>
        <v>7</v>
      </c>
      <c r="X238" s="0" t="str">
        <f aca="false">TEXT(B238,"mmmm")</f>
        <v>October</v>
      </c>
      <c r="Y238" s="4" t="n">
        <f aca="false">YEAR(B238)</f>
        <v>2024</v>
      </c>
      <c r="Z238" s="0" t="str">
        <f aca="false">PROPER(TRIM(AU238))</f>
        <v>Paid</v>
      </c>
      <c r="AA238" s="0" t="str">
        <f aca="false">PROPER(TRIM(AV238))</f>
        <v>Completed</v>
      </c>
      <c r="AB238" s="0" t="str">
        <f aca="false">IF(TRIM(AN238)="","Yes","No")</f>
        <v>No</v>
      </c>
      <c r="AC238" s="0" t="str">
        <f aca="false">IF(TRIM(AS238)="","Yes","No")</f>
        <v>No</v>
      </c>
      <c r="AD238" s="0" t="str">
        <f aca="false">IF(AT238="","Yes","No")</f>
        <v>No</v>
      </c>
      <c r="AE238" s="0" t="str">
        <f aca="false">IF(W238&lt;0,"Yes","No")</f>
        <v>No</v>
      </c>
      <c r="AF238" s="0" t="str">
        <f aca="false">IF(P238="","No",IF(OR(P238&lt;0,P238&gt;0.3),"Yes","No"))</f>
        <v>No</v>
      </c>
      <c r="AG238" s="4" t="s">
        <v>50</v>
      </c>
      <c r="AH238" s="0" t="str">
        <f aca="false">IF(AND(AA238="Completed",Z238="Paid"),"Yes","No")</f>
        <v>Yes</v>
      </c>
      <c r="AI238" s="0" t="str">
        <f aca="false">IF(OR(AE238="Yes",AF238="Yes",AG238="Yes"),"Invalid",IF(OR(AB238="Yes",AC238="Yes",AD238="Yes"),"Warning","Clean"))</f>
        <v>Clean</v>
      </c>
      <c r="AJ238" s="4" t="s">
        <v>1049</v>
      </c>
      <c r="AK238" s="4" t="s">
        <v>1060</v>
      </c>
      <c r="AL238" s="4" t="s">
        <v>158</v>
      </c>
      <c r="AM238" s="4" t="s">
        <v>128</v>
      </c>
      <c r="AN238" s="4" t="s">
        <v>168</v>
      </c>
      <c r="AO238" s="4" t="s">
        <v>186</v>
      </c>
      <c r="AP238" s="4" t="s">
        <v>187</v>
      </c>
      <c r="AQ238" s="4" t="s">
        <v>72</v>
      </c>
      <c r="AR238" s="4" t="s">
        <v>211</v>
      </c>
      <c r="AS238" s="4" t="s">
        <v>81</v>
      </c>
      <c r="AT238" s="0" t="n">
        <v>0</v>
      </c>
      <c r="AU238" s="4" t="s">
        <v>61</v>
      </c>
      <c r="AV238" s="4" t="s">
        <v>62</v>
      </c>
    </row>
    <row r="239" customFormat="false" ht="15" hidden="false" customHeight="false" outlineLevel="0" collapsed="false">
      <c r="A239" s="0" t="s">
        <v>1061</v>
      </c>
      <c r="B239" s="3" t="n">
        <f aca="false">IF(AJ239="","",IF(ISNUMBER(SEARCH("/",AJ239)),DATE(VALUE(RIGHT(AJ239,4)),VALUE(LEFT(AJ239,2)),VALUE(MID(AJ239,4,2))),IF(ISNUMBER(SEARCH("-",AJ239)),IF(LEN(LEFT(AJ239,FIND("-",AJ239)-1))=4,DATE(VALUE(LEFT(AJ239,4)),VALUE(MID(AJ239,6,2)),VALUE(RIGHT(AJ239,2))),DATE(VALUE(RIGHT(AJ239,4)),VALUE(MID(AJ239,4,2)),VALUE(LEFT(AJ239,2)))),DATE(VALUE(RIGHT(AJ239,4)),MATCH(MID(AJ239,4,3),{"Jan","Feb","Mar","Apr","May","Jun","Jul","Aug","Sep","Oct","Nov","Dec"},0),VALUE(LEFT(AJ239,2))))))</f>
        <v>45531</v>
      </c>
      <c r="C239" s="3" t="n">
        <f aca="false">IF(AK239="","",IF(ISNUMBER(SEARCH("/",AK239)),DATE(VALUE(RIGHT(AK239,4)),VALUE(LEFT(AK239,2)),VALUE(MID(AK239,4,2))),IF(ISNUMBER(SEARCH("-",AK239)),IF(LEN(LEFT(AK239,FIND("-",AK239)-1))=4,DATE(VALUE(LEFT(AK239,4)),VALUE(MID(AK239,6,2)),VALUE(RIGHT(AK239,2))),DATE(VALUE(RIGHT(AK239,4)),VALUE(MID(AK239,4,2)),VALUE(LEFT(AK239,2)))),DATE(VALUE(RIGHT(AK239,4)),MATCH(MID(AK239,4,3),{"Jan","Feb","Mar","Apr","May","Jun","Jul","Aug","Sep","Oct","Nov","Dec"},0),VALUE(LEFT(AK239,2))))))</f>
        <v>45531</v>
      </c>
      <c r="D239" s="4" t="s">
        <v>1062</v>
      </c>
      <c r="E239" s="0" t="str">
        <f aca="false">PROPER(TRIM(AL239))</f>
        <v>Mira Das</v>
      </c>
      <c r="F239" s="0" t="str">
        <f aca="false">PROPER(TRIM(AM239))</f>
        <v>Consumer</v>
      </c>
      <c r="G239" s="0" t="str">
        <f aca="false">IF(TRIM(AN239)="","Unknown",PROPER(TRIM(AN239)))</f>
        <v>North</v>
      </c>
      <c r="H239" s="0" t="str">
        <f aca="false">PROPER(TRIM(AO239))</f>
        <v>Haryana</v>
      </c>
      <c r="I239" s="0" t="str">
        <f aca="false">PROPER(TRIM(AP239))</f>
        <v>Gurugram</v>
      </c>
      <c r="J239" s="0" t="str">
        <f aca="false">PROPER(TRIM(AQ239))</f>
        <v>Technology</v>
      </c>
      <c r="K239" s="0" t="str">
        <f aca="false">PROPER(TRIM(AR239))</f>
        <v>Copiers</v>
      </c>
      <c r="M239" s="0" t="str">
        <f aca="false">IF(TRIM(AS239)="","Unknown",PROPER(TRIM(AS239)))</f>
        <v>Standard Class</v>
      </c>
      <c r="N239" s="0" t="n">
        <v>9</v>
      </c>
      <c r="O239" s="0" t="n">
        <v>2330.3</v>
      </c>
      <c r="P239" s="5" t="n">
        <f aca="false">IF(AT239="","",IF(ISNUMBER(AT239),AT239,VALUE(SUBSTITUTE(AT239,"%",""))/100))</f>
        <v>0</v>
      </c>
      <c r="Q239" s="5" t="n">
        <f aca="false">IF(P239="",IF(AND(N239&lt;&gt;"",O239&lt;&gt;"",R239&lt;&gt;"",S239&lt;&gt;""),0,"REVIEW"),IF(OR(P239&lt;0,P239&gt;0.3),0,P239))</f>
        <v>0</v>
      </c>
      <c r="R239" s="0" t="n">
        <v>20972.7</v>
      </c>
      <c r="S239" s="0" t="n">
        <v>13504.88</v>
      </c>
      <c r="T239" s="6" t="n">
        <f aca="false">N239*O239*(1-Q239)</f>
        <v>20972.7</v>
      </c>
      <c r="U239" s="6" t="n">
        <f aca="false">T239-S239</f>
        <v>7467.82</v>
      </c>
      <c r="V239" s="7" t="n">
        <f aca="false">IF(T239=0,0,U239/T239)</f>
        <v>0.356073371573522</v>
      </c>
      <c r="W239" s="4" t="n">
        <f aca="false">C239-B239</f>
        <v>0</v>
      </c>
      <c r="X239" s="0" t="str">
        <f aca="false">TEXT(B239,"mmmm")</f>
        <v>August</v>
      </c>
      <c r="Y239" s="4" t="n">
        <f aca="false">YEAR(B239)</f>
        <v>2024</v>
      </c>
      <c r="Z239" s="0" t="str">
        <f aca="false">PROPER(TRIM(AU239))</f>
        <v>Paid</v>
      </c>
      <c r="AA239" s="0" t="str">
        <f aca="false">PROPER(TRIM(AV239))</f>
        <v>Completed</v>
      </c>
      <c r="AB239" s="0" t="str">
        <f aca="false">IF(TRIM(AN239)="","Yes","No")</f>
        <v>No</v>
      </c>
      <c r="AC239" s="0" t="str">
        <f aca="false">IF(TRIM(AS239)="","Yes","No")</f>
        <v>No</v>
      </c>
      <c r="AD239" s="0" t="str">
        <f aca="false">IF(AT239="","Yes","No")</f>
        <v>No</v>
      </c>
      <c r="AE239" s="0" t="str">
        <f aca="false">IF(W239&lt;0,"Yes","No")</f>
        <v>No</v>
      </c>
      <c r="AF239" s="0" t="str">
        <f aca="false">IF(P239="","No",IF(OR(P239&lt;0,P239&gt;0.3),"Yes","No"))</f>
        <v>No</v>
      </c>
      <c r="AG239" s="4" t="s">
        <v>50</v>
      </c>
      <c r="AH239" s="0" t="str">
        <f aca="false">IF(AND(AA239="Completed",Z239="Paid"),"Yes","No")</f>
        <v>Yes</v>
      </c>
      <c r="AI239" s="0" t="str">
        <f aca="false">IF(OR(AE239="Yes",AF239="Yes",AG239="Yes"),"Invalid",IF(OR(AB239="Yes",AC239="Yes",AD239="Yes"),"Warning","Clean"))</f>
        <v>Clean</v>
      </c>
      <c r="AJ239" s="4" t="s">
        <v>1063</v>
      </c>
      <c r="AK239" s="4" t="s">
        <v>1063</v>
      </c>
      <c r="AL239" s="4" t="s">
        <v>67</v>
      </c>
      <c r="AM239" s="4" t="s">
        <v>54</v>
      </c>
      <c r="AN239" s="4" t="s">
        <v>168</v>
      </c>
      <c r="AO239" s="4" t="s">
        <v>310</v>
      </c>
      <c r="AP239" s="4" t="s">
        <v>311</v>
      </c>
      <c r="AQ239" s="4" t="s">
        <v>109</v>
      </c>
      <c r="AR239" s="4" t="s">
        <v>116</v>
      </c>
      <c r="AS239" s="4" t="s">
        <v>91</v>
      </c>
      <c r="AT239" s="0" t="n">
        <v>0</v>
      </c>
      <c r="AU239" s="4" t="s">
        <v>61</v>
      </c>
      <c r="AV239" s="4" t="s">
        <v>62</v>
      </c>
    </row>
    <row r="240" customFormat="false" ht="15" hidden="false" customHeight="false" outlineLevel="0" collapsed="false">
      <c r="A240" s="0" t="s">
        <v>1064</v>
      </c>
      <c r="B240" s="3" t="n">
        <f aca="false">IF(AJ240="","",IF(ISNUMBER(SEARCH("/",AJ240)),DATE(VALUE(RIGHT(AJ240,4)),VALUE(LEFT(AJ240,2)),VALUE(MID(AJ240,4,2))),IF(ISNUMBER(SEARCH("-",AJ240)),IF(LEN(LEFT(AJ240,FIND("-",AJ240)-1))=4,DATE(VALUE(LEFT(AJ240,4)),VALUE(MID(AJ240,6,2)),VALUE(RIGHT(AJ240,2))),DATE(VALUE(RIGHT(AJ240,4)),VALUE(MID(AJ240,4,2)),VALUE(LEFT(AJ240,2)))),DATE(VALUE(RIGHT(AJ240,4)),MATCH(MID(AJ240,4,3),{"Jan","Feb","Mar","Apr","May","Jun","Jul","Aug","Sep","Oct","Nov","Dec"},0),VALUE(LEFT(AJ240,2))))))</f>
        <v>45303</v>
      </c>
      <c r="C240" s="3" t="n">
        <f aca="false">IF(AK240="","",IF(ISNUMBER(SEARCH("/",AK240)),DATE(VALUE(RIGHT(AK240,4)),VALUE(LEFT(AK240,2)),VALUE(MID(AK240,4,2))),IF(ISNUMBER(SEARCH("-",AK240)),IF(LEN(LEFT(AK240,FIND("-",AK240)-1))=4,DATE(VALUE(LEFT(AK240,4)),VALUE(MID(AK240,6,2)),VALUE(RIGHT(AK240,2))),DATE(VALUE(RIGHT(AK240,4)),VALUE(MID(AK240,4,2)),VALUE(LEFT(AK240,2)))),DATE(VALUE(RIGHT(AK240,4)),MATCH(MID(AK240,4,3),{"Jan","Feb","Mar","Apr","May","Jun","Jul","Aug","Sep","Oct","Nov","Dec"},0),VALUE(LEFT(AK240,2))))))</f>
        <v>45308</v>
      </c>
      <c r="D240" s="4" t="s">
        <v>1065</v>
      </c>
      <c r="E240" s="0" t="str">
        <f aca="false">PROPER(TRIM(AL240))</f>
        <v>Arjun Bose</v>
      </c>
      <c r="F240" s="0" t="str">
        <f aca="false">PROPER(TRIM(AM240))</f>
        <v>Consumer</v>
      </c>
      <c r="G240" s="0" t="str">
        <f aca="false">IF(TRIM(AN240)="","Unknown",PROPER(TRIM(AN240)))</f>
        <v>South</v>
      </c>
      <c r="H240" s="0" t="str">
        <f aca="false">PROPER(TRIM(AO240))</f>
        <v>Andhra Pradesh</v>
      </c>
      <c r="I240" s="0" t="str">
        <f aca="false">PROPER(TRIM(AP240))</f>
        <v>Vijayawada</v>
      </c>
      <c r="J240" s="0" t="str">
        <f aca="false">PROPER(TRIM(AQ240))</f>
        <v>Office Supplies</v>
      </c>
      <c r="K240" s="0" t="str">
        <f aca="false">PROPER(TRIM(AR240))</f>
        <v>Storage</v>
      </c>
      <c r="M240" s="0" t="str">
        <f aca="false">IF(TRIM(AS240)="","Unknown",PROPER(TRIM(AS240)))</f>
        <v>First Class</v>
      </c>
      <c r="N240" s="0" t="n">
        <v>7</v>
      </c>
      <c r="O240" s="0" t="n">
        <v>4005.05</v>
      </c>
      <c r="P240" s="5" t="n">
        <f aca="false">IF(AT240="","",IF(ISNUMBER(AT240),AT240,VALUE(SUBSTITUTE(AT240,"%",""))/100))</f>
        <v>0.55</v>
      </c>
      <c r="Q240" s="5" t="n">
        <f aca="false">IF(P240="",IF(AND(N240&lt;&gt;"",O240&lt;&gt;"",R240&lt;&gt;"",S240&lt;&gt;""),0,"REVIEW"),IF(OR(P240&lt;0,P240&gt;0.3),0,P240))</f>
        <v>0</v>
      </c>
      <c r="R240" s="0" t="n">
        <v>26633.58</v>
      </c>
      <c r="S240" s="0" t="n">
        <v>18838.75</v>
      </c>
      <c r="T240" s="6" t="n">
        <f aca="false">N240*O240*(1-Q240)</f>
        <v>28035.35</v>
      </c>
      <c r="U240" s="6" t="n">
        <f aca="false">T240-S240</f>
        <v>9196.6</v>
      </c>
      <c r="V240" s="7" t="n">
        <f aca="false">IF(T240=0,0,U240/T240)</f>
        <v>0.328035854733399</v>
      </c>
      <c r="W240" s="4" t="n">
        <f aca="false">C240-B240</f>
        <v>5</v>
      </c>
      <c r="X240" s="0" t="str">
        <f aca="false">TEXT(B240,"mmmm")</f>
        <v>January</v>
      </c>
      <c r="Y240" s="4" t="n">
        <f aca="false">YEAR(B240)</f>
        <v>2024</v>
      </c>
      <c r="Z240" s="0" t="str">
        <f aca="false">PROPER(TRIM(AU240))</f>
        <v>Paid</v>
      </c>
      <c r="AA240" s="0" t="str">
        <f aca="false">PROPER(TRIM(AV240))</f>
        <v>Completed</v>
      </c>
      <c r="AB240" s="0" t="str">
        <f aca="false">IF(TRIM(AN240)="","Yes","No")</f>
        <v>No</v>
      </c>
      <c r="AC240" s="0" t="str">
        <f aca="false">IF(TRIM(AS240)="","Yes","No")</f>
        <v>No</v>
      </c>
      <c r="AD240" s="0" t="str">
        <f aca="false">IF(AT240="","Yes","No")</f>
        <v>No</v>
      </c>
      <c r="AE240" s="0" t="str">
        <f aca="false">IF(W240&lt;0,"Yes","No")</f>
        <v>No</v>
      </c>
      <c r="AF240" s="0" t="str">
        <f aca="false">IF(P240="","No",IF(OR(P240&lt;0,P240&gt;0.3),"Yes","No"))</f>
        <v>Yes</v>
      </c>
      <c r="AG240" s="4" t="s">
        <v>50</v>
      </c>
      <c r="AH240" s="0" t="str">
        <f aca="false">IF(AND(AA240="Completed",Z240="Paid"),"Yes","No")</f>
        <v>Yes</v>
      </c>
      <c r="AI240" s="0" t="str">
        <f aca="false">IF(OR(AE240="Yes",AF240="Yes",AG240="Yes"),"Invalid",IF(OR(AB240="Yes",AC240="Yes",AD240="Yes"),"Warning","Clean"))</f>
        <v>Invalid</v>
      </c>
      <c r="AJ240" s="4" t="s">
        <v>1066</v>
      </c>
      <c r="AK240" s="4" t="s">
        <v>1067</v>
      </c>
      <c r="AL240" s="4" t="s">
        <v>86</v>
      </c>
      <c r="AM240" s="4" t="s">
        <v>54</v>
      </c>
      <c r="AN240" s="4" t="s">
        <v>87</v>
      </c>
      <c r="AO240" s="4" t="s">
        <v>121</v>
      </c>
      <c r="AP240" s="4" t="s">
        <v>122</v>
      </c>
      <c r="AQ240" s="4" t="s">
        <v>58</v>
      </c>
      <c r="AR240" s="4" t="s">
        <v>171</v>
      </c>
      <c r="AS240" s="4" t="s">
        <v>81</v>
      </c>
      <c r="AT240" s="0" t="n">
        <v>0.55</v>
      </c>
      <c r="AU240" s="4" t="s">
        <v>61</v>
      </c>
      <c r="AV240" s="4" t="s">
        <v>62</v>
      </c>
    </row>
    <row r="241" customFormat="false" ht="15" hidden="false" customHeight="false" outlineLevel="0" collapsed="false">
      <c r="A241" s="0" t="s">
        <v>1068</v>
      </c>
      <c r="B241" s="3" t="n">
        <f aca="false">IF(AJ241="","",IF(ISNUMBER(SEARCH("/",AJ241)),DATE(VALUE(RIGHT(AJ241,4)),VALUE(LEFT(AJ241,2)),VALUE(MID(AJ241,4,2))),IF(ISNUMBER(SEARCH("-",AJ241)),IF(LEN(LEFT(AJ241,FIND("-",AJ241)-1))=4,DATE(VALUE(LEFT(AJ241,4)),VALUE(MID(AJ241,6,2)),VALUE(RIGHT(AJ241,2))),DATE(VALUE(RIGHT(AJ241,4)),VALUE(MID(AJ241,4,2)),VALUE(LEFT(AJ241,2)))),DATE(VALUE(RIGHT(AJ241,4)),MATCH(MID(AJ241,4,3),{"Jan","Feb","Mar","Apr","May","Jun","Jul","Aug","Sep","Oct","Nov","Dec"},0),VALUE(LEFT(AJ241,2))))))</f>
        <v>45556</v>
      </c>
      <c r="C241" s="3" t="n">
        <f aca="false">IF(AK241="","",IF(ISNUMBER(SEARCH("/",AK241)),DATE(VALUE(RIGHT(AK241,4)),VALUE(LEFT(AK241,2)),VALUE(MID(AK241,4,2))),IF(ISNUMBER(SEARCH("-",AK241)),IF(LEN(LEFT(AK241,FIND("-",AK241)-1))=4,DATE(VALUE(LEFT(AK241,4)),VALUE(MID(AK241,6,2)),VALUE(RIGHT(AK241,2))),DATE(VALUE(RIGHT(AK241,4)),VALUE(MID(AK241,4,2)),VALUE(LEFT(AK241,2)))),DATE(VALUE(RIGHT(AK241,4)),MATCH(MID(AK241,4,3),{"Jan","Feb","Mar","Apr","May","Jun","Jul","Aug","Sep","Oct","Nov","Dec"},0),VALUE(LEFT(AK241,2))))))</f>
        <v>45556</v>
      </c>
      <c r="D241" s="4" t="s">
        <v>1069</v>
      </c>
      <c r="E241" s="0" t="str">
        <f aca="false">PROPER(TRIM(AL241))</f>
        <v>Kabir Singh</v>
      </c>
      <c r="F241" s="0" t="str">
        <f aca="false">PROPER(TRIM(AM241))</f>
        <v>Corporate</v>
      </c>
      <c r="G241" s="0" t="str">
        <f aca="false">IF(TRIM(AN241)="","Unknown",PROPER(TRIM(AN241)))</f>
        <v>South</v>
      </c>
      <c r="H241" s="0" t="str">
        <f aca="false">PROPER(TRIM(AO241))</f>
        <v>Karnataka</v>
      </c>
      <c r="I241" s="0" t="str">
        <f aca="false">PROPER(TRIM(AP241))</f>
        <v>Bengaluru</v>
      </c>
      <c r="J241" s="0" t="str">
        <f aca="false">PROPER(TRIM(AQ241))</f>
        <v>Technology</v>
      </c>
      <c r="K241" s="0" t="str">
        <f aca="false">PROPER(TRIM(AR241))</f>
        <v>Machines</v>
      </c>
      <c r="M241" s="0" t="str">
        <f aca="false">IF(TRIM(AS241)="","Unknown",PROPER(TRIM(AS241)))</f>
        <v>First Class</v>
      </c>
      <c r="N241" s="0" t="n">
        <v>2</v>
      </c>
      <c r="O241" s="0" t="n">
        <v>1960.06</v>
      </c>
      <c r="P241" s="5" t="n">
        <f aca="false">IF(AT241="","",IF(ISNUMBER(AT241),AT241,VALUE(SUBSTITUTE(AT241,"%",""))/100))</f>
        <v>0.2</v>
      </c>
      <c r="Q241" s="5" t="n">
        <f aca="false">IF(P241="",IF(AND(N241&lt;&gt;"",O241&lt;&gt;"",R241&lt;&gt;"",S241&lt;&gt;""),0,"REVIEW"),IF(OR(P241&lt;0,P241&gt;0.3),0,P241))</f>
        <v>0.2</v>
      </c>
      <c r="R241" s="0" t="n">
        <v>3136.1</v>
      </c>
      <c r="S241" s="0" t="n">
        <v>2279.49</v>
      </c>
      <c r="T241" s="6" t="n">
        <f aca="false">N241*O241*(1-Q241)</f>
        <v>3136.096</v>
      </c>
      <c r="U241" s="6" t="n">
        <f aca="false">T241-S241</f>
        <v>856.606</v>
      </c>
      <c r="V241" s="7" t="n">
        <f aca="false">IF(T241=0,0,U241/T241)</f>
        <v>0.273144061916472</v>
      </c>
      <c r="W241" s="4" t="n">
        <f aca="false">C241-B241</f>
        <v>0</v>
      </c>
      <c r="X241" s="0" t="str">
        <f aca="false">TEXT(B241,"mmmm")</f>
        <v>September</v>
      </c>
      <c r="Y241" s="4" t="n">
        <f aca="false">YEAR(B241)</f>
        <v>2024</v>
      </c>
      <c r="Z241" s="0" t="str">
        <f aca="false">PROPER(TRIM(AU241))</f>
        <v>Paid</v>
      </c>
      <c r="AA241" s="0" t="str">
        <f aca="false">PROPER(TRIM(AV241))</f>
        <v>Completed</v>
      </c>
      <c r="AB241" s="0" t="str">
        <f aca="false">IF(TRIM(AN241)="","Yes","No")</f>
        <v>No</v>
      </c>
      <c r="AC241" s="0" t="str">
        <f aca="false">IF(TRIM(AS241)="","Yes","No")</f>
        <v>No</v>
      </c>
      <c r="AD241" s="0" t="str">
        <f aca="false">IF(AT241="","Yes","No")</f>
        <v>No</v>
      </c>
      <c r="AE241" s="0" t="str">
        <f aca="false">IF(W241&lt;0,"Yes","No")</f>
        <v>No</v>
      </c>
      <c r="AF241" s="0" t="str">
        <f aca="false">IF(P241="","No",IF(OR(P241&lt;0,P241&gt;0.3),"Yes","No"))</f>
        <v>No</v>
      </c>
      <c r="AG241" s="4" t="s">
        <v>50</v>
      </c>
      <c r="AH241" s="0" t="str">
        <f aca="false">IF(AND(AA241="Completed",Z241="Paid"),"Yes","No")</f>
        <v>Yes</v>
      </c>
      <c r="AI241" s="0" t="str">
        <f aca="false">IF(OR(AE241="Yes",AF241="Yes",AG241="Yes"),"Invalid",IF(OR(AB241="Yes",AC241="Yes",AD241="Yes"),"Warning","Clean"))</f>
        <v>Clean</v>
      </c>
      <c r="AJ241" s="4" t="s">
        <v>1070</v>
      </c>
      <c r="AK241" s="4" t="s">
        <v>966</v>
      </c>
      <c r="AL241" s="4" t="s">
        <v>347</v>
      </c>
      <c r="AM241" s="4" t="s">
        <v>128</v>
      </c>
      <c r="AN241" s="4" t="s">
        <v>87</v>
      </c>
      <c r="AO241" s="4" t="s">
        <v>233</v>
      </c>
      <c r="AP241" s="4" t="s">
        <v>234</v>
      </c>
      <c r="AQ241" s="4" t="s">
        <v>109</v>
      </c>
      <c r="AR241" s="4" t="s">
        <v>360</v>
      </c>
      <c r="AS241" s="4" t="s">
        <v>81</v>
      </c>
      <c r="AT241" s="0" t="n">
        <v>0.2</v>
      </c>
      <c r="AU241" s="4" t="s">
        <v>61</v>
      </c>
      <c r="AV241" s="4" t="s">
        <v>62</v>
      </c>
    </row>
    <row r="242" customFormat="false" ht="15" hidden="false" customHeight="false" outlineLevel="0" collapsed="false">
      <c r="A242" s="0" t="s">
        <v>1071</v>
      </c>
      <c r="B242" s="3" t="n">
        <f aca="false">IF(AJ242="","",IF(ISNUMBER(SEARCH("/",AJ242)),DATE(VALUE(RIGHT(AJ242,4)),VALUE(LEFT(AJ242,2)),VALUE(MID(AJ242,4,2))),IF(ISNUMBER(SEARCH("-",AJ242)),IF(LEN(LEFT(AJ242,FIND("-",AJ242)-1))=4,DATE(VALUE(LEFT(AJ242,4)),VALUE(MID(AJ242,6,2)),VALUE(RIGHT(AJ242,2))),DATE(VALUE(RIGHT(AJ242,4)),VALUE(MID(AJ242,4,2)),VALUE(LEFT(AJ242,2)))),DATE(VALUE(RIGHT(AJ242,4)),MATCH(MID(AJ242,4,3),{"Jan","Feb","Mar","Apr","May","Jun","Jul","Aug","Sep","Oct","Nov","Dec"},0),VALUE(LEFT(AJ242,2))))))</f>
        <v>45643</v>
      </c>
      <c r="C242" s="3" t="n">
        <f aca="false">IF(AK242="","",IF(ISNUMBER(SEARCH("/",AK242)),DATE(VALUE(RIGHT(AK242,4)),VALUE(LEFT(AK242,2)),VALUE(MID(AK242,4,2))),IF(ISNUMBER(SEARCH("-",AK242)),IF(LEN(LEFT(AK242,FIND("-",AK242)-1))=4,DATE(VALUE(LEFT(AK242,4)),VALUE(MID(AK242,6,2)),VALUE(RIGHT(AK242,2))),DATE(VALUE(RIGHT(AK242,4)),VALUE(MID(AK242,4,2)),VALUE(LEFT(AK242,2)))),DATE(VALUE(RIGHT(AK242,4)),MATCH(MID(AK242,4,3),{"Jan","Feb","Mar","Apr","May","Jun","Jul","Aug","Sep","Oct","Nov","Dec"},0),VALUE(LEFT(AK242,2))))))</f>
        <v>45649</v>
      </c>
      <c r="D242" s="4" t="s">
        <v>1072</v>
      </c>
      <c r="E242" s="0" t="str">
        <f aca="false">PROPER(TRIM(AL242))</f>
        <v>Aarav Sharma</v>
      </c>
      <c r="F242" s="0" t="str">
        <f aca="false">PROPER(TRIM(AM242))</f>
        <v>Corporate</v>
      </c>
      <c r="G242" s="0" t="str">
        <f aca="false">IF(TRIM(AN242)="","Unknown",PROPER(TRIM(AN242)))</f>
        <v>South</v>
      </c>
      <c r="H242" s="0" t="str">
        <f aca="false">PROPER(TRIM(AO242))</f>
        <v>Telangana</v>
      </c>
      <c r="I242" s="0" t="str">
        <f aca="false">PROPER(TRIM(AP242))</f>
        <v>Hyderabad</v>
      </c>
      <c r="J242" s="0" t="str">
        <f aca="false">PROPER(TRIM(AQ242))</f>
        <v>Office Supplies</v>
      </c>
      <c r="K242" s="0" t="str">
        <f aca="false">PROPER(TRIM(AR242))</f>
        <v>Binders</v>
      </c>
      <c r="M242" s="0" t="str">
        <f aca="false">IF(TRIM(AS242)="","Unknown",PROPER(TRIM(AS242)))</f>
        <v>First Class</v>
      </c>
      <c r="N242" s="0" t="n">
        <v>9</v>
      </c>
      <c r="O242" s="0" t="n">
        <v>2315.1</v>
      </c>
      <c r="P242" s="5" t="n">
        <f aca="false">IF(AT242="","",IF(ISNUMBER(AT242),AT242,VALUE(SUBSTITUTE(AT242,"%",""))/100))</f>
        <v>0</v>
      </c>
      <c r="Q242" s="5" t="n">
        <f aca="false">IF(P242="",IF(AND(N242&lt;&gt;"",O242&lt;&gt;"",R242&lt;&gt;"",S242&lt;&gt;""),0,"REVIEW"),IF(OR(P242&lt;0,P242&gt;0.3),0,P242))</f>
        <v>0</v>
      </c>
      <c r="R242" s="0" t="n">
        <v>20835.9</v>
      </c>
      <c r="S242" s="0" t="n">
        <v>13928.19</v>
      </c>
      <c r="T242" s="6" t="n">
        <f aca="false">N242*O242*(1-Q242)</f>
        <v>20835.9</v>
      </c>
      <c r="U242" s="6" t="n">
        <f aca="false">T242-S242</f>
        <v>6907.71</v>
      </c>
      <c r="V242" s="7" t="n">
        <f aca="false">IF(T242=0,0,U242/T242)</f>
        <v>0.331529235598174</v>
      </c>
      <c r="W242" s="4" t="n">
        <f aca="false">C242-B242</f>
        <v>6</v>
      </c>
      <c r="X242" s="0" t="str">
        <f aca="false">TEXT(B242,"mmmm")</f>
        <v>December</v>
      </c>
      <c r="Y242" s="4" t="n">
        <f aca="false">YEAR(B242)</f>
        <v>2024</v>
      </c>
      <c r="Z242" s="0" t="str">
        <f aca="false">PROPER(TRIM(AU242))</f>
        <v>Paid</v>
      </c>
      <c r="AA242" s="0" t="str">
        <f aca="false">PROPER(TRIM(AV242))</f>
        <v>Completed</v>
      </c>
      <c r="AB242" s="0" t="str">
        <f aca="false">IF(TRIM(AN242)="","Yes","No")</f>
        <v>No</v>
      </c>
      <c r="AC242" s="0" t="str">
        <f aca="false">IF(TRIM(AS242)="","Yes","No")</f>
        <v>No</v>
      </c>
      <c r="AD242" s="0" t="str">
        <f aca="false">IF(AT242="","Yes","No")</f>
        <v>No</v>
      </c>
      <c r="AE242" s="0" t="str">
        <f aca="false">IF(W242&lt;0,"Yes","No")</f>
        <v>No</v>
      </c>
      <c r="AF242" s="0" t="str">
        <f aca="false">IF(P242="","No",IF(OR(P242&lt;0,P242&gt;0.3),"Yes","No"))</f>
        <v>No</v>
      </c>
      <c r="AG242" s="4" t="s">
        <v>50</v>
      </c>
      <c r="AH242" s="0" t="str">
        <f aca="false">IF(AND(AA242="Completed",Z242="Paid"),"Yes","No")</f>
        <v>Yes</v>
      </c>
      <c r="AI242" s="0" t="str">
        <f aca="false">IF(OR(AE242="Yes",AF242="Yes",AG242="Yes"),"Invalid",IF(OR(AB242="Yes",AC242="Yes",AD242="Yes"),"Warning","Clean"))</f>
        <v>Clean</v>
      </c>
      <c r="AJ242" s="4" t="s">
        <v>1073</v>
      </c>
      <c r="AK242" s="4" t="s">
        <v>720</v>
      </c>
      <c r="AL242" s="4" t="s">
        <v>176</v>
      </c>
      <c r="AM242" s="4" t="s">
        <v>128</v>
      </c>
      <c r="AN242" s="4" t="s">
        <v>87</v>
      </c>
      <c r="AO242" s="4" t="s">
        <v>88</v>
      </c>
      <c r="AP242" s="4" t="s">
        <v>89</v>
      </c>
      <c r="AQ242" s="4" t="s">
        <v>58</v>
      </c>
      <c r="AR242" s="4" t="s">
        <v>206</v>
      </c>
      <c r="AS242" s="4" t="s">
        <v>81</v>
      </c>
      <c r="AT242" s="0" t="n">
        <v>0</v>
      </c>
      <c r="AU242" s="4" t="s">
        <v>61</v>
      </c>
      <c r="AV242" s="4" t="s">
        <v>62</v>
      </c>
    </row>
    <row r="243" customFormat="false" ht="15" hidden="false" customHeight="false" outlineLevel="0" collapsed="false">
      <c r="A243" s="0" t="s">
        <v>1074</v>
      </c>
      <c r="B243" s="3" t="n">
        <f aca="false">IF(AJ243="","",IF(ISNUMBER(SEARCH("/",AJ243)),DATE(VALUE(RIGHT(AJ243,4)),VALUE(LEFT(AJ243,2)),VALUE(MID(AJ243,4,2))),IF(ISNUMBER(SEARCH("-",AJ243)),IF(LEN(LEFT(AJ243,FIND("-",AJ243)-1))=4,DATE(VALUE(LEFT(AJ243,4)),VALUE(MID(AJ243,6,2)),VALUE(RIGHT(AJ243,2))),DATE(VALUE(RIGHT(AJ243,4)),VALUE(MID(AJ243,4,2)),VALUE(LEFT(AJ243,2)))),DATE(VALUE(RIGHT(AJ243,4)),MATCH(MID(AJ243,4,3),{"Jan","Feb","Mar","Apr","May","Jun","Jul","Aug","Sep","Oct","Nov","Dec"},0),VALUE(LEFT(AJ243,2))))))</f>
        <v>45844</v>
      </c>
      <c r="C243" s="3" t="n">
        <f aca="false">IF(AK243="","",IF(ISNUMBER(SEARCH("/",AK243)),DATE(VALUE(RIGHT(AK243,4)),VALUE(LEFT(AK243,2)),VALUE(MID(AK243,4,2))),IF(ISNUMBER(SEARCH("-",AK243)),IF(LEN(LEFT(AK243,FIND("-",AK243)-1))=4,DATE(VALUE(LEFT(AK243,4)),VALUE(MID(AK243,6,2)),VALUE(RIGHT(AK243,2))),DATE(VALUE(RIGHT(AK243,4)),VALUE(MID(AK243,4,2)),VALUE(LEFT(AK243,2)))),DATE(VALUE(RIGHT(AK243,4)),MATCH(MID(AK243,4,3),{"Jan","Feb","Mar","Apr","May","Jun","Jul","Aug","Sep","Oct","Nov","Dec"},0),VALUE(LEFT(AK243,2))))))</f>
        <v>45844</v>
      </c>
      <c r="D243" s="4" t="s">
        <v>1075</v>
      </c>
      <c r="E243" s="0" t="str">
        <f aca="false">PROPER(TRIM(AL243))</f>
        <v>Sneha Kapoor</v>
      </c>
      <c r="F243" s="0" t="str">
        <f aca="false">PROPER(TRIM(AM243))</f>
        <v>Corporate</v>
      </c>
      <c r="G243" s="0" t="str">
        <f aca="false">IF(TRIM(AN243)="","Unknown",PROPER(TRIM(AN243)))</f>
        <v>North</v>
      </c>
      <c r="H243" s="0" t="str">
        <f aca="false">PROPER(TRIM(AO243))</f>
        <v>Haryana</v>
      </c>
      <c r="I243" s="0" t="str">
        <f aca="false">PROPER(TRIM(AP243))</f>
        <v>Gurugram</v>
      </c>
      <c r="J243" s="0" t="str">
        <f aca="false">PROPER(TRIM(AQ243))</f>
        <v>Office Supplies</v>
      </c>
      <c r="K243" s="0" t="str">
        <f aca="false">PROPER(TRIM(AR243))</f>
        <v>Storage</v>
      </c>
      <c r="M243" s="0" t="str">
        <f aca="false">IF(TRIM(AS243)="","Unknown",PROPER(TRIM(AS243)))</f>
        <v>Standard Class</v>
      </c>
      <c r="N243" s="0" t="n">
        <v>1</v>
      </c>
      <c r="O243" s="0" t="n">
        <v>1617.2</v>
      </c>
      <c r="P243" s="5" t="n">
        <f aca="false">IF(AT243="","",IF(ISNUMBER(AT243),AT243,VALUE(SUBSTITUTE(AT243,"%",""))/100))</f>
        <v>0.25</v>
      </c>
      <c r="Q243" s="5" t="n">
        <f aca="false">IF(P243="",IF(AND(N243&lt;&gt;"",O243&lt;&gt;"",R243&lt;&gt;"",S243&lt;&gt;""),0,"REVIEW"),IF(OR(P243&lt;0,P243&gt;0.3),0,P243))</f>
        <v>0.25</v>
      </c>
      <c r="R243" s="0" t="n">
        <v>1212.9</v>
      </c>
      <c r="S243" s="0" t="n">
        <v>690.52</v>
      </c>
      <c r="T243" s="6" t="n">
        <f aca="false">N243*O243*(1-Q243)</f>
        <v>1212.9</v>
      </c>
      <c r="U243" s="6" t="n">
        <f aca="false">T243-S243</f>
        <v>522.38</v>
      </c>
      <c r="V243" s="7" t="n">
        <f aca="false">IF(T243=0,0,U243/T243)</f>
        <v>0.430686783741446</v>
      </c>
      <c r="W243" s="4" t="n">
        <f aca="false">C243-B243</f>
        <v>0</v>
      </c>
      <c r="X243" s="0" t="str">
        <f aca="false">TEXT(B243,"mmmm")</f>
        <v>July</v>
      </c>
      <c r="Y243" s="4" t="n">
        <f aca="false">YEAR(B243)</f>
        <v>2025</v>
      </c>
      <c r="Z243" s="0" t="str">
        <f aca="false">PROPER(TRIM(AU243))</f>
        <v>Pending</v>
      </c>
      <c r="AA243" s="0" t="str">
        <f aca="false">PROPER(TRIM(AV243))</f>
        <v>Returned</v>
      </c>
      <c r="AB243" s="0" t="str">
        <f aca="false">IF(TRIM(AN243)="","Yes","No")</f>
        <v>No</v>
      </c>
      <c r="AC243" s="0" t="str">
        <f aca="false">IF(TRIM(AS243)="","Yes","No")</f>
        <v>No</v>
      </c>
      <c r="AD243" s="0" t="str">
        <f aca="false">IF(AT243="","Yes","No")</f>
        <v>No</v>
      </c>
      <c r="AE243" s="0" t="str">
        <f aca="false">IF(W243&lt;0,"Yes","No")</f>
        <v>No</v>
      </c>
      <c r="AF243" s="0" t="str">
        <f aca="false">IF(P243="","No",IF(OR(P243&lt;0,P243&gt;0.3),"Yes","No"))</f>
        <v>No</v>
      </c>
      <c r="AG243" s="4" t="s">
        <v>50</v>
      </c>
      <c r="AH243" s="0" t="str">
        <f aca="false">IF(AND(AA243="Completed",Z243="Paid"),"Yes","No")</f>
        <v>No</v>
      </c>
      <c r="AI243" s="0" t="str">
        <f aca="false">IF(OR(AE243="Yes",AF243="Yes",AG243="Yes"),"Invalid",IF(OR(AB243="Yes",AC243="Yes",AD243="Yes"),"Warning","Clean"))</f>
        <v>Clean</v>
      </c>
      <c r="AJ243" s="4" t="s">
        <v>1076</v>
      </c>
      <c r="AK243" s="4" t="s">
        <v>1077</v>
      </c>
      <c r="AL243" s="4" t="s">
        <v>181</v>
      </c>
      <c r="AM243" s="4" t="s">
        <v>128</v>
      </c>
      <c r="AN243" s="4" t="s">
        <v>168</v>
      </c>
      <c r="AO243" s="4" t="s">
        <v>310</v>
      </c>
      <c r="AP243" s="4" t="s">
        <v>311</v>
      </c>
      <c r="AQ243" s="4" t="s">
        <v>58</v>
      </c>
      <c r="AR243" s="4" t="s">
        <v>171</v>
      </c>
      <c r="AS243" s="4" t="s">
        <v>91</v>
      </c>
      <c r="AT243" s="0" t="n">
        <v>0.25</v>
      </c>
      <c r="AU243" s="4" t="s">
        <v>153</v>
      </c>
      <c r="AV243" s="4" t="s">
        <v>142</v>
      </c>
    </row>
    <row r="244" customFormat="false" ht="15" hidden="false" customHeight="false" outlineLevel="0" collapsed="false">
      <c r="A244" s="0" t="s">
        <v>1078</v>
      </c>
      <c r="B244" s="3" t="n">
        <f aca="false">IF(AJ244="","",IF(ISNUMBER(SEARCH("/",AJ244)),DATE(VALUE(RIGHT(AJ244,4)),VALUE(LEFT(AJ244,2)),VALUE(MID(AJ244,4,2))),IF(ISNUMBER(SEARCH("-",AJ244)),IF(LEN(LEFT(AJ244,FIND("-",AJ244)-1))=4,DATE(VALUE(LEFT(AJ244,4)),VALUE(MID(AJ244,6,2)),VALUE(RIGHT(AJ244,2))),DATE(VALUE(RIGHT(AJ244,4)),VALUE(MID(AJ244,4,2)),VALUE(LEFT(AJ244,2)))),DATE(VALUE(RIGHT(AJ244,4)),MATCH(MID(AJ244,4,3),{"Jan","Feb","Mar","Apr","May","Jun","Jul","Aug","Sep","Oct","Nov","Dec"},0),VALUE(LEFT(AJ244,2))))))</f>
        <v>45695</v>
      </c>
      <c r="C244" s="3" t="n">
        <f aca="false">IF(AK244="","",IF(ISNUMBER(SEARCH("/",AK244)),DATE(VALUE(RIGHT(AK244,4)),VALUE(LEFT(AK244,2)),VALUE(MID(AK244,4,2))),IF(ISNUMBER(SEARCH("-",AK244)),IF(LEN(LEFT(AK244,FIND("-",AK244)-1))=4,DATE(VALUE(LEFT(AK244,4)),VALUE(MID(AK244,6,2)),VALUE(RIGHT(AK244,2))),DATE(VALUE(RIGHT(AK244,4)),VALUE(MID(AK244,4,2)),VALUE(LEFT(AK244,2)))),DATE(VALUE(RIGHT(AK244,4)),MATCH(MID(AK244,4,3),{"Jan","Feb","Mar","Apr","May","Jun","Jul","Aug","Sep","Oct","Nov","Dec"},0),VALUE(LEFT(AK244,2))))))</f>
        <v>45695</v>
      </c>
      <c r="D244" s="4" t="s">
        <v>1079</v>
      </c>
      <c r="E244" s="0" t="str">
        <f aca="false">PROPER(TRIM(AL244))</f>
        <v>Arjun Bose</v>
      </c>
      <c r="F244" s="0" t="str">
        <f aca="false">PROPER(TRIM(AM244))</f>
        <v>Consumer</v>
      </c>
      <c r="G244" s="0" t="str">
        <f aca="false">IF(TRIM(AN244)="","Unknown",PROPER(TRIM(AN244)))</f>
        <v>North</v>
      </c>
      <c r="H244" s="0" t="str">
        <f aca="false">PROPER(TRIM(AO244))</f>
        <v>Uttar Pradesh</v>
      </c>
      <c r="I244" s="0" t="str">
        <f aca="false">PROPER(TRIM(AP244))</f>
        <v>Noida</v>
      </c>
      <c r="J244" s="0" t="str">
        <f aca="false">PROPER(TRIM(AQ244))</f>
        <v>Office Supplies</v>
      </c>
      <c r="K244" s="0" t="str">
        <f aca="false">PROPER(TRIM(AR244))</f>
        <v>Art</v>
      </c>
      <c r="M244" s="0" t="str">
        <f aca="false">IF(TRIM(AS244)="","Unknown",PROPER(TRIM(AS244)))</f>
        <v>Second Class</v>
      </c>
      <c r="N244" s="0" t="n">
        <v>3</v>
      </c>
      <c r="O244" s="0" t="n">
        <v>1999.24</v>
      </c>
      <c r="P244" s="5" t="n">
        <f aca="false">IF(AT244="","",IF(ISNUMBER(AT244),AT244,VALUE(SUBSTITUTE(AT244,"%",""))/100))</f>
        <v>0.05</v>
      </c>
      <c r="Q244" s="5" t="n">
        <f aca="false">IF(P244="",IF(AND(N244&lt;&gt;"",O244&lt;&gt;"",R244&lt;&gt;"",S244&lt;&gt;""),0,"REVIEW"),IF(OR(P244&lt;0,P244&gt;0.3),0,P244))</f>
        <v>0.05</v>
      </c>
      <c r="R244" s="0" t="n">
        <v>5697.83</v>
      </c>
      <c r="S244" s="0" t="n">
        <v>4251.5</v>
      </c>
      <c r="T244" s="6" t="n">
        <f aca="false">N244*O244*(1-Q244)</f>
        <v>5697.834</v>
      </c>
      <c r="U244" s="6" t="n">
        <f aca="false">T244-S244</f>
        <v>1446.334</v>
      </c>
      <c r="V244" s="7" t="n">
        <f aca="false">IF(T244=0,0,U244/T244)</f>
        <v>0.253839265938601</v>
      </c>
      <c r="W244" s="4" t="n">
        <f aca="false">C244-B244</f>
        <v>0</v>
      </c>
      <c r="X244" s="0" t="str">
        <f aca="false">TEXT(B244,"mmmm")</f>
        <v>February</v>
      </c>
      <c r="Y244" s="4" t="n">
        <f aca="false">YEAR(B244)</f>
        <v>2025</v>
      </c>
      <c r="Z244" s="0" t="str">
        <f aca="false">PROPER(TRIM(AU244))</f>
        <v>Paid</v>
      </c>
      <c r="AA244" s="0" t="str">
        <f aca="false">PROPER(TRIM(AV244))</f>
        <v>Completed</v>
      </c>
      <c r="AB244" s="0" t="str">
        <f aca="false">IF(TRIM(AN244)="","Yes","No")</f>
        <v>No</v>
      </c>
      <c r="AC244" s="0" t="str">
        <f aca="false">IF(TRIM(AS244)="","Yes","No")</f>
        <v>No</v>
      </c>
      <c r="AD244" s="0" t="str">
        <f aca="false">IF(AT244="","Yes","No")</f>
        <v>No</v>
      </c>
      <c r="AE244" s="0" t="str">
        <f aca="false">IF(W244&lt;0,"Yes","No")</f>
        <v>No</v>
      </c>
      <c r="AF244" s="0" t="str">
        <f aca="false">IF(P244="","No",IF(OR(P244&lt;0,P244&gt;0.3),"Yes","No"))</f>
        <v>No</v>
      </c>
      <c r="AG244" s="4" t="s">
        <v>50</v>
      </c>
      <c r="AH244" s="0" t="str">
        <f aca="false">IF(AND(AA244="Completed",Z244="Paid"),"Yes","No")</f>
        <v>Yes</v>
      </c>
      <c r="AI244" s="0" t="str">
        <f aca="false">IF(OR(AE244="Yes",AF244="Yes",AG244="Yes"),"Invalid",IF(OR(AB244="Yes",AC244="Yes",AD244="Yes"),"Warning","Clean"))</f>
        <v>Clean</v>
      </c>
      <c r="AJ244" s="4" t="s">
        <v>1080</v>
      </c>
      <c r="AK244" s="4" t="s">
        <v>1081</v>
      </c>
      <c r="AL244" s="4" t="s">
        <v>86</v>
      </c>
      <c r="AM244" s="4" t="s">
        <v>54</v>
      </c>
      <c r="AN244" s="4" t="s">
        <v>168</v>
      </c>
      <c r="AO244" s="4" t="s">
        <v>186</v>
      </c>
      <c r="AP244" s="4" t="s">
        <v>187</v>
      </c>
      <c r="AQ244" s="4" t="s">
        <v>58</v>
      </c>
      <c r="AR244" s="4" t="s">
        <v>80</v>
      </c>
      <c r="AS244" s="4" t="s">
        <v>60</v>
      </c>
      <c r="AT244" s="0" t="n">
        <v>0.05</v>
      </c>
      <c r="AU244" s="4" t="s">
        <v>61</v>
      </c>
      <c r="AV244" s="4" t="s">
        <v>62</v>
      </c>
    </row>
    <row r="245" customFormat="false" ht="15" hidden="false" customHeight="false" outlineLevel="0" collapsed="false">
      <c r="A245" s="0" t="s">
        <v>1082</v>
      </c>
      <c r="B245" s="3" t="n">
        <f aca="false">IF(AJ245="","",IF(ISNUMBER(SEARCH("/",AJ245)),DATE(VALUE(RIGHT(AJ245,4)),VALUE(LEFT(AJ245,2)),VALUE(MID(AJ245,4,2))),IF(ISNUMBER(SEARCH("-",AJ245)),IF(LEN(LEFT(AJ245,FIND("-",AJ245)-1))=4,DATE(VALUE(LEFT(AJ245,4)),VALUE(MID(AJ245,6,2)),VALUE(RIGHT(AJ245,2))),DATE(VALUE(RIGHT(AJ245,4)),VALUE(MID(AJ245,4,2)),VALUE(LEFT(AJ245,2)))),DATE(VALUE(RIGHT(AJ245,4)),MATCH(MID(AJ245,4,3),{"Jan","Feb","Mar","Apr","May","Jun","Jul","Aug","Sep","Oct","Nov","Dec"},0),VALUE(LEFT(AJ245,2))))))</f>
        <v>45867</v>
      </c>
      <c r="C245" s="3" t="n">
        <f aca="false">IF(AK245="","",IF(ISNUMBER(SEARCH("/",AK245)),DATE(VALUE(RIGHT(AK245,4)),VALUE(LEFT(AK245,2)),VALUE(MID(AK245,4,2))),IF(ISNUMBER(SEARCH("-",AK245)),IF(LEN(LEFT(AK245,FIND("-",AK245)-1))=4,DATE(VALUE(LEFT(AK245,4)),VALUE(MID(AK245,6,2)),VALUE(RIGHT(AK245,2))),DATE(VALUE(RIGHT(AK245,4)),VALUE(MID(AK245,4,2)),VALUE(LEFT(AK245,2)))),DATE(VALUE(RIGHT(AK245,4)),MATCH(MID(AK245,4,3),{"Jan","Feb","Mar","Apr","May","Jun","Jul","Aug","Sep","Oct","Nov","Dec"},0),VALUE(LEFT(AK245,2))))))</f>
        <v>45871</v>
      </c>
      <c r="D245" s="4" t="s">
        <v>1083</v>
      </c>
      <c r="E245" s="0" t="str">
        <f aca="false">PROPER(TRIM(AL245))</f>
        <v>Sneha Kapoor</v>
      </c>
      <c r="F245" s="0" t="str">
        <f aca="false">PROPER(TRIM(AM245))</f>
        <v>Small Business</v>
      </c>
      <c r="G245" s="0" t="str">
        <f aca="false">IF(TRIM(AN245)="","Unknown",PROPER(TRIM(AN245)))</f>
        <v>Unknown</v>
      </c>
      <c r="H245" s="0" t="str">
        <f aca="false">PROPER(TRIM(AO245))</f>
        <v>Madhya Pradesh</v>
      </c>
      <c r="I245" s="0" t="str">
        <f aca="false">PROPER(TRIM(AP245))</f>
        <v>Indore</v>
      </c>
      <c r="J245" s="0" t="str">
        <f aca="false">PROPER(TRIM(AQ245))</f>
        <v>Technology</v>
      </c>
      <c r="K245" s="0" t="str">
        <f aca="false">PROPER(TRIM(AR245))</f>
        <v>Accessories</v>
      </c>
      <c r="M245" s="0" t="str">
        <f aca="false">IF(TRIM(AS245)="","Unknown",PROPER(TRIM(AS245)))</f>
        <v>First Class</v>
      </c>
      <c r="N245" s="0" t="n">
        <v>1</v>
      </c>
      <c r="O245" s="0" t="n">
        <v>4499.46</v>
      </c>
      <c r="P245" s="5" t="n">
        <f aca="false">IF(AT245="","",IF(ISNUMBER(AT245),AT245,VALUE(SUBSTITUTE(AT245,"%",""))/100))</f>
        <v>0.1</v>
      </c>
      <c r="Q245" s="5" t="n">
        <f aca="false">IF(P245="",IF(AND(N245&lt;&gt;"",O245&lt;&gt;"",R245&lt;&gt;"",S245&lt;&gt;""),0,"REVIEW"),IF(OR(P245&lt;0,P245&gt;0.3),0,P245))</f>
        <v>0.1</v>
      </c>
      <c r="R245" s="0" t="n">
        <v>4049.51</v>
      </c>
      <c r="S245" s="0" t="n">
        <v>2509.2</v>
      </c>
      <c r="T245" s="6" t="n">
        <f aca="false">N245*O245*(1-Q245)</f>
        <v>4049.514</v>
      </c>
      <c r="U245" s="6" t="n">
        <f aca="false">T245-S245</f>
        <v>1540.314</v>
      </c>
      <c r="V245" s="7" t="n">
        <f aca="false">IF(T245=0,0,U245/T245)</f>
        <v>0.380370088855107</v>
      </c>
      <c r="W245" s="4" t="n">
        <f aca="false">C245-B245</f>
        <v>4</v>
      </c>
      <c r="X245" s="0" t="str">
        <f aca="false">TEXT(B245,"mmmm")</f>
        <v>July</v>
      </c>
      <c r="Y245" s="4" t="n">
        <f aca="false">YEAR(B245)</f>
        <v>2025</v>
      </c>
      <c r="Z245" s="0" t="str">
        <f aca="false">PROPER(TRIM(AU245))</f>
        <v>Paid</v>
      </c>
      <c r="AA245" s="0" t="str">
        <f aca="false">PROPER(TRIM(AV245))</f>
        <v>Completed</v>
      </c>
      <c r="AB245" s="0" t="str">
        <f aca="false">IF(TRIM(AN245)="","Yes","No")</f>
        <v>Yes</v>
      </c>
      <c r="AC245" s="0" t="str">
        <f aca="false">IF(TRIM(AS245)="","Yes","No")</f>
        <v>No</v>
      </c>
      <c r="AD245" s="0" t="str">
        <f aca="false">IF(AT245="","Yes","No")</f>
        <v>No</v>
      </c>
      <c r="AE245" s="0" t="str">
        <f aca="false">IF(W245&lt;0,"Yes","No")</f>
        <v>No</v>
      </c>
      <c r="AF245" s="0" t="str">
        <f aca="false">IF(P245="","No",IF(OR(P245&lt;0,P245&gt;0.3),"Yes","No"))</f>
        <v>No</v>
      </c>
      <c r="AG245" s="4" t="s">
        <v>50</v>
      </c>
      <c r="AH245" s="0" t="str">
        <f aca="false">IF(AND(AA245="Completed",Z245="Paid"),"Yes","No")</f>
        <v>Yes</v>
      </c>
      <c r="AI245" s="0" t="str">
        <f aca="false">IF(OR(AE245="Yes",AF245="Yes",AG245="Yes"),"Invalid",IF(OR(AB245="Yes",AC245="Yes",AD245="Yes"),"Warning","Clean"))</f>
        <v>Warning</v>
      </c>
      <c r="AJ245" s="4" t="s">
        <v>278</v>
      </c>
      <c r="AK245" s="4" t="s">
        <v>1084</v>
      </c>
      <c r="AL245" s="4" t="s">
        <v>181</v>
      </c>
      <c r="AM245" s="4" t="s">
        <v>68</v>
      </c>
      <c r="AO245" s="4" t="s">
        <v>107</v>
      </c>
      <c r="AP245" s="4" t="s">
        <v>108</v>
      </c>
      <c r="AQ245" s="4" t="s">
        <v>109</v>
      </c>
      <c r="AR245" s="4" t="s">
        <v>110</v>
      </c>
      <c r="AS245" s="4" t="s">
        <v>81</v>
      </c>
      <c r="AT245" s="0" t="n">
        <v>0.1</v>
      </c>
      <c r="AU245" s="4" t="s">
        <v>61</v>
      </c>
      <c r="AV245" s="4" t="s">
        <v>878</v>
      </c>
    </row>
    <row r="246" customFormat="false" ht="15" hidden="false" customHeight="false" outlineLevel="0" collapsed="false">
      <c r="A246" s="0" t="s">
        <v>1085</v>
      </c>
      <c r="B246" s="3" t="n">
        <f aca="false">IF(AJ246="","",IF(ISNUMBER(SEARCH("/",AJ246)),DATE(VALUE(RIGHT(AJ246,4)),VALUE(LEFT(AJ246,2)),VALUE(MID(AJ246,4,2))),IF(ISNUMBER(SEARCH("-",AJ246)),IF(LEN(LEFT(AJ246,FIND("-",AJ246)-1))=4,DATE(VALUE(LEFT(AJ246,4)),VALUE(MID(AJ246,6,2)),VALUE(RIGHT(AJ246,2))),DATE(VALUE(RIGHT(AJ246,4)),VALUE(MID(AJ246,4,2)),VALUE(LEFT(AJ246,2)))),DATE(VALUE(RIGHT(AJ246,4)),MATCH(MID(AJ246,4,3),{"Jan","Feb","Mar","Apr","May","Jun","Jul","Aug","Sep","Oct","Nov","Dec"},0),VALUE(LEFT(AJ246,2))))))</f>
        <v>45527</v>
      </c>
      <c r="C246" s="3" t="n">
        <f aca="false">IF(AK246="","",IF(ISNUMBER(SEARCH("/",AK246)),DATE(VALUE(RIGHT(AK246,4)),VALUE(LEFT(AK246,2)),VALUE(MID(AK246,4,2))),IF(ISNUMBER(SEARCH("-",AK246)),IF(LEN(LEFT(AK246,FIND("-",AK246)-1))=4,DATE(VALUE(LEFT(AK246,4)),VALUE(MID(AK246,6,2)),VALUE(RIGHT(AK246,2))),DATE(VALUE(RIGHT(AK246,4)),VALUE(MID(AK246,4,2)),VALUE(LEFT(AK246,2)))),DATE(VALUE(RIGHT(AK246,4)),MATCH(MID(AK246,4,3),{"Jan","Feb","Mar","Apr","May","Jun","Jul","Aug","Sep","Oct","Nov","Dec"},0),VALUE(LEFT(AK246,2))))))</f>
        <v>45528</v>
      </c>
      <c r="D246" s="4" t="s">
        <v>1086</v>
      </c>
      <c r="E246" s="0" t="str">
        <f aca="false">PROPER(TRIM(AL246))</f>
        <v>Neha Gupta</v>
      </c>
      <c r="F246" s="0" t="str">
        <f aca="false">PROPER(TRIM(AM246))</f>
        <v>Consumer</v>
      </c>
      <c r="G246" s="0" t="str">
        <f aca="false">IF(TRIM(AN246)="","Unknown",PROPER(TRIM(AN246)))</f>
        <v>South</v>
      </c>
      <c r="H246" s="0" t="str">
        <f aca="false">PROPER(TRIM(AO246))</f>
        <v>Telangana</v>
      </c>
      <c r="I246" s="0" t="str">
        <f aca="false">PROPER(TRIM(AP246))</f>
        <v>Hyderabad</v>
      </c>
      <c r="J246" s="0" t="str">
        <f aca="false">PROPER(TRIM(AQ246))</f>
        <v>Furniture</v>
      </c>
      <c r="K246" s="0" t="str">
        <f aca="false">PROPER(TRIM(AR246))</f>
        <v>Bookcases</v>
      </c>
      <c r="M246" s="0" t="str">
        <f aca="false">IF(TRIM(AS246)="","Unknown",PROPER(TRIM(AS246)))</f>
        <v>Same Day</v>
      </c>
      <c r="N246" s="0" t="n">
        <v>6</v>
      </c>
      <c r="O246" s="0" t="n">
        <v>1021.89</v>
      </c>
      <c r="P246" s="5" t="n">
        <f aca="false">IF(AT246="","",IF(ISNUMBER(AT246),AT246,VALUE(SUBSTITUTE(AT246,"%",""))/100))</f>
        <v>0</v>
      </c>
      <c r="Q246" s="5" t="n">
        <f aca="false">IF(P246="",IF(AND(N246&lt;&gt;"",O246&lt;&gt;"",R246&lt;&gt;"",S246&lt;&gt;""),0,"REVIEW"),IF(OR(P246&lt;0,P246&gt;0.3),0,P246))</f>
        <v>0</v>
      </c>
      <c r="R246" s="0" t="n">
        <v>6131.34</v>
      </c>
      <c r="S246" s="0" t="n">
        <v>4060.88</v>
      </c>
      <c r="T246" s="6" t="n">
        <f aca="false">N246*O246*(1-Q246)</f>
        <v>6131.34</v>
      </c>
      <c r="U246" s="6" t="n">
        <f aca="false">T246-S246</f>
        <v>2070.46</v>
      </c>
      <c r="V246" s="7" t="n">
        <f aca="false">IF(T246=0,0,U246/T246)</f>
        <v>0.337684747542951</v>
      </c>
      <c r="W246" s="4" t="n">
        <f aca="false">C246-B246</f>
        <v>1</v>
      </c>
      <c r="X246" s="0" t="str">
        <f aca="false">TEXT(B246,"mmmm")</f>
        <v>August</v>
      </c>
      <c r="Y246" s="4" t="n">
        <f aca="false">YEAR(B246)</f>
        <v>2024</v>
      </c>
      <c r="Z246" s="0" t="str">
        <f aca="false">PROPER(TRIM(AU246))</f>
        <v>Paid</v>
      </c>
      <c r="AA246" s="0" t="str">
        <f aca="false">PROPER(TRIM(AV246))</f>
        <v>Completed</v>
      </c>
      <c r="AB246" s="0" t="str">
        <f aca="false">IF(TRIM(AN246)="","Yes","No")</f>
        <v>No</v>
      </c>
      <c r="AC246" s="0" t="str">
        <f aca="false">IF(TRIM(AS246)="","Yes","No")</f>
        <v>No</v>
      </c>
      <c r="AD246" s="0" t="str">
        <f aca="false">IF(AT246="","Yes","No")</f>
        <v>No</v>
      </c>
      <c r="AE246" s="0" t="str">
        <f aca="false">IF(W246&lt;0,"Yes","No")</f>
        <v>No</v>
      </c>
      <c r="AF246" s="0" t="str">
        <f aca="false">IF(P246="","No",IF(OR(P246&lt;0,P246&gt;0.3),"Yes","No"))</f>
        <v>No</v>
      </c>
      <c r="AG246" s="4" t="s">
        <v>50</v>
      </c>
      <c r="AH246" s="0" t="str">
        <f aca="false">IF(AND(AA246="Completed",Z246="Paid"),"Yes","No")</f>
        <v>Yes</v>
      </c>
      <c r="AI246" s="0" t="str">
        <f aca="false">IF(OR(AE246="Yes",AF246="Yes",AG246="Yes"),"Invalid",IF(OR(AB246="Yes",AC246="Yes",AD246="Yes"),"Warning","Clean"))</f>
        <v>Clean</v>
      </c>
      <c r="AJ246" s="4" t="s">
        <v>567</v>
      </c>
      <c r="AK246" s="4" t="s">
        <v>1087</v>
      </c>
      <c r="AL246" s="4" t="s">
        <v>115</v>
      </c>
      <c r="AM246" s="4" t="s">
        <v>54</v>
      </c>
      <c r="AN246" s="4" t="s">
        <v>87</v>
      </c>
      <c r="AO246" s="4" t="s">
        <v>88</v>
      </c>
      <c r="AP246" s="4" t="s">
        <v>89</v>
      </c>
      <c r="AQ246" s="4" t="s">
        <v>72</v>
      </c>
      <c r="AR246" s="4" t="s">
        <v>211</v>
      </c>
      <c r="AS246" s="4" t="s">
        <v>74</v>
      </c>
      <c r="AT246" s="0" t="n">
        <v>0</v>
      </c>
      <c r="AU246" s="4" t="s">
        <v>61</v>
      </c>
      <c r="AV246" s="4" t="s">
        <v>62</v>
      </c>
    </row>
    <row r="247" customFormat="false" ht="15" hidden="false" customHeight="false" outlineLevel="0" collapsed="false">
      <c r="A247" s="0" t="s">
        <v>1088</v>
      </c>
      <c r="B247" s="3" t="n">
        <f aca="false">IF(AJ247="","",IF(ISNUMBER(SEARCH("/",AJ247)),DATE(VALUE(RIGHT(AJ247,4)),VALUE(LEFT(AJ247,2)),VALUE(MID(AJ247,4,2))),IF(ISNUMBER(SEARCH("-",AJ247)),IF(LEN(LEFT(AJ247,FIND("-",AJ247)-1))=4,DATE(VALUE(LEFT(AJ247,4)),VALUE(MID(AJ247,6,2)),VALUE(RIGHT(AJ247,2))),DATE(VALUE(RIGHT(AJ247,4)),VALUE(MID(AJ247,4,2)),VALUE(LEFT(AJ247,2)))),DATE(VALUE(RIGHT(AJ247,4)),MATCH(MID(AJ247,4,3),{"Jan","Feb","Mar","Apr","May","Jun","Jul","Aug","Sep","Oct","Nov","Dec"},0),VALUE(LEFT(AJ247,2))))))</f>
        <v>45583</v>
      </c>
      <c r="C247" s="3" t="n">
        <f aca="false">IF(AK247="","",IF(ISNUMBER(SEARCH("/",AK247)),DATE(VALUE(RIGHT(AK247,4)),VALUE(LEFT(AK247,2)),VALUE(MID(AK247,4,2))),IF(ISNUMBER(SEARCH("-",AK247)),IF(LEN(LEFT(AK247,FIND("-",AK247)-1))=4,DATE(VALUE(LEFT(AK247,4)),VALUE(MID(AK247,6,2)),VALUE(RIGHT(AK247,2))),DATE(VALUE(RIGHT(AK247,4)),VALUE(MID(AK247,4,2)),VALUE(LEFT(AK247,2)))),DATE(VALUE(RIGHT(AK247,4)),MATCH(MID(AK247,4,3),{"Jan","Feb","Mar","Apr","May","Jun","Jul","Aug","Sep","Oct","Nov","Dec"},0),VALUE(LEFT(AK247,2))))))</f>
        <v>45589</v>
      </c>
      <c r="D247" s="4" t="s">
        <v>1089</v>
      </c>
      <c r="E247" s="0" t="str">
        <f aca="false">PROPER(TRIM(AL247))</f>
        <v>Neha Gupta</v>
      </c>
      <c r="F247" s="0" t="str">
        <f aca="false">PROPER(TRIM(AM247))</f>
        <v>Home Office</v>
      </c>
      <c r="G247" s="0" t="str">
        <f aca="false">IF(TRIM(AN247)="","Unknown",PROPER(TRIM(AN247)))</f>
        <v>South</v>
      </c>
      <c r="H247" s="0" t="str">
        <f aca="false">PROPER(TRIM(AO247))</f>
        <v>Kerala</v>
      </c>
      <c r="I247" s="0" t="str">
        <f aca="false">PROPER(TRIM(AP247))</f>
        <v>Kochi</v>
      </c>
      <c r="J247" s="0" t="str">
        <f aca="false">PROPER(TRIM(AQ247))</f>
        <v>Furniture</v>
      </c>
      <c r="K247" s="0" t="str">
        <f aca="false">PROPER(TRIM(AR247))</f>
        <v>Chairs</v>
      </c>
      <c r="M247" s="0" t="str">
        <f aca="false">IF(TRIM(AS247)="","Unknown",PROPER(TRIM(AS247)))</f>
        <v>Second Class</v>
      </c>
      <c r="N247" s="0" t="n">
        <v>3</v>
      </c>
      <c r="O247" s="0" t="n">
        <v>3275.93</v>
      </c>
      <c r="P247" s="5" t="n">
        <f aca="false">IF(AT247="","",IF(ISNUMBER(AT247),AT247,VALUE(SUBSTITUTE(AT247,"%",""))/100))</f>
        <v>0</v>
      </c>
      <c r="Q247" s="5" t="n">
        <f aca="false">IF(P247="",IF(AND(N247&lt;&gt;"",O247&lt;&gt;"",R247&lt;&gt;"",S247&lt;&gt;""),0,"REVIEW"),IF(OR(P247&lt;0,P247&gt;0.3),0,P247))</f>
        <v>0</v>
      </c>
      <c r="R247" s="0" t="n">
        <v>9827.79</v>
      </c>
      <c r="S247" s="0" t="n">
        <v>5478.28</v>
      </c>
      <c r="T247" s="6" t="n">
        <f aca="false">N247*O247*(1-Q247)</f>
        <v>9827.79</v>
      </c>
      <c r="U247" s="6" t="n">
        <f aca="false">T247-S247</f>
        <v>4349.51</v>
      </c>
      <c r="V247" s="7" t="n">
        <f aca="false">IF(T247=0,0,U247/T247)</f>
        <v>0.442572541741327</v>
      </c>
      <c r="W247" s="4" t="n">
        <f aca="false">C247-B247</f>
        <v>6</v>
      </c>
      <c r="X247" s="0" t="str">
        <f aca="false">TEXT(B247,"mmmm")</f>
        <v>October</v>
      </c>
      <c r="Y247" s="4" t="n">
        <f aca="false">YEAR(B247)</f>
        <v>2024</v>
      </c>
      <c r="Z247" s="0" t="str">
        <f aca="false">PROPER(TRIM(AU247))</f>
        <v>Paid</v>
      </c>
      <c r="AA247" s="0" t="str">
        <f aca="false">PROPER(TRIM(AV247))</f>
        <v>Completed</v>
      </c>
      <c r="AB247" s="0" t="str">
        <f aca="false">IF(TRIM(AN247)="","Yes","No")</f>
        <v>No</v>
      </c>
      <c r="AC247" s="0" t="str">
        <f aca="false">IF(TRIM(AS247)="","Yes","No")</f>
        <v>No</v>
      </c>
      <c r="AD247" s="0" t="str">
        <f aca="false">IF(AT247="","Yes","No")</f>
        <v>No</v>
      </c>
      <c r="AE247" s="0" t="str">
        <f aca="false">IF(W247&lt;0,"Yes","No")</f>
        <v>No</v>
      </c>
      <c r="AF247" s="0" t="str">
        <f aca="false">IF(P247="","No",IF(OR(P247&lt;0,P247&gt;0.3),"Yes","No"))</f>
        <v>No</v>
      </c>
      <c r="AG247" s="4" t="s">
        <v>50</v>
      </c>
      <c r="AH247" s="0" t="str">
        <f aca="false">IF(AND(AA247="Completed",Z247="Paid"),"Yes","No")</f>
        <v>Yes</v>
      </c>
      <c r="AI247" s="0" t="str">
        <f aca="false">IF(OR(AE247="Yes",AF247="Yes",AG247="Yes"),"Invalid",IF(OR(AB247="Yes",AC247="Yes",AD247="Yes"),"Warning","Clean"))</f>
        <v>Clean</v>
      </c>
      <c r="AJ247" s="4" t="s">
        <v>573</v>
      </c>
      <c r="AK247" s="4" t="s">
        <v>758</v>
      </c>
      <c r="AL247" s="4" t="s">
        <v>115</v>
      </c>
      <c r="AM247" s="4" t="s">
        <v>134</v>
      </c>
      <c r="AN247" s="4" t="s">
        <v>87</v>
      </c>
      <c r="AO247" s="4" t="s">
        <v>244</v>
      </c>
      <c r="AP247" s="4" t="s">
        <v>245</v>
      </c>
      <c r="AQ247" s="4" t="s">
        <v>1090</v>
      </c>
      <c r="AR247" s="4" t="s">
        <v>100</v>
      </c>
      <c r="AS247" s="4" t="s">
        <v>60</v>
      </c>
      <c r="AT247" s="0" t="n">
        <v>0</v>
      </c>
      <c r="AU247" s="4" t="s">
        <v>61</v>
      </c>
      <c r="AV247" s="4" t="s">
        <v>62</v>
      </c>
    </row>
    <row r="248" customFormat="false" ht="15" hidden="false" customHeight="false" outlineLevel="0" collapsed="false">
      <c r="A248" s="0" t="s">
        <v>1091</v>
      </c>
      <c r="B248" s="3" t="n">
        <f aca="false">IF(AJ248="","",IF(ISNUMBER(SEARCH("/",AJ248)),DATE(VALUE(RIGHT(AJ248,4)),VALUE(LEFT(AJ248,2)),VALUE(MID(AJ248,4,2))),IF(ISNUMBER(SEARCH("-",AJ248)),IF(LEN(LEFT(AJ248,FIND("-",AJ248)-1))=4,DATE(VALUE(LEFT(AJ248,4)),VALUE(MID(AJ248,6,2)),VALUE(RIGHT(AJ248,2))),DATE(VALUE(RIGHT(AJ248,4)),VALUE(MID(AJ248,4,2)),VALUE(LEFT(AJ248,2)))),DATE(VALUE(RIGHT(AJ248,4)),MATCH(MID(AJ248,4,3),{"Jan","Feb","Mar","Apr","May","Jun","Jul","Aug","Sep","Oct","Nov","Dec"},0),VALUE(LEFT(AJ248,2))))))</f>
        <v>45416</v>
      </c>
      <c r="C248" s="3" t="n">
        <f aca="false">IF(AK248="","",IF(ISNUMBER(SEARCH("/",AK248)),DATE(VALUE(RIGHT(AK248,4)),VALUE(LEFT(AK248,2)),VALUE(MID(AK248,4,2))),IF(ISNUMBER(SEARCH("-",AK248)),IF(LEN(LEFT(AK248,FIND("-",AK248)-1))=4,DATE(VALUE(LEFT(AK248,4)),VALUE(MID(AK248,6,2)),VALUE(RIGHT(AK248,2))),DATE(VALUE(RIGHT(AK248,4)),VALUE(MID(AK248,4,2)),VALUE(LEFT(AK248,2)))),DATE(VALUE(RIGHT(AK248,4)),MATCH(MID(AK248,4,3),{"Jan","Feb","Mar","Apr","May","Jun","Jul","Aug","Sep","Oct","Nov","Dec"},0),VALUE(LEFT(AK248,2))))))</f>
        <v>45421</v>
      </c>
      <c r="D248" s="4" t="s">
        <v>1092</v>
      </c>
      <c r="E248" s="0" t="str">
        <f aca="false">PROPER(TRIM(AL248))</f>
        <v>Ananya Rao</v>
      </c>
      <c r="F248" s="0" t="str">
        <f aca="false">PROPER(TRIM(AM248))</f>
        <v>Corporate</v>
      </c>
      <c r="G248" s="0" t="str">
        <f aca="false">IF(TRIM(AN248)="","Unknown",PROPER(TRIM(AN248)))</f>
        <v>North</v>
      </c>
      <c r="H248" s="0" t="str">
        <f aca="false">PROPER(TRIM(AO248))</f>
        <v>Punjab</v>
      </c>
      <c r="I248" s="0" t="str">
        <f aca="false">PROPER(TRIM(AP248))</f>
        <v>Ludhiana</v>
      </c>
      <c r="J248" s="0" t="str">
        <f aca="false">PROPER(TRIM(AQ248))</f>
        <v>Technology</v>
      </c>
      <c r="K248" s="0" t="str">
        <f aca="false">PROPER(TRIM(AR248))</f>
        <v>Machines</v>
      </c>
      <c r="M248" s="0" t="str">
        <f aca="false">IF(TRIM(AS248)="","Unknown",PROPER(TRIM(AS248)))</f>
        <v>Same Day</v>
      </c>
      <c r="N248" s="0" t="n">
        <v>3</v>
      </c>
      <c r="O248" s="0" t="n">
        <v>231.95</v>
      </c>
      <c r="P248" s="5" t="n">
        <f aca="false">IF(AT248="","",IF(ISNUMBER(AT248),AT248,VALUE(SUBSTITUTE(AT248,"%",""))/100))</f>
        <v>0.25</v>
      </c>
      <c r="Q248" s="5" t="n">
        <f aca="false">IF(P248="",IF(AND(N248&lt;&gt;"",O248&lt;&gt;"",R248&lt;&gt;"",S248&lt;&gt;""),0,"REVIEW"),IF(OR(P248&lt;0,P248&gt;0.3),0,P248))</f>
        <v>0.25</v>
      </c>
      <c r="R248" s="0" t="n">
        <v>521.89</v>
      </c>
      <c r="S248" s="0" t="n">
        <v>444.52</v>
      </c>
      <c r="T248" s="6" t="n">
        <f aca="false">N248*O248*(1-Q248)</f>
        <v>521.8875</v>
      </c>
      <c r="U248" s="6" t="n">
        <f aca="false">T248-S248</f>
        <v>77.3675</v>
      </c>
      <c r="V248" s="7" t="n">
        <f aca="false">IF(T248=0,0,U248/T248)</f>
        <v>0.148245551004766</v>
      </c>
      <c r="W248" s="4" t="n">
        <f aca="false">C248-B248</f>
        <v>5</v>
      </c>
      <c r="X248" s="0" t="str">
        <f aca="false">TEXT(B248,"mmmm")</f>
        <v>May</v>
      </c>
      <c r="Y248" s="4" t="n">
        <f aca="false">YEAR(B248)</f>
        <v>2024</v>
      </c>
      <c r="Z248" s="0" t="str">
        <f aca="false">PROPER(TRIM(AU248))</f>
        <v>Refunded</v>
      </c>
      <c r="AA248" s="0" t="str">
        <f aca="false">PROPER(TRIM(AV248))</f>
        <v>Cancelled</v>
      </c>
      <c r="AB248" s="0" t="str">
        <f aca="false">IF(TRIM(AN248)="","Yes","No")</f>
        <v>No</v>
      </c>
      <c r="AC248" s="0" t="str">
        <f aca="false">IF(TRIM(AS248)="","Yes","No")</f>
        <v>No</v>
      </c>
      <c r="AD248" s="0" t="str">
        <f aca="false">IF(AT248="","Yes","No")</f>
        <v>No</v>
      </c>
      <c r="AE248" s="0" t="str">
        <f aca="false">IF(W248&lt;0,"Yes","No")</f>
        <v>No</v>
      </c>
      <c r="AF248" s="0" t="str">
        <f aca="false">IF(P248="","No",IF(OR(P248&lt;0,P248&gt;0.3),"Yes","No"))</f>
        <v>No</v>
      </c>
      <c r="AG248" s="4" t="s">
        <v>50</v>
      </c>
      <c r="AH248" s="0" t="str">
        <f aca="false">IF(AND(AA248="Completed",Z248="Paid"),"Yes","No")</f>
        <v>No</v>
      </c>
      <c r="AI248" s="0" t="str">
        <f aca="false">IF(OR(AE248="Yes",AF248="Yes",AG248="Yes"),"Invalid",IF(OR(AB248="Yes",AC248="Yes",AD248="Yes"),"Warning","Clean"))</f>
        <v>Clean</v>
      </c>
      <c r="AJ248" s="4" t="s">
        <v>1093</v>
      </c>
      <c r="AK248" s="4" t="s">
        <v>1094</v>
      </c>
      <c r="AL248" s="4" t="s">
        <v>96</v>
      </c>
      <c r="AM248" s="4" t="s">
        <v>128</v>
      </c>
      <c r="AN248" s="4" t="s">
        <v>168</v>
      </c>
      <c r="AO248" s="4" t="s">
        <v>169</v>
      </c>
      <c r="AP248" s="4" t="s">
        <v>170</v>
      </c>
      <c r="AQ248" s="4" t="s">
        <v>109</v>
      </c>
      <c r="AR248" s="4" t="s">
        <v>360</v>
      </c>
      <c r="AS248" s="4" t="s">
        <v>74</v>
      </c>
      <c r="AT248" s="0" t="n">
        <v>0.25</v>
      </c>
      <c r="AU248" s="4" t="s">
        <v>141</v>
      </c>
      <c r="AV248" s="4" t="s">
        <v>101</v>
      </c>
    </row>
    <row r="249" customFormat="false" ht="15" hidden="false" customHeight="false" outlineLevel="0" collapsed="false">
      <c r="A249" s="0" t="s">
        <v>1095</v>
      </c>
      <c r="B249" s="3" t="n">
        <f aca="false">IF(AJ249="","",IF(ISNUMBER(SEARCH("/",AJ249)),DATE(VALUE(RIGHT(AJ249,4)),VALUE(LEFT(AJ249,2)),VALUE(MID(AJ249,4,2))),IF(ISNUMBER(SEARCH("-",AJ249)),IF(LEN(LEFT(AJ249,FIND("-",AJ249)-1))=4,DATE(VALUE(LEFT(AJ249,4)),VALUE(MID(AJ249,6,2)),VALUE(RIGHT(AJ249,2))),DATE(VALUE(RIGHT(AJ249,4)),VALUE(MID(AJ249,4,2)),VALUE(LEFT(AJ249,2)))),DATE(VALUE(RIGHT(AJ249,4)),MATCH(MID(AJ249,4,3),{"Jan","Feb","Mar","Apr","May","Jun","Jul","Aug","Sep","Oct","Nov","Dec"},0),VALUE(LEFT(AJ249,2))))))</f>
        <v>45498</v>
      </c>
      <c r="C249" s="3" t="n">
        <f aca="false">IF(AK249="","",IF(ISNUMBER(SEARCH("/",AK249)),DATE(VALUE(RIGHT(AK249,4)),VALUE(LEFT(AK249,2)),VALUE(MID(AK249,4,2))),IF(ISNUMBER(SEARCH("-",AK249)),IF(LEN(LEFT(AK249,FIND("-",AK249)-1))=4,DATE(VALUE(LEFT(AK249,4)),VALUE(MID(AK249,6,2)),VALUE(RIGHT(AK249,2))),DATE(VALUE(RIGHT(AK249,4)),VALUE(MID(AK249,4,2)),VALUE(LEFT(AK249,2)))),DATE(VALUE(RIGHT(AK249,4)),MATCH(MID(AK249,4,3),{"Jan","Feb","Mar","Apr","May","Jun","Jul","Aug","Sep","Oct","Nov","Dec"},0),VALUE(LEFT(AK249,2))))))</f>
        <v>45505</v>
      </c>
      <c r="D249" s="4" t="s">
        <v>1096</v>
      </c>
      <c r="E249" s="0" t="str">
        <f aca="false">PROPER(TRIM(AL249))</f>
        <v>Rahul Verma</v>
      </c>
      <c r="F249" s="0" t="str">
        <f aca="false">PROPER(TRIM(AM249))</f>
        <v>Corporate</v>
      </c>
      <c r="G249" s="0" t="str">
        <f aca="false">IF(TRIM(AN249)="","Unknown",PROPER(TRIM(AN249)))</f>
        <v>North</v>
      </c>
      <c r="H249" s="0" t="str">
        <f aca="false">PROPER(TRIM(AO249))</f>
        <v>Rajasthan</v>
      </c>
      <c r="I249" s="0" t="str">
        <f aca="false">PROPER(TRIM(AP249))</f>
        <v>Jaipur</v>
      </c>
      <c r="J249" s="0" t="str">
        <f aca="false">PROPER(TRIM(AQ249))</f>
        <v>Technology</v>
      </c>
      <c r="K249" s="0" t="str">
        <f aca="false">PROPER(TRIM(AR249))</f>
        <v>Accessories</v>
      </c>
      <c r="M249" s="0" t="str">
        <f aca="false">IF(TRIM(AS249)="","Unknown",PROPER(TRIM(AS249)))</f>
        <v>Second Class</v>
      </c>
      <c r="N249" s="0" t="n">
        <v>8</v>
      </c>
      <c r="O249" s="0" t="n">
        <v>2493.4</v>
      </c>
      <c r="P249" s="5" t="n">
        <f aca="false">IF(AT249="","",IF(ISNUMBER(AT249),AT249,VALUE(SUBSTITUTE(AT249,"%",""))/100))</f>
        <v>0.25</v>
      </c>
      <c r="Q249" s="5" t="n">
        <f aca="false">IF(P249="",IF(AND(N249&lt;&gt;"",O249&lt;&gt;"",R249&lt;&gt;"",S249&lt;&gt;""),0,"REVIEW"),IF(OR(P249&lt;0,P249&gt;0.3),0,P249))</f>
        <v>0.25</v>
      </c>
      <c r="R249" s="0" t="n">
        <v>14960.4</v>
      </c>
      <c r="S249" s="0" t="n">
        <v>12500.84</v>
      </c>
      <c r="T249" s="6" t="n">
        <f aca="false">N249*O249*(1-Q249)</f>
        <v>14960.4</v>
      </c>
      <c r="U249" s="6" t="n">
        <f aca="false">T249-S249</f>
        <v>2459.56</v>
      </c>
      <c r="V249" s="7" t="n">
        <f aca="false">IF(T249=0,0,U249/T249)</f>
        <v>0.164404695061629</v>
      </c>
      <c r="W249" s="4" t="n">
        <f aca="false">C249-B249</f>
        <v>7</v>
      </c>
      <c r="X249" s="0" t="str">
        <f aca="false">TEXT(B249,"mmmm")</f>
        <v>July</v>
      </c>
      <c r="Y249" s="4" t="n">
        <f aca="false">YEAR(B249)</f>
        <v>2024</v>
      </c>
      <c r="Z249" s="0" t="str">
        <f aca="false">PROPER(TRIM(AU249))</f>
        <v>Paid</v>
      </c>
      <c r="AA249" s="0" t="str">
        <f aca="false">PROPER(TRIM(AV249))</f>
        <v>Completed</v>
      </c>
      <c r="AB249" s="0" t="str">
        <f aca="false">IF(TRIM(AN249)="","Yes","No")</f>
        <v>No</v>
      </c>
      <c r="AC249" s="0" t="str">
        <f aca="false">IF(TRIM(AS249)="","Yes","No")</f>
        <v>No</v>
      </c>
      <c r="AD249" s="0" t="str">
        <f aca="false">IF(AT249="","Yes","No")</f>
        <v>No</v>
      </c>
      <c r="AE249" s="0" t="str">
        <f aca="false">IF(W249&lt;0,"Yes","No")</f>
        <v>No</v>
      </c>
      <c r="AF249" s="0" t="str">
        <f aca="false">IF(P249="","No",IF(OR(P249&lt;0,P249&gt;0.3),"Yes","No"))</f>
        <v>No</v>
      </c>
      <c r="AG249" s="4" t="s">
        <v>50</v>
      </c>
      <c r="AH249" s="0" t="str">
        <f aca="false">IF(AND(AA249="Completed",Z249="Paid"),"Yes","No")</f>
        <v>Yes</v>
      </c>
      <c r="AI249" s="0" t="str">
        <f aca="false">IF(OR(AE249="Yes",AF249="Yes",AG249="Yes"),"Invalid",IF(OR(AB249="Yes",AC249="Yes",AD249="Yes"),"Warning","Clean"))</f>
        <v>Clean</v>
      </c>
      <c r="AJ249" s="4" t="s">
        <v>1097</v>
      </c>
      <c r="AK249" s="4" t="s">
        <v>1098</v>
      </c>
      <c r="AL249" s="4" t="s">
        <v>163</v>
      </c>
      <c r="AM249" s="4" t="s">
        <v>128</v>
      </c>
      <c r="AN249" s="4" t="s">
        <v>168</v>
      </c>
      <c r="AO249" s="4" t="s">
        <v>56</v>
      </c>
      <c r="AP249" s="4" t="s">
        <v>57</v>
      </c>
      <c r="AQ249" s="4" t="s">
        <v>109</v>
      </c>
      <c r="AR249" s="4" t="s">
        <v>110</v>
      </c>
      <c r="AS249" s="4" t="s">
        <v>60</v>
      </c>
      <c r="AT249" s="0" t="n">
        <v>0.25</v>
      </c>
      <c r="AU249" s="4" t="s">
        <v>61</v>
      </c>
      <c r="AV249" s="4" t="s">
        <v>62</v>
      </c>
    </row>
    <row r="250" customFormat="false" ht="15" hidden="false" customHeight="false" outlineLevel="0" collapsed="false">
      <c r="A250" s="0" t="s">
        <v>1099</v>
      </c>
      <c r="B250" s="3" t="n">
        <f aca="false">IF(AJ250="","",IF(ISNUMBER(SEARCH("/",AJ250)),DATE(VALUE(RIGHT(AJ250,4)),VALUE(LEFT(AJ250,2)),VALUE(MID(AJ250,4,2))),IF(ISNUMBER(SEARCH("-",AJ250)),IF(LEN(LEFT(AJ250,FIND("-",AJ250)-1))=4,DATE(VALUE(LEFT(AJ250,4)),VALUE(MID(AJ250,6,2)),VALUE(RIGHT(AJ250,2))),DATE(VALUE(RIGHT(AJ250,4)),VALUE(MID(AJ250,4,2)),VALUE(LEFT(AJ250,2)))),DATE(VALUE(RIGHT(AJ250,4)),MATCH(MID(AJ250,4,3),{"Jan","Feb","Mar","Apr","May","Jun","Jul","Aug","Sep","Oct","Nov","Dec"},0),VALUE(LEFT(AJ250,2))))))</f>
        <v>45445</v>
      </c>
      <c r="C250" s="3" t="n">
        <f aca="false">IF(AK250="","",IF(ISNUMBER(SEARCH("/",AK250)),DATE(VALUE(RIGHT(AK250,4)),VALUE(LEFT(AK250,2)),VALUE(MID(AK250,4,2))),IF(ISNUMBER(SEARCH("-",AK250)),IF(LEN(LEFT(AK250,FIND("-",AK250)-1))=4,DATE(VALUE(LEFT(AK250,4)),VALUE(MID(AK250,6,2)),VALUE(RIGHT(AK250,2))),DATE(VALUE(RIGHT(AK250,4)),VALUE(MID(AK250,4,2)),VALUE(LEFT(AK250,2)))),DATE(VALUE(RIGHT(AK250,4)),MATCH(MID(AK250,4,3),{"Jan","Feb","Mar","Apr","May","Jun","Jul","Aug","Sep","Oct","Nov","Dec"},0),VALUE(LEFT(AK250,2))))))</f>
        <v>45450</v>
      </c>
      <c r="D250" s="4" t="s">
        <v>1100</v>
      </c>
      <c r="E250" s="0" t="str">
        <f aca="false">PROPER(TRIM(AL250))</f>
        <v>Rohan Mehta</v>
      </c>
      <c r="F250" s="0" t="str">
        <f aca="false">PROPER(TRIM(AM250))</f>
        <v>Home Office</v>
      </c>
      <c r="G250" s="0" t="str">
        <f aca="false">IF(TRIM(AN250)="","Unknown",PROPER(TRIM(AN250)))</f>
        <v>East</v>
      </c>
      <c r="H250" s="0" t="str">
        <f aca="false">PROPER(TRIM(AO250))</f>
        <v>Odisha</v>
      </c>
      <c r="I250" s="0" t="str">
        <f aca="false">PROPER(TRIM(AP250))</f>
        <v>Bhubaneswar</v>
      </c>
      <c r="J250" s="0" t="str">
        <f aca="false">PROPER(TRIM(AQ250))</f>
        <v>Office Supplies</v>
      </c>
      <c r="K250" s="0" t="str">
        <f aca="false">PROPER(TRIM(AR250))</f>
        <v>Labels</v>
      </c>
      <c r="M250" s="0" t="str">
        <f aca="false">IF(TRIM(AS250)="","Unknown",PROPER(TRIM(AS250)))</f>
        <v>Second Class</v>
      </c>
      <c r="N250" s="0" t="n">
        <v>9</v>
      </c>
      <c r="O250" s="0" t="n">
        <v>787.91</v>
      </c>
      <c r="P250" s="5" t="n">
        <f aca="false">IF(AT250="","",IF(ISNUMBER(AT250),AT250,VALUE(SUBSTITUTE(AT250,"%",""))/100))</f>
        <v>0.15</v>
      </c>
      <c r="Q250" s="5" t="n">
        <f aca="false">IF(P250="",IF(AND(N250&lt;&gt;"",O250&lt;&gt;"",R250&lt;&gt;"",S250&lt;&gt;""),0,"REVIEW"),IF(OR(P250&lt;0,P250&gt;0.3),0,P250))</f>
        <v>0.15</v>
      </c>
      <c r="R250" s="0" t="n">
        <v>6027.51</v>
      </c>
      <c r="S250" s="0" t="n">
        <v>4883.82</v>
      </c>
      <c r="T250" s="6" t="n">
        <f aca="false">N250*O250*(1-Q250)</f>
        <v>6027.5115</v>
      </c>
      <c r="U250" s="6" t="n">
        <f aca="false">T250-S250</f>
        <v>1143.6915</v>
      </c>
      <c r="V250" s="7" t="n">
        <f aca="false">IF(T250=0,0,U250/T250)</f>
        <v>0.189745220726663</v>
      </c>
      <c r="W250" s="4" t="n">
        <f aca="false">C250-B250</f>
        <v>5</v>
      </c>
      <c r="X250" s="0" t="str">
        <f aca="false">TEXT(B250,"mmmm")</f>
        <v>June</v>
      </c>
      <c r="Y250" s="4" t="n">
        <f aca="false">YEAR(B250)</f>
        <v>2024</v>
      </c>
      <c r="Z250" s="0" t="str">
        <f aca="false">PROPER(TRIM(AU250))</f>
        <v>Paid</v>
      </c>
      <c r="AA250" s="0" t="str">
        <f aca="false">PROPER(TRIM(AV250))</f>
        <v>Completed</v>
      </c>
      <c r="AB250" s="0" t="str">
        <f aca="false">IF(TRIM(AN250)="","Yes","No")</f>
        <v>No</v>
      </c>
      <c r="AC250" s="0" t="str">
        <f aca="false">IF(TRIM(AS250)="","Yes","No")</f>
        <v>No</v>
      </c>
      <c r="AD250" s="0" t="str">
        <f aca="false">IF(AT250="","Yes","No")</f>
        <v>No</v>
      </c>
      <c r="AE250" s="0" t="str">
        <f aca="false">IF(W250&lt;0,"Yes","No")</f>
        <v>No</v>
      </c>
      <c r="AF250" s="0" t="str">
        <f aca="false">IF(P250="","No",IF(OR(P250&lt;0,P250&gt;0.3),"Yes","No"))</f>
        <v>No</v>
      </c>
      <c r="AG250" s="4" t="s">
        <v>50</v>
      </c>
      <c r="AH250" s="0" t="str">
        <f aca="false">IF(AND(AA250="Completed",Z250="Paid"),"Yes","No")</f>
        <v>Yes</v>
      </c>
      <c r="AI250" s="0" t="str">
        <f aca="false">IF(OR(AE250="Yes",AF250="Yes",AG250="Yes"),"Invalid",IF(OR(AB250="Yes",AC250="Yes",AD250="Yes"),"Warning","Clean"))</f>
        <v>Clean</v>
      </c>
      <c r="AJ250" s="4" t="s">
        <v>1101</v>
      </c>
      <c r="AK250" s="4" t="s">
        <v>520</v>
      </c>
      <c r="AL250" s="4" t="s">
        <v>191</v>
      </c>
      <c r="AM250" s="4" t="s">
        <v>134</v>
      </c>
      <c r="AN250" s="4" t="s">
        <v>69</v>
      </c>
      <c r="AO250" s="4" t="s">
        <v>70</v>
      </c>
      <c r="AP250" s="4" t="s">
        <v>71</v>
      </c>
      <c r="AQ250" s="4" t="s">
        <v>58</v>
      </c>
      <c r="AR250" s="4" t="s">
        <v>129</v>
      </c>
      <c r="AS250" s="4" t="s">
        <v>60</v>
      </c>
      <c r="AT250" s="0" t="n">
        <v>0.15</v>
      </c>
      <c r="AU250" s="4" t="s">
        <v>61</v>
      </c>
      <c r="AV250" s="4" t="s">
        <v>62</v>
      </c>
    </row>
    <row r="251" customFormat="false" ht="15" hidden="false" customHeight="false" outlineLevel="0" collapsed="false">
      <c r="A251" s="0" t="s">
        <v>1102</v>
      </c>
      <c r="B251" s="3" t="n">
        <f aca="false">IF(AJ251="","",IF(ISNUMBER(SEARCH("/",AJ251)),DATE(VALUE(RIGHT(AJ251,4)),VALUE(LEFT(AJ251,2)),VALUE(MID(AJ251,4,2))),IF(ISNUMBER(SEARCH("-",AJ251)),IF(LEN(LEFT(AJ251,FIND("-",AJ251)-1))=4,DATE(VALUE(LEFT(AJ251,4)),VALUE(MID(AJ251,6,2)),VALUE(RIGHT(AJ251,2))),DATE(VALUE(RIGHT(AJ251,4)),VALUE(MID(AJ251,4,2)),VALUE(LEFT(AJ251,2)))),DATE(VALUE(RIGHT(AJ251,4)),MATCH(MID(AJ251,4,3),{"Jan","Feb","Mar","Apr","May","Jun","Jul","Aug","Sep","Oct","Nov","Dec"},0),VALUE(LEFT(AJ251,2))))))</f>
        <v>45870</v>
      </c>
      <c r="C251" s="3" t="n">
        <f aca="false">IF(AK251="","",IF(ISNUMBER(SEARCH("/",AK251)),DATE(VALUE(RIGHT(AK251,4)),VALUE(LEFT(AK251,2)),VALUE(MID(AK251,4,2))),IF(ISNUMBER(SEARCH("-",AK251)),IF(LEN(LEFT(AK251,FIND("-",AK251)-1))=4,DATE(VALUE(LEFT(AK251,4)),VALUE(MID(AK251,6,2)),VALUE(RIGHT(AK251,2))),DATE(VALUE(RIGHT(AK251,4)),VALUE(MID(AK251,4,2)),VALUE(LEFT(AK251,2)))),DATE(VALUE(RIGHT(AK251,4)),MATCH(MID(AK251,4,3),{"Jan","Feb","Mar","Apr","May","Jun","Jul","Aug","Sep","Oct","Nov","Dec"},0),VALUE(LEFT(AK251,2))))))</f>
        <v>45871</v>
      </c>
      <c r="D251" s="4" t="s">
        <v>1103</v>
      </c>
      <c r="E251" s="0" t="str">
        <f aca="false">PROPER(TRIM(AL251))</f>
        <v>Mira Das</v>
      </c>
      <c r="F251" s="0" t="str">
        <f aca="false">PROPER(TRIM(AM251))</f>
        <v>Corporate</v>
      </c>
      <c r="G251" s="0" t="str">
        <f aca="false">IF(TRIM(AN251)="","Unknown",PROPER(TRIM(AN251)))</f>
        <v>North</v>
      </c>
      <c r="H251" s="0" t="str">
        <f aca="false">PROPER(TRIM(AO251))</f>
        <v>Rajasthan</v>
      </c>
      <c r="I251" s="0" t="str">
        <f aca="false">PROPER(TRIM(AP251))</f>
        <v>Jaipur</v>
      </c>
      <c r="J251" s="0" t="str">
        <f aca="false">PROPER(TRIM(AQ251))</f>
        <v>Furniture</v>
      </c>
      <c r="K251" s="0" t="str">
        <f aca="false">PROPER(TRIM(AR251))</f>
        <v>Furnishings</v>
      </c>
      <c r="M251" s="0" t="str">
        <f aca="false">IF(TRIM(AS251)="","Unknown",PROPER(TRIM(AS251)))</f>
        <v>First Class</v>
      </c>
      <c r="N251" s="0" t="n">
        <v>4</v>
      </c>
      <c r="O251" s="0" t="n">
        <v>2790.29</v>
      </c>
      <c r="P251" s="5" t="n">
        <f aca="false">IF(AT251="","",IF(ISNUMBER(AT251),AT251,VALUE(SUBSTITUTE(AT251,"%",""))/100))</f>
        <v>0.2</v>
      </c>
      <c r="Q251" s="5" t="n">
        <f aca="false">IF(P251="",IF(AND(N251&lt;&gt;"",O251&lt;&gt;"",R251&lt;&gt;"",S251&lt;&gt;""),0,"REVIEW"),IF(OR(P251&lt;0,P251&gt;0.3),0,P251))</f>
        <v>0.2</v>
      </c>
      <c r="R251" s="0" t="n">
        <v>8928.93</v>
      </c>
      <c r="S251" s="0" t="n">
        <v>5634.38</v>
      </c>
      <c r="T251" s="6" t="n">
        <f aca="false">N251*O251*(1-Q251)</f>
        <v>8928.928</v>
      </c>
      <c r="U251" s="6" t="n">
        <f aca="false">T251-S251</f>
        <v>3294.548</v>
      </c>
      <c r="V251" s="7" t="n">
        <f aca="false">IF(T251=0,0,U251/T251)</f>
        <v>0.368974640628752</v>
      </c>
      <c r="W251" s="4" t="n">
        <f aca="false">C251-B251</f>
        <v>1</v>
      </c>
      <c r="X251" s="0" t="str">
        <f aca="false">TEXT(B251,"mmmm")</f>
        <v>August</v>
      </c>
      <c r="Y251" s="4" t="n">
        <f aca="false">YEAR(B251)</f>
        <v>2025</v>
      </c>
      <c r="Z251" s="0" t="str">
        <f aca="false">PROPER(TRIM(AU251))</f>
        <v>Paid</v>
      </c>
      <c r="AA251" s="0" t="str">
        <f aca="false">PROPER(TRIM(AV251))</f>
        <v>Completed</v>
      </c>
      <c r="AB251" s="0" t="str">
        <f aca="false">IF(TRIM(AN251)="","Yes","No")</f>
        <v>No</v>
      </c>
      <c r="AC251" s="0" t="str">
        <f aca="false">IF(TRIM(AS251)="","Yes","No")</f>
        <v>No</v>
      </c>
      <c r="AD251" s="0" t="str">
        <f aca="false">IF(AT251="","Yes","No")</f>
        <v>No</v>
      </c>
      <c r="AE251" s="0" t="str">
        <f aca="false">IF(W251&lt;0,"Yes","No")</f>
        <v>No</v>
      </c>
      <c r="AF251" s="0" t="str">
        <f aca="false">IF(P251="","No",IF(OR(P251&lt;0,P251&gt;0.3),"Yes","No"))</f>
        <v>No</v>
      </c>
      <c r="AG251" s="4" t="s">
        <v>50</v>
      </c>
      <c r="AH251" s="0" t="str">
        <f aca="false">IF(AND(AA251="Completed",Z251="Paid"),"Yes","No")</f>
        <v>Yes</v>
      </c>
      <c r="AI251" s="0" t="str">
        <f aca="false">IF(OR(AE251="Yes",AF251="Yes",AG251="Yes"),"Invalid",IF(OR(AB251="Yes",AC251="Yes",AD251="Yes"),"Warning","Clean"))</f>
        <v>Clean</v>
      </c>
      <c r="AJ251" s="4" t="s">
        <v>717</v>
      </c>
      <c r="AK251" s="4" t="s">
        <v>1104</v>
      </c>
      <c r="AL251" s="4" t="s">
        <v>67</v>
      </c>
      <c r="AM251" s="4" t="s">
        <v>128</v>
      </c>
      <c r="AN251" s="4" t="s">
        <v>168</v>
      </c>
      <c r="AO251" s="4" t="s">
        <v>56</v>
      </c>
      <c r="AP251" s="4" t="s">
        <v>57</v>
      </c>
      <c r="AQ251" s="4" t="s">
        <v>72</v>
      </c>
      <c r="AR251" s="4" t="s">
        <v>90</v>
      </c>
      <c r="AS251" s="4" t="s">
        <v>81</v>
      </c>
      <c r="AT251" s="0" t="n">
        <v>0.2</v>
      </c>
      <c r="AU251" s="4" t="s">
        <v>61</v>
      </c>
      <c r="AV251" s="4" t="s">
        <v>62</v>
      </c>
    </row>
    <row r="252" customFormat="false" ht="15" hidden="false" customHeight="false" outlineLevel="0" collapsed="false">
      <c r="A252" s="0" t="s">
        <v>1105</v>
      </c>
      <c r="B252" s="3" t="n">
        <f aca="false">IF(AJ252="","",IF(ISNUMBER(SEARCH("/",AJ252)),DATE(VALUE(RIGHT(AJ252,4)),VALUE(LEFT(AJ252,2)),VALUE(MID(AJ252,4,2))),IF(ISNUMBER(SEARCH("-",AJ252)),IF(LEN(LEFT(AJ252,FIND("-",AJ252)-1))=4,DATE(VALUE(LEFT(AJ252,4)),VALUE(MID(AJ252,6,2)),VALUE(RIGHT(AJ252,2))),DATE(VALUE(RIGHT(AJ252,4)),VALUE(MID(AJ252,4,2)),VALUE(LEFT(AJ252,2)))),DATE(VALUE(RIGHT(AJ252,4)),MATCH(MID(AJ252,4,3),{"Jan","Feb","Mar","Apr","May","Jun","Jul","Aug","Sep","Oct","Nov","Dec"},0),VALUE(LEFT(AJ252,2))))))</f>
        <v>45343</v>
      </c>
      <c r="C252" s="3" t="n">
        <f aca="false">IF(AK252="","",IF(ISNUMBER(SEARCH("/",AK252)),DATE(VALUE(RIGHT(AK252,4)),VALUE(LEFT(AK252,2)),VALUE(MID(AK252,4,2))),IF(ISNUMBER(SEARCH("-",AK252)),IF(LEN(LEFT(AK252,FIND("-",AK252)-1))=4,DATE(VALUE(LEFT(AK252,4)),VALUE(MID(AK252,6,2)),VALUE(RIGHT(AK252,2))),DATE(VALUE(RIGHT(AK252,4)),VALUE(MID(AK252,4,2)),VALUE(LEFT(AK252,2)))),DATE(VALUE(RIGHT(AK252,4)),MATCH(MID(AK252,4,3),{"Jan","Feb","Mar","Apr","May","Jun","Jul","Aug","Sep","Oct","Nov","Dec"},0),VALUE(LEFT(AK252,2))))))</f>
        <v>45349</v>
      </c>
      <c r="D252" s="4" t="s">
        <v>1106</v>
      </c>
      <c r="E252" s="0" t="str">
        <f aca="false">PROPER(TRIM(AL252))</f>
        <v>Arjun Bose</v>
      </c>
      <c r="F252" s="0" t="str">
        <f aca="false">PROPER(TRIM(AM252))</f>
        <v>Small Business</v>
      </c>
      <c r="G252" s="0" t="str">
        <f aca="false">IF(TRIM(AN252)="","Unknown",PROPER(TRIM(AN252)))</f>
        <v>East</v>
      </c>
      <c r="H252" s="0" t="str">
        <f aca="false">PROPER(TRIM(AO252))</f>
        <v>West Bengal</v>
      </c>
      <c r="I252" s="0" t="str">
        <f aca="false">PROPER(TRIM(AP252))</f>
        <v>Kolkata</v>
      </c>
      <c r="J252" s="0" t="str">
        <f aca="false">PROPER(TRIM(AQ252))</f>
        <v>Furniture</v>
      </c>
      <c r="K252" s="0" t="str">
        <f aca="false">PROPER(TRIM(AR252))</f>
        <v>Furnishings</v>
      </c>
      <c r="M252" s="0" t="str">
        <f aca="false">IF(TRIM(AS252)="","Unknown",PROPER(TRIM(AS252)))</f>
        <v>Standard Class</v>
      </c>
      <c r="N252" s="0" t="n">
        <v>5</v>
      </c>
      <c r="O252" s="0" t="n">
        <v>3373.86</v>
      </c>
      <c r="P252" s="5" t="n">
        <f aca="false">IF(AT252="","",IF(ISNUMBER(AT252),AT252,VALUE(SUBSTITUTE(AT252,"%",""))/100))</f>
        <v>0.15</v>
      </c>
      <c r="Q252" s="5" t="n">
        <f aca="false">IF(P252="",IF(AND(N252&lt;&gt;"",O252&lt;&gt;"",R252&lt;&gt;"",S252&lt;&gt;""),0,"REVIEW"),IF(OR(P252&lt;0,P252&gt;0.3),0,P252))</f>
        <v>0.15</v>
      </c>
      <c r="R252" s="0" t="n">
        <v>14338.9</v>
      </c>
      <c r="S252" s="0" t="n">
        <v>11897.65</v>
      </c>
      <c r="T252" s="6" t="n">
        <f aca="false">N252*O252*(1-Q252)</f>
        <v>14338.905</v>
      </c>
      <c r="U252" s="6" t="n">
        <f aca="false">T252-S252</f>
        <v>2441.255</v>
      </c>
      <c r="V252" s="7" t="n">
        <f aca="false">IF(T252=0,0,U252/T252)</f>
        <v>0.170253935011076</v>
      </c>
      <c r="W252" s="4" t="n">
        <f aca="false">C252-B252</f>
        <v>6</v>
      </c>
      <c r="X252" s="0" t="str">
        <f aca="false">TEXT(B252,"mmmm")</f>
        <v>February</v>
      </c>
      <c r="Y252" s="4" t="n">
        <f aca="false">YEAR(B252)</f>
        <v>2024</v>
      </c>
      <c r="Z252" s="0" t="str">
        <f aca="false">PROPER(TRIM(AU252))</f>
        <v>Pending</v>
      </c>
      <c r="AA252" s="0" t="str">
        <f aca="false">PROPER(TRIM(AV252))</f>
        <v>Returned</v>
      </c>
      <c r="AB252" s="0" t="str">
        <f aca="false">IF(TRIM(AN252)="","Yes","No")</f>
        <v>No</v>
      </c>
      <c r="AC252" s="0" t="str">
        <f aca="false">IF(TRIM(AS252)="","Yes","No")</f>
        <v>No</v>
      </c>
      <c r="AD252" s="0" t="str">
        <f aca="false">IF(AT252="","Yes","No")</f>
        <v>No</v>
      </c>
      <c r="AE252" s="0" t="str">
        <f aca="false">IF(W252&lt;0,"Yes","No")</f>
        <v>No</v>
      </c>
      <c r="AF252" s="0" t="str">
        <f aca="false">IF(P252="","No",IF(OR(P252&lt;0,P252&gt;0.3),"Yes","No"))</f>
        <v>No</v>
      </c>
      <c r="AG252" s="4" t="s">
        <v>50</v>
      </c>
      <c r="AH252" s="0" t="str">
        <f aca="false">IF(AND(AA252="Completed",Z252="Paid"),"Yes","No")</f>
        <v>No</v>
      </c>
      <c r="AI252" s="0" t="str">
        <f aca="false">IF(OR(AE252="Yes",AF252="Yes",AG252="Yes"),"Invalid",IF(OR(AB252="Yes",AC252="Yes",AD252="Yes"),"Warning","Clean"))</f>
        <v>Clean</v>
      </c>
      <c r="AJ252" s="4" t="s">
        <v>1107</v>
      </c>
      <c r="AK252" s="4" t="s">
        <v>1108</v>
      </c>
      <c r="AL252" s="4" t="s">
        <v>86</v>
      </c>
      <c r="AM252" s="4" t="s">
        <v>68</v>
      </c>
      <c r="AN252" s="4" t="s">
        <v>69</v>
      </c>
      <c r="AO252" s="4" t="s">
        <v>139</v>
      </c>
      <c r="AP252" s="4" t="s">
        <v>140</v>
      </c>
      <c r="AQ252" s="4" t="s">
        <v>72</v>
      </c>
      <c r="AR252" s="4" t="s">
        <v>90</v>
      </c>
      <c r="AS252" s="4" t="s">
        <v>91</v>
      </c>
      <c r="AT252" s="0" t="n">
        <v>0.15</v>
      </c>
      <c r="AU252" s="4" t="s">
        <v>153</v>
      </c>
      <c r="AV252" s="4" t="s">
        <v>142</v>
      </c>
    </row>
    <row r="253" customFormat="false" ht="15" hidden="false" customHeight="false" outlineLevel="0" collapsed="false">
      <c r="A253" s="0" t="s">
        <v>1109</v>
      </c>
      <c r="B253" s="3" t="n">
        <f aca="false">IF(AJ253="","",IF(ISNUMBER(SEARCH("/",AJ253)),DATE(VALUE(RIGHT(AJ253,4)),VALUE(LEFT(AJ253,2)),VALUE(MID(AJ253,4,2))),IF(ISNUMBER(SEARCH("-",AJ253)),IF(LEN(LEFT(AJ253,FIND("-",AJ253)-1))=4,DATE(VALUE(LEFT(AJ253,4)),VALUE(MID(AJ253,6,2)),VALUE(RIGHT(AJ253,2))),DATE(VALUE(RIGHT(AJ253,4)),VALUE(MID(AJ253,4,2)),VALUE(LEFT(AJ253,2)))),DATE(VALUE(RIGHT(AJ253,4)),MATCH(MID(AJ253,4,3),{"Jan","Feb","Mar","Apr","May","Jun","Jul","Aug","Sep","Oct","Nov","Dec"},0),VALUE(LEFT(AJ253,2))))))</f>
        <v>45753</v>
      </c>
      <c r="C253" s="3" t="n">
        <f aca="false">IF(AK253="","",IF(ISNUMBER(SEARCH("/",AK253)),DATE(VALUE(RIGHT(AK253,4)),VALUE(LEFT(AK253,2)),VALUE(MID(AK253,4,2))),IF(ISNUMBER(SEARCH("-",AK253)),IF(LEN(LEFT(AK253,FIND("-",AK253)-1))=4,DATE(VALUE(LEFT(AK253,4)),VALUE(MID(AK253,6,2)),VALUE(RIGHT(AK253,2))),DATE(VALUE(RIGHT(AK253,4)),VALUE(MID(AK253,4,2)),VALUE(LEFT(AK253,2)))),DATE(VALUE(RIGHT(AK253,4)),MATCH(MID(AK253,4,3),{"Jan","Feb","Mar","Apr","May","Jun","Jul","Aug","Sep","Oct","Nov","Dec"},0),VALUE(LEFT(AK253,2))))))</f>
        <v>45757</v>
      </c>
      <c r="D253" s="4" t="s">
        <v>1110</v>
      </c>
      <c r="E253" s="0" t="str">
        <f aca="false">PROPER(TRIM(AL253))</f>
        <v>Ananya Rao</v>
      </c>
      <c r="F253" s="0" t="str">
        <f aca="false">PROPER(TRIM(AM253))</f>
        <v>Corporate</v>
      </c>
      <c r="G253" s="0" t="str">
        <f aca="false">IF(TRIM(AN253)="","Unknown",PROPER(TRIM(AN253)))</f>
        <v>West</v>
      </c>
      <c r="H253" s="0" t="str">
        <f aca="false">PROPER(TRIM(AO253))</f>
        <v>Gujarat</v>
      </c>
      <c r="I253" s="0" t="str">
        <f aca="false">PROPER(TRIM(AP253))</f>
        <v>Ahmedabad</v>
      </c>
      <c r="J253" s="0" t="str">
        <f aca="false">PROPER(TRIM(AQ253))</f>
        <v>Furniture</v>
      </c>
      <c r="K253" s="0" t="str">
        <f aca="false">PROPER(TRIM(AR253))</f>
        <v>Tables</v>
      </c>
      <c r="M253" s="0" t="str">
        <f aca="false">IF(TRIM(AS253)="","Unknown",PROPER(TRIM(AS253)))</f>
        <v>Second Class</v>
      </c>
      <c r="N253" s="0" t="n">
        <v>6</v>
      </c>
      <c r="O253" s="0" t="n">
        <v>1022.16</v>
      </c>
      <c r="P253" s="5" t="n">
        <f aca="false">IF(AT253="","",IF(ISNUMBER(AT253),AT253,VALUE(SUBSTITUTE(AT253,"%",""))/100))</f>
        <v>0</v>
      </c>
      <c r="Q253" s="5" t="n">
        <f aca="false">IF(P253="",IF(AND(N253&lt;&gt;"",O253&lt;&gt;"",R253&lt;&gt;"",S253&lt;&gt;""),0,"REVIEW"),IF(OR(P253&lt;0,P253&gt;0.3),0,P253))</f>
        <v>0</v>
      </c>
      <c r="R253" s="0" t="n">
        <v>6132.96</v>
      </c>
      <c r="S253" s="0" t="n">
        <v>4881.1</v>
      </c>
      <c r="T253" s="6" t="n">
        <f aca="false">N253*O253*(1-Q253)</f>
        <v>6132.96</v>
      </c>
      <c r="U253" s="6" t="n">
        <f aca="false">T253-S253</f>
        <v>1251.86</v>
      </c>
      <c r="V253" s="7" t="n">
        <f aca="false">IF(T253=0,0,U253/T253)</f>
        <v>0.204120033393337</v>
      </c>
      <c r="W253" s="4" t="n">
        <f aca="false">C253-B253</f>
        <v>4</v>
      </c>
      <c r="X253" s="0" t="str">
        <f aca="false">TEXT(B253,"mmmm")</f>
        <v>April</v>
      </c>
      <c r="Y253" s="4" t="n">
        <f aca="false">YEAR(B253)</f>
        <v>2025</v>
      </c>
      <c r="Z253" s="0" t="str">
        <f aca="false">PROPER(TRIM(AU253))</f>
        <v>Paid</v>
      </c>
      <c r="AA253" s="0" t="str">
        <f aca="false">PROPER(TRIM(AV253))</f>
        <v>Completed</v>
      </c>
      <c r="AB253" s="0" t="str">
        <f aca="false">IF(TRIM(AN253)="","Yes","No")</f>
        <v>No</v>
      </c>
      <c r="AC253" s="0" t="str">
        <f aca="false">IF(TRIM(AS253)="","Yes","No")</f>
        <v>No</v>
      </c>
      <c r="AD253" s="0" t="str">
        <f aca="false">IF(AT253="","Yes","No")</f>
        <v>No</v>
      </c>
      <c r="AE253" s="0" t="str">
        <f aca="false">IF(W253&lt;0,"Yes","No")</f>
        <v>No</v>
      </c>
      <c r="AF253" s="0" t="str">
        <f aca="false">IF(P253="","No",IF(OR(P253&lt;0,P253&gt;0.3),"Yes","No"))</f>
        <v>No</v>
      </c>
      <c r="AG253" s="4" t="s">
        <v>50</v>
      </c>
      <c r="AH253" s="0" t="str">
        <f aca="false">IF(AND(AA253="Completed",Z253="Paid"),"Yes","No")</f>
        <v>Yes</v>
      </c>
      <c r="AI253" s="0" t="str">
        <f aca="false">IF(OR(AE253="Yes",AF253="Yes",AG253="Yes"),"Invalid",IF(OR(AB253="Yes",AC253="Yes",AD253="Yes"),"Warning","Clean"))</f>
        <v>Clean</v>
      </c>
      <c r="AJ253" s="4" t="s">
        <v>1111</v>
      </c>
      <c r="AK253" s="4" t="s">
        <v>113</v>
      </c>
      <c r="AL253" s="4" t="s">
        <v>96</v>
      </c>
      <c r="AM253" s="4" t="s">
        <v>128</v>
      </c>
      <c r="AN253" s="4" t="s">
        <v>97</v>
      </c>
      <c r="AO253" s="4" t="s">
        <v>238</v>
      </c>
      <c r="AP253" s="4" t="s">
        <v>239</v>
      </c>
      <c r="AQ253" s="4" t="s">
        <v>72</v>
      </c>
      <c r="AR253" s="4" t="s">
        <v>73</v>
      </c>
      <c r="AS253" s="4" t="s">
        <v>60</v>
      </c>
      <c r="AT253" s="0" t="n">
        <v>0</v>
      </c>
      <c r="AU253" s="4" t="s">
        <v>61</v>
      </c>
      <c r="AV253" s="4" t="s">
        <v>62</v>
      </c>
    </row>
    <row r="254" customFormat="false" ht="15" hidden="false" customHeight="false" outlineLevel="0" collapsed="false">
      <c r="A254" s="0" t="s">
        <v>1112</v>
      </c>
      <c r="B254" s="3" t="n">
        <f aca="false">IF(AJ254="","",IF(ISNUMBER(SEARCH("/",AJ254)),DATE(VALUE(RIGHT(AJ254,4)),VALUE(LEFT(AJ254,2)),VALUE(MID(AJ254,4,2))),IF(ISNUMBER(SEARCH("-",AJ254)),IF(LEN(LEFT(AJ254,FIND("-",AJ254)-1))=4,DATE(VALUE(LEFT(AJ254,4)),VALUE(MID(AJ254,6,2)),VALUE(RIGHT(AJ254,2))),DATE(VALUE(RIGHT(AJ254,4)),VALUE(MID(AJ254,4,2)),VALUE(LEFT(AJ254,2)))),DATE(VALUE(RIGHT(AJ254,4)),MATCH(MID(AJ254,4,3),{"Jan","Feb","Mar","Apr","May","Jun","Jul","Aug","Sep","Oct","Nov","Dec"},0),VALUE(LEFT(AJ254,2))))))</f>
        <v>45833</v>
      </c>
      <c r="C254" s="3" t="n">
        <f aca="false">IF(AK254="","",IF(ISNUMBER(SEARCH("/",AK254)),DATE(VALUE(RIGHT(AK254,4)),VALUE(LEFT(AK254,2)),VALUE(MID(AK254,4,2))),IF(ISNUMBER(SEARCH("-",AK254)),IF(LEN(LEFT(AK254,FIND("-",AK254)-1))=4,DATE(VALUE(LEFT(AK254,4)),VALUE(MID(AK254,6,2)),VALUE(RIGHT(AK254,2))),DATE(VALUE(RIGHT(AK254,4)),VALUE(MID(AK254,4,2)),VALUE(LEFT(AK254,2)))),DATE(VALUE(RIGHT(AK254,4)),MATCH(MID(AK254,4,3),{"Jan","Feb","Mar","Apr","May","Jun","Jul","Aug","Sep","Oct","Nov","Dec"},0),VALUE(LEFT(AK254,2))))))</f>
        <v>45836</v>
      </c>
      <c r="D254" s="4" t="s">
        <v>1113</v>
      </c>
      <c r="E254" s="0" t="str">
        <f aca="false">PROPER(TRIM(AL254))</f>
        <v>Arjun Bose</v>
      </c>
      <c r="F254" s="0" t="str">
        <f aca="false">PROPER(TRIM(AM254))</f>
        <v>Corporate</v>
      </c>
      <c r="G254" s="0" t="str">
        <f aca="false">IF(TRIM(AN254)="","Unknown",PROPER(TRIM(AN254)))</f>
        <v>North</v>
      </c>
      <c r="H254" s="0" t="str">
        <f aca="false">PROPER(TRIM(AO254))</f>
        <v>Haryana</v>
      </c>
      <c r="I254" s="0" t="str">
        <f aca="false">PROPER(TRIM(AP254))</f>
        <v>Gurugram</v>
      </c>
      <c r="J254" s="0" t="str">
        <f aca="false">PROPER(TRIM(AQ254))</f>
        <v>Office Supplies</v>
      </c>
      <c r="K254" s="0" t="str">
        <f aca="false">PROPER(TRIM(AR254))</f>
        <v>Storage</v>
      </c>
      <c r="M254" s="0" t="str">
        <f aca="false">IF(TRIM(AS254)="","Unknown",PROPER(TRIM(AS254)))</f>
        <v>First Class</v>
      </c>
      <c r="N254" s="0" t="n">
        <v>2</v>
      </c>
      <c r="O254" s="0" t="n">
        <v>1455.92</v>
      </c>
      <c r="P254" s="5" t="n">
        <f aca="false">IF(AT254="","",IF(ISNUMBER(AT254),AT254,VALUE(SUBSTITUTE(AT254,"%",""))/100))</f>
        <v>0.2</v>
      </c>
      <c r="Q254" s="5" t="n">
        <f aca="false">IF(P254="",IF(AND(N254&lt;&gt;"",O254&lt;&gt;"",R254&lt;&gt;"",S254&lt;&gt;""),0,"REVIEW"),IF(OR(P254&lt;0,P254&gt;0.3),0,P254))</f>
        <v>0.2</v>
      </c>
      <c r="R254" s="0" t="n">
        <v>2329.47</v>
      </c>
      <c r="S254" s="0" t="n">
        <v>1603.62</v>
      </c>
      <c r="T254" s="6" t="n">
        <f aca="false">N254*O254*(1-Q254)</f>
        <v>2329.472</v>
      </c>
      <c r="U254" s="6" t="n">
        <f aca="false">T254-S254</f>
        <v>725.852</v>
      </c>
      <c r="V254" s="7" t="n">
        <f aca="false">IF(T254=0,0,U254/T254)</f>
        <v>0.31159507390516</v>
      </c>
      <c r="W254" s="4" t="n">
        <f aca="false">C254-B254</f>
        <v>3</v>
      </c>
      <c r="X254" s="0" t="str">
        <f aca="false">TEXT(B254,"mmmm")</f>
        <v>June</v>
      </c>
      <c r="Y254" s="4" t="n">
        <f aca="false">YEAR(B254)</f>
        <v>2025</v>
      </c>
      <c r="Z254" s="0" t="str">
        <f aca="false">PROPER(TRIM(AU254))</f>
        <v>Pending</v>
      </c>
      <c r="AA254" s="0" t="str">
        <f aca="false">PROPER(TRIM(AV254))</f>
        <v>Returned</v>
      </c>
      <c r="AB254" s="0" t="str">
        <f aca="false">IF(TRIM(AN254)="","Yes","No")</f>
        <v>No</v>
      </c>
      <c r="AC254" s="0" t="str">
        <f aca="false">IF(TRIM(AS254)="","Yes","No")</f>
        <v>No</v>
      </c>
      <c r="AD254" s="0" t="str">
        <f aca="false">IF(AT254="","Yes","No")</f>
        <v>No</v>
      </c>
      <c r="AE254" s="0" t="str">
        <f aca="false">IF(W254&lt;0,"Yes","No")</f>
        <v>No</v>
      </c>
      <c r="AF254" s="0" t="str">
        <f aca="false">IF(P254="","No",IF(OR(P254&lt;0,P254&gt;0.3),"Yes","No"))</f>
        <v>No</v>
      </c>
      <c r="AG254" s="4" t="s">
        <v>50</v>
      </c>
      <c r="AH254" s="0" t="str">
        <f aca="false">IF(AND(AA254="Completed",Z254="Paid"),"Yes","No")</f>
        <v>No</v>
      </c>
      <c r="AI254" s="0" t="str">
        <f aca="false">IF(OR(AE254="Yes",AF254="Yes",AG254="Yes"),"Invalid",IF(OR(AB254="Yes",AC254="Yes",AD254="Yes"),"Warning","Clean"))</f>
        <v>Clean</v>
      </c>
      <c r="AJ254" s="4" t="s">
        <v>1114</v>
      </c>
      <c r="AK254" s="4" t="s">
        <v>1032</v>
      </c>
      <c r="AL254" s="4" t="s">
        <v>86</v>
      </c>
      <c r="AM254" s="4" t="s">
        <v>128</v>
      </c>
      <c r="AN254" s="4" t="s">
        <v>168</v>
      </c>
      <c r="AO254" s="4" t="s">
        <v>310</v>
      </c>
      <c r="AP254" s="4" t="s">
        <v>311</v>
      </c>
      <c r="AQ254" s="4" t="s">
        <v>58</v>
      </c>
      <c r="AR254" s="4" t="s">
        <v>171</v>
      </c>
      <c r="AS254" s="4" t="s">
        <v>81</v>
      </c>
      <c r="AT254" s="0" t="n">
        <v>0.2</v>
      </c>
      <c r="AU254" s="4" t="s">
        <v>153</v>
      </c>
      <c r="AV254" s="4" t="s">
        <v>142</v>
      </c>
    </row>
    <row r="255" customFormat="false" ht="15" hidden="false" customHeight="false" outlineLevel="0" collapsed="false">
      <c r="A255" s="0" t="s">
        <v>1115</v>
      </c>
      <c r="B255" s="3" t="n">
        <f aca="false">IF(AJ255="","",IF(ISNUMBER(SEARCH("/",AJ255)),DATE(VALUE(RIGHT(AJ255,4)),VALUE(LEFT(AJ255,2)),VALUE(MID(AJ255,4,2))),IF(ISNUMBER(SEARCH("-",AJ255)),IF(LEN(LEFT(AJ255,FIND("-",AJ255)-1))=4,DATE(VALUE(LEFT(AJ255,4)),VALUE(MID(AJ255,6,2)),VALUE(RIGHT(AJ255,2))),DATE(VALUE(RIGHT(AJ255,4)),VALUE(MID(AJ255,4,2)),VALUE(LEFT(AJ255,2)))),DATE(VALUE(RIGHT(AJ255,4)),MATCH(MID(AJ255,4,3),{"Jan","Feb","Mar","Apr","May","Jun","Jul","Aug","Sep","Oct","Nov","Dec"},0),VALUE(LEFT(AJ255,2))))))</f>
        <v>45547</v>
      </c>
      <c r="C255" s="3" t="n">
        <f aca="false">IF(AK255="","",IF(ISNUMBER(SEARCH("/",AK255)),DATE(VALUE(RIGHT(AK255,4)),VALUE(LEFT(AK255,2)),VALUE(MID(AK255,4,2))),IF(ISNUMBER(SEARCH("-",AK255)),IF(LEN(LEFT(AK255,FIND("-",AK255)-1))=4,DATE(VALUE(LEFT(AK255,4)),VALUE(MID(AK255,6,2)),VALUE(RIGHT(AK255,2))),DATE(VALUE(RIGHT(AK255,4)),VALUE(MID(AK255,4,2)),VALUE(LEFT(AK255,2)))),DATE(VALUE(RIGHT(AK255,4)),MATCH(MID(AK255,4,3),{"Jan","Feb","Mar","Apr","May","Jun","Jul","Aug","Sep","Oct","Nov","Dec"},0),VALUE(LEFT(AK255,2))))))</f>
        <v>45548</v>
      </c>
      <c r="D255" s="4" t="s">
        <v>1116</v>
      </c>
      <c r="E255" s="0" t="str">
        <f aca="false">PROPER(TRIM(AL255))</f>
        <v>Priya Menon</v>
      </c>
      <c r="F255" s="0" t="str">
        <f aca="false">PROPER(TRIM(AM255))</f>
        <v>Small Business</v>
      </c>
      <c r="G255" s="0" t="str">
        <f aca="false">IF(TRIM(AN255)="","Unknown",PROPER(TRIM(AN255)))</f>
        <v>North</v>
      </c>
      <c r="H255" s="0" t="str">
        <f aca="false">PROPER(TRIM(AO255))</f>
        <v>Rajasthan</v>
      </c>
      <c r="I255" s="0" t="str">
        <f aca="false">PROPER(TRIM(AP255))</f>
        <v>Jaipur</v>
      </c>
      <c r="J255" s="0" t="str">
        <f aca="false">PROPER(TRIM(AQ255))</f>
        <v>Technology</v>
      </c>
      <c r="K255" s="0" t="str">
        <f aca="false">PROPER(TRIM(AR255))</f>
        <v>Phones</v>
      </c>
      <c r="M255" s="0" t="str">
        <f aca="false">IF(TRIM(AS255)="","Unknown",PROPER(TRIM(AS255)))</f>
        <v>Same Day</v>
      </c>
      <c r="N255" s="0" t="n">
        <v>6</v>
      </c>
      <c r="O255" s="0" t="n">
        <v>832.79</v>
      </c>
      <c r="P255" s="5" t="n">
        <f aca="false">IF(AT255="","",IF(ISNUMBER(AT255),AT255,VALUE(SUBSTITUTE(AT255,"%",""))/100))</f>
        <v>0.05</v>
      </c>
      <c r="Q255" s="5" t="n">
        <f aca="false">IF(P255="",IF(AND(N255&lt;&gt;"",O255&lt;&gt;"",R255&lt;&gt;"",S255&lt;&gt;""),0,"REVIEW"),IF(OR(P255&lt;0,P255&gt;0.3),0,P255))</f>
        <v>0.05</v>
      </c>
      <c r="R255" s="0" t="n">
        <v>4746.9</v>
      </c>
      <c r="S255" s="0" t="n">
        <v>2825.38</v>
      </c>
      <c r="T255" s="6" t="n">
        <f aca="false">N255*O255*(1-Q255)</f>
        <v>4746.903</v>
      </c>
      <c r="U255" s="6" t="n">
        <f aca="false">T255-S255</f>
        <v>1921.523</v>
      </c>
      <c r="V255" s="7" t="n">
        <f aca="false">IF(T255=0,0,U255/T255)</f>
        <v>0.404795084289694</v>
      </c>
      <c r="W255" s="4" t="n">
        <f aca="false">C255-B255</f>
        <v>1</v>
      </c>
      <c r="X255" s="0" t="str">
        <f aca="false">TEXT(B255,"mmmm")</f>
        <v>September</v>
      </c>
      <c r="Y255" s="4" t="n">
        <f aca="false">YEAR(B255)</f>
        <v>2024</v>
      </c>
      <c r="Z255" s="0" t="str">
        <f aca="false">PROPER(TRIM(AU255))</f>
        <v>Refunded</v>
      </c>
      <c r="AA255" s="0" t="str">
        <f aca="false">PROPER(TRIM(AV255))</f>
        <v>Cancelled</v>
      </c>
      <c r="AB255" s="0" t="str">
        <f aca="false">IF(TRIM(AN255)="","Yes","No")</f>
        <v>No</v>
      </c>
      <c r="AC255" s="0" t="str">
        <f aca="false">IF(TRIM(AS255)="","Yes","No")</f>
        <v>No</v>
      </c>
      <c r="AD255" s="0" t="str">
        <f aca="false">IF(AT255="","Yes","No")</f>
        <v>No</v>
      </c>
      <c r="AE255" s="0" t="str">
        <f aca="false">IF(W255&lt;0,"Yes","No")</f>
        <v>No</v>
      </c>
      <c r="AF255" s="0" t="str">
        <f aca="false">IF(P255="","No",IF(OR(P255&lt;0,P255&gt;0.3),"Yes","No"))</f>
        <v>No</v>
      </c>
      <c r="AG255" s="4" t="s">
        <v>50</v>
      </c>
      <c r="AH255" s="0" t="str">
        <f aca="false">IF(AND(AA255="Completed",Z255="Paid"),"Yes","No")</f>
        <v>No</v>
      </c>
      <c r="AI255" s="0" t="str">
        <f aca="false">IF(OR(AE255="Yes",AF255="Yes",AG255="Yes"),"Invalid",IF(OR(AB255="Yes",AC255="Yes",AD255="Yes"),"Warning","Clean"))</f>
        <v>Clean</v>
      </c>
      <c r="AJ255" s="4" t="s">
        <v>1117</v>
      </c>
      <c r="AK255" s="4" t="s">
        <v>1118</v>
      </c>
      <c r="AL255" s="4" t="s">
        <v>158</v>
      </c>
      <c r="AM255" s="4" t="s">
        <v>68</v>
      </c>
      <c r="AN255" s="4" t="s">
        <v>168</v>
      </c>
      <c r="AO255" s="4" t="s">
        <v>56</v>
      </c>
      <c r="AP255" s="4" t="s">
        <v>57</v>
      </c>
      <c r="AQ255" s="4" t="s">
        <v>109</v>
      </c>
      <c r="AR255" s="4" t="s">
        <v>227</v>
      </c>
      <c r="AS255" s="4" t="s">
        <v>74</v>
      </c>
      <c r="AT255" s="0" t="n">
        <v>0.05</v>
      </c>
      <c r="AU255" s="4" t="s">
        <v>141</v>
      </c>
      <c r="AV255" s="4" t="s">
        <v>101</v>
      </c>
    </row>
    <row r="256" customFormat="false" ht="15" hidden="false" customHeight="false" outlineLevel="0" collapsed="false">
      <c r="A256" s="0" t="s">
        <v>1119</v>
      </c>
      <c r="B256" s="3" t="n">
        <f aca="false">IF(AJ256="","",IF(ISNUMBER(SEARCH("/",AJ256)),DATE(VALUE(RIGHT(AJ256,4)),VALUE(LEFT(AJ256,2)),VALUE(MID(AJ256,4,2))),IF(ISNUMBER(SEARCH("-",AJ256)),IF(LEN(LEFT(AJ256,FIND("-",AJ256)-1))=4,DATE(VALUE(LEFT(AJ256,4)),VALUE(MID(AJ256,6,2)),VALUE(RIGHT(AJ256,2))),DATE(VALUE(RIGHT(AJ256,4)),VALUE(MID(AJ256,4,2)),VALUE(LEFT(AJ256,2)))),DATE(VALUE(RIGHT(AJ256,4)),MATCH(MID(AJ256,4,3),{"Jan","Feb","Mar","Apr","May","Jun","Jul","Aug","Sep","Oct","Nov","Dec"},0),VALUE(LEFT(AJ256,2))))))</f>
        <v>45658</v>
      </c>
      <c r="C256" s="3" t="n">
        <f aca="false">IF(AK256="","",IF(ISNUMBER(SEARCH("/",AK256)),DATE(VALUE(RIGHT(AK256,4)),VALUE(LEFT(AK256,2)),VALUE(MID(AK256,4,2))),IF(ISNUMBER(SEARCH("-",AK256)),IF(LEN(LEFT(AK256,FIND("-",AK256)-1))=4,DATE(VALUE(LEFT(AK256,4)),VALUE(MID(AK256,6,2)),VALUE(RIGHT(AK256,2))),DATE(VALUE(RIGHT(AK256,4)),VALUE(MID(AK256,4,2)),VALUE(LEFT(AK256,2)))),DATE(VALUE(RIGHT(AK256,4)),MATCH(MID(AK256,4,3),{"Jan","Feb","Mar","Apr","May","Jun","Jul","Aug","Sep","Oct","Nov","Dec"},0),VALUE(LEFT(AK256,2))))))</f>
        <v>45660</v>
      </c>
      <c r="D256" s="4" t="s">
        <v>1120</v>
      </c>
      <c r="E256" s="0" t="str">
        <f aca="false">PROPER(TRIM(AL256))</f>
        <v>Ananya Rao</v>
      </c>
      <c r="F256" s="0" t="str">
        <f aca="false">PROPER(TRIM(AM256))</f>
        <v>Consumer</v>
      </c>
      <c r="G256" s="0" t="str">
        <f aca="false">IF(TRIM(AN256)="","Unknown",PROPER(TRIM(AN256)))</f>
        <v>West</v>
      </c>
      <c r="H256" s="0" t="str">
        <f aca="false">PROPER(TRIM(AO256))</f>
        <v>Madhya Pradesh</v>
      </c>
      <c r="I256" s="0" t="str">
        <f aca="false">PROPER(TRIM(AP256))</f>
        <v>Indore</v>
      </c>
      <c r="J256" s="0" t="str">
        <f aca="false">PROPER(TRIM(AQ256))</f>
        <v>Technology</v>
      </c>
      <c r="K256" s="0" t="str">
        <f aca="false">PROPER(TRIM(AR256))</f>
        <v>Accessories</v>
      </c>
      <c r="M256" s="0" t="str">
        <f aca="false">IF(TRIM(AS256)="","Unknown",PROPER(TRIM(AS256)))</f>
        <v>Same Day</v>
      </c>
      <c r="N256" s="0" t="n">
        <v>7</v>
      </c>
      <c r="O256" s="0" t="n">
        <v>1000.55</v>
      </c>
      <c r="P256" s="5" t="n">
        <f aca="false">IF(AT256="","",IF(ISNUMBER(AT256),AT256,VALUE(SUBSTITUTE(AT256,"%",""))/100))</f>
        <v>0.2</v>
      </c>
      <c r="Q256" s="5" t="n">
        <f aca="false">IF(P256="",IF(AND(N256&lt;&gt;"",O256&lt;&gt;"",R256&lt;&gt;"",S256&lt;&gt;""),0,"REVIEW"),IF(OR(P256&lt;0,P256&gt;0.3),0,P256))</f>
        <v>0.2</v>
      </c>
      <c r="R256" s="0" t="n">
        <v>5603.08</v>
      </c>
      <c r="S256" s="0" t="n">
        <v>3132.52</v>
      </c>
      <c r="T256" s="6" t="n">
        <f aca="false">N256*O256*(1-Q256)</f>
        <v>5603.08</v>
      </c>
      <c r="U256" s="6" t="n">
        <f aca="false">T256-S256</f>
        <v>2470.56</v>
      </c>
      <c r="V256" s="7" t="n">
        <f aca="false">IF(T256=0,0,U256/T256)</f>
        <v>0.440928917666712</v>
      </c>
      <c r="W256" s="4" t="n">
        <f aca="false">C256-B256</f>
        <v>2</v>
      </c>
      <c r="X256" s="0" t="str">
        <f aca="false">TEXT(B256,"mmmm")</f>
        <v>January</v>
      </c>
      <c r="Y256" s="4" t="n">
        <f aca="false">YEAR(B256)</f>
        <v>2025</v>
      </c>
      <c r="Z256" s="0" t="str">
        <f aca="false">PROPER(TRIM(AU256))</f>
        <v>Paid</v>
      </c>
      <c r="AA256" s="0" t="str">
        <f aca="false">PROPER(TRIM(AV256))</f>
        <v>Returned</v>
      </c>
      <c r="AB256" s="0" t="str">
        <f aca="false">IF(TRIM(AN256)="","Yes","No")</f>
        <v>No</v>
      </c>
      <c r="AC256" s="0" t="str">
        <f aca="false">IF(TRIM(AS256)="","Yes","No")</f>
        <v>No</v>
      </c>
      <c r="AD256" s="0" t="str">
        <f aca="false">IF(AT256="","Yes","No")</f>
        <v>No</v>
      </c>
      <c r="AE256" s="0" t="str">
        <f aca="false">IF(W256&lt;0,"Yes","No")</f>
        <v>No</v>
      </c>
      <c r="AF256" s="0" t="str">
        <f aca="false">IF(P256="","No",IF(OR(P256&lt;0,P256&gt;0.3),"Yes","No"))</f>
        <v>No</v>
      </c>
      <c r="AG256" s="4" t="s">
        <v>50</v>
      </c>
      <c r="AH256" s="0" t="str">
        <f aca="false">IF(AND(AA256="Completed",Z256="Paid"),"Yes","No")</f>
        <v>No</v>
      </c>
      <c r="AI256" s="0" t="str">
        <f aca="false">IF(OR(AE256="Yes",AF256="Yes",AG256="Yes"),"Invalid",IF(OR(AB256="Yes",AC256="Yes",AD256="Yes"),"Warning","Clean"))</f>
        <v>Clean</v>
      </c>
      <c r="AJ256" s="4" t="s">
        <v>1121</v>
      </c>
      <c r="AK256" s="4" t="s">
        <v>1122</v>
      </c>
      <c r="AL256" s="4" t="s">
        <v>96</v>
      </c>
      <c r="AM256" s="4" t="s">
        <v>54</v>
      </c>
      <c r="AN256" s="4" t="s">
        <v>97</v>
      </c>
      <c r="AO256" s="4" t="s">
        <v>107</v>
      </c>
      <c r="AP256" s="4" t="s">
        <v>108</v>
      </c>
      <c r="AQ256" s="4" t="s">
        <v>109</v>
      </c>
      <c r="AR256" s="4" t="s">
        <v>110</v>
      </c>
      <c r="AS256" s="4" t="s">
        <v>74</v>
      </c>
      <c r="AT256" s="0" t="n">
        <v>0.2</v>
      </c>
      <c r="AU256" s="4" t="s">
        <v>61</v>
      </c>
      <c r="AV256" s="4" t="s">
        <v>142</v>
      </c>
    </row>
    <row r="257" customFormat="false" ht="15" hidden="false" customHeight="false" outlineLevel="0" collapsed="false">
      <c r="A257" s="0" t="s">
        <v>1123</v>
      </c>
      <c r="B257" s="3" t="n">
        <f aca="false">IF(AJ257="","",IF(ISNUMBER(SEARCH("/",AJ257)),DATE(VALUE(RIGHT(AJ257,4)),VALUE(LEFT(AJ257,2)),VALUE(MID(AJ257,4,2))),IF(ISNUMBER(SEARCH("-",AJ257)),IF(LEN(LEFT(AJ257,FIND("-",AJ257)-1))=4,DATE(VALUE(LEFT(AJ257,4)),VALUE(MID(AJ257,6,2)),VALUE(RIGHT(AJ257,2))),DATE(VALUE(RIGHT(AJ257,4)),VALUE(MID(AJ257,4,2)),VALUE(LEFT(AJ257,2)))),DATE(VALUE(RIGHT(AJ257,4)),MATCH(MID(AJ257,4,3),{"Jan","Feb","Mar","Apr","May","Jun","Jul","Aug","Sep","Oct","Nov","Dec"},0),VALUE(LEFT(AJ257,2))))))</f>
        <v>45692</v>
      </c>
      <c r="C257" s="3" t="n">
        <f aca="false">IF(AK257="","",IF(ISNUMBER(SEARCH("/",AK257)),DATE(VALUE(RIGHT(AK257,4)),VALUE(LEFT(AK257,2)),VALUE(MID(AK257,4,2))),IF(ISNUMBER(SEARCH("-",AK257)),IF(LEN(LEFT(AK257,FIND("-",AK257)-1))=4,DATE(VALUE(LEFT(AK257,4)),VALUE(MID(AK257,6,2)),VALUE(RIGHT(AK257,2))),DATE(VALUE(RIGHT(AK257,4)),VALUE(MID(AK257,4,2)),VALUE(LEFT(AK257,2)))),DATE(VALUE(RIGHT(AK257,4)),MATCH(MID(AK257,4,3),{"Jan","Feb","Mar","Apr","May","Jun","Jul","Aug","Sep","Oct","Nov","Dec"},0),VALUE(LEFT(AK257,2))))))</f>
        <v>45698</v>
      </c>
      <c r="D257" s="4" t="s">
        <v>1124</v>
      </c>
      <c r="E257" s="0" t="str">
        <f aca="false">PROPER(TRIM(AL257))</f>
        <v>Isha Nair</v>
      </c>
      <c r="F257" s="0" t="str">
        <f aca="false">PROPER(TRIM(AM257))</f>
        <v>Corporate</v>
      </c>
      <c r="G257" s="0" t="str">
        <f aca="false">IF(TRIM(AN257)="","Unknown",PROPER(TRIM(AN257)))</f>
        <v>West</v>
      </c>
      <c r="H257" s="0" t="str">
        <f aca="false">PROPER(TRIM(AO257))</f>
        <v>Maharashtra</v>
      </c>
      <c r="I257" s="0" t="str">
        <f aca="false">PROPER(TRIM(AP257))</f>
        <v>Mumbai</v>
      </c>
      <c r="J257" s="0" t="str">
        <f aca="false">PROPER(TRIM(AQ257))</f>
        <v>Technology</v>
      </c>
      <c r="K257" s="0" t="str">
        <f aca="false">PROPER(TRIM(AR257))</f>
        <v>Phones</v>
      </c>
      <c r="M257" s="0" t="str">
        <f aca="false">IF(TRIM(AS257)="","Unknown",PROPER(TRIM(AS257)))</f>
        <v>First Class</v>
      </c>
      <c r="N257" s="0" t="n">
        <v>7</v>
      </c>
      <c r="O257" s="0" t="n">
        <v>1830</v>
      </c>
      <c r="P257" s="5" t="n">
        <f aca="false">IF(AT257="","",IF(ISNUMBER(AT257),AT257,VALUE(SUBSTITUTE(AT257,"%",""))/100))</f>
        <v>0</v>
      </c>
      <c r="Q257" s="5" t="n">
        <f aca="false">IF(P257="",IF(AND(N257&lt;&gt;"",O257&lt;&gt;"",R257&lt;&gt;"",S257&lt;&gt;""),0,"REVIEW"),IF(OR(P257&lt;0,P257&gt;0.3),0,P257))</f>
        <v>0</v>
      </c>
      <c r="R257" s="0" t="n">
        <v>12810</v>
      </c>
      <c r="S257" s="0" t="n">
        <v>9334.12</v>
      </c>
      <c r="T257" s="6" t="n">
        <f aca="false">N257*O257*(1-Q257)</f>
        <v>12810</v>
      </c>
      <c r="U257" s="6" t="n">
        <f aca="false">T257-S257</f>
        <v>3475.88</v>
      </c>
      <c r="V257" s="7" t="n">
        <f aca="false">IF(T257=0,0,U257/T257)</f>
        <v>0.271341139734582</v>
      </c>
      <c r="W257" s="4" t="n">
        <f aca="false">C257-B257</f>
        <v>6</v>
      </c>
      <c r="X257" s="0" t="str">
        <f aca="false">TEXT(B257,"mmmm")</f>
        <v>February</v>
      </c>
      <c r="Y257" s="4" t="n">
        <f aca="false">YEAR(B257)</f>
        <v>2025</v>
      </c>
      <c r="Z257" s="0" t="str">
        <f aca="false">PROPER(TRIM(AU257))</f>
        <v>Paid</v>
      </c>
      <c r="AA257" s="0" t="str">
        <f aca="false">PROPER(TRIM(AV257))</f>
        <v>Completed</v>
      </c>
      <c r="AB257" s="0" t="str">
        <f aca="false">IF(TRIM(AN257)="","Yes","No")</f>
        <v>No</v>
      </c>
      <c r="AC257" s="0" t="str">
        <f aca="false">IF(TRIM(AS257)="","Yes","No")</f>
        <v>No</v>
      </c>
      <c r="AD257" s="0" t="str">
        <f aca="false">IF(AT257="","Yes","No")</f>
        <v>No</v>
      </c>
      <c r="AE257" s="0" t="str">
        <f aca="false">IF(W257&lt;0,"Yes","No")</f>
        <v>No</v>
      </c>
      <c r="AF257" s="0" t="str">
        <f aca="false">IF(P257="","No",IF(OR(P257&lt;0,P257&gt;0.3),"Yes","No"))</f>
        <v>No</v>
      </c>
      <c r="AG257" s="4" t="s">
        <v>50</v>
      </c>
      <c r="AH257" s="0" t="str">
        <f aca="false">IF(AND(AA257="Completed",Z257="Paid"),"Yes","No")</f>
        <v>Yes</v>
      </c>
      <c r="AI257" s="0" t="str">
        <f aca="false">IF(OR(AE257="Yes",AF257="Yes",AG257="Yes"),"Invalid",IF(OR(AB257="Yes",AC257="Yes",AD257="Yes"),"Warning","Clean"))</f>
        <v>Clean</v>
      </c>
      <c r="AJ257" s="4" t="s">
        <v>1125</v>
      </c>
      <c r="AK257" s="4" t="s">
        <v>1126</v>
      </c>
      <c r="AL257" s="4" t="s">
        <v>79</v>
      </c>
      <c r="AM257" s="4" t="s">
        <v>128</v>
      </c>
      <c r="AN257" s="4" t="s">
        <v>97</v>
      </c>
      <c r="AO257" s="4" t="s">
        <v>98</v>
      </c>
      <c r="AP257" s="4" t="s">
        <v>99</v>
      </c>
      <c r="AQ257" s="4" t="s">
        <v>109</v>
      </c>
      <c r="AR257" s="4" t="s">
        <v>227</v>
      </c>
      <c r="AS257" s="4" t="s">
        <v>81</v>
      </c>
      <c r="AT257" s="0" t="n">
        <v>0</v>
      </c>
      <c r="AU257" s="4" t="s">
        <v>61</v>
      </c>
      <c r="AV257" s="4" t="s">
        <v>62</v>
      </c>
    </row>
    <row r="258" customFormat="false" ht="15" hidden="false" customHeight="false" outlineLevel="0" collapsed="false">
      <c r="A258" s="0" t="s">
        <v>1127</v>
      </c>
      <c r="B258" s="3" t="n">
        <f aca="false">IF(AJ258="","",IF(ISNUMBER(SEARCH("/",AJ258)),DATE(VALUE(RIGHT(AJ258,4)),VALUE(LEFT(AJ258,2)),VALUE(MID(AJ258,4,2))),IF(ISNUMBER(SEARCH("-",AJ258)),IF(LEN(LEFT(AJ258,FIND("-",AJ258)-1))=4,DATE(VALUE(LEFT(AJ258,4)),VALUE(MID(AJ258,6,2)),VALUE(RIGHT(AJ258,2))),DATE(VALUE(RIGHT(AJ258,4)),VALUE(MID(AJ258,4,2)),VALUE(LEFT(AJ258,2)))),DATE(VALUE(RIGHT(AJ258,4)),MATCH(MID(AJ258,4,3),{"Jan","Feb","Mar","Apr","May","Jun","Jul","Aug","Sep","Oct","Nov","Dec"},0),VALUE(LEFT(AJ258,2))))))</f>
        <v>45601</v>
      </c>
      <c r="C258" s="3" t="n">
        <f aca="false">IF(AK258="","",IF(ISNUMBER(SEARCH("/",AK258)),DATE(VALUE(RIGHT(AK258,4)),VALUE(LEFT(AK258,2)),VALUE(MID(AK258,4,2))),IF(ISNUMBER(SEARCH("-",AK258)),IF(LEN(LEFT(AK258,FIND("-",AK258)-1))=4,DATE(VALUE(LEFT(AK258,4)),VALUE(MID(AK258,6,2)),VALUE(RIGHT(AK258,2))),DATE(VALUE(RIGHT(AK258,4)),VALUE(MID(AK258,4,2)),VALUE(LEFT(AK258,2)))),DATE(VALUE(RIGHT(AK258,4)),MATCH(MID(AK258,4,3),{"Jan","Feb","Mar","Apr","May","Jun","Jul","Aug","Sep","Oct","Nov","Dec"},0),VALUE(LEFT(AK258,2))))))</f>
        <v>45599</v>
      </c>
      <c r="D258" s="4" t="s">
        <v>1128</v>
      </c>
      <c r="E258" s="0" t="str">
        <f aca="false">PROPER(TRIM(AL258))</f>
        <v>Ananya Rao</v>
      </c>
      <c r="F258" s="0" t="str">
        <f aca="false">PROPER(TRIM(AM258))</f>
        <v>Consumer</v>
      </c>
      <c r="G258" s="0" t="str">
        <f aca="false">IF(TRIM(AN258)="","Unknown",PROPER(TRIM(AN258)))</f>
        <v>East</v>
      </c>
      <c r="H258" s="0" t="str">
        <f aca="false">PROPER(TRIM(AO258))</f>
        <v>West Bengal</v>
      </c>
      <c r="I258" s="0" t="str">
        <f aca="false">PROPER(TRIM(AP258))</f>
        <v>Kolkata</v>
      </c>
      <c r="J258" s="0" t="str">
        <f aca="false">PROPER(TRIM(AQ258))</f>
        <v>Furniture</v>
      </c>
      <c r="K258" s="0" t="str">
        <f aca="false">PROPER(TRIM(AR258))</f>
        <v>Tables</v>
      </c>
      <c r="M258" s="0" t="str">
        <f aca="false">IF(TRIM(AS258)="","Unknown",PROPER(TRIM(AS258)))</f>
        <v>First Class</v>
      </c>
      <c r="N258" s="0" t="n">
        <v>9</v>
      </c>
      <c r="O258" s="0" t="n">
        <v>2260.61</v>
      </c>
      <c r="P258" s="5" t="n">
        <f aca="false">IF(AT258="","",IF(ISNUMBER(AT258),AT258,VALUE(SUBSTITUTE(AT258,"%",""))/100))</f>
        <v>0.05</v>
      </c>
      <c r="Q258" s="5" t="n">
        <f aca="false">IF(P258="",IF(AND(N258&lt;&gt;"",O258&lt;&gt;"",R258&lt;&gt;"",S258&lt;&gt;""),0,"REVIEW"),IF(OR(P258&lt;0,P258&gt;0.3),0,P258))</f>
        <v>0.05</v>
      </c>
      <c r="R258" s="0" t="n">
        <v>19328.22</v>
      </c>
      <c r="S258" s="0" t="n">
        <v>12039.5</v>
      </c>
      <c r="T258" s="6" t="n">
        <f aca="false">N258*O258*(1-Q258)</f>
        <v>19328.2155</v>
      </c>
      <c r="U258" s="6" t="n">
        <f aca="false">T258-S258</f>
        <v>7288.7155</v>
      </c>
      <c r="V258" s="7" t="n">
        <f aca="false">IF(T258=0,0,U258/T258)</f>
        <v>0.377102350705889</v>
      </c>
      <c r="W258" s="4" t="n">
        <f aca="false">C258-B258</f>
        <v>-2</v>
      </c>
      <c r="X258" s="0" t="str">
        <f aca="false">TEXT(B258,"mmmm")</f>
        <v>November</v>
      </c>
      <c r="Y258" s="4" t="n">
        <f aca="false">YEAR(B258)</f>
        <v>2024</v>
      </c>
      <c r="Z258" s="0" t="str">
        <f aca="false">PROPER(TRIM(AU258))</f>
        <v>Paid</v>
      </c>
      <c r="AA258" s="0" t="str">
        <f aca="false">PROPER(TRIM(AV258))</f>
        <v>Completed</v>
      </c>
      <c r="AB258" s="0" t="str">
        <f aca="false">IF(TRIM(AN258)="","Yes","No")</f>
        <v>No</v>
      </c>
      <c r="AC258" s="0" t="str">
        <f aca="false">IF(TRIM(AS258)="","Yes","No")</f>
        <v>No</v>
      </c>
      <c r="AD258" s="0" t="str">
        <f aca="false">IF(AT258="","Yes","No")</f>
        <v>No</v>
      </c>
      <c r="AE258" s="0" t="str">
        <f aca="false">IF(W258&lt;0,"Yes","No")</f>
        <v>Yes</v>
      </c>
      <c r="AF258" s="0" t="str">
        <f aca="false">IF(P258="","No",IF(OR(P258&lt;0,P258&gt;0.3),"Yes","No"))</f>
        <v>No</v>
      </c>
      <c r="AG258" s="4" t="s">
        <v>50</v>
      </c>
      <c r="AH258" s="0" t="str">
        <f aca="false">IF(AND(AA258="Completed",Z258="Paid"),"Yes","No")</f>
        <v>Yes</v>
      </c>
      <c r="AI258" s="0" t="str">
        <f aca="false">IF(OR(AE258="Yes",AF258="Yes",AG258="Yes"),"Invalid",IF(OR(AB258="Yes",AC258="Yes",AD258="Yes"),"Warning","Clean"))</f>
        <v>Invalid</v>
      </c>
      <c r="AJ258" s="4" t="s">
        <v>1129</v>
      </c>
      <c r="AK258" s="4" t="s">
        <v>442</v>
      </c>
      <c r="AL258" s="4" t="s">
        <v>96</v>
      </c>
      <c r="AM258" s="4" t="s">
        <v>54</v>
      </c>
      <c r="AN258" s="4" t="s">
        <v>69</v>
      </c>
      <c r="AO258" s="4" t="s">
        <v>139</v>
      </c>
      <c r="AP258" s="4" t="s">
        <v>140</v>
      </c>
      <c r="AQ258" s="4" t="s">
        <v>72</v>
      </c>
      <c r="AR258" s="4" t="s">
        <v>73</v>
      </c>
      <c r="AS258" s="4" t="s">
        <v>81</v>
      </c>
      <c r="AT258" s="0" t="n">
        <v>0.05</v>
      </c>
      <c r="AU258" s="4" t="s">
        <v>61</v>
      </c>
      <c r="AV258" s="4" t="s">
        <v>62</v>
      </c>
    </row>
    <row r="259" customFormat="false" ht="15" hidden="false" customHeight="false" outlineLevel="0" collapsed="false">
      <c r="A259" s="0" t="s">
        <v>1130</v>
      </c>
      <c r="B259" s="3" t="n">
        <f aca="false">IF(AJ259="","",IF(ISNUMBER(SEARCH("/",AJ259)),DATE(VALUE(RIGHT(AJ259,4)),VALUE(LEFT(AJ259,2)),VALUE(MID(AJ259,4,2))),IF(ISNUMBER(SEARCH("-",AJ259)),IF(LEN(LEFT(AJ259,FIND("-",AJ259)-1))=4,DATE(VALUE(LEFT(AJ259,4)),VALUE(MID(AJ259,6,2)),VALUE(RIGHT(AJ259,2))),DATE(VALUE(RIGHT(AJ259,4)),VALUE(MID(AJ259,4,2)),VALUE(LEFT(AJ259,2)))),DATE(VALUE(RIGHT(AJ259,4)),MATCH(MID(AJ259,4,3),{"Jan","Feb","Mar","Apr","May","Jun","Jul","Aug","Sep","Oct","Nov","Dec"},0),VALUE(LEFT(AJ259,2))))))</f>
        <v>45878</v>
      </c>
      <c r="C259" s="3" t="n">
        <f aca="false">IF(AK259="","",IF(ISNUMBER(SEARCH("/",AK259)),DATE(VALUE(RIGHT(AK259,4)),VALUE(LEFT(AK259,2)),VALUE(MID(AK259,4,2))),IF(ISNUMBER(SEARCH("-",AK259)),IF(LEN(LEFT(AK259,FIND("-",AK259)-1))=4,DATE(VALUE(LEFT(AK259,4)),VALUE(MID(AK259,6,2)),VALUE(RIGHT(AK259,2))),DATE(VALUE(RIGHT(AK259,4)),VALUE(MID(AK259,4,2)),VALUE(LEFT(AK259,2)))),DATE(VALUE(RIGHT(AK259,4)),MATCH(MID(AK259,4,3),{"Jan","Feb","Mar","Apr","May","Jun","Jul","Aug","Sep","Oct","Nov","Dec"},0),VALUE(LEFT(AK259,2))))))</f>
        <v>45881</v>
      </c>
      <c r="D259" s="4" t="s">
        <v>1131</v>
      </c>
      <c r="E259" s="0" t="str">
        <f aca="false">PROPER(TRIM(AL259))</f>
        <v>Diya Patel</v>
      </c>
      <c r="F259" s="0" t="str">
        <f aca="false">PROPER(TRIM(AM259))</f>
        <v>Corporate</v>
      </c>
      <c r="G259" s="0" t="str">
        <f aca="false">IF(TRIM(AN259)="","Unknown",PROPER(TRIM(AN259)))</f>
        <v>South</v>
      </c>
      <c r="H259" s="0" t="str">
        <f aca="false">PROPER(TRIM(AO259))</f>
        <v>Karnataka</v>
      </c>
      <c r="I259" s="0" t="str">
        <f aca="false">PROPER(TRIM(AP259))</f>
        <v>Bengaluru</v>
      </c>
      <c r="J259" s="0" t="str">
        <f aca="false">PROPER(TRIM(AQ259))</f>
        <v>Technology</v>
      </c>
      <c r="K259" s="0" t="str">
        <f aca="false">PROPER(TRIM(AR259))</f>
        <v>Accessories</v>
      </c>
      <c r="M259" s="0" t="str">
        <f aca="false">IF(TRIM(AS259)="","Unknown",PROPER(TRIM(AS259)))</f>
        <v>Second Class</v>
      </c>
      <c r="N259" s="0" t="n">
        <v>2</v>
      </c>
      <c r="O259" s="0" t="n">
        <v>3237.27</v>
      </c>
      <c r="P259" s="5" t="n">
        <f aca="false">IF(AT259="","",IF(ISNUMBER(AT259),AT259,VALUE(SUBSTITUTE(AT259,"%",""))/100))</f>
        <v>0</v>
      </c>
      <c r="Q259" s="5" t="n">
        <f aca="false">IF(P259="",IF(AND(N259&lt;&gt;"",O259&lt;&gt;"",R259&lt;&gt;"",S259&lt;&gt;""),0,"REVIEW"),IF(OR(P259&lt;0,P259&gt;0.3),0,P259))</f>
        <v>0</v>
      </c>
      <c r="R259" s="0" t="n">
        <v>6474.54</v>
      </c>
      <c r="S259" s="0" t="n">
        <v>5095.91</v>
      </c>
      <c r="T259" s="6" t="n">
        <f aca="false">N259*O259*(1-Q259)</f>
        <v>6474.54</v>
      </c>
      <c r="U259" s="6" t="n">
        <f aca="false">T259-S259</f>
        <v>1378.63</v>
      </c>
      <c r="V259" s="7" t="n">
        <f aca="false">IF(T259=0,0,U259/T259)</f>
        <v>0.212930957257195</v>
      </c>
      <c r="W259" s="4" t="n">
        <f aca="false">C259-B259</f>
        <v>3</v>
      </c>
      <c r="X259" s="0" t="str">
        <f aca="false">TEXT(B259,"mmmm")</f>
        <v>August</v>
      </c>
      <c r="Y259" s="4" t="n">
        <f aca="false">YEAR(B259)</f>
        <v>2025</v>
      </c>
      <c r="Z259" s="0" t="str">
        <f aca="false">PROPER(TRIM(AU259))</f>
        <v>Paid</v>
      </c>
      <c r="AA259" s="0" t="str">
        <f aca="false">PROPER(TRIM(AV259))</f>
        <v>Cancelled</v>
      </c>
      <c r="AB259" s="0" t="str">
        <f aca="false">IF(TRIM(AN259)="","Yes","No")</f>
        <v>No</v>
      </c>
      <c r="AC259" s="0" t="str">
        <f aca="false">IF(TRIM(AS259)="","Yes","No")</f>
        <v>No</v>
      </c>
      <c r="AD259" s="0" t="str">
        <f aca="false">IF(AT259="","Yes","No")</f>
        <v>No</v>
      </c>
      <c r="AE259" s="0" t="str">
        <f aca="false">IF(W259&lt;0,"Yes","No")</f>
        <v>No</v>
      </c>
      <c r="AF259" s="0" t="str">
        <f aca="false">IF(P259="","No",IF(OR(P259&lt;0,P259&gt;0.3),"Yes","No"))</f>
        <v>No</v>
      </c>
      <c r="AG259" s="4" t="s">
        <v>50</v>
      </c>
      <c r="AH259" s="0" t="str">
        <f aca="false">IF(AND(AA259="Completed",Z259="Paid"),"Yes","No")</f>
        <v>No</v>
      </c>
      <c r="AI259" s="0" t="str">
        <f aca="false">IF(OR(AE259="Yes",AF259="Yes",AG259="Yes"),"Invalid",IF(OR(AB259="Yes",AC259="Yes",AD259="Yes"),"Warning","Clean"))</f>
        <v>Clean</v>
      </c>
      <c r="AJ259" s="4" t="s">
        <v>1132</v>
      </c>
      <c r="AK259" s="4" t="s">
        <v>1133</v>
      </c>
      <c r="AL259" s="4" t="s">
        <v>216</v>
      </c>
      <c r="AM259" s="4" t="s">
        <v>128</v>
      </c>
      <c r="AN259" s="4" t="s">
        <v>87</v>
      </c>
      <c r="AO259" s="4" t="s">
        <v>233</v>
      </c>
      <c r="AP259" s="4" t="s">
        <v>234</v>
      </c>
      <c r="AQ259" s="4" t="s">
        <v>109</v>
      </c>
      <c r="AR259" s="4" t="s">
        <v>110</v>
      </c>
      <c r="AS259" s="4" t="s">
        <v>60</v>
      </c>
      <c r="AT259" s="0" t="n">
        <v>0</v>
      </c>
      <c r="AU259" s="4" t="s">
        <v>61</v>
      </c>
      <c r="AV259" s="4" t="s">
        <v>101</v>
      </c>
    </row>
    <row r="260" customFormat="false" ht="15" hidden="false" customHeight="false" outlineLevel="0" collapsed="false">
      <c r="A260" s="0" t="s">
        <v>1134</v>
      </c>
      <c r="B260" s="3" t="n">
        <f aca="false">IF(AJ260="","",IF(ISNUMBER(SEARCH("/",AJ260)),DATE(VALUE(RIGHT(AJ260,4)),VALUE(LEFT(AJ260,2)),VALUE(MID(AJ260,4,2))),IF(ISNUMBER(SEARCH("-",AJ260)),IF(LEN(LEFT(AJ260,FIND("-",AJ260)-1))=4,DATE(VALUE(LEFT(AJ260,4)),VALUE(MID(AJ260,6,2)),VALUE(RIGHT(AJ260,2))),DATE(VALUE(RIGHT(AJ260,4)),VALUE(MID(AJ260,4,2)),VALUE(LEFT(AJ260,2)))),DATE(VALUE(RIGHT(AJ260,4)),MATCH(MID(AJ260,4,3),{"Jan","Feb","Mar","Apr","May","Jun","Jul","Aug","Sep","Oct","Nov","Dec"},0),VALUE(LEFT(AJ260,2))))))</f>
        <v>45656</v>
      </c>
      <c r="C260" s="3" t="n">
        <f aca="false">IF(AK260="","",IF(ISNUMBER(SEARCH("/",AK260)),DATE(VALUE(RIGHT(AK260,4)),VALUE(LEFT(AK260,2)),VALUE(MID(AK260,4,2))),IF(ISNUMBER(SEARCH("-",AK260)),IF(LEN(LEFT(AK260,FIND("-",AK260)-1))=4,DATE(VALUE(LEFT(AK260,4)),VALUE(MID(AK260,6,2)),VALUE(RIGHT(AK260,2))),DATE(VALUE(RIGHT(AK260,4)),VALUE(MID(AK260,4,2)),VALUE(LEFT(AK260,2)))),DATE(VALUE(RIGHT(AK260,4)),MATCH(MID(AK260,4,3),{"Jan","Feb","Mar","Apr","May","Jun","Jul","Aug","Sep","Oct","Nov","Dec"},0),VALUE(LEFT(AK260,2))))))</f>
        <v>45661</v>
      </c>
      <c r="D260" s="4" t="s">
        <v>1135</v>
      </c>
      <c r="E260" s="0" t="str">
        <f aca="false">PROPER(TRIM(AL260))</f>
        <v>Sneha Kapoor</v>
      </c>
      <c r="F260" s="0" t="str">
        <f aca="false">PROPER(TRIM(AM260))</f>
        <v>Corporate</v>
      </c>
      <c r="G260" s="0" t="str">
        <f aca="false">IF(TRIM(AN260)="","Unknown",PROPER(TRIM(AN260)))</f>
        <v>South</v>
      </c>
      <c r="H260" s="0" t="str">
        <f aca="false">PROPER(TRIM(AO260))</f>
        <v>Tamil Nadu</v>
      </c>
      <c r="I260" s="0" t="str">
        <f aca="false">PROPER(TRIM(AP260))</f>
        <v>Chennai</v>
      </c>
      <c r="J260" s="0" t="str">
        <f aca="false">PROPER(TRIM(AQ260))</f>
        <v>Furniture</v>
      </c>
      <c r="K260" s="0" t="str">
        <f aca="false">PROPER(TRIM(AR260))</f>
        <v>Tables</v>
      </c>
      <c r="M260" s="0" t="str">
        <f aca="false">IF(TRIM(AS260)="","Unknown",PROPER(TRIM(AS260)))</f>
        <v>Same Day</v>
      </c>
      <c r="N260" s="0" t="n">
        <v>2</v>
      </c>
      <c r="O260" s="0" t="n">
        <v>3720.07</v>
      </c>
      <c r="P260" s="5" t="n">
        <f aca="false">IF(AT260="","",IF(ISNUMBER(AT260),AT260,VALUE(SUBSTITUTE(AT260,"%",""))/100))</f>
        <v>0.25</v>
      </c>
      <c r="Q260" s="5" t="n">
        <f aca="false">IF(P260="",IF(AND(N260&lt;&gt;"",O260&lt;&gt;"",R260&lt;&gt;"",S260&lt;&gt;""),0,"REVIEW"),IF(OR(P260&lt;0,P260&gt;0.3),0,P260))</f>
        <v>0.25</v>
      </c>
      <c r="R260" s="0" t="n">
        <v>5580.11</v>
      </c>
      <c r="S260" s="0" t="n">
        <v>4307.01</v>
      </c>
      <c r="T260" s="6" t="n">
        <f aca="false">N260*O260*(1-Q260)</f>
        <v>5580.105</v>
      </c>
      <c r="U260" s="6" t="n">
        <f aca="false">T260-S260</f>
        <v>1273.095</v>
      </c>
      <c r="V260" s="7" t="n">
        <f aca="false">IF(T260=0,0,U260/T260)</f>
        <v>0.228148932681374</v>
      </c>
      <c r="W260" s="4" t="n">
        <f aca="false">C260-B260</f>
        <v>5</v>
      </c>
      <c r="X260" s="0" t="str">
        <f aca="false">TEXT(B260,"mmmm")</f>
        <v>December</v>
      </c>
      <c r="Y260" s="4" t="n">
        <f aca="false">YEAR(B260)</f>
        <v>2024</v>
      </c>
      <c r="Z260" s="0" t="str">
        <f aca="false">PROPER(TRIM(AU260))</f>
        <v>Paid</v>
      </c>
      <c r="AA260" s="0" t="str">
        <f aca="false">PROPER(TRIM(AV260))</f>
        <v>Completed</v>
      </c>
      <c r="AB260" s="0" t="str">
        <f aca="false">IF(TRIM(AN260)="","Yes","No")</f>
        <v>No</v>
      </c>
      <c r="AC260" s="0" t="str">
        <f aca="false">IF(TRIM(AS260)="","Yes","No")</f>
        <v>No</v>
      </c>
      <c r="AD260" s="0" t="str">
        <f aca="false">IF(AT260="","Yes","No")</f>
        <v>No</v>
      </c>
      <c r="AE260" s="0" t="str">
        <f aca="false">IF(W260&lt;0,"Yes","No")</f>
        <v>No</v>
      </c>
      <c r="AF260" s="0" t="str">
        <f aca="false">IF(P260="","No",IF(OR(P260&lt;0,P260&gt;0.3),"Yes","No"))</f>
        <v>No</v>
      </c>
      <c r="AG260" s="4" t="s">
        <v>50</v>
      </c>
      <c r="AH260" s="0" t="str">
        <f aca="false">IF(AND(AA260="Completed",Z260="Paid"),"Yes","No")</f>
        <v>Yes</v>
      </c>
      <c r="AI260" s="0" t="str">
        <f aca="false">IF(OR(AE260="Yes",AF260="Yes",AG260="Yes"),"Invalid",IF(OR(AB260="Yes",AC260="Yes",AD260="Yes"),"Warning","Clean"))</f>
        <v>Clean</v>
      </c>
      <c r="AJ260" s="4" t="s">
        <v>721</v>
      </c>
      <c r="AK260" s="4" t="s">
        <v>1136</v>
      </c>
      <c r="AL260" s="4" t="s">
        <v>181</v>
      </c>
      <c r="AM260" s="4" t="s">
        <v>128</v>
      </c>
      <c r="AN260" s="4" t="s">
        <v>87</v>
      </c>
      <c r="AO260" s="4" t="s">
        <v>323</v>
      </c>
      <c r="AP260" s="4" t="s">
        <v>324</v>
      </c>
      <c r="AQ260" s="4" t="s">
        <v>72</v>
      </c>
      <c r="AR260" s="4" t="s">
        <v>73</v>
      </c>
      <c r="AS260" s="4" t="s">
        <v>74</v>
      </c>
      <c r="AT260" s="0" t="n">
        <v>0.25</v>
      </c>
      <c r="AU260" s="4" t="s">
        <v>61</v>
      </c>
      <c r="AV260" s="4" t="s">
        <v>62</v>
      </c>
    </row>
    <row r="261" customFormat="false" ht="15" hidden="false" customHeight="false" outlineLevel="0" collapsed="false">
      <c r="A261" s="0" t="s">
        <v>1137</v>
      </c>
      <c r="B261" s="3" t="n">
        <f aca="false">IF(AJ261="","",IF(ISNUMBER(SEARCH("/",AJ261)),DATE(VALUE(RIGHT(AJ261,4)),VALUE(LEFT(AJ261,2)),VALUE(MID(AJ261,4,2))),IF(ISNUMBER(SEARCH("-",AJ261)),IF(LEN(LEFT(AJ261,FIND("-",AJ261)-1))=4,DATE(VALUE(LEFT(AJ261,4)),VALUE(MID(AJ261,6,2)),VALUE(RIGHT(AJ261,2))),DATE(VALUE(RIGHT(AJ261,4)),VALUE(MID(AJ261,4,2)),VALUE(LEFT(AJ261,2)))),DATE(VALUE(RIGHT(AJ261,4)),MATCH(MID(AJ261,4,3),{"Jan","Feb","Mar","Apr","May","Jun","Jul","Aug","Sep","Oct","Nov","Dec"},0),VALUE(LEFT(AJ261,2))))))</f>
        <v>45464</v>
      </c>
      <c r="C261" s="3" t="n">
        <f aca="false">IF(AK261="","",IF(ISNUMBER(SEARCH("/",AK261)),DATE(VALUE(RIGHT(AK261,4)),VALUE(LEFT(AK261,2)),VALUE(MID(AK261,4,2))),IF(ISNUMBER(SEARCH("-",AK261)),IF(LEN(LEFT(AK261,FIND("-",AK261)-1))=4,DATE(VALUE(LEFT(AK261,4)),VALUE(MID(AK261,6,2)),VALUE(RIGHT(AK261,2))),DATE(VALUE(RIGHT(AK261,4)),VALUE(MID(AK261,4,2)),VALUE(LEFT(AK261,2)))),DATE(VALUE(RIGHT(AK261,4)),MATCH(MID(AK261,4,3),{"Jan","Feb","Mar","Apr","May","Jun","Jul","Aug","Sep","Oct","Nov","Dec"},0),VALUE(LEFT(AK261,2))))))</f>
        <v>45472</v>
      </c>
      <c r="D261" s="4" t="s">
        <v>1138</v>
      </c>
      <c r="E261" s="0" t="str">
        <f aca="false">PROPER(TRIM(AL261))</f>
        <v>Neha Gupta</v>
      </c>
      <c r="F261" s="0" t="str">
        <f aca="false">PROPER(TRIM(AM261))</f>
        <v>Consumer</v>
      </c>
      <c r="G261" s="0" t="str">
        <f aca="false">IF(TRIM(AN261)="","Unknown",PROPER(TRIM(AN261)))</f>
        <v>South</v>
      </c>
      <c r="H261" s="0" t="str">
        <f aca="false">PROPER(TRIM(AO261))</f>
        <v>Tamil Nadu</v>
      </c>
      <c r="I261" s="0" t="str">
        <f aca="false">PROPER(TRIM(AP261))</f>
        <v>Chennai</v>
      </c>
      <c r="J261" s="0" t="str">
        <f aca="false">PROPER(TRIM(AQ261))</f>
        <v>Technology</v>
      </c>
      <c r="K261" s="0" t="str">
        <f aca="false">PROPER(TRIM(AR261))</f>
        <v>Machines</v>
      </c>
      <c r="M261" s="0" t="str">
        <f aca="false">IF(TRIM(AS261)="","Unknown",PROPER(TRIM(AS261)))</f>
        <v>Standard Class</v>
      </c>
      <c r="N261" s="0" t="n">
        <v>8</v>
      </c>
      <c r="O261" s="0" t="n">
        <v>2853.92</v>
      </c>
      <c r="P261" s="5" t="n">
        <f aca="false">IF(AT261="","",IF(ISNUMBER(AT261),AT261,VALUE(SUBSTITUTE(AT261,"%",""))/100))</f>
        <v>0.2</v>
      </c>
      <c r="Q261" s="5" t="n">
        <f aca="false">IF(P261="",IF(AND(N261&lt;&gt;"",O261&lt;&gt;"",R261&lt;&gt;"",S261&lt;&gt;""),0,"REVIEW"),IF(OR(P261&lt;0,P261&gt;0.3),0,P261))</f>
        <v>0.2</v>
      </c>
      <c r="R261" s="0" t="n">
        <v>18265.09</v>
      </c>
      <c r="S261" s="0" t="n">
        <v>10437.14</v>
      </c>
      <c r="T261" s="6" t="n">
        <f aca="false">N261*O261*(1-Q261)</f>
        <v>18265.088</v>
      </c>
      <c r="U261" s="6" t="n">
        <f aca="false">T261-S261</f>
        <v>7827.948</v>
      </c>
      <c r="V261" s="7" t="n">
        <f aca="false">IF(T261=0,0,U261/T261)</f>
        <v>0.428574338103381</v>
      </c>
      <c r="W261" s="4" t="n">
        <f aca="false">C261-B261</f>
        <v>8</v>
      </c>
      <c r="X261" s="0" t="str">
        <f aca="false">TEXT(B261,"mmmm")</f>
        <v>June</v>
      </c>
      <c r="Y261" s="4" t="n">
        <f aca="false">YEAR(B261)</f>
        <v>2024</v>
      </c>
      <c r="Z261" s="0" t="str">
        <f aca="false">PROPER(TRIM(AU261))</f>
        <v>Paid</v>
      </c>
      <c r="AA261" s="0" t="str">
        <f aca="false">PROPER(TRIM(AV261))</f>
        <v>Completed</v>
      </c>
      <c r="AB261" s="0" t="str">
        <f aca="false">IF(TRIM(AN261)="","Yes","No")</f>
        <v>No</v>
      </c>
      <c r="AC261" s="0" t="str">
        <f aca="false">IF(TRIM(AS261)="","Yes","No")</f>
        <v>No</v>
      </c>
      <c r="AD261" s="0" t="str">
        <f aca="false">IF(AT261="","Yes","No")</f>
        <v>No</v>
      </c>
      <c r="AE261" s="0" t="str">
        <f aca="false">IF(W261&lt;0,"Yes","No")</f>
        <v>No</v>
      </c>
      <c r="AF261" s="0" t="str">
        <f aca="false">IF(P261="","No",IF(OR(P261&lt;0,P261&gt;0.3),"Yes","No"))</f>
        <v>No</v>
      </c>
      <c r="AG261" s="4" t="s">
        <v>50</v>
      </c>
      <c r="AH261" s="0" t="str">
        <f aca="false">IF(AND(AA261="Completed",Z261="Paid"),"Yes","No")</f>
        <v>Yes</v>
      </c>
      <c r="AI261" s="0" t="str">
        <f aca="false">IF(OR(AE261="Yes",AF261="Yes",AG261="Yes"),"Invalid",IF(OR(AB261="Yes",AC261="Yes",AD261="Yes"),"Warning","Clean"))</f>
        <v>Clean</v>
      </c>
      <c r="AJ261" s="4" t="s">
        <v>1139</v>
      </c>
      <c r="AK261" s="4" t="s">
        <v>1140</v>
      </c>
      <c r="AL261" s="4" t="s">
        <v>115</v>
      </c>
      <c r="AM261" s="4" t="s">
        <v>54</v>
      </c>
      <c r="AN261" s="4" t="s">
        <v>87</v>
      </c>
      <c r="AO261" s="4" t="s">
        <v>323</v>
      </c>
      <c r="AP261" s="4" t="s">
        <v>324</v>
      </c>
      <c r="AQ261" s="4" t="s">
        <v>109</v>
      </c>
      <c r="AR261" s="4" t="s">
        <v>360</v>
      </c>
      <c r="AS261" s="4" t="s">
        <v>91</v>
      </c>
      <c r="AT261" s="0" t="n">
        <v>0.2</v>
      </c>
      <c r="AU261" s="4" t="s">
        <v>61</v>
      </c>
      <c r="AV261" s="4" t="s">
        <v>62</v>
      </c>
    </row>
    <row r="262" customFormat="false" ht="15" hidden="false" customHeight="false" outlineLevel="0" collapsed="false">
      <c r="A262" s="0" t="s">
        <v>1141</v>
      </c>
      <c r="B262" s="3" t="n">
        <f aca="false">IF(AJ262="","",IF(ISNUMBER(SEARCH("/",AJ262)),DATE(VALUE(RIGHT(AJ262,4)),VALUE(LEFT(AJ262,2)),VALUE(MID(AJ262,4,2))),IF(ISNUMBER(SEARCH("-",AJ262)),IF(LEN(LEFT(AJ262,FIND("-",AJ262)-1))=4,DATE(VALUE(LEFT(AJ262,4)),VALUE(MID(AJ262,6,2)),VALUE(RIGHT(AJ262,2))),DATE(VALUE(RIGHT(AJ262,4)),VALUE(MID(AJ262,4,2)),VALUE(LEFT(AJ262,2)))),DATE(VALUE(RIGHT(AJ262,4)),MATCH(MID(AJ262,4,3),{"Jan","Feb","Mar","Apr","May","Jun","Jul","Aug","Sep","Oct","Nov","Dec"},0),VALUE(LEFT(AJ262,2))))))</f>
        <v>45923</v>
      </c>
      <c r="C262" s="3" t="n">
        <f aca="false">IF(AK262="","",IF(ISNUMBER(SEARCH("/",AK262)),DATE(VALUE(RIGHT(AK262,4)),VALUE(LEFT(AK262,2)),VALUE(MID(AK262,4,2))),IF(ISNUMBER(SEARCH("-",AK262)),IF(LEN(LEFT(AK262,FIND("-",AK262)-1))=4,DATE(VALUE(LEFT(AK262,4)),VALUE(MID(AK262,6,2)),VALUE(RIGHT(AK262,2))),DATE(VALUE(RIGHT(AK262,4)),VALUE(MID(AK262,4,2)),VALUE(LEFT(AK262,2)))),DATE(VALUE(RIGHT(AK262,4)),MATCH(MID(AK262,4,3),{"Jan","Feb","Mar","Apr","May","Jun","Jul","Aug","Sep","Oct","Nov","Dec"},0),VALUE(LEFT(AK262,2))))))</f>
        <v>45927</v>
      </c>
      <c r="D262" s="4" t="s">
        <v>1142</v>
      </c>
      <c r="E262" s="0" t="str">
        <f aca="false">PROPER(TRIM(AL262))</f>
        <v>Aditi Sen</v>
      </c>
      <c r="F262" s="0" t="str">
        <f aca="false">PROPER(TRIM(AM262))</f>
        <v>Corporate</v>
      </c>
      <c r="G262" s="0" t="str">
        <f aca="false">IF(TRIM(AN262)="","Unknown",PROPER(TRIM(AN262)))</f>
        <v>East</v>
      </c>
      <c r="H262" s="0" t="str">
        <f aca="false">PROPER(TRIM(AO262))</f>
        <v>West Bengal</v>
      </c>
      <c r="I262" s="0" t="str">
        <f aca="false">PROPER(TRIM(AP262))</f>
        <v>Kolkata</v>
      </c>
      <c r="J262" s="0" t="str">
        <f aca="false">PROPER(TRIM(AQ262))</f>
        <v>Office Supplies</v>
      </c>
      <c r="K262" s="0" t="str">
        <f aca="false">PROPER(TRIM(AR262))</f>
        <v>Binders</v>
      </c>
      <c r="M262" s="0" t="str">
        <f aca="false">IF(TRIM(AS262)="","Unknown",PROPER(TRIM(AS262)))</f>
        <v>Same Day</v>
      </c>
      <c r="N262" s="0" t="n">
        <v>7</v>
      </c>
      <c r="O262" s="0" t="n">
        <v>2897.12</v>
      </c>
      <c r="P262" s="5" t="n">
        <f aca="false">IF(AT262="","",IF(ISNUMBER(AT262),AT262,VALUE(SUBSTITUTE(AT262,"%",""))/100))</f>
        <v>0.25</v>
      </c>
      <c r="Q262" s="5" t="n">
        <f aca="false">IF(P262="",IF(AND(N262&lt;&gt;"",O262&lt;&gt;"",R262&lt;&gt;"",S262&lt;&gt;""),0,"REVIEW"),IF(OR(P262&lt;0,P262&gt;0.3),0,P262))</f>
        <v>0.25</v>
      </c>
      <c r="R262" s="0" t="n">
        <v>15209.88</v>
      </c>
      <c r="S262" s="0" t="n">
        <v>10891.15</v>
      </c>
      <c r="T262" s="6" t="n">
        <f aca="false">N262*O262*(1-Q262)</f>
        <v>15209.88</v>
      </c>
      <c r="U262" s="6" t="n">
        <f aca="false">T262-S262</f>
        <v>4318.73</v>
      </c>
      <c r="V262" s="7" t="n">
        <f aca="false">IF(T262=0,0,U262/T262)</f>
        <v>0.283942411116985</v>
      </c>
      <c r="W262" s="4" t="n">
        <f aca="false">C262-B262</f>
        <v>4</v>
      </c>
      <c r="X262" s="0" t="str">
        <f aca="false">TEXT(B262,"mmmm")</f>
        <v>September</v>
      </c>
      <c r="Y262" s="4" t="n">
        <f aca="false">YEAR(B262)</f>
        <v>2025</v>
      </c>
      <c r="Z262" s="0" t="str">
        <f aca="false">PROPER(TRIM(AU262))</f>
        <v>Failed</v>
      </c>
      <c r="AA262" s="0" t="str">
        <f aca="false">PROPER(TRIM(AV262))</f>
        <v>Returned</v>
      </c>
      <c r="AB262" s="0" t="str">
        <f aca="false">IF(TRIM(AN262)="","Yes","No")</f>
        <v>No</v>
      </c>
      <c r="AC262" s="0" t="str">
        <f aca="false">IF(TRIM(AS262)="","Yes","No")</f>
        <v>No</v>
      </c>
      <c r="AD262" s="0" t="str">
        <f aca="false">IF(AT262="","Yes","No")</f>
        <v>No</v>
      </c>
      <c r="AE262" s="0" t="str">
        <f aca="false">IF(W262&lt;0,"Yes","No")</f>
        <v>No</v>
      </c>
      <c r="AF262" s="0" t="str">
        <f aca="false">IF(P262="","No",IF(OR(P262&lt;0,P262&gt;0.3),"Yes","No"))</f>
        <v>No</v>
      </c>
      <c r="AG262" s="4" t="s">
        <v>50</v>
      </c>
      <c r="AH262" s="0" t="str">
        <f aca="false">IF(AND(AA262="Completed",Z262="Paid"),"Yes","No")</f>
        <v>No</v>
      </c>
      <c r="AI262" s="0" t="str">
        <f aca="false">IF(OR(AE262="Yes",AF262="Yes",AG262="Yes"),"Invalid",IF(OR(AB262="Yes",AC262="Yes",AD262="Yes"),"Warning","Clean"))</f>
        <v>Clean</v>
      </c>
      <c r="AJ262" s="4" t="s">
        <v>1143</v>
      </c>
      <c r="AK262" s="4" t="s">
        <v>1144</v>
      </c>
      <c r="AL262" s="4" t="s">
        <v>127</v>
      </c>
      <c r="AM262" s="4" t="s">
        <v>128</v>
      </c>
      <c r="AN262" s="4" t="s">
        <v>69</v>
      </c>
      <c r="AO262" s="4" t="s">
        <v>139</v>
      </c>
      <c r="AP262" s="4" t="s">
        <v>140</v>
      </c>
      <c r="AQ262" s="4" t="s">
        <v>58</v>
      </c>
      <c r="AR262" s="4" t="s">
        <v>206</v>
      </c>
      <c r="AS262" s="4" t="s">
        <v>74</v>
      </c>
      <c r="AT262" s="0" t="n">
        <v>0.25</v>
      </c>
      <c r="AU262" s="4" t="s">
        <v>207</v>
      </c>
      <c r="AV262" s="4" t="s">
        <v>142</v>
      </c>
    </row>
    <row r="263" customFormat="false" ht="15" hidden="false" customHeight="false" outlineLevel="0" collapsed="false">
      <c r="A263" s="0" t="s">
        <v>1145</v>
      </c>
      <c r="B263" s="3" t="n">
        <f aca="false">IF(AJ263="","",IF(ISNUMBER(SEARCH("/",AJ263)),DATE(VALUE(RIGHT(AJ263,4)),VALUE(LEFT(AJ263,2)),VALUE(MID(AJ263,4,2))),IF(ISNUMBER(SEARCH("-",AJ263)),IF(LEN(LEFT(AJ263,FIND("-",AJ263)-1))=4,DATE(VALUE(LEFT(AJ263,4)),VALUE(MID(AJ263,6,2)),VALUE(RIGHT(AJ263,2))),DATE(VALUE(RIGHT(AJ263,4)),VALUE(MID(AJ263,4,2)),VALUE(LEFT(AJ263,2)))),DATE(VALUE(RIGHT(AJ263,4)),MATCH(MID(AJ263,4,3),{"Jan","Feb","Mar","Apr","May","Jun","Jul","Aug","Sep","Oct","Nov","Dec"},0),VALUE(LEFT(AJ263,2))))))</f>
        <v>45826</v>
      </c>
      <c r="C263" s="3" t="n">
        <f aca="false">IF(AK263="","",IF(ISNUMBER(SEARCH("/",AK263)),DATE(VALUE(RIGHT(AK263,4)),VALUE(LEFT(AK263,2)),VALUE(MID(AK263,4,2))),IF(ISNUMBER(SEARCH("-",AK263)),IF(LEN(LEFT(AK263,FIND("-",AK263)-1))=4,DATE(VALUE(LEFT(AK263,4)),VALUE(MID(AK263,6,2)),VALUE(RIGHT(AK263,2))),DATE(VALUE(RIGHT(AK263,4)),VALUE(MID(AK263,4,2)),VALUE(LEFT(AK263,2)))),DATE(VALUE(RIGHT(AK263,4)),MATCH(MID(AK263,4,3),{"Jan","Feb","Mar","Apr","May","Jun","Jul","Aug","Sep","Oct","Nov","Dec"},0),VALUE(LEFT(AK263,2))))))</f>
        <v>45832</v>
      </c>
      <c r="D263" s="4" t="s">
        <v>1146</v>
      </c>
      <c r="E263" s="0" t="str">
        <f aca="false">PROPER(TRIM(AL263))</f>
        <v>Sneha Kapoor</v>
      </c>
      <c r="F263" s="0" t="str">
        <f aca="false">PROPER(TRIM(AM263))</f>
        <v>Corporate</v>
      </c>
      <c r="G263" s="0" t="str">
        <f aca="false">IF(TRIM(AN263)="","Unknown",PROPER(TRIM(AN263)))</f>
        <v>North</v>
      </c>
      <c r="H263" s="0" t="str">
        <f aca="false">PROPER(TRIM(AO263))</f>
        <v>Rajasthan</v>
      </c>
      <c r="I263" s="0" t="str">
        <f aca="false">PROPER(TRIM(AP263))</f>
        <v>Jaipur</v>
      </c>
      <c r="J263" s="0" t="str">
        <f aca="false">PROPER(TRIM(AQ263))</f>
        <v>Office Supplies</v>
      </c>
      <c r="K263" s="0" t="str">
        <f aca="false">PROPER(TRIM(AR263))</f>
        <v>Labels</v>
      </c>
      <c r="M263" s="0" t="str">
        <f aca="false">IF(TRIM(AS263)="","Unknown",PROPER(TRIM(AS263)))</f>
        <v>Standard Class</v>
      </c>
      <c r="N263" s="0" t="n">
        <v>3</v>
      </c>
      <c r="O263" s="0" t="n">
        <v>686.74</v>
      </c>
      <c r="P263" s="5" t="n">
        <f aca="false">IF(AT263="","",IF(ISNUMBER(AT263),AT263,VALUE(SUBSTITUTE(AT263,"%",""))/100))</f>
        <v>0.2</v>
      </c>
      <c r="Q263" s="5" t="n">
        <f aca="false">IF(P263="",IF(AND(N263&lt;&gt;"",O263&lt;&gt;"",R263&lt;&gt;"",S263&lt;&gt;""),0,"REVIEW"),IF(OR(P263&lt;0,P263&gt;0.3),0,P263))</f>
        <v>0.2</v>
      </c>
      <c r="R263" s="0" t="n">
        <v>1648.18</v>
      </c>
      <c r="S263" s="0" t="n">
        <v>987.91</v>
      </c>
      <c r="T263" s="6" t="n">
        <f aca="false">N263*O263*(1-Q263)</f>
        <v>1648.176</v>
      </c>
      <c r="U263" s="6" t="n">
        <f aca="false">T263-S263</f>
        <v>660.266</v>
      </c>
      <c r="V263" s="7" t="n">
        <f aca="false">IF(T263=0,0,U263/T263)</f>
        <v>0.400604061702148</v>
      </c>
      <c r="W263" s="4" t="n">
        <f aca="false">C263-B263</f>
        <v>6</v>
      </c>
      <c r="X263" s="0" t="str">
        <f aca="false">TEXT(B263,"mmmm")</f>
        <v>June</v>
      </c>
      <c r="Y263" s="4" t="n">
        <f aca="false">YEAR(B263)</f>
        <v>2025</v>
      </c>
      <c r="Z263" s="0" t="str">
        <f aca="false">PROPER(TRIM(AU263))</f>
        <v>Failed</v>
      </c>
      <c r="AA263" s="0" t="str">
        <f aca="false">PROPER(TRIM(AV263))</f>
        <v>Cancelled</v>
      </c>
      <c r="AB263" s="0" t="str">
        <f aca="false">IF(TRIM(AN263)="","Yes","No")</f>
        <v>No</v>
      </c>
      <c r="AC263" s="0" t="str">
        <f aca="false">IF(TRIM(AS263)="","Yes","No")</f>
        <v>No</v>
      </c>
      <c r="AD263" s="0" t="str">
        <f aca="false">IF(AT263="","Yes","No")</f>
        <v>No</v>
      </c>
      <c r="AE263" s="0" t="str">
        <f aca="false">IF(W263&lt;0,"Yes","No")</f>
        <v>No</v>
      </c>
      <c r="AF263" s="0" t="str">
        <f aca="false">IF(P263="","No",IF(OR(P263&lt;0,P263&gt;0.3),"Yes","No"))</f>
        <v>No</v>
      </c>
      <c r="AG263" s="4" t="s">
        <v>50</v>
      </c>
      <c r="AH263" s="0" t="str">
        <f aca="false">IF(AND(AA263="Completed",Z263="Paid"),"Yes","No")</f>
        <v>No</v>
      </c>
      <c r="AI263" s="0" t="str">
        <f aca="false">IF(OR(AE263="Yes",AF263="Yes",AG263="Yes"),"Invalid",IF(OR(AB263="Yes",AC263="Yes",AD263="Yes"),"Warning","Clean"))</f>
        <v>Clean</v>
      </c>
      <c r="AJ263" s="4" t="s">
        <v>1147</v>
      </c>
      <c r="AK263" s="4" t="s">
        <v>1148</v>
      </c>
      <c r="AL263" s="4" t="s">
        <v>181</v>
      </c>
      <c r="AM263" s="4" t="s">
        <v>128</v>
      </c>
      <c r="AN263" s="4" t="s">
        <v>168</v>
      </c>
      <c r="AO263" s="4" t="s">
        <v>56</v>
      </c>
      <c r="AP263" s="4" t="s">
        <v>57</v>
      </c>
      <c r="AQ263" s="4" t="s">
        <v>58</v>
      </c>
      <c r="AR263" s="4" t="s">
        <v>129</v>
      </c>
      <c r="AS263" s="4" t="s">
        <v>91</v>
      </c>
      <c r="AT263" s="0" t="n">
        <v>0.2</v>
      </c>
      <c r="AU263" s="4" t="s">
        <v>207</v>
      </c>
      <c r="AV263" s="4" t="s">
        <v>101</v>
      </c>
    </row>
    <row r="264" customFormat="false" ht="15" hidden="false" customHeight="false" outlineLevel="0" collapsed="false">
      <c r="A264" s="0" t="s">
        <v>1149</v>
      </c>
      <c r="B264" s="3" t="n">
        <f aca="false">IF(AJ264="","",IF(ISNUMBER(SEARCH("/",AJ264)),DATE(VALUE(RIGHT(AJ264,4)),VALUE(LEFT(AJ264,2)),VALUE(MID(AJ264,4,2))),IF(ISNUMBER(SEARCH("-",AJ264)),IF(LEN(LEFT(AJ264,FIND("-",AJ264)-1))=4,DATE(VALUE(LEFT(AJ264,4)),VALUE(MID(AJ264,6,2)),VALUE(RIGHT(AJ264,2))),DATE(VALUE(RIGHT(AJ264,4)),VALUE(MID(AJ264,4,2)),VALUE(LEFT(AJ264,2)))),DATE(VALUE(RIGHT(AJ264,4)),MATCH(MID(AJ264,4,3),{"Jan","Feb","Mar","Apr","May","Jun","Jul","Aug","Sep","Oct","Nov","Dec"},0),VALUE(LEFT(AJ264,2))))))</f>
        <v>45803</v>
      </c>
      <c r="C264" s="3" t="n">
        <f aca="false">IF(AK264="","",IF(ISNUMBER(SEARCH("/",AK264)),DATE(VALUE(RIGHT(AK264,4)),VALUE(LEFT(AK264,2)),VALUE(MID(AK264,4,2))),IF(ISNUMBER(SEARCH("-",AK264)),IF(LEN(LEFT(AK264,FIND("-",AK264)-1))=4,DATE(VALUE(LEFT(AK264,4)),VALUE(MID(AK264,6,2)),VALUE(RIGHT(AK264,2))),DATE(VALUE(RIGHT(AK264,4)),VALUE(MID(AK264,4,2)),VALUE(LEFT(AK264,2)))),DATE(VALUE(RIGHT(AK264,4)),MATCH(MID(AK264,4,3),{"Jan","Feb","Mar","Apr","May","Jun","Jul","Aug","Sep","Oct","Nov","Dec"},0),VALUE(LEFT(AK264,2))))))</f>
        <v>45809</v>
      </c>
      <c r="D264" s="4" t="s">
        <v>817</v>
      </c>
      <c r="E264" s="0" t="str">
        <f aca="false">PROPER(TRIM(AL264))</f>
        <v>Arjun Bose</v>
      </c>
      <c r="F264" s="0" t="str">
        <f aca="false">PROPER(TRIM(AM264))</f>
        <v>Small Business</v>
      </c>
      <c r="G264" s="0" t="str">
        <f aca="false">IF(TRIM(AN264)="","Unknown",PROPER(TRIM(AN264)))</f>
        <v>North</v>
      </c>
      <c r="H264" s="0" t="str">
        <f aca="false">PROPER(TRIM(AO264))</f>
        <v>Delhi</v>
      </c>
      <c r="I264" s="0" t="str">
        <f aca="false">PROPER(TRIM(AP264))</f>
        <v>New Delhi</v>
      </c>
      <c r="J264" s="0" t="str">
        <f aca="false">PROPER(TRIM(AQ264))</f>
        <v>Technology</v>
      </c>
      <c r="K264" s="0" t="str">
        <f aca="false">PROPER(TRIM(AR264))</f>
        <v>Phones</v>
      </c>
      <c r="M264" s="0" t="str">
        <f aca="false">IF(TRIM(AS264)="","Unknown",PROPER(TRIM(AS264)))</f>
        <v>Same Day</v>
      </c>
      <c r="N264" s="0" t="n">
        <v>4</v>
      </c>
      <c r="O264" s="0" t="n">
        <v>3349.86</v>
      </c>
      <c r="P264" s="5" t="n">
        <f aca="false">IF(AT264="","",IF(ISNUMBER(AT264),AT264,VALUE(SUBSTITUTE(AT264,"%",""))/100))</f>
        <v>0</v>
      </c>
      <c r="Q264" s="5" t="n">
        <f aca="false">IF(P264="",IF(AND(N264&lt;&gt;"",O264&lt;&gt;"",R264&lt;&gt;"",S264&lt;&gt;""),0,"REVIEW"),IF(OR(P264&lt;0,P264&gt;0.3),0,P264))</f>
        <v>0</v>
      </c>
      <c r="R264" s="0" t="n">
        <v>13399.44</v>
      </c>
      <c r="S264" s="0" t="n">
        <v>8581.35</v>
      </c>
      <c r="T264" s="6" t="n">
        <f aca="false">N264*O264*(1-Q264)</f>
        <v>13399.44</v>
      </c>
      <c r="U264" s="6" t="n">
        <f aca="false">T264-S264</f>
        <v>4818.09</v>
      </c>
      <c r="V264" s="7" t="n">
        <f aca="false">IF(T264=0,0,U264/T264)</f>
        <v>0.359573982196271</v>
      </c>
      <c r="W264" s="4" t="n">
        <f aca="false">C264-B264</f>
        <v>6</v>
      </c>
      <c r="X264" s="0" t="str">
        <f aca="false">TEXT(B264,"mmmm")</f>
        <v>May</v>
      </c>
      <c r="Y264" s="4" t="n">
        <f aca="false">YEAR(B264)</f>
        <v>2025</v>
      </c>
      <c r="Z264" s="0" t="str">
        <f aca="false">PROPER(TRIM(AU264))</f>
        <v>Pending</v>
      </c>
      <c r="AA264" s="0" t="str">
        <f aca="false">PROPER(TRIM(AV264))</f>
        <v>Returned</v>
      </c>
      <c r="AB264" s="0" t="str">
        <f aca="false">IF(TRIM(AN264)="","Yes","No")</f>
        <v>No</v>
      </c>
      <c r="AC264" s="0" t="str">
        <f aca="false">IF(TRIM(AS264)="","Yes","No")</f>
        <v>No</v>
      </c>
      <c r="AD264" s="0" t="str">
        <f aca="false">IF(AT264="","Yes","No")</f>
        <v>No</v>
      </c>
      <c r="AE264" s="0" t="str">
        <f aca="false">IF(W264&lt;0,"Yes","No")</f>
        <v>No</v>
      </c>
      <c r="AF264" s="0" t="str">
        <f aca="false">IF(P264="","No",IF(OR(P264&lt;0,P264&gt;0.3),"Yes","No"))</f>
        <v>No</v>
      </c>
      <c r="AG264" s="4" t="s">
        <v>50</v>
      </c>
      <c r="AH264" s="0" t="str">
        <f aca="false">IF(AND(AA264="Completed",Z264="Paid"),"Yes","No")</f>
        <v>No</v>
      </c>
      <c r="AI264" s="0" t="str">
        <f aca="false">IF(OR(AE264="Yes",AF264="Yes",AG264="Yes"),"Invalid",IF(OR(AB264="Yes",AC264="Yes",AD264="Yes"),"Warning","Clean"))</f>
        <v>Clean</v>
      </c>
      <c r="AJ264" s="4" t="s">
        <v>1150</v>
      </c>
      <c r="AK264" s="4" t="s">
        <v>1151</v>
      </c>
      <c r="AL264" s="4" t="s">
        <v>86</v>
      </c>
      <c r="AM264" s="4" t="s">
        <v>68</v>
      </c>
      <c r="AN264" s="4" t="s">
        <v>168</v>
      </c>
      <c r="AO264" s="4" t="s">
        <v>461</v>
      </c>
      <c r="AP264" s="4" t="s">
        <v>462</v>
      </c>
      <c r="AQ264" s="4" t="s">
        <v>109</v>
      </c>
      <c r="AR264" s="4" t="s">
        <v>227</v>
      </c>
      <c r="AS264" s="4" t="s">
        <v>74</v>
      </c>
      <c r="AT264" s="0" t="n">
        <v>0</v>
      </c>
      <c r="AU264" s="4" t="s">
        <v>153</v>
      </c>
      <c r="AV264" s="4" t="s">
        <v>142</v>
      </c>
    </row>
    <row r="265" customFormat="false" ht="15" hidden="false" customHeight="false" outlineLevel="0" collapsed="false">
      <c r="A265" s="0" t="s">
        <v>1152</v>
      </c>
      <c r="B265" s="3" t="n">
        <f aca="false">IF(AJ265="","",IF(ISNUMBER(SEARCH("/",AJ265)),DATE(VALUE(RIGHT(AJ265,4)),VALUE(LEFT(AJ265,2)),VALUE(MID(AJ265,4,2))),IF(ISNUMBER(SEARCH("-",AJ265)),IF(LEN(LEFT(AJ265,FIND("-",AJ265)-1))=4,DATE(VALUE(LEFT(AJ265,4)),VALUE(MID(AJ265,6,2)),VALUE(RIGHT(AJ265,2))),DATE(VALUE(RIGHT(AJ265,4)),VALUE(MID(AJ265,4,2)),VALUE(LEFT(AJ265,2)))),DATE(VALUE(RIGHT(AJ265,4)),MATCH(MID(AJ265,4,3),{"Jan","Feb","Mar","Apr","May","Jun","Jul","Aug","Sep","Oct","Nov","Dec"},0),VALUE(LEFT(AJ265,2))))))</f>
        <v>45875</v>
      </c>
      <c r="C265" s="3" t="n">
        <f aca="false">IF(AK265="","",IF(ISNUMBER(SEARCH("/",AK265)),DATE(VALUE(RIGHT(AK265,4)),VALUE(LEFT(AK265,2)),VALUE(MID(AK265,4,2))),IF(ISNUMBER(SEARCH("-",AK265)),IF(LEN(LEFT(AK265,FIND("-",AK265)-1))=4,DATE(VALUE(LEFT(AK265,4)),VALUE(MID(AK265,6,2)),VALUE(RIGHT(AK265,2))),DATE(VALUE(RIGHT(AK265,4)),VALUE(MID(AK265,4,2)),VALUE(LEFT(AK265,2)))),DATE(VALUE(RIGHT(AK265,4)),MATCH(MID(AK265,4,3),{"Jan","Feb","Mar","Apr","May","Jun","Jul","Aug","Sep","Oct","Nov","Dec"},0),VALUE(LEFT(AK265,2))))))</f>
        <v>45879</v>
      </c>
      <c r="D265" s="4" t="s">
        <v>1153</v>
      </c>
      <c r="E265" s="0" t="str">
        <f aca="false">PROPER(TRIM(AL265))</f>
        <v>Rohan Mehta</v>
      </c>
      <c r="F265" s="0" t="str">
        <f aca="false">PROPER(TRIM(AM265))</f>
        <v>Small Business</v>
      </c>
      <c r="G265" s="0" t="str">
        <f aca="false">IF(TRIM(AN265)="","Unknown",PROPER(TRIM(AN265)))</f>
        <v>North</v>
      </c>
      <c r="H265" s="0" t="str">
        <f aca="false">PROPER(TRIM(AO265))</f>
        <v>Delhi</v>
      </c>
      <c r="I265" s="0" t="str">
        <f aca="false">PROPER(TRIM(AP265))</f>
        <v>New Delhi</v>
      </c>
      <c r="J265" s="0" t="str">
        <f aca="false">PROPER(TRIM(AQ265))</f>
        <v>Office Supplies</v>
      </c>
      <c r="K265" s="0" t="str">
        <f aca="false">PROPER(TRIM(AR265))</f>
        <v>Binders</v>
      </c>
      <c r="M265" s="0" t="str">
        <f aca="false">IF(TRIM(AS265)="","Unknown",PROPER(TRIM(AS265)))</f>
        <v>Second Class</v>
      </c>
      <c r="N265" s="0" t="n">
        <v>9</v>
      </c>
      <c r="O265" s="0" t="n">
        <v>4042.45</v>
      </c>
      <c r="P265" s="5" t="n">
        <f aca="false">IF(AT265="","",IF(ISNUMBER(AT265),AT265,VALUE(SUBSTITUTE(AT265,"%",""))/100))</f>
        <v>0.1</v>
      </c>
      <c r="Q265" s="5" t="n">
        <f aca="false">IF(P265="",IF(AND(N265&lt;&gt;"",O265&lt;&gt;"",R265&lt;&gt;"",S265&lt;&gt;""),0,"REVIEW"),IF(OR(P265&lt;0,P265&gt;0.3),0,P265))</f>
        <v>0.1</v>
      </c>
      <c r="R265" s="0" t="n">
        <v>32743.84</v>
      </c>
      <c r="S265" s="0" t="n">
        <v>22452.05</v>
      </c>
      <c r="T265" s="6" t="n">
        <f aca="false">N265*O265*(1-Q265)</f>
        <v>32743.845</v>
      </c>
      <c r="U265" s="6" t="n">
        <f aca="false">T265-S265</f>
        <v>10291.795</v>
      </c>
      <c r="V265" s="7" t="n">
        <f aca="false">IF(T265=0,0,U265/T265)</f>
        <v>0.314312353970647</v>
      </c>
      <c r="W265" s="4" t="n">
        <f aca="false">C265-B265</f>
        <v>4</v>
      </c>
      <c r="X265" s="0" t="str">
        <f aca="false">TEXT(B265,"mmmm")</f>
        <v>August</v>
      </c>
      <c r="Y265" s="4" t="n">
        <f aca="false">YEAR(B265)</f>
        <v>2025</v>
      </c>
      <c r="Z265" s="0" t="str">
        <f aca="false">PROPER(TRIM(AU265))</f>
        <v>Pending</v>
      </c>
      <c r="AA265" s="0" t="str">
        <f aca="false">PROPER(TRIM(AV265))</f>
        <v>Returned</v>
      </c>
      <c r="AB265" s="0" t="str">
        <f aca="false">IF(TRIM(AN265)="","Yes","No")</f>
        <v>No</v>
      </c>
      <c r="AC265" s="0" t="str">
        <f aca="false">IF(TRIM(AS265)="","Yes","No")</f>
        <v>No</v>
      </c>
      <c r="AD265" s="0" t="str">
        <f aca="false">IF(AT265="","Yes","No")</f>
        <v>No</v>
      </c>
      <c r="AE265" s="0" t="str">
        <f aca="false">IF(W265&lt;0,"Yes","No")</f>
        <v>No</v>
      </c>
      <c r="AF265" s="0" t="str">
        <f aca="false">IF(P265="","No",IF(OR(P265&lt;0,P265&gt;0.3),"Yes","No"))</f>
        <v>No</v>
      </c>
      <c r="AG265" s="4" t="s">
        <v>50</v>
      </c>
      <c r="AH265" s="0" t="str">
        <f aca="false">IF(AND(AA265="Completed",Z265="Paid"),"Yes","No")</f>
        <v>No</v>
      </c>
      <c r="AI265" s="0" t="str">
        <f aca="false">IF(OR(AE265="Yes",AF265="Yes",AG265="Yes"),"Invalid",IF(OR(AB265="Yes",AC265="Yes",AD265="Yes"),"Warning","Clean"))</f>
        <v>Clean</v>
      </c>
      <c r="AJ265" s="4" t="s">
        <v>1154</v>
      </c>
      <c r="AK265" s="4" t="s">
        <v>815</v>
      </c>
      <c r="AL265" s="4" t="s">
        <v>191</v>
      </c>
      <c r="AM265" s="4" t="s">
        <v>68</v>
      </c>
      <c r="AN265" s="4" t="s">
        <v>168</v>
      </c>
      <c r="AO265" s="4" t="s">
        <v>461</v>
      </c>
      <c r="AP265" s="4" t="s">
        <v>462</v>
      </c>
      <c r="AQ265" s="4" t="s">
        <v>58</v>
      </c>
      <c r="AR265" s="4" t="s">
        <v>206</v>
      </c>
      <c r="AS265" s="4" t="s">
        <v>60</v>
      </c>
      <c r="AT265" s="0" t="n">
        <v>0.1</v>
      </c>
      <c r="AU265" s="4" t="s">
        <v>153</v>
      </c>
      <c r="AV265" s="4" t="s">
        <v>142</v>
      </c>
    </row>
    <row r="266" customFormat="false" ht="15" hidden="false" customHeight="false" outlineLevel="0" collapsed="false">
      <c r="A266" s="0" t="s">
        <v>1155</v>
      </c>
      <c r="B266" s="3" t="n">
        <f aca="false">IF(AJ266="","",IF(ISNUMBER(SEARCH("/",AJ266)),DATE(VALUE(RIGHT(AJ266,4)),VALUE(LEFT(AJ266,2)),VALUE(MID(AJ266,4,2))),IF(ISNUMBER(SEARCH("-",AJ266)),IF(LEN(LEFT(AJ266,FIND("-",AJ266)-1))=4,DATE(VALUE(LEFT(AJ266,4)),VALUE(MID(AJ266,6,2)),VALUE(RIGHT(AJ266,2))),DATE(VALUE(RIGHT(AJ266,4)),VALUE(MID(AJ266,4,2)),VALUE(LEFT(AJ266,2)))),DATE(VALUE(RIGHT(AJ266,4)),MATCH(MID(AJ266,4,3),{"Jan","Feb","Mar","Apr","May","Jun","Jul","Aug","Sep","Oct","Nov","Dec"},0),VALUE(LEFT(AJ266,2))))))</f>
        <v>45428</v>
      </c>
      <c r="C266" s="3" t="n">
        <f aca="false">IF(AK266="","",IF(ISNUMBER(SEARCH("/",AK266)),DATE(VALUE(RIGHT(AK266,4)),VALUE(LEFT(AK266,2)),VALUE(MID(AK266,4,2))),IF(ISNUMBER(SEARCH("-",AK266)),IF(LEN(LEFT(AK266,FIND("-",AK266)-1))=4,DATE(VALUE(LEFT(AK266,4)),VALUE(MID(AK266,6,2)),VALUE(RIGHT(AK266,2))),DATE(VALUE(RIGHT(AK266,4)),VALUE(MID(AK266,4,2)),VALUE(LEFT(AK266,2)))),DATE(VALUE(RIGHT(AK266,4)),MATCH(MID(AK266,4,3),{"Jan","Feb","Mar","Apr","May","Jun","Jul","Aug","Sep","Oct","Nov","Dec"},0),VALUE(LEFT(AK266,2))))))</f>
        <v>45433</v>
      </c>
      <c r="D266" s="4" t="s">
        <v>1156</v>
      </c>
      <c r="E266" s="0" t="str">
        <f aca="false">PROPER(TRIM(AL266))</f>
        <v>Diya Patel</v>
      </c>
      <c r="F266" s="0" t="str">
        <f aca="false">PROPER(TRIM(AM266))</f>
        <v>Small Business</v>
      </c>
      <c r="G266" s="0" t="str">
        <f aca="false">IF(TRIM(AN266)="","Unknown",PROPER(TRIM(AN266)))</f>
        <v>East</v>
      </c>
      <c r="H266" s="0" t="str">
        <f aca="false">PROPER(TRIM(AO266))</f>
        <v>Bihar</v>
      </c>
      <c r="I266" s="0" t="str">
        <f aca="false">PROPER(TRIM(AP266))</f>
        <v>Patna</v>
      </c>
      <c r="J266" s="0" t="str">
        <f aca="false">PROPER(TRIM(AQ266))</f>
        <v>Technology</v>
      </c>
      <c r="K266" s="0" t="str">
        <f aca="false">PROPER(TRIM(AR266))</f>
        <v>Copiers</v>
      </c>
      <c r="M266" s="0" t="str">
        <f aca="false">IF(TRIM(AS266)="","Unknown",PROPER(TRIM(AS266)))</f>
        <v>Standard Class</v>
      </c>
      <c r="N266" s="0" t="n">
        <v>4</v>
      </c>
      <c r="O266" s="0" t="n">
        <v>1503.07</v>
      </c>
      <c r="P266" s="5" t="n">
        <f aca="false">IF(AT266="","",IF(ISNUMBER(AT266),AT266,VALUE(SUBSTITUTE(AT266,"%",""))/100))</f>
        <v>0</v>
      </c>
      <c r="Q266" s="5" t="n">
        <f aca="false">IF(P266="",IF(AND(N266&lt;&gt;"",O266&lt;&gt;"",R266&lt;&gt;"",S266&lt;&gt;""),0,"REVIEW"),IF(OR(P266&lt;0,P266&gt;0.3),0,P266))</f>
        <v>0</v>
      </c>
      <c r="R266" s="0" t="n">
        <v>6012.28</v>
      </c>
      <c r="S266" s="0" t="n">
        <v>3927.64</v>
      </c>
      <c r="T266" s="6" t="n">
        <f aca="false">N266*O266*(1-Q266)</f>
        <v>6012.28</v>
      </c>
      <c r="U266" s="6" t="n">
        <f aca="false">T266-S266</f>
        <v>2084.64</v>
      </c>
      <c r="V266" s="7" t="n">
        <f aca="false">IF(T266=0,0,U266/T266)</f>
        <v>0.346730358532869</v>
      </c>
      <c r="W266" s="4" t="n">
        <f aca="false">C266-B266</f>
        <v>5</v>
      </c>
      <c r="X266" s="0" t="str">
        <f aca="false">TEXT(B266,"mmmm")</f>
        <v>May</v>
      </c>
      <c r="Y266" s="4" t="n">
        <f aca="false">YEAR(B266)</f>
        <v>2024</v>
      </c>
      <c r="Z266" s="0" t="str">
        <f aca="false">PROPER(TRIM(AU266))</f>
        <v>Paid</v>
      </c>
      <c r="AA266" s="0" t="str">
        <f aca="false">PROPER(TRIM(AV266))</f>
        <v>Completed</v>
      </c>
      <c r="AB266" s="0" t="str">
        <f aca="false">IF(TRIM(AN266)="","Yes","No")</f>
        <v>No</v>
      </c>
      <c r="AC266" s="0" t="str">
        <f aca="false">IF(TRIM(AS266)="","Yes","No")</f>
        <v>No</v>
      </c>
      <c r="AD266" s="0" t="str">
        <f aca="false">IF(AT266="","Yes","No")</f>
        <v>No</v>
      </c>
      <c r="AE266" s="0" t="str">
        <f aca="false">IF(W266&lt;0,"Yes","No")</f>
        <v>No</v>
      </c>
      <c r="AF266" s="0" t="str">
        <f aca="false">IF(P266="","No",IF(OR(P266&lt;0,P266&gt;0.3),"Yes","No"))</f>
        <v>No</v>
      </c>
      <c r="AG266" s="4" t="s">
        <v>50</v>
      </c>
      <c r="AH266" s="0" t="str">
        <f aca="false">IF(AND(AA266="Completed",Z266="Paid"),"Yes","No")</f>
        <v>Yes</v>
      </c>
      <c r="AI266" s="0" t="str">
        <f aca="false">IF(OR(AE266="Yes",AF266="Yes",AG266="Yes"),"Invalid",IF(OR(AB266="Yes",AC266="Yes",AD266="Yes"),"Warning","Clean"))</f>
        <v>Clean</v>
      </c>
      <c r="AJ266" s="4" t="s">
        <v>1157</v>
      </c>
      <c r="AK266" s="4" t="s">
        <v>1158</v>
      </c>
      <c r="AL266" s="4" t="s">
        <v>216</v>
      </c>
      <c r="AM266" s="4" t="s">
        <v>68</v>
      </c>
      <c r="AN266" s="4" t="s">
        <v>69</v>
      </c>
      <c r="AO266" s="4" t="s">
        <v>196</v>
      </c>
      <c r="AP266" s="4" t="s">
        <v>197</v>
      </c>
      <c r="AQ266" s="4" t="s">
        <v>109</v>
      </c>
      <c r="AR266" s="4" t="s">
        <v>116</v>
      </c>
      <c r="AS266" s="4" t="s">
        <v>91</v>
      </c>
      <c r="AT266" s="0" t="n">
        <v>0</v>
      </c>
      <c r="AU266" s="4" t="s">
        <v>61</v>
      </c>
      <c r="AV266" s="4" t="s">
        <v>62</v>
      </c>
    </row>
    <row r="267" customFormat="false" ht="15" hidden="false" customHeight="false" outlineLevel="0" collapsed="false">
      <c r="A267" s="0" t="s">
        <v>1159</v>
      </c>
      <c r="B267" s="3" t="n">
        <f aca="false">IF(AJ267="","",IF(ISNUMBER(SEARCH("/",AJ267)),DATE(VALUE(RIGHT(AJ267,4)),VALUE(LEFT(AJ267,2)),VALUE(MID(AJ267,4,2))),IF(ISNUMBER(SEARCH("-",AJ267)),IF(LEN(LEFT(AJ267,FIND("-",AJ267)-1))=4,DATE(VALUE(LEFT(AJ267,4)),VALUE(MID(AJ267,6,2)),VALUE(RIGHT(AJ267,2))),DATE(VALUE(RIGHT(AJ267,4)),VALUE(MID(AJ267,4,2)),VALUE(LEFT(AJ267,2)))),DATE(VALUE(RIGHT(AJ267,4)),MATCH(MID(AJ267,4,3),{"Jan","Feb","Mar","Apr","May","Jun","Jul","Aug","Sep","Oct","Nov","Dec"},0),VALUE(LEFT(AJ267,2))))))</f>
        <v>45610</v>
      </c>
      <c r="C267" s="3" t="n">
        <f aca="false">IF(AK267="","",IF(ISNUMBER(SEARCH("/",AK267)),DATE(VALUE(RIGHT(AK267,4)),VALUE(LEFT(AK267,2)),VALUE(MID(AK267,4,2))),IF(ISNUMBER(SEARCH("-",AK267)),IF(LEN(LEFT(AK267,FIND("-",AK267)-1))=4,DATE(VALUE(LEFT(AK267,4)),VALUE(MID(AK267,6,2)),VALUE(RIGHT(AK267,2))),DATE(VALUE(RIGHT(AK267,4)),VALUE(MID(AK267,4,2)),VALUE(LEFT(AK267,2)))),DATE(VALUE(RIGHT(AK267,4)),MATCH(MID(AK267,4,3),{"Jan","Feb","Mar","Apr","May","Jun","Jul","Aug","Sep","Oct","Nov","Dec"},0),VALUE(LEFT(AK267,2))))))</f>
        <v>45618</v>
      </c>
      <c r="D267" s="4" t="s">
        <v>1160</v>
      </c>
      <c r="E267" s="0" t="str">
        <f aca="false">PROPER(TRIM(AL267))</f>
        <v>Priya Menon</v>
      </c>
      <c r="F267" s="0" t="str">
        <f aca="false">PROPER(TRIM(AM267))</f>
        <v>Corporate</v>
      </c>
      <c r="G267" s="0" t="str">
        <f aca="false">IF(TRIM(AN267)="","Unknown",PROPER(TRIM(AN267)))</f>
        <v>East</v>
      </c>
      <c r="H267" s="0" t="str">
        <f aca="false">PROPER(TRIM(AO267))</f>
        <v>Bihar</v>
      </c>
      <c r="I267" s="0" t="str">
        <f aca="false">PROPER(TRIM(AP267))</f>
        <v>Patna</v>
      </c>
      <c r="J267" s="0" t="str">
        <f aca="false">PROPER(TRIM(AQ267))</f>
        <v>Furniture</v>
      </c>
      <c r="K267" s="0" t="str">
        <f aca="false">PROPER(TRIM(AR267))</f>
        <v>Bookcases</v>
      </c>
      <c r="M267" s="0" t="str">
        <f aca="false">IF(TRIM(AS267)="","Unknown",PROPER(TRIM(AS267)))</f>
        <v>Same Day</v>
      </c>
      <c r="N267" s="0" t="n">
        <v>1</v>
      </c>
      <c r="O267" s="0" t="n">
        <v>582.37</v>
      </c>
      <c r="P267" s="5" t="n">
        <f aca="false">IF(AT267="","",IF(ISNUMBER(AT267),AT267,VALUE(SUBSTITUTE(AT267,"%",""))/100))</f>
        <v>0.15</v>
      </c>
      <c r="Q267" s="5" t="n">
        <f aca="false">IF(P267="",IF(AND(N267&lt;&gt;"",O267&lt;&gt;"",R267&lt;&gt;"",S267&lt;&gt;""),0,"REVIEW"),IF(OR(P267&lt;0,P267&gt;0.3),0,P267))</f>
        <v>0.15</v>
      </c>
      <c r="R267" s="0" t="n">
        <v>495.01</v>
      </c>
      <c r="S267" s="0" t="n">
        <v>285.13</v>
      </c>
      <c r="T267" s="6" t="n">
        <f aca="false">N267*O267*(1-Q267)</f>
        <v>495.0145</v>
      </c>
      <c r="U267" s="6" t="n">
        <f aca="false">T267-S267</f>
        <v>209.8845</v>
      </c>
      <c r="V267" s="7" t="n">
        <f aca="false">IF(T267=0,0,U267/T267)</f>
        <v>0.423996670804593</v>
      </c>
      <c r="W267" s="4" t="n">
        <f aca="false">C267-B267</f>
        <v>8</v>
      </c>
      <c r="X267" s="0" t="str">
        <f aca="false">TEXT(B267,"mmmm")</f>
        <v>November</v>
      </c>
      <c r="Y267" s="4" t="n">
        <f aca="false">YEAR(B267)</f>
        <v>2024</v>
      </c>
      <c r="Z267" s="0" t="str">
        <f aca="false">PROPER(TRIM(AU267))</f>
        <v>Refunded</v>
      </c>
      <c r="AA267" s="0" t="str">
        <f aca="false">PROPER(TRIM(AV267))</f>
        <v>Cancelled</v>
      </c>
      <c r="AB267" s="0" t="str">
        <f aca="false">IF(TRIM(AN267)="","Yes","No")</f>
        <v>No</v>
      </c>
      <c r="AC267" s="0" t="str">
        <f aca="false">IF(TRIM(AS267)="","Yes","No")</f>
        <v>No</v>
      </c>
      <c r="AD267" s="0" t="str">
        <f aca="false">IF(AT267="","Yes","No")</f>
        <v>No</v>
      </c>
      <c r="AE267" s="0" t="str">
        <f aca="false">IF(W267&lt;0,"Yes","No")</f>
        <v>No</v>
      </c>
      <c r="AF267" s="0" t="str">
        <f aca="false">IF(P267="","No",IF(OR(P267&lt;0,P267&gt;0.3),"Yes","No"))</f>
        <v>No</v>
      </c>
      <c r="AG267" s="4" t="s">
        <v>50</v>
      </c>
      <c r="AH267" s="0" t="str">
        <f aca="false">IF(AND(AA267="Completed",Z267="Paid"),"Yes","No")</f>
        <v>No</v>
      </c>
      <c r="AI267" s="0" t="str">
        <f aca="false">IF(OR(AE267="Yes",AF267="Yes",AG267="Yes"),"Invalid",IF(OR(AB267="Yes",AC267="Yes",AD267="Yes"),"Warning","Clean"))</f>
        <v>Clean</v>
      </c>
      <c r="AJ267" s="4" t="s">
        <v>1161</v>
      </c>
      <c r="AK267" s="4" t="s">
        <v>789</v>
      </c>
      <c r="AL267" s="4" t="s">
        <v>158</v>
      </c>
      <c r="AM267" s="4" t="s">
        <v>128</v>
      </c>
      <c r="AN267" s="4" t="s">
        <v>69</v>
      </c>
      <c r="AO267" s="4" t="s">
        <v>196</v>
      </c>
      <c r="AP267" s="4" t="s">
        <v>197</v>
      </c>
      <c r="AQ267" s="4" t="s">
        <v>72</v>
      </c>
      <c r="AR267" s="4" t="s">
        <v>211</v>
      </c>
      <c r="AS267" s="4" t="s">
        <v>74</v>
      </c>
      <c r="AT267" s="0" t="n">
        <v>0.15</v>
      </c>
      <c r="AU267" s="4" t="s">
        <v>141</v>
      </c>
      <c r="AV267" s="4" t="s">
        <v>1162</v>
      </c>
    </row>
    <row r="268" customFormat="false" ht="15" hidden="false" customHeight="false" outlineLevel="0" collapsed="false">
      <c r="A268" s="0" t="s">
        <v>1163</v>
      </c>
      <c r="B268" s="3" t="n">
        <f aca="false">IF(AJ268="","",IF(ISNUMBER(SEARCH("/",AJ268)),DATE(VALUE(RIGHT(AJ268,4)),VALUE(LEFT(AJ268,2)),VALUE(MID(AJ268,4,2))),IF(ISNUMBER(SEARCH("-",AJ268)),IF(LEN(LEFT(AJ268,FIND("-",AJ268)-1))=4,DATE(VALUE(LEFT(AJ268,4)),VALUE(MID(AJ268,6,2)),VALUE(RIGHT(AJ268,2))),DATE(VALUE(RIGHT(AJ268,4)),VALUE(MID(AJ268,4,2)),VALUE(LEFT(AJ268,2)))),DATE(VALUE(RIGHT(AJ268,4)),MATCH(MID(AJ268,4,3),{"Jan","Feb","Mar","Apr","May","Jun","Jul","Aug","Sep","Oct","Nov","Dec"},0),VALUE(LEFT(AJ268,2))))))</f>
        <v>45780</v>
      </c>
      <c r="C268" s="3" t="n">
        <f aca="false">IF(AK268="","",IF(ISNUMBER(SEARCH("/",AK268)),DATE(VALUE(RIGHT(AK268,4)),VALUE(LEFT(AK268,2)),VALUE(MID(AK268,4,2))),IF(ISNUMBER(SEARCH("-",AK268)),IF(LEN(LEFT(AK268,FIND("-",AK268)-1))=4,DATE(VALUE(LEFT(AK268,4)),VALUE(MID(AK268,6,2)),VALUE(RIGHT(AK268,2))),DATE(VALUE(RIGHT(AK268,4)),VALUE(MID(AK268,4,2)),VALUE(LEFT(AK268,2)))),DATE(VALUE(RIGHT(AK268,4)),MATCH(MID(AK268,4,3),{"Jan","Feb","Mar","Apr","May","Jun","Jul","Aug","Sep","Oct","Nov","Dec"},0),VALUE(LEFT(AK268,2))))))</f>
        <v>45787</v>
      </c>
      <c r="D268" s="4" t="s">
        <v>1164</v>
      </c>
      <c r="E268" s="0" t="str">
        <f aca="false">PROPER(TRIM(AL268))</f>
        <v>Neha Gupta</v>
      </c>
      <c r="F268" s="0" t="str">
        <f aca="false">PROPER(TRIM(AM268))</f>
        <v>Home Office</v>
      </c>
      <c r="G268" s="0" t="str">
        <f aca="false">IF(TRIM(AN268)="","Unknown",PROPER(TRIM(AN268)))</f>
        <v>West</v>
      </c>
      <c r="H268" s="0" t="str">
        <f aca="false">PROPER(TRIM(AO268))</f>
        <v>Maharashtra</v>
      </c>
      <c r="I268" s="0" t="str">
        <f aca="false">PROPER(TRIM(AP268))</f>
        <v>Mumbai</v>
      </c>
      <c r="J268" s="0" t="str">
        <f aca="false">PROPER(TRIM(AQ268))</f>
        <v>Office Supplies</v>
      </c>
      <c r="K268" s="0" t="str">
        <f aca="false">PROPER(TRIM(AR268))</f>
        <v>Storage</v>
      </c>
      <c r="M268" s="0" t="str">
        <f aca="false">IF(TRIM(AS268)="","Unknown",PROPER(TRIM(AS268)))</f>
        <v>Second Class</v>
      </c>
      <c r="N268" s="0" t="n">
        <v>3</v>
      </c>
      <c r="O268" s="0" t="n">
        <v>4339.24</v>
      </c>
      <c r="P268" s="5" t="n">
        <f aca="false">IF(AT268="","",IF(ISNUMBER(AT268),AT268,VALUE(SUBSTITUTE(AT268,"%",""))/100))</f>
        <v>0</v>
      </c>
      <c r="Q268" s="5" t="n">
        <f aca="false">IF(P268="",IF(AND(N268&lt;&gt;"",O268&lt;&gt;"",R268&lt;&gt;"",S268&lt;&gt;""),0,"REVIEW"),IF(OR(P268&lt;0,P268&gt;0.3),0,P268))</f>
        <v>0</v>
      </c>
      <c r="R268" s="0" t="n">
        <v>13017.72</v>
      </c>
      <c r="S268" s="0" t="n">
        <v>10170.57</v>
      </c>
      <c r="T268" s="6" t="n">
        <f aca="false">N268*O268*(1-Q268)</f>
        <v>13017.72</v>
      </c>
      <c r="U268" s="6" t="n">
        <f aca="false">T268-S268</f>
        <v>2847.15</v>
      </c>
      <c r="V268" s="7" t="n">
        <f aca="false">IF(T268=0,0,U268/T268)</f>
        <v>0.218713415252441</v>
      </c>
      <c r="W268" s="4" t="n">
        <f aca="false">C268-B268</f>
        <v>7</v>
      </c>
      <c r="X268" s="0" t="str">
        <f aca="false">TEXT(B268,"mmmm")</f>
        <v>May</v>
      </c>
      <c r="Y268" s="4" t="n">
        <f aca="false">YEAR(B268)</f>
        <v>2025</v>
      </c>
      <c r="Z268" s="0" t="str">
        <f aca="false">PROPER(TRIM(AU268))</f>
        <v>Paid</v>
      </c>
      <c r="AA268" s="0" t="str">
        <f aca="false">PROPER(TRIM(AV268))</f>
        <v>Completed</v>
      </c>
      <c r="AB268" s="0" t="str">
        <f aca="false">IF(TRIM(AN268)="","Yes","No")</f>
        <v>No</v>
      </c>
      <c r="AC268" s="0" t="str">
        <f aca="false">IF(TRIM(AS268)="","Yes","No")</f>
        <v>No</v>
      </c>
      <c r="AD268" s="0" t="str">
        <f aca="false">IF(AT268="","Yes","No")</f>
        <v>No</v>
      </c>
      <c r="AE268" s="0" t="str">
        <f aca="false">IF(W268&lt;0,"Yes","No")</f>
        <v>No</v>
      </c>
      <c r="AF268" s="0" t="str">
        <f aca="false">IF(P268="","No",IF(OR(P268&lt;0,P268&gt;0.3),"Yes","No"))</f>
        <v>No</v>
      </c>
      <c r="AG268" s="4" t="s">
        <v>50</v>
      </c>
      <c r="AH268" s="0" t="str">
        <f aca="false">IF(AND(AA268="Completed",Z268="Paid"),"Yes","No")</f>
        <v>Yes</v>
      </c>
      <c r="AI268" s="0" t="str">
        <f aca="false">IF(OR(AE268="Yes",AF268="Yes",AG268="Yes"),"Invalid",IF(OR(AB268="Yes",AC268="Yes",AD268="Yes"),"Warning","Clean"))</f>
        <v>Clean</v>
      </c>
      <c r="AJ268" s="4" t="s">
        <v>1165</v>
      </c>
      <c r="AK268" s="4" t="s">
        <v>1166</v>
      </c>
      <c r="AL268" s="4" t="s">
        <v>115</v>
      </c>
      <c r="AM268" s="4" t="s">
        <v>134</v>
      </c>
      <c r="AN268" s="4" t="s">
        <v>97</v>
      </c>
      <c r="AO268" s="4" t="s">
        <v>98</v>
      </c>
      <c r="AP268" s="4" t="s">
        <v>99</v>
      </c>
      <c r="AQ268" s="4" t="s">
        <v>58</v>
      </c>
      <c r="AR268" s="4" t="s">
        <v>171</v>
      </c>
      <c r="AS268" s="4" t="s">
        <v>60</v>
      </c>
      <c r="AT268" s="0" t="n">
        <v>0</v>
      </c>
      <c r="AU268" s="4" t="s">
        <v>61</v>
      </c>
      <c r="AV268" s="4" t="s">
        <v>62</v>
      </c>
    </row>
    <row r="269" customFormat="false" ht="15" hidden="false" customHeight="false" outlineLevel="0" collapsed="false">
      <c r="A269" s="0" t="s">
        <v>1167</v>
      </c>
      <c r="B269" s="3" t="n">
        <f aca="false">IF(AJ269="","",IF(ISNUMBER(SEARCH("/",AJ269)),DATE(VALUE(RIGHT(AJ269,4)),VALUE(LEFT(AJ269,2)),VALUE(MID(AJ269,4,2))),IF(ISNUMBER(SEARCH("-",AJ269)),IF(LEN(LEFT(AJ269,FIND("-",AJ269)-1))=4,DATE(VALUE(LEFT(AJ269,4)),VALUE(MID(AJ269,6,2)),VALUE(RIGHT(AJ269,2))),DATE(VALUE(RIGHT(AJ269,4)),VALUE(MID(AJ269,4,2)),VALUE(LEFT(AJ269,2)))),DATE(VALUE(RIGHT(AJ269,4)),MATCH(MID(AJ269,4,3),{"Jan","Feb","Mar","Apr","May","Jun","Jul","Aug","Sep","Oct","Nov","Dec"},0),VALUE(LEFT(AJ269,2))))))</f>
        <v>45805</v>
      </c>
      <c r="C269" s="3" t="n">
        <f aca="false">IF(AK269="","",IF(ISNUMBER(SEARCH("/",AK269)),DATE(VALUE(RIGHT(AK269,4)),VALUE(LEFT(AK269,2)),VALUE(MID(AK269,4,2))),IF(ISNUMBER(SEARCH("-",AK269)),IF(LEN(LEFT(AK269,FIND("-",AK269)-1))=4,DATE(VALUE(LEFT(AK269,4)),VALUE(MID(AK269,6,2)),VALUE(RIGHT(AK269,2))),DATE(VALUE(RIGHT(AK269,4)),VALUE(MID(AK269,4,2)),VALUE(LEFT(AK269,2)))),DATE(VALUE(RIGHT(AK269,4)),MATCH(MID(AK269,4,3),{"Jan","Feb","Mar","Apr","May","Jun","Jul","Aug","Sep","Oct","Nov","Dec"},0),VALUE(LEFT(AK269,2))))))</f>
        <v>45812</v>
      </c>
      <c r="D269" s="4" t="s">
        <v>1168</v>
      </c>
      <c r="E269" s="0" t="str">
        <f aca="false">PROPER(TRIM(AL269))</f>
        <v>Diya Patel</v>
      </c>
      <c r="F269" s="0" t="str">
        <f aca="false">PROPER(TRIM(AM269))</f>
        <v>Corporate</v>
      </c>
      <c r="G269" s="0" t="str">
        <f aca="false">IF(TRIM(AN269)="","Unknown",PROPER(TRIM(AN269)))</f>
        <v>East</v>
      </c>
      <c r="H269" s="0" t="str">
        <f aca="false">PROPER(TRIM(AO269))</f>
        <v>Jharkhand</v>
      </c>
      <c r="I269" s="0" t="str">
        <f aca="false">PROPER(TRIM(AP269))</f>
        <v>Ranchi</v>
      </c>
      <c r="J269" s="0" t="str">
        <f aca="false">PROPER(TRIM(AQ269))</f>
        <v>Furniture</v>
      </c>
      <c r="K269" s="0" t="str">
        <f aca="false">PROPER(TRIM(AR269))</f>
        <v>Furnishings</v>
      </c>
      <c r="M269" s="0" t="str">
        <f aca="false">IF(TRIM(AS269)="","Unknown",PROPER(TRIM(AS269)))</f>
        <v>First Class</v>
      </c>
      <c r="N269" s="0" t="n">
        <v>4</v>
      </c>
      <c r="O269" s="0" t="n">
        <v>261.8</v>
      </c>
      <c r="P269" s="5" t="n">
        <f aca="false">IF(AT269="","",IF(ISNUMBER(AT269),AT269,VALUE(SUBSTITUTE(AT269,"%",""))/100))</f>
        <v>0.25</v>
      </c>
      <c r="Q269" s="5" t="n">
        <f aca="false">IF(P269="",IF(AND(N269&lt;&gt;"",O269&lt;&gt;"",R269&lt;&gt;"",S269&lt;&gt;""),0,"REVIEW"),IF(OR(P269&lt;0,P269&gt;0.3),0,P269))</f>
        <v>0.25</v>
      </c>
      <c r="R269" s="0" t="n">
        <v>785.4</v>
      </c>
      <c r="S269" s="0" t="n">
        <v>557.22</v>
      </c>
      <c r="T269" s="6" t="n">
        <f aca="false">N269*O269*(1-Q269)</f>
        <v>785.4</v>
      </c>
      <c r="U269" s="6" t="n">
        <f aca="false">T269-S269</f>
        <v>228.18</v>
      </c>
      <c r="V269" s="7" t="n">
        <f aca="false">IF(T269=0,0,U269/T269)</f>
        <v>0.290527119938885</v>
      </c>
      <c r="W269" s="4" t="n">
        <f aca="false">C269-B269</f>
        <v>7</v>
      </c>
      <c r="X269" s="0" t="str">
        <f aca="false">TEXT(B269,"mmmm")</f>
        <v>May</v>
      </c>
      <c r="Y269" s="4" t="n">
        <f aca="false">YEAR(B269)</f>
        <v>2025</v>
      </c>
      <c r="Z269" s="0" t="str">
        <f aca="false">PROPER(TRIM(AU269))</f>
        <v>Paid</v>
      </c>
      <c r="AA269" s="0" t="str">
        <f aca="false">PROPER(TRIM(AV269))</f>
        <v>Completed</v>
      </c>
      <c r="AB269" s="0" t="str">
        <f aca="false">IF(TRIM(AN269)="","Yes","No")</f>
        <v>No</v>
      </c>
      <c r="AC269" s="0" t="str">
        <f aca="false">IF(TRIM(AS269)="","Yes","No")</f>
        <v>No</v>
      </c>
      <c r="AD269" s="0" t="str">
        <f aca="false">IF(AT269="","Yes","No")</f>
        <v>No</v>
      </c>
      <c r="AE269" s="0" t="str">
        <f aca="false">IF(W269&lt;0,"Yes","No")</f>
        <v>No</v>
      </c>
      <c r="AF269" s="0" t="str">
        <f aca="false">IF(P269="","No",IF(OR(P269&lt;0,P269&gt;0.3),"Yes","No"))</f>
        <v>No</v>
      </c>
      <c r="AG269" s="4" t="s">
        <v>50</v>
      </c>
      <c r="AH269" s="0" t="str">
        <f aca="false">IF(AND(AA269="Completed",Z269="Paid"),"Yes","No")</f>
        <v>Yes</v>
      </c>
      <c r="AI269" s="0" t="str">
        <f aca="false">IF(OR(AE269="Yes",AF269="Yes",AG269="Yes"),"Invalid",IF(OR(AB269="Yes",AC269="Yes",AD269="Yes"),"Warning","Clean"))</f>
        <v>Clean</v>
      </c>
      <c r="AJ269" s="4" t="s">
        <v>873</v>
      </c>
      <c r="AK269" s="4" t="s">
        <v>1169</v>
      </c>
      <c r="AL269" s="4" t="s">
        <v>216</v>
      </c>
      <c r="AM269" s="4" t="s">
        <v>128</v>
      </c>
      <c r="AN269" s="4" t="s">
        <v>69</v>
      </c>
      <c r="AO269" s="4" t="s">
        <v>300</v>
      </c>
      <c r="AP269" s="4" t="s">
        <v>301</v>
      </c>
      <c r="AQ269" s="4" t="s">
        <v>72</v>
      </c>
      <c r="AR269" s="4" t="s">
        <v>90</v>
      </c>
      <c r="AS269" s="4" t="s">
        <v>81</v>
      </c>
      <c r="AT269" s="0" t="n">
        <v>0.25</v>
      </c>
      <c r="AU269" s="4" t="s">
        <v>61</v>
      </c>
      <c r="AV269" s="4" t="s">
        <v>62</v>
      </c>
    </row>
    <row r="270" customFormat="false" ht="15" hidden="false" customHeight="false" outlineLevel="0" collapsed="false">
      <c r="A270" s="0" t="s">
        <v>1170</v>
      </c>
      <c r="B270" s="3" t="n">
        <f aca="false">IF(AJ270="","",IF(ISNUMBER(SEARCH("/",AJ270)),DATE(VALUE(RIGHT(AJ270,4)),VALUE(LEFT(AJ270,2)),VALUE(MID(AJ270,4,2))),IF(ISNUMBER(SEARCH("-",AJ270)),IF(LEN(LEFT(AJ270,FIND("-",AJ270)-1))=4,DATE(VALUE(LEFT(AJ270,4)),VALUE(MID(AJ270,6,2)),VALUE(RIGHT(AJ270,2))),DATE(VALUE(RIGHT(AJ270,4)),VALUE(MID(AJ270,4,2)),VALUE(LEFT(AJ270,2)))),DATE(VALUE(RIGHT(AJ270,4)),MATCH(MID(AJ270,4,3),{"Jan","Feb","Mar","Apr","May","Jun","Jul","Aug","Sep","Oct","Nov","Dec"},0),VALUE(LEFT(AJ270,2))))))</f>
        <v>45886</v>
      </c>
      <c r="C270" s="3" t="n">
        <f aca="false">IF(AK270="","",IF(ISNUMBER(SEARCH("/",AK270)),DATE(VALUE(RIGHT(AK270,4)),VALUE(LEFT(AK270,2)),VALUE(MID(AK270,4,2))),IF(ISNUMBER(SEARCH("-",AK270)),IF(LEN(LEFT(AK270,FIND("-",AK270)-1))=4,DATE(VALUE(LEFT(AK270,4)),VALUE(MID(AK270,6,2)),VALUE(RIGHT(AK270,2))),DATE(VALUE(RIGHT(AK270,4)),VALUE(MID(AK270,4,2)),VALUE(LEFT(AK270,2)))),DATE(VALUE(RIGHT(AK270,4)),MATCH(MID(AK270,4,3),{"Jan","Feb","Mar","Apr","May","Jun","Jul","Aug","Sep","Oct","Nov","Dec"},0),VALUE(LEFT(AK270,2))))))</f>
        <v>45886</v>
      </c>
      <c r="D270" s="4" t="s">
        <v>1171</v>
      </c>
      <c r="E270" s="0" t="str">
        <f aca="false">PROPER(TRIM(AL270))</f>
        <v>Aarav Sharma</v>
      </c>
      <c r="F270" s="0" t="str">
        <f aca="false">PROPER(TRIM(AM270))</f>
        <v>Home Office</v>
      </c>
      <c r="G270" s="0" t="str">
        <f aca="false">IF(TRIM(AN270)="","Unknown",PROPER(TRIM(AN270)))</f>
        <v>North</v>
      </c>
      <c r="H270" s="0" t="str">
        <f aca="false">PROPER(TRIM(AO270))</f>
        <v>Punjab</v>
      </c>
      <c r="I270" s="0" t="str">
        <f aca="false">PROPER(TRIM(AP270))</f>
        <v>Ludhiana</v>
      </c>
      <c r="J270" s="0" t="str">
        <f aca="false">PROPER(TRIM(AQ270))</f>
        <v>Technology</v>
      </c>
      <c r="K270" s="0" t="str">
        <f aca="false">PROPER(TRIM(AR270))</f>
        <v>Accessories</v>
      </c>
      <c r="M270" s="0" t="str">
        <f aca="false">IF(TRIM(AS270)="","Unknown",PROPER(TRIM(AS270)))</f>
        <v>First Class</v>
      </c>
      <c r="N270" s="0" t="n">
        <v>7</v>
      </c>
      <c r="O270" s="0" t="n">
        <v>632.2</v>
      </c>
      <c r="P270" s="5" t="n">
        <f aca="false">IF(AT270="","",IF(ISNUMBER(AT270),AT270,VALUE(SUBSTITUTE(AT270,"%",""))/100))</f>
        <v>0.25</v>
      </c>
      <c r="Q270" s="5" t="n">
        <f aca="false">IF(P270="",IF(AND(N270&lt;&gt;"",O270&lt;&gt;"",R270&lt;&gt;"",S270&lt;&gt;""),0,"REVIEW"),IF(OR(P270&lt;0,P270&gt;0.3),0,P270))</f>
        <v>0.25</v>
      </c>
      <c r="R270" s="0" t="n">
        <v>3319.05</v>
      </c>
      <c r="S270" s="0" t="n">
        <v>2124.6</v>
      </c>
      <c r="T270" s="6" t="n">
        <f aca="false">N270*O270*(1-Q270)</f>
        <v>3319.05</v>
      </c>
      <c r="U270" s="6" t="n">
        <f aca="false">T270-S270</f>
        <v>1194.45</v>
      </c>
      <c r="V270" s="7" t="n">
        <f aca="false">IF(T270=0,0,U270/T270)</f>
        <v>0.359877073258915</v>
      </c>
      <c r="W270" s="4" t="n">
        <f aca="false">C270-B270</f>
        <v>0</v>
      </c>
      <c r="X270" s="0" t="str">
        <f aca="false">TEXT(B270,"mmmm")</f>
        <v>August</v>
      </c>
      <c r="Y270" s="4" t="n">
        <f aca="false">YEAR(B270)</f>
        <v>2025</v>
      </c>
      <c r="Z270" s="0" t="str">
        <f aca="false">PROPER(TRIM(AU270))</f>
        <v>Paid</v>
      </c>
      <c r="AA270" s="0" t="str">
        <f aca="false">PROPER(TRIM(AV270))</f>
        <v>Completed</v>
      </c>
      <c r="AB270" s="0" t="str">
        <f aca="false">IF(TRIM(AN270)="","Yes","No")</f>
        <v>No</v>
      </c>
      <c r="AC270" s="0" t="str">
        <f aca="false">IF(TRIM(AS270)="","Yes","No")</f>
        <v>No</v>
      </c>
      <c r="AD270" s="0" t="str">
        <f aca="false">IF(AT270="","Yes","No")</f>
        <v>No</v>
      </c>
      <c r="AE270" s="0" t="str">
        <f aca="false">IF(W270&lt;0,"Yes","No")</f>
        <v>No</v>
      </c>
      <c r="AF270" s="0" t="str">
        <f aca="false">IF(P270="","No",IF(OR(P270&lt;0,P270&gt;0.3),"Yes","No"))</f>
        <v>No</v>
      </c>
      <c r="AG270" s="4" t="s">
        <v>50</v>
      </c>
      <c r="AH270" s="0" t="str">
        <f aca="false">IF(AND(AA270="Completed",Z270="Paid"),"Yes","No")</f>
        <v>Yes</v>
      </c>
      <c r="AI270" s="0" t="str">
        <f aca="false">IF(OR(AE270="Yes",AF270="Yes",AG270="Yes"),"Invalid",IF(OR(AB270="Yes",AC270="Yes",AD270="Yes"),"Warning","Clean"))</f>
        <v>Clean</v>
      </c>
      <c r="AJ270" s="4" t="s">
        <v>1172</v>
      </c>
      <c r="AK270" s="4" t="s">
        <v>1172</v>
      </c>
      <c r="AL270" s="4" t="s">
        <v>176</v>
      </c>
      <c r="AM270" s="4" t="s">
        <v>134</v>
      </c>
      <c r="AN270" s="4" t="s">
        <v>168</v>
      </c>
      <c r="AO270" s="4" t="s">
        <v>169</v>
      </c>
      <c r="AP270" s="4" t="s">
        <v>170</v>
      </c>
      <c r="AQ270" s="4" t="s">
        <v>109</v>
      </c>
      <c r="AR270" s="4" t="s">
        <v>110</v>
      </c>
      <c r="AS270" s="4" t="s">
        <v>81</v>
      </c>
      <c r="AT270" s="0" t="n">
        <v>0.25</v>
      </c>
      <c r="AU270" s="4" t="s">
        <v>61</v>
      </c>
      <c r="AV270" s="4" t="s">
        <v>62</v>
      </c>
    </row>
    <row r="271" customFormat="false" ht="15" hidden="false" customHeight="false" outlineLevel="0" collapsed="false">
      <c r="A271" s="0" t="s">
        <v>1173</v>
      </c>
      <c r="B271" s="3" t="n">
        <f aca="false">IF(AJ271="","",IF(ISNUMBER(SEARCH("/",AJ271)),DATE(VALUE(RIGHT(AJ271,4)),VALUE(LEFT(AJ271,2)),VALUE(MID(AJ271,4,2))),IF(ISNUMBER(SEARCH("-",AJ271)),IF(LEN(LEFT(AJ271,FIND("-",AJ271)-1))=4,DATE(VALUE(LEFT(AJ271,4)),VALUE(MID(AJ271,6,2)),VALUE(RIGHT(AJ271,2))),DATE(VALUE(RIGHT(AJ271,4)),VALUE(MID(AJ271,4,2)),VALUE(LEFT(AJ271,2)))),DATE(VALUE(RIGHT(AJ271,4)),MATCH(MID(AJ271,4,3),{"Jan","Feb","Mar","Apr","May","Jun","Jul","Aug","Sep","Oct","Nov","Dec"},0),VALUE(LEFT(AJ271,2))))))</f>
        <v>45698</v>
      </c>
      <c r="C271" s="3" t="n">
        <f aca="false">IF(AK271="","",IF(ISNUMBER(SEARCH("/",AK271)),DATE(VALUE(RIGHT(AK271,4)),VALUE(LEFT(AK271,2)),VALUE(MID(AK271,4,2))),IF(ISNUMBER(SEARCH("-",AK271)),IF(LEN(LEFT(AK271,FIND("-",AK271)-1))=4,DATE(VALUE(LEFT(AK271,4)),VALUE(MID(AK271,6,2)),VALUE(RIGHT(AK271,2))),DATE(VALUE(RIGHT(AK271,4)),VALUE(MID(AK271,4,2)),VALUE(LEFT(AK271,2)))),DATE(VALUE(RIGHT(AK271,4)),MATCH(MID(AK271,4,3),{"Jan","Feb","Mar","Apr","May","Jun","Jul","Aug","Sep","Oct","Nov","Dec"},0),VALUE(LEFT(AK271,2))))))</f>
        <v>45700</v>
      </c>
      <c r="D271" s="4" t="s">
        <v>1174</v>
      </c>
      <c r="E271" s="0" t="str">
        <f aca="false">PROPER(TRIM(AL271))</f>
        <v>Rahul Verma</v>
      </c>
      <c r="F271" s="0" t="str">
        <f aca="false">PROPER(TRIM(AM271))</f>
        <v>Small Business</v>
      </c>
      <c r="G271" s="0" t="str">
        <f aca="false">IF(TRIM(AN271)="","Unknown",PROPER(TRIM(AN271)))</f>
        <v>West</v>
      </c>
      <c r="H271" s="0" t="str">
        <f aca="false">PROPER(TRIM(AO271))</f>
        <v>Rajasthan</v>
      </c>
      <c r="I271" s="0" t="str">
        <f aca="false">PROPER(TRIM(AP271))</f>
        <v>Udaipur</v>
      </c>
      <c r="J271" s="0" t="str">
        <f aca="false">PROPER(TRIM(AQ271))</f>
        <v>Furniture</v>
      </c>
      <c r="K271" s="0" t="str">
        <f aca="false">PROPER(TRIM(AR271))</f>
        <v>Tables</v>
      </c>
      <c r="M271" s="0" t="str">
        <f aca="false">IF(TRIM(AS271)="","Unknown",PROPER(TRIM(AS271)))</f>
        <v>Same Day</v>
      </c>
      <c r="N271" s="0" t="n">
        <v>1</v>
      </c>
      <c r="O271" s="0" t="n">
        <v>1925.86</v>
      </c>
      <c r="P271" s="5" t="n">
        <f aca="false">IF(AT271="","",IF(ISNUMBER(AT271),AT271,VALUE(SUBSTITUTE(AT271,"%",""))/100))</f>
        <v>0</v>
      </c>
      <c r="Q271" s="5" t="n">
        <f aca="false">IF(P271="",IF(AND(N271&lt;&gt;"",O271&lt;&gt;"",R271&lt;&gt;"",S271&lt;&gt;""),0,"REVIEW"),IF(OR(P271&lt;0,P271&gt;0.3),0,P271))</f>
        <v>0</v>
      </c>
      <c r="R271" s="0" t="n">
        <v>1925.86</v>
      </c>
      <c r="S271" s="0" t="n">
        <v>1321.89</v>
      </c>
      <c r="T271" s="6" t="n">
        <f aca="false">N271*O271*(1-Q271)</f>
        <v>1925.86</v>
      </c>
      <c r="U271" s="6" t="n">
        <f aca="false">T271-S271</f>
        <v>603.97</v>
      </c>
      <c r="V271" s="7" t="n">
        <f aca="false">IF(T271=0,0,U271/T271)</f>
        <v>0.313610542822427</v>
      </c>
      <c r="W271" s="4" t="n">
        <f aca="false">C271-B271</f>
        <v>2</v>
      </c>
      <c r="X271" s="0" t="str">
        <f aca="false">TEXT(B271,"mmmm")</f>
        <v>February</v>
      </c>
      <c r="Y271" s="4" t="n">
        <f aca="false">YEAR(B271)</f>
        <v>2025</v>
      </c>
      <c r="Z271" s="0" t="str">
        <f aca="false">PROPER(TRIM(AU271))</f>
        <v>Paid</v>
      </c>
      <c r="AA271" s="0" t="str">
        <f aca="false">PROPER(TRIM(AV271))</f>
        <v>Completed</v>
      </c>
      <c r="AB271" s="0" t="str">
        <f aca="false">IF(TRIM(AN271)="","Yes","No")</f>
        <v>No</v>
      </c>
      <c r="AC271" s="0" t="str">
        <f aca="false">IF(TRIM(AS271)="","Yes","No")</f>
        <v>No</v>
      </c>
      <c r="AD271" s="0" t="str">
        <f aca="false">IF(AT271="","Yes","No")</f>
        <v>No</v>
      </c>
      <c r="AE271" s="0" t="str">
        <f aca="false">IF(W271&lt;0,"Yes","No")</f>
        <v>No</v>
      </c>
      <c r="AF271" s="0" t="str">
        <f aca="false">IF(P271="","No",IF(OR(P271&lt;0,P271&gt;0.3),"Yes","No"))</f>
        <v>No</v>
      </c>
      <c r="AG271" s="4" t="s">
        <v>50</v>
      </c>
      <c r="AH271" s="0" t="str">
        <f aca="false">IF(AND(AA271="Completed",Z271="Paid"),"Yes","No")</f>
        <v>Yes</v>
      </c>
      <c r="AI271" s="0" t="str">
        <f aca="false">IF(OR(AE271="Yes",AF271="Yes",AG271="Yes"),"Invalid",IF(OR(AB271="Yes",AC271="Yes",AD271="Yes"),"Warning","Clean"))</f>
        <v>Clean</v>
      </c>
      <c r="AJ271" s="4" t="s">
        <v>1126</v>
      </c>
      <c r="AK271" s="4" t="s">
        <v>1175</v>
      </c>
      <c r="AL271" s="4" t="s">
        <v>163</v>
      </c>
      <c r="AM271" s="4" t="s">
        <v>68</v>
      </c>
      <c r="AN271" s="4" t="s">
        <v>97</v>
      </c>
      <c r="AO271" s="4" t="s">
        <v>56</v>
      </c>
      <c r="AP271" s="4" t="s">
        <v>152</v>
      </c>
      <c r="AQ271" s="4" t="s">
        <v>456</v>
      </c>
      <c r="AR271" s="4" t="s">
        <v>73</v>
      </c>
      <c r="AS271" s="4" t="s">
        <v>74</v>
      </c>
      <c r="AT271" s="0" t="n">
        <v>0</v>
      </c>
      <c r="AU271" s="4" t="s">
        <v>61</v>
      </c>
      <c r="AV271" s="4" t="s">
        <v>62</v>
      </c>
    </row>
    <row r="272" customFormat="false" ht="15" hidden="false" customHeight="false" outlineLevel="0" collapsed="false">
      <c r="A272" s="0" t="s">
        <v>1176</v>
      </c>
      <c r="B272" s="3" t="n">
        <f aca="false">IF(AJ272="","",IF(ISNUMBER(SEARCH("/",AJ272)),DATE(VALUE(RIGHT(AJ272,4)),VALUE(LEFT(AJ272,2)),VALUE(MID(AJ272,4,2))),IF(ISNUMBER(SEARCH("-",AJ272)),IF(LEN(LEFT(AJ272,FIND("-",AJ272)-1))=4,DATE(VALUE(LEFT(AJ272,4)),VALUE(MID(AJ272,6,2)),VALUE(RIGHT(AJ272,2))),DATE(VALUE(RIGHT(AJ272,4)),VALUE(MID(AJ272,4,2)),VALUE(LEFT(AJ272,2)))),DATE(VALUE(RIGHT(AJ272,4)),MATCH(MID(AJ272,4,3),{"Jan","Feb","Mar","Apr","May","Jun","Jul","Aug","Sep","Oct","Nov","Dec"},0),VALUE(LEFT(AJ272,2))))))</f>
        <v>45303</v>
      </c>
      <c r="C272" s="3" t="n">
        <f aca="false">IF(AK272="","",IF(ISNUMBER(SEARCH("/",AK272)),DATE(VALUE(RIGHT(AK272,4)),VALUE(LEFT(AK272,2)),VALUE(MID(AK272,4,2))),IF(ISNUMBER(SEARCH("-",AK272)),IF(LEN(LEFT(AK272,FIND("-",AK272)-1))=4,DATE(VALUE(LEFT(AK272,4)),VALUE(MID(AK272,6,2)),VALUE(RIGHT(AK272,2))),DATE(VALUE(RIGHT(AK272,4)),VALUE(MID(AK272,4,2)),VALUE(LEFT(AK272,2)))),DATE(VALUE(RIGHT(AK272,4)),MATCH(MID(AK272,4,3),{"Jan","Feb","Mar","Apr","May","Jun","Jul","Aug","Sep","Oct","Nov","Dec"},0),VALUE(LEFT(AK272,2))))))</f>
        <v>45304</v>
      </c>
      <c r="D272" s="4" t="s">
        <v>1177</v>
      </c>
      <c r="E272" s="0" t="str">
        <f aca="false">PROPER(TRIM(AL272))</f>
        <v>Aditi Sen</v>
      </c>
      <c r="F272" s="0" t="str">
        <f aca="false">PROPER(TRIM(AM272))</f>
        <v>Corporate</v>
      </c>
      <c r="G272" s="0" t="str">
        <f aca="false">IF(TRIM(AN272)="","Unknown",PROPER(TRIM(AN272)))</f>
        <v>North</v>
      </c>
      <c r="H272" s="0" t="str">
        <f aca="false">PROPER(TRIM(AO272))</f>
        <v>Uttar Pradesh</v>
      </c>
      <c r="I272" s="0" t="str">
        <f aca="false">PROPER(TRIM(AP272))</f>
        <v>Noida</v>
      </c>
      <c r="J272" s="0" t="str">
        <f aca="false">PROPER(TRIM(AQ272))</f>
        <v>Technology</v>
      </c>
      <c r="K272" s="0" t="str">
        <f aca="false">PROPER(TRIM(AR272))</f>
        <v>Machines</v>
      </c>
      <c r="M272" s="0" t="str">
        <f aca="false">IF(TRIM(AS272)="","Unknown",PROPER(TRIM(AS272)))</f>
        <v>Same Day</v>
      </c>
      <c r="N272" s="0" t="n">
        <v>3</v>
      </c>
      <c r="O272" s="0" t="n">
        <v>827.44</v>
      </c>
      <c r="P272" s="5" t="n">
        <f aca="false">IF(AT272="","",IF(ISNUMBER(AT272),AT272,VALUE(SUBSTITUTE(AT272,"%",""))/100))</f>
        <v>0</v>
      </c>
      <c r="Q272" s="5" t="n">
        <f aca="false">IF(P272="",IF(AND(N272&lt;&gt;"",O272&lt;&gt;"",R272&lt;&gt;"",S272&lt;&gt;""),0,"REVIEW"),IF(OR(P272&lt;0,P272&gt;0.3),0,P272))</f>
        <v>0</v>
      </c>
      <c r="R272" s="0" t="n">
        <v>2482.32</v>
      </c>
      <c r="S272" s="0" t="n">
        <v>1520.21</v>
      </c>
      <c r="T272" s="6" t="n">
        <f aca="false">N272*O272*(1-Q272)</f>
        <v>2482.32</v>
      </c>
      <c r="U272" s="6" t="n">
        <f aca="false">T272-S272</f>
        <v>962.11</v>
      </c>
      <c r="V272" s="7" t="n">
        <f aca="false">IF(T272=0,0,U272/T272)</f>
        <v>0.387585001127977</v>
      </c>
      <c r="W272" s="4" t="n">
        <f aca="false">C272-B272</f>
        <v>1</v>
      </c>
      <c r="X272" s="0" t="str">
        <f aca="false">TEXT(B272,"mmmm")</f>
        <v>January</v>
      </c>
      <c r="Y272" s="4" t="n">
        <f aca="false">YEAR(B272)</f>
        <v>2024</v>
      </c>
      <c r="Z272" s="0" t="str">
        <f aca="false">PROPER(TRIM(AU272))</f>
        <v>Paid</v>
      </c>
      <c r="AA272" s="0" t="str">
        <f aca="false">PROPER(TRIM(AV272))</f>
        <v>Completed</v>
      </c>
      <c r="AB272" s="0" t="str">
        <f aca="false">IF(TRIM(AN272)="","Yes","No")</f>
        <v>No</v>
      </c>
      <c r="AC272" s="0" t="str">
        <f aca="false">IF(TRIM(AS272)="","Yes","No")</f>
        <v>No</v>
      </c>
      <c r="AD272" s="0" t="str">
        <f aca="false">IF(AT272="","Yes","No")</f>
        <v>No</v>
      </c>
      <c r="AE272" s="0" t="str">
        <f aca="false">IF(W272&lt;0,"Yes","No")</f>
        <v>No</v>
      </c>
      <c r="AF272" s="0" t="str">
        <f aca="false">IF(P272="","No",IF(OR(P272&lt;0,P272&gt;0.3),"Yes","No"))</f>
        <v>No</v>
      </c>
      <c r="AG272" s="4" t="s">
        <v>50</v>
      </c>
      <c r="AH272" s="0" t="str">
        <f aca="false">IF(AND(AA272="Completed",Z272="Paid"),"Yes","No")</f>
        <v>Yes</v>
      </c>
      <c r="AI272" s="0" t="str">
        <f aca="false">IF(OR(AE272="Yes",AF272="Yes",AG272="Yes"),"Invalid",IF(OR(AB272="Yes",AC272="Yes",AD272="Yes"),"Warning","Clean"))</f>
        <v>Clean</v>
      </c>
      <c r="AJ272" s="4" t="s">
        <v>1066</v>
      </c>
      <c r="AK272" s="4" t="s">
        <v>508</v>
      </c>
      <c r="AL272" s="4" t="s">
        <v>127</v>
      </c>
      <c r="AM272" s="4" t="s">
        <v>128</v>
      </c>
      <c r="AN272" s="4" t="s">
        <v>168</v>
      </c>
      <c r="AO272" s="4" t="s">
        <v>186</v>
      </c>
      <c r="AP272" s="4" t="s">
        <v>187</v>
      </c>
      <c r="AQ272" s="4" t="s">
        <v>109</v>
      </c>
      <c r="AR272" s="4" t="s">
        <v>360</v>
      </c>
      <c r="AS272" s="4" t="s">
        <v>74</v>
      </c>
      <c r="AT272" s="0" t="n">
        <v>0</v>
      </c>
      <c r="AU272" s="4" t="s">
        <v>61</v>
      </c>
      <c r="AV272" s="4" t="s">
        <v>62</v>
      </c>
    </row>
    <row r="273" customFormat="false" ht="15" hidden="false" customHeight="false" outlineLevel="0" collapsed="false">
      <c r="A273" s="0" t="s">
        <v>1178</v>
      </c>
      <c r="B273" s="3" t="n">
        <f aca="false">IF(AJ273="","",IF(ISNUMBER(SEARCH("/",AJ273)),DATE(VALUE(RIGHT(AJ273,4)),VALUE(LEFT(AJ273,2)),VALUE(MID(AJ273,4,2))),IF(ISNUMBER(SEARCH("-",AJ273)),IF(LEN(LEFT(AJ273,FIND("-",AJ273)-1))=4,DATE(VALUE(LEFT(AJ273,4)),VALUE(MID(AJ273,6,2)),VALUE(RIGHT(AJ273,2))),DATE(VALUE(RIGHT(AJ273,4)),VALUE(MID(AJ273,4,2)),VALUE(LEFT(AJ273,2)))),DATE(VALUE(RIGHT(AJ273,4)),MATCH(MID(AJ273,4,3),{"Jan","Feb","Mar","Apr","May","Jun","Jul","Aug","Sep","Oct","Nov","Dec"},0),VALUE(LEFT(AJ273,2))))))</f>
        <v>45647</v>
      </c>
      <c r="C273" s="3" t="n">
        <f aca="false">IF(AK273="","",IF(ISNUMBER(SEARCH("/",AK273)),DATE(VALUE(RIGHT(AK273,4)),VALUE(LEFT(AK273,2)),VALUE(MID(AK273,4,2))),IF(ISNUMBER(SEARCH("-",AK273)),IF(LEN(LEFT(AK273,FIND("-",AK273)-1))=4,DATE(VALUE(LEFT(AK273,4)),VALUE(MID(AK273,6,2)),VALUE(RIGHT(AK273,2))),DATE(VALUE(RIGHT(AK273,4)),VALUE(MID(AK273,4,2)),VALUE(LEFT(AK273,2)))),DATE(VALUE(RIGHT(AK273,4)),MATCH(MID(AK273,4,3),{"Jan","Feb","Mar","Apr","May","Jun","Jul","Aug","Sep","Oct","Nov","Dec"},0),VALUE(LEFT(AK273,2))))))</f>
        <v>45651</v>
      </c>
      <c r="D273" s="4" t="s">
        <v>1179</v>
      </c>
      <c r="E273" s="0" t="str">
        <f aca="false">PROPER(TRIM(AL273))</f>
        <v>Aditi Sen</v>
      </c>
      <c r="F273" s="0" t="str">
        <f aca="false">PROPER(TRIM(AM273))</f>
        <v>Consumer</v>
      </c>
      <c r="G273" s="0" t="str">
        <f aca="false">IF(TRIM(AN273)="","Unknown",PROPER(TRIM(AN273)))</f>
        <v>South</v>
      </c>
      <c r="H273" s="0" t="str">
        <f aca="false">PROPER(TRIM(AO273))</f>
        <v>Telangana</v>
      </c>
      <c r="I273" s="0" t="str">
        <f aca="false">PROPER(TRIM(AP273))</f>
        <v>Hyderabad</v>
      </c>
      <c r="J273" s="0" t="str">
        <f aca="false">PROPER(TRIM(AQ273))</f>
        <v>Office Supplies</v>
      </c>
      <c r="K273" s="0" t="str">
        <f aca="false">PROPER(TRIM(AR273))</f>
        <v>Binders</v>
      </c>
      <c r="M273" s="0" t="str">
        <f aca="false">IF(TRIM(AS273)="","Unknown",PROPER(TRIM(AS273)))</f>
        <v>Standard Class</v>
      </c>
      <c r="N273" s="0" t="n">
        <v>7</v>
      </c>
      <c r="O273" s="0" t="n">
        <v>1667.75</v>
      </c>
      <c r="P273" s="5" t="n">
        <f aca="false">IF(AT273="","",IF(ISNUMBER(AT273),AT273,VALUE(SUBSTITUTE(AT273,"%",""))/100))</f>
        <v>0</v>
      </c>
      <c r="Q273" s="5" t="n">
        <f aca="false">IF(P273="",IF(AND(N273&lt;&gt;"",O273&lt;&gt;"",R273&lt;&gt;"",S273&lt;&gt;""),0,"REVIEW"),IF(OR(P273&lt;0,P273&gt;0.3),0,P273))</f>
        <v>0</v>
      </c>
      <c r="R273" s="0" t="n">
        <v>11674.25</v>
      </c>
      <c r="S273" s="0" t="n">
        <v>9621.19</v>
      </c>
      <c r="T273" s="6" t="n">
        <f aca="false">N273*O273*(1-Q273)</f>
        <v>11674.25</v>
      </c>
      <c r="U273" s="6" t="n">
        <f aca="false">T273-S273</f>
        <v>2053.06</v>
      </c>
      <c r="V273" s="7" t="n">
        <f aca="false">IF(T273=0,0,U273/T273)</f>
        <v>0.175862260958948</v>
      </c>
      <c r="W273" s="4" t="n">
        <f aca="false">C273-B273</f>
        <v>4</v>
      </c>
      <c r="X273" s="0" t="str">
        <f aca="false">TEXT(B273,"mmmm")</f>
        <v>December</v>
      </c>
      <c r="Y273" s="4" t="n">
        <f aca="false">YEAR(B273)</f>
        <v>2024</v>
      </c>
      <c r="Z273" s="0" t="str">
        <f aca="false">PROPER(TRIM(AU273))</f>
        <v>Failed</v>
      </c>
      <c r="AA273" s="0" t="str">
        <f aca="false">PROPER(TRIM(AV273))</f>
        <v>Cancelled</v>
      </c>
      <c r="AB273" s="0" t="str">
        <f aca="false">IF(TRIM(AN273)="","Yes","No")</f>
        <v>No</v>
      </c>
      <c r="AC273" s="0" t="str">
        <f aca="false">IF(TRIM(AS273)="","Yes","No")</f>
        <v>No</v>
      </c>
      <c r="AD273" s="0" t="str">
        <f aca="false">IF(AT273="","Yes","No")</f>
        <v>No</v>
      </c>
      <c r="AE273" s="0" t="str">
        <f aca="false">IF(W273&lt;0,"Yes","No")</f>
        <v>No</v>
      </c>
      <c r="AF273" s="0" t="str">
        <f aca="false">IF(P273="","No",IF(OR(P273&lt;0,P273&gt;0.3),"Yes","No"))</f>
        <v>No</v>
      </c>
      <c r="AG273" s="4" t="s">
        <v>50</v>
      </c>
      <c r="AH273" s="0" t="str">
        <f aca="false">IF(AND(AA273="Completed",Z273="Paid"),"Yes","No")</f>
        <v>No</v>
      </c>
      <c r="AI273" s="0" t="str">
        <f aca="false">IF(OR(AE273="Yes",AF273="Yes",AG273="Yes"),"Invalid",IF(OR(AB273="Yes",AC273="Yes",AD273="Yes"),"Warning","Clean"))</f>
        <v>Clean</v>
      </c>
      <c r="AJ273" s="4" t="s">
        <v>1180</v>
      </c>
      <c r="AK273" s="4" t="s">
        <v>1181</v>
      </c>
      <c r="AL273" s="4" t="s">
        <v>127</v>
      </c>
      <c r="AM273" s="4" t="s">
        <v>54</v>
      </c>
      <c r="AN273" s="4" t="s">
        <v>87</v>
      </c>
      <c r="AO273" s="4" t="s">
        <v>88</v>
      </c>
      <c r="AP273" s="4" t="s">
        <v>89</v>
      </c>
      <c r="AQ273" s="4" t="s">
        <v>58</v>
      </c>
      <c r="AR273" s="4" t="s">
        <v>206</v>
      </c>
      <c r="AS273" s="4" t="s">
        <v>91</v>
      </c>
      <c r="AT273" s="0" t="n">
        <v>0</v>
      </c>
      <c r="AU273" s="4" t="s">
        <v>207</v>
      </c>
      <c r="AV273" s="4" t="s">
        <v>101</v>
      </c>
    </row>
    <row r="274" customFormat="false" ht="15" hidden="false" customHeight="false" outlineLevel="0" collapsed="false">
      <c r="A274" s="0" t="s">
        <v>1182</v>
      </c>
      <c r="B274" s="3" t="n">
        <f aca="false">IF(AJ274="","",IF(ISNUMBER(SEARCH("/",AJ274)),DATE(VALUE(RIGHT(AJ274,4)),VALUE(LEFT(AJ274,2)),VALUE(MID(AJ274,4,2))),IF(ISNUMBER(SEARCH("-",AJ274)),IF(LEN(LEFT(AJ274,FIND("-",AJ274)-1))=4,DATE(VALUE(LEFT(AJ274,4)),VALUE(MID(AJ274,6,2)),VALUE(RIGHT(AJ274,2))),DATE(VALUE(RIGHT(AJ274,4)),VALUE(MID(AJ274,4,2)),VALUE(LEFT(AJ274,2)))),DATE(VALUE(RIGHT(AJ274,4)),MATCH(MID(AJ274,4,3),{"Jan","Feb","Mar","Apr","May","Jun","Jul","Aug","Sep","Oct","Nov","Dec"},0),VALUE(LEFT(AJ274,2))))))</f>
        <v>45522</v>
      </c>
      <c r="C274" s="3" t="n">
        <f aca="false">IF(AK274="","",IF(ISNUMBER(SEARCH("/",AK274)),DATE(VALUE(RIGHT(AK274,4)),VALUE(LEFT(AK274,2)),VALUE(MID(AK274,4,2))),IF(ISNUMBER(SEARCH("-",AK274)),IF(LEN(LEFT(AK274,FIND("-",AK274)-1))=4,DATE(VALUE(LEFT(AK274,4)),VALUE(MID(AK274,6,2)),VALUE(RIGHT(AK274,2))),DATE(VALUE(RIGHT(AK274,4)),VALUE(MID(AK274,4,2)),VALUE(LEFT(AK274,2)))),DATE(VALUE(RIGHT(AK274,4)),MATCH(MID(AK274,4,3),{"Jan","Feb","Mar","Apr","May","Jun","Jul","Aug","Sep","Oct","Nov","Dec"},0),VALUE(LEFT(AK274,2))))))</f>
        <v>45528</v>
      </c>
      <c r="D274" s="4" t="s">
        <v>1183</v>
      </c>
      <c r="E274" s="0" t="str">
        <f aca="false">PROPER(TRIM(AL274))</f>
        <v>Arjun Bose</v>
      </c>
      <c r="F274" s="0" t="str">
        <f aca="false">PROPER(TRIM(AM274))</f>
        <v>Consumer</v>
      </c>
      <c r="G274" s="0" t="str">
        <f aca="false">IF(TRIM(AN274)="","Unknown",PROPER(TRIM(AN274)))</f>
        <v>South</v>
      </c>
      <c r="H274" s="0" t="str">
        <f aca="false">PROPER(TRIM(AO274))</f>
        <v>Andhra Pradesh</v>
      </c>
      <c r="I274" s="0" t="str">
        <f aca="false">PROPER(TRIM(AP274))</f>
        <v>Vijayawada</v>
      </c>
      <c r="J274" s="0" t="str">
        <f aca="false">PROPER(TRIM(AQ274))</f>
        <v>Furniture</v>
      </c>
      <c r="K274" s="0" t="str">
        <f aca="false">PROPER(TRIM(AR274))</f>
        <v>Chairs</v>
      </c>
      <c r="M274" s="0" t="str">
        <f aca="false">IF(TRIM(AS274)="","Unknown",PROPER(TRIM(AS274)))</f>
        <v>First Class</v>
      </c>
      <c r="N274" s="0" t="n">
        <v>7</v>
      </c>
      <c r="O274" s="0" t="n">
        <v>557.21</v>
      </c>
      <c r="P274" s="5" t="n">
        <f aca="false">IF(AT274="","",IF(ISNUMBER(AT274),AT274,VALUE(SUBSTITUTE(AT274,"%",""))/100))</f>
        <v>0.1</v>
      </c>
      <c r="Q274" s="5" t="n">
        <f aca="false">IF(P274="",IF(AND(N274&lt;&gt;"",O274&lt;&gt;"",R274&lt;&gt;"",S274&lt;&gt;""),0,"REVIEW"),IF(OR(P274&lt;0,P274&gt;0.3),0,P274))</f>
        <v>0.1</v>
      </c>
      <c r="R274" s="0" t="n">
        <v>3510.42</v>
      </c>
      <c r="S274" s="0" t="n">
        <v>2191.5</v>
      </c>
      <c r="T274" s="6" t="n">
        <f aca="false">N274*O274*(1-Q274)</f>
        <v>3510.423</v>
      </c>
      <c r="U274" s="6" t="n">
        <f aca="false">T274-S274</f>
        <v>1318.923</v>
      </c>
      <c r="V274" s="7" t="n">
        <f aca="false">IF(T274=0,0,U274/T274)</f>
        <v>0.375716259835353</v>
      </c>
      <c r="W274" s="4" t="n">
        <f aca="false">C274-B274</f>
        <v>6</v>
      </c>
      <c r="X274" s="0" t="str">
        <f aca="false">TEXT(B274,"mmmm")</f>
        <v>August</v>
      </c>
      <c r="Y274" s="4" t="n">
        <f aca="false">YEAR(B274)</f>
        <v>2024</v>
      </c>
      <c r="Z274" s="0" t="str">
        <f aca="false">PROPER(TRIM(AU274))</f>
        <v>Paid</v>
      </c>
      <c r="AA274" s="0" t="str">
        <f aca="false">PROPER(TRIM(AV274))</f>
        <v>Completed</v>
      </c>
      <c r="AB274" s="0" t="str">
        <f aca="false">IF(TRIM(AN274)="","Yes","No")</f>
        <v>No</v>
      </c>
      <c r="AC274" s="0" t="str">
        <f aca="false">IF(TRIM(AS274)="","Yes","No")</f>
        <v>No</v>
      </c>
      <c r="AD274" s="0" t="str">
        <f aca="false">IF(AT274="","Yes","No")</f>
        <v>No</v>
      </c>
      <c r="AE274" s="0" t="str">
        <f aca="false">IF(W274&lt;0,"Yes","No")</f>
        <v>No</v>
      </c>
      <c r="AF274" s="0" t="str">
        <f aca="false">IF(P274="","No",IF(OR(P274&lt;0,P274&gt;0.3),"Yes","No"))</f>
        <v>No</v>
      </c>
      <c r="AG274" s="4" t="s">
        <v>497</v>
      </c>
      <c r="AH274" s="0" t="str">
        <f aca="false">IF(AND(AA274="Completed",Z274="Paid"),"Yes","No")</f>
        <v>Yes</v>
      </c>
      <c r="AI274" s="0" t="str">
        <f aca="false">IF(OR(AE274="Yes",AF274="Yes",AG274="Yes"),"Invalid",IF(OR(AB274="Yes",AC274="Yes",AD274="Yes"),"Warning","Clean"))</f>
        <v>Invalid</v>
      </c>
      <c r="AJ274" s="4" t="s">
        <v>1184</v>
      </c>
      <c r="AK274" s="4" t="s">
        <v>1185</v>
      </c>
      <c r="AL274" s="4" t="s">
        <v>86</v>
      </c>
      <c r="AM274" s="4" t="s">
        <v>54</v>
      </c>
      <c r="AN274" s="4" t="s">
        <v>87</v>
      </c>
      <c r="AO274" s="4" t="s">
        <v>121</v>
      </c>
      <c r="AP274" s="4" t="s">
        <v>122</v>
      </c>
      <c r="AQ274" s="4" t="s">
        <v>72</v>
      </c>
      <c r="AR274" s="4" t="s">
        <v>100</v>
      </c>
      <c r="AS274" s="4" t="s">
        <v>81</v>
      </c>
      <c r="AT274" s="0" t="n">
        <v>0.1</v>
      </c>
      <c r="AU274" s="4" t="s">
        <v>61</v>
      </c>
      <c r="AV274" s="4" t="s">
        <v>62</v>
      </c>
    </row>
    <row r="275" customFormat="false" ht="15" hidden="false" customHeight="false" outlineLevel="0" collapsed="false">
      <c r="A275" s="0" t="s">
        <v>1186</v>
      </c>
      <c r="B275" s="3" t="n">
        <f aca="false">IF(AJ275="","",IF(ISNUMBER(SEARCH("/",AJ275)),DATE(VALUE(RIGHT(AJ275,4)),VALUE(LEFT(AJ275,2)),VALUE(MID(AJ275,4,2))),IF(ISNUMBER(SEARCH("-",AJ275)),IF(LEN(LEFT(AJ275,FIND("-",AJ275)-1))=4,DATE(VALUE(LEFT(AJ275,4)),VALUE(MID(AJ275,6,2)),VALUE(RIGHT(AJ275,2))),DATE(VALUE(RIGHT(AJ275,4)),VALUE(MID(AJ275,4,2)),VALUE(LEFT(AJ275,2)))),DATE(VALUE(RIGHT(AJ275,4)),MATCH(MID(AJ275,4,3),{"Jan","Feb","Mar","Apr","May","Jun","Jul","Aug","Sep","Oct","Nov","Dec"},0),VALUE(LEFT(AJ275,2))))))</f>
        <v>45701</v>
      </c>
      <c r="C275" s="3" t="n">
        <f aca="false">IF(AK275="","",IF(ISNUMBER(SEARCH("/",AK275)),DATE(VALUE(RIGHT(AK275,4)),VALUE(LEFT(AK275,2)),VALUE(MID(AK275,4,2))),IF(ISNUMBER(SEARCH("-",AK275)),IF(LEN(LEFT(AK275,FIND("-",AK275)-1))=4,DATE(VALUE(LEFT(AK275,4)),VALUE(MID(AK275,6,2)),VALUE(RIGHT(AK275,2))),DATE(VALUE(RIGHT(AK275,4)),VALUE(MID(AK275,4,2)),VALUE(LEFT(AK275,2)))),DATE(VALUE(RIGHT(AK275,4)),MATCH(MID(AK275,4,3),{"Jan","Feb","Mar","Apr","May","Jun","Jul","Aug","Sep","Oct","Nov","Dec"},0),VALUE(LEFT(AK275,2))))))</f>
        <v>45701</v>
      </c>
      <c r="D275" s="4" t="s">
        <v>1187</v>
      </c>
      <c r="E275" s="0" t="str">
        <f aca="false">PROPER(TRIM(AL275))</f>
        <v>Isha Nair</v>
      </c>
      <c r="F275" s="0" t="str">
        <f aca="false">PROPER(TRIM(AM275))</f>
        <v>Consumer</v>
      </c>
      <c r="G275" s="0" t="str">
        <f aca="false">IF(TRIM(AN275)="","Unknown",PROPER(TRIM(AN275)))</f>
        <v>East</v>
      </c>
      <c r="H275" s="0" t="str">
        <f aca="false">PROPER(TRIM(AO275))</f>
        <v>Bihar</v>
      </c>
      <c r="I275" s="0" t="str">
        <f aca="false">PROPER(TRIM(AP275))</f>
        <v>Patna</v>
      </c>
      <c r="J275" s="0" t="str">
        <f aca="false">PROPER(TRIM(AQ275))</f>
        <v>Office Supplies</v>
      </c>
      <c r="K275" s="0" t="str">
        <f aca="false">PROPER(TRIM(AR275))</f>
        <v>Paper</v>
      </c>
      <c r="M275" s="0" t="str">
        <f aca="false">IF(TRIM(AS275)="","Unknown",PROPER(TRIM(AS275)))</f>
        <v>Second Class</v>
      </c>
      <c r="N275" s="0" t="n">
        <v>9</v>
      </c>
      <c r="O275" s="0" t="n">
        <v>2521.63</v>
      </c>
      <c r="P275" s="5" t="n">
        <f aca="false">IF(AT275="","",IF(ISNUMBER(AT275),AT275,VALUE(SUBSTITUTE(AT275,"%",""))/100))</f>
        <v>0</v>
      </c>
      <c r="Q275" s="5" t="n">
        <f aca="false">IF(P275="",IF(AND(N275&lt;&gt;"",O275&lt;&gt;"",R275&lt;&gt;"",S275&lt;&gt;""),0,"REVIEW"),IF(OR(P275&lt;0,P275&gt;0.3),0,P275))</f>
        <v>0</v>
      </c>
      <c r="R275" s="0" t="n">
        <v>22694.67</v>
      </c>
      <c r="S275" s="0" t="n">
        <v>15405.36</v>
      </c>
      <c r="T275" s="6" t="n">
        <f aca="false">N275*O275*(1-Q275)</f>
        <v>22694.67</v>
      </c>
      <c r="U275" s="6" t="n">
        <f aca="false">T275-S275</f>
        <v>7289.31</v>
      </c>
      <c r="V275" s="7" t="n">
        <f aca="false">IF(T275=0,0,U275/T275)</f>
        <v>0.321190394044064</v>
      </c>
      <c r="W275" s="4" t="n">
        <f aca="false">C275-B275</f>
        <v>0</v>
      </c>
      <c r="X275" s="0" t="str">
        <f aca="false">TEXT(B275,"mmmm")</f>
        <v>February</v>
      </c>
      <c r="Y275" s="4" t="n">
        <f aca="false">YEAR(B275)</f>
        <v>2025</v>
      </c>
      <c r="Z275" s="0" t="str">
        <f aca="false">PROPER(TRIM(AU275))</f>
        <v>Paid</v>
      </c>
      <c r="AA275" s="0" t="str">
        <f aca="false">PROPER(TRIM(AV275))</f>
        <v>Returned</v>
      </c>
      <c r="AB275" s="0" t="str">
        <f aca="false">IF(TRIM(AN275)="","Yes","No")</f>
        <v>No</v>
      </c>
      <c r="AC275" s="0" t="str">
        <f aca="false">IF(TRIM(AS275)="","Yes","No")</f>
        <v>No</v>
      </c>
      <c r="AD275" s="0" t="str">
        <f aca="false">IF(AT275="","Yes","No")</f>
        <v>No</v>
      </c>
      <c r="AE275" s="0" t="str">
        <f aca="false">IF(W275&lt;0,"Yes","No")</f>
        <v>No</v>
      </c>
      <c r="AF275" s="0" t="str">
        <f aca="false">IF(P275="","No",IF(OR(P275&lt;0,P275&gt;0.3),"Yes","No"))</f>
        <v>No</v>
      </c>
      <c r="AG275" s="4" t="s">
        <v>50</v>
      </c>
      <c r="AH275" s="0" t="str">
        <f aca="false">IF(AND(AA275="Completed",Z275="Paid"),"Yes","No")</f>
        <v>No</v>
      </c>
      <c r="AI275" s="0" t="str">
        <f aca="false">IF(OR(AE275="Yes",AF275="Yes",AG275="Yes"),"Invalid",IF(OR(AB275="Yes",AC275="Yes",AD275="Yes"),"Warning","Clean"))</f>
        <v>Clean</v>
      </c>
      <c r="AJ275" s="4" t="s">
        <v>1188</v>
      </c>
      <c r="AK275" s="4" t="s">
        <v>1189</v>
      </c>
      <c r="AL275" s="4" t="s">
        <v>79</v>
      </c>
      <c r="AM275" s="4" t="s">
        <v>54</v>
      </c>
      <c r="AN275" s="4" t="s">
        <v>69</v>
      </c>
      <c r="AO275" s="4" t="s">
        <v>196</v>
      </c>
      <c r="AP275" s="4" t="s">
        <v>197</v>
      </c>
      <c r="AQ275" s="4" t="s">
        <v>58</v>
      </c>
      <c r="AR275" s="4" t="s">
        <v>59</v>
      </c>
      <c r="AS275" s="4" t="s">
        <v>60</v>
      </c>
      <c r="AT275" s="0" t="n">
        <v>0</v>
      </c>
      <c r="AU275" s="4" t="s">
        <v>61</v>
      </c>
      <c r="AV275" s="4" t="s">
        <v>142</v>
      </c>
    </row>
    <row r="276" customFormat="false" ht="15" hidden="false" customHeight="false" outlineLevel="0" collapsed="false">
      <c r="A276" s="0" t="s">
        <v>1190</v>
      </c>
      <c r="B276" s="3" t="n">
        <f aca="false">IF(AJ276="","",IF(ISNUMBER(SEARCH("/",AJ276)),DATE(VALUE(RIGHT(AJ276,4)),VALUE(LEFT(AJ276,2)),VALUE(MID(AJ276,4,2))),IF(ISNUMBER(SEARCH("-",AJ276)),IF(LEN(LEFT(AJ276,FIND("-",AJ276)-1))=4,DATE(VALUE(LEFT(AJ276,4)),VALUE(MID(AJ276,6,2)),VALUE(RIGHT(AJ276,2))),DATE(VALUE(RIGHT(AJ276,4)),VALUE(MID(AJ276,4,2)),VALUE(LEFT(AJ276,2)))),DATE(VALUE(RIGHT(AJ276,4)),MATCH(MID(AJ276,4,3),{"Jan","Feb","Mar","Apr","May","Jun","Jul","Aug","Sep","Oct","Nov","Dec"},0),VALUE(LEFT(AJ276,2))))))</f>
        <v>45389</v>
      </c>
      <c r="C276" s="3" t="n">
        <f aca="false">IF(AK276="","",IF(ISNUMBER(SEARCH("/",AK276)),DATE(VALUE(RIGHT(AK276,4)),VALUE(LEFT(AK276,2)),VALUE(MID(AK276,4,2))),IF(ISNUMBER(SEARCH("-",AK276)),IF(LEN(LEFT(AK276,FIND("-",AK276)-1))=4,DATE(VALUE(LEFT(AK276,4)),VALUE(MID(AK276,6,2)),VALUE(RIGHT(AK276,2))),DATE(VALUE(RIGHT(AK276,4)),VALUE(MID(AK276,4,2)),VALUE(LEFT(AK276,2)))),DATE(VALUE(RIGHT(AK276,4)),MATCH(MID(AK276,4,3),{"Jan","Feb","Mar","Apr","May","Jun","Jul","Aug","Sep","Oct","Nov","Dec"},0),VALUE(LEFT(AK276,2))))))</f>
        <v>45396</v>
      </c>
      <c r="D276" s="4" t="s">
        <v>1191</v>
      </c>
      <c r="E276" s="0" t="str">
        <f aca="false">PROPER(TRIM(AL276))</f>
        <v>Rohan Mehta</v>
      </c>
      <c r="F276" s="0" t="str">
        <f aca="false">PROPER(TRIM(AM276))</f>
        <v>Consumer</v>
      </c>
      <c r="G276" s="0" t="str">
        <f aca="false">IF(TRIM(AN276)="","Unknown",PROPER(TRIM(AN276)))</f>
        <v>South</v>
      </c>
      <c r="H276" s="0" t="str">
        <f aca="false">PROPER(TRIM(AO276))</f>
        <v>Kerala</v>
      </c>
      <c r="I276" s="0" t="str">
        <f aca="false">PROPER(TRIM(AP276))</f>
        <v>Kochi</v>
      </c>
      <c r="J276" s="0" t="str">
        <f aca="false">PROPER(TRIM(AQ276))</f>
        <v>Technology</v>
      </c>
      <c r="K276" s="0" t="str">
        <f aca="false">PROPER(TRIM(AR276))</f>
        <v>Copiers</v>
      </c>
      <c r="M276" s="0" t="str">
        <f aca="false">IF(TRIM(AS276)="","Unknown",PROPER(TRIM(AS276)))</f>
        <v>Standard Class</v>
      </c>
      <c r="N276" s="0" t="n">
        <v>6</v>
      </c>
      <c r="O276" s="0" t="n">
        <v>4246.71</v>
      </c>
      <c r="P276" s="5" t="n">
        <f aca="false">IF(AT276="","",IF(ISNUMBER(AT276),AT276,VALUE(SUBSTITUTE(AT276,"%",""))/100))</f>
        <v>0.15</v>
      </c>
      <c r="Q276" s="5" t="n">
        <f aca="false">IF(P276="",IF(AND(N276&lt;&gt;"",O276&lt;&gt;"",R276&lt;&gt;"",S276&lt;&gt;""),0,"REVIEW"),IF(OR(P276&lt;0,P276&gt;0.3),0,P276))</f>
        <v>0.15</v>
      </c>
      <c r="R276" s="0" t="n">
        <v>21658.22</v>
      </c>
      <c r="S276" s="0" t="n">
        <v>15490.69</v>
      </c>
      <c r="T276" s="6" t="n">
        <f aca="false">N276*O276*(1-Q276)</f>
        <v>21658.221</v>
      </c>
      <c r="U276" s="6" t="n">
        <f aca="false">T276-S276</f>
        <v>6167.531</v>
      </c>
      <c r="V276" s="7" t="n">
        <f aca="false">IF(T276=0,0,U276/T276)</f>
        <v>0.28476627881856</v>
      </c>
      <c r="W276" s="4" t="n">
        <f aca="false">C276-B276</f>
        <v>7</v>
      </c>
      <c r="X276" s="0" t="str">
        <f aca="false">TEXT(B276,"mmmm")</f>
        <v>April</v>
      </c>
      <c r="Y276" s="4" t="n">
        <f aca="false">YEAR(B276)</f>
        <v>2024</v>
      </c>
      <c r="Z276" s="0" t="str">
        <f aca="false">PROPER(TRIM(AU276))</f>
        <v>Failed</v>
      </c>
      <c r="AA276" s="0" t="str">
        <f aca="false">PROPER(TRIM(AV276))</f>
        <v>Returned</v>
      </c>
      <c r="AB276" s="0" t="str">
        <f aca="false">IF(TRIM(AN276)="","Yes","No")</f>
        <v>No</v>
      </c>
      <c r="AC276" s="0" t="str">
        <f aca="false">IF(TRIM(AS276)="","Yes","No")</f>
        <v>No</v>
      </c>
      <c r="AD276" s="0" t="str">
        <f aca="false">IF(AT276="","Yes","No")</f>
        <v>No</v>
      </c>
      <c r="AE276" s="0" t="str">
        <f aca="false">IF(W276&lt;0,"Yes","No")</f>
        <v>No</v>
      </c>
      <c r="AF276" s="0" t="str">
        <f aca="false">IF(P276="","No",IF(OR(P276&lt;0,P276&gt;0.3),"Yes","No"))</f>
        <v>No</v>
      </c>
      <c r="AG276" s="4" t="s">
        <v>50</v>
      </c>
      <c r="AH276" s="0" t="str">
        <f aca="false">IF(AND(AA276="Completed",Z276="Paid"),"Yes","No")</f>
        <v>No</v>
      </c>
      <c r="AI276" s="0" t="str">
        <f aca="false">IF(OR(AE276="Yes",AF276="Yes",AG276="Yes"),"Invalid",IF(OR(AB276="Yes",AC276="Yes",AD276="Yes"),"Warning","Clean"))</f>
        <v>Clean</v>
      </c>
      <c r="AJ276" s="4" t="s">
        <v>1192</v>
      </c>
      <c r="AK276" s="4" t="s">
        <v>1193</v>
      </c>
      <c r="AL276" s="4" t="s">
        <v>191</v>
      </c>
      <c r="AM276" s="4" t="s">
        <v>54</v>
      </c>
      <c r="AN276" s="4" t="s">
        <v>87</v>
      </c>
      <c r="AO276" s="4" t="s">
        <v>244</v>
      </c>
      <c r="AP276" s="4" t="s">
        <v>245</v>
      </c>
      <c r="AQ276" s="4" t="s">
        <v>109</v>
      </c>
      <c r="AR276" s="4" t="s">
        <v>116</v>
      </c>
      <c r="AS276" s="4" t="s">
        <v>91</v>
      </c>
      <c r="AT276" s="0" t="n">
        <v>0.15</v>
      </c>
      <c r="AU276" s="4" t="s">
        <v>207</v>
      </c>
      <c r="AV276" s="4" t="s">
        <v>142</v>
      </c>
    </row>
    <row r="277" customFormat="false" ht="15" hidden="false" customHeight="false" outlineLevel="0" collapsed="false">
      <c r="A277" s="0" t="s">
        <v>1194</v>
      </c>
      <c r="B277" s="3" t="n">
        <f aca="false">IF(AJ277="","",IF(ISNUMBER(SEARCH("/",AJ277)),DATE(VALUE(RIGHT(AJ277,4)),VALUE(LEFT(AJ277,2)),VALUE(MID(AJ277,4,2))),IF(ISNUMBER(SEARCH("-",AJ277)),IF(LEN(LEFT(AJ277,FIND("-",AJ277)-1))=4,DATE(VALUE(LEFT(AJ277,4)),VALUE(MID(AJ277,6,2)),VALUE(RIGHT(AJ277,2))),DATE(VALUE(RIGHT(AJ277,4)),VALUE(MID(AJ277,4,2)),VALUE(LEFT(AJ277,2)))),DATE(VALUE(RIGHT(AJ277,4)),MATCH(MID(AJ277,4,3),{"Jan","Feb","Mar","Apr","May","Jun","Jul","Aug","Sep","Oct","Nov","Dec"},0),VALUE(LEFT(AJ277,2))))))</f>
        <v>45337</v>
      </c>
      <c r="C277" s="3" t="n">
        <f aca="false">IF(AK277="","",IF(ISNUMBER(SEARCH("/",AK277)),DATE(VALUE(RIGHT(AK277,4)),VALUE(LEFT(AK277,2)),VALUE(MID(AK277,4,2))),IF(ISNUMBER(SEARCH("-",AK277)),IF(LEN(LEFT(AK277,FIND("-",AK277)-1))=4,DATE(VALUE(LEFT(AK277,4)),VALUE(MID(AK277,6,2)),VALUE(RIGHT(AK277,2))),DATE(VALUE(RIGHT(AK277,4)),VALUE(MID(AK277,4,2)),VALUE(LEFT(AK277,2)))),DATE(VALUE(RIGHT(AK277,4)),MATCH(MID(AK277,4,3),{"Jan","Feb","Mar","Apr","May","Jun","Jul","Aug","Sep","Oct","Nov","Dec"},0),VALUE(LEFT(AK277,2))))))</f>
        <v>45344</v>
      </c>
      <c r="D277" s="4" t="s">
        <v>1195</v>
      </c>
      <c r="E277" s="0" t="str">
        <f aca="false">PROPER(TRIM(AL277))</f>
        <v>Priya Menon</v>
      </c>
      <c r="F277" s="0" t="str">
        <f aca="false">PROPER(TRIM(AM277))</f>
        <v>Small Business</v>
      </c>
      <c r="G277" s="0" t="str">
        <f aca="false">IF(TRIM(AN277)="","Unknown",PROPER(TRIM(AN277)))</f>
        <v>East</v>
      </c>
      <c r="H277" s="0" t="str">
        <f aca="false">PROPER(TRIM(AO277))</f>
        <v>West Bengal</v>
      </c>
      <c r="I277" s="0" t="str">
        <f aca="false">PROPER(TRIM(AP277))</f>
        <v>Kolkata</v>
      </c>
      <c r="J277" s="0" t="str">
        <f aca="false">PROPER(TRIM(AQ277))</f>
        <v>Furniture</v>
      </c>
      <c r="K277" s="0" t="str">
        <f aca="false">PROPER(TRIM(AR277))</f>
        <v>Furnishings</v>
      </c>
      <c r="M277" s="0" t="str">
        <f aca="false">IF(TRIM(AS277)="","Unknown",PROPER(TRIM(AS277)))</f>
        <v>Same Day</v>
      </c>
      <c r="N277" s="0" t="n">
        <v>1</v>
      </c>
      <c r="O277" s="0" t="n">
        <v>980.51</v>
      </c>
      <c r="P277" s="5" t="n">
        <f aca="false">IF(AT277="","",IF(ISNUMBER(AT277),AT277,VALUE(SUBSTITUTE(AT277,"%",""))/100))</f>
        <v>0</v>
      </c>
      <c r="Q277" s="5" t="n">
        <f aca="false">IF(P277="",IF(AND(N277&lt;&gt;"",O277&lt;&gt;"",R277&lt;&gt;"",S277&lt;&gt;""),0,"REVIEW"),IF(OR(P277&lt;0,P277&gt;0.3),0,P277))</f>
        <v>0</v>
      </c>
      <c r="R277" s="0" t="n">
        <v>980.51</v>
      </c>
      <c r="S277" s="0" t="n">
        <v>660.92</v>
      </c>
      <c r="T277" s="6" t="n">
        <f aca="false">N277*O277*(1-Q277)</f>
        <v>980.51</v>
      </c>
      <c r="U277" s="6" t="n">
        <f aca="false">T277-S277</f>
        <v>319.59</v>
      </c>
      <c r="V277" s="7" t="n">
        <f aca="false">IF(T277=0,0,U277/T277)</f>
        <v>0.325942621696872</v>
      </c>
      <c r="W277" s="4" t="n">
        <f aca="false">C277-B277</f>
        <v>7</v>
      </c>
      <c r="X277" s="0" t="str">
        <f aca="false">TEXT(B277,"mmmm")</f>
        <v>February</v>
      </c>
      <c r="Y277" s="4" t="n">
        <f aca="false">YEAR(B277)</f>
        <v>2024</v>
      </c>
      <c r="Z277" s="0" t="str">
        <f aca="false">PROPER(TRIM(AU277))</f>
        <v>Paid</v>
      </c>
      <c r="AA277" s="0" t="str">
        <f aca="false">PROPER(TRIM(AV277))</f>
        <v>Completed</v>
      </c>
      <c r="AB277" s="0" t="str">
        <f aca="false">IF(TRIM(AN277)="","Yes","No")</f>
        <v>No</v>
      </c>
      <c r="AC277" s="0" t="str">
        <f aca="false">IF(TRIM(AS277)="","Yes","No")</f>
        <v>No</v>
      </c>
      <c r="AD277" s="0" t="str">
        <f aca="false">IF(AT277="","Yes","No")</f>
        <v>No</v>
      </c>
      <c r="AE277" s="0" t="str">
        <f aca="false">IF(W277&lt;0,"Yes","No")</f>
        <v>No</v>
      </c>
      <c r="AF277" s="0" t="str">
        <f aca="false">IF(P277="","No",IF(OR(P277&lt;0,P277&gt;0.3),"Yes","No"))</f>
        <v>No</v>
      </c>
      <c r="AG277" s="4" t="s">
        <v>50</v>
      </c>
      <c r="AH277" s="0" t="str">
        <f aca="false">IF(AND(AA277="Completed",Z277="Paid"),"Yes","No")</f>
        <v>Yes</v>
      </c>
      <c r="AI277" s="0" t="str">
        <f aca="false">IF(OR(AE277="Yes",AF277="Yes",AG277="Yes"),"Invalid",IF(OR(AB277="Yes",AC277="Yes",AD277="Yes"),"Warning","Clean"))</f>
        <v>Clean</v>
      </c>
      <c r="AJ277" s="4" t="s">
        <v>600</v>
      </c>
      <c r="AK277" s="4" t="s">
        <v>1196</v>
      </c>
      <c r="AL277" s="4" t="s">
        <v>158</v>
      </c>
      <c r="AM277" s="4" t="s">
        <v>68</v>
      </c>
      <c r="AN277" s="4" t="s">
        <v>69</v>
      </c>
      <c r="AO277" s="4" t="s">
        <v>139</v>
      </c>
      <c r="AP277" s="4" t="s">
        <v>140</v>
      </c>
      <c r="AQ277" s="4" t="s">
        <v>72</v>
      </c>
      <c r="AR277" s="4" t="s">
        <v>90</v>
      </c>
      <c r="AS277" s="4" t="s">
        <v>74</v>
      </c>
      <c r="AT277" s="0" t="n">
        <v>0</v>
      </c>
      <c r="AU277" s="4" t="s">
        <v>61</v>
      </c>
      <c r="AV277" s="4" t="s">
        <v>62</v>
      </c>
    </row>
    <row r="278" customFormat="false" ht="15" hidden="false" customHeight="false" outlineLevel="0" collapsed="false">
      <c r="A278" s="0" t="s">
        <v>1197</v>
      </c>
      <c r="B278" s="3" t="n">
        <f aca="false">IF(AJ278="","",IF(ISNUMBER(SEARCH("/",AJ278)),DATE(VALUE(RIGHT(AJ278,4)),VALUE(LEFT(AJ278,2)),VALUE(MID(AJ278,4,2))),IF(ISNUMBER(SEARCH("-",AJ278)),IF(LEN(LEFT(AJ278,FIND("-",AJ278)-1))=4,DATE(VALUE(LEFT(AJ278,4)),VALUE(MID(AJ278,6,2)),VALUE(RIGHT(AJ278,2))),DATE(VALUE(RIGHT(AJ278,4)),VALUE(MID(AJ278,4,2)),VALUE(LEFT(AJ278,2)))),DATE(VALUE(RIGHT(AJ278,4)),MATCH(MID(AJ278,4,3),{"Jan","Feb","Mar","Apr","May","Jun","Jul","Aug","Sep","Oct","Nov","Dec"},0),VALUE(LEFT(AJ278,2))))))</f>
        <v>45313</v>
      </c>
      <c r="C278" s="3" t="n">
        <f aca="false">IF(AK278="","",IF(ISNUMBER(SEARCH("/",AK278)),DATE(VALUE(RIGHT(AK278,4)),VALUE(LEFT(AK278,2)),VALUE(MID(AK278,4,2))),IF(ISNUMBER(SEARCH("-",AK278)),IF(LEN(LEFT(AK278,FIND("-",AK278)-1))=4,DATE(VALUE(LEFT(AK278,4)),VALUE(MID(AK278,6,2)),VALUE(RIGHT(AK278,2))),DATE(VALUE(RIGHT(AK278,4)),VALUE(MID(AK278,4,2)),VALUE(LEFT(AK278,2)))),DATE(VALUE(RIGHT(AK278,4)),MATCH(MID(AK278,4,3),{"Jan","Feb","Mar","Apr","May","Jun","Jul","Aug","Sep","Oct","Nov","Dec"},0),VALUE(LEFT(AK278,2))))))</f>
        <v>45314</v>
      </c>
      <c r="D278" s="4" t="s">
        <v>1198</v>
      </c>
      <c r="E278" s="0" t="str">
        <f aca="false">PROPER(TRIM(AL278))</f>
        <v>Aarav Sharma</v>
      </c>
      <c r="F278" s="0" t="str">
        <f aca="false">PROPER(TRIM(AM278))</f>
        <v>Small Business</v>
      </c>
      <c r="G278" s="0" t="str">
        <f aca="false">IF(TRIM(AN278)="","Unknown",PROPER(TRIM(AN278)))</f>
        <v>Unknown</v>
      </c>
      <c r="H278" s="0" t="str">
        <f aca="false">PROPER(TRIM(AO278))</f>
        <v>Assam</v>
      </c>
      <c r="I278" s="0" t="str">
        <f aca="false">PROPER(TRIM(AP278))</f>
        <v>Guwahati</v>
      </c>
      <c r="J278" s="0" t="str">
        <f aca="false">PROPER(TRIM(AQ278))</f>
        <v>Furniture</v>
      </c>
      <c r="K278" s="0" t="str">
        <f aca="false">PROPER(TRIM(AR278))</f>
        <v>Chairs</v>
      </c>
      <c r="M278" s="0" t="str">
        <f aca="false">IF(TRIM(AS278)="","Unknown",PROPER(TRIM(AS278)))</f>
        <v>Second Class</v>
      </c>
      <c r="N278" s="0" t="n">
        <v>6</v>
      </c>
      <c r="O278" s="0" t="n">
        <v>3391.53</v>
      </c>
      <c r="P278" s="5" t="n">
        <f aca="false">IF(AT278="","",IF(ISNUMBER(AT278),AT278,VALUE(SUBSTITUTE(AT278,"%",""))/100))</f>
        <v>-0.14</v>
      </c>
      <c r="Q278" s="5" t="n">
        <f aca="false">IF(P278="",IF(AND(N278&lt;&gt;"",O278&lt;&gt;"",R278&lt;&gt;"",S278&lt;&gt;""),0,"REVIEW"),IF(OR(P278&lt;0,P278&gt;0.3),0,P278))</f>
        <v>0</v>
      </c>
      <c r="R278" s="0" t="n">
        <v>15261.89</v>
      </c>
      <c r="S278" s="0" t="n">
        <v>8413.53</v>
      </c>
      <c r="T278" s="6" t="n">
        <f aca="false">N278*O278*(1-Q278)</f>
        <v>20349.18</v>
      </c>
      <c r="U278" s="6" t="n">
        <f aca="false">T278-S278</f>
        <v>11935.65</v>
      </c>
      <c r="V278" s="7" t="n">
        <f aca="false">IF(T278=0,0,U278/T278)</f>
        <v>0.586542062137148</v>
      </c>
      <c r="W278" s="4" t="n">
        <f aca="false">C278-B278</f>
        <v>1</v>
      </c>
      <c r="X278" s="0" t="str">
        <f aca="false">TEXT(B278,"mmmm")</f>
        <v>January</v>
      </c>
      <c r="Y278" s="4" t="n">
        <f aca="false">YEAR(B278)</f>
        <v>2024</v>
      </c>
      <c r="Z278" s="0" t="str">
        <f aca="false">PROPER(TRIM(AU278))</f>
        <v>Paid</v>
      </c>
      <c r="AA278" s="0" t="str">
        <f aca="false">PROPER(TRIM(AV278))</f>
        <v>Completed</v>
      </c>
      <c r="AB278" s="0" t="str">
        <f aca="false">IF(TRIM(AN278)="","Yes","No")</f>
        <v>Yes</v>
      </c>
      <c r="AC278" s="0" t="str">
        <f aca="false">IF(TRIM(AS278)="","Yes","No")</f>
        <v>No</v>
      </c>
      <c r="AD278" s="0" t="str">
        <f aca="false">IF(AT278="","Yes","No")</f>
        <v>No</v>
      </c>
      <c r="AE278" s="0" t="str">
        <f aca="false">IF(W278&lt;0,"Yes","No")</f>
        <v>No</v>
      </c>
      <c r="AF278" s="0" t="str">
        <f aca="false">IF(P278="","No",IF(OR(P278&lt;0,P278&gt;0.3),"Yes","No"))</f>
        <v>Yes</v>
      </c>
      <c r="AG278" s="4" t="s">
        <v>50</v>
      </c>
      <c r="AH278" s="0" t="str">
        <f aca="false">IF(AND(AA278="Completed",Z278="Paid"),"Yes","No")</f>
        <v>Yes</v>
      </c>
      <c r="AI278" s="0" t="str">
        <f aca="false">IF(OR(AE278="Yes",AF278="Yes",AG278="Yes"),"Invalid",IF(OR(AB278="Yes",AC278="Yes",AD278="Yes"),"Warning","Clean"))</f>
        <v>Invalid</v>
      </c>
      <c r="AJ278" s="4" t="s">
        <v>906</v>
      </c>
      <c r="AK278" s="4" t="s">
        <v>1199</v>
      </c>
      <c r="AL278" s="4" t="s">
        <v>176</v>
      </c>
      <c r="AM278" s="4" t="s">
        <v>68</v>
      </c>
      <c r="AO278" s="4" t="s">
        <v>221</v>
      </c>
      <c r="AP278" s="4" t="s">
        <v>222</v>
      </c>
      <c r="AQ278" s="4" t="s">
        <v>72</v>
      </c>
      <c r="AR278" s="4" t="s">
        <v>100</v>
      </c>
      <c r="AS278" s="4" t="s">
        <v>60</v>
      </c>
      <c r="AT278" s="0" t="n">
        <v>-0.14</v>
      </c>
      <c r="AU278" s="4" t="s">
        <v>61</v>
      </c>
      <c r="AV278" s="4" t="s">
        <v>62</v>
      </c>
    </row>
    <row r="279" customFormat="false" ht="15" hidden="false" customHeight="false" outlineLevel="0" collapsed="false">
      <c r="A279" s="0" t="s">
        <v>1200</v>
      </c>
      <c r="B279" s="3" t="n">
        <f aca="false">IF(AJ279="","",IF(ISNUMBER(SEARCH("/",AJ279)),DATE(VALUE(RIGHT(AJ279,4)),VALUE(LEFT(AJ279,2)),VALUE(MID(AJ279,4,2))),IF(ISNUMBER(SEARCH("-",AJ279)),IF(LEN(LEFT(AJ279,FIND("-",AJ279)-1))=4,DATE(VALUE(LEFT(AJ279,4)),VALUE(MID(AJ279,6,2)),VALUE(RIGHT(AJ279,2))),DATE(VALUE(RIGHT(AJ279,4)),VALUE(MID(AJ279,4,2)),VALUE(LEFT(AJ279,2)))),DATE(VALUE(RIGHT(AJ279,4)),MATCH(MID(AJ279,4,3),{"Jan","Feb","Mar","Apr","May","Jun","Jul","Aug","Sep","Oct","Nov","Dec"},0),VALUE(LEFT(AJ279,2))))))</f>
        <v>45812</v>
      </c>
      <c r="C279" s="3" t="n">
        <f aca="false">IF(AK279="","",IF(ISNUMBER(SEARCH("/",AK279)),DATE(VALUE(RIGHT(AK279,4)),VALUE(LEFT(AK279,2)),VALUE(MID(AK279,4,2))),IF(ISNUMBER(SEARCH("-",AK279)),IF(LEN(LEFT(AK279,FIND("-",AK279)-1))=4,DATE(VALUE(LEFT(AK279,4)),VALUE(MID(AK279,6,2)),VALUE(RIGHT(AK279,2))),DATE(VALUE(RIGHT(AK279,4)),VALUE(MID(AK279,4,2)),VALUE(LEFT(AK279,2)))),DATE(VALUE(RIGHT(AK279,4)),MATCH(MID(AK279,4,3),{"Jan","Feb","Mar","Apr","May","Jun","Jul","Aug","Sep","Oct","Nov","Dec"},0),VALUE(LEFT(AK279,2))))))</f>
        <v>45812</v>
      </c>
      <c r="D279" s="4" t="s">
        <v>1022</v>
      </c>
      <c r="E279" s="0" t="str">
        <f aca="false">PROPER(TRIM(AL279))</f>
        <v>Isha Nair</v>
      </c>
      <c r="F279" s="0" t="str">
        <f aca="false">PROPER(TRIM(AM279))</f>
        <v>Corporate</v>
      </c>
      <c r="G279" s="0" t="str">
        <f aca="false">IF(TRIM(AN279)="","Unknown",PROPER(TRIM(AN279)))</f>
        <v>North</v>
      </c>
      <c r="H279" s="0" t="str">
        <f aca="false">PROPER(TRIM(AO279))</f>
        <v>Haryana</v>
      </c>
      <c r="I279" s="0" t="str">
        <f aca="false">PROPER(TRIM(AP279))</f>
        <v>Gurugram</v>
      </c>
      <c r="J279" s="0" t="str">
        <f aca="false">PROPER(TRIM(AQ279))</f>
        <v>Technology</v>
      </c>
      <c r="K279" s="0" t="str">
        <f aca="false">PROPER(TRIM(AR279))</f>
        <v>Accessories</v>
      </c>
      <c r="M279" s="0" t="str">
        <f aca="false">IF(TRIM(AS279)="","Unknown",PROPER(TRIM(AS279)))</f>
        <v>Second Class</v>
      </c>
      <c r="N279" s="0" t="n">
        <v>1</v>
      </c>
      <c r="O279" s="0" t="n">
        <v>2133.73</v>
      </c>
      <c r="P279" s="5" t="n">
        <f aca="false">IF(AT279="","",IF(ISNUMBER(AT279),AT279,VALUE(SUBSTITUTE(AT279,"%",""))/100))</f>
        <v>0.15</v>
      </c>
      <c r="Q279" s="5" t="n">
        <f aca="false">IF(P279="",IF(AND(N279&lt;&gt;"",O279&lt;&gt;"",R279&lt;&gt;"",S279&lt;&gt;""),0,"REVIEW"),IF(OR(P279&lt;0,P279&gt;0.3),0,P279))</f>
        <v>0.15</v>
      </c>
      <c r="R279" s="0" t="n">
        <v>2008.39</v>
      </c>
      <c r="S279" s="0" t="n">
        <v>1002.57</v>
      </c>
      <c r="T279" s="6" t="n">
        <f aca="false">N279*O279*(1-Q279)</f>
        <v>1813.6705</v>
      </c>
      <c r="U279" s="6" t="n">
        <f aca="false">T279-S279</f>
        <v>811.1005</v>
      </c>
      <c r="V279" s="7" t="n">
        <f aca="false">IF(T279=0,0,U279/T279)</f>
        <v>0.447214915829529</v>
      </c>
      <c r="W279" s="4" t="n">
        <f aca="false">C279-B279</f>
        <v>0</v>
      </c>
      <c r="X279" s="0" t="str">
        <f aca="false">TEXT(B279,"mmmm")</f>
        <v>June</v>
      </c>
      <c r="Y279" s="4" t="n">
        <f aca="false">YEAR(B279)</f>
        <v>2025</v>
      </c>
      <c r="Z279" s="0" t="str">
        <f aca="false">PROPER(TRIM(AU279))</f>
        <v>Pending</v>
      </c>
      <c r="AA279" s="0" t="str">
        <f aca="false">PROPER(TRIM(AV279))</f>
        <v>Cancelled</v>
      </c>
      <c r="AB279" s="0" t="str">
        <f aca="false">IF(TRIM(AN279)="","Yes","No")</f>
        <v>No</v>
      </c>
      <c r="AC279" s="0" t="str">
        <f aca="false">IF(TRIM(AS279)="","Yes","No")</f>
        <v>No</v>
      </c>
      <c r="AD279" s="0" t="str">
        <f aca="false">IF(AT279="","Yes","No")</f>
        <v>No</v>
      </c>
      <c r="AE279" s="0" t="str">
        <f aca="false">IF(W279&lt;0,"Yes","No")</f>
        <v>No</v>
      </c>
      <c r="AF279" s="0" t="str">
        <f aca="false">IF(P279="","No",IF(OR(P279&lt;0,P279&gt;0.3),"Yes","No"))</f>
        <v>No</v>
      </c>
      <c r="AG279" s="4" t="s">
        <v>50</v>
      </c>
      <c r="AH279" s="0" t="str">
        <f aca="false">IF(AND(AA279="Completed",Z279="Paid"),"Yes","No")</f>
        <v>No</v>
      </c>
      <c r="AI279" s="0" t="str">
        <f aca="false">IF(OR(AE279="Yes",AF279="Yes",AG279="Yes"),"Invalid",IF(OR(AB279="Yes",AC279="Yes",AD279="Yes"),"Warning","Clean"))</f>
        <v>Clean</v>
      </c>
      <c r="AJ279" s="4" t="s">
        <v>1201</v>
      </c>
      <c r="AK279" s="4" t="s">
        <v>1201</v>
      </c>
      <c r="AL279" s="4" t="s">
        <v>79</v>
      </c>
      <c r="AM279" s="4" t="s">
        <v>128</v>
      </c>
      <c r="AN279" s="4" t="s">
        <v>168</v>
      </c>
      <c r="AO279" s="4" t="s">
        <v>310</v>
      </c>
      <c r="AP279" s="4" t="s">
        <v>311</v>
      </c>
      <c r="AQ279" s="4" t="s">
        <v>109</v>
      </c>
      <c r="AR279" s="4" t="s">
        <v>110</v>
      </c>
      <c r="AS279" s="4" t="s">
        <v>60</v>
      </c>
      <c r="AT279" s="0" t="n">
        <v>0.15</v>
      </c>
      <c r="AU279" s="4" t="s">
        <v>153</v>
      </c>
      <c r="AV279" s="4" t="s">
        <v>101</v>
      </c>
    </row>
    <row r="280" customFormat="false" ht="15" hidden="false" customHeight="false" outlineLevel="0" collapsed="false">
      <c r="A280" s="0" t="s">
        <v>1202</v>
      </c>
      <c r="B280" s="3" t="n">
        <f aca="false">IF(AJ280="","",IF(ISNUMBER(SEARCH("/",AJ280)),DATE(VALUE(RIGHT(AJ280,4)),VALUE(LEFT(AJ280,2)),VALUE(MID(AJ280,4,2))),IF(ISNUMBER(SEARCH("-",AJ280)),IF(LEN(LEFT(AJ280,FIND("-",AJ280)-1))=4,DATE(VALUE(LEFT(AJ280,4)),VALUE(MID(AJ280,6,2)),VALUE(RIGHT(AJ280,2))),DATE(VALUE(RIGHT(AJ280,4)),VALUE(MID(AJ280,4,2)),VALUE(LEFT(AJ280,2)))),DATE(VALUE(RIGHT(AJ280,4)),MATCH(MID(AJ280,4,3),{"Jan","Feb","Mar","Apr","May","Jun","Jul","Aug","Sep","Oct","Nov","Dec"},0),VALUE(LEFT(AJ280,2))))))</f>
        <v>45723</v>
      </c>
      <c r="C280" s="3" t="n">
        <f aca="false">IF(AK280="","",IF(ISNUMBER(SEARCH("/",AK280)),DATE(VALUE(RIGHT(AK280,4)),VALUE(LEFT(AK280,2)),VALUE(MID(AK280,4,2))),IF(ISNUMBER(SEARCH("-",AK280)),IF(LEN(LEFT(AK280,FIND("-",AK280)-1))=4,DATE(VALUE(LEFT(AK280,4)),VALUE(MID(AK280,6,2)),VALUE(RIGHT(AK280,2))),DATE(VALUE(RIGHT(AK280,4)),VALUE(MID(AK280,4,2)),VALUE(LEFT(AK280,2)))),DATE(VALUE(RIGHT(AK280,4)),MATCH(MID(AK280,4,3),{"Jan","Feb","Mar","Apr","May","Jun","Jul","Aug","Sep","Oct","Nov","Dec"},0),VALUE(LEFT(AK280,2))))))</f>
        <v>45730</v>
      </c>
      <c r="D280" s="4" t="s">
        <v>1203</v>
      </c>
      <c r="E280" s="0" t="str">
        <f aca="false">PROPER(TRIM(AL280))</f>
        <v>Priya Menon</v>
      </c>
      <c r="F280" s="0" t="str">
        <f aca="false">PROPER(TRIM(AM280))</f>
        <v>Small Business</v>
      </c>
      <c r="G280" s="0" t="str">
        <f aca="false">IF(TRIM(AN280)="","Unknown",PROPER(TRIM(AN280)))</f>
        <v>North</v>
      </c>
      <c r="H280" s="0" t="str">
        <f aca="false">PROPER(TRIM(AO280))</f>
        <v>Delhi</v>
      </c>
      <c r="I280" s="0" t="str">
        <f aca="false">PROPER(TRIM(AP280))</f>
        <v>New Delhi</v>
      </c>
      <c r="J280" s="0" t="str">
        <f aca="false">PROPER(TRIM(AQ280))</f>
        <v>Technology</v>
      </c>
      <c r="K280" s="0" t="str">
        <f aca="false">PROPER(TRIM(AR280))</f>
        <v>Accessories</v>
      </c>
      <c r="M280" s="0" t="str">
        <f aca="false">IF(TRIM(AS280)="","Unknown",PROPER(TRIM(AS280)))</f>
        <v>Same Day</v>
      </c>
      <c r="N280" s="0" t="n">
        <v>1</v>
      </c>
      <c r="O280" s="0" t="n">
        <v>3979.64</v>
      </c>
      <c r="P280" s="5" t="n">
        <f aca="false">IF(AT280="","",IF(ISNUMBER(AT280),AT280,VALUE(SUBSTITUTE(AT280,"%",""))/100))</f>
        <v>0.05</v>
      </c>
      <c r="Q280" s="5" t="n">
        <f aca="false">IF(P280="",IF(AND(N280&lt;&gt;"",O280&lt;&gt;"",R280&lt;&gt;"",S280&lt;&gt;""),0,"REVIEW"),IF(OR(P280&lt;0,P280&gt;0.3),0,P280))</f>
        <v>0.05</v>
      </c>
      <c r="R280" s="0" t="n">
        <v>3780.66</v>
      </c>
      <c r="S280" s="0" t="n">
        <v>2148.31</v>
      </c>
      <c r="T280" s="6" t="n">
        <f aca="false">N280*O280*(1-Q280)</f>
        <v>3780.658</v>
      </c>
      <c r="U280" s="6" t="n">
        <f aca="false">T280-S280</f>
        <v>1632.348</v>
      </c>
      <c r="V280" s="7" t="n">
        <f aca="false">IF(T280=0,0,U280/T280)</f>
        <v>0.431762936504704</v>
      </c>
      <c r="W280" s="4" t="n">
        <f aca="false">C280-B280</f>
        <v>7</v>
      </c>
      <c r="X280" s="0" t="str">
        <f aca="false">TEXT(B280,"mmmm")</f>
        <v>March</v>
      </c>
      <c r="Y280" s="4" t="n">
        <f aca="false">YEAR(B280)</f>
        <v>2025</v>
      </c>
      <c r="Z280" s="0" t="str">
        <f aca="false">PROPER(TRIM(AU280))</f>
        <v>Paid</v>
      </c>
      <c r="AA280" s="0" t="str">
        <f aca="false">PROPER(TRIM(AV280))</f>
        <v>Returned</v>
      </c>
      <c r="AB280" s="0" t="str">
        <f aca="false">IF(TRIM(AN280)="","Yes","No")</f>
        <v>No</v>
      </c>
      <c r="AC280" s="0" t="str">
        <f aca="false">IF(TRIM(AS280)="","Yes","No")</f>
        <v>No</v>
      </c>
      <c r="AD280" s="0" t="str">
        <f aca="false">IF(AT280="","Yes","No")</f>
        <v>No</v>
      </c>
      <c r="AE280" s="0" t="str">
        <f aca="false">IF(W280&lt;0,"Yes","No")</f>
        <v>No</v>
      </c>
      <c r="AF280" s="0" t="str">
        <f aca="false">IF(P280="","No",IF(OR(P280&lt;0,P280&gt;0.3),"Yes","No"))</f>
        <v>No</v>
      </c>
      <c r="AG280" s="4" t="s">
        <v>50</v>
      </c>
      <c r="AH280" s="0" t="str">
        <f aca="false">IF(AND(AA280="Completed",Z280="Paid"),"Yes","No")</f>
        <v>No</v>
      </c>
      <c r="AI280" s="0" t="str">
        <f aca="false">IF(OR(AE280="Yes",AF280="Yes",AG280="Yes"),"Invalid",IF(OR(AB280="Yes",AC280="Yes",AD280="Yes"),"Warning","Clean"))</f>
        <v>Clean</v>
      </c>
      <c r="AJ280" s="4" t="s">
        <v>691</v>
      </c>
      <c r="AK280" s="4" t="s">
        <v>1204</v>
      </c>
      <c r="AL280" s="4" t="s">
        <v>1205</v>
      </c>
      <c r="AM280" s="4" t="s">
        <v>68</v>
      </c>
      <c r="AN280" s="4" t="s">
        <v>168</v>
      </c>
      <c r="AO280" s="4" t="s">
        <v>461</v>
      </c>
      <c r="AP280" s="4" t="s">
        <v>462</v>
      </c>
      <c r="AQ280" s="4" t="s">
        <v>109</v>
      </c>
      <c r="AR280" s="4" t="s">
        <v>110</v>
      </c>
      <c r="AS280" s="4" t="s">
        <v>74</v>
      </c>
      <c r="AT280" s="0" t="n">
        <v>0.05</v>
      </c>
      <c r="AU280" s="4" t="s">
        <v>61</v>
      </c>
      <c r="AV280" s="4" t="s">
        <v>142</v>
      </c>
    </row>
    <row r="281" customFormat="false" ht="15" hidden="false" customHeight="false" outlineLevel="0" collapsed="false">
      <c r="A281" s="0" t="s">
        <v>1206</v>
      </c>
      <c r="B281" s="3" t="n">
        <f aca="false">IF(AJ281="","",IF(ISNUMBER(SEARCH("/",AJ281)),DATE(VALUE(RIGHT(AJ281,4)),VALUE(LEFT(AJ281,2)),VALUE(MID(AJ281,4,2))),IF(ISNUMBER(SEARCH("-",AJ281)),IF(LEN(LEFT(AJ281,FIND("-",AJ281)-1))=4,DATE(VALUE(LEFT(AJ281,4)),VALUE(MID(AJ281,6,2)),VALUE(RIGHT(AJ281,2))),DATE(VALUE(RIGHT(AJ281,4)),VALUE(MID(AJ281,4,2)),VALUE(LEFT(AJ281,2)))),DATE(VALUE(RIGHT(AJ281,4)),MATCH(MID(AJ281,4,3),{"Jan","Feb","Mar","Apr","May","Jun","Jul","Aug","Sep","Oct","Nov","Dec"},0),VALUE(LEFT(AJ281,2))))))</f>
        <v>45391</v>
      </c>
      <c r="C281" s="3" t="n">
        <f aca="false">IF(AK281="","",IF(ISNUMBER(SEARCH("/",AK281)),DATE(VALUE(RIGHT(AK281,4)),VALUE(LEFT(AK281,2)),VALUE(MID(AK281,4,2))),IF(ISNUMBER(SEARCH("-",AK281)),IF(LEN(LEFT(AK281,FIND("-",AK281)-1))=4,DATE(VALUE(LEFT(AK281,4)),VALUE(MID(AK281,6,2)),VALUE(RIGHT(AK281,2))),DATE(VALUE(RIGHT(AK281,4)),VALUE(MID(AK281,4,2)),VALUE(LEFT(AK281,2)))),DATE(VALUE(RIGHT(AK281,4)),MATCH(MID(AK281,4,3),{"Jan","Feb","Mar","Apr","May","Jun","Jul","Aug","Sep","Oct","Nov","Dec"},0),VALUE(LEFT(AK281,2))))))</f>
        <v>45392</v>
      </c>
      <c r="D281" s="4" t="s">
        <v>1207</v>
      </c>
      <c r="E281" s="0" t="str">
        <f aca="false">PROPER(TRIM(AL281))</f>
        <v>Rohan Mehta</v>
      </c>
      <c r="F281" s="0" t="str">
        <f aca="false">PROPER(TRIM(AM281))</f>
        <v>Small Business</v>
      </c>
      <c r="G281" s="0" t="str">
        <f aca="false">IF(TRIM(AN281)="","Unknown",PROPER(TRIM(AN281)))</f>
        <v>West</v>
      </c>
      <c r="H281" s="0" t="str">
        <f aca="false">PROPER(TRIM(AO281))</f>
        <v>Maharashtra</v>
      </c>
      <c r="I281" s="0" t="str">
        <f aca="false">PROPER(TRIM(AP281))</f>
        <v>Mumbai</v>
      </c>
      <c r="J281" s="0" t="str">
        <f aca="false">PROPER(TRIM(AQ281))</f>
        <v>Office Supplies</v>
      </c>
      <c r="K281" s="0" t="str">
        <f aca="false">PROPER(TRIM(AR281))</f>
        <v>Storage</v>
      </c>
      <c r="M281" s="0" t="str">
        <f aca="false">IF(TRIM(AS281)="","Unknown",PROPER(TRIM(AS281)))</f>
        <v>First Class</v>
      </c>
      <c r="N281" s="0" t="n">
        <v>1</v>
      </c>
      <c r="O281" s="0" t="n">
        <v>4359.12</v>
      </c>
      <c r="P281" s="5" t="n">
        <f aca="false">IF(AT281="","",IF(ISNUMBER(AT281),AT281,VALUE(SUBSTITUTE(AT281,"%",""))/100))</f>
        <v>0.05</v>
      </c>
      <c r="Q281" s="5" t="n">
        <f aca="false">IF(P281="",IF(AND(N281&lt;&gt;"",O281&lt;&gt;"",R281&lt;&gt;"",S281&lt;&gt;""),0,"REVIEW"),IF(OR(P281&lt;0,P281&gt;0.3),0,P281))</f>
        <v>0.05</v>
      </c>
      <c r="R281" s="0" t="n">
        <v>4141.16</v>
      </c>
      <c r="S281" s="0" t="n">
        <v>2754.17</v>
      </c>
      <c r="T281" s="6" t="n">
        <f aca="false">N281*O281*(1-Q281)</f>
        <v>4141.164</v>
      </c>
      <c r="U281" s="6" t="n">
        <f aca="false">T281-S281</f>
        <v>1386.994</v>
      </c>
      <c r="V281" s="7" t="n">
        <f aca="false">IF(T281=0,0,U281/T281)</f>
        <v>0.334928537000708</v>
      </c>
      <c r="W281" s="4" t="n">
        <f aca="false">C281-B281</f>
        <v>1</v>
      </c>
      <c r="X281" s="0" t="str">
        <f aca="false">TEXT(B281,"mmmm")</f>
        <v>April</v>
      </c>
      <c r="Y281" s="4" t="n">
        <f aca="false">YEAR(B281)</f>
        <v>2024</v>
      </c>
      <c r="Z281" s="0" t="str">
        <f aca="false">PROPER(TRIM(AU281))</f>
        <v>Paid</v>
      </c>
      <c r="AA281" s="0" t="str">
        <f aca="false">PROPER(TRIM(AV281))</f>
        <v>Completed</v>
      </c>
      <c r="AB281" s="0" t="str">
        <f aca="false">IF(TRIM(AN281)="","Yes","No")</f>
        <v>No</v>
      </c>
      <c r="AC281" s="0" t="str">
        <f aca="false">IF(TRIM(AS281)="","Yes","No")</f>
        <v>No</v>
      </c>
      <c r="AD281" s="0" t="str">
        <f aca="false">IF(AT281="","Yes","No")</f>
        <v>No</v>
      </c>
      <c r="AE281" s="0" t="str">
        <f aca="false">IF(W281&lt;0,"Yes","No")</f>
        <v>No</v>
      </c>
      <c r="AF281" s="0" t="str">
        <f aca="false">IF(P281="","No",IF(OR(P281&lt;0,P281&gt;0.3),"Yes","No"))</f>
        <v>No</v>
      </c>
      <c r="AG281" s="4" t="s">
        <v>50</v>
      </c>
      <c r="AH281" s="0" t="str">
        <f aca="false">IF(AND(AA281="Completed",Z281="Paid"),"Yes","No")</f>
        <v>Yes</v>
      </c>
      <c r="AI281" s="0" t="str">
        <f aca="false">IF(OR(AE281="Yes",AF281="Yes",AG281="Yes"),"Invalid",IF(OR(AB281="Yes",AC281="Yes",AD281="Yes"),"Warning","Clean"))</f>
        <v>Clean</v>
      </c>
      <c r="AJ281" s="4" t="s">
        <v>1208</v>
      </c>
      <c r="AK281" s="4" t="s">
        <v>1209</v>
      </c>
      <c r="AL281" s="4" t="s">
        <v>191</v>
      </c>
      <c r="AM281" s="4" t="s">
        <v>68</v>
      </c>
      <c r="AN281" s="4" t="s">
        <v>97</v>
      </c>
      <c r="AO281" s="4" t="s">
        <v>98</v>
      </c>
      <c r="AP281" s="4" t="s">
        <v>99</v>
      </c>
      <c r="AQ281" s="4" t="s">
        <v>58</v>
      </c>
      <c r="AR281" s="4" t="s">
        <v>171</v>
      </c>
      <c r="AS281" s="4" t="s">
        <v>81</v>
      </c>
      <c r="AT281" s="0" t="n">
        <v>0.05</v>
      </c>
      <c r="AU281" s="4" t="s">
        <v>61</v>
      </c>
      <c r="AV281" s="4" t="s">
        <v>62</v>
      </c>
    </row>
    <row r="282" customFormat="false" ht="15" hidden="false" customHeight="false" outlineLevel="0" collapsed="false">
      <c r="A282" s="0" t="s">
        <v>1210</v>
      </c>
      <c r="B282" s="3" t="n">
        <f aca="false">IF(AJ282="","",IF(ISNUMBER(SEARCH("/",AJ282)),DATE(VALUE(RIGHT(AJ282,4)),VALUE(LEFT(AJ282,2)),VALUE(MID(AJ282,4,2))),IF(ISNUMBER(SEARCH("-",AJ282)),IF(LEN(LEFT(AJ282,FIND("-",AJ282)-1))=4,DATE(VALUE(LEFT(AJ282,4)),VALUE(MID(AJ282,6,2)),VALUE(RIGHT(AJ282,2))),DATE(VALUE(RIGHT(AJ282,4)),VALUE(MID(AJ282,4,2)),VALUE(LEFT(AJ282,2)))),DATE(VALUE(RIGHT(AJ282,4)),MATCH(MID(AJ282,4,3),{"Jan","Feb","Mar","Apr","May","Jun","Jul","Aug","Sep","Oct","Nov","Dec"},0),VALUE(LEFT(AJ282,2))))))</f>
        <v>45649</v>
      </c>
      <c r="C282" s="3" t="n">
        <f aca="false">IF(AK282="","",IF(ISNUMBER(SEARCH("/",AK282)),DATE(VALUE(RIGHT(AK282,4)),VALUE(LEFT(AK282,2)),VALUE(MID(AK282,4,2))),IF(ISNUMBER(SEARCH("-",AK282)),IF(LEN(LEFT(AK282,FIND("-",AK282)-1))=4,DATE(VALUE(LEFT(AK282,4)),VALUE(MID(AK282,6,2)),VALUE(RIGHT(AK282,2))),DATE(VALUE(RIGHT(AK282,4)),VALUE(MID(AK282,4,2)),VALUE(LEFT(AK282,2)))),DATE(VALUE(RIGHT(AK282,4)),MATCH(MID(AK282,4,3),{"Jan","Feb","Mar","Apr","May","Jun","Jul","Aug","Sep","Oct","Nov","Dec"},0),VALUE(LEFT(AK282,2))))))</f>
        <v>45652</v>
      </c>
      <c r="D282" s="4" t="s">
        <v>1211</v>
      </c>
      <c r="E282" s="0" t="str">
        <f aca="false">PROPER(TRIM(AL282))</f>
        <v>Aditi Sen</v>
      </c>
      <c r="F282" s="0" t="str">
        <f aca="false">PROPER(TRIM(AM282))</f>
        <v>Consumer</v>
      </c>
      <c r="G282" s="0" t="str">
        <f aca="false">IF(TRIM(AN282)="","Unknown",PROPER(TRIM(AN282)))</f>
        <v>South</v>
      </c>
      <c r="H282" s="0" t="str">
        <f aca="false">PROPER(TRIM(AO282))</f>
        <v>Karnataka</v>
      </c>
      <c r="I282" s="0" t="str">
        <f aca="false">PROPER(TRIM(AP282))</f>
        <v>Bengaluru</v>
      </c>
      <c r="J282" s="0" t="str">
        <f aca="false">PROPER(TRIM(AQ282))</f>
        <v>Technology</v>
      </c>
      <c r="K282" s="0" t="str">
        <f aca="false">PROPER(TRIM(AR282))</f>
        <v>Copiers</v>
      </c>
      <c r="M282" s="0" t="str">
        <f aca="false">IF(TRIM(AS282)="","Unknown",PROPER(TRIM(AS282)))</f>
        <v>Standard Class</v>
      </c>
      <c r="N282" s="0" t="n">
        <v>9</v>
      </c>
      <c r="O282" s="0" t="n">
        <v>993.67</v>
      </c>
      <c r="P282" s="5" t="n">
        <f aca="false">IF(AT282="","",IF(ISNUMBER(AT282),AT282,VALUE(SUBSTITUTE(AT282,"%",""))/100))</f>
        <v>0</v>
      </c>
      <c r="Q282" s="5" t="n">
        <f aca="false">IF(P282="",IF(AND(N282&lt;&gt;"",O282&lt;&gt;"",R282&lt;&gt;"",S282&lt;&gt;""),0,"REVIEW"),IF(OR(P282&lt;0,P282&gt;0.3),0,P282))</f>
        <v>0</v>
      </c>
      <c r="R282" s="0" t="n">
        <v>8943.03</v>
      </c>
      <c r="S282" s="0" t="n">
        <v>5165.38</v>
      </c>
      <c r="T282" s="6" t="n">
        <f aca="false">N282*O282*(1-Q282)</f>
        <v>8943.03</v>
      </c>
      <c r="U282" s="6" t="n">
        <f aca="false">T282-S282</f>
        <v>3777.65</v>
      </c>
      <c r="V282" s="7" t="n">
        <f aca="false">IF(T282=0,0,U282/T282)</f>
        <v>0.422412761670262</v>
      </c>
      <c r="W282" s="4" t="n">
        <f aca="false">C282-B282</f>
        <v>3</v>
      </c>
      <c r="X282" s="0" t="str">
        <f aca="false">TEXT(B282,"mmmm")</f>
        <v>December</v>
      </c>
      <c r="Y282" s="4" t="n">
        <f aca="false">YEAR(B282)</f>
        <v>2024</v>
      </c>
      <c r="Z282" s="0" t="str">
        <f aca="false">PROPER(TRIM(AU282))</f>
        <v>Paid</v>
      </c>
      <c r="AA282" s="0" t="str">
        <f aca="false">PROPER(TRIM(AV282))</f>
        <v>Completed</v>
      </c>
      <c r="AB282" s="0" t="str">
        <f aca="false">IF(TRIM(AN282)="","Yes","No")</f>
        <v>No</v>
      </c>
      <c r="AC282" s="0" t="str">
        <f aca="false">IF(TRIM(AS282)="","Yes","No")</f>
        <v>No</v>
      </c>
      <c r="AD282" s="0" t="str">
        <f aca="false">IF(AT282="","Yes","No")</f>
        <v>No</v>
      </c>
      <c r="AE282" s="0" t="str">
        <f aca="false">IF(W282&lt;0,"Yes","No")</f>
        <v>No</v>
      </c>
      <c r="AF282" s="0" t="str">
        <f aca="false">IF(P282="","No",IF(OR(P282&lt;0,P282&gt;0.3),"Yes","No"))</f>
        <v>No</v>
      </c>
      <c r="AG282" s="4" t="s">
        <v>50</v>
      </c>
      <c r="AH282" s="0" t="str">
        <f aca="false">IF(AND(AA282="Completed",Z282="Paid"),"Yes","No")</f>
        <v>Yes</v>
      </c>
      <c r="AI282" s="0" t="str">
        <f aca="false">IF(OR(AE282="Yes",AF282="Yes",AG282="Yes"),"Invalid",IF(OR(AB282="Yes",AC282="Yes",AD282="Yes"),"Warning","Clean"))</f>
        <v>Clean</v>
      </c>
      <c r="AJ282" s="4" t="s">
        <v>1212</v>
      </c>
      <c r="AK282" s="4" t="s">
        <v>1213</v>
      </c>
      <c r="AL282" s="4" t="s">
        <v>127</v>
      </c>
      <c r="AM282" s="4" t="s">
        <v>54</v>
      </c>
      <c r="AN282" s="4" t="s">
        <v>87</v>
      </c>
      <c r="AO282" s="4" t="s">
        <v>233</v>
      </c>
      <c r="AP282" s="4" t="s">
        <v>234</v>
      </c>
      <c r="AQ282" s="4" t="s">
        <v>109</v>
      </c>
      <c r="AR282" s="4" t="s">
        <v>116</v>
      </c>
      <c r="AS282" s="4" t="s">
        <v>91</v>
      </c>
      <c r="AT282" s="0" t="n">
        <v>0</v>
      </c>
      <c r="AU282" s="4" t="s">
        <v>61</v>
      </c>
      <c r="AV282" s="4" t="s">
        <v>62</v>
      </c>
    </row>
    <row r="283" customFormat="false" ht="15" hidden="false" customHeight="false" outlineLevel="0" collapsed="false">
      <c r="A283" s="0" t="s">
        <v>1214</v>
      </c>
      <c r="B283" s="3" t="n">
        <f aca="false">IF(AJ283="","",IF(ISNUMBER(SEARCH("/",AJ283)),DATE(VALUE(RIGHT(AJ283,4)),VALUE(LEFT(AJ283,2)),VALUE(MID(AJ283,4,2))),IF(ISNUMBER(SEARCH("-",AJ283)),IF(LEN(LEFT(AJ283,FIND("-",AJ283)-1))=4,DATE(VALUE(LEFT(AJ283,4)),VALUE(MID(AJ283,6,2)),VALUE(RIGHT(AJ283,2))),DATE(VALUE(RIGHT(AJ283,4)),VALUE(MID(AJ283,4,2)),VALUE(LEFT(AJ283,2)))),DATE(VALUE(RIGHT(AJ283,4)),MATCH(MID(AJ283,4,3),{"Jan","Feb","Mar","Apr","May","Jun","Jul","Aug","Sep","Oct","Nov","Dec"},0),VALUE(LEFT(AJ283,2))))))</f>
        <v>45863</v>
      </c>
      <c r="C283" s="3" t="n">
        <f aca="false">IF(AK283="","",IF(ISNUMBER(SEARCH("/",AK283)),DATE(VALUE(RIGHT(AK283,4)),VALUE(LEFT(AK283,2)),VALUE(MID(AK283,4,2))),IF(ISNUMBER(SEARCH("-",AK283)),IF(LEN(LEFT(AK283,FIND("-",AK283)-1))=4,DATE(VALUE(LEFT(AK283,4)),VALUE(MID(AK283,6,2)),VALUE(RIGHT(AK283,2))),DATE(VALUE(RIGHT(AK283,4)),VALUE(MID(AK283,4,2)),VALUE(LEFT(AK283,2)))),DATE(VALUE(RIGHT(AK283,4)),MATCH(MID(AK283,4,3),{"Jan","Feb","Mar","Apr","May","Jun","Jul","Aug","Sep","Oct","Nov","Dec"},0),VALUE(LEFT(AK283,2))))))</f>
        <v>45865</v>
      </c>
      <c r="D283" s="4" t="s">
        <v>1215</v>
      </c>
      <c r="E283" s="0" t="str">
        <f aca="false">PROPER(TRIM(AL283))</f>
        <v>Kabir Singh</v>
      </c>
      <c r="F283" s="0" t="str">
        <f aca="false">PROPER(TRIM(AM283))</f>
        <v>Consumer</v>
      </c>
      <c r="G283" s="0" t="str">
        <f aca="false">IF(TRIM(AN283)="","Unknown",PROPER(TRIM(AN283)))</f>
        <v>East</v>
      </c>
      <c r="H283" s="0" t="str">
        <f aca="false">PROPER(TRIM(AO283))</f>
        <v>Jharkhand</v>
      </c>
      <c r="I283" s="0" t="str">
        <f aca="false">PROPER(TRIM(AP283))</f>
        <v>Ranchi</v>
      </c>
      <c r="J283" s="0" t="str">
        <f aca="false">PROPER(TRIM(AQ283))</f>
        <v>Office Supplies</v>
      </c>
      <c r="K283" s="0" t="str">
        <f aca="false">PROPER(TRIM(AR283))</f>
        <v>Binders</v>
      </c>
      <c r="M283" s="0" t="str">
        <f aca="false">IF(TRIM(AS283)="","Unknown",PROPER(TRIM(AS283)))</f>
        <v>Second Class</v>
      </c>
      <c r="N283" s="0" t="n">
        <v>6</v>
      </c>
      <c r="O283" s="0" t="n">
        <v>3438.38</v>
      </c>
      <c r="P283" s="5" t="n">
        <f aca="false">IF(AT283="","",IF(ISNUMBER(AT283),AT283,VALUE(SUBSTITUTE(AT283,"%",""))/100))</f>
        <v>0.2</v>
      </c>
      <c r="Q283" s="5" t="n">
        <f aca="false">IF(P283="",IF(AND(N283&lt;&gt;"",O283&lt;&gt;"",R283&lt;&gt;"",S283&lt;&gt;""),0,"REVIEW"),IF(OR(P283&lt;0,P283&gt;0.3),0,P283))</f>
        <v>0.2</v>
      </c>
      <c r="R283" s="0" t="n">
        <v>16504.22</v>
      </c>
      <c r="S283" s="0" t="n">
        <v>11262.71</v>
      </c>
      <c r="T283" s="6" t="n">
        <f aca="false">N283*O283*(1-Q283)</f>
        <v>16504.224</v>
      </c>
      <c r="U283" s="6" t="n">
        <f aca="false">T283-S283</f>
        <v>5241.514</v>
      </c>
      <c r="V283" s="7" t="n">
        <f aca="false">IF(T283=0,0,U283/T283)</f>
        <v>0.317586213080966</v>
      </c>
      <c r="W283" s="4" t="n">
        <f aca="false">C283-B283</f>
        <v>2</v>
      </c>
      <c r="X283" s="0" t="str">
        <f aca="false">TEXT(B283,"mmmm")</f>
        <v>July</v>
      </c>
      <c r="Y283" s="4" t="n">
        <f aca="false">YEAR(B283)</f>
        <v>2025</v>
      </c>
      <c r="Z283" s="0" t="str">
        <f aca="false">PROPER(TRIM(AU283))</f>
        <v>Paid</v>
      </c>
      <c r="AA283" s="0" t="str">
        <f aca="false">PROPER(TRIM(AV283))</f>
        <v>Completed</v>
      </c>
      <c r="AB283" s="0" t="str">
        <f aca="false">IF(TRIM(AN283)="","Yes","No")</f>
        <v>No</v>
      </c>
      <c r="AC283" s="0" t="str">
        <f aca="false">IF(TRIM(AS283)="","Yes","No")</f>
        <v>No</v>
      </c>
      <c r="AD283" s="0" t="str">
        <f aca="false">IF(AT283="","Yes","No")</f>
        <v>No</v>
      </c>
      <c r="AE283" s="0" t="str">
        <f aca="false">IF(W283&lt;0,"Yes","No")</f>
        <v>No</v>
      </c>
      <c r="AF283" s="0" t="str">
        <f aca="false">IF(P283="","No",IF(OR(P283&lt;0,P283&gt;0.3),"Yes","No"))</f>
        <v>No</v>
      </c>
      <c r="AG283" s="4" t="s">
        <v>50</v>
      </c>
      <c r="AH283" s="0" t="str">
        <f aca="false">IF(AND(AA283="Completed",Z283="Paid"),"Yes","No")</f>
        <v>Yes</v>
      </c>
      <c r="AI283" s="0" t="str">
        <f aca="false">IF(OR(AE283="Yes",AF283="Yes",AG283="Yes"),"Invalid",IF(OR(AB283="Yes",AC283="Yes",AD283="Yes"),"Warning","Clean"))</f>
        <v>Clean</v>
      </c>
      <c r="AJ283" s="4" t="s">
        <v>1216</v>
      </c>
      <c r="AK283" s="4" t="s">
        <v>1217</v>
      </c>
      <c r="AL283" s="4" t="s">
        <v>347</v>
      </c>
      <c r="AM283" s="4" t="s">
        <v>54</v>
      </c>
      <c r="AN283" s="4" t="s">
        <v>69</v>
      </c>
      <c r="AO283" s="4" t="s">
        <v>300</v>
      </c>
      <c r="AP283" s="4" t="s">
        <v>301</v>
      </c>
      <c r="AQ283" s="4" t="s">
        <v>58</v>
      </c>
      <c r="AR283" s="4" t="s">
        <v>206</v>
      </c>
      <c r="AS283" s="4" t="s">
        <v>60</v>
      </c>
      <c r="AT283" s="0" t="n">
        <v>0.2</v>
      </c>
      <c r="AU283" s="4" t="s">
        <v>61</v>
      </c>
      <c r="AV283" s="4" t="s">
        <v>62</v>
      </c>
    </row>
    <row r="284" customFormat="false" ht="15" hidden="false" customHeight="false" outlineLevel="0" collapsed="false">
      <c r="A284" s="0" t="s">
        <v>1218</v>
      </c>
      <c r="B284" s="3" t="n">
        <f aca="false">IF(AJ284="","",IF(ISNUMBER(SEARCH("/",AJ284)),DATE(VALUE(RIGHT(AJ284,4)),VALUE(LEFT(AJ284,2)),VALUE(MID(AJ284,4,2))),IF(ISNUMBER(SEARCH("-",AJ284)),IF(LEN(LEFT(AJ284,FIND("-",AJ284)-1))=4,DATE(VALUE(LEFT(AJ284,4)),VALUE(MID(AJ284,6,2)),VALUE(RIGHT(AJ284,2))),DATE(VALUE(RIGHT(AJ284,4)),VALUE(MID(AJ284,4,2)),VALUE(LEFT(AJ284,2)))),DATE(VALUE(RIGHT(AJ284,4)),MATCH(MID(AJ284,4,3),{"Jan","Feb","Mar","Apr","May","Jun","Jul","Aug","Sep","Oct","Nov","Dec"},0),VALUE(LEFT(AJ284,2))))))</f>
        <v>45566</v>
      </c>
      <c r="C284" s="3" t="n">
        <f aca="false">IF(AK284="","",IF(ISNUMBER(SEARCH("/",AK284)),DATE(VALUE(RIGHT(AK284,4)),VALUE(LEFT(AK284,2)),VALUE(MID(AK284,4,2))),IF(ISNUMBER(SEARCH("-",AK284)),IF(LEN(LEFT(AK284,FIND("-",AK284)-1))=4,DATE(VALUE(LEFT(AK284,4)),VALUE(MID(AK284,6,2)),VALUE(RIGHT(AK284,2))),DATE(VALUE(RIGHT(AK284,4)),VALUE(MID(AK284,4,2)),VALUE(LEFT(AK284,2)))),DATE(VALUE(RIGHT(AK284,4)),MATCH(MID(AK284,4,3),{"Jan","Feb","Mar","Apr","May","Jun","Jul","Aug","Sep","Oct","Nov","Dec"},0),VALUE(LEFT(AK284,2))))))</f>
        <v>45567</v>
      </c>
      <c r="D284" s="4" t="s">
        <v>1219</v>
      </c>
      <c r="E284" s="0" t="str">
        <f aca="false">PROPER(TRIM(AL284))</f>
        <v>Karan Malhotra</v>
      </c>
      <c r="F284" s="0" t="str">
        <f aca="false">PROPER(TRIM(AM284))</f>
        <v>Home Office</v>
      </c>
      <c r="G284" s="0" t="str">
        <f aca="false">IF(TRIM(AN284)="","Unknown",PROPER(TRIM(AN284)))</f>
        <v>East</v>
      </c>
      <c r="H284" s="0" t="str">
        <f aca="false">PROPER(TRIM(AO284))</f>
        <v>Assam</v>
      </c>
      <c r="I284" s="0" t="str">
        <f aca="false">PROPER(TRIM(AP284))</f>
        <v>Guwahati</v>
      </c>
      <c r="J284" s="0" t="str">
        <f aca="false">PROPER(TRIM(AQ284))</f>
        <v>Furniture</v>
      </c>
      <c r="K284" s="0" t="str">
        <f aca="false">PROPER(TRIM(AR284))</f>
        <v>Tables</v>
      </c>
      <c r="M284" s="0" t="str">
        <f aca="false">IF(TRIM(AS284)="","Unknown",PROPER(TRIM(AS284)))</f>
        <v>Second Class</v>
      </c>
      <c r="N284" s="0" t="n">
        <v>2</v>
      </c>
      <c r="O284" s="0" t="n">
        <v>2298</v>
      </c>
      <c r="P284" s="5" t="n">
        <f aca="false">IF(AT284="","",IF(ISNUMBER(AT284),AT284,VALUE(SUBSTITUTE(AT284,"%",""))/100))</f>
        <v>0</v>
      </c>
      <c r="Q284" s="5" t="n">
        <f aca="false">IF(P284="",IF(AND(N284&lt;&gt;"",O284&lt;&gt;"",R284&lt;&gt;"",S284&lt;&gt;""),0,"REVIEW"),IF(OR(P284&lt;0,P284&gt;0.3),0,P284))</f>
        <v>0</v>
      </c>
      <c r="R284" s="0" t="n">
        <v>4596</v>
      </c>
      <c r="S284" s="0" t="n">
        <v>3220.33</v>
      </c>
      <c r="T284" s="6" t="n">
        <f aca="false">N284*O284*(1-Q284)</f>
        <v>4596</v>
      </c>
      <c r="U284" s="6" t="n">
        <f aca="false">T284-S284</f>
        <v>1375.67</v>
      </c>
      <c r="V284" s="7" t="n">
        <f aca="false">IF(T284=0,0,U284/T284)</f>
        <v>0.299318973020017</v>
      </c>
      <c r="W284" s="4" t="n">
        <f aca="false">C284-B284</f>
        <v>1</v>
      </c>
      <c r="X284" s="0" t="str">
        <f aca="false">TEXT(B284,"mmmm")</f>
        <v>October</v>
      </c>
      <c r="Y284" s="4" t="n">
        <f aca="false">YEAR(B284)</f>
        <v>2024</v>
      </c>
      <c r="Z284" s="0" t="str">
        <f aca="false">PROPER(TRIM(AU284))</f>
        <v>Paid</v>
      </c>
      <c r="AA284" s="0" t="str">
        <f aca="false">PROPER(TRIM(AV284))</f>
        <v>Completed</v>
      </c>
      <c r="AB284" s="0" t="str">
        <f aca="false">IF(TRIM(AN284)="","Yes","No")</f>
        <v>No</v>
      </c>
      <c r="AC284" s="0" t="str">
        <f aca="false">IF(TRIM(AS284)="","Yes","No")</f>
        <v>No</v>
      </c>
      <c r="AD284" s="0" t="str">
        <f aca="false">IF(AT284="","Yes","No")</f>
        <v>No</v>
      </c>
      <c r="AE284" s="0" t="str">
        <f aca="false">IF(W284&lt;0,"Yes","No")</f>
        <v>No</v>
      </c>
      <c r="AF284" s="0" t="str">
        <f aca="false">IF(P284="","No",IF(OR(P284&lt;0,P284&gt;0.3),"Yes","No"))</f>
        <v>No</v>
      </c>
      <c r="AG284" s="4" t="s">
        <v>50</v>
      </c>
      <c r="AH284" s="0" t="str">
        <f aca="false">IF(AND(AA284="Completed",Z284="Paid"),"Yes","No")</f>
        <v>Yes</v>
      </c>
      <c r="AI284" s="0" t="str">
        <f aca="false">IF(OR(AE284="Yes",AF284="Yes",AG284="Yes"),"Invalid",IF(OR(AB284="Yes",AC284="Yes",AD284="Yes"),"Warning","Clean"))</f>
        <v>Clean</v>
      </c>
      <c r="AJ284" s="4" t="s">
        <v>1220</v>
      </c>
      <c r="AK284" s="4" t="s">
        <v>1221</v>
      </c>
      <c r="AL284" s="4" t="s">
        <v>53</v>
      </c>
      <c r="AM284" s="4" t="s">
        <v>134</v>
      </c>
      <c r="AN284" s="4" t="s">
        <v>69</v>
      </c>
      <c r="AO284" s="4" t="s">
        <v>221</v>
      </c>
      <c r="AP284" s="4" t="s">
        <v>222</v>
      </c>
      <c r="AQ284" s="4" t="s">
        <v>72</v>
      </c>
      <c r="AR284" s="4" t="s">
        <v>73</v>
      </c>
      <c r="AS284" s="4" t="s">
        <v>60</v>
      </c>
      <c r="AT284" s="0" t="n">
        <v>0</v>
      </c>
      <c r="AU284" s="4" t="s">
        <v>61</v>
      </c>
      <c r="AV284" s="4" t="s">
        <v>62</v>
      </c>
    </row>
    <row r="285" customFormat="false" ht="15" hidden="false" customHeight="false" outlineLevel="0" collapsed="false">
      <c r="A285" s="0" t="s">
        <v>1222</v>
      </c>
      <c r="B285" s="3" t="n">
        <f aca="false">IF(AJ285="","",IF(ISNUMBER(SEARCH("/",AJ285)),DATE(VALUE(RIGHT(AJ285,4)),VALUE(LEFT(AJ285,2)),VALUE(MID(AJ285,4,2))),IF(ISNUMBER(SEARCH("-",AJ285)),IF(LEN(LEFT(AJ285,FIND("-",AJ285)-1))=4,DATE(VALUE(LEFT(AJ285,4)),VALUE(MID(AJ285,6,2)),VALUE(RIGHT(AJ285,2))),DATE(VALUE(RIGHT(AJ285,4)),VALUE(MID(AJ285,4,2)),VALUE(LEFT(AJ285,2)))),DATE(VALUE(RIGHT(AJ285,4)),MATCH(MID(AJ285,4,3),{"Jan","Feb","Mar","Apr","May","Jun","Jul","Aug","Sep","Oct","Nov","Dec"},0),VALUE(LEFT(AJ285,2))))))</f>
        <v>45729</v>
      </c>
      <c r="C285" s="3" t="n">
        <f aca="false">IF(AK285="","",IF(ISNUMBER(SEARCH("/",AK285)),DATE(VALUE(RIGHT(AK285,4)),VALUE(LEFT(AK285,2)),VALUE(MID(AK285,4,2))),IF(ISNUMBER(SEARCH("-",AK285)),IF(LEN(LEFT(AK285,FIND("-",AK285)-1))=4,DATE(VALUE(LEFT(AK285,4)),VALUE(MID(AK285,6,2)),VALUE(RIGHT(AK285,2))),DATE(VALUE(RIGHT(AK285,4)),VALUE(MID(AK285,4,2)),VALUE(LEFT(AK285,2)))),DATE(VALUE(RIGHT(AK285,4)),MATCH(MID(AK285,4,3),{"Jan","Feb","Mar","Apr","May","Jun","Jul","Aug","Sep","Oct","Nov","Dec"},0),VALUE(LEFT(AK285,2))))))</f>
        <v>45736</v>
      </c>
      <c r="D285" s="4" t="s">
        <v>1223</v>
      </c>
      <c r="E285" s="0" t="str">
        <f aca="false">PROPER(TRIM(AL285))</f>
        <v>Vikram Iyer</v>
      </c>
      <c r="F285" s="0" t="str">
        <f aca="false">PROPER(TRIM(AM285))</f>
        <v>Consumer</v>
      </c>
      <c r="G285" s="0" t="str">
        <f aca="false">IF(TRIM(AN285)="","Unknown",PROPER(TRIM(AN285)))</f>
        <v>West</v>
      </c>
      <c r="H285" s="0" t="str">
        <f aca="false">PROPER(TRIM(AO285))</f>
        <v>Maharashtra</v>
      </c>
      <c r="I285" s="0" t="str">
        <f aca="false">PROPER(TRIM(AP285))</f>
        <v>Mumbai</v>
      </c>
      <c r="J285" s="0" t="str">
        <f aca="false">PROPER(TRIM(AQ285))</f>
        <v>Furniture</v>
      </c>
      <c r="K285" s="0" t="str">
        <f aca="false">PROPER(TRIM(AR285))</f>
        <v>Furnishings</v>
      </c>
      <c r="M285" s="0" t="str">
        <f aca="false">IF(TRIM(AS285)="","Unknown",PROPER(TRIM(AS285)))</f>
        <v>First Class</v>
      </c>
      <c r="N285" s="0" t="n">
        <v>1</v>
      </c>
      <c r="O285" s="0" t="n">
        <v>1814.01</v>
      </c>
      <c r="P285" s="5" t="n">
        <f aca="false">IF(AT285="","",IF(ISNUMBER(AT285),AT285,VALUE(SUBSTITUTE(AT285,"%",""))/100))</f>
        <v>0</v>
      </c>
      <c r="Q285" s="5" t="n">
        <f aca="false">IF(P285="",IF(AND(N285&lt;&gt;"",O285&lt;&gt;"",R285&lt;&gt;"",S285&lt;&gt;""),0,"REVIEW"),IF(OR(P285&lt;0,P285&gt;0.3),0,P285))</f>
        <v>0</v>
      </c>
      <c r="R285" s="0" t="n">
        <v>1814.01</v>
      </c>
      <c r="S285" s="0" t="n">
        <v>1033.47</v>
      </c>
      <c r="T285" s="6" t="n">
        <f aca="false">N285*O285*(1-Q285)</f>
        <v>1814.01</v>
      </c>
      <c r="U285" s="6" t="n">
        <f aca="false">T285-S285</f>
        <v>780.54</v>
      </c>
      <c r="V285" s="7" t="n">
        <f aca="false">IF(T285=0,0,U285/T285)</f>
        <v>0.430284287297203</v>
      </c>
      <c r="W285" s="4" t="n">
        <f aca="false">C285-B285</f>
        <v>7</v>
      </c>
      <c r="X285" s="0" t="str">
        <f aca="false">TEXT(B285,"mmmm")</f>
        <v>March</v>
      </c>
      <c r="Y285" s="4" t="n">
        <f aca="false">YEAR(B285)</f>
        <v>2025</v>
      </c>
      <c r="Z285" s="0" t="str">
        <f aca="false">PROPER(TRIM(AU285))</f>
        <v>Paid</v>
      </c>
      <c r="AA285" s="0" t="str">
        <f aca="false">PROPER(TRIM(AV285))</f>
        <v>Completed</v>
      </c>
      <c r="AB285" s="0" t="str">
        <f aca="false">IF(TRIM(AN285)="","Yes","No")</f>
        <v>No</v>
      </c>
      <c r="AC285" s="0" t="str">
        <f aca="false">IF(TRIM(AS285)="","Yes","No")</f>
        <v>No</v>
      </c>
      <c r="AD285" s="0" t="str">
        <f aca="false">IF(AT285="","Yes","No")</f>
        <v>No</v>
      </c>
      <c r="AE285" s="0" t="str">
        <f aca="false">IF(W285&lt;0,"Yes","No")</f>
        <v>No</v>
      </c>
      <c r="AF285" s="0" t="str">
        <f aca="false">IF(P285="","No",IF(OR(P285&lt;0,P285&gt;0.3),"Yes","No"))</f>
        <v>No</v>
      </c>
      <c r="AG285" s="4" t="s">
        <v>50</v>
      </c>
      <c r="AH285" s="0" t="str">
        <f aca="false">IF(AND(AA285="Completed",Z285="Paid"),"Yes","No")</f>
        <v>Yes</v>
      </c>
      <c r="AI285" s="0" t="str">
        <f aca="false">IF(OR(AE285="Yes",AF285="Yes",AG285="Yes"),"Invalid",IF(OR(AB285="Yes",AC285="Yes",AD285="Yes"),"Warning","Clean"))</f>
        <v>Clean</v>
      </c>
      <c r="AJ285" s="4" t="s">
        <v>1224</v>
      </c>
      <c r="AK285" s="4" t="s">
        <v>1225</v>
      </c>
      <c r="AL285" s="4" t="s">
        <v>106</v>
      </c>
      <c r="AM285" s="4" t="s">
        <v>54</v>
      </c>
      <c r="AN285" s="4" t="s">
        <v>97</v>
      </c>
      <c r="AO285" s="4" t="s">
        <v>98</v>
      </c>
      <c r="AP285" s="4" t="s">
        <v>99</v>
      </c>
      <c r="AQ285" s="4" t="s">
        <v>72</v>
      </c>
      <c r="AR285" s="4" t="s">
        <v>90</v>
      </c>
      <c r="AS285" s="4" t="s">
        <v>81</v>
      </c>
      <c r="AT285" s="0" t="n">
        <v>0</v>
      </c>
      <c r="AU285" s="4" t="s">
        <v>61</v>
      </c>
      <c r="AV285" s="4" t="s">
        <v>62</v>
      </c>
    </row>
    <row r="286" customFormat="false" ht="15" hidden="false" customHeight="false" outlineLevel="0" collapsed="false">
      <c r="A286" s="0" t="s">
        <v>1226</v>
      </c>
      <c r="B286" s="3" t="n">
        <f aca="false">IF(AJ286="","",IF(ISNUMBER(SEARCH("/",AJ286)),DATE(VALUE(RIGHT(AJ286,4)),VALUE(LEFT(AJ286,2)),VALUE(MID(AJ286,4,2))),IF(ISNUMBER(SEARCH("-",AJ286)),IF(LEN(LEFT(AJ286,FIND("-",AJ286)-1))=4,DATE(VALUE(LEFT(AJ286,4)),VALUE(MID(AJ286,6,2)),VALUE(RIGHT(AJ286,2))),DATE(VALUE(RIGHT(AJ286,4)),VALUE(MID(AJ286,4,2)),VALUE(LEFT(AJ286,2)))),DATE(VALUE(RIGHT(AJ286,4)),MATCH(MID(AJ286,4,3),{"Jan","Feb","Mar","Apr","May","Jun","Jul","Aug","Sep","Oct","Nov","Dec"},0),VALUE(LEFT(AJ286,2))))))</f>
        <v>45634</v>
      </c>
      <c r="C286" s="3" t="n">
        <f aca="false">IF(AK286="","",IF(ISNUMBER(SEARCH("/",AK286)),DATE(VALUE(RIGHT(AK286,4)),VALUE(LEFT(AK286,2)),VALUE(MID(AK286,4,2))),IF(ISNUMBER(SEARCH("-",AK286)),IF(LEN(LEFT(AK286,FIND("-",AK286)-1))=4,DATE(VALUE(LEFT(AK286,4)),VALUE(MID(AK286,6,2)),VALUE(RIGHT(AK286,2))),DATE(VALUE(RIGHT(AK286,4)),VALUE(MID(AK286,4,2)),VALUE(LEFT(AK286,2)))),DATE(VALUE(RIGHT(AK286,4)),MATCH(MID(AK286,4,3),{"Jan","Feb","Mar","Apr","May","Jun","Jul","Aug","Sep","Oct","Nov","Dec"},0),VALUE(LEFT(AK286,2))))))</f>
        <v>45640</v>
      </c>
      <c r="D286" s="4" t="s">
        <v>1227</v>
      </c>
      <c r="E286" s="0" t="str">
        <f aca="false">PROPER(TRIM(AL286))</f>
        <v>Karan Malhotra</v>
      </c>
      <c r="F286" s="0" t="str">
        <f aca="false">PROPER(TRIM(AM286))</f>
        <v>Consumer</v>
      </c>
      <c r="G286" s="0" t="str">
        <f aca="false">IF(TRIM(AN286)="","Unknown",PROPER(TRIM(AN286)))</f>
        <v>East</v>
      </c>
      <c r="H286" s="0" t="str">
        <f aca="false">PROPER(TRIM(AO286))</f>
        <v>Odisha</v>
      </c>
      <c r="I286" s="0" t="str">
        <f aca="false">PROPER(TRIM(AP286))</f>
        <v>Bhubaneswar</v>
      </c>
      <c r="J286" s="0" t="str">
        <f aca="false">PROPER(TRIM(AQ286))</f>
        <v>Furniture</v>
      </c>
      <c r="K286" s="0" t="str">
        <f aca="false">PROPER(TRIM(AR286))</f>
        <v>Tables</v>
      </c>
      <c r="M286" s="0" t="str">
        <f aca="false">IF(TRIM(AS286)="","Unknown",PROPER(TRIM(AS286)))</f>
        <v>Same Day</v>
      </c>
      <c r="N286" s="0" t="n">
        <v>3</v>
      </c>
      <c r="O286" s="0" t="n">
        <v>1576.92</v>
      </c>
      <c r="P286" s="5" t="n">
        <f aca="false">IF(AT286="","",IF(ISNUMBER(AT286),AT286,VALUE(SUBSTITUTE(AT286,"%",""))/100))</f>
        <v>0</v>
      </c>
      <c r="Q286" s="5" t="n">
        <f aca="false">IF(P286="",IF(AND(N286&lt;&gt;"",O286&lt;&gt;"",R286&lt;&gt;"",S286&lt;&gt;""),0,"REVIEW"),IF(OR(P286&lt;0,P286&gt;0.3),0,P286))</f>
        <v>0</v>
      </c>
      <c r="R286" s="0" t="n">
        <v>4730.76</v>
      </c>
      <c r="S286" s="0" t="n">
        <v>3139.73</v>
      </c>
      <c r="T286" s="6" t="n">
        <f aca="false">N286*O286*(1-Q286)</f>
        <v>4730.76</v>
      </c>
      <c r="U286" s="6" t="n">
        <f aca="false">T286-S286</f>
        <v>1591.03</v>
      </c>
      <c r="V286" s="7" t="n">
        <f aca="false">IF(T286=0,0,U286/T286)</f>
        <v>0.336315940779071</v>
      </c>
      <c r="W286" s="4" t="n">
        <f aca="false">C286-B286</f>
        <v>6</v>
      </c>
      <c r="X286" s="0" t="str">
        <f aca="false">TEXT(B286,"mmmm")</f>
        <v>December</v>
      </c>
      <c r="Y286" s="4" t="n">
        <f aca="false">YEAR(B286)</f>
        <v>2024</v>
      </c>
      <c r="Z286" s="0" t="str">
        <f aca="false">PROPER(TRIM(AU286))</f>
        <v>Paid</v>
      </c>
      <c r="AA286" s="0" t="str">
        <f aca="false">PROPER(TRIM(AV286))</f>
        <v>Returned</v>
      </c>
      <c r="AB286" s="0" t="str">
        <f aca="false">IF(TRIM(AN286)="","Yes","No")</f>
        <v>No</v>
      </c>
      <c r="AC286" s="0" t="str">
        <f aca="false">IF(TRIM(AS286)="","Yes","No")</f>
        <v>No</v>
      </c>
      <c r="AD286" s="0" t="str">
        <f aca="false">IF(AT286="","Yes","No")</f>
        <v>No</v>
      </c>
      <c r="AE286" s="0" t="str">
        <f aca="false">IF(W286&lt;0,"Yes","No")</f>
        <v>No</v>
      </c>
      <c r="AF286" s="0" t="str">
        <f aca="false">IF(P286="","No",IF(OR(P286&lt;0,P286&gt;0.3),"Yes","No"))</f>
        <v>No</v>
      </c>
      <c r="AG286" s="4" t="s">
        <v>50</v>
      </c>
      <c r="AH286" s="0" t="str">
        <f aca="false">IF(AND(AA286="Completed",Z286="Paid"),"Yes","No")</f>
        <v>No</v>
      </c>
      <c r="AI286" s="0" t="str">
        <f aca="false">IF(OR(AE286="Yes",AF286="Yes",AG286="Yes"),"Invalid",IF(OR(AB286="Yes",AC286="Yes",AD286="Yes"),"Warning","Clean"))</f>
        <v>Clean</v>
      </c>
      <c r="AJ286" s="4" t="s">
        <v>1228</v>
      </c>
      <c r="AK286" s="4" t="s">
        <v>1229</v>
      </c>
      <c r="AL286" s="4" t="s">
        <v>53</v>
      </c>
      <c r="AM286" s="4" t="s">
        <v>54</v>
      </c>
      <c r="AN286" s="4" t="s">
        <v>69</v>
      </c>
      <c r="AO286" s="4" t="s">
        <v>70</v>
      </c>
      <c r="AP286" s="4" t="s">
        <v>71</v>
      </c>
      <c r="AQ286" s="4" t="s">
        <v>72</v>
      </c>
      <c r="AR286" s="4" t="s">
        <v>73</v>
      </c>
      <c r="AS286" s="4" t="s">
        <v>74</v>
      </c>
      <c r="AT286" s="0" t="n">
        <v>0</v>
      </c>
      <c r="AU286" s="4" t="s">
        <v>61</v>
      </c>
      <c r="AV286" s="4" t="s">
        <v>142</v>
      </c>
    </row>
    <row r="287" customFormat="false" ht="15" hidden="false" customHeight="false" outlineLevel="0" collapsed="false">
      <c r="A287" s="0" t="s">
        <v>1230</v>
      </c>
      <c r="B287" s="3" t="n">
        <f aca="false">IF(AJ287="","",IF(ISNUMBER(SEARCH("/",AJ287)),DATE(VALUE(RIGHT(AJ287,4)),VALUE(LEFT(AJ287,2)),VALUE(MID(AJ287,4,2))),IF(ISNUMBER(SEARCH("-",AJ287)),IF(LEN(LEFT(AJ287,FIND("-",AJ287)-1))=4,DATE(VALUE(LEFT(AJ287,4)),VALUE(MID(AJ287,6,2)),VALUE(RIGHT(AJ287,2))),DATE(VALUE(RIGHT(AJ287,4)),VALUE(MID(AJ287,4,2)),VALUE(LEFT(AJ287,2)))),DATE(VALUE(RIGHT(AJ287,4)),MATCH(MID(AJ287,4,3),{"Jan","Feb","Mar","Apr","May","Jun","Jul","Aug","Sep","Oct","Nov","Dec"},0),VALUE(LEFT(AJ287,2))))))</f>
        <v>45884</v>
      </c>
      <c r="C287" s="3" t="n">
        <f aca="false">IF(AK287="","",IF(ISNUMBER(SEARCH("/",AK287)),DATE(VALUE(RIGHT(AK287,4)),VALUE(LEFT(AK287,2)),VALUE(MID(AK287,4,2))),IF(ISNUMBER(SEARCH("-",AK287)),IF(LEN(LEFT(AK287,FIND("-",AK287)-1))=4,DATE(VALUE(LEFT(AK287,4)),VALUE(MID(AK287,6,2)),VALUE(RIGHT(AK287,2))),DATE(VALUE(RIGHT(AK287,4)),VALUE(MID(AK287,4,2)),VALUE(LEFT(AK287,2)))),DATE(VALUE(RIGHT(AK287,4)),MATCH(MID(AK287,4,3),{"Jan","Feb","Mar","Apr","May","Jun","Jul","Aug","Sep","Oct","Nov","Dec"},0),VALUE(LEFT(AK287,2))))))</f>
        <v>45889</v>
      </c>
      <c r="D287" s="4" t="s">
        <v>1231</v>
      </c>
      <c r="E287" s="0" t="str">
        <f aca="false">PROPER(TRIM(AL287))</f>
        <v>Neha Gupta</v>
      </c>
      <c r="F287" s="0" t="str">
        <f aca="false">PROPER(TRIM(AM287))</f>
        <v>Home Office</v>
      </c>
      <c r="G287" s="0" t="str">
        <f aca="false">IF(TRIM(AN287)="","Unknown",PROPER(TRIM(AN287)))</f>
        <v>North</v>
      </c>
      <c r="H287" s="0" t="str">
        <f aca="false">PROPER(TRIM(AO287))</f>
        <v>Rajasthan</v>
      </c>
      <c r="I287" s="0" t="str">
        <f aca="false">PROPER(TRIM(AP287))</f>
        <v>Jaipur</v>
      </c>
      <c r="J287" s="0" t="str">
        <f aca="false">PROPER(TRIM(AQ287))</f>
        <v>Office Supplies</v>
      </c>
      <c r="K287" s="0" t="str">
        <f aca="false">PROPER(TRIM(AR287))</f>
        <v>Storage</v>
      </c>
      <c r="M287" s="0" t="str">
        <f aca="false">IF(TRIM(AS287)="","Unknown",PROPER(TRIM(AS287)))</f>
        <v>Standard Class</v>
      </c>
      <c r="N287" s="0" t="n">
        <v>9</v>
      </c>
      <c r="O287" s="0" t="n">
        <v>4081.77</v>
      </c>
      <c r="P287" s="5" t="n">
        <f aca="false">IF(AT287="","",IF(ISNUMBER(AT287),AT287,VALUE(SUBSTITUTE(AT287,"%",""))/100))</f>
        <v>0</v>
      </c>
      <c r="Q287" s="5" t="n">
        <f aca="false">IF(P287="",IF(AND(N287&lt;&gt;"",O287&lt;&gt;"",R287&lt;&gt;"",S287&lt;&gt;""),0,"REVIEW"),IF(OR(P287&lt;0,P287&gt;0.3),0,P287))</f>
        <v>0</v>
      </c>
      <c r="R287" s="0" t="n">
        <v>36735.93</v>
      </c>
      <c r="S287" s="0" t="n">
        <v>30820.84</v>
      </c>
      <c r="T287" s="6" t="n">
        <f aca="false">N287*O287*(1-Q287)</f>
        <v>36735.93</v>
      </c>
      <c r="U287" s="6" t="n">
        <f aca="false">T287-S287</f>
        <v>5915.09</v>
      </c>
      <c r="V287" s="7" t="n">
        <f aca="false">IF(T287=0,0,U287/T287)</f>
        <v>0.161016476240019</v>
      </c>
      <c r="W287" s="4" t="n">
        <f aca="false">C287-B287</f>
        <v>5</v>
      </c>
      <c r="X287" s="0" t="str">
        <f aca="false">TEXT(B287,"mmmm")</f>
        <v>August</v>
      </c>
      <c r="Y287" s="4" t="n">
        <f aca="false">YEAR(B287)</f>
        <v>2025</v>
      </c>
      <c r="Z287" s="0" t="str">
        <f aca="false">PROPER(TRIM(AU287))</f>
        <v>Paid</v>
      </c>
      <c r="AA287" s="0" t="str">
        <f aca="false">PROPER(TRIM(AV287))</f>
        <v>Completed</v>
      </c>
      <c r="AB287" s="0" t="str">
        <f aca="false">IF(TRIM(AN287)="","Yes","No")</f>
        <v>No</v>
      </c>
      <c r="AC287" s="0" t="str">
        <f aca="false">IF(TRIM(AS287)="","Yes","No")</f>
        <v>No</v>
      </c>
      <c r="AD287" s="0" t="str">
        <f aca="false">IF(AT287="","Yes","No")</f>
        <v>No</v>
      </c>
      <c r="AE287" s="0" t="str">
        <f aca="false">IF(W287&lt;0,"Yes","No")</f>
        <v>No</v>
      </c>
      <c r="AF287" s="0" t="str">
        <f aca="false">IF(P287="","No",IF(OR(P287&lt;0,P287&gt;0.3),"Yes","No"))</f>
        <v>No</v>
      </c>
      <c r="AG287" s="4" t="s">
        <v>50</v>
      </c>
      <c r="AH287" s="0" t="str">
        <f aca="false">IF(AND(AA287="Completed",Z287="Paid"),"Yes","No")</f>
        <v>Yes</v>
      </c>
      <c r="AI287" s="0" t="str">
        <f aca="false">IF(OR(AE287="Yes",AF287="Yes",AG287="Yes"),"Invalid",IF(OR(AB287="Yes",AC287="Yes",AD287="Yes"),"Warning","Clean"))</f>
        <v>Clean</v>
      </c>
      <c r="AJ287" s="4" t="s">
        <v>1232</v>
      </c>
      <c r="AK287" s="4" t="s">
        <v>1233</v>
      </c>
      <c r="AL287" s="4" t="s">
        <v>115</v>
      </c>
      <c r="AM287" s="4" t="s">
        <v>134</v>
      </c>
      <c r="AN287" s="4" t="s">
        <v>168</v>
      </c>
      <c r="AO287" s="4" t="s">
        <v>56</v>
      </c>
      <c r="AP287" s="4" t="s">
        <v>57</v>
      </c>
      <c r="AQ287" s="4" t="s">
        <v>58</v>
      </c>
      <c r="AR287" s="4" t="s">
        <v>171</v>
      </c>
      <c r="AS287" s="4" t="s">
        <v>91</v>
      </c>
      <c r="AT287" s="0" t="n">
        <v>0</v>
      </c>
      <c r="AU287" s="4" t="s">
        <v>61</v>
      </c>
      <c r="AV287" s="4" t="s">
        <v>62</v>
      </c>
    </row>
    <row r="288" customFormat="false" ht="15" hidden="false" customHeight="false" outlineLevel="0" collapsed="false">
      <c r="A288" s="0" t="s">
        <v>1234</v>
      </c>
      <c r="B288" s="3" t="n">
        <f aca="false">IF(AJ288="","",IF(ISNUMBER(SEARCH("/",AJ288)),DATE(VALUE(RIGHT(AJ288,4)),VALUE(LEFT(AJ288,2)),VALUE(MID(AJ288,4,2))),IF(ISNUMBER(SEARCH("-",AJ288)),IF(LEN(LEFT(AJ288,FIND("-",AJ288)-1))=4,DATE(VALUE(LEFT(AJ288,4)),VALUE(MID(AJ288,6,2)),VALUE(RIGHT(AJ288,2))),DATE(VALUE(RIGHT(AJ288,4)),VALUE(MID(AJ288,4,2)),VALUE(LEFT(AJ288,2)))),DATE(VALUE(RIGHT(AJ288,4)),MATCH(MID(AJ288,4,3),{"Jan","Feb","Mar","Apr","May","Jun","Jul","Aug","Sep","Oct","Nov","Dec"},0),VALUE(LEFT(AJ288,2))))))</f>
        <v>45350</v>
      </c>
      <c r="C288" s="3" t="n">
        <f aca="false">IF(AK288="","",IF(ISNUMBER(SEARCH("/",AK288)),DATE(VALUE(RIGHT(AK288,4)),VALUE(LEFT(AK288,2)),VALUE(MID(AK288,4,2))),IF(ISNUMBER(SEARCH("-",AK288)),IF(LEN(LEFT(AK288,FIND("-",AK288)-1))=4,DATE(VALUE(LEFT(AK288,4)),VALUE(MID(AK288,6,2)),VALUE(RIGHT(AK288,2))),DATE(VALUE(RIGHT(AK288,4)),VALUE(MID(AK288,4,2)),VALUE(LEFT(AK288,2)))),DATE(VALUE(RIGHT(AK288,4)),MATCH(MID(AK288,4,3),{"Jan","Feb","Mar","Apr","May","Jun","Jul","Aug","Sep","Oct","Nov","Dec"},0),VALUE(LEFT(AK288,2))))))</f>
        <v>45353</v>
      </c>
      <c r="D288" s="4" t="s">
        <v>1235</v>
      </c>
      <c r="E288" s="0" t="str">
        <f aca="false">PROPER(TRIM(AL288))</f>
        <v>Priya Menon</v>
      </c>
      <c r="F288" s="0" t="str">
        <f aca="false">PROPER(TRIM(AM288))</f>
        <v>Small Business</v>
      </c>
      <c r="G288" s="0" t="str">
        <f aca="false">IF(TRIM(AN288)="","Unknown",PROPER(TRIM(AN288)))</f>
        <v>North</v>
      </c>
      <c r="H288" s="0" t="str">
        <f aca="false">PROPER(TRIM(AO288))</f>
        <v>Delhi</v>
      </c>
      <c r="I288" s="0" t="str">
        <f aca="false">PROPER(TRIM(AP288))</f>
        <v>New Delhi</v>
      </c>
      <c r="J288" s="0" t="str">
        <f aca="false">PROPER(TRIM(AQ288))</f>
        <v>Furniture</v>
      </c>
      <c r="K288" s="0" t="str">
        <f aca="false">PROPER(TRIM(AR288))</f>
        <v>Furnishings</v>
      </c>
      <c r="M288" s="0" t="str">
        <f aca="false">IF(TRIM(AS288)="","Unknown",PROPER(TRIM(AS288)))</f>
        <v>First Class</v>
      </c>
      <c r="N288" s="0" t="n">
        <v>7</v>
      </c>
      <c r="O288" s="0" t="n">
        <v>701.8</v>
      </c>
      <c r="P288" s="5" t="n">
        <f aca="false">IF(AT288="","",IF(ISNUMBER(AT288),AT288,VALUE(SUBSTITUTE(AT288,"%",""))/100))</f>
        <v>0.1</v>
      </c>
      <c r="Q288" s="5" t="n">
        <f aca="false">IF(P288="",IF(AND(N288&lt;&gt;"",O288&lt;&gt;"",R288&lt;&gt;"",S288&lt;&gt;""),0,"REVIEW"),IF(OR(P288&lt;0,P288&gt;0.3),0,P288))</f>
        <v>0.1</v>
      </c>
      <c r="R288" s="0" t="n">
        <v>4421.34</v>
      </c>
      <c r="S288" s="0" t="n">
        <v>2489.98</v>
      </c>
      <c r="T288" s="6" t="n">
        <f aca="false">N288*O288*(1-Q288)</f>
        <v>4421.34</v>
      </c>
      <c r="U288" s="6" t="n">
        <f aca="false">T288-S288</f>
        <v>1931.36</v>
      </c>
      <c r="V288" s="7" t="n">
        <f aca="false">IF(T288=0,0,U288/T288)</f>
        <v>0.436826844350355</v>
      </c>
      <c r="W288" s="4" t="n">
        <f aca="false">C288-B288</f>
        <v>3</v>
      </c>
      <c r="X288" s="0" t="str">
        <f aca="false">TEXT(B288,"mmmm")</f>
        <v>February</v>
      </c>
      <c r="Y288" s="4" t="n">
        <f aca="false">YEAR(B288)</f>
        <v>2024</v>
      </c>
      <c r="Z288" s="0" t="str">
        <f aca="false">PROPER(TRIM(AU288))</f>
        <v>Pending</v>
      </c>
      <c r="AA288" s="0" t="str">
        <f aca="false">PROPER(TRIM(AV288))</f>
        <v>Returned</v>
      </c>
      <c r="AB288" s="0" t="str">
        <f aca="false">IF(TRIM(AN288)="","Yes","No")</f>
        <v>No</v>
      </c>
      <c r="AC288" s="0" t="str">
        <f aca="false">IF(TRIM(AS288)="","Yes","No")</f>
        <v>No</v>
      </c>
      <c r="AD288" s="0" t="str">
        <f aca="false">IF(AT288="","Yes","No")</f>
        <v>No</v>
      </c>
      <c r="AE288" s="0" t="str">
        <f aca="false">IF(W288&lt;0,"Yes","No")</f>
        <v>No</v>
      </c>
      <c r="AF288" s="0" t="str">
        <f aca="false">IF(P288="","No",IF(OR(P288&lt;0,P288&gt;0.3),"Yes","No"))</f>
        <v>No</v>
      </c>
      <c r="AG288" s="4" t="s">
        <v>50</v>
      </c>
      <c r="AH288" s="0" t="str">
        <f aca="false">IF(AND(AA288="Completed",Z288="Paid"),"Yes","No")</f>
        <v>No</v>
      </c>
      <c r="AI288" s="0" t="str">
        <f aca="false">IF(OR(AE288="Yes",AF288="Yes",AG288="Yes"),"Invalid",IF(OR(AB288="Yes",AC288="Yes",AD288="Yes"),"Warning","Clean"))</f>
        <v>Clean</v>
      </c>
      <c r="AJ288" s="4" t="s">
        <v>1236</v>
      </c>
      <c r="AK288" s="4" t="s">
        <v>1237</v>
      </c>
      <c r="AL288" s="4" t="s">
        <v>158</v>
      </c>
      <c r="AM288" s="4" t="s">
        <v>68</v>
      </c>
      <c r="AN288" s="4" t="s">
        <v>168</v>
      </c>
      <c r="AO288" s="4" t="s">
        <v>461</v>
      </c>
      <c r="AP288" s="4" t="s">
        <v>462</v>
      </c>
      <c r="AQ288" s="4" t="s">
        <v>72</v>
      </c>
      <c r="AR288" s="4" t="s">
        <v>90</v>
      </c>
      <c r="AS288" s="4" t="s">
        <v>81</v>
      </c>
      <c r="AT288" s="0" t="n">
        <v>0.1</v>
      </c>
      <c r="AU288" s="4" t="s">
        <v>153</v>
      </c>
      <c r="AV288" s="4" t="s">
        <v>142</v>
      </c>
    </row>
    <row r="289" customFormat="false" ht="15" hidden="false" customHeight="false" outlineLevel="0" collapsed="false">
      <c r="A289" s="0" t="s">
        <v>1238</v>
      </c>
      <c r="B289" s="3" t="n">
        <f aca="false">IF(AJ289="","",IF(ISNUMBER(SEARCH("/",AJ289)),DATE(VALUE(RIGHT(AJ289,4)),VALUE(LEFT(AJ289,2)),VALUE(MID(AJ289,4,2))),IF(ISNUMBER(SEARCH("-",AJ289)),IF(LEN(LEFT(AJ289,FIND("-",AJ289)-1))=4,DATE(VALUE(LEFT(AJ289,4)),VALUE(MID(AJ289,6,2)),VALUE(RIGHT(AJ289,2))),DATE(VALUE(RIGHT(AJ289,4)),VALUE(MID(AJ289,4,2)),VALUE(LEFT(AJ289,2)))),DATE(VALUE(RIGHT(AJ289,4)),MATCH(MID(AJ289,4,3),{"Jan","Feb","Mar","Apr","May","Jun","Jul","Aug","Sep","Oct","Nov","Dec"},0),VALUE(LEFT(AJ289,2))))))</f>
        <v>45540</v>
      </c>
      <c r="C289" s="3" t="n">
        <f aca="false">IF(AK289="","",IF(ISNUMBER(SEARCH("/",AK289)),DATE(VALUE(RIGHT(AK289,4)),VALUE(LEFT(AK289,2)),VALUE(MID(AK289,4,2))),IF(ISNUMBER(SEARCH("-",AK289)),IF(LEN(LEFT(AK289,FIND("-",AK289)-1))=4,DATE(VALUE(LEFT(AK289,4)),VALUE(MID(AK289,6,2)),VALUE(RIGHT(AK289,2))),DATE(VALUE(RIGHT(AK289,4)),VALUE(MID(AK289,4,2)),VALUE(LEFT(AK289,2)))),DATE(VALUE(RIGHT(AK289,4)),MATCH(MID(AK289,4,3),{"Jan","Feb","Mar","Apr","May","Jun","Jul","Aug","Sep","Oct","Nov","Dec"},0),VALUE(LEFT(AK289,2))))))</f>
        <v>45542</v>
      </c>
      <c r="D289" s="4" t="s">
        <v>1239</v>
      </c>
      <c r="E289" s="0" t="str">
        <f aca="false">PROPER(TRIM(AL289))</f>
        <v>Neha Gupta</v>
      </c>
      <c r="F289" s="0" t="str">
        <f aca="false">PROPER(TRIM(AM289))</f>
        <v>Small Business</v>
      </c>
      <c r="G289" s="0" t="str">
        <f aca="false">IF(TRIM(AN289)="","Unknown",PROPER(TRIM(AN289)))</f>
        <v>South</v>
      </c>
      <c r="H289" s="0" t="str">
        <f aca="false">PROPER(TRIM(AO289))</f>
        <v>Tamil Nadu</v>
      </c>
      <c r="I289" s="0" t="str">
        <f aca="false">PROPER(TRIM(AP289))</f>
        <v>Chennai</v>
      </c>
      <c r="J289" s="0" t="str">
        <f aca="false">PROPER(TRIM(AQ289))</f>
        <v>Technology</v>
      </c>
      <c r="K289" s="0" t="str">
        <f aca="false">PROPER(TRIM(AR289))</f>
        <v>Copiers</v>
      </c>
      <c r="M289" s="0" t="str">
        <f aca="false">IF(TRIM(AS289)="","Unknown",PROPER(TRIM(AS289)))</f>
        <v>Standard Class</v>
      </c>
      <c r="N289" s="0" t="n">
        <v>3</v>
      </c>
      <c r="O289" s="0" t="n">
        <v>2555.66</v>
      </c>
      <c r="P289" s="5" t="n">
        <f aca="false">IF(AT289="","",IF(ISNUMBER(AT289),AT289,VALUE(SUBSTITUTE(AT289,"%",""))/100))</f>
        <v>0.15</v>
      </c>
      <c r="Q289" s="5" t="n">
        <f aca="false">IF(P289="",IF(AND(N289&lt;&gt;"",O289&lt;&gt;"",R289&lt;&gt;"",S289&lt;&gt;""),0,"REVIEW"),IF(OR(P289&lt;0,P289&gt;0.3),0,P289))</f>
        <v>0.15</v>
      </c>
      <c r="R289" s="0" t="n">
        <v>6516.93</v>
      </c>
      <c r="S289" s="0" t="n">
        <v>4511.54</v>
      </c>
      <c r="T289" s="6" t="n">
        <f aca="false">N289*O289*(1-Q289)</f>
        <v>6516.933</v>
      </c>
      <c r="U289" s="6" t="n">
        <f aca="false">T289-S289</f>
        <v>2005.393</v>
      </c>
      <c r="V289" s="7" t="n">
        <f aca="false">IF(T289=0,0,U289/T289)</f>
        <v>0.307720364778953</v>
      </c>
      <c r="W289" s="4" t="n">
        <f aca="false">C289-B289</f>
        <v>2</v>
      </c>
      <c r="X289" s="0" t="str">
        <f aca="false">TEXT(B289,"mmmm")</f>
        <v>September</v>
      </c>
      <c r="Y289" s="4" t="n">
        <f aca="false">YEAR(B289)</f>
        <v>2024</v>
      </c>
      <c r="Z289" s="0" t="str">
        <f aca="false">PROPER(TRIM(AU289))</f>
        <v>Paid</v>
      </c>
      <c r="AA289" s="0" t="str">
        <f aca="false">PROPER(TRIM(AV289))</f>
        <v>Cancelled</v>
      </c>
      <c r="AB289" s="0" t="str">
        <f aca="false">IF(TRIM(AN289)="","Yes","No")</f>
        <v>No</v>
      </c>
      <c r="AC289" s="0" t="str">
        <f aca="false">IF(TRIM(AS289)="","Yes","No")</f>
        <v>No</v>
      </c>
      <c r="AD289" s="0" t="str">
        <f aca="false">IF(AT289="","Yes","No")</f>
        <v>No</v>
      </c>
      <c r="AE289" s="0" t="str">
        <f aca="false">IF(W289&lt;0,"Yes","No")</f>
        <v>No</v>
      </c>
      <c r="AF289" s="0" t="str">
        <f aca="false">IF(P289="","No",IF(OR(P289&lt;0,P289&gt;0.3),"Yes","No"))</f>
        <v>No</v>
      </c>
      <c r="AG289" s="4" t="s">
        <v>50</v>
      </c>
      <c r="AH289" s="0" t="str">
        <f aca="false">IF(AND(AA289="Completed",Z289="Paid"),"Yes","No")</f>
        <v>No</v>
      </c>
      <c r="AI289" s="0" t="str">
        <f aca="false">IF(OR(AE289="Yes",AF289="Yes",AG289="Yes"),"Invalid",IF(OR(AB289="Yes",AC289="Yes",AD289="Yes"),"Warning","Clean"))</f>
        <v>Clean</v>
      </c>
      <c r="AJ289" s="4" t="s">
        <v>1240</v>
      </c>
      <c r="AK289" s="4" t="s">
        <v>1241</v>
      </c>
      <c r="AL289" s="4" t="s">
        <v>115</v>
      </c>
      <c r="AM289" s="4" t="s">
        <v>68</v>
      </c>
      <c r="AN289" s="4" t="s">
        <v>87</v>
      </c>
      <c r="AO289" s="4" t="s">
        <v>323</v>
      </c>
      <c r="AP289" s="4" t="s">
        <v>324</v>
      </c>
      <c r="AQ289" s="4" t="s">
        <v>109</v>
      </c>
      <c r="AR289" s="4" t="s">
        <v>116</v>
      </c>
      <c r="AS289" s="4" t="s">
        <v>91</v>
      </c>
      <c r="AT289" s="0" t="n">
        <v>0.15</v>
      </c>
      <c r="AU289" s="4" t="s">
        <v>61</v>
      </c>
      <c r="AV289" s="4" t="s">
        <v>101</v>
      </c>
    </row>
    <row r="290" customFormat="false" ht="15" hidden="false" customHeight="false" outlineLevel="0" collapsed="false">
      <c r="A290" s="0" t="s">
        <v>1242</v>
      </c>
      <c r="B290" s="3" t="n">
        <f aca="false">IF(AJ290="","",IF(ISNUMBER(SEARCH("/",AJ290)),DATE(VALUE(RIGHT(AJ290,4)),VALUE(LEFT(AJ290,2)),VALUE(MID(AJ290,4,2))),IF(ISNUMBER(SEARCH("-",AJ290)),IF(LEN(LEFT(AJ290,FIND("-",AJ290)-1))=4,DATE(VALUE(LEFT(AJ290,4)),VALUE(MID(AJ290,6,2)),VALUE(RIGHT(AJ290,2))),DATE(VALUE(RIGHT(AJ290,4)),VALUE(MID(AJ290,4,2)),VALUE(LEFT(AJ290,2)))),DATE(VALUE(RIGHT(AJ290,4)),MATCH(MID(AJ290,4,3),{"Jan","Feb","Mar","Apr","May","Jun","Jul","Aug","Sep","Oct","Nov","Dec"},0),VALUE(LEFT(AJ290,2))))))</f>
        <v>45467</v>
      </c>
      <c r="C290" s="3" t="n">
        <f aca="false">IF(AK290="","",IF(ISNUMBER(SEARCH("/",AK290)),DATE(VALUE(RIGHT(AK290,4)),VALUE(LEFT(AK290,2)),VALUE(MID(AK290,4,2))),IF(ISNUMBER(SEARCH("-",AK290)),IF(LEN(LEFT(AK290,FIND("-",AK290)-1))=4,DATE(VALUE(LEFT(AK290,4)),VALUE(MID(AK290,6,2)),VALUE(RIGHT(AK290,2))),DATE(VALUE(RIGHT(AK290,4)),VALUE(MID(AK290,4,2)),VALUE(LEFT(AK290,2)))),DATE(VALUE(RIGHT(AK290,4)),MATCH(MID(AK290,4,3),{"Jan","Feb","Mar","Apr","May","Jun","Jul","Aug","Sep","Oct","Nov","Dec"},0),VALUE(LEFT(AK290,2))))))</f>
        <v>45467</v>
      </c>
      <c r="D290" s="4" t="s">
        <v>1243</v>
      </c>
      <c r="E290" s="0" t="str">
        <f aca="false">PROPER(TRIM(AL290))</f>
        <v>Rohan Mehta</v>
      </c>
      <c r="F290" s="0" t="str">
        <f aca="false">PROPER(TRIM(AM290))</f>
        <v>Small Business</v>
      </c>
      <c r="G290" s="0" t="str">
        <f aca="false">IF(TRIM(AN290)="","Unknown",PROPER(TRIM(AN290)))</f>
        <v>East</v>
      </c>
      <c r="H290" s="0" t="str">
        <f aca="false">PROPER(TRIM(AO290))</f>
        <v>Bihar</v>
      </c>
      <c r="I290" s="0" t="str">
        <f aca="false">PROPER(TRIM(AP290))</f>
        <v>Patna</v>
      </c>
      <c r="J290" s="0" t="str">
        <f aca="false">PROPER(TRIM(AQ290))</f>
        <v>Office Supplies</v>
      </c>
      <c r="K290" s="0" t="str">
        <f aca="false">PROPER(TRIM(AR290))</f>
        <v>Binders</v>
      </c>
      <c r="M290" s="0" t="str">
        <f aca="false">IF(TRIM(AS290)="","Unknown",PROPER(TRIM(AS290)))</f>
        <v>Same Day</v>
      </c>
      <c r="N290" s="0" t="n">
        <v>2</v>
      </c>
      <c r="O290" s="0" t="n">
        <v>4359.9</v>
      </c>
      <c r="P290" s="5" t="n">
        <f aca="false">IF(AT290="","",IF(ISNUMBER(AT290),AT290,VALUE(SUBSTITUTE(AT290,"%",""))/100))</f>
        <v>0.15</v>
      </c>
      <c r="Q290" s="5" t="n">
        <f aca="false">IF(P290="",IF(AND(N290&lt;&gt;"",O290&lt;&gt;"",R290&lt;&gt;"",S290&lt;&gt;""),0,"REVIEW"),IF(OR(P290&lt;0,P290&gt;0.3),0,P290))</f>
        <v>0.15</v>
      </c>
      <c r="R290" s="0" t="n">
        <v>7411.83</v>
      </c>
      <c r="S290" s="0" t="n">
        <v>4904.63</v>
      </c>
      <c r="T290" s="6" t="n">
        <f aca="false">N290*O290*(1-Q290)</f>
        <v>7411.83</v>
      </c>
      <c r="U290" s="6" t="n">
        <f aca="false">T290-S290</f>
        <v>2507.2</v>
      </c>
      <c r="V290" s="7" t="n">
        <f aca="false">IF(T290=0,0,U290/T290)</f>
        <v>0.338270035875081</v>
      </c>
      <c r="W290" s="4" t="n">
        <f aca="false">C290-B290</f>
        <v>0</v>
      </c>
      <c r="X290" s="0" t="str">
        <f aca="false">TEXT(B290,"mmmm")</f>
        <v>June</v>
      </c>
      <c r="Y290" s="4" t="n">
        <f aca="false">YEAR(B290)</f>
        <v>2024</v>
      </c>
      <c r="Z290" s="0" t="str">
        <f aca="false">PROPER(TRIM(AU290))</f>
        <v>Paid</v>
      </c>
      <c r="AA290" s="0" t="str">
        <f aca="false">PROPER(TRIM(AV290))</f>
        <v>Completed</v>
      </c>
      <c r="AB290" s="0" t="str">
        <f aca="false">IF(TRIM(AN290)="","Yes","No")</f>
        <v>No</v>
      </c>
      <c r="AC290" s="0" t="str">
        <f aca="false">IF(TRIM(AS290)="","Yes","No")</f>
        <v>No</v>
      </c>
      <c r="AD290" s="0" t="str">
        <f aca="false">IF(AT290="","Yes","No")</f>
        <v>No</v>
      </c>
      <c r="AE290" s="0" t="str">
        <f aca="false">IF(W290&lt;0,"Yes","No")</f>
        <v>No</v>
      </c>
      <c r="AF290" s="0" t="str">
        <f aca="false">IF(P290="","No",IF(OR(P290&lt;0,P290&gt;0.3),"Yes","No"))</f>
        <v>No</v>
      </c>
      <c r="AG290" s="4" t="s">
        <v>50</v>
      </c>
      <c r="AH290" s="0" t="str">
        <f aca="false">IF(AND(AA290="Completed",Z290="Paid"),"Yes","No")</f>
        <v>Yes</v>
      </c>
      <c r="AI290" s="0" t="str">
        <f aca="false">IF(OR(AE290="Yes",AF290="Yes",AG290="Yes"),"Invalid",IF(OR(AB290="Yes",AC290="Yes",AD290="Yes"),"Warning","Clean"))</f>
        <v>Clean</v>
      </c>
      <c r="AJ290" s="4" t="s">
        <v>1244</v>
      </c>
      <c r="AK290" s="4" t="s">
        <v>1244</v>
      </c>
      <c r="AL290" s="4" t="s">
        <v>191</v>
      </c>
      <c r="AM290" s="4" t="s">
        <v>68</v>
      </c>
      <c r="AN290" s="4" t="s">
        <v>69</v>
      </c>
      <c r="AO290" s="4" t="s">
        <v>196</v>
      </c>
      <c r="AP290" s="4" t="s">
        <v>197</v>
      </c>
      <c r="AQ290" s="4" t="s">
        <v>58</v>
      </c>
      <c r="AR290" s="4" t="s">
        <v>206</v>
      </c>
      <c r="AS290" s="4" t="s">
        <v>74</v>
      </c>
      <c r="AT290" s="0" t="n">
        <v>0.15</v>
      </c>
      <c r="AU290" s="4" t="s">
        <v>61</v>
      </c>
      <c r="AV290" s="4" t="s">
        <v>62</v>
      </c>
    </row>
    <row r="291" customFormat="false" ht="15" hidden="false" customHeight="false" outlineLevel="0" collapsed="false">
      <c r="A291" s="0" t="s">
        <v>1245</v>
      </c>
      <c r="B291" s="3" t="n">
        <f aca="false">IF(AJ291="","",IF(ISNUMBER(SEARCH("/",AJ291)),DATE(VALUE(RIGHT(AJ291,4)),VALUE(LEFT(AJ291,2)),VALUE(MID(AJ291,4,2))),IF(ISNUMBER(SEARCH("-",AJ291)),IF(LEN(LEFT(AJ291,FIND("-",AJ291)-1))=4,DATE(VALUE(LEFT(AJ291,4)),VALUE(MID(AJ291,6,2)),VALUE(RIGHT(AJ291,2))),DATE(VALUE(RIGHT(AJ291,4)),VALUE(MID(AJ291,4,2)),VALUE(LEFT(AJ291,2)))),DATE(VALUE(RIGHT(AJ291,4)),MATCH(MID(AJ291,4,3),{"Jan","Feb","Mar","Apr","May","Jun","Jul","Aug","Sep","Oct","Nov","Dec"},0),VALUE(LEFT(AJ291,2))))))</f>
        <v>45827</v>
      </c>
      <c r="C291" s="3" t="n">
        <f aca="false">IF(AK291="","",IF(ISNUMBER(SEARCH("/",AK291)),DATE(VALUE(RIGHT(AK291,4)),VALUE(LEFT(AK291,2)),VALUE(MID(AK291,4,2))),IF(ISNUMBER(SEARCH("-",AK291)),IF(LEN(LEFT(AK291,FIND("-",AK291)-1))=4,DATE(VALUE(LEFT(AK291,4)),VALUE(MID(AK291,6,2)),VALUE(RIGHT(AK291,2))),DATE(VALUE(RIGHT(AK291,4)),VALUE(MID(AK291,4,2)),VALUE(LEFT(AK291,2)))),DATE(VALUE(RIGHT(AK291,4)),MATCH(MID(AK291,4,3),{"Jan","Feb","Mar","Apr","May","Jun","Jul","Aug","Sep","Oct","Nov","Dec"},0),VALUE(LEFT(AK291,2))))))</f>
        <v>45835</v>
      </c>
      <c r="D291" s="4" t="s">
        <v>1246</v>
      </c>
      <c r="E291" s="0" t="str">
        <f aca="false">PROPER(TRIM(AL291))</f>
        <v>Karan Malhotra</v>
      </c>
      <c r="F291" s="0" t="str">
        <f aca="false">PROPER(TRIM(AM291))</f>
        <v>Home Office</v>
      </c>
      <c r="G291" s="0" t="str">
        <f aca="false">IF(TRIM(AN291)="","Unknown",PROPER(TRIM(AN291)))</f>
        <v>South</v>
      </c>
      <c r="H291" s="0" t="str">
        <f aca="false">PROPER(TRIM(AO291))</f>
        <v>Tamil Nadu</v>
      </c>
      <c r="I291" s="0" t="str">
        <f aca="false">PROPER(TRIM(AP291))</f>
        <v>Chennai</v>
      </c>
      <c r="J291" s="0" t="str">
        <f aca="false">PROPER(TRIM(AQ291))</f>
        <v>Furniture</v>
      </c>
      <c r="K291" s="0" t="str">
        <f aca="false">PROPER(TRIM(AR291))</f>
        <v>Bookcases</v>
      </c>
      <c r="M291" s="0" t="str">
        <f aca="false">IF(TRIM(AS291)="","Unknown",PROPER(TRIM(AS291)))</f>
        <v>First Class</v>
      </c>
      <c r="N291" s="0" t="n">
        <v>2</v>
      </c>
      <c r="O291" s="0" t="n">
        <v>4346.69</v>
      </c>
      <c r="P291" s="5" t="n">
        <f aca="false">IF(AT291="","",IF(ISNUMBER(AT291),AT291,VALUE(SUBSTITUTE(AT291,"%",""))/100))</f>
        <v>0.05</v>
      </c>
      <c r="Q291" s="5" t="n">
        <f aca="false">IF(P291="",IF(AND(N291&lt;&gt;"",O291&lt;&gt;"",R291&lt;&gt;"",S291&lt;&gt;""),0,"REVIEW"),IF(OR(P291&lt;0,P291&gt;0.3),0,P291))</f>
        <v>0.05</v>
      </c>
      <c r="R291" s="0" t="n">
        <v>8258.71</v>
      </c>
      <c r="S291" s="0" t="n">
        <v>7018.97</v>
      </c>
      <c r="T291" s="6" t="n">
        <f aca="false">N291*O291*(1-Q291)</f>
        <v>8258.711</v>
      </c>
      <c r="U291" s="6" t="n">
        <f aca="false">T291-S291</f>
        <v>1239.741</v>
      </c>
      <c r="V291" s="7" t="n">
        <f aca="false">IF(T291=0,0,U291/T291)</f>
        <v>0.150113135088514</v>
      </c>
      <c r="W291" s="4" t="n">
        <f aca="false">C291-B291</f>
        <v>8</v>
      </c>
      <c r="X291" s="0" t="str">
        <f aca="false">TEXT(B291,"mmmm")</f>
        <v>June</v>
      </c>
      <c r="Y291" s="4" t="n">
        <f aca="false">YEAR(B291)</f>
        <v>2025</v>
      </c>
      <c r="Z291" s="0" t="str">
        <f aca="false">PROPER(TRIM(AU291))</f>
        <v>Paid</v>
      </c>
      <c r="AA291" s="0" t="str">
        <f aca="false">PROPER(TRIM(AV291))</f>
        <v>Completed</v>
      </c>
      <c r="AB291" s="0" t="str">
        <f aca="false">IF(TRIM(AN291)="","Yes","No")</f>
        <v>No</v>
      </c>
      <c r="AC291" s="0" t="str">
        <f aca="false">IF(TRIM(AS291)="","Yes","No")</f>
        <v>No</v>
      </c>
      <c r="AD291" s="0" t="str">
        <f aca="false">IF(AT291="","Yes","No")</f>
        <v>No</v>
      </c>
      <c r="AE291" s="0" t="str">
        <f aca="false">IF(W291&lt;0,"Yes","No")</f>
        <v>No</v>
      </c>
      <c r="AF291" s="0" t="str">
        <f aca="false">IF(P291="","No",IF(OR(P291&lt;0,P291&gt;0.3),"Yes","No"))</f>
        <v>No</v>
      </c>
      <c r="AG291" s="4" t="s">
        <v>50</v>
      </c>
      <c r="AH291" s="0" t="str">
        <f aca="false">IF(AND(AA291="Completed",Z291="Paid"),"Yes","No")</f>
        <v>Yes</v>
      </c>
      <c r="AI291" s="0" t="str">
        <f aca="false">IF(OR(AE291="Yes",AF291="Yes",AG291="Yes"),"Invalid",IF(OR(AB291="Yes",AC291="Yes",AD291="Yes"),"Warning","Clean"))</f>
        <v>Clean</v>
      </c>
      <c r="AJ291" s="4" t="s">
        <v>255</v>
      </c>
      <c r="AK291" s="4" t="s">
        <v>577</v>
      </c>
      <c r="AL291" s="4" t="s">
        <v>53</v>
      </c>
      <c r="AM291" s="4" t="s">
        <v>134</v>
      </c>
      <c r="AN291" s="4" t="s">
        <v>87</v>
      </c>
      <c r="AO291" s="4" t="s">
        <v>323</v>
      </c>
      <c r="AP291" s="4" t="s">
        <v>324</v>
      </c>
      <c r="AQ291" s="4" t="s">
        <v>72</v>
      </c>
      <c r="AR291" s="4" t="s">
        <v>211</v>
      </c>
      <c r="AS291" s="4" t="s">
        <v>81</v>
      </c>
      <c r="AT291" s="0" t="n">
        <v>0.05</v>
      </c>
      <c r="AU291" s="4" t="s">
        <v>61</v>
      </c>
      <c r="AV291" s="4" t="s">
        <v>62</v>
      </c>
    </row>
    <row r="292" customFormat="false" ht="15" hidden="false" customHeight="false" outlineLevel="0" collapsed="false">
      <c r="A292" s="0" t="s">
        <v>1247</v>
      </c>
      <c r="B292" s="3" t="n">
        <f aca="false">IF(AJ292="","",IF(ISNUMBER(SEARCH("/",AJ292)),DATE(VALUE(RIGHT(AJ292,4)),VALUE(LEFT(AJ292,2)),VALUE(MID(AJ292,4,2))),IF(ISNUMBER(SEARCH("-",AJ292)),IF(LEN(LEFT(AJ292,FIND("-",AJ292)-1))=4,DATE(VALUE(LEFT(AJ292,4)),VALUE(MID(AJ292,6,2)),VALUE(RIGHT(AJ292,2))),DATE(VALUE(RIGHT(AJ292,4)),VALUE(MID(AJ292,4,2)),VALUE(LEFT(AJ292,2)))),DATE(VALUE(RIGHT(AJ292,4)),MATCH(MID(AJ292,4,3),{"Jan","Feb","Mar","Apr","May","Jun","Jul","Aug","Sep","Oct","Nov","Dec"},0),VALUE(LEFT(AJ292,2))))))</f>
        <v>45891</v>
      </c>
      <c r="C292" s="3" t="n">
        <f aca="false">IF(AK292="","",IF(ISNUMBER(SEARCH("/",AK292)),DATE(VALUE(RIGHT(AK292,4)),VALUE(LEFT(AK292,2)),VALUE(MID(AK292,4,2))),IF(ISNUMBER(SEARCH("-",AK292)),IF(LEN(LEFT(AK292,FIND("-",AK292)-1))=4,DATE(VALUE(LEFT(AK292,4)),VALUE(MID(AK292,6,2)),VALUE(RIGHT(AK292,2))),DATE(VALUE(RIGHT(AK292,4)),VALUE(MID(AK292,4,2)),VALUE(LEFT(AK292,2)))),DATE(VALUE(RIGHT(AK292,4)),MATCH(MID(AK292,4,3),{"Jan","Feb","Mar","Apr","May","Jun","Jul","Aug","Sep","Oct","Nov","Dec"},0),VALUE(LEFT(AK292,2))))))</f>
        <v>45895</v>
      </c>
      <c r="D292" s="4" t="s">
        <v>1248</v>
      </c>
      <c r="E292" s="0" t="str">
        <f aca="false">PROPER(TRIM(AL292))</f>
        <v>Diya Patel</v>
      </c>
      <c r="F292" s="0" t="str">
        <f aca="false">PROPER(TRIM(AM292))</f>
        <v>Home Office</v>
      </c>
      <c r="G292" s="0" t="str">
        <f aca="false">IF(TRIM(AN292)="","Unknown",PROPER(TRIM(AN292)))</f>
        <v>East</v>
      </c>
      <c r="H292" s="0" t="str">
        <f aca="false">PROPER(TRIM(AO292))</f>
        <v>Jharkhand</v>
      </c>
      <c r="I292" s="0" t="str">
        <f aca="false">PROPER(TRIM(AP292))</f>
        <v>Ranchi</v>
      </c>
      <c r="J292" s="0" t="str">
        <f aca="false">PROPER(TRIM(AQ292))</f>
        <v>Furniture</v>
      </c>
      <c r="K292" s="0" t="str">
        <f aca="false">PROPER(TRIM(AR292))</f>
        <v>Tables</v>
      </c>
      <c r="M292" s="0" t="str">
        <f aca="false">IF(TRIM(AS292)="","Unknown",PROPER(TRIM(AS292)))</f>
        <v>Standard Class</v>
      </c>
      <c r="N292" s="0" t="n">
        <v>1</v>
      </c>
      <c r="O292" s="0" t="n">
        <v>1842.63</v>
      </c>
      <c r="P292" s="5" t="n">
        <f aca="false">IF(AT292="","",IF(ISNUMBER(AT292),AT292,VALUE(SUBSTITUTE(AT292,"%",""))/100))</f>
        <v>0.1</v>
      </c>
      <c r="Q292" s="5" t="n">
        <f aca="false">IF(P292="",IF(AND(N292&lt;&gt;"",O292&lt;&gt;"",R292&lt;&gt;"",S292&lt;&gt;""),0,"REVIEW"),IF(OR(P292&lt;0,P292&gt;0.3),0,P292))</f>
        <v>0.1</v>
      </c>
      <c r="R292" s="0" t="n">
        <v>1658.37</v>
      </c>
      <c r="S292" s="0" t="n">
        <v>971.12</v>
      </c>
      <c r="T292" s="6" t="n">
        <f aca="false">N292*O292*(1-Q292)</f>
        <v>1658.367</v>
      </c>
      <c r="U292" s="6" t="n">
        <f aca="false">T292-S292</f>
        <v>687.247</v>
      </c>
      <c r="V292" s="7" t="n">
        <f aca="false">IF(T292=0,0,U292/T292)</f>
        <v>0.414411888321463</v>
      </c>
      <c r="W292" s="4" t="n">
        <f aca="false">C292-B292</f>
        <v>4</v>
      </c>
      <c r="X292" s="0" t="str">
        <f aca="false">TEXT(B292,"mmmm")</f>
        <v>August</v>
      </c>
      <c r="Y292" s="4" t="n">
        <f aca="false">YEAR(B292)</f>
        <v>2025</v>
      </c>
      <c r="Z292" s="0" t="str">
        <f aca="false">PROPER(TRIM(AU292))</f>
        <v>Paid</v>
      </c>
      <c r="AA292" s="0" t="str">
        <f aca="false">PROPER(TRIM(AV292))</f>
        <v>Completed</v>
      </c>
      <c r="AB292" s="0" t="str">
        <f aca="false">IF(TRIM(AN292)="","Yes","No")</f>
        <v>No</v>
      </c>
      <c r="AC292" s="0" t="str">
        <f aca="false">IF(TRIM(AS292)="","Yes","No")</f>
        <v>No</v>
      </c>
      <c r="AD292" s="0" t="str">
        <f aca="false">IF(AT292="","Yes","No")</f>
        <v>No</v>
      </c>
      <c r="AE292" s="0" t="str">
        <f aca="false">IF(W292&lt;0,"Yes","No")</f>
        <v>No</v>
      </c>
      <c r="AF292" s="0" t="str">
        <f aca="false">IF(P292="","No",IF(OR(P292&lt;0,P292&gt;0.3),"Yes","No"))</f>
        <v>No</v>
      </c>
      <c r="AG292" s="4" t="s">
        <v>50</v>
      </c>
      <c r="AH292" s="0" t="str">
        <f aca="false">IF(AND(AA292="Completed",Z292="Paid"),"Yes","No")</f>
        <v>Yes</v>
      </c>
      <c r="AI292" s="0" t="str">
        <f aca="false">IF(OR(AE292="Yes",AF292="Yes",AG292="Yes"),"Invalid",IF(OR(AB292="Yes",AC292="Yes",AD292="Yes"),"Warning","Clean"))</f>
        <v>Clean</v>
      </c>
      <c r="AJ292" s="4" t="s">
        <v>1249</v>
      </c>
      <c r="AK292" s="4" t="s">
        <v>1250</v>
      </c>
      <c r="AL292" s="4" t="s">
        <v>216</v>
      </c>
      <c r="AM292" s="4" t="s">
        <v>134</v>
      </c>
      <c r="AN292" s="4" t="s">
        <v>69</v>
      </c>
      <c r="AO292" s="4" t="s">
        <v>300</v>
      </c>
      <c r="AP292" s="4" t="s">
        <v>301</v>
      </c>
      <c r="AQ292" s="4" t="s">
        <v>72</v>
      </c>
      <c r="AR292" s="4" t="s">
        <v>73</v>
      </c>
      <c r="AS292" s="4" t="s">
        <v>91</v>
      </c>
      <c r="AT292" s="0" t="n">
        <v>0.1</v>
      </c>
      <c r="AU292" s="4" t="s">
        <v>61</v>
      </c>
      <c r="AV292" s="4" t="s">
        <v>62</v>
      </c>
    </row>
    <row r="293" customFormat="false" ht="15" hidden="false" customHeight="false" outlineLevel="0" collapsed="false">
      <c r="A293" s="0" t="s">
        <v>1251</v>
      </c>
      <c r="B293" s="3" t="n">
        <f aca="false">IF(AJ293="","",IF(ISNUMBER(SEARCH("/",AJ293)),DATE(VALUE(RIGHT(AJ293,4)),VALUE(LEFT(AJ293,2)),VALUE(MID(AJ293,4,2))),IF(ISNUMBER(SEARCH("-",AJ293)),IF(LEN(LEFT(AJ293,FIND("-",AJ293)-1))=4,DATE(VALUE(LEFT(AJ293,4)),VALUE(MID(AJ293,6,2)),VALUE(RIGHT(AJ293,2))),DATE(VALUE(RIGHT(AJ293,4)),VALUE(MID(AJ293,4,2)),VALUE(LEFT(AJ293,2)))),DATE(VALUE(RIGHT(AJ293,4)),MATCH(MID(AJ293,4,3),{"Jan","Feb","Mar","Apr","May","Jun","Jul","Aug","Sep","Oct","Nov","Dec"},0),VALUE(LEFT(AJ293,2))))))</f>
        <v>45387</v>
      </c>
      <c r="C293" s="3" t="n">
        <f aca="false">IF(AK293="","",IF(ISNUMBER(SEARCH("/",AK293)),DATE(VALUE(RIGHT(AK293,4)),VALUE(LEFT(AK293,2)),VALUE(MID(AK293,4,2))),IF(ISNUMBER(SEARCH("-",AK293)),IF(LEN(LEFT(AK293,FIND("-",AK293)-1))=4,DATE(VALUE(LEFT(AK293,4)),VALUE(MID(AK293,6,2)),VALUE(RIGHT(AK293,2))),DATE(VALUE(RIGHT(AK293,4)),VALUE(MID(AK293,4,2)),VALUE(LEFT(AK293,2)))),DATE(VALUE(RIGHT(AK293,4)),MATCH(MID(AK293,4,3),{"Jan","Feb","Mar","Apr","May","Jun","Jul","Aug","Sep","Oct","Nov","Dec"},0),VALUE(LEFT(AK293,2))))))</f>
        <v>45392</v>
      </c>
      <c r="D293" s="4" t="s">
        <v>1252</v>
      </c>
      <c r="E293" s="0" t="str">
        <f aca="false">PROPER(TRIM(AL293))</f>
        <v>Priya Menon</v>
      </c>
      <c r="F293" s="0" t="str">
        <f aca="false">PROPER(TRIM(AM293))</f>
        <v>Home Office</v>
      </c>
      <c r="G293" s="0" t="str">
        <f aca="false">IF(TRIM(AN293)="","Unknown",PROPER(TRIM(AN293)))</f>
        <v>North</v>
      </c>
      <c r="H293" s="0" t="str">
        <f aca="false">PROPER(TRIM(AO293))</f>
        <v>Rajasthan</v>
      </c>
      <c r="I293" s="0" t="str">
        <f aca="false">PROPER(TRIM(AP293))</f>
        <v>Jaipur</v>
      </c>
      <c r="J293" s="0" t="str">
        <f aca="false">PROPER(TRIM(AQ293))</f>
        <v>Office Supplies</v>
      </c>
      <c r="K293" s="0" t="str">
        <f aca="false">PROPER(TRIM(AR293))</f>
        <v>Binders</v>
      </c>
      <c r="M293" s="0" t="str">
        <f aca="false">IF(TRIM(AS293)="","Unknown",PROPER(TRIM(AS293)))</f>
        <v>Standard Class</v>
      </c>
      <c r="N293" s="0" t="n">
        <v>4</v>
      </c>
      <c r="O293" s="0" t="n">
        <v>3228.66</v>
      </c>
      <c r="P293" s="5" t="n">
        <f aca="false">IF(AT293="","",IF(ISNUMBER(AT293),AT293,VALUE(SUBSTITUTE(AT293,"%",""))/100))</f>
        <v>0.25</v>
      </c>
      <c r="Q293" s="5" t="n">
        <f aca="false">IF(P293="",IF(AND(N293&lt;&gt;"",O293&lt;&gt;"",R293&lt;&gt;"",S293&lt;&gt;""),0,"REVIEW"),IF(OR(P293&lt;0,P293&gt;0.3),0,P293))</f>
        <v>0.25</v>
      </c>
      <c r="R293" s="0" t="n">
        <v>9685.98</v>
      </c>
      <c r="S293" s="0" t="n">
        <v>7730.04</v>
      </c>
      <c r="T293" s="6" t="n">
        <f aca="false">N293*O293*(1-Q293)</f>
        <v>9685.98</v>
      </c>
      <c r="U293" s="6" t="n">
        <f aca="false">T293-S293</f>
        <v>1955.94</v>
      </c>
      <c r="V293" s="7" t="n">
        <f aca="false">IF(T293=0,0,U293/T293)</f>
        <v>0.201935168150254</v>
      </c>
      <c r="W293" s="4" t="n">
        <f aca="false">C293-B293</f>
        <v>5</v>
      </c>
      <c r="X293" s="0" t="str">
        <f aca="false">TEXT(B293,"mmmm")</f>
        <v>April</v>
      </c>
      <c r="Y293" s="4" t="n">
        <f aca="false">YEAR(B293)</f>
        <v>2024</v>
      </c>
      <c r="Z293" s="0" t="str">
        <f aca="false">PROPER(TRIM(AU293))</f>
        <v>Paid</v>
      </c>
      <c r="AA293" s="0" t="str">
        <f aca="false">PROPER(TRIM(AV293))</f>
        <v>Completed</v>
      </c>
      <c r="AB293" s="0" t="str">
        <f aca="false">IF(TRIM(AN293)="","Yes","No")</f>
        <v>No</v>
      </c>
      <c r="AC293" s="0" t="str">
        <f aca="false">IF(TRIM(AS293)="","Yes","No")</f>
        <v>No</v>
      </c>
      <c r="AD293" s="0" t="str">
        <f aca="false">IF(AT293="","Yes","No")</f>
        <v>No</v>
      </c>
      <c r="AE293" s="0" t="str">
        <f aca="false">IF(W293&lt;0,"Yes","No")</f>
        <v>No</v>
      </c>
      <c r="AF293" s="0" t="str">
        <f aca="false">IF(P293="","No",IF(OR(P293&lt;0,P293&gt;0.3),"Yes","No"))</f>
        <v>No</v>
      </c>
      <c r="AG293" s="4" t="s">
        <v>50</v>
      </c>
      <c r="AH293" s="0" t="str">
        <f aca="false">IF(AND(AA293="Completed",Z293="Paid"),"Yes","No")</f>
        <v>Yes</v>
      </c>
      <c r="AI293" s="0" t="str">
        <f aca="false">IF(OR(AE293="Yes",AF293="Yes",AG293="Yes"),"Invalid",IF(OR(AB293="Yes",AC293="Yes",AD293="Yes"),"Warning","Clean"))</f>
        <v>Clean</v>
      </c>
      <c r="AJ293" s="4" t="s">
        <v>1253</v>
      </c>
      <c r="AK293" s="4" t="s">
        <v>1254</v>
      </c>
      <c r="AL293" s="4" t="s">
        <v>158</v>
      </c>
      <c r="AM293" s="4" t="s">
        <v>134</v>
      </c>
      <c r="AN293" s="4" t="s">
        <v>168</v>
      </c>
      <c r="AO293" s="4" t="s">
        <v>56</v>
      </c>
      <c r="AP293" s="4" t="s">
        <v>57</v>
      </c>
      <c r="AQ293" s="4" t="s">
        <v>58</v>
      </c>
      <c r="AR293" s="4" t="s">
        <v>206</v>
      </c>
      <c r="AS293" s="4" t="s">
        <v>91</v>
      </c>
      <c r="AT293" s="0" t="n">
        <v>0.25</v>
      </c>
      <c r="AU293" s="4" t="s">
        <v>61</v>
      </c>
      <c r="AV293" s="4" t="s">
        <v>62</v>
      </c>
    </row>
    <row r="294" customFormat="false" ht="15" hidden="false" customHeight="false" outlineLevel="0" collapsed="false">
      <c r="A294" s="0" t="s">
        <v>1255</v>
      </c>
      <c r="B294" s="3" t="n">
        <f aca="false">IF(AJ294="","",IF(ISNUMBER(SEARCH("/",AJ294)),DATE(VALUE(RIGHT(AJ294,4)),VALUE(LEFT(AJ294,2)),VALUE(MID(AJ294,4,2))),IF(ISNUMBER(SEARCH("-",AJ294)),IF(LEN(LEFT(AJ294,FIND("-",AJ294)-1))=4,DATE(VALUE(LEFT(AJ294,4)),VALUE(MID(AJ294,6,2)),VALUE(RIGHT(AJ294,2))),DATE(VALUE(RIGHT(AJ294,4)),VALUE(MID(AJ294,4,2)),VALUE(LEFT(AJ294,2)))),DATE(VALUE(RIGHT(AJ294,4)),MATCH(MID(AJ294,4,3),{"Jan","Feb","Mar","Apr","May","Jun","Jul","Aug","Sep","Oct","Nov","Dec"},0),VALUE(LEFT(AJ294,2))))))</f>
        <v>45716</v>
      </c>
      <c r="C294" s="3" t="n">
        <f aca="false">IF(AK294="","",IF(ISNUMBER(SEARCH("/",AK294)),DATE(VALUE(RIGHT(AK294,4)),VALUE(LEFT(AK294,2)),VALUE(MID(AK294,4,2))),IF(ISNUMBER(SEARCH("-",AK294)),IF(LEN(LEFT(AK294,FIND("-",AK294)-1))=4,DATE(VALUE(LEFT(AK294,4)),VALUE(MID(AK294,6,2)),VALUE(RIGHT(AK294,2))),DATE(VALUE(RIGHT(AK294,4)),VALUE(MID(AK294,4,2)),VALUE(LEFT(AK294,2)))),DATE(VALUE(RIGHT(AK294,4)),MATCH(MID(AK294,4,3),{"Jan","Feb","Mar","Apr","May","Jun","Jul","Aug","Sep","Oct","Nov","Dec"},0),VALUE(LEFT(AK294,2))))))</f>
        <v>45719</v>
      </c>
      <c r="D294" s="4" t="s">
        <v>1256</v>
      </c>
      <c r="E294" s="0" t="str">
        <f aca="false">PROPER(TRIM(AL294))</f>
        <v>Kabir Singh</v>
      </c>
      <c r="F294" s="0" t="str">
        <f aca="false">PROPER(TRIM(AM294))</f>
        <v>Home Office</v>
      </c>
      <c r="G294" s="0" t="str">
        <f aca="false">IF(TRIM(AN294)="","Unknown",PROPER(TRIM(AN294)))</f>
        <v>North</v>
      </c>
      <c r="H294" s="0" t="str">
        <f aca="false">PROPER(TRIM(AO294))</f>
        <v>Haryana</v>
      </c>
      <c r="I294" s="0" t="str">
        <f aca="false">PROPER(TRIM(AP294))</f>
        <v>Gurugram</v>
      </c>
      <c r="J294" s="0" t="str">
        <f aca="false">PROPER(TRIM(AQ294))</f>
        <v>Office Supplies</v>
      </c>
      <c r="K294" s="0" t="str">
        <f aca="false">PROPER(TRIM(AR294))</f>
        <v>Art</v>
      </c>
      <c r="M294" s="0" t="str">
        <f aca="false">IF(TRIM(AS294)="","Unknown",PROPER(TRIM(AS294)))</f>
        <v>Same Day</v>
      </c>
      <c r="N294" s="0" t="n">
        <v>9</v>
      </c>
      <c r="O294" s="0" t="n">
        <v>3748.95</v>
      </c>
      <c r="P294" s="5" t="n">
        <f aca="false">IF(AT294="","",IF(ISNUMBER(AT294),AT294,VALUE(SUBSTITUTE(AT294,"%",""))/100))</f>
        <v>0</v>
      </c>
      <c r="Q294" s="5" t="n">
        <f aca="false">IF(P294="",IF(AND(N294&lt;&gt;"",O294&lt;&gt;"",R294&lt;&gt;"",S294&lt;&gt;""),0,"REVIEW"),IF(OR(P294&lt;0,P294&gt;0.3),0,P294))</f>
        <v>0</v>
      </c>
      <c r="R294" s="0" t="n">
        <v>33740.55</v>
      </c>
      <c r="S294" s="0" t="n">
        <v>24621.89</v>
      </c>
      <c r="T294" s="6" t="n">
        <f aca="false">N294*O294*(1-Q294)</f>
        <v>33740.55</v>
      </c>
      <c r="U294" s="6" t="n">
        <f aca="false">T294-S294</f>
        <v>9118.66</v>
      </c>
      <c r="V294" s="7" t="n">
        <f aca="false">IF(T294=0,0,U294/T294)</f>
        <v>0.270258190811946</v>
      </c>
      <c r="W294" s="4" t="n">
        <f aca="false">C294-B294</f>
        <v>3</v>
      </c>
      <c r="X294" s="0" t="str">
        <f aca="false">TEXT(B294,"mmmm")</f>
        <v>February</v>
      </c>
      <c r="Y294" s="4" t="n">
        <f aca="false">YEAR(B294)</f>
        <v>2025</v>
      </c>
      <c r="Z294" s="0" t="str">
        <f aca="false">PROPER(TRIM(AU294))</f>
        <v>Pending</v>
      </c>
      <c r="AA294" s="0" t="str">
        <f aca="false">PROPER(TRIM(AV294))</f>
        <v>Cancelled</v>
      </c>
      <c r="AB294" s="0" t="str">
        <f aca="false">IF(TRIM(AN294)="","Yes","No")</f>
        <v>No</v>
      </c>
      <c r="AC294" s="0" t="str">
        <f aca="false">IF(TRIM(AS294)="","Yes","No")</f>
        <v>No</v>
      </c>
      <c r="AD294" s="0" t="str">
        <f aca="false">IF(AT294="","Yes","No")</f>
        <v>No</v>
      </c>
      <c r="AE294" s="0" t="str">
        <f aca="false">IF(W294&lt;0,"Yes","No")</f>
        <v>No</v>
      </c>
      <c r="AF294" s="0" t="str">
        <f aca="false">IF(P294="","No",IF(OR(P294&lt;0,P294&gt;0.3),"Yes","No"))</f>
        <v>No</v>
      </c>
      <c r="AG294" s="4" t="s">
        <v>50</v>
      </c>
      <c r="AH294" s="0" t="str">
        <f aca="false">IF(AND(AA294="Completed",Z294="Paid"),"Yes","No")</f>
        <v>No</v>
      </c>
      <c r="AI294" s="0" t="str">
        <f aca="false">IF(OR(AE294="Yes",AF294="Yes",AG294="Yes"),"Invalid",IF(OR(AB294="Yes",AC294="Yes",AD294="Yes"),"Warning","Clean"))</f>
        <v>Clean</v>
      </c>
      <c r="AJ294" s="4" t="s">
        <v>1257</v>
      </c>
      <c r="AK294" s="4" t="s">
        <v>1258</v>
      </c>
      <c r="AL294" s="4" t="s">
        <v>347</v>
      </c>
      <c r="AM294" s="4" t="s">
        <v>134</v>
      </c>
      <c r="AN294" s="4" t="s">
        <v>168</v>
      </c>
      <c r="AO294" s="4" t="s">
        <v>310</v>
      </c>
      <c r="AP294" s="4" t="s">
        <v>311</v>
      </c>
      <c r="AQ294" s="4" t="s">
        <v>58</v>
      </c>
      <c r="AR294" s="4" t="s">
        <v>80</v>
      </c>
      <c r="AS294" s="4" t="s">
        <v>74</v>
      </c>
      <c r="AT294" s="0" t="n">
        <v>0</v>
      </c>
      <c r="AU294" s="4" t="s">
        <v>153</v>
      </c>
      <c r="AV294" s="4" t="s">
        <v>101</v>
      </c>
    </row>
    <row r="295" customFormat="false" ht="15" hidden="false" customHeight="false" outlineLevel="0" collapsed="false">
      <c r="A295" s="0" t="s">
        <v>1259</v>
      </c>
      <c r="B295" s="3" t="n">
        <f aca="false">IF(AJ295="","",IF(ISNUMBER(SEARCH("/",AJ295)),DATE(VALUE(RIGHT(AJ295,4)),VALUE(LEFT(AJ295,2)),VALUE(MID(AJ295,4,2))),IF(ISNUMBER(SEARCH("-",AJ295)),IF(LEN(LEFT(AJ295,FIND("-",AJ295)-1))=4,DATE(VALUE(LEFT(AJ295,4)),VALUE(MID(AJ295,6,2)),VALUE(RIGHT(AJ295,2))),DATE(VALUE(RIGHT(AJ295,4)),VALUE(MID(AJ295,4,2)),VALUE(LEFT(AJ295,2)))),DATE(VALUE(RIGHT(AJ295,4)),MATCH(MID(AJ295,4,3),{"Jan","Feb","Mar","Apr","May","Jun","Jul","Aug","Sep","Oct","Nov","Dec"},0),VALUE(LEFT(AJ295,2))))))</f>
        <v>45358</v>
      </c>
      <c r="C295" s="3" t="n">
        <f aca="false">IF(AK295="","",IF(ISNUMBER(SEARCH("/",AK295)),DATE(VALUE(RIGHT(AK295,4)),VALUE(LEFT(AK295,2)),VALUE(MID(AK295,4,2))),IF(ISNUMBER(SEARCH("-",AK295)),IF(LEN(LEFT(AK295,FIND("-",AK295)-1))=4,DATE(VALUE(LEFT(AK295,4)),VALUE(MID(AK295,6,2)),VALUE(RIGHT(AK295,2))),DATE(VALUE(RIGHT(AK295,4)),VALUE(MID(AK295,4,2)),VALUE(LEFT(AK295,2)))),DATE(VALUE(RIGHT(AK295,4)),MATCH(MID(AK295,4,3),{"Jan","Feb","Mar","Apr","May","Jun","Jul","Aug","Sep","Oct","Nov","Dec"},0),VALUE(LEFT(AK295,2))))))</f>
        <v>45362</v>
      </c>
      <c r="D295" s="4" t="s">
        <v>1260</v>
      </c>
      <c r="E295" s="0" t="str">
        <f aca="false">PROPER(TRIM(AL295))</f>
        <v>Arjun Bose</v>
      </c>
      <c r="F295" s="0" t="str">
        <f aca="false">PROPER(TRIM(AM295))</f>
        <v>Home Office</v>
      </c>
      <c r="G295" s="0" t="str">
        <f aca="false">IF(TRIM(AN295)="","Unknown",PROPER(TRIM(AN295)))</f>
        <v>South</v>
      </c>
      <c r="H295" s="0" t="str">
        <f aca="false">PROPER(TRIM(AO295))</f>
        <v>Telangana</v>
      </c>
      <c r="I295" s="0" t="str">
        <f aca="false">PROPER(TRIM(AP295))</f>
        <v>Hyderabad</v>
      </c>
      <c r="J295" s="0" t="str">
        <f aca="false">PROPER(TRIM(AQ295))</f>
        <v>Technology</v>
      </c>
      <c r="K295" s="0" t="str">
        <f aca="false">PROPER(TRIM(AR295))</f>
        <v>Phones</v>
      </c>
      <c r="M295" s="0" t="str">
        <f aca="false">IF(TRIM(AS295)="","Unknown",PROPER(TRIM(AS295)))</f>
        <v>First Class</v>
      </c>
      <c r="N295" s="0" t="n">
        <v>2</v>
      </c>
      <c r="O295" s="0" t="n">
        <v>4401.51</v>
      </c>
      <c r="P295" s="5" t="n">
        <f aca="false">IF(AT295="","",IF(ISNUMBER(AT295),AT295,VALUE(SUBSTITUTE(AT295,"%",""))/100))</f>
        <v>0.65</v>
      </c>
      <c r="Q295" s="5" t="n">
        <f aca="false">IF(P295="",IF(AND(N295&lt;&gt;"",O295&lt;&gt;"",R295&lt;&gt;"",S295&lt;&gt;""),0,"REVIEW"),IF(OR(P295&lt;0,P295&gt;0.3),0,P295))</f>
        <v>0</v>
      </c>
      <c r="R295" s="0" t="n">
        <v>8362.87</v>
      </c>
      <c r="S295" s="0" t="n">
        <v>6541.04</v>
      </c>
      <c r="T295" s="6" t="n">
        <f aca="false">N295*O295*(1-Q295)</f>
        <v>8803.02</v>
      </c>
      <c r="U295" s="6" t="n">
        <f aca="false">T295-S295</f>
        <v>2261.98</v>
      </c>
      <c r="V295" s="7" t="n">
        <f aca="false">IF(T295=0,0,U295/T295)</f>
        <v>0.256954999534251</v>
      </c>
      <c r="W295" s="4" t="n">
        <f aca="false">C295-B295</f>
        <v>4</v>
      </c>
      <c r="X295" s="0" t="str">
        <f aca="false">TEXT(B295,"mmmm")</f>
        <v>March</v>
      </c>
      <c r="Y295" s="4" t="n">
        <f aca="false">YEAR(B295)</f>
        <v>2024</v>
      </c>
      <c r="Z295" s="0" t="str">
        <f aca="false">PROPER(TRIM(AU295))</f>
        <v>Paid</v>
      </c>
      <c r="AA295" s="0" t="str">
        <f aca="false">PROPER(TRIM(AV295))</f>
        <v>Completed</v>
      </c>
      <c r="AB295" s="0" t="str">
        <f aca="false">IF(TRIM(AN295)="","Yes","No")</f>
        <v>No</v>
      </c>
      <c r="AC295" s="0" t="str">
        <f aca="false">IF(TRIM(AS295)="","Yes","No")</f>
        <v>No</v>
      </c>
      <c r="AD295" s="0" t="str">
        <f aca="false">IF(AT295="","Yes","No")</f>
        <v>No</v>
      </c>
      <c r="AE295" s="0" t="str">
        <f aca="false">IF(W295&lt;0,"Yes","No")</f>
        <v>No</v>
      </c>
      <c r="AF295" s="0" t="str">
        <f aca="false">IF(P295="","No",IF(OR(P295&lt;0,P295&gt;0.3),"Yes","No"))</f>
        <v>Yes</v>
      </c>
      <c r="AG295" s="4" t="s">
        <v>50</v>
      </c>
      <c r="AH295" s="0" t="str">
        <f aca="false">IF(AND(AA295="Completed",Z295="Paid"),"Yes","No")</f>
        <v>Yes</v>
      </c>
      <c r="AI295" s="0" t="str">
        <f aca="false">IF(OR(AE295="Yes",AF295="Yes",AG295="Yes"),"Invalid",IF(OR(AB295="Yes",AC295="Yes",AD295="Yes"),"Warning","Clean"))</f>
        <v>Invalid</v>
      </c>
      <c r="AJ295" s="4" t="s">
        <v>1261</v>
      </c>
      <c r="AK295" s="4" t="s">
        <v>1262</v>
      </c>
      <c r="AL295" s="4" t="s">
        <v>86</v>
      </c>
      <c r="AM295" s="4" t="s">
        <v>134</v>
      </c>
      <c r="AN295" s="4" t="s">
        <v>87</v>
      </c>
      <c r="AO295" s="4" t="s">
        <v>88</v>
      </c>
      <c r="AP295" s="4" t="s">
        <v>89</v>
      </c>
      <c r="AQ295" s="4" t="s">
        <v>109</v>
      </c>
      <c r="AR295" s="4" t="s">
        <v>227</v>
      </c>
      <c r="AS295" s="4" t="s">
        <v>81</v>
      </c>
      <c r="AT295" s="0" t="n">
        <v>0.65</v>
      </c>
      <c r="AU295" s="4" t="s">
        <v>61</v>
      </c>
      <c r="AV295" s="4" t="s">
        <v>62</v>
      </c>
    </row>
    <row r="296" customFormat="false" ht="15" hidden="false" customHeight="false" outlineLevel="0" collapsed="false">
      <c r="A296" s="0" t="s">
        <v>1263</v>
      </c>
      <c r="B296" s="3" t="n">
        <f aca="false">IF(AJ296="","",IF(ISNUMBER(SEARCH("/",AJ296)),DATE(VALUE(RIGHT(AJ296,4)),VALUE(LEFT(AJ296,2)),VALUE(MID(AJ296,4,2))),IF(ISNUMBER(SEARCH("-",AJ296)),IF(LEN(LEFT(AJ296,FIND("-",AJ296)-1))=4,DATE(VALUE(LEFT(AJ296,4)),VALUE(MID(AJ296,6,2)),VALUE(RIGHT(AJ296,2))),DATE(VALUE(RIGHT(AJ296,4)),VALUE(MID(AJ296,4,2)),VALUE(LEFT(AJ296,2)))),DATE(VALUE(RIGHT(AJ296,4)),MATCH(MID(AJ296,4,3),{"Jan","Feb","Mar","Apr","May","Jun","Jul","Aug","Sep","Oct","Nov","Dec"},0),VALUE(LEFT(AJ296,2))))))</f>
        <v>45854</v>
      </c>
      <c r="C296" s="3" t="n">
        <f aca="false">IF(AK296="","",IF(ISNUMBER(SEARCH("/",AK296)),DATE(VALUE(RIGHT(AK296,4)),VALUE(LEFT(AK296,2)),VALUE(MID(AK296,4,2))),IF(ISNUMBER(SEARCH("-",AK296)),IF(LEN(LEFT(AK296,FIND("-",AK296)-1))=4,DATE(VALUE(LEFT(AK296,4)),VALUE(MID(AK296,6,2)),VALUE(RIGHT(AK296,2))),DATE(VALUE(RIGHT(AK296,4)),VALUE(MID(AK296,4,2)),VALUE(LEFT(AK296,2)))),DATE(VALUE(RIGHT(AK296,4)),MATCH(MID(AK296,4,3),{"Jan","Feb","Mar","Apr","May","Jun","Jul","Aug","Sep","Oct","Nov","Dec"},0),VALUE(LEFT(AK296,2))))))</f>
        <v>45860</v>
      </c>
      <c r="D296" s="4" t="s">
        <v>1264</v>
      </c>
      <c r="E296" s="0" t="str">
        <f aca="false">PROPER(TRIM(AL296))</f>
        <v>Priya Menon</v>
      </c>
      <c r="F296" s="0" t="str">
        <f aca="false">PROPER(TRIM(AM296))</f>
        <v>Consumer</v>
      </c>
      <c r="G296" s="0" t="str">
        <f aca="false">IF(TRIM(AN296)="","Unknown",PROPER(TRIM(AN296)))</f>
        <v>East</v>
      </c>
      <c r="H296" s="0" t="str">
        <f aca="false">PROPER(TRIM(AO296))</f>
        <v>Odisha</v>
      </c>
      <c r="I296" s="0" t="str">
        <f aca="false">PROPER(TRIM(AP296))</f>
        <v>Bhubaneswar</v>
      </c>
      <c r="J296" s="0" t="str">
        <f aca="false">PROPER(TRIM(AQ296))</f>
        <v>Technology</v>
      </c>
      <c r="K296" s="0" t="str">
        <f aca="false">PROPER(TRIM(AR296))</f>
        <v>Phones</v>
      </c>
      <c r="M296" s="0" t="str">
        <f aca="false">IF(TRIM(AS296)="","Unknown",PROPER(TRIM(AS296)))</f>
        <v>Second Class</v>
      </c>
      <c r="N296" s="0" t="n">
        <v>6</v>
      </c>
      <c r="O296" s="0" t="n">
        <v>4159.33</v>
      </c>
      <c r="P296" s="5" t="n">
        <f aca="false">IF(AT296="","",IF(ISNUMBER(AT296),AT296,VALUE(SUBSTITUTE(AT296,"%",""))/100))</f>
        <v>0.25</v>
      </c>
      <c r="Q296" s="5" t="n">
        <f aca="false">IF(P296="",IF(AND(N296&lt;&gt;"",O296&lt;&gt;"",R296&lt;&gt;"",S296&lt;&gt;""),0,"REVIEW"),IF(OR(P296&lt;0,P296&gt;0.3),0,P296))</f>
        <v>0.25</v>
      </c>
      <c r="R296" s="0" t="n">
        <v>18716.99</v>
      </c>
      <c r="S296" s="0" t="n">
        <v>12282.43</v>
      </c>
      <c r="T296" s="6" t="n">
        <f aca="false">N296*O296*(1-Q296)</f>
        <v>18716.985</v>
      </c>
      <c r="U296" s="6" t="n">
        <f aca="false">T296-S296</f>
        <v>6434.555</v>
      </c>
      <c r="V296" s="7" t="n">
        <f aca="false">IF(T296=0,0,U296/T296)</f>
        <v>0.343781597303198</v>
      </c>
      <c r="W296" s="4" t="n">
        <f aca="false">C296-B296</f>
        <v>6</v>
      </c>
      <c r="X296" s="0" t="str">
        <f aca="false">TEXT(B296,"mmmm")</f>
        <v>July</v>
      </c>
      <c r="Y296" s="4" t="n">
        <f aca="false">YEAR(B296)</f>
        <v>2025</v>
      </c>
      <c r="Z296" s="0" t="str">
        <f aca="false">PROPER(TRIM(AU296))</f>
        <v>Paid</v>
      </c>
      <c r="AA296" s="0" t="str">
        <f aca="false">PROPER(TRIM(AV296))</f>
        <v>Returned</v>
      </c>
      <c r="AB296" s="0" t="str">
        <f aca="false">IF(TRIM(AN296)="","Yes","No")</f>
        <v>No</v>
      </c>
      <c r="AC296" s="0" t="str">
        <f aca="false">IF(TRIM(AS296)="","Yes","No")</f>
        <v>No</v>
      </c>
      <c r="AD296" s="0" t="str">
        <f aca="false">IF(AT296="","Yes","No")</f>
        <v>No</v>
      </c>
      <c r="AE296" s="0" t="str">
        <f aca="false">IF(W296&lt;0,"Yes","No")</f>
        <v>No</v>
      </c>
      <c r="AF296" s="0" t="str">
        <f aca="false">IF(P296="","No",IF(OR(P296&lt;0,P296&gt;0.3),"Yes","No"))</f>
        <v>No</v>
      </c>
      <c r="AG296" s="4" t="s">
        <v>50</v>
      </c>
      <c r="AH296" s="0" t="str">
        <f aca="false">IF(AND(AA296="Completed",Z296="Paid"),"Yes","No")</f>
        <v>No</v>
      </c>
      <c r="AI296" s="0" t="str">
        <f aca="false">IF(OR(AE296="Yes",AF296="Yes",AG296="Yes"),"Invalid",IF(OR(AB296="Yes",AC296="Yes",AD296="Yes"),"Warning","Clean"))</f>
        <v>Clean</v>
      </c>
      <c r="AJ296" s="4" t="s">
        <v>1265</v>
      </c>
      <c r="AK296" s="4" t="s">
        <v>1266</v>
      </c>
      <c r="AL296" s="4" t="s">
        <v>158</v>
      </c>
      <c r="AM296" s="4" t="s">
        <v>54</v>
      </c>
      <c r="AN296" s="4" t="s">
        <v>69</v>
      </c>
      <c r="AO296" s="4" t="s">
        <v>70</v>
      </c>
      <c r="AP296" s="4" t="s">
        <v>71</v>
      </c>
      <c r="AQ296" s="4" t="s">
        <v>109</v>
      </c>
      <c r="AR296" s="4" t="s">
        <v>227</v>
      </c>
      <c r="AS296" s="4" t="s">
        <v>60</v>
      </c>
      <c r="AT296" s="0" t="n">
        <v>0.25</v>
      </c>
      <c r="AU296" s="4" t="s">
        <v>61</v>
      </c>
      <c r="AV296" s="4" t="s">
        <v>142</v>
      </c>
    </row>
    <row r="297" customFormat="false" ht="15" hidden="false" customHeight="false" outlineLevel="0" collapsed="false">
      <c r="A297" s="0" t="s">
        <v>1267</v>
      </c>
      <c r="B297" s="3" t="n">
        <f aca="false">IF(AJ297="","",IF(ISNUMBER(SEARCH("/",AJ297)),DATE(VALUE(RIGHT(AJ297,4)),VALUE(LEFT(AJ297,2)),VALUE(MID(AJ297,4,2))),IF(ISNUMBER(SEARCH("-",AJ297)),IF(LEN(LEFT(AJ297,FIND("-",AJ297)-1))=4,DATE(VALUE(LEFT(AJ297,4)),VALUE(MID(AJ297,6,2)),VALUE(RIGHT(AJ297,2))),DATE(VALUE(RIGHT(AJ297,4)),VALUE(MID(AJ297,4,2)),VALUE(LEFT(AJ297,2)))),DATE(VALUE(RIGHT(AJ297,4)),MATCH(MID(AJ297,4,3),{"Jan","Feb","Mar","Apr","May","Jun","Jul","Aug","Sep","Oct","Nov","Dec"},0),VALUE(LEFT(AJ297,2))))))</f>
        <v>45833</v>
      </c>
      <c r="C297" s="3" t="n">
        <f aca="false">IF(AK297="","",IF(ISNUMBER(SEARCH("/",AK297)),DATE(VALUE(RIGHT(AK297,4)),VALUE(LEFT(AK297,2)),VALUE(MID(AK297,4,2))),IF(ISNUMBER(SEARCH("-",AK297)),IF(LEN(LEFT(AK297,FIND("-",AK297)-1))=4,DATE(VALUE(LEFT(AK297,4)),VALUE(MID(AK297,6,2)),VALUE(RIGHT(AK297,2))),DATE(VALUE(RIGHT(AK297,4)),VALUE(MID(AK297,4,2)),VALUE(LEFT(AK297,2)))),DATE(VALUE(RIGHT(AK297,4)),MATCH(MID(AK297,4,3),{"Jan","Feb","Mar","Apr","May","Jun","Jul","Aug","Sep","Oct","Nov","Dec"},0),VALUE(LEFT(AK297,2))))))</f>
        <v>45836</v>
      </c>
      <c r="D297" s="4" t="s">
        <v>1268</v>
      </c>
      <c r="E297" s="0" t="str">
        <f aca="false">PROPER(TRIM(AL297))</f>
        <v>Aditi Sen</v>
      </c>
      <c r="F297" s="0" t="str">
        <f aca="false">PROPER(TRIM(AM297))</f>
        <v>Small Business</v>
      </c>
      <c r="G297" s="0" t="str">
        <f aca="false">IF(TRIM(AN297)="","Unknown",PROPER(TRIM(AN297)))</f>
        <v>East</v>
      </c>
      <c r="H297" s="0" t="str">
        <f aca="false">PROPER(TRIM(AO297))</f>
        <v>Assam</v>
      </c>
      <c r="I297" s="0" t="str">
        <f aca="false">PROPER(TRIM(AP297))</f>
        <v>Guwahati</v>
      </c>
      <c r="J297" s="0" t="str">
        <f aca="false">PROPER(TRIM(AQ297))</f>
        <v>Office Supplies</v>
      </c>
      <c r="K297" s="0" t="str">
        <f aca="false">PROPER(TRIM(AR297))</f>
        <v>Binders</v>
      </c>
      <c r="M297" s="0" t="str">
        <f aca="false">IF(TRIM(AS297)="","Unknown",PROPER(TRIM(AS297)))</f>
        <v>Standard Class</v>
      </c>
      <c r="N297" s="0" t="n">
        <v>3</v>
      </c>
      <c r="O297" s="0" t="n">
        <v>3476.05</v>
      </c>
      <c r="P297" s="5" t="n">
        <f aca="false">IF(AT297="","",IF(ISNUMBER(AT297),AT297,VALUE(SUBSTITUTE(AT297,"%",""))/100))</f>
        <v>0.1</v>
      </c>
      <c r="Q297" s="5" t="n">
        <f aca="false">IF(P297="",IF(AND(N297&lt;&gt;"",O297&lt;&gt;"",R297&lt;&gt;"",S297&lt;&gt;""),0,"REVIEW"),IF(OR(P297&lt;0,P297&gt;0.3),0,P297))</f>
        <v>0.1</v>
      </c>
      <c r="R297" s="0" t="n">
        <v>9385.34</v>
      </c>
      <c r="S297" s="0" t="n">
        <v>5828.54</v>
      </c>
      <c r="T297" s="6" t="n">
        <f aca="false">N297*O297*(1-Q297)</f>
        <v>9385.335</v>
      </c>
      <c r="U297" s="6" t="n">
        <f aca="false">T297-S297</f>
        <v>3556.795</v>
      </c>
      <c r="V297" s="7" t="n">
        <f aca="false">IF(T297=0,0,U297/T297)</f>
        <v>0.378973686075138</v>
      </c>
      <c r="W297" s="4" t="n">
        <f aca="false">C297-B297</f>
        <v>3</v>
      </c>
      <c r="X297" s="0" t="str">
        <f aca="false">TEXT(B297,"mmmm")</f>
        <v>June</v>
      </c>
      <c r="Y297" s="4" t="n">
        <f aca="false">YEAR(B297)</f>
        <v>2025</v>
      </c>
      <c r="Z297" s="0" t="str">
        <f aca="false">PROPER(TRIM(AU297))</f>
        <v>Paid</v>
      </c>
      <c r="AA297" s="0" t="str">
        <f aca="false">PROPER(TRIM(AV297))</f>
        <v>Completed</v>
      </c>
      <c r="AB297" s="0" t="str">
        <f aca="false">IF(TRIM(AN297)="","Yes","No")</f>
        <v>No</v>
      </c>
      <c r="AC297" s="0" t="str">
        <f aca="false">IF(TRIM(AS297)="","Yes","No")</f>
        <v>No</v>
      </c>
      <c r="AD297" s="0" t="str">
        <f aca="false">IF(AT297="","Yes","No")</f>
        <v>No</v>
      </c>
      <c r="AE297" s="0" t="str">
        <f aca="false">IF(W297&lt;0,"Yes","No")</f>
        <v>No</v>
      </c>
      <c r="AF297" s="0" t="str">
        <f aca="false">IF(P297="","No",IF(OR(P297&lt;0,P297&gt;0.3),"Yes","No"))</f>
        <v>No</v>
      </c>
      <c r="AG297" s="4" t="s">
        <v>50</v>
      </c>
      <c r="AH297" s="0" t="str">
        <f aca="false">IF(AND(AA297="Completed",Z297="Paid"),"Yes","No")</f>
        <v>Yes</v>
      </c>
      <c r="AI297" s="0" t="str">
        <f aca="false">IF(OR(AE297="Yes",AF297="Yes",AG297="Yes"),"Invalid",IF(OR(AB297="Yes",AC297="Yes",AD297="Yes"),"Warning","Clean"))</f>
        <v>Clean</v>
      </c>
      <c r="AJ297" s="4" t="s">
        <v>1269</v>
      </c>
      <c r="AK297" s="4" t="s">
        <v>1270</v>
      </c>
      <c r="AL297" s="4" t="s">
        <v>127</v>
      </c>
      <c r="AM297" s="4" t="s">
        <v>68</v>
      </c>
      <c r="AN297" s="4" t="s">
        <v>69</v>
      </c>
      <c r="AO297" s="4" t="s">
        <v>221</v>
      </c>
      <c r="AP297" s="4" t="s">
        <v>222</v>
      </c>
      <c r="AQ297" s="4" t="s">
        <v>58</v>
      </c>
      <c r="AR297" s="4" t="s">
        <v>206</v>
      </c>
      <c r="AS297" s="4" t="s">
        <v>91</v>
      </c>
      <c r="AT297" s="0" t="n">
        <v>0.1</v>
      </c>
      <c r="AU297" s="4" t="s">
        <v>61</v>
      </c>
      <c r="AV297" s="4" t="s">
        <v>62</v>
      </c>
    </row>
    <row r="298" customFormat="false" ht="15" hidden="false" customHeight="false" outlineLevel="0" collapsed="false">
      <c r="A298" s="0" t="s">
        <v>1271</v>
      </c>
      <c r="B298" s="3" t="n">
        <f aca="false">IF(AJ298="","",IF(ISNUMBER(SEARCH("/",AJ298)),DATE(VALUE(RIGHT(AJ298,4)),VALUE(LEFT(AJ298,2)),VALUE(MID(AJ298,4,2))),IF(ISNUMBER(SEARCH("-",AJ298)),IF(LEN(LEFT(AJ298,FIND("-",AJ298)-1))=4,DATE(VALUE(LEFT(AJ298,4)),VALUE(MID(AJ298,6,2)),VALUE(RIGHT(AJ298,2))),DATE(VALUE(RIGHT(AJ298,4)),VALUE(MID(AJ298,4,2)),VALUE(LEFT(AJ298,2)))),DATE(VALUE(RIGHT(AJ298,4)),MATCH(MID(AJ298,4,3),{"Jan","Feb","Mar","Apr","May","Jun","Jul","Aug","Sep","Oct","Nov","Dec"},0),VALUE(LEFT(AJ298,2))))))</f>
        <v>45801</v>
      </c>
      <c r="C298" s="3" t="n">
        <f aca="false">IF(AK298="","",IF(ISNUMBER(SEARCH("/",AK298)),DATE(VALUE(RIGHT(AK298,4)),VALUE(LEFT(AK298,2)),VALUE(MID(AK298,4,2))),IF(ISNUMBER(SEARCH("-",AK298)),IF(LEN(LEFT(AK298,FIND("-",AK298)-1))=4,DATE(VALUE(LEFT(AK298,4)),VALUE(MID(AK298,6,2)),VALUE(RIGHT(AK298,2))),DATE(VALUE(RIGHT(AK298,4)),VALUE(MID(AK298,4,2)),VALUE(LEFT(AK298,2)))),DATE(VALUE(RIGHT(AK298,4)),MATCH(MID(AK298,4,3),{"Jan","Feb","Mar","Apr","May","Jun","Jul","Aug","Sep","Oct","Nov","Dec"},0),VALUE(LEFT(AK298,2))))))</f>
        <v>45803</v>
      </c>
      <c r="D298" s="4" t="s">
        <v>1272</v>
      </c>
      <c r="E298" s="0" t="str">
        <f aca="false">PROPER(TRIM(AL298))</f>
        <v>Aditi Sen</v>
      </c>
      <c r="F298" s="0" t="str">
        <f aca="false">PROPER(TRIM(AM298))</f>
        <v>Home Office</v>
      </c>
      <c r="G298" s="0" t="str">
        <f aca="false">IF(TRIM(AN298)="","Unknown",PROPER(TRIM(AN298)))</f>
        <v>North</v>
      </c>
      <c r="H298" s="0" t="str">
        <f aca="false">PROPER(TRIM(AO298))</f>
        <v>Haryana</v>
      </c>
      <c r="I298" s="0" t="str">
        <f aca="false">PROPER(TRIM(AP298))</f>
        <v>Gurugram</v>
      </c>
      <c r="J298" s="0" t="str">
        <f aca="false">PROPER(TRIM(AQ298))</f>
        <v>Furniture</v>
      </c>
      <c r="K298" s="0" t="str">
        <f aca="false">PROPER(TRIM(AR298))</f>
        <v>Furnishings</v>
      </c>
      <c r="M298" s="0" t="str">
        <f aca="false">IF(TRIM(AS298)="","Unknown",PROPER(TRIM(AS298)))</f>
        <v>Same Day</v>
      </c>
      <c r="N298" s="0" t="n">
        <v>6</v>
      </c>
      <c r="O298" s="0" t="n">
        <v>3495.41</v>
      </c>
      <c r="P298" s="5" t="n">
        <f aca="false">IF(AT298="","",IF(ISNUMBER(AT298),AT298,VALUE(SUBSTITUTE(AT298,"%",""))/100))</f>
        <v>0.15</v>
      </c>
      <c r="Q298" s="5" t="n">
        <f aca="false">IF(P298="",IF(AND(N298&lt;&gt;"",O298&lt;&gt;"",R298&lt;&gt;"",S298&lt;&gt;""),0,"REVIEW"),IF(OR(P298&lt;0,P298&gt;0.3),0,P298))</f>
        <v>0.15</v>
      </c>
      <c r="R298" s="0" t="n">
        <v>17826.59</v>
      </c>
      <c r="S298" s="0" t="n">
        <v>10855.35</v>
      </c>
      <c r="T298" s="6" t="n">
        <f aca="false">N298*O298*(1-Q298)</f>
        <v>17826.591</v>
      </c>
      <c r="U298" s="6" t="n">
        <f aca="false">T298-S298</f>
        <v>6971.241</v>
      </c>
      <c r="V298" s="7" t="n">
        <f aca="false">IF(T298=0,0,U298/T298)</f>
        <v>0.391058559653946</v>
      </c>
      <c r="W298" s="4" t="n">
        <f aca="false">C298-B298</f>
        <v>2</v>
      </c>
      <c r="X298" s="0" t="str">
        <f aca="false">TEXT(B298,"mmmm")</f>
        <v>May</v>
      </c>
      <c r="Y298" s="4" t="n">
        <f aca="false">YEAR(B298)</f>
        <v>2025</v>
      </c>
      <c r="Z298" s="0" t="str">
        <f aca="false">PROPER(TRIM(AU298))</f>
        <v>Paid</v>
      </c>
      <c r="AA298" s="0" t="str">
        <f aca="false">PROPER(TRIM(AV298))</f>
        <v>Completed</v>
      </c>
      <c r="AB298" s="0" t="str">
        <f aca="false">IF(TRIM(AN298)="","Yes","No")</f>
        <v>No</v>
      </c>
      <c r="AC298" s="0" t="str">
        <f aca="false">IF(TRIM(AS298)="","Yes","No")</f>
        <v>No</v>
      </c>
      <c r="AD298" s="0" t="str">
        <f aca="false">IF(AT298="","Yes","No")</f>
        <v>No</v>
      </c>
      <c r="AE298" s="0" t="str">
        <f aca="false">IF(W298&lt;0,"Yes","No")</f>
        <v>No</v>
      </c>
      <c r="AF298" s="0" t="str">
        <f aca="false">IF(P298="","No",IF(OR(P298&lt;0,P298&gt;0.3),"Yes","No"))</f>
        <v>No</v>
      </c>
      <c r="AG298" s="4" t="s">
        <v>50</v>
      </c>
      <c r="AH298" s="0" t="str">
        <f aca="false">IF(AND(AA298="Completed",Z298="Paid"),"Yes","No")</f>
        <v>Yes</v>
      </c>
      <c r="AI298" s="0" t="str">
        <f aca="false">IF(OR(AE298="Yes",AF298="Yes",AG298="Yes"),"Invalid",IF(OR(AB298="Yes",AC298="Yes",AD298="Yes"),"Warning","Clean"))</f>
        <v>Clean</v>
      </c>
      <c r="AJ298" s="4" t="s">
        <v>1273</v>
      </c>
      <c r="AK298" s="4" t="s">
        <v>1274</v>
      </c>
      <c r="AL298" s="4" t="s">
        <v>127</v>
      </c>
      <c r="AM298" s="4" t="s">
        <v>134</v>
      </c>
      <c r="AN298" s="4" t="s">
        <v>168</v>
      </c>
      <c r="AO298" s="4" t="s">
        <v>310</v>
      </c>
      <c r="AP298" s="4" t="s">
        <v>311</v>
      </c>
      <c r="AQ298" s="4" t="s">
        <v>72</v>
      </c>
      <c r="AR298" s="4" t="s">
        <v>90</v>
      </c>
      <c r="AS298" s="4" t="s">
        <v>74</v>
      </c>
      <c r="AT298" s="0" t="n">
        <v>0.15</v>
      </c>
      <c r="AU298" s="4" t="s">
        <v>61</v>
      </c>
      <c r="AV298" s="4" t="s">
        <v>62</v>
      </c>
    </row>
    <row r="299" customFormat="false" ht="15" hidden="false" customHeight="false" outlineLevel="0" collapsed="false">
      <c r="A299" s="0" t="s">
        <v>1275</v>
      </c>
      <c r="B299" s="3" t="n">
        <f aca="false">IF(AJ299="","",IF(ISNUMBER(SEARCH("/",AJ299)),DATE(VALUE(RIGHT(AJ299,4)),VALUE(LEFT(AJ299,2)),VALUE(MID(AJ299,4,2))),IF(ISNUMBER(SEARCH("-",AJ299)),IF(LEN(LEFT(AJ299,FIND("-",AJ299)-1))=4,DATE(VALUE(LEFT(AJ299,4)),VALUE(MID(AJ299,6,2)),VALUE(RIGHT(AJ299,2))),DATE(VALUE(RIGHT(AJ299,4)),VALUE(MID(AJ299,4,2)),VALUE(LEFT(AJ299,2)))),DATE(VALUE(RIGHT(AJ299,4)),MATCH(MID(AJ299,4,3),{"Jan","Feb","Mar","Apr","May","Jun","Jul","Aug","Sep","Oct","Nov","Dec"},0),VALUE(LEFT(AJ299,2))))))</f>
        <v>45594</v>
      </c>
      <c r="C299" s="3" t="n">
        <f aca="false">IF(AK299="","",IF(ISNUMBER(SEARCH("/",AK299)),DATE(VALUE(RIGHT(AK299,4)),VALUE(LEFT(AK299,2)),VALUE(MID(AK299,4,2))),IF(ISNUMBER(SEARCH("-",AK299)),IF(LEN(LEFT(AK299,FIND("-",AK299)-1))=4,DATE(VALUE(LEFT(AK299,4)),VALUE(MID(AK299,6,2)),VALUE(RIGHT(AK299,2))),DATE(VALUE(RIGHT(AK299,4)),VALUE(MID(AK299,4,2)),VALUE(LEFT(AK299,2)))),DATE(VALUE(RIGHT(AK299,4)),MATCH(MID(AK299,4,3),{"Jan","Feb","Mar","Apr","May","Jun","Jul","Aug","Sep","Oct","Nov","Dec"},0),VALUE(LEFT(AK299,2))))))</f>
        <v>45602</v>
      </c>
      <c r="D299" s="4" t="s">
        <v>1276</v>
      </c>
      <c r="E299" s="0" t="str">
        <f aca="false">PROPER(TRIM(AL299))</f>
        <v>Sneha Kapoor</v>
      </c>
      <c r="F299" s="0" t="str">
        <f aca="false">PROPER(TRIM(AM299))</f>
        <v>Corporate</v>
      </c>
      <c r="G299" s="0" t="str">
        <f aca="false">IF(TRIM(AN299)="","Unknown",PROPER(TRIM(AN299)))</f>
        <v>South</v>
      </c>
      <c r="H299" s="0" t="str">
        <f aca="false">PROPER(TRIM(AO299))</f>
        <v>Tamil Nadu</v>
      </c>
      <c r="I299" s="0" t="str">
        <f aca="false">PROPER(TRIM(AP299))</f>
        <v>Chennai</v>
      </c>
      <c r="J299" s="0" t="str">
        <f aca="false">PROPER(TRIM(AQ299))</f>
        <v>Technology</v>
      </c>
      <c r="K299" s="0" t="str">
        <f aca="false">PROPER(TRIM(AR299))</f>
        <v>Copiers</v>
      </c>
      <c r="M299" s="0" t="str">
        <f aca="false">IF(TRIM(AS299)="","Unknown",PROPER(TRIM(AS299)))</f>
        <v>Same Day</v>
      </c>
      <c r="N299" s="0" t="n">
        <v>6</v>
      </c>
      <c r="O299" s="0" t="n">
        <v>1169.92</v>
      </c>
      <c r="P299" s="5" t="n">
        <f aca="false">IF(AT299="","",IF(ISNUMBER(AT299),AT299,VALUE(SUBSTITUTE(AT299,"%",""))/100))</f>
        <v>0.15</v>
      </c>
      <c r="Q299" s="5" t="n">
        <f aca="false">IF(P299="",IF(AND(N299&lt;&gt;"",O299&lt;&gt;"",R299&lt;&gt;"",S299&lt;&gt;""),0,"REVIEW"),IF(OR(P299&lt;0,P299&gt;0.3),0,P299))</f>
        <v>0.15</v>
      </c>
      <c r="R299" s="0" t="n">
        <v>5966.59</v>
      </c>
      <c r="S299" s="0" t="n">
        <v>3994.72</v>
      </c>
      <c r="T299" s="6" t="n">
        <f aca="false">N299*O299*(1-Q299)</f>
        <v>5966.592</v>
      </c>
      <c r="U299" s="6" t="n">
        <f aca="false">T299-S299</f>
        <v>1971.872</v>
      </c>
      <c r="V299" s="7" t="n">
        <f aca="false">IF(T299=0,0,U299/T299)</f>
        <v>0.330485476466298</v>
      </c>
      <c r="W299" s="4" t="n">
        <f aca="false">C299-B299</f>
        <v>8</v>
      </c>
      <c r="X299" s="0" t="str">
        <f aca="false">TEXT(B299,"mmmm")</f>
        <v>October</v>
      </c>
      <c r="Y299" s="4" t="n">
        <f aca="false">YEAR(B299)</f>
        <v>2024</v>
      </c>
      <c r="Z299" s="0" t="str">
        <f aca="false">PROPER(TRIM(AU299))</f>
        <v>Paid</v>
      </c>
      <c r="AA299" s="0" t="str">
        <f aca="false">PROPER(TRIM(AV299))</f>
        <v>Completed</v>
      </c>
      <c r="AB299" s="0" t="str">
        <f aca="false">IF(TRIM(AN299)="","Yes","No")</f>
        <v>No</v>
      </c>
      <c r="AC299" s="0" t="str">
        <f aca="false">IF(TRIM(AS299)="","Yes","No")</f>
        <v>No</v>
      </c>
      <c r="AD299" s="0" t="str">
        <f aca="false">IF(AT299="","Yes","No")</f>
        <v>No</v>
      </c>
      <c r="AE299" s="0" t="str">
        <f aca="false">IF(W299&lt;0,"Yes","No")</f>
        <v>No</v>
      </c>
      <c r="AF299" s="0" t="str">
        <f aca="false">IF(P299="","No",IF(OR(P299&lt;0,P299&gt;0.3),"Yes","No"))</f>
        <v>No</v>
      </c>
      <c r="AG299" s="4" t="s">
        <v>50</v>
      </c>
      <c r="AH299" s="0" t="str">
        <f aca="false">IF(AND(AA299="Completed",Z299="Paid"),"Yes","No")</f>
        <v>Yes</v>
      </c>
      <c r="AI299" s="0" t="str">
        <f aca="false">IF(OR(AE299="Yes",AF299="Yes",AG299="Yes"),"Invalid",IF(OR(AB299="Yes",AC299="Yes",AD299="Yes"),"Warning","Clean"))</f>
        <v>Clean</v>
      </c>
      <c r="AJ299" s="4" t="s">
        <v>1277</v>
      </c>
      <c r="AK299" s="4" t="s">
        <v>1278</v>
      </c>
      <c r="AL299" s="4" t="s">
        <v>181</v>
      </c>
      <c r="AM299" s="4" t="s">
        <v>128</v>
      </c>
      <c r="AN299" s="4" t="s">
        <v>87</v>
      </c>
      <c r="AO299" s="4" t="s">
        <v>323</v>
      </c>
      <c r="AP299" s="4" t="s">
        <v>324</v>
      </c>
      <c r="AQ299" s="4" t="s">
        <v>109</v>
      </c>
      <c r="AR299" s="4" t="s">
        <v>116</v>
      </c>
      <c r="AS299" s="4" t="s">
        <v>74</v>
      </c>
      <c r="AT299" s="0" t="n">
        <v>0.15</v>
      </c>
      <c r="AU299" s="4" t="s">
        <v>61</v>
      </c>
      <c r="AV299" s="4" t="s">
        <v>62</v>
      </c>
    </row>
    <row r="300" customFormat="false" ht="15" hidden="false" customHeight="false" outlineLevel="0" collapsed="false">
      <c r="A300" s="0" t="s">
        <v>1279</v>
      </c>
      <c r="B300" s="3" t="n">
        <f aca="false">IF(AJ300="","",IF(ISNUMBER(SEARCH("/",AJ300)),DATE(VALUE(RIGHT(AJ300,4)),VALUE(LEFT(AJ300,2)),VALUE(MID(AJ300,4,2))),IF(ISNUMBER(SEARCH("-",AJ300)),IF(LEN(LEFT(AJ300,FIND("-",AJ300)-1))=4,DATE(VALUE(LEFT(AJ300,4)),VALUE(MID(AJ300,6,2)),VALUE(RIGHT(AJ300,2))),DATE(VALUE(RIGHT(AJ300,4)),VALUE(MID(AJ300,4,2)),VALUE(LEFT(AJ300,2)))),DATE(VALUE(RIGHT(AJ300,4)),MATCH(MID(AJ300,4,3),{"Jan","Feb","Mar","Apr","May","Jun","Jul","Aug","Sep","Oct","Nov","Dec"},0),VALUE(LEFT(AJ300,2))))))</f>
        <v>45680</v>
      </c>
      <c r="C300" s="3" t="n">
        <f aca="false">IF(AK300="","",IF(ISNUMBER(SEARCH("/",AK300)),DATE(VALUE(RIGHT(AK300,4)),VALUE(LEFT(AK300,2)),VALUE(MID(AK300,4,2))),IF(ISNUMBER(SEARCH("-",AK300)),IF(LEN(LEFT(AK300,FIND("-",AK300)-1))=4,DATE(VALUE(LEFT(AK300,4)),VALUE(MID(AK300,6,2)),VALUE(RIGHT(AK300,2))),DATE(VALUE(RIGHT(AK300,4)),VALUE(MID(AK300,4,2)),VALUE(LEFT(AK300,2)))),DATE(VALUE(RIGHT(AK300,4)),MATCH(MID(AK300,4,3),{"Jan","Feb","Mar","Apr","May","Jun","Jul","Aug","Sep","Oct","Nov","Dec"},0),VALUE(LEFT(AK300,2))))))</f>
        <v>45683</v>
      </c>
      <c r="D300" s="4" t="s">
        <v>1280</v>
      </c>
      <c r="E300" s="0" t="str">
        <f aca="false">PROPER(TRIM(AL300))</f>
        <v>Isha Nair</v>
      </c>
      <c r="F300" s="0" t="str">
        <f aca="false">PROPER(TRIM(AM300))</f>
        <v>Consumer</v>
      </c>
      <c r="G300" s="0" t="str">
        <f aca="false">IF(TRIM(AN300)="","Unknown",PROPER(TRIM(AN300)))</f>
        <v>South</v>
      </c>
      <c r="H300" s="0" t="str">
        <f aca="false">PROPER(TRIM(AO300))</f>
        <v>Kerala</v>
      </c>
      <c r="I300" s="0" t="str">
        <f aca="false">PROPER(TRIM(AP300))</f>
        <v>Kochi</v>
      </c>
      <c r="J300" s="0" t="str">
        <f aca="false">PROPER(TRIM(AQ300))</f>
        <v>Technology</v>
      </c>
      <c r="K300" s="0" t="str">
        <f aca="false">PROPER(TRIM(AR300))</f>
        <v>Copiers</v>
      </c>
      <c r="M300" s="0" t="str">
        <f aca="false">IF(TRIM(AS300)="","Unknown",PROPER(TRIM(AS300)))</f>
        <v>First Class</v>
      </c>
      <c r="N300" s="0" t="n">
        <v>7</v>
      </c>
      <c r="O300" s="0" t="n">
        <v>348.49</v>
      </c>
      <c r="P300" s="5" t="n">
        <f aca="false">IF(AT300="","",IF(ISNUMBER(AT300),AT300,VALUE(SUBSTITUTE(AT300,"%",""))/100))</f>
        <v>0.2</v>
      </c>
      <c r="Q300" s="5" t="n">
        <f aca="false">IF(P300="",IF(AND(N300&lt;&gt;"",O300&lt;&gt;"",R300&lt;&gt;"",S300&lt;&gt;""),0,"REVIEW"),IF(OR(P300&lt;0,P300&gt;0.3),0,P300))</f>
        <v>0.2</v>
      </c>
      <c r="R300" s="0" t="n">
        <v>1951.54</v>
      </c>
      <c r="S300" s="0" t="n">
        <v>1609.95</v>
      </c>
      <c r="T300" s="6" t="n">
        <f aca="false">N300*O300*(1-Q300)</f>
        <v>1951.544</v>
      </c>
      <c r="U300" s="6" t="n">
        <f aca="false">T300-S300</f>
        <v>341.594</v>
      </c>
      <c r="V300" s="7" t="n">
        <f aca="false">IF(T300=0,0,U300/T300)</f>
        <v>0.175037816211164</v>
      </c>
      <c r="W300" s="4" t="n">
        <f aca="false">C300-B300</f>
        <v>3</v>
      </c>
      <c r="X300" s="0" t="str">
        <f aca="false">TEXT(B300,"mmmm")</f>
        <v>January</v>
      </c>
      <c r="Y300" s="4" t="n">
        <f aca="false">YEAR(B300)</f>
        <v>2025</v>
      </c>
      <c r="Z300" s="0" t="str">
        <f aca="false">PROPER(TRIM(AU300))</f>
        <v>Failed</v>
      </c>
      <c r="AA300" s="0" t="str">
        <f aca="false">PROPER(TRIM(AV300))</f>
        <v>Returned</v>
      </c>
      <c r="AB300" s="0" t="str">
        <f aca="false">IF(TRIM(AN300)="","Yes","No")</f>
        <v>No</v>
      </c>
      <c r="AC300" s="0" t="str">
        <f aca="false">IF(TRIM(AS300)="","Yes","No")</f>
        <v>No</v>
      </c>
      <c r="AD300" s="0" t="str">
        <f aca="false">IF(AT300="","Yes","No")</f>
        <v>No</v>
      </c>
      <c r="AE300" s="0" t="str">
        <f aca="false">IF(W300&lt;0,"Yes","No")</f>
        <v>No</v>
      </c>
      <c r="AF300" s="0" t="str">
        <f aca="false">IF(P300="","No",IF(OR(P300&lt;0,P300&gt;0.3),"Yes","No"))</f>
        <v>No</v>
      </c>
      <c r="AG300" s="4" t="s">
        <v>50</v>
      </c>
      <c r="AH300" s="0" t="str">
        <f aca="false">IF(AND(AA300="Completed",Z300="Paid"),"Yes","No")</f>
        <v>No</v>
      </c>
      <c r="AI300" s="0" t="str">
        <f aca="false">IF(OR(AE300="Yes",AF300="Yes",AG300="Yes"),"Invalid",IF(OR(AB300="Yes",AC300="Yes",AD300="Yes"),"Warning","Clean"))</f>
        <v>Clean</v>
      </c>
      <c r="AJ300" s="4" t="s">
        <v>1281</v>
      </c>
      <c r="AK300" s="4" t="s">
        <v>1282</v>
      </c>
      <c r="AL300" s="4" t="s">
        <v>79</v>
      </c>
      <c r="AM300" s="4" t="s">
        <v>54</v>
      </c>
      <c r="AN300" s="4" t="s">
        <v>87</v>
      </c>
      <c r="AO300" s="4" t="s">
        <v>244</v>
      </c>
      <c r="AP300" s="4" t="s">
        <v>245</v>
      </c>
      <c r="AQ300" s="4" t="s">
        <v>109</v>
      </c>
      <c r="AR300" s="4" t="s">
        <v>116</v>
      </c>
      <c r="AS300" s="4" t="s">
        <v>81</v>
      </c>
      <c r="AT300" s="0" t="n">
        <v>0.2</v>
      </c>
      <c r="AU300" s="4" t="s">
        <v>207</v>
      </c>
      <c r="AV300" s="4" t="s">
        <v>142</v>
      </c>
    </row>
    <row r="301" customFormat="false" ht="15" hidden="false" customHeight="false" outlineLevel="0" collapsed="false">
      <c r="A301" s="0" t="s">
        <v>1283</v>
      </c>
      <c r="B301" s="3" t="n">
        <f aca="false">IF(AJ301="","",IF(ISNUMBER(SEARCH("/",AJ301)),DATE(VALUE(RIGHT(AJ301,4)),VALUE(LEFT(AJ301,2)),VALUE(MID(AJ301,4,2))),IF(ISNUMBER(SEARCH("-",AJ301)),IF(LEN(LEFT(AJ301,FIND("-",AJ301)-1))=4,DATE(VALUE(LEFT(AJ301,4)),VALUE(MID(AJ301,6,2)),VALUE(RIGHT(AJ301,2))),DATE(VALUE(RIGHT(AJ301,4)),VALUE(MID(AJ301,4,2)),VALUE(LEFT(AJ301,2)))),DATE(VALUE(RIGHT(AJ301,4)),MATCH(MID(AJ301,4,3),{"Jan","Feb","Mar","Apr","May","Jun","Jul","Aug","Sep","Oct","Nov","Dec"},0),VALUE(LEFT(AJ301,2))))))</f>
        <v>45602</v>
      </c>
      <c r="C301" s="3" t="n">
        <f aca="false">IF(AK301="","",IF(ISNUMBER(SEARCH("/",AK301)),DATE(VALUE(RIGHT(AK301,4)),VALUE(LEFT(AK301,2)),VALUE(MID(AK301,4,2))),IF(ISNUMBER(SEARCH("-",AK301)),IF(LEN(LEFT(AK301,FIND("-",AK301)-1))=4,DATE(VALUE(LEFT(AK301,4)),VALUE(MID(AK301,6,2)),VALUE(RIGHT(AK301,2))),DATE(VALUE(RIGHT(AK301,4)),VALUE(MID(AK301,4,2)),VALUE(LEFT(AK301,2)))),DATE(VALUE(RIGHT(AK301,4)),MATCH(MID(AK301,4,3),{"Jan","Feb","Mar","Apr","May","Jun","Jul","Aug","Sep","Oct","Nov","Dec"},0),VALUE(LEFT(AK301,2))))))</f>
        <v>45608</v>
      </c>
      <c r="D301" s="4" t="s">
        <v>1284</v>
      </c>
      <c r="E301" s="0" t="str">
        <f aca="false">PROPER(TRIM(AL301))</f>
        <v>Rahul Verma</v>
      </c>
      <c r="F301" s="0" t="str">
        <f aca="false">PROPER(TRIM(AM301))</f>
        <v>Small Business</v>
      </c>
      <c r="G301" s="0" t="str">
        <f aca="false">IF(TRIM(AN301)="","Unknown",PROPER(TRIM(AN301)))</f>
        <v>West</v>
      </c>
      <c r="H301" s="0" t="str">
        <f aca="false">PROPER(TRIM(AO301))</f>
        <v>Gujarat</v>
      </c>
      <c r="I301" s="0" t="str">
        <f aca="false">PROPER(TRIM(AP301))</f>
        <v>Ahmedabad</v>
      </c>
      <c r="J301" s="0" t="str">
        <f aca="false">PROPER(TRIM(AQ301))</f>
        <v>Technology</v>
      </c>
      <c r="K301" s="0" t="str">
        <f aca="false">PROPER(TRIM(AR301))</f>
        <v>Accessories</v>
      </c>
      <c r="M301" s="0" t="str">
        <f aca="false">IF(TRIM(AS301)="","Unknown",PROPER(TRIM(AS301)))</f>
        <v>Standard Class</v>
      </c>
      <c r="N301" s="0" t="n">
        <v>7</v>
      </c>
      <c r="O301" s="0" t="n">
        <v>1719.05</v>
      </c>
      <c r="P301" s="5" t="n">
        <f aca="false">IF(AT301="","",IF(ISNUMBER(AT301),AT301,VALUE(SUBSTITUTE(AT301,"%",""))/100))</f>
        <v>0.1</v>
      </c>
      <c r="Q301" s="5" t="n">
        <f aca="false">IF(P301="",IF(AND(N301&lt;&gt;"",O301&lt;&gt;"",R301&lt;&gt;"",S301&lt;&gt;""),0,"REVIEW"),IF(OR(P301&lt;0,P301&gt;0.3),0,P301))</f>
        <v>0.1</v>
      </c>
      <c r="R301" s="0" t="n">
        <v>10830.02</v>
      </c>
      <c r="S301" s="0" t="n">
        <v>7055.31</v>
      </c>
      <c r="T301" s="6" t="n">
        <f aca="false">N301*O301*(1-Q301)</f>
        <v>10830.015</v>
      </c>
      <c r="U301" s="6" t="n">
        <f aca="false">T301-S301</f>
        <v>3774.705</v>
      </c>
      <c r="V301" s="7" t="n">
        <f aca="false">IF(T301=0,0,U301/T301)</f>
        <v>0.348541068502675</v>
      </c>
      <c r="W301" s="4" t="n">
        <f aca="false">C301-B301</f>
        <v>6</v>
      </c>
      <c r="X301" s="0" t="str">
        <f aca="false">TEXT(B301,"mmmm")</f>
        <v>November</v>
      </c>
      <c r="Y301" s="4" t="n">
        <f aca="false">YEAR(B301)</f>
        <v>2024</v>
      </c>
      <c r="Z301" s="0" t="str">
        <f aca="false">PROPER(TRIM(AU301))</f>
        <v>Paid</v>
      </c>
      <c r="AA301" s="0" t="str">
        <f aca="false">PROPER(TRIM(AV301))</f>
        <v>Completed</v>
      </c>
      <c r="AB301" s="0" t="str">
        <f aca="false">IF(TRIM(AN301)="","Yes","No")</f>
        <v>No</v>
      </c>
      <c r="AC301" s="0" t="str">
        <f aca="false">IF(TRIM(AS301)="","Yes","No")</f>
        <v>No</v>
      </c>
      <c r="AD301" s="0" t="str">
        <f aca="false">IF(AT301="","Yes","No")</f>
        <v>No</v>
      </c>
      <c r="AE301" s="0" t="str">
        <f aca="false">IF(W301&lt;0,"Yes","No")</f>
        <v>No</v>
      </c>
      <c r="AF301" s="0" t="str">
        <f aca="false">IF(P301="","No",IF(OR(P301&lt;0,P301&gt;0.3),"Yes","No"))</f>
        <v>No</v>
      </c>
      <c r="AG301" s="4" t="s">
        <v>50</v>
      </c>
      <c r="AH301" s="0" t="str">
        <f aca="false">IF(AND(AA301="Completed",Z301="Paid"),"Yes","No")</f>
        <v>Yes</v>
      </c>
      <c r="AI301" s="0" t="str">
        <f aca="false">IF(OR(AE301="Yes",AF301="Yes",AG301="Yes"),"Invalid",IF(OR(AB301="Yes",AC301="Yes",AD301="Yes"),"Warning","Clean"))</f>
        <v>Clean</v>
      </c>
      <c r="AJ301" s="4" t="s">
        <v>1278</v>
      </c>
      <c r="AK301" s="4" t="s">
        <v>1285</v>
      </c>
      <c r="AL301" s="4" t="s">
        <v>163</v>
      </c>
      <c r="AM301" s="4" t="s">
        <v>68</v>
      </c>
      <c r="AN301" s="4" t="s">
        <v>97</v>
      </c>
      <c r="AO301" s="4" t="s">
        <v>238</v>
      </c>
      <c r="AP301" s="4" t="s">
        <v>239</v>
      </c>
      <c r="AQ301" s="4" t="s">
        <v>109</v>
      </c>
      <c r="AR301" s="4" t="s">
        <v>110</v>
      </c>
      <c r="AS301" s="4" t="s">
        <v>91</v>
      </c>
      <c r="AT301" s="0" t="n">
        <v>0.1</v>
      </c>
      <c r="AU301" s="4" t="s">
        <v>61</v>
      </c>
      <c r="AV301" s="4" t="s">
        <v>62</v>
      </c>
    </row>
    <row r="302" customFormat="false" ht="15" hidden="false" customHeight="false" outlineLevel="0" collapsed="false">
      <c r="A302" s="0" t="s">
        <v>1286</v>
      </c>
      <c r="B302" s="3" t="n">
        <f aca="false">IF(AJ302="","",IF(ISNUMBER(SEARCH("/",AJ302)),DATE(VALUE(RIGHT(AJ302,4)),VALUE(LEFT(AJ302,2)),VALUE(MID(AJ302,4,2))),IF(ISNUMBER(SEARCH("-",AJ302)),IF(LEN(LEFT(AJ302,FIND("-",AJ302)-1))=4,DATE(VALUE(LEFT(AJ302,4)),VALUE(MID(AJ302,6,2)),VALUE(RIGHT(AJ302,2))),DATE(VALUE(RIGHT(AJ302,4)),VALUE(MID(AJ302,4,2)),VALUE(LEFT(AJ302,2)))),DATE(VALUE(RIGHT(AJ302,4)),MATCH(MID(AJ302,4,3),{"Jan","Feb","Mar","Apr","May","Jun","Jul","Aug","Sep","Oct","Nov","Dec"},0),VALUE(LEFT(AJ302,2))))))</f>
        <v>45397</v>
      </c>
      <c r="C302" s="3" t="n">
        <f aca="false">IF(AK302="","",IF(ISNUMBER(SEARCH("/",AK302)),DATE(VALUE(RIGHT(AK302,4)),VALUE(LEFT(AK302,2)),VALUE(MID(AK302,4,2))),IF(ISNUMBER(SEARCH("-",AK302)),IF(LEN(LEFT(AK302,FIND("-",AK302)-1))=4,DATE(VALUE(LEFT(AK302,4)),VALUE(MID(AK302,6,2)),VALUE(RIGHT(AK302,2))),DATE(VALUE(RIGHT(AK302,4)),VALUE(MID(AK302,4,2)),VALUE(LEFT(AK302,2)))),DATE(VALUE(RIGHT(AK302,4)),MATCH(MID(AK302,4,3),{"Jan","Feb","Mar","Apr","May","Jun","Jul","Aug","Sep","Oct","Nov","Dec"},0),VALUE(LEFT(AK302,2))))))</f>
        <v>45405</v>
      </c>
      <c r="D302" s="4" t="s">
        <v>1287</v>
      </c>
      <c r="E302" s="0" t="str">
        <f aca="false">PROPER(TRIM(AL302))</f>
        <v>Diya Patel</v>
      </c>
      <c r="F302" s="0" t="str">
        <f aca="false">PROPER(TRIM(AM302))</f>
        <v>Small Business</v>
      </c>
      <c r="G302" s="0" t="str">
        <f aca="false">IF(TRIM(AN302)="","Unknown",PROPER(TRIM(AN302)))</f>
        <v>North</v>
      </c>
      <c r="H302" s="0" t="str">
        <f aca="false">PROPER(TRIM(AO302))</f>
        <v>Punjab</v>
      </c>
      <c r="I302" s="0" t="str">
        <f aca="false">PROPER(TRIM(AP302))</f>
        <v>Ludhiana</v>
      </c>
      <c r="J302" s="0" t="str">
        <f aca="false">PROPER(TRIM(AQ302))</f>
        <v>Technology</v>
      </c>
      <c r="K302" s="0" t="str">
        <f aca="false">PROPER(TRIM(AR302))</f>
        <v>Accessories</v>
      </c>
      <c r="M302" s="0" t="str">
        <f aca="false">IF(TRIM(AS302)="","Unknown",PROPER(TRIM(AS302)))</f>
        <v>Second Class</v>
      </c>
      <c r="N302" s="0" t="n">
        <v>9</v>
      </c>
      <c r="O302" s="0" t="n">
        <v>3893.74</v>
      </c>
      <c r="P302" s="5" t="n">
        <f aca="false">IF(AT302="","",IF(ISNUMBER(AT302),AT302,VALUE(SUBSTITUTE(AT302,"%",""))/100))</f>
        <v>0.1</v>
      </c>
      <c r="Q302" s="5" t="n">
        <f aca="false">IF(P302="",IF(AND(N302&lt;&gt;"",O302&lt;&gt;"",R302&lt;&gt;"",S302&lt;&gt;""),0,"REVIEW"),IF(OR(P302&lt;0,P302&gt;0.3),0,P302))</f>
        <v>0.1</v>
      </c>
      <c r="R302" s="0" t="n">
        <v>31539.29</v>
      </c>
      <c r="S302" s="0" t="n">
        <v>22100.14</v>
      </c>
      <c r="T302" s="6" t="n">
        <f aca="false">N302*O302*(1-Q302)</f>
        <v>31539.294</v>
      </c>
      <c r="U302" s="6" t="n">
        <f aca="false">T302-S302</f>
        <v>9439.154</v>
      </c>
      <c r="V302" s="7" t="n">
        <f aca="false">IF(T302=0,0,U302/T302)</f>
        <v>0.299282349186383</v>
      </c>
      <c r="W302" s="4" t="n">
        <f aca="false">C302-B302</f>
        <v>8</v>
      </c>
      <c r="X302" s="0" t="str">
        <f aca="false">TEXT(B302,"mmmm")</f>
        <v>April</v>
      </c>
      <c r="Y302" s="4" t="n">
        <f aca="false">YEAR(B302)</f>
        <v>2024</v>
      </c>
      <c r="Z302" s="0" t="str">
        <f aca="false">PROPER(TRIM(AU302))</f>
        <v>Paid</v>
      </c>
      <c r="AA302" s="0" t="str">
        <f aca="false">PROPER(TRIM(AV302))</f>
        <v>Completed</v>
      </c>
      <c r="AB302" s="0" t="str">
        <f aca="false">IF(TRIM(AN302)="","Yes","No")</f>
        <v>No</v>
      </c>
      <c r="AC302" s="0" t="str">
        <f aca="false">IF(TRIM(AS302)="","Yes","No")</f>
        <v>No</v>
      </c>
      <c r="AD302" s="0" t="str">
        <f aca="false">IF(AT302="","Yes","No")</f>
        <v>No</v>
      </c>
      <c r="AE302" s="0" t="str">
        <f aca="false">IF(W302&lt;0,"Yes","No")</f>
        <v>No</v>
      </c>
      <c r="AF302" s="0" t="str">
        <f aca="false">IF(P302="","No",IF(OR(P302&lt;0,P302&gt;0.3),"Yes","No"))</f>
        <v>No</v>
      </c>
      <c r="AG302" s="4" t="s">
        <v>50</v>
      </c>
      <c r="AH302" s="0" t="str">
        <f aca="false">IF(AND(AA302="Completed",Z302="Paid"),"Yes","No")</f>
        <v>Yes</v>
      </c>
      <c r="AI302" s="0" t="str">
        <f aca="false">IF(OR(AE302="Yes",AF302="Yes",AG302="Yes"),"Invalid",IF(OR(AB302="Yes",AC302="Yes",AD302="Yes"),"Warning","Clean"))</f>
        <v>Clean</v>
      </c>
      <c r="AJ302" s="4" t="s">
        <v>1288</v>
      </c>
      <c r="AK302" s="4" t="s">
        <v>1289</v>
      </c>
      <c r="AL302" s="4" t="s">
        <v>216</v>
      </c>
      <c r="AM302" s="4" t="s">
        <v>68</v>
      </c>
      <c r="AN302" s="4" t="s">
        <v>168</v>
      </c>
      <c r="AO302" s="4" t="s">
        <v>169</v>
      </c>
      <c r="AP302" s="4" t="s">
        <v>170</v>
      </c>
      <c r="AQ302" s="4" t="s">
        <v>109</v>
      </c>
      <c r="AR302" s="4" t="s">
        <v>110</v>
      </c>
      <c r="AS302" s="4" t="s">
        <v>329</v>
      </c>
      <c r="AT302" s="0" t="n">
        <v>0.1</v>
      </c>
      <c r="AU302" s="4" t="s">
        <v>61</v>
      </c>
      <c r="AV302" s="4" t="s">
        <v>62</v>
      </c>
    </row>
    <row r="303" customFormat="false" ht="15" hidden="false" customHeight="false" outlineLevel="0" collapsed="false">
      <c r="A303" s="0" t="s">
        <v>1290</v>
      </c>
      <c r="B303" s="3" t="n">
        <f aca="false">IF(AJ303="","",IF(ISNUMBER(SEARCH("/",AJ303)),DATE(VALUE(RIGHT(AJ303,4)),VALUE(LEFT(AJ303,2)),VALUE(MID(AJ303,4,2))),IF(ISNUMBER(SEARCH("-",AJ303)),IF(LEN(LEFT(AJ303,FIND("-",AJ303)-1))=4,DATE(VALUE(LEFT(AJ303,4)),VALUE(MID(AJ303,6,2)),VALUE(RIGHT(AJ303,2))),DATE(VALUE(RIGHT(AJ303,4)),VALUE(MID(AJ303,4,2)),VALUE(LEFT(AJ303,2)))),DATE(VALUE(RIGHT(AJ303,4)),MATCH(MID(AJ303,4,3),{"Jan","Feb","Mar","Apr","May","Jun","Jul","Aug","Sep","Oct","Nov","Dec"},0),VALUE(LEFT(AJ303,2))))))</f>
        <v>45805</v>
      </c>
      <c r="C303" s="3" t="n">
        <f aca="false">IF(AK303="","",IF(ISNUMBER(SEARCH("/",AK303)),DATE(VALUE(RIGHT(AK303,4)),VALUE(LEFT(AK303,2)),VALUE(MID(AK303,4,2))),IF(ISNUMBER(SEARCH("-",AK303)),IF(LEN(LEFT(AK303,FIND("-",AK303)-1))=4,DATE(VALUE(LEFT(AK303,4)),VALUE(MID(AK303,6,2)),VALUE(RIGHT(AK303,2))),DATE(VALUE(RIGHT(AK303,4)),VALUE(MID(AK303,4,2)),VALUE(LEFT(AK303,2)))),DATE(VALUE(RIGHT(AK303,4)),MATCH(MID(AK303,4,3),{"Jan","Feb","Mar","Apr","May","Jun","Jul","Aug","Sep","Oct","Nov","Dec"},0),VALUE(LEFT(AK303,2))))))</f>
        <v>45809</v>
      </c>
      <c r="D303" s="4" t="s">
        <v>1291</v>
      </c>
      <c r="E303" s="0" t="str">
        <f aca="false">PROPER(TRIM(AL303))</f>
        <v>Isha Nair</v>
      </c>
      <c r="F303" s="0" t="str">
        <f aca="false">PROPER(TRIM(AM303))</f>
        <v>Home Office</v>
      </c>
      <c r="G303" s="0" t="str">
        <f aca="false">IF(TRIM(AN303)="","Unknown",PROPER(TRIM(AN303)))</f>
        <v>East</v>
      </c>
      <c r="H303" s="0" t="str">
        <f aca="false">PROPER(TRIM(AO303))</f>
        <v>Bihar</v>
      </c>
      <c r="I303" s="0" t="str">
        <f aca="false">PROPER(TRIM(AP303))</f>
        <v>Patna</v>
      </c>
      <c r="J303" s="0" t="str">
        <f aca="false">PROPER(TRIM(AQ303))</f>
        <v>Technology</v>
      </c>
      <c r="K303" s="0" t="str">
        <f aca="false">PROPER(TRIM(AR303))</f>
        <v>Phones</v>
      </c>
      <c r="M303" s="0" t="str">
        <f aca="false">IF(TRIM(AS303)="","Unknown",PROPER(TRIM(AS303)))</f>
        <v>Same Day</v>
      </c>
      <c r="N303" s="0" t="n">
        <v>4</v>
      </c>
      <c r="O303" s="0" t="n">
        <v>1654.11</v>
      </c>
      <c r="P303" s="5" t="n">
        <f aca="false">IF(AT303="","",IF(ISNUMBER(AT303),AT303,VALUE(SUBSTITUTE(AT303,"%",""))/100))</f>
        <v>0.05</v>
      </c>
      <c r="Q303" s="5" t="n">
        <f aca="false">IF(P303="",IF(AND(N303&lt;&gt;"",O303&lt;&gt;"",R303&lt;&gt;"",S303&lt;&gt;""),0,"REVIEW"),IF(OR(P303&lt;0,P303&gt;0.3),0,P303))</f>
        <v>0.05</v>
      </c>
      <c r="R303" s="0" t="n">
        <v>6285.62</v>
      </c>
      <c r="S303" s="0" t="n">
        <v>3705.38</v>
      </c>
      <c r="T303" s="6" t="n">
        <f aca="false">N303*O303*(1-Q303)</f>
        <v>6285.618</v>
      </c>
      <c r="U303" s="6" t="n">
        <f aca="false">T303-S303</f>
        <v>2580.238</v>
      </c>
      <c r="V303" s="7" t="n">
        <f aca="false">IF(T303=0,0,U303/T303)</f>
        <v>0.410498697184589</v>
      </c>
      <c r="W303" s="4" t="n">
        <f aca="false">C303-B303</f>
        <v>4</v>
      </c>
      <c r="X303" s="0" t="str">
        <f aca="false">TEXT(B303,"mmmm")</f>
        <v>May</v>
      </c>
      <c r="Y303" s="4" t="n">
        <f aca="false">YEAR(B303)</f>
        <v>2025</v>
      </c>
      <c r="Z303" s="0" t="str">
        <f aca="false">PROPER(TRIM(AU303))</f>
        <v>Paid</v>
      </c>
      <c r="AA303" s="0" t="str">
        <f aca="false">PROPER(TRIM(AV303))</f>
        <v>Completed</v>
      </c>
      <c r="AB303" s="0" t="str">
        <f aca="false">IF(TRIM(AN303)="","Yes","No")</f>
        <v>No</v>
      </c>
      <c r="AC303" s="0" t="str">
        <f aca="false">IF(TRIM(AS303)="","Yes","No")</f>
        <v>No</v>
      </c>
      <c r="AD303" s="0" t="str">
        <f aca="false">IF(AT303="","Yes","No")</f>
        <v>No</v>
      </c>
      <c r="AE303" s="0" t="str">
        <f aca="false">IF(W303&lt;0,"Yes","No")</f>
        <v>No</v>
      </c>
      <c r="AF303" s="0" t="str">
        <f aca="false">IF(P303="","No",IF(OR(P303&lt;0,P303&gt;0.3),"Yes","No"))</f>
        <v>No</v>
      </c>
      <c r="AG303" s="4" t="s">
        <v>50</v>
      </c>
      <c r="AH303" s="0" t="str">
        <f aca="false">IF(AND(AA303="Completed",Z303="Paid"),"Yes","No")</f>
        <v>Yes</v>
      </c>
      <c r="AI303" s="0" t="str">
        <f aca="false">IF(OR(AE303="Yes",AF303="Yes",AG303="Yes"),"Invalid",IF(OR(AB303="Yes",AC303="Yes",AD303="Yes"),"Warning","Clean"))</f>
        <v>Clean</v>
      </c>
      <c r="AJ303" s="4" t="s">
        <v>873</v>
      </c>
      <c r="AK303" s="4" t="s">
        <v>1292</v>
      </c>
      <c r="AL303" s="4" t="s">
        <v>79</v>
      </c>
      <c r="AM303" s="4" t="s">
        <v>134</v>
      </c>
      <c r="AN303" s="4" t="s">
        <v>69</v>
      </c>
      <c r="AO303" s="4" t="s">
        <v>196</v>
      </c>
      <c r="AP303" s="4" t="s">
        <v>197</v>
      </c>
      <c r="AQ303" s="4" t="s">
        <v>109</v>
      </c>
      <c r="AR303" s="4" t="s">
        <v>227</v>
      </c>
      <c r="AS303" s="4" t="s">
        <v>74</v>
      </c>
      <c r="AT303" s="0" t="n">
        <v>0.05</v>
      </c>
      <c r="AU303" s="4" t="s">
        <v>61</v>
      </c>
      <c r="AV303" s="4" t="s">
        <v>62</v>
      </c>
    </row>
    <row r="304" customFormat="false" ht="15" hidden="false" customHeight="false" outlineLevel="0" collapsed="false">
      <c r="A304" s="0" t="s">
        <v>1293</v>
      </c>
      <c r="B304" s="3" t="n">
        <f aca="false">IF(AJ304="","",IF(ISNUMBER(SEARCH("/",AJ304)),DATE(VALUE(RIGHT(AJ304,4)),VALUE(LEFT(AJ304,2)),VALUE(MID(AJ304,4,2))),IF(ISNUMBER(SEARCH("-",AJ304)),IF(LEN(LEFT(AJ304,FIND("-",AJ304)-1))=4,DATE(VALUE(LEFT(AJ304,4)),VALUE(MID(AJ304,6,2)),VALUE(RIGHT(AJ304,2))),DATE(VALUE(RIGHT(AJ304,4)),VALUE(MID(AJ304,4,2)),VALUE(LEFT(AJ304,2)))),DATE(VALUE(RIGHT(AJ304,4)),MATCH(MID(AJ304,4,3),{"Jan","Feb","Mar","Apr","May","Jun","Jul","Aug","Sep","Oct","Nov","Dec"},0),VALUE(LEFT(AJ304,2))))))</f>
        <v>45812</v>
      </c>
      <c r="C304" s="3" t="n">
        <f aca="false">IF(AK304="","",IF(ISNUMBER(SEARCH("/",AK304)),DATE(VALUE(RIGHT(AK304,4)),VALUE(LEFT(AK304,2)),VALUE(MID(AK304,4,2))),IF(ISNUMBER(SEARCH("-",AK304)),IF(LEN(LEFT(AK304,FIND("-",AK304)-1))=4,DATE(VALUE(LEFT(AK304,4)),VALUE(MID(AK304,6,2)),VALUE(RIGHT(AK304,2))),DATE(VALUE(RIGHT(AK304,4)),VALUE(MID(AK304,4,2)),VALUE(LEFT(AK304,2)))),DATE(VALUE(RIGHT(AK304,4)),MATCH(MID(AK304,4,3),{"Jan","Feb","Mar","Apr","May","Jun","Jul","Aug","Sep","Oct","Nov","Dec"},0),VALUE(LEFT(AK304,2))))))</f>
        <v>45820</v>
      </c>
      <c r="D304" s="4" t="s">
        <v>1294</v>
      </c>
      <c r="E304" s="0" t="str">
        <f aca="false">PROPER(TRIM(AL304))</f>
        <v>Neha Gupta</v>
      </c>
      <c r="F304" s="0" t="str">
        <f aca="false">PROPER(TRIM(AM304))</f>
        <v>Consumer</v>
      </c>
      <c r="G304" s="0" t="str">
        <f aca="false">IF(TRIM(AN304)="","Unknown",PROPER(TRIM(AN304)))</f>
        <v>West</v>
      </c>
      <c r="H304" s="0" t="str">
        <f aca="false">PROPER(TRIM(AO304))</f>
        <v>Goa</v>
      </c>
      <c r="I304" s="0" t="str">
        <f aca="false">PROPER(TRIM(AP304))</f>
        <v>Panaji</v>
      </c>
      <c r="J304" s="0" t="str">
        <f aca="false">PROPER(TRIM(AQ304))</f>
        <v>Office Supplies</v>
      </c>
      <c r="K304" s="0" t="str">
        <f aca="false">PROPER(TRIM(AR304))</f>
        <v>Storage</v>
      </c>
      <c r="M304" s="0" t="str">
        <f aca="false">IF(TRIM(AS304)="","Unknown",PROPER(TRIM(AS304)))</f>
        <v>Same Day</v>
      </c>
      <c r="N304" s="0" t="n">
        <v>2</v>
      </c>
      <c r="O304" s="0" t="n">
        <v>2703.28</v>
      </c>
      <c r="P304" s="5" t="n">
        <f aca="false">IF(AT304="","",IF(ISNUMBER(AT304),AT304,VALUE(SUBSTITUTE(AT304,"%",""))/100))</f>
        <v>0.25</v>
      </c>
      <c r="Q304" s="5" t="n">
        <f aca="false">IF(P304="",IF(AND(N304&lt;&gt;"",O304&lt;&gt;"",R304&lt;&gt;"",S304&lt;&gt;""),0,"REVIEW"),IF(OR(P304&lt;0,P304&gt;0.3),0,P304))</f>
        <v>0.25</v>
      </c>
      <c r="R304" s="0" t="n">
        <v>4054.92</v>
      </c>
      <c r="S304" s="0" t="n">
        <v>2424.83</v>
      </c>
      <c r="T304" s="6" t="n">
        <f aca="false">N304*O304*(1-Q304)</f>
        <v>4054.92</v>
      </c>
      <c r="U304" s="6" t="n">
        <f aca="false">T304-S304</f>
        <v>1630.09</v>
      </c>
      <c r="V304" s="7" t="n">
        <f aca="false">IF(T304=0,0,U304/T304)</f>
        <v>0.402002998826117</v>
      </c>
      <c r="W304" s="4" t="n">
        <f aca="false">C304-B304</f>
        <v>8</v>
      </c>
      <c r="X304" s="0" t="str">
        <f aca="false">TEXT(B304,"mmmm")</f>
        <v>June</v>
      </c>
      <c r="Y304" s="4" t="n">
        <f aca="false">YEAR(B304)</f>
        <v>2025</v>
      </c>
      <c r="Z304" s="0" t="str">
        <f aca="false">PROPER(TRIM(AU304))</f>
        <v>Paid</v>
      </c>
      <c r="AA304" s="0" t="str">
        <f aca="false">PROPER(TRIM(AV304))</f>
        <v>Completed</v>
      </c>
      <c r="AB304" s="0" t="str">
        <f aca="false">IF(TRIM(AN304)="","Yes","No")</f>
        <v>No</v>
      </c>
      <c r="AC304" s="0" t="str">
        <f aca="false">IF(TRIM(AS304)="","Yes","No")</f>
        <v>No</v>
      </c>
      <c r="AD304" s="0" t="str">
        <f aca="false">IF(AT304="","Yes","No")</f>
        <v>No</v>
      </c>
      <c r="AE304" s="0" t="str">
        <f aca="false">IF(W304&lt;0,"Yes","No")</f>
        <v>No</v>
      </c>
      <c r="AF304" s="0" t="str">
        <f aca="false">IF(P304="","No",IF(OR(P304&lt;0,P304&gt;0.3),"Yes","No"))</f>
        <v>No</v>
      </c>
      <c r="AG304" s="4" t="s">
        <v>50</v>
      </c>
      <c r="AH304" s="0" t="str">
        <f aca="false">IF(AND(AA304="Completed",Z304="Paid"),"Yes","No")</f>
        <v>Yes</v>
      </c>
      <c r="AI304" s="0" t="str">
        <f aca="false">IF(OR(AE304="Yes",AF304="Yes",AG304="Yes"),"Invalid",IF(OR(AB304="Yes",AC304="Yes",AD304="Yes"),"Warning","Clean"))</f>
        <v>Clean</v>
      </c>
      <c r="AJ304" s="4" t="s">
        <v>1169</v>
      </c>
      <c r="AK304" s="4" t="s">
        <v>1295</v>
      </c>
      <c r="AL304" s="4" t="s">
        <v>115</v>
      </c>
      <c r="AM304" s="4" t="s">
        <v>54</v>
      </c>
      <c r="AN304" s="4" t="s">
        <v>97</v>
      </c>
      <c r="AO304" s="4" t="s">
        <v>250</v>
      </c>
      <c r="AP304" s="4" t="s">
        <v>251</v>
      </c>
      <c r="AQ304" s="4" t="s">
        <v>794</v>
      </c>
      <c r="AR304" s="4" t="s">
        <v>171</v>
      </c>
      <c r="AS304" s="4" t="s">
        <v>74</v>
      </c>
      <c r="AT304" s="0" t="n">
        <v>0.25</v>
      </c>
      <c r="AU304" s="4" t="s">
        <v>61</v>
      </c>
      <c r="AV304" s="4" t="s">
        <v>62</v>
      </c>
    </row>
    <row r="305" customFormat="false" ht="15" hidden="false" customHeight="false" outlineLevel="0" collapsed="false">
      <c r="A305" s="0" t="s">
        <v>1296</v>
      </c>
      <c r="B305" s="3" t="n">
        <f aca="false">IF(AJ305="","",IF(ISNUMBER(SEARCH("/",AJ305)),DATE(VALUE(RIGHT(AJ305,4)),VALUE(LEFT(AJ305,2)),VALUE(MID(AJ305,4,2))),IF(ISNUMBER(SEARCH("-",AJ305)),IF(LEN(LEFT(AJ305,FIND("-",AJ305)-1))=4,DATE(VALUE(LEFT(AJ305,4)),VALUE(MID(AJ305,6,2)),VALUE(RIGHT(AJ305,2))),DATE(VALUE(RIGHT(AJ305,4)),VALUE(MID(AJ305,4,2)),VALUE(LEFT(AJ305,2)))),DATE(VALUE(RIGHT(AJ305,4)),MATCH(MID(AJ305,4,3),{"Jan","Feb","Mar","Apr","May","Jun","Jul","Aug","Sep","Oct","Nov","Dec"},0),VALUE(LEFT(AJ305,2))))))</f>
        <v>45466</v>
      </c>
      <c r="C305" s="3" t="n">
        <f aca="false">IF(AK305="","",IF(ISNUMBER(SEARCH("/",AK305)),DATE(VALUE(RIGHT(AK305,4)),VALUE(LEFT(AK305,2)),VALUE(MID(AK305,4,2))),IF(ISNUMBER(SEARCH("-",AK305)),IF(LEN(LEFT(AK305,FIND("-",AK305)-1))=4,DATE(VALUE(LEFT(AK305,4)),VALUE(MID(AK305,6,2)),VALUE(RIGHT(AK305,2))),DATE(VALUE(RIGHT(AK305,4)),VALUE(MID(AK305,4,2)),VALUE(LEFT(AK305,2)))),DATE(VALUE(RIGHT(AK305,4)),MATCH(MID(AK305,4,3),{"Jan","Feb","Mar","Apr","May","Jun","Jul","Aug","Sep","Oct","Nov","Dec"},0),VALUE(LEFT(AK305,2))))))</f>
        <v>45471</v>
      </c>
      <c r="D305" s="4" t="s">
        <v>1297</v>
      </c>
      <c r="E305" s="0" t="str">
        <f aca="false">PROPER(TRIM(AL305))</f>
        <v>Diya Patel</v>
      </c>
      <c r="F305" s="0" t="str">
        <f aca="false">PROPER(TRIM(AM305))</f>
        <v>Home Office</v>
      </c>
      <c r="G305" s="0" t="str">
        <f aca="false">IF(TRIM(AN305)="","Unknown",PROPER(TRIM(AN305)))</f>
        <v>West</v>
      </c>
      <c r="H305" s="0" t="str">
        <f aca="false">PROPER(TRIM(AO305))</f>
        <v>Gujarat</v>
      </c>
      <c r="I305" s="0" t="str">
        <f aca="false">PROPER(TRIM(AP305))</f>
        <v>Ahmedabad</v>
      </c>
      <c r="J305" s="0" t="str">
        <f aca="false">PROPER(TRIM(AQ305))</f>
        <v>Furniture</v>
      </c>
      <c r="K305" s="0" t="str">
        <f aca="false">PROPER(TRIM(AR305))</f>
        <v>Chairs</v>
      </c>
      <c r="M305" s="0" t="str">
        <f aca="false">IF(TRIM(AS305)="","Unknown",PROPER(TRIM(AS305)))</f>
        <v>Standard Class</v>
      </c>
      <c r="N305" s="0" t="n">
        <v>2</v>
      </c>
      <c r="O305" s="0" t="n">
        <v>1313.14</v>
      </c>
      <c r="P305" s="5" t="n">
        <f aca="false">IF(AT305="","",IF(ISNUMBER(AT305),AT305,VALUE(SUBSTITUTE(AT305,"%",""))/100))</f>
        <v>0.1</v>
      </c>
      <c r="Q305" s="5" t="n">
        <f aca="false">IF(P305="",IF(AND(N305&lt;&gt;"",O305&lt;&gt;"",R305&lt;&gt;"",S305&lt;&gt;""),0,"REVIEW"),IF(OR(P305&lt;0,P305&gt;0.3),0,P305))</f>
        <v>0.1</v>
      </c>
      <c r="R305" s="0" t="n">
        <v>2363.65</v>
      </c>
      <c r="S305" s="0" t="n">
        <v>1876.1</v>
      </c>
      <c r="T305" s="6" t="n">
        <f aca="false">N305*O305*(1-Q305)</f>
        <v>2363.652</v>
      </c>
      <c r="U305" s="6" t="n">
        <f aca="false">T305-S305</f>
        <v>487.552</v>
      </c>
      <c r="V305" s="7" t="n">
        <f aca="false">IF(T305=0,0,U305/T305)</f>
        <v>0.206270635440412</v>
      </c>
      <c r="W305" s="4" t="n">
        <f aca="false">C305-B305</f>
        <v>5</v>
      </c>
      <c r="X305" s="0" t="str">
        <f aca="false">TEXT(B305,"mmmm")</f>
        <v>June</v>
      </c>
      <c r="Y305" s="4" t="n">
        <f aca="false">YEAR(B305)</f>
        <v>2024</v>
      </c>
      <c r="Z305" s="0" t="str">
        <f aca="false">PROPER(TRIM(AU305))</f>
        <v>Pending</v>
      </c>
      <c r="AA305" s="0" t="str">
        <f aca="false">PROPER(TRIM(AV305))</f>
        <v>Returned</v>
      </c>
      <c r="AB305" s="0" t="str">
        <f aca="false">IF(TRIM(AN305)="","Yes","No")</f>
        <v>No</v>
      </c>
      <c r="AC305" s="0" t="str">
        <f aca="false">IF(TRIM(AS305)="","Yes","No")</f>
        <v>No</v>
      </c>
      <c r="AD305" s="0" t="str">
        <f aca="false">IF(AT305="","Yes","No")</f>
        <v>No</v>
      </c>
      <c r="AE305" s="0" t="str">
        <f aca="false">IF(W305&lt;0,"Yes","No")</f>
        <v>No</v>
      </c>
      <c r="AF305" s="0" t="str">
        <f aca="false">IF(P305="","No",IF(OR(P305&lt;0,P305&gt;0.3),"Yes","No"))</f>
        <v>No</v>
      </c>
      <c r="AG305" s="4" t="s">
        <v>50</v>
      </c>
      <c r="AH305" s="0" t="str">
        <f aca="false">IF(AND(AA305="Completed",Z305="Paid"),"Yes","No")</f>
        <v>No</v>
      </c>
      <c r="AI305" s="0" t="str">
        <f aca="false">IF(OR(AE305="Yes",AF305="Yes",AG305="Yes"),"Invalid",IF(OR(AB305="Yes",AC305="Yes",AD305="Yes"),"Warning","Clean"))</f>
        <v>Clean</v>
      </c>
      <c r="AJ305" s="4" t="s">
        <v>1298</v>
      </c>
      <c r="AK305" s="4" t="s">
        <v>894</v>
      </c>
      <c r="AL305" s="4" t="s">
        <v>216</v>
      </c>
      <c r="AM305" s="4" t="s">
        <v>134</v>
      </c>
      <c r="AN305" s="4" t="s">
        <v>97</v>
      </c>
      <c r="AO305" s="4" t="s">
        <v>238</v>
      </c>
      <c r="AP305" s="4" t="s">
        <v>239</v>
      </c>
      <c r="AQ305" s="4" t="s">
        <v>72</v>
      </c>
      <c r="AR305" s="4" t="s">
        <v>100</v>
      </c>
      <c r="AS305" s="4" t="s">
        <v>91</v>
      </c>
      <c r="AT305" s="0" t="n">
        <v>0.1</v>
      </c>
      <c r="AU305" s="4" t="s">
        <v>153</v>
      </c>
      <c r="AV305" s="4" t="s">
        <v>142</v>
      </c>
    </row>
    <row r="306" customFormat="false" ht="15" hidden="false" customHeight="false" outlineLevel="0" collapsed="false">
      <c r="A306" s="0" t="s">
        <v>1299</v>
      </c>
      <c r="B306" s="3" t="n">
        <f aca="false">IF(AJ306="","",IF(ISNUMBER(SEARCH("/",AJ306)),DATE(VALUE(RIGHT(AJ306,4)),VALUE(LEFT(AJ306,2)),VALUE(MID(AJ306,4,2))),IF(ISNUMBER(SEARCH("-",AJ306)),IF(LEN(LEFT(AJ306,FIND("-",AJ306)-1))=4,DATE(VALUE(LEFT(AJ306,4)),VALUE(MID(AJ306,6,2)),VALUE(RIGHT(AJ306,2))),DATE(VALUE(RIGHT(AJ306,4)),VALUE(MID(AJ306,4,2)),VALUE(LEFT(AJ306,2)))),DATE(VALUE(RIGHT(AJ306,4)),MATCH(MID(AJ306,4,3),{"Jan","Feb","Mar","Apr","May","Jun","Jul","Aug","Sep","Oct","Nov","Dec"},0),VALUE(LEFT(AJ306,2))))))</f>
        <v>45357</v>
      </c>
      <c r="C306" s="3" t="n">
        <f aca="false">IF(AK306="","",IF(ISNUMBER(SEARCH("/",AK306)),DATE(VALUE(RIGHT(AK306,4)),VALUE(LEFT(AK306,2)),VALUE(MID(AK306,4,2))),IF(ISNUMBER(SEARCH("-",AK306)),IF(LEN(LEFT(AK306,FIND("-",AK306)-1))=4,DATE(VALUE(LEFT(AK306,4)),VALUE(MID(AK306,6,2)),VALUE(RIGHT(AK306,2))),DATE(VALUE(RIGHT(AK306,4)),VALUE(MID(AK306,4,2)),VALUE(LEFT(AK306,2)))),DATE(VALUE(RIGHT(AK306,4)),MATCH(MID(AK306,4,3),{"Jan","Feb","Mar","Apr","May","Jun","Jul","Aug","Sep","Oct","Nov","Dec"},0),VALUE(LEFT(AK306,2))))))</f>
        <v>45364</v>
      </c>
      <c r="D306" s="4" t="s">
        <v>1300</v>
      </c>
      <c r="E306" s="0" t="str">
        <f aca="false">PROPER(TRIM(AL306))</f>
        <v>Karan Malhotra</v>
      </c>
      <c r="F306" s="0" t="str">
        <f aca="false">PROPER(TRIM(AM306))</f>
        <v>Consumer</v>
      </c>
      <c r="G306" s="0" t="str">
        <f aca="false">IF(TRIM(AN306)="","Unknown",PROPER(TRIM(AN306)))</f>
        <v>North</v>
      </c>
      <c r="H306" s="0" t="str">
        <f aca="false">PROPER(TRIM(AO306))</f>
        <v>Punjab</v>
      </c>
      <c r="I306" s="0" t="str">
        <f aca="false">PROPER(TRIM(AP306))</f>
        <v>Ludhiana</v>
      </c>
      <c r="J306" s="0" t="str">
        <f aca="false">PROPER(TRIM(AQ306))</f>
        <v>Furniture</v>
      </c>
      <c r="K306" s="0" t="str">
        <f aca="false">PROPER(TRIM(AR306))</f>
        <v>Furnishings</v>
      </c>
      <c r="M306" s="0" t="str">
        <f aca="false">IF(TRIM(AS306)="","Unknown",PROPER(TRIM(AS306)))</f>
        <v>Standard Class</v>
      </c>
      <c r="N306" s="0" t="n">
        <v>6</v>
      </c>
      <c r="O306" s="0" t="n">
        <v>2403.05</v>
      </c>
      <c r="P306" s="5" t="n">
        <f aca="false">IF(AT306="","",IF(ISNUMBER(AT306),AT306,VALUE(SUBSTITUTE(AT306,"%",""))/100))</f>
        <v>0.1</v>
      </c>
      <c r="Q306" s="5" t="n">
        <f aca="false">IF(P306="",IF(AND(N306&lt;&gt;"",O306&lt;&gt;"",R306&lt;&gt;"",S306&lt;&gt;""),0,"REVIEW"),IF(OR(P306&lt;0,P306&gt;0.3),0,P306))</f>
        <v>0.1</v>
      </c>
      <c r="R306" s="0" t="n">
        <v>12976.47</v>
      </c>
      <c r="S306" s="0" t="n">
        <v>10019.98</v>
      </c>
      <c r="T306" s="6" t="n">
        <f aca="false">N306*O306*(1-Q306)</f>
        <v>12976.47</v>
      </c>
      <c r="U306" s="6" t="n">
        <f aca="false">T306-S306</f>
        <v>2956.49</v>
      </c>
      <c r="V306" s="7" t="n">
        <f aca="false">IF(T306=0,0,U306/T306)</f>
        <v>0.227834688478454</v>
      </c>
      <c r="W306" s="4" t="n">
        <f aca="false">C306-B306</f>
        <v>7</v>
      </c>
      <c r="X306" s="0" t="str">
        <f aca="false">TEXT(B306,"mmmm")</f>
        <v>March</v>
      </c>
      <c r="Y306" s="4" t="n">
        <f aca="false">YEAR(B306)</f>
        <v>2024</v>
      </c>
      <c r="Z306" s="0" t="str">
        <f aca="false">PROPER(TRIM(AU306))</f>
        <v>Paid</v>
      </c>
      <c r="AA306" s="0" t="str">
        <f aca="false">PROPER(TRIM(AV306))</f>
        <v>Completed</v>
      </c>
      <c r="AB306" s="0" t="str">
        <f aca="false">IF(TRIM(AN306)="","Yes","No")</f>
        <v>No</v>
      </c>
      <c r="AC306" s="0" t="str">
        <f aca="false">IF(TRIM(AS306)="","Yes","No")</f>
        <v>No</v>
      </c>
      <c r="AD306" s="0" t="str">
        <f aca="false">IF(AT306="","Yes","No")</f>
        <v>No</v>
      </c>
      <c r="AE306" s="0" t="str">
        <f aca="false">IF(W306&lt;0,"Yes","No")</f>
        <v>No</v>
      </c>
      <c r="AF306" s="0" t="str">
        <f aca="false">IF(P306="","No",IF(OR(P306&lt;0,P306&gt;0.3),"Yes","No"))</f>
        <v>No</v>
      </c>
      <c r="AG306" s="4" t="s">
        <v>50</v>
      </c>
      <c r="AH306" s="0" t="str">
        <f aca="false">IF(AND(AA306="Completed",Z306="Paid"),"Yes","No")</f>
        <v>Yes</v>
      </c>
      <c r="AI306" s="0" t="str">
        <f aca="false">IF(OR(AE306="Yes",AF306="Yes",AG306="Yes"),"Invalid",IF(OR(AB306="Yes",AC306="Yes",AD306="Yes"),"Warning","Clean"))</f>
        <v>Clean</v>
      </c>
      <c r="AJ306" s="4" t="s">
        <v>1301</v>
      </c>
      <c r="AK306" s="4" t="s">
        <v>1302</v>
      </c>
      <c r="AL306" s="4" t="s">
        <v>53</v>
      </c>
      <c r="AM306" s="4" t="s">
        <v>54</v>
      </c>
      <c r="AN306" s="4" t="s">
        <v>168</v>
      </c>
      <c r="AO306" s="4" t="s">
        <v>169</v>
      </c>
      <c r="AP306" s="4" t="s">
        <v>170</v>
      </c>
      <c r="AQ306" s="4" t="s">
        <v>72</v>
      </c>
      <c r="AR306" s="4" t="s">
        <v>90</v>
      </c>
      <c r="AS306" s="4" t="s">
        <v>91</v>
      </c>
      <c r="AT306" s="0" t="n">
        <v>0.1</v>
      </c>
      <c r="AU306" s="4" t="s">
        <v>61</v>
      </c>
      <c r="AV306" s="4" t="s">
        <v>62</v>
      </c>
    </row>
    <row r="307" customFormat="false" ht="15" hidden="false" customHeight="false" outlineLevel="0" collapsed="false">
      <c r="A307" s="0" t="s">
        <v>1303</v>
      </c>
      <c r="B307" s="3" t="n">
        <f aca="false">IF(AJ307="","",IF(ISNUMBER(SEARCH("/",AJ307)),DATE(VALUE(RIGHT(AJ307,4)),VALUE(LEFT(AJ307,2)),VALUE(MID(AJ307,4,2))),IF(ISNUMBER(SEARCH("-",AJ307)),IF(LEN(LEFT(AJ307,FIND("-",AJ307)-1))=4,DATE(VALUE(LEFT(AJ307,4)),VALUE(MID(AJ307,6,2)),VALUE(RIGHT(AJ307,2))),DATE(VALUE(RIGHT(AJ307,4)),VALUE(MID(AJ307,4,2)),VALUE(LEFT(AJ307,2)))),DATE(VALUE(RIGHT(AJ307,4)),MATCH(MID(AJ307,4,3),{"Jan","Feb","Mar","Apr","May","Jun","Jul","Aug","Sep","Oct","Nov","Dec"},0),VALUE(LEFT(AJ307,2))))))</f>
        <v>45413</v>
      </c>
      <c r="C307" s="3" t="n">
        <f aca="false">IF(AK307="","",IF(ISNUMBER(SEARCH("/",AK307)),DATE(VALUE(RIGHT(AK307,4)),VALUE(LEFT(AK307,2)),VALUE(MID(AK307,4,2))),IF(ISNUMBER(SEARCH("-",AK307)),IF(LEN(LEFT(AK307,FIND("-",AK307)-1))=4,DATE(VALUE(LEFT(AK307,4)),VALUE(MID(AK307,6,2)),VALUE(RIGHT(AK307,2))),DATE(VALUE(RIGHT(AK307,4)),VALUE(MID(AK307,4,2)),VALUE(LEFT(AK307,2)))),DATE(VALUE(RIGHT(AK307,4)),MATCH(MID(AK307,4,3),{"Jan","Feb","Mar","Apr","May","Jun","Jul","Aug","Sep","Oct","Nov","Dec"},0),VALUE(LEFT(AK307,2))))))</f>
        <v>45414</v>
      </c>
      <c r="D307" s="4" t="s">
        <v>1304</v>
      </c>
      <c r="E307" s="0" t="str">
        <f aca="false">PROPER(TRIM(AL307))</f>
        <v>Ananya Rao</v>
      </c>
      <c r="F307" s="0" t="str">
        <f aca="false">PROPER(TRIM(AM307))</f>
        <v>Consumer</v>
      </c>
      <c r="G307" s="0" t="str">
        <f aca="false">IF(TRIM(AN307)="","Unknown",PROPER(TRIM(AN307)))</f>
        <v>East</v>
      </c>
      <c r="H307" s="0" t="str">
        <f aca="false">PROPER(TRIM(AO307))</f>
        <v>Assam</v>
      </c>
      <c r="I307" s="0" t="str">
        <f aca="false">PROPER(TRIM(AP307))</f>
        <v>Guwahati</v>
      </c>
      <c r="J307" s="0" t="str">
        <f aca="false">PROPER(TRIM(AQ307))</f>
        <v>Furniture</v>
      </c>
      <c r="K307" s="0" t="str">
        <f aca="false">PROPER(TRIM(AR307))</f>
        <v>Chairs</v>
      </c>
      <c r="M307" s="0" t="str">
        <f aca="false">IF(TRIM(AS307)="","Unknown",PROPER(TRIM(AS307)))</f>
        <v>First Class</v>
      </c>
      <c r="N307" s="0" t="n">
        <v>4</v>
      </c>
      <c r="O307" s="0" t="n">
        <v>4156.06</v>
      </c>
      <c r="P307" s="5" t="n">
        <f aca="false">IF(AT307="","",IF(ISNUMBER(AT307),AT307,VALUE(SUBSTITUTE(AT307,"%",""))/100))</f>
        <v>0.55</v>
      </c>
      <c r="Q307" s="5" t="n">
        <f aca="false">IF(P307="",IF(AND(N307&lt;&gt;"",O307&lt;&gt;"",R307&lt;&gt;"",S307&lt;&gt;""),0,"REVIEW"),IF(OR(P307&lt;0,P307&gt;0.3),0,P307))</f>
        <v>0</v>
      </c>
      <c r="R307" s="0" t="n">
        <v>13299.39</v>
      </c>
      <c r="S307" s="0" t="n">
        <v>9851.91</v>
      </c>
      <c r="T307" s="6" t="n">
        <f aca="false">N307*O307*(1-Q307)</f>
        <v>16624.24</v>
      </c>
      <c r="U307" s="6" t="n">
        <f aca="false">T307-S307</f>
        <v>6772.33</v>
      </c>
      <c r="V307" s="7" t="n">
        <f aca="false">IF(T307=0,0,U307/T307)</f>
        <v>0.407376818428993</v>
      </c>
      <c r="W307" s="4" t="n">
        <f aca="false">C307-B307</f>
        <v>1</v>
      </c>
      <c r="X307" s="0" t="str">
        <f aca="false">TEXT(B307,"mmmm")</f>
        <v>May</v>
      </c>
      <c r="Y307" s="4" t="n">
        <f aca="false">YEAR(B307)</f>
        <v>2024</v>
      </c>
      <c r="Z307" s="0" t="str">
        <f aca="false">PROPER(TRIM(AU307))</f>
        <v>Paid</v>
      </c>
      <c r="AA307" s="0" t="str">
        <f aca="false">PROPER(TRIM(AV307))</f>
        <v>Cancelled</v>
      </c>
      <c r="AB307" s="0" t="str">
        <f aca="false">IF(TRIM(AN307)="","Yes","No")</f>
        <v>No</v>
      </c>
      <c r="AC307" s="0" t="str">
        <f aca="false">IF(TRIM(AS307)="","Yes","No")</f>
        <v>No</v>
      </c>
      <c r="AD307" s="0" t="str">
        <f aca="false">IF(AT307="","Yes","No")</f>
        <v>No</v>
      </c>
      <c r="AE307" s="0" t="str">
        <f aca="false">IF(W307&lt;0,"Yes","No")</f>
        <v>No</v>
      </c>
      <c r="AF307" s="0" t="str">
        <f aca="false">IF(P307="","No",IF(OR(P307&lt;0,P307&gt;0.3),"Yes","No"))</f>
        <v>Yes</v>
      </c>
      <c r="AG307" s="4" t="s">
        <v>50</v>
      </c>
      <c r="AH307" s="0" t="str">
        <f aca="false">IF(AND(AA307="Completed",Z307="Paid"),"Yes","No")</f>
        <v>No</v>
      </c>
      <c r="AI307" s="0" t="str">
        <f aca="false">IF(OR(AE307="Yes",AF307="Yes",AG307="Yes"),"Invalid",IF(OR(AB307="Yes",AC307="Yes",AD307="Yes"),"Warning","Clean"))</f>
        <v>Invalid</v>
      </c>
      <c r="AJ307" s="4" t="s">
        <v>1305</v>
      </c>
      <c r="AK307" s="4" t="s">
        <v>1040</v>
      </c>
      <c r="AL307" s="4" t="s">
        <v>96</v>
      </c>
      <c r="AM307" s="4" t="s">
        <v>54</v>
      </c>
      <c r="AN307" s="4" t="s">
        <v>69</v>
      </c>
      <c r="AO307" s="4" t="s">
        <v>221</v>
      </c>
      <c r="AP307" s="4" t="s">
        <v>222</v>
      </c>
      <c r="AQ307" s="4" t="s">
        <v>72</v>
      </c>
      <c r="AR307" s="4" t="s">
        <v>100</v>
      </c>
      <c r="AS307" s="4" t="s">
        <v>81</v>
      </c>
      <c r="AT307" s="0" t="n">
        <v>0.55</v>
      </c>
      <c r="AU307" s="4" t="s">
        <v>61</v>
      </c>
      <c r="AV307" s="4" t="s">
        <v>101</v>
      </c>
    </row>
    <row r="308" customFormat="false" ht="15" hidden="false" customHeight="false" outlineLevel="0" collapsed="false">
      <c r="A308" s="0" t="s">
        <v>1306</v>
      </c>
      <c r="B308" s="3" t="n">
        <f aca="false">IF(AJ308="","",IF(ISNUMBER(SEARCH("/",AJ308)),DATE(VALUE(RIGHT(AJ308,4)),VALUE(LEFT(AJ308,2)),VALUE(MID(AJ308,4,2))),IF(ISNUMBER(SEARCH("-",AJ308)),IF(LEN(LEFT(AJ308,FIND("-",AJ308)-1))=4,DATE(VALUE(LEFT(AJ308,4)),VALUE(MID(AJ308,6,2)),VALUE(RIGHT(AJ308,2))),DATE(VALUE(RIGHT(AJ308,4)),VALUE(MID(AJ308,4,2)),VALUE(LEFT(AJ308,2)))),DATE(VALUE(RIGHT(AJ308,4)),MATCH(MID(AJ308,4,3),{"Jan","Feb","Mar","Apr","May","Jun","Jul","Aug","Sep","Oct","Nov","Dec"},0),VALUE(LEFT(AJ308,2))))))</f>
        <v>45708</v>
      </c>
      <c r="C308" s="3" t="n">
        <f aca="false">IF(AK308="","",IF(ISNUMBER(SEARCH("/",AK308)),DATE(VALUE(RIGHT(AK308,4)),VALUE(LEFT(AK308,2)),VALUE(MID(AK308,4,2))),IF(ISNUMBER(SEARCH("-",AK308)),IF(LEN(LEFT(AK308,FIND("-",AK308)-1))=4,DATE(VALUE(LEFT(AK308,4)),VALUE(MID(AK308,6,2)),VALUE(RIGHT(AK308,2))),DATE(VALUE(RIGHT(AK308,4)),VALUE(MID(AK308,4,2)),VALUE(LEFT(AK308,2)))),DATE(VALUE(RIGHT(AK308,4)),MATCH(MID(AK308,4,3),{"Jan","Feb","Mar","Apr","May","Jun","Jul","Aug","Sep","Oct","Nov","Dec"},0),VALUE(LEFT(AK308,2))))))</f>
        <v>45711</v>
      </c>
      <c r="D308" s="4" t="s">
        <v>1307</v>
      </c>
      <c r="E308" s="0" t="str">
        <f aca="false">PROPER(TRIM(AL308))</f>
        <v>Aarav Sharma</v>
      </c>
      <c r="F308" s="0" t="str">
        <f aca="false">PROPER(TRIM(AM308))</f>
        <v>Consumer</v>
      </c>
      <c r="G308" s="0" t="str">
        <f aca="false">IF(TRIM(AN308)="","Unknown",PROPER(TRIM(AN308)))</f>
        <v>North</v>
      </c>
      <c r="H308" s="0" t="str">
        <f aca="false">PROPER(TRIM(AO308))</f>
        <v>Rajasthan</v>
      </c>
      <c r="I308" s="0" t="str">
        <f aca="false">PROPER(TRIM(AP308))</f>
        <v>Jaipur</v>
      </c>
      <c r="J308" s="0" t="str">
        <f aca="false">PROPER(TRIM(AQ308))</f>
        <v>Technology</v>
      </c>
      <c r="K308" s="0" t="str">
        <f aca="false">PROPER(TRIM(AR308))</f>
        <v>Phones</v>
      </c>
      <c r="M308" s="0" t="str">
        <f aca="false">IF(TRIM(AS308)="","Unknown",PROPER(TRIM(AS308)))</f>
        <v>Second Class</v>
      </c>
      <c r="N308" s="0" t="n">
        <v>4</v>
      </c>
      <c r="O308" s="0" t="n">
        <v>3673.11</v>
      </c>
      <c r="P308" s="5" t="n">
        <f aca="false">IF(AT308="","",IF(ISNUMBER(AT308),AT308,VALUE(SUBSTITUTE(AT308,"%",""))/100))</f>
        <v>0</v>
      </c>
      <c r="Q308" s="5" t="n">
        <f aca="false">IF(P308="",IF(AND(N308&lt;&gt;"",O308&lt;&gt;"",R308&lt;&gt;"",S308&lt;&gt;""),0,"REVIEW"),IF(OR(P308&lt;0,P308&gt;0.3),0,P308))</f>
        <v>0</v>
      </c>
      <c r="R308" s="0" t="n">
        <v>14692.44</v>
      </c>
      <c r="S308" s="0" t="n">
        <v>10082.19</v>
      </c>
      <c r="T308" s="6" t="n">
        <f aca="false">N308*O308*(1-Q308)</f>
        <v>14692.44</v>
      </c>
      <c r="U308" s="6" t="n">
        <f aca="false">T308-S308</f>
        <v>4610.25</v>
      </c>
      <c r="V308" s="7" t="n">
        <f aca="false">IF(T308=0,0,U308/T308)</f>
        <v>0.313783823517401</v>
      </c>
      <c r="W308" s="4" t="n">
        <f aca="false">C308-B308</f>
        <v>3</v>
      </c>
      <c r="X308" s="0" t="str">
        <f aca="false">TEXT(B308,"mmmm")</f>
        <v>February</v>
      </c>
      <c r="Y308" s="4" t="n">
        <f aca="false">YEAR(B308)</f>
        <v>2025</v>
      </c>
      <c r="Z308" s="0" t="str">
        <f aca="false">PROPER(TRIM(AU308))</f>
        <v>Paid</v>
      </c>
      <c r="AA308" s="0" t="str">
        <f aca="false">PROPER(TRIM(AV308))</f>
        <v>Completed</v>
      </c>
      <c r="AB308" s="0" t="str">
        <f aca="false">IF(TRIM(AN308)="","Yes","No")</f>
        <v>No</v>
      </c>
      <c r="AC308" s="0" t="str">
        <f aca="false">IF(TRIM(AS308)="","Yes","No")</f>
        <v>No</v>
      </c>
      <c r="AD308" s="0" t="str">
        <f aca="false">IF(AT308="","Yes","No")</f>
        <v>No</v>
      </c>
      <c r="AE308" s="0" t="str">
        <f aca="false">IF(W308&lt;0,"Yes","No")</f>
        <v>No</v>
      </c>
      <c r="AF308" s="0" t="str">
        <f aca="false">IF(P308="","No",IF(OR(P308&lt;0,P308&gt;0.3),"Yes","No"))</f>
        <v>No</v>
      </c>
      <c r="AG308" s="4" t="s">
        <v>50</v>
      </c>
      <c r="AH308" s="0" t="str">
        <f aca="false">IF(AND(AA308="Completed",Z308="Paid"),"Yes","No")</f>
        <v>Yes</v>
      </c>
      <c r="AI308" s="0" t="str">
        <f aca="false">IF(OR(AE308="Yes",AF308="Yes",AG308="Yes"),"Invalid",IF(OR(AB308="Yes",AC308="Yes",AD308="Yes"),"Warning","Clean"))</f>
        <v>Clean</v>
      </c>
      <c r="AJ308" s="4" t="s">
        <v>1308</v>
      </c>
      <c r="AK308" s="4" t="s">
        <v>119</v>
      </c>
      <c r="AL308" s="4" t="s">
        <v>176</v>
      </c>
      <c r="AM308" s="4" t="s">
        <v>54</v>
      </c>
      <c r="AN308" s="4" t="s">
        <v>168</v>
      </c>
      <c r="AO308" s="4" t="s">
        <v>56</v>
      </c>
      <c r="AP308" s="4" t="s">
        <v>57</v>
      </c>
      <c r="AQ308" s="4" t="s">
        <v>109</v>
      </c>
      <c r="AR308" s="4" t="s">
        <v>227</v>
      </c>
      <c r="AS308" s="4" t="s">
        <v>60</v>
      </c>
      <c r="AT308" s="0" t="n">
        <v>0</v>
      </c>
      <c r="AU308" s="4" t="s">
        <v>61</v>
      </c>
      <c r="AV308" s="4" t="s">
        <v>62</v>
      </c>
    </row>
    <row r="309" customFormat="false" ht="15" hidden="false" customHeight="false" outlineLevel="0" collapsed="false">
      <c r="A309" s="0" t="s">
        <v>1309</v>
      </c>
      <c r="B309" s="3" t="n">
        <f aca="false">IF(AJ309="","",IF(ISNUMBER(SEARCH("/",AJ309)),DATE(VALUE(RIGHT(AJ309,4)),VALUE(LEFT(AJ309,2)),VALUE(MID(AJ309,4,2))),IF(ISNUMBER(SEARCH("-",AJ309)),IF(LEN(LEFT(AJ309,FIND("-",AJ309)-1))=4,DATE(VALUE(LEFT(AJ309,4)),VALUE(MID(AJ309,6,2)),VALUE(RIGHT(AJ309,2))),DATE(VALUE(RIGHT(AJ309,4)),VALUE(MID(AJ309,4,2)),VALUE(LEFT(AJ309,2)))),DATE(VALUE(RIGHT(AJ309,4)),MATCH(MID(AJ309,4,3),{"Jan","Feb","Mar","Apr","May","Jun","Jul","Aug","Sep","Oct","Nov","Dec"},0),VALUE(LEFT(AJ309,2))))))</f>
        <v>45850</v>
      </c>
      <c r="C309" s="3" t="n">
        <f aca="false">IF(AK309="","",IF(ISNUMBER(SEARCH("/",AK309)),DATE(VALUE(RIGHT(AK309,4)),VALUE(LEFT(AK309,2)),VALUE(MID(AK309,4,2))),IF(ISNUMBER(SEARCH("-",AK309)),IF(LEN(LEFT(AK309,FIND("-",AK309)-1))=4,DATE(VALUE(LEFT(AK309,4)),VALUE(MID(AK309,6,2)),VALUE(RIGHT(AK309,2))),DATE(VALUE(RIGHT(AK309,4)),VALUE(MID(AK309,4,2)),VALUE(LEFT(AK309,2)))),DATE(VALUE(RIGHT(AK309,4)),MATCH(MID(AK309,4,3),{"Jan","Feb","Mar","Apr","May","Jun","Jul","Aug","Sep","Oct","Nov","Dec"},0),VALUE(LEFT(AK309,2))))))</f>
        <v>45857</v>
      </c>
      <c r="D309" s="4" t="s">
        <v>1310</v>
      </c>
      <c r="E309" s="0" t="str">
        <f aca="false">PROPER(TRIM(AL309))</f>
        <v>Ananya Rao</v>
      </c>
      <c r="F309" s="0" t="str">
        <f aca="false">PROPER(TRIM(AM309))</f>
        <v>Corporate</v>
      </c>
      <c r="G309" s="0" t="str">
        <f aca="false">IF(TRIM(AN309)="","Unknown",PROPER(TRIM(AN309)))</f>
        <v>North</v>
      </c>
      <c r="H309" s="0" t="str">
        <f aca="false">PROPER(TRIM(AO309))</f>
        <v>Uttar Pradesh</v>
      </c>
      <c r="I309" s="0" t="str">
        <f aca="false">PROPER(TRIM(AP309))</f>
        <v>Noida</v>
      </c>
      <c r="J309" s="0" t="str">
        <f aca="false">PROPER(TRIM(AQ309))</f>
        <v>Furniture</v>
      </c>
      <c r="K309" s="0" t="str">
        <f aca="false">PROPER(TRIM(AR309))</f>
        <v>Tables</v>
      </c>
      <c r="M309" s="0" t="str">
        <f aca="false">IF(TRIM(AS309)="","Unknown",PROPER(TRIM(AS309)))</f>
        <v>First Class</v>
      </c>
      <c r="N309" s="0" t="n">
        <v>9</v>
      </c>
      <c r="O309" s="0" t="n">
        <v>4093.04</v>
      </c>
      <c r="P309" s="5" t="n">
        <f aca="false">IF(AT309="","",IF(ISNUMBER(AT309),AT309,VALUE(SUBSTITUTE(AT309,"%",""))/100))</f>
        <v>0.2</v>
      </c>
      <c r="Q309" s="5" t="n">
        <f aca="false">IF(P309="",IF(AND(N309&lt;&gt;"",O309&lt;&gt;"",R309&lt;&gt;"",S309&lt;&gt;""),0,"REVIEW"),IF(OR(P309&lt;0,P309&gt;0.3),0,P309))</f>
        <v>0.2</v>
      </c>
      <c r="R309" s="0" t="n">
        <v>29469.89</v>
      </c>
      <c r="S309" s="0" t="n">
        <v>18935.51</v>
      </c>
      <c r="T309" s="6" t="n">
        <f aca="false">N309*O309*(1-Q309)</f>
        <v>29469.888</v>
      </c>
      <c r="U309" s="6" t="n">
        <f aca="false">T309-S309</f>
        <v>10534.378</v>
      </c>
      <c r="V309" s="7" t="n">
        <f aca="false">IF(T309=0,0,U309/T309)</f>
        <v>0.357462437590533</v>
      </c>
      <c r="W309" s="4" t="n">
        <f aca="false">C309-B309</f>
        <v>7</v>
      </c>
      <c r="X309" s="0" t="str">
        <f aca="false">TEXT(B309,"mmmm")</f>
        <v>July</v>
      </c>
      <c r="Y309" s="4" t="n">
        <f aca="false">YEAR(B309)</f>
        <v>2025</v>
      </c>
      <c r="Z309" s="0" t="str">
        <f aca="false">PROPER(TRIM(AU309))</f>
        <v>Pending</v>
      </c>
      <c r="AA309" s="0" t="str">
        <f aca="false">PROPER(TRIM(AV309))</f>
        <v>Cancelled</v>
      </c>
      <c r="AB309" s="0" t="str">
        <f aca="false">IF(TRIM(AN309)="","Yes","No")</f>
        <v>No</v>
      </c>
      <c r="AC309" s="0" t="str">
        <f aca="false">IF(TRIM(AS309)="","Yes","No")</f>
        <v>No</v>
      </c>
      <c r="AD309" s="0" t="str">
        <f aca="false">IF(AT309="","Yes","No")</f>
        <v>No</v>
      </c>
      <c r="AE309" s="0" t="str">
        <f aca="false">IF(W309&lt;0,"Yes","No")</f>
        <v>No</v>
      </c>
      <c r="AF309" s="0" t="str">
        <f aca="false">IF(P309="","No",IF(OR(P309&lt;0,P309&gt;0.3),"Yes","No"))</f>
        <v>No</v>
      </c>
      <c r="AG309" s="4" t="s">
        <v>50</v>
      </c>
      <c r="AH309" s="0" t="str">
        <f aca="false">IF(AND(AA309="Completed",Z309="Paid"),"Yes","No")</f>
        <v>No</v>
      </c>
      <c r="AI309" s="0" t="str">
        <f aca="false">IF(OR(AE309="Yes",AF309="Yes",AG309="Yes"),"Invalid",IF(OR(AB309="Yes",AC309="Yes",AD309="Yes"),"Warning","Clean"))</f>
        <v>Clean</v>
      </c>
      <c r="AJ309" s="4" t="s">
        <v>1311</v>
      </c>
      <c r="AK309" s="4" t="s">
        <v>1312</v>
      </c>
      <c r="AL309" s="4" t="s">
        <v>96</v>
      </c>
      <c r="AM309" s="4" t="s">
        <v>128</v>
      </c>
      <c r="AN309" s="4" t="s">
        <v>168</v>
      </c>
      <c r="AO309" s="4" t="s">
        <v>186</v>
      </c>
      <c r="AP309" s="4" t="s">
        <v>187</v>
      </c>
      <c r="AQ309" s="4" t="s">
        <v>72</v>
      </c>
      <c r="AR309" s="4" t="s">
        <v>73</v>
      </c>
      <c r="AS309" s="4" t="s">
        <v>81</v>
      </c>
      <c r="AT309" s="0" t="n">
        <v>0.2</v>
      </c>
      <c r="AU309" s="4" t="s">
        <v>1313</v>
      </c>
      <c r="AV309" s="4" t="s">
        <v>101</v>
      </c>
    </row>
    <row r="310" customFormat="false" ht="15" hidden="false" customHeight="false" outlineLevel="0" collapsed="false">
      <c r="A310" s="0" t="s">
        <v>1314</v>
      </c>
      <c r="B310" s="3" t="n">
        <f aca="false">IF(AJ310="","",IF(ISNUMBER(SEARCH("/",AJ310)),DATE(VALUE(RIGHT(AJ310,4)),VALUE(LEFT(AJ310,2)),VALUE(MID(AJ310,4,2))),IF(ISNUMBER(SEARCH("-",AJ310)),IF(LEN(LEFT(AJ310,FIND("-",AJ310)-1))=4,DATE(VALUE(LEFT(AJ310,4)),VALUE(MID(AJ310,6,2)),VALUE(RIGHT(AJ310,2))),DATE(VALUE(RIGHT(AJ310,4)),VALUE(MID(AJ310,4,2)),VALUE(LEFT(AJ310,2)))),DATE(VALUE(RIGHT(AJ310,4)),MATCH(MID(AJ310,4,3),{"Jan","Feb","Mar","Apr","May","Jun","Jul","Aug","Sep","Oct","Nov","Dec"},0),VALUE(LEFT(AJ310,2))))))</f>
        <v>45821</v>
      </c>
      <c r="C310" s="3" t="n">
        <f aca="false">IF(AK310="","",IF(ISNUMBER(SEARCH("/",AK310)),DATE(VALUE(RIGHT(AK310,4)),VALUE(LEFT(AK310,2)),VALUE(MID(AK310,4,2))),IF(ISNUMBER(SEARCH("-",AK310)),IF(LEN(LEFT(AK310,FIND("-",AK310)-1))=4,DATE(VALUE(LEFT(AK310,4)),VALUE(MID(AK310,6,2)),VALUE(RIGHT(AK310,2))),DATE(VALUE(RIGHT(AK310,4)),VALUE(MID(AK310,4,2)),VALUE(LEFT(AK310,2)))),DATE(VALUE(RIGHT(AK310,4)),MATCH(MID(AK310,4,3),{"Jan","Feb","Mar","Apr","May","Jun","Jul","Aug","Sep","Oct","Nov","Dec"},0),VALUE(LEFT(AK310,2))))))</f>
        <v>45827</v>
      </c>
      <c r="D310" s="4" t="s">
        <v>1315</v>
      </c>
      <c r="E310" s="0" t="str">
        <f aca="false">PROPER(TRIM(AL310))</f>
        <v>Rohan Mehta</v>
      </c>
      <c r="F310" s="0" t="str">
        <f aca="false">PROPER(TRIM(AM310))</f>
        <v>Consumer</v>
      </c>
      <c r="G310" s="0" t="str">
        <f aca="false">IF(TRIM(AN310)="","Unknown",PROPER(TRIM(AN310)))</f>
        <v>North</v>
      </c>
      <c r="H310" s="0" t="str">
        <f aca="false">PROPER(TRIM(AO310))</f>
        <v>Rajasthan</v>
      </c>
      <c r="I310" s="0" t="str">
        <f aca="false">PROPER(TRIM(AP310))</f>
        <v>Jaipur</v>
      </c>
      <c r="J310" s="0" t="str">
        <f aca="false">PROPER(TRIM(AQ310))</f>
        <v>Furniture</v>
      </c>
      <c r="K310" s="0" t="str">
        <f aca="false">PROPER(TRIM(AR310))</f>
        <v>Tables</v>
      </c>
      <c r="M310" s="0" t="str">
        <f aca="false">IF(TRIM(AS310)="","Unknown",PROPER(TRIM(AS310)))</f>
        <v>First Class</v>
      </c>
      <c r="N310" s="0" t="n">
        <v>4</v>
      </c>
      <c r="O310" s="0" t="n">
        <v>731.57</v>
      </c>
      <c r="P310" s="5" t="n">
        <f aca="false">IF(AT310="","",IF(ISNUMBER(AT310),AT310,VALUE(SUBSTITUTE(AT310,"%",""))/100))</f>
        <v>0.2</v>
      </c>
      <c r="Q310" s="5" t="n">
        <f aca="false">IF(P310="",IF(AND(N310&lt;&gt;"",O310&lt;&gt;"",R310&lt;&gt;"",S310&lt;&gt;""),0,"REVIEW"),IF(OR(P310&lt;0,P310&gt;0.3),0,P310))</f>
        <v>0.2</v>
      </c>
      <c r="R310" s="0" t="n">
        <v>2341.02</v>
      </c>
      <c r="S310" s="0" t="n">
        <v>1565.49</v>
      </c>
      <c r="T310" s="6" t="n">
        <f aca="false">N310*O310*(1-Q310)</f>
        <v>2341.024</v>
      </c>
      <c r="U310" s="6" t="n">
        <f aca="false">T310-S310</f>
        <v>775.534</v>
      </c>
      <c r="V310" s="7" t="n">
        <f aca="false">IF(T310=0,0,U310/T310)</f>
        <v>0.331279816012138</v>
      </c>
      <c r="W310" s="4" t="n">
        <f aca="false">C310-B310</f>
        <v>6</v>
      </c>
      <c r="X310" s="0" t="str">
        <f aca="false">TEXT(B310,"mmmm")</f>
        <v>June</v>
      </c>
      <c r="Y310" s="4" t="n">
        <f aca="false">YEAR(B310)</f>
        <v>2025</v>
      </c>
      <c r="Z310" s="0" t="str">
        <f aca="false">PROPER(TRIM(AU310))</f>
        <v>Paid</v>
      </c>
      <c r="AA310" s="0" t="str">
        <f aca="false">PROPER(TRIM(AV310))</f>
        <v>Completed</v>
      </c>
      <c r="AB310" s="0" t="str">
        <f aca="false">IF(TRIM(AN310)="","Yes","No")</f>
        <v>No</v>
      </c>
      <c r="AC310" s="0" t="str">
        <f aca="false">IF(TRIM(AS310)="","Yes","No")</f>
        <v>No</v>
      </c>
      <c r="AD310" s="0" t="str">
        <f aca="false">IF(AT310="","Yes","No")</f>
        <v>No</v>
      </c>
      <c r="AE310" s="0" t="str">
        <f aca="false">IF(W310&lt;0,"Yes","No")</f>
        <v>No</v>
      </c>
      <c r="AF310" s="0" t="str">
        <f aca="false">IF(P310="","No",IF(OR(P310&lt;0,P310&gt;0.3),"Yes","No"))</f>
        <v>No</v>
      </c>
      <c r="AG310" s="4" t="s">
        <v>50</v>
      </c>
      <c r="AH310" s="0" t="str">
        <f aca="false">IF(AND(AA310="Completed",Z310="Paid"),"Yes","No")</f>
        <v>Yes</v>
      </c>
      <c r="AI310" s="0" t="str">
        <f aca="false">IF(OR(AE310="Yes",AF310="Yes",AG310="Yes"),"Invalid",IF(OR(AB310="Yes",AC310="Yes",AD310="Yes"),"Warning","Clean"))</f>
        <v>Clean</v>
      </c>
      <c r="AJ310" s="4" t="s">
        <v>1316</v>
      </c>
      <c r="AK310" s="4" t="s">
        <v>1317</v>
      </c>
      <c r="AL310" s="4" t="s">
        <v>191</v>
      </c>
      <c r="AM310" s="4" t="s">
        <v>54</v>
      </c>
      <c r="AN310" s="4" t="s">
        <v>168</v>
      </c>
      <c r="AO310" s="4" t="s">
        <v>56</v>
      </c>
      <c r="AP310" s="4" t="s">
        <v>57</v>
      </c>
      <c r="AQ310" s="4" t="s">
        <v>72</v>
      </c>
      <c r="AR310" s="4" t="s">
        <v>73</v>
      </c>
      <c r="AS310" s="4" t="s">
        <v>81</v>
      </c>
      <c r="AT310" s="0" t="n">
        <v>0.2</v>
      </c>
      <c r="AU310" s="4" t="s">
        <v>61</v>
      </c>
      <c r="AV310" s="4" t="s">
        <v>62</v>
      </c>
    </row>
    <row r="311" customFormat="false" ht="15" hidden="false" customHeight="false" outlineLevel="0" collapsed="false">
      <c r="A311" s="0" t="s">
        <v>1318</v>
      </c>
      <c r="B311" s="3" t="n">
        <f aca="false">IF(AJ311="","",IF(ISNUMBER(SEARCH("/",AJ311)),DATE(VALUE(RIGHT(AJ311,4)),VALUE(LEFT(AJ311,2)),VALUE(MID(AJ311,4,2))),IF(ISNUMBER(SEARCH("-",AJ311)),IF(LEN(LEFT(AJ311,FIND("-",AJ311)-1))=4,DATE(VALUE(LEFT(AJ311,4)),VALUE(MID(AJ311,6,2)),VALUE(RIGHT(AJ311,2))),DATE(VALUE(RIGHT(AJ311,4)),VALUE(MID(AJ311,4,2)),VALUE(LEFT(AJ311,2)))),DATE(VALUE(RIGHT(AJ311,4)),MATCH(MID(AJ311,4,3),{"Jan","Feb","Mar","Apr","May","Jun","Jul","Aug","Sep","Oct","Nov","Dec"},0),VALUE(LEFT(AJ311,2))))))</f>
        <v>45493</v>
      </c>
      <c r="C311" s="3" t="n">
        <f aca="false">IF(AK311="","",IF(ISNUMBER(SEARCH("/",AK311)),DATE(VALUE(RIGHT(AK311,4)),VALUE(LEFT(AK311,2)),VALUE(MID(AK311,4,2))),IF(ISNUMBER(SEARCH("-",AK311)),IF(LEN(LEFT(AK311,FIND("-",AK311)-1))=4,DATE(VALUE(LEFT(AK311,4)),VALUE(MID(AK311,6,2)),VALUE(RIGHT(AK311,2))),DATE(VALUE(RIGHT(AK311,4)),VALUE(MID(AK311,4,2)),VALUE(LEFT(AK311,2)))),DATE(VALUE(RIGHT(AK311,4)),MATCH(MID(AK311,4,3),{"Jan","Feb","Mar","Apr","May","Jun","Jul","Aug","Sep","Oct","Nov","Dec"},0),VALUE(LEFT(AK311,2))))))</f>
        <v>45495</v>
      </c>
      <c r="D311" s="4" t="s">
        <v>1319</v>
      </c>
      <c r="E311" s="0" t="str">
        <f aca="false">PROPER(TRIM(AL311))</f>
        <v>Ananya Rao</v>
      </c>
      <c r="F311" s="0" t="str">
        <f aca="false">PROPER(TRIM(AM311))</f>
        <v>Consumer</v>
      </c>
      <c r="G311" s="0" t="str">
        <f aca="false">IF(TRIM(AN311)="","Unknown",PROPER(TRIM(AN311)))</f>
        <v>South</v>
      </c>
      <c r="H311" s="0" t="str">
        <f aca="false">PROPER(TRIM(AO311))</f>
        <v>Tamil Nadu</v>
      </c>
      <c r="I311" s="0" t="str">
        <f aca="false">PROPER(TRIM(AP311))</f>
        <v>Chennai</v>
      </c>
      <c r="J311" s="0" t="str">
        <f aca="false">PROPER(TRIM(AQ311))</f>
        <v>Furniture</v>
      </c>
      <c r="K311" s="0" t="str">
        <f aca="false">PROPER(TRIM(AR311))</f>
        <v>Tables</v>
      </c>
      <c r="M311" s="0" t="str">
        <f aca="false">IF(TRIM(AS311)="","Unknown",PROPER(TRIM(AS311)))</f>
        <v>First Class</v>
      </c>
      <c r="N311" s="0" t="n">
        <v>7</v>
      </c>
      <c r="O311" s="0" t="n">
        <v>2060.73</v>
      </c>
      <c r="P311" s="5" t="n">
        <f aca="false">IF(AT311="","",IF(ISNUMBER(AT311),AT311,VALUE(SUBSTITUTE(AT311,"%",""))/100))</f>
        <v>0.1</v>
      </c>
      <c r="Q311" s="5" t="n">
        <f aca="false">IF(P311="",IF(AND(N311&lt;&gt;"",O311&lt;&gt;"",R311&lt;&gt;"",S311&lt;&gt;""),0,"REVIEW"),IF(OR(P311&lt;0,P311&gt;0.3),0,P311))</f>
        <v>0.1</v>
      </c>
      <c r="R311" s="0" t="n">
        <v>12982.6</v>
      </c>
      <c r="S311" s="0" t="n">
        <v>7246.36</v>
      </c>
      <c r="T311" s="6" t="n">
        <f aca="false">N311*O311*(1-Q311)</f>
        <v>12982.599</v>
      </c>
      <c r="U311" s="6" t="n">
        <f aca="false">T311-S311</f>
        <v>5736.239</v>
      </c>
      <c r="V311" s="7" t="n">
        <f aca="false">IF(T311=0,0,U311/T311)</f>
        <v>0.441840574448922</v>
      </c>
      <c r="W311" s="4" t="n">
        <f aca="false">C311-B311</f>
        <v>2</v>
      </c>
      <c r="X311" s="0" t="str">
        <f aca="false">TEXT(B311,"mmmm")</f>
        <v>July</v>
      </c>
      <c r="Y311" s="4" t="n">
        <f aca="false">YEAR(B311)</f>
        <v>2024</v>
      </c>
      <c r="Z311" s="0" t="str">
        <f aca="false">PROPER(TRIM(AU311))</f>
        <v>Paid</v>
      </c>
      <c r="AA311" s="0" t="str">
        <f aca="false">PROPER(TRIM(AV311))</f>
        <v>Cancelled</v>
      </c>
      <c r="AB311" s="0" t="str">
        <f aca="false">IF(TRIM(AN311)="","Yes","No")</f>
        <v>No</v>
      </c>
      <c r="AC311" s="0" t="str">
        <f aca="false">IF(TRIM(AS311)="","Yes","No")</f>
        <v>No</v>
      </c>
      <c r="AD311" s="0" t="str">
        <f aca="false">IF(AT311="","Yes","No")</f>
        <v>No</v>
      </c>
      <c r="AE311" s="0" t="str">
        <f aca="false">IF(W311&lt;0,"Yes","No")</f>
        <v>No</v>
      </c>
      <c r="AF311" s="0" t="str">
        <f aca="false">IF(P311="","No",IF(OR(P311&lt;0,P311&gt;0.3),"Yes","No"))</f>
        <v>No</v>
      </c>
      <c r="AG311" s="4" t="s">
        <v>50</v>
      </c>
      <c r="AH311" s="0" t="str">
        <f aca="false">IF(AND(AA311="Completed",Z311="Paid"),"Yes","No")</f>
        <v>No</v>
      </c>
      <c r="AI311" s="0" t="str">
        <f aca="false">IF(OR(AE311="Yes",AF311="Yes",AG311="Yes"),"Invalid",IF(OR(AB311="Yes",AC311="Yes",AD311="Yes"),"Warning","Clean"))</f>
        <v>Clean</v>
      </c>
      <c r="AJ311" s="4" t="s">
        <v>1320</v>
      </c>
      <c r="AK311" s="4" t="s">
        <v>145</v>
      </c>
      <c r="AL311" s="4" t="s">
        <v>96</v>
      </c>
      <c r="AM311" s="4" t="s">
        <v>54</v>
      </c>
      <c r="AN311" s="4" t="s">
        <v>87</v>
      </c>
      <c r="AO311" s="4" t="s">
        <v>323</v>
      </c>
      <c r="AP311" s="4" t="s">
        <v>324</v>
      </c>
      <c r="AQ311" s="4" t="s">
        <v>72</v>
      </c>
      <c r="AR311" s="4" t="s">
        <v>73</v>
      </c>
      <c r="AS311" s="4" t="s">
        <v>81</v>
      </c>
      <c r="AT311" s="0" t="n">
        <v>0.1</v>
      </c>
      <c r="AU311" s="4" t="s">
        <v>61</v>
      </c>
      <c r="AV311" s="4" t="s">
        <v>101</v>
      </c>
    </row>
    <row r="312" customFormat="false" ht="15" hidden="false" customHeight="false" outlineLevel="0" collapsed="false">
      <c r="A312" s="0" t="s">
        <v>1321</v>
      </c>
      <c r="B312" s="3" t="n">
        <f aca="false">IF(AJ312="","",IF(ISNUMBER(SEARCH("/",AJ312)),DATE(VALUE(RIGHT(AJ312,4)),VALUE(LEFT(AJ312,2)),VALUE(MID(AJ312,4,2))),IF(ISNUMBER(SEARCH("-",AJ312)),IF(LEN(LEFT(AJ312,FIND("-",AJ312)-1))=4,DATE(VALUE(LEFT(AJ312,4)),VALUE(MID(AJ312,6,2)),VALUE(RIGHT(AJ312,2))),DATE(VALUE(RIGHT(AJ312,4)),VALUE(MID(AJ312,4,2)),VALUE(LEFT(AJ312,2)))),DATE(VALUE(RIGHT(AJ312,4)),MATCH(MID(AJ312,4,3),{"Jan","Feb","Mar","Apr","May","Jun","Jul","Aug","Sep","Oct","Nov","Dec"},0),VALUE(LEFT(AJ312,2))))))</f>
        <v>45477</v>
      </c>
      <c r="C312" s="3" t="n">
        <f aca="false">IF(AK312="","",IF(ISNUMBER(SEARCH("/",AK312)),DATE(VALUE(RIGHT(AK312,4)),VALUE(LEFT(AK312,2)),VALUE(MID(AK312,4,2))),IF(ISNUMBER(SEARCH("-",AK312)),IF(LEN(LEFT(AK312,FIND("-",AK312)-1))=4,DATE(VALUE(LEFT(AK312,4)),VALUE(MID(AK312,6,2)),VALUE(RIGHT(AK312,2))),DATE(VALUE(RIGHT(AK312,4)),VALUE(MID(AK312,4,2)),VALUE(LEFT(AK312,2)))),DATE(VALUE(RIGHT(AK312,4)),MATCH(MID(AK312,4,3),{"Jan","Feb","Mar","Apr","May","Jun","Jul","Aug","Sep","Oct","Nov","Dec"},0),VALUE(LEFT(AK312,2))))))</f>
        <v>45481</v>
      </c>
      <c r="D312" s="4" t="s">
        <v>1322</v>
      </c>
      <c r="E312" s="0" t="str">
        <f aca="false">PROPER(TRIM(AL312))</f>
        <v>Rohan Mehta</v>
      </c>
      <c r="F312" s="0" t="str">
        <f aca="false">PROPER(TRIM(AM312))</f>
        <v>Small Business</v>
      </c>
      <c r="G312" s="0" t="str">
        <f aca="false">IF(TRIM(AN312)="","Unknown",PROPER(TRIM(AN312)))</f>
        <v>South</v>
      </c>
      <c r="H312" s="0" t="str">
        <f aca="false">PROPER(TRIM(AO312))</f>
        <v>Tamil Nadu</v>
      </c>
      <c r="I312" s="0" t="str">
        <f aca="false">PROPER(TRIM(AP312))</f>
        <v>Chennai</v>
      </c>
      <c r="J312" s="0" t="str">
        <f aca="false">PROPER(TRIM(AQ312))</f>
        <v>Technology</v>
      </c>
      <c r="K312" s="0" t="str">
        <f aca="false">PROPER(TRIM(AR312))</f>
        <v>Machines</v>
      </c>
      <c r="M312" s="0" t="str">
        <f aca="false">IF(TRIM(AS312)="","Unknown",PROPER(TRIM(AS312)))</f>
        <v>First Class</v>
      </c>
      <c r="N312" s="0" t="n">
        <v>8</v>
      </c>
      <c r="O312" s="0" t="n">
        <v>2034.25</v>
      </c>
      <c r="P312" s="5" t="n">
        <f aca="false">IF(AT312="","",IF(ISNUMBER(AT312),AT312,VALUE(SUBSTITUTE(AT312,"%",""))/100))</f>
        <v>0</v>
      </c>
      <c r="Q312" s="5" t="n">
        <f aca="false">IF(P312="",IF(AND(N312&lt;&gt;"",O312&lt;&gt;"",R312&lt;&gt;"",S312&lt;&gt;""),0,"REVIEW"),IF(OR(P312&lt;0,P312&gt;0.3),0,P312))</f>
        <v>0</v>
      </c>
      <c r="R312" s="0" t="n">
        <v>16274</v>
      </c>
      <c r="S312" s="0" t="n">
        <v>9424.25</v>
      </c>
      <c r="T312" s="6" t="n">
        <f aca="false">N312*O312*(1-Q312)</f>
        <v>16274</v>
      </c>
      <c r="U312" s="6" t="n">
        <f aca="false">T312-S312</f>
        <v>6849.75</v>
      </c>
      <c r="V312" s="7" t="n">
        <f aca="false">IF(T312=0,0,U312/T312)</f>
        <v>0.420901437876367</v>
      </c>
      <c r="W312" s="4" t="n">
        <f aca="false">C312-B312</f>
        <v>4</v>
      </c>
      <c r="X312" s="0" t="str">
        <f aca="false">TEXT(B312,"mmmm")</f>
        <v>July</v>
      </c>
      <c r="Y312" s="4" t="n">
        <f aca="false">YEAR(B312)</f>
        <v>2024</v>
      </c>
      <c r="Z312" s="0" t="str">
        <f aca="false">PROPER(TRIM(AU312))</f>
        <v>Paid</v>
      </c>
      <c r="AA312" s="0" t="str">
        <f aca="false">PROPER(TRIM(AV312))</f>
        <v>Completed</v>
      </c>
      <c r="AB312" s="0" t="str">
        <f aca="false">IF(TRIM(AN312)="","Yes","No")</f>
        <v>No</v>
      </c>
      <c r="AC312" s="0" t="str">
        <f aca="false">IF(TRIM(AS312)="","Yes","No")</f>
        <v>No</v>
      </c>
      <c r="AD312" s="0" t="str">
        <f aca="false">IF(AT312="","Yes","No")</f>
        <v>No</v>
      </c>
      <c r="AE312" s="0" t="str">
        <f aca="false">IF(W312&lt;0,"Yes","No")</f>
        <v>No</v>
      </c>
      <c r="AF312" s="0" t="str">
        <f aca="false">IF(P312="","No",IF(OR(P312&lt;0,P312&gt;0.3),"Yes","No"))</f>
        <v>No</v>
      </c>
      <c r="AG312" s="4" t="s">
        <v>50</v>
      </c>
      <c r="AH312" s="0" t="str">
        <f aca="false">IF(AND(AA312="Completed",Z312="Paid"),"Yes","No")</f>
        <v>Yes</v>
      </c>
      <c r="AI312" s="0" t="str">
        <f aca="false">IF(OR(AE312="Yes",AF312="Yes",AG312="Yes"),"Invalid",IF(OR(AB312="Yes",AC312="Yes",AD312="Yes"),"Warning","Clean"))</f>
        <v>Clean</v>
      </c>
      <c r="AJ312" s="4" t="s">
        <v>1323</v>
      </c>
      <c r="AK312" s="4" t="s">
        <v>1324</v>
      </c>
      <c r="AL312" s="4" t="s">
        <v>191</v>
      </c>
      <c r="AM312" s="4" t="s">
        <v>68</v>
      </c>
      <c r="AN312" s="4" t="s">
        <v>87</v>
      </c>
      <c r="AO312" s="4" t="s">
        <v>323</v>
      </c>
      <c r="AP312" s="4" t="s">
        <v>324</v>
      </c>
      <c r="AQ312" s="4" t="s">
        <v>109</v>
      </c>
      <c r="AR312" s="4" t="s">
        <v>360</v>
      </c>
      <c r="AS312" s="4" t="s">
        <v>81</v>
      </c>
      <c r="AT312" s="0" t="n">
        <v>0</v>
      </c>
      <c r="AU312" s="4" t="s">
        <v>61</v>
      </c>
      <c r="AV312" s="4" t="s">
        <v>62</v>
      </c>
    </row>
    <row r="313" customFormat="false" ht="15" hidden="false" customHeight="false" outlineLevel="0" collapsed="false">
      <c r="A313" s="0" t="s">
        <v>1325</v>
      </c>
      <c r="B313" s="3" t="n">
        <f aca="false">IF(AJ313="","",IF(ISNUMBER(SEARCH("/",AJ313)),DATE(VALUE(RIGHT(AJ313,4)),VALUE(LEFT(AJ313,2)),VALUE(MID(AJ313,4,2))),IF(ISNUMBER(SEARCH("-",AJ313)),IF(LEN(LEFT(AJ313,FIND("-",AJ313)-1))=4,DATE(VALUE(LEFT(AJ313,4)),VALUE(MID(AJ313,6,2)),VALUE(RIGHT(AJ313,2))),DATE(VALUE(RIGHT(AJ313,4)),VALUE(MID(AJ313,4,2)),VALUE(LEFT(AJ313,2)))),DATE(VALUE(RIGHT(AJ313,4)),MATCH(MID(AJ313,4,3),{"Jan","Feb","Mar","Apr","May","Jun","Jul","Aug","Sep","Oct","Nov","Dec"},0),VALUE(LEFT(AJ313,2))))))</f>
        <v>45409</v>
      </c>
      <c r="C313" s="3" t="n">
        <f aca="false">IF(AK313="","",IF(ISNUMBER(SEARCH("/",AK313)),DATE(VALUE(RIGHT(AK313,4)),VALUE(LEFT(AK313,2)),VALUE(MID(AK313,4,2))),IF(ISNUMBER(SEARCH("-",AK313)),IF(LEN(LEFT(AK313,FIND("-",AK313)-1))=4,DATE(VALUE(LEFT(AK313,4)),VALUE(MID(AK313,6,2)),VALUE(RIGHT(AK313,2))),DATE(VALUE(RIGHT(AK313,4)),VALUE(MID(AK313,4,2)),VALUE(LEFT(AK313,2)))),DATE(VALUE(RIGHT(AK313,4)),MATCH(MID(AK313,4,3),{"Jan","Feb","Mar","Apr","May","Jun","Jul","Aug","Sep","Oct","Nov","Dec"},0),VALUE(LEFT(AK313,2))))))</f>
        <v>45414</v>
      </c>
      <c r="D313" s="4" t="s">
        <v>1326</v>
      </c>
      <c r="E313" s="0" t="str">
        <f aca="false">PROPER(TRIM(AL313))</f>
        <v>Mira Das</v>
      </c>
      <c r="F313" s="0" t="str">
        <f aca="false">PROPER(TRIM(AM313))</f>
        <v>Corporate</v>
      </c>
      <c r="G313" s="0" t="str">
        <f aca="false">IF(TRIM(AN313)="","Unknown",PROPER(TRIM(AN313)))</f>
        <v>South</v>
      </c>
      <c r="H313" s="0" t="str">
        <f aca="false">PROPER(TRIM(AO313))</f>
        <v>Karnataka</v>
      </c>
      <c r="I313" s="0" t="str">
        <f aca="false">PROPER(TRIM(AP313))</f>
        <v>Bengaluru</v>
      </c>
      <c r="J313" s="0" t="str">
        <f aca="false">PROPER(TRIM(AQ313))</f>
        <v>Office Supplies</v>
      </c>
      <c r="K313" s="0" t="str">
        <f aca="false">PROPER(TRIM(AR313))</f>
        <v>Binders</v>
      </c>
      <c r="M313" s="0" t="str">
        <f aca="false">IF(TRIM(AS313)="","Unknown",PROPER(TRIM(AS313)))</f>
        <v>Second Class</v>
      </c>
      <c r="N313" s="0" t="n">
        <v>5</v>
      </c>
      <c r="O313" s="0" t="n">
        <v>554.04</v>
      </c>
      <c r="P313" s="5" t="n">
        <f aca="false">IF(AT313="","",IF(ISNUMBER(AT313),AT313,VALUE(SUBSTITUTE(AT313,"%",""))/100))</f>
        <v>0.1</v>
      </c>
      <c r="Q313" s="5" t="n">
        <f aca="false">IF(P313="",IF(AND(N313&lt;&gt;"",O313&lt;&gt;"",R313&lt;&gt;"",S313&lt;&gt;""),0,"REVIEW"),IF(OR(P313&lt;0,P313&gt;0.3),0,P313))</f>
        <v>0.1</v>
      </c>
      <c r="R313" s="0" t="n">
        <v>2493.18</v>
      </c>
      <c r="S313" s="0" t="n">
        <v>1764</v>
      </c>
      <c r="T313" s="6" t="n">
        <f aca="false">N313*O313*(1-Q313)</f>
        <v>2493.18</v>
      </c>
      <c r="U313" s="6" t="n">
        <f aca="false">T313-S313</f>
        <v>729.18</v>
      </c>
      <c r="V313" s="7" t="n">
        <f aca="false">IF(T313=0,0,U313/T313)</f>
        <v>0.292469857772002</v>
      </c>
      <c r="W313" s="4" t="n">
        <f aca="false">C313-B313</f>
        <v>5</v>
      </c>
      <c r="X313" s="0" t="str">
        <f aca="false">TEXT(B313,"mmmm")</f>
        <v>April</v>
      </c>
      <c r="Y313" s="4" t="n">
        <f aca="false">YEAR(B313)</f>
        <v>2024</v>
      </c>
      <c r="Z313" s="0" t="str">
        <f aca="false">PROPER(TRIM(AU313))</f>
        <v>Paid</v>
      </c>
      <c r="AA313" s="0" t="str">
        <f aca="false">PROPER(TRIM(AV313))</f>
        <v>Completed</v>
      </c>
      <c r="AB313" s="0" t="str">
        <f aca="false">IF(TRIM(AN313)="","Yes","No")</f>
        <v>No</v>
      </c>
      <c r="AC313" s="0" t="str">
        <f aca="false">IF(TRIM(AS313)="","Yes","No")</f>
        <v>No</v>
      </c>
      <c r="AD313" s="0" t="str">
        <f aca="false">IF(AT313="","Yes","No")</f>
        <v>No</v>
      </c>
      <c r="AE313" s="0" t="str">
        <f aca="false">IF(W313&lt;0,"Yes","No")</f>
        <v>No</v>
      </c>
      <c r="AF313" s="0" t="str">
        <f aca="false">IF(P313="","No",IF(OR(P313&lt;0,P313&gt;0.3),"Yes","No"))</f>
        <v>No</v>
      </c>
      <c r="AG313" s="4" t="s">
        <v>50</v>
      </c>
      <c r="AH313" s="0" t="str">
        <f aca="false">IF(AND(AA313="Completed",Z313="Paid"),"Yes","No")</f>
        <v>Yes</v>
      </c>
      <c r="AI313" s="0" t="str">
        <f aca="false">IF(OR(AE313="Yes",AF313="Yes",AG313="Yes"),"Invalid",IF(OR(AB313="Yes",AC313="Yes",AD313="Yes"),"Warning","Clean"))</f>
        <v>Clean</v>
      </c>
      <c r="AJ313" s="4" t="s">
        <v>1327</v>
      </c>
      <c r="AK313" s="4" t="s">
        <v>818</v>
      </c>
      <c r="AL313" s="4" t="s">
        <v>67</v>
      </c>
      <c r="AM313" s="4" t="s">
        <v>128</v>
      </c>
      <c r="AN313" s="4" t="s">
        <v>87</v>
      </c>
      <c r="AO313" s="4" t="s">
        <v>233</v>
      </c>
      <c r="AP313" s="4" t="s">
        <v>234</v>
      </c>
      <c r="AQ313" s="4" t="s">
        <v>58</v>
      </c>
      <c r="AR313" s="4" t="s">
        <v>206</v>
      </c>
      <c r="AS313" s="4" t="s">
        <v>60</v>
      </c>
      <c r="AT313" s="0" t="n">
        <v>0.1</v>
      </c>
      <c r="AU313" s="4" t="s">
        <v>61</v>
      </c>
      <c r="AV313" s="4" t="s">
        <v>62</v>
      </c>
    </row>
    <row r="314" customFormat="false" ht="15" hidden="false" customHeight="false" outlineLevel="0" collapsed="false">
      <c r="A314" s="0" t="s">
        <v>1328</v>
      </c>
      <c r="B314" s="3" t="n">
        <f aca="false">IF(AJ314="","",IF(ISNUMBER(SEARCH("/",AJ314)),DATE(VALUE(RIGHT(AJ314,4)),VALUE(LEFT(AJ314,2)),VALUE(MID(AJ314,4,2))),IF(ISNUMBER(SEARCH("-",AJ314)),IF(LEN(LEFT(AJ314,FIND("-",AJ314)-1))=4,DATE(VALUE(LEFT(AJ314,4)),VALUE(MID(AJ314,6,2)),VALUE(RIGHT(AJ314,2))),DATE(VALUE(RIGHT(AJ314,4)),VALUE(MID(AJ314,4,2)),VALUE(LEFT(AJ314,2)))),DATE(VALUE(RIGHT(AJ314,4)),MATCH(MID(AJ314,4,3),{"Jan","Feb","Mar","Apr","May","Jun","Jul","Aug","Sep","Oct","Nov","Dec"},0),VALUE(LEFT(AJ314,2))))))</f>
        <v>45504</v>
      </c>
      <c r="C314" s="3" t="n">
        <f aca="false">IF(AK314="","",IF(ISNUMBER(SEARCH("/",AK314)),DATE(VALUE(RIGHT(AK314,4)),VALUE(LEFT(AK314,2)),VALUE(MID(AK314,4,2))),IF(ISNUMBER(SEARCH("-",AK314)),IF(LEN(LEFT(AK314,FIND("-",AK314)-1))=4,DATE(VALUE(LEFT(AK314,4)),VALUE(MID(AK314,6,2)),VALUE(RIGHT(AK314,2))),DATE(VALUE(RIGHT(AK314,4)),VALUE(MID(AK314,4,2)),VALUE(LEFT(AK314,2)))),DATE(VALUE(RIGHT(AK314,4)),MATCH(MID(AK314,4,3),{"Jan","Feb","Mar","Apr","May","Jun","Jul","Aug","Sep","Oct","Nov","Dec"},0),VALUE(LEFT(AK314,2))))))</f>
        <v>45508</v>
      </c>
      <c r="D314" s="4" t="s">
        <v>1329</v>
      </c>
      <c r="E314" s="0" t="str">
        <f aca="false">PROPER(TRIM(AL314))</f>
        <v>Karan Malhotra</v>
      </c>
      <c r="F314" s="0" t="str">
        <f aca="false">PROPER(TRIM(AM314))</f>
        <v>Small Business</v>
      </c>
      <c r="G314" s="0" t="str">
        <f aca="false">IF(TRIM(AN314)="","Unknown",PROPER(TRIM(AN314)))</f>
        <v>East</v>
      </c>
      <c r="H314" s="0" t="str">
        <f aca="false">PROPER(TRIM(AO314))</f>
        <v>Assam</v>
      </c>
      <c r="I314" s="0" t="str">
        <f aca="false">PROPER(TRIM(AP314))</f>
        <v>Guwahati</v>
      </c>
      <c r="J314" s="0" t="str">
        <f aca="false">PROPER(TRIM(AQ314))</f>
        <v>Technology</v>
      </c>
      <c r="K314" s="0" t="str">
        <f aca="false">PROPER(TRIM(AR314))</f>
        <v>Phones</v>
      </c>
      <c r="M314" s="0" t="str">
        <f aca="false">IF(TRIM(AS314)="","Unknown",PROPER(TRIM(AS314)))</f>
        <v>Standard Class</v>
      </c>
      <c r="N314" s="0" t="n">
        <v>8</v>
      </c>
      <c r="O314" s="0" t="n">
        <v>2614.74</v>
      </c>
      <c r="P314" s="5" t="str">
        <f aca="false">IF(AT314="","",IF(ISNUMBER(AT314),AT314,VALUE(SUBSTITUTE(AT314,"%",""))/100))</f>
        <v/>
      </c>
      <c r="Q314" s="5" t="n">
        <f aca="false">IF(P314="",IF(AND(N314&lt;&gt;"",O314&lt;&gt;"",R314&lt;&gt;"",S314&lt;&gt;""),0,"REVIEW"),IF(OR(P314&lt;0,P314&gt;0.3),0,P314))</f>
        <v>0</v>
      </c>
      <c r="R314" s="0" t="n">
        <v>15688.44</v>
      </c>
      <c r="S314" s="0" t="n">
        <v>10047.33</v>
      </c>
      <c r="T314" s="6" t="n">
        <f aca="false">N314*O314*(1-Q314)</f>
        <v>20917.92</v>
      </c>
      <c r="U314" s="6" t="n">
        <f aca="false">T314-S314</f>
        <v>10870.59</v>
      </c>
      <c r="V314" s="7" t="n">
        <f aca="false">IF(T314=0,0,U314/T314)</f>
        <v>0.519678342779779</v>
      </c>
      <c r="W314" s="4" t="n">
        <f aca="false">C314-B314</f>
        <v>4</v>
      </c>
      <c r="X314" s="0" t="str">
        <f aca="false">TEXT(B314,"mmmm")</f>
        <v>July</v>
      </c>
      <c r="Y314" s="4" t="n">
        <f aca="false">YEAR(B314)</f>
        <v>2024</v>
      </c>
      <c r="Z314" s="0" t="str">
        <f aca="false">PROPER(TRIM(AU314))</f>
        <v>Paid</v>
      </c>
      <c r="AA314" s="0" t="str">
        <f aca="false">PROPER(TRIM(AV314))</f>
        <v>Cancelled</v>
      </c>
      <c r="AB314" s="0" t="str">
        <f aca="false">IF(TRIM(AN314)="","Yes","No")</f>
        <v>No</v>
      </c>
      <c r="AC314" s="0" t="str">
        <f aca="false">IF(TRIM(AS314)="","Yes","No")</f>
        <v>No</v>
      </c>
      <c r="AD314" s="0" t="str">
        <f aca="false">IF(AT314="","Yes","No")</f>
        <v>Yes</v>
      </c>
      <c r="AE314" s="0" t="str">
        <f aca="false">IF(W314&lt;0,"Yes","No")</f>
        <v>No</v>
      </c>
      <c r="AF314" s="0" t="str">
        <f aca="false">IF(P314="","No",IF(OR(P314&lt;0,P314&gt;0.3),"Yes","No"))</f>
        <v>No</v>
      </c>
      <c r="AG314" s="4" t="s">
        <v>50</v>
      </c>
      <c r="AH314" s="0" t="str">
        <f aca="false">IF(AND(AA314="Completed",Z314="Paid"),"Yes","No")</f>
        <v>No</v>
      </c>
      <c r="AI314" s="0" t="str">
        <f aca="false">IF(OR(AE314="Yes",AF314="Yes",AG314="Yes"),"Invalid",IF(OR(AB314="Yes",AC314="Yes",AD314="Yes"),"Warning","Clean"))</f>
        <v>Warning</v>
      </c>
      <c r="AJ314" s="4" t="s">
        <v>1330</v>
      </c>
      <c r="AK314" s="4" t="s">
        <v>470</v>
      </c>
      <c r="AL314" s="4" t="s">
        <v>53</v>
      </c>
      <c r="AM314" s="4" t="s">
        <v>68</v>
      </c>
      <c r="AN314" s="4" t="s">
        <v>69</v>
      </c>
      <c r="AO314" s="4" t="s">
        <v>221</v>
      </c>
      <c r="AP314" s="4" t="s">
        <v>222</v>
      </c>
      <c r="AQ314" s="4" t="s">
        <v>109</v>
      </c>
      <c r="AR314" s="4" t="s">
        <v>227</v>
      </c>
      <c r="AS314" s="4" t="s">
        <v>91</v>
      </c>
      <c r="AU314" s="4" t="s">
        <v>61</v>
      </c>
      <c r="AV314" s="4" t="s">
        <v>101</v>
      </c>
    </row>
    <row r="315" customFormat="false" ht="15" hidden="false" customHeight="false" outlineLevel="0" collapsed="false">
      <c r="A315" s="0" t="s">
        <v>1331</v>
      </c>
      <c r="B315" s="3" t="n">
        <f aca="false">IF(AJ315="","",IF(ISNUMBER(SEARCH("/",AJ315)),DATE(VALUE(RIGHT(AJ315,4)),VALUE(LEFT(AJ315,2)),VALUE(MID(AJ315,4,2))),IF(ISNUMBER(SEARCH("-",AJ315)),IF(LEN(LEFT(AJ315,FIND("-",AJ315)-1))=4,DATE(VALUE(LEFT(AJ315,4)),VALUE(MID(AJ315,6,2)),VALUE(RIGHT(AJ315,2))),DATE(VALUE(RIGHT(AJ315,4)),VALUE(MID(AJ315,4,2)),VALUE(LEFT(AJ315,2)))),DATE(VALUE(RIGHT(AJ315,4)),MATCH(MID(AJ315,4,3),{"Jan","Feb","Mar","Apr","May","Jun","Jul","Aug","Sep","Oct","Nov","Dec"},0),VALUE(LEFT(AJ315,2))))))</f>
        <v>45807</v>
      </c>
      <c r="C315" s="3" t="n">
        <f aca="false">IF(AK315="","",IF(ISNUMBER(SEARCH("/",AK315)),DATE(VALUE(RIGHT(AK315,4)),VALUE(LEFT(AK315,2)),VALUE(MID(AK315,4,2))),IF(ISNUMBER(SEARCH("-",AK315)),IF(LEN(LEFT(AK315,FIND("-",AK315)-1))=4,DATE(VALUE(LEFT(AK315,4)),VALUE(MID(AK315,6,2)),VALUE(RIGHT(AK315,2))),DATE(VALUE(RIGHT(AK315,4)),VALUE(MID(AK315,4,2)),VALUE(LEFT(AK315,2)))),DATE(VALUE(RIGHT(AK315,4)),MATCH(MID(AK315,4,3),{"Jan","Feb","Mar","Apr","May","Jun","Jul","Aug","Sep","Oct","Nov","Dec"},0),VALUE(LEFT(AK315,2))))))</f>
        <v>45808</v>
      </c>
      <c r="D315" s="4" t="s">
        <v>1332</v>
      </c>
      <c r="E315" s="0" t="str">
        <f aca="false">PROPER(TRIM(AL315))</f>
        <v>Rahul Verma</v>
      </c>
      <c r="F315" s="0" t="str">
        <f aca="false">PROPER(TRIM(AM315))</f>
        <v>Corporate</v>
      </c>
      <c r="G315" s="0" t="str">
        <f aca="false">IF(TRIM(AN315)="","Unknown",PROPER(TRIM(AN315)))</f>
        <v>North</v>
      </c>
      <c r="H315" s="0" t="str">
        <f aca="false">PROPER(TRIM(AO315))</f>
        <v>Uttar Pradesh</v>
      </c>
      <c r="I315" s="0" t="str">
        <f aca="false">PROPER(TRIM(AP315))</f>
        <v>Noida</v>
      </c>
      <c r="J315" s="0" t="str">
        <f aca="false">PROPER(TRIM(AQ315))</f>
        <v>Technology</v>
      </c>
      <c r="K315" s="0" t="str">
        <f aca="false">PROPER(TRIM(AR315))</f>
        <v>Phones</v>
      </c>
      <c r="M315" s="0" t="str">
        <f aca="false">IF(TRIM(AS315)="","Unknown",PROPER(TRIM(AS315)))</f>
        <v>First Class</v>
      </c>
      <c r="N315" s="0" t="n">
        <v>8</v>
      </c>
      <c r="O315" s="0" t="n">
        <v>2081.43</v>
      </c>
      <c r="P315" s="5" t="n">
        <f aca="false">IF(AT315="","",IF(ISNUMBER(AT315),AT315,VALUE(SUBSTITUTE(AT315,"%",""))/100))</f>
        <v>0.25</v>
      </c>
      <c r="Q315" s="5" t="n">
        <f aca="false">IF(P315="",IF(AND(N315&lt;&gt;"",O315&lt;&gt;"",R315&lt;&gt;"",S315&lt;&gt;""),0,"REVIEW"),IF(OR(P315&lt;0,P315&gt;0.3),0,P315))</f>
        <v>0.25</v>
      </c>
      <c r="R315" s="0" t="n">
        <v>12488.58</v>
      </c>
      <c r="S315" s="0" t="n">
        <v>10717.4</v>
      </c>
      <c r="T315" s="6" t="n">
        <f aca="false">N315*O315*(1-Q315)</f>
        <v>12488.58</v>
      </c>
      <c r="U315" s="6" t="n">
        <f aca="false">T315-S315</f>
        <v>1771.18</v>
      </c>
      <c r="V315" s="7" t="n">
        <f aca="false">IF(T315=0,0,U315/T315)</f>
        <v>0.141823970379338</v>
      </c>
      <c r="W315" s="4" t="n">
        <f aca="false">C315-B315</f>
        <v>1</v>
      </c>
      <c r="X315" s="0" t="str">
        <f aca="false">TEXT(B315,"mmmm")</f>
        <v>May</v>
      </c>
      <c r="Y315" s="4" t="n">
        <f aca="false">YEAR(B315)</f>
        <v>2025</v>
      </c>
      <c r="Z315" s="0" t="str">
        <f aca="false">PROPER(TRIM(AU315))</f>
        <v>Refunded</v>
      </c>
      <c r="AA315" s="0" t="str">
        <f aca="false">PROPER(TRIM(AV315))</f>
        <v>Cancelled</v>
      </c>
      <c r="AB315" s="0" t="str">
        <f aca="false">IF(TRIM(AN315)="","Yes","No")</f>
        <v>No</v>
      </c>
      <c r="AC315" s="0" t="str">
        <f aca="false">IF(TRIM(AS315)="","Yes","No")</f>
        <v>No</v>
      </c>
      <c r="AD315" s="0" t="str">
        <f aca="false">IF(AT315="","Yes","No")</f>
        <v>No</v>
      </c>
      <c r="AE315" s="0" t="str">
        <f aca="false">IF(W315&lt;0,"Yes","No")</f>
        <v>No</v>
      </c>
      <c r="AF315" s="0" t="str">
        <f aca="false">IF(P315="","No",IF(OR(P315&lt;0,P315&gt;0.3),"Yes","No"))</f>
        <v>No</v>
      </c>
      <c r="AG315" s="4" t="s">
        <v>50</v>
      </c>
      <c r="AH315" s="0" t="str">
        <f aca="false">IF(AND(AA315="Completed",Z315="Paid"),"Yes","No")</f>
        <v>No</v>
      </c>
      <c r="AI315" s="0" t="str">
        <f aca="false">IF(OR(AE315="Yes",AF315="Yes",AG315="Yes"),"Invalid",IF(OR(AB315="Yes",AC315="Yes",AD315="Yes"),"Warning","Clean"))</f>
        <v>Clean</v>
      </c>
      <c r="AJ315" s="4" t="s">
        <v>1333</v>
      </c>
      <c r="AK315" s="4" t="s">
        <v>1334</v>
      </c>
      <c r="AL315" s="4" t="s">
        <v>163</v>
      </c>
      <c r="AM315" s="4" t="s">
        <v>128</v>
      </c>
      <c r="AN315" s="4" t="s">
        <v>168</v>
      </c>
      <c r="AO315" s="4" t="s">
        <v>186</v>
      </c>
      <c r="AP315" s="4" t="s">
        <v>187</v>
      </c>
      <c r="AQ315" s="4" t="s">
        <v>109</v>
      </c>
      <c r="AR315" s="4" t="s">
        <v>227</v>
      </c>
      <c r="AS315" s="4" t="s">
        <v>81</v>
      </c>
      <c r="AT315" s="0" t="n">
        <v>0.25</v>
      </c>
      <c r="AU315" s="4" t="s">
        <v>141</v>
      </c>
      <c r="AV315" s="4" t="s">
        <v>101</v>
      </c>
    </row>
    <row r="316" customFormat="false" ht="15" hidden="false" customHeight="false" outlineLevel="0" collapsed="false">
      <c r="A316" s="0" t="s">
        <v>1335</v>
      </c>
      <c r="B316" s="3" t="n">
        <f aca="false">IF(AJ316="","",IF(ISNUMBER(SEARCH("/",AJ316)),DATE(VALUE(RIGHT(AJ316,4)),VALUE(LEFT(AJ316,2)),VALUE(MID(AJ316,4,2))),IF(ISNUMBER(SEARCH("-",AJ316)),IF(LEN(LEFT(AJ316,FIND("-",AJ316)-1))=4,DATE(VALUE(LEFT(AJ316,4)),VALUE(MID(AJ316,6,2)),VALUE(RIGHT(AJ316,2))),DATE(VALUE(RIGHT(AJ316,4)),VALUE(MID(AJ316,4,2)),VALUE(LEFT(AJ316,2)))),DATE(VALUE(RIGHT(AJ316,4)),MATCH(MID(AJ316,4,3),{"Jan","Feb","Mar","Apr","May","Jun","Jul","Aug","Sep","Oct","Nov","Dec"},0),VALUE(LEFT(AJ316,2))))))</f>
        <v>45795</v>
      </c>
      <c r="C316" s="3" t="n">
        <f aca="false">IF(AK316="","",IF(ISNUMBER(SEARCH("/",AK316)),DATE(VALUE(RIGHT(AK316,4)),VALUE(LEFT(AK316,2)),VALUE(MID(AK316,4,2))),IF(ISNUMBER(SEARCH("-",AK316)),IF(LEN(LEFT(AK316,FIND("-",AK316)-1))=4,DATE(VALUE(LEFT(AK316,4)),VALUE(MID(AK316,6,2)),VALUE(RIGHT(AK316,2))),DATE(VALUE(RIGHT(AK316,4)),VALUE(MID(AK316,4,2)),VALUE(LEFT(AK316,2)))),DATE(VALUE(RIGHT(AK316,4)),MATCH(MID(AK316,4,3),{"Jan","Feb","Mar","Apr","May","Jun","Jul","Aug","Sep","Oct","Nov","Dec"},0),VALUE(LEFT(AK316,2))))))</f>
        <v>45797</v>
      </c>
      <c r="D316" s="4" t="s">
        <v>1336</v>
      </c>
      <c r="E316" s="0" t="str">
        <f aca="false">PROPER(TRIM(AL316))</f>
        <v>Isha Nair</v>
      </c>
      <c r="F316" s="0" t="str">
        <f aca="false">PROPER(TRIM(AM316))</f>
        <v>Corporate</v>
      </c>
      <c r="G316" s="0" t="str">
        <f aca="false">IF(TRIM(AN316)="","Unknown",PROPER(TRIM(AN316)))</f>
        <v>West</v>
      </c>
      <c r="H316" s="0" t="str">
        <f aca="false">PROPER(TRIM(AO316))</f>
        <v>Madhya Pradesh</v>
      </c>
      <c r="I316" s="0" t="str">
        <f aca="false">PROPER(TRIM(AP316))</f>
        <v>Indore</v>
      </c>
      <c r="J316" s="0" t="str">
        <f aca="false">PROPER(TRIM(AQ316))</f>
        <v>Office Supplies</v>
      </c>
      <c r="K316" s="0" t="str">
        <f aca="false">PROPER(TRIM(AR316))</f>
        <v>Labels</v>
      </c>
      <c r="M316" s="0" t="str">
        <f aca="false">IF(TRIM(AS316)="","Unknown",PROPER(TRIM(AS316)))</f>
        <v>Standard Class</v>
      </c>
      <c r="N316" s="0" t="n">
        <v>9</v>
      </c>
      <c r="O316" s="0" t="n">
        <v>847.76</v>
      </c>
      <c r="P316" s="5" t="n">
        <f aca="false">IF(AT316="","",IF(ISNUMBER(AT316),AT316,VALUE(SUBSTITUTE(AT316,"%",""))/100))</f>
        <v>0.15</v>
      </c>
      <c r="Q316" s="5" t="n">
        <f aca="false">IF(P316="",IF(AND(N316&lt;&gt;"",O316&lt;&gt;"",R316&lt;&gt;"",S316&lt;&gt;""),0,"REVIEW"),IF(OR(P316&lt;0,P316&gt;0.3),0,P316))</f>
        <v>0.15</v>
      </c>
      <c r="R316" s="0" t="n">
        <v>6485.36</v>
      </c>
      <c r="S316" s="0" t="n">
        <v>5376.17</v>
      </c>
      <c r="T316" s="6" t="n">
        <f aca="false">N316*O316*(1-Q316)</f>
        <v>6485.364</v>
      </c>
      <c r="U316" s="6" t="n">
        <f aca="false">T316-S316</f>
        <v>1109.194</v>
      </c>
      <c r="V316" s="7" t="n">
        <f aca="false">IF(T316=0,0,U316/T316)</f>
        <v>0.171030338466738</v>
      </c>
      <c r="W316" s="4" t="n">
        <f aca="false">C316-B316</f>
        <v>2</v>
      </c>
      <c r="X316" s="0" t="str">
        <f aca="false">TEXT(B316,"mmmm")</f>
        <v>May</v>
      </c>
      <c r="Y316" s="4" t="n">
        <f aca="false">YEAR(B316)</f>
        <v>2025</v>
      </c>
      <c r="Z316" s="0" t="str">
        <f aca="false">PROPER(TRIM(AU316))</f>
        <v>Failed</v>
      </c>
      <c r="AA316" s="0" t="str">
        <f aca="false">PROPER(TRIM(AV316))</f>
        <v>Returned</v>
      </c>
      <c r="AB316" s="0" t="str">
        <f aca="false">IF(TRIM(AN316)="","Yes","No")</f>
        <v>No</v>
      </c>
      <c r="AC316" s="0" t="str">
        <f aca="false">IF(TRIM(AS316)="","Yes","No")</f>
        <v>No</v>
      </c>
      <c r="AD316" s="0" t="str">
        <f aca="false">IF(AT316="","Yes","No")</f>
        <v>No</v>
      </c>
      <c r="AE316" s="0" t="str">
        <f aca="false">IF(W316&lt;0,"Yes","No")</f>
        <v>No</v>
      </c>
      <c r="AF316" s="0" t="str">
        <f aca="false">IF(P316="","No",IF(OR(P316&lt;0,P316&gt;0.3),"Yes","No"))</f>
        <v>No</v>
      </c>
      <c r="AG316" s="4" t="s">
        <v>497</v>
      </c>
      <c r="AH316" s="0" t="str">
        <f aca="false">IF(AND(AA316="Completed",Z316="Paid"),"Yes","No")</f>
        <v>No</v>
      </c>
      <c r="AI316" s="0" t="str">
        <f aca="false">IF(OR(AE316="Yes",AF316="Yes",AG316="Yes"),"Invalid",IF(OR(AB316="Yes",AC316="Yes",AD316="Yes"),"Warning","Clean"))</f>
        <v>Invalid</v>
      </c>
      <c r="AJ316" s="4" t="s">
        <v>942</v>
      </c>
      <c r="AK316" s="4" t="s">
        <v>137</v>
      </c>
      <c r="AL316" s="4" t="s">
        <v>79</v>
      </c>
      <c r="AM316" s="4" t="s">
        <v>128</v>
      </c>
      <c r="AN316" s="4" t="s">
        <v>97</v>
      </c>
      <c r="AO316" s="4" t="s">
        <v>107</v>
      </c>
      <c r="AP316" s="4" t="s">
        <v>108</v>
      </c>
      <c r="AQ316" s="4" t="s">
        <v>58</v>
      </c>
      <c r="AR316" s="4" t="s">
        <v>129</v>
      </c>
      <c r="AS316" s="4" t="s">
        <v>91</v>
      </c>
      <c r="AT316" s="0" t="n">
        <v>0.15</v>
      </c>
      <c r="AU316" s="4" t="s">
        <v>207</v>
      </c>
      <c r="AV316" s="4" t="s">
        <v>142</v>
      </c>
    </row>
    <row r="317" customFormat="false" ht="15" hidden="false" customHeight="false" outlineLevel="0" collapsed="false">
      <c r="A317" s="0" t="s">
        <v>1337</v>
      </c>
      <c r="B317" s="3" t="n">
        <f aca="false">IF(AJ317="","",IF(ISNUMBER(SEARCH("/",AJ317)),DATE(VALUE(RIGHT(AJ317,4)),VALUE(LEFT(AJ317,2)),VALUE(MID(AJ317,4,2))),IF(ISNUMBER(SEARCH("-",AJ317)),IF(LEN(LEFT(AJ317,FIND("-",AJ317)-1))=4,DATE(VALUE(LEFT(AJ317,4)),VALUE(MID(AJ317,6,2)),VALUE(RIGHT(AJ317,2))),DATE(VALUE(RIGHT(AJ317,4)),VALUE(MID(AJ317,4,2)),VALUE(LEFT(AJ317,2)))),DATE(VALUE(RIGHT(AJ317,4)),MATCH(MID(AJ317,4,3),{"Jan","Feb","Mar","Apr","May","Jun","Jul","Aug","Sep","Oct","Nov","Dec"},0),VALUE(LEFT(AJ317,2))))))</f>
        <v>45475</v>
      </c>
      <c r="C317" s="3" t="n">
        <f aca="false">IF(AK317="","",IF(ISNUMBER(SEARCH("/",AK317)),DATE(VALUE(RIGHT(AK317,4)),VALUE(LEFT(AK317,2)),VALUE(MID(AK317,4,2))),IF(ISNUMBER(SEARCH("-",AK317)),IF(LEN(LEFT(AK317,FIND("-",AK317)-1))=4,DATE(VALUE(LEFT(AK317,4)),VALUE(MID(AK317,6,2)),VALUE(RIGHT(AK317,2))),DATE(VALUE(RIGHT(AK317,4)),VALUE(MID(AK317,4,2)),VALUE(LEFT(AK317,2)))),DATE(VALUE(RIGHT(AK317,4)),MATCH(MID(AK317,4,3),{"Jan","Feb","Mar","Apr","May","Jun","Jul","Aug","Sep","Oct","Nov","Dec"},0),VALUE(LEFT(AK317,2))))))</f>
        <v>45481</v>
      </c>
      <c r="D317" s="4" t="s">
        <v>1338</v>
      </c>
      <c r="E317" s="0" t="str">
        <f aca="false">PROPER(TRIM(AL317))</f>
        <v>Rohan Mehta</v>
      </c>
      <c r="F317" s="0" t="str">
        <f aca="false">PROPER(TRIM(AM317))</f>
        <v>Consumer</v>
      </c>
      <c r="G317" s="0" t="str">
        <f aca="false">IF(TRIM(AN317)="","Unknown",PROPER(TRIM(AN317)))</f>
        <v>North</v>
      </c>
      <c r="H317" s="0" t="str">
        <f aca="false">PROPER(TRIM(AO317))</f>
        <v>Delhi</v>
      </c>
      <c r="I317" s="0" t="str">
        <f aca="false">PROPER(TRIM(AP317))</f>
        <v>New Delhi</v>
      </c>
      <c r="J317" s="0" t="str">
        <f aca="false">PROPER(TRIM(AQ317))</f>
        <v>Office Supplies</v>
      </c>
      <c r="K317" s="0" t="str">
        <f aca="false">PROPER(TRIM(AR317))</f>
        <v>Paper</v>
      </c>
      <c r="M317" s="0" t="str">
        <f aca="false">IF(TRIM(AS317)="","Unknown",PROPER(TRIM(AS317)))</f>
        <v>Standard Class</v>
      </c>
      <c r="N317" s="0" t="n">
        <v>9</v>
      </c>
      <c r="O317" s="0" t="n">
        <v>3450.4</v>
      </c>
      <c r="P317" s="5" t="n">
        <f aca="false">IF(AT317="","",IF(ISNUMBER(AT317),AT317,VALUE(SUBSTITUTE(AT317,"%",""))/100))</f>
        <v>0.05</v>
      </c>
      <c r="Q317" s="5" t="n">
        <f aca="false">IF(P317="",IF(AND(N317&lt;&gt;"",O317&lt;&gt;"",R317&lt;&gt;"",S317&lt;&gt;""),0,"REVIEW"),IF(OR(P317&lt;0,P317&gt;0.3),0,P317))</f>
        <v>0.05</v>
      </c>
      <c r="R317" s="0" t="n">
        <v>29500.92</v>
      </c>
      <c r="S317" s="0" t="n">
        <v>17989.68</v>
      </c>
      <c r="T317" s="6" t="n">
        <f aca="false">N317*O317*(1-Q317)</f>
        <v>29500.92</v>
      </c>
      <c r="U317" s="6" t="n">
        <f aca="false">T317-S317</f>
        <v>11511.24</v>
      </c>
      <c r="V317" s="7" t="n">
        <f aca="false">IF(T317=0,0,U317/T317)</f>
        <v>0.390199356494645</v>
      </c>
      <c r="W317" s="4" t="n">
        <f aca="false">C317-B317</f>
        <v>6</v>
      </c>
      <c r="X317" s="0" t="str">
        <f aca="false">TEXT(B317,"mmmm")</f>
        <v>July</v>
      </c>
      <c r="Y317" s="4" t="n">
        <f aca="false">YEAR(B317)</f>
        <v>2024</v>
      </c>
      <c r="Z317" s="0" t="str">
        <f aca="false">PROPER(TRIM(AU317))</f>
        <v>Pending</v>
      </c>
      <c r="AA317" s="0" t="str">
        <f aca="false">PROPER(TRIM(AV317))</f>
        <v>Returned</v>
      </c>
      <c r="AB317" s="0" t="str">
        <f aca="false">IF(TRIM(AN317)="","Yes","No")</f>
        <v>No</v>
      </c>
      <c r="AC317" s="0" t="str">
        <f aca="false">IF(TRIM(AS317)="","Yes","No")</f>
        <v>No</v>
      </c>
      <c r="AD317" s="0" t="str">
        <f aca="false">IF(AT317="","Yes","No")</f>
        <v>No</v>
      </c>
      <c r="AE317" s="0" t="str">
        <f aca="false">IF(W317&lt;0,"Yes","No")</f>
        <v>No</v>
      </c>
      <c r="AF317" s="0" t="str">
        <f aca="false">IF(P317="","No",IF(OR(P317&lt;0,P317&gt;0.3),"Yes","No"))</f>
        <v>No</v>
      </c>
      <c r="AG317" s="4" t="s">
        <v>50</v>
      </c>
      <c r="AH317" s="0" t="str">
        <f aca="false">IF(AND(AA317="Completed",Z317="Paid"),"Yes","No")</f>
        <v>No</v>
      </c>
      <c r="AI317" s="0" t="str">
        <f aca="false">IF(OR(AE317="Yes",AF317="Yes",AG317="Yes"),"Invalid",IF(OR(AB317="Yes",AC317="Yes",AD317="Yes"),"Warning","Clean"))</f>
        <v>Clean</v>
      </c>
      <c r="AJ317" s="4" t="s">
        <v>1339</v>
      </c>
      <c r="AK317" s="4" t="s">
        <v>1340</v>
      </c>
      <c r="AL317" s="4" t="s">
        <v>191</v>
      </c>
      <c r="AM317" s="4" t="s">
        <v>54</v>
      </c>
      <c r="AN317" s="4" t="s">
        <v>168</v>
      </c>
      <c r="AO317" s="4" t="s">
        <v>461</v>
      </c>
      <c r="AP317" s="4" t="s">
        <v>462</v>
      </c>
      <c r="AQ317" s="4" t="s">
        <v>58</v>
      </c>
      <c r="AR317" s="4" t="s">
        <v>59</v>
      </c>
      <c r="AS317" s="4" t="s">
        <v>91</v>
      </c>
      <c r="AT317" s="0" t="n">
        <v>0.05</v>
      </c>
      <c r="AU317" s="4" t="s">
        <v>153</v>
      </c>
      <c r="AV317" s="4" t="s">
        <v>142</v>
      </c>
    </row>
    <row r="318" customFormat="false" ht="15" hidden="false" customHeight="false" outlineLevel="0" collapsed="false">
      <c r="A318" s="0" t="s">
        <v>1341</v>
      </c>
      <c r="B318" s="3" t="n">
        <f aca="false">IF(AJ318="","",IF(ISNUMBER(SEARCH("/",AJ318)),DATE(VALUE(RIGHT(AJ318,4)),VALUE(LEFT(AJ318,2)),VALUE(MID(AJ318,4,2))),IF(ISNUMBER(SEARCH("-",AJ318)),IF(LEN(LEFT(AJ318,FIND("-",AJ318)-1))=4,DATE(VALUE(LEFT(AJ318,4)),VALUE(MID(AJ318,6,2)),VALUE(RIGHT(AJ318,2))),DATE(VALUE(RIGHT(AJ318,4)),VALUE(MID(AJ318,4,2)),VALUE(LEFT(AJ318,2)))),DATE(VALUE(RIGHT(AJ318,4)),MATCH(MID(AJ318,4,3),{"Jan","Feb","Mar","Apr","May","Jun","Jul","Aug","Sep","Oct","Nov","Dec"},0),VALUE(LEFT(AJ318,2))))))</f>
        <v>45338</v>
      </c>
      <c r="C318" s="3" t="n">
        <f aca="false">IF(AK318="","",IF(ISNUMBER(SEARCH("/",AK318)),DATE(VALUE(RIGHT(AK318,4)),VALUE(LEFT(AK318,2)),VALUE(MID(AK318,4,2))),IF(ISNUMBER(SEARCH("-",AK318)),IF(LEN(LEFT(AK318,FIND("-",AK318)-1))=4,DATE(VALUE(LEFT(AK318,4)),VALUE(MID(AK318,6,2)),VALUE(RIGHT(AK318,2))),DATE(VALUE(RIGHT(AK318,4)),VALUE(MID(AK318,4,2)),VALUE(LEFT(AK318,2)))),DATE(VALUE(RIGHT(AK318,4)),MATCH(MID(AK318,4,3),{"Jan","Feb","Mar","Apr","May","Jun","Jul","Aug","Sep","Oct","Nov","Dec"},0),VALUE(LEFT(AK318,2))))))</f>
        <v>45340</v>
      </c>
      <c r="D318" s="4" t="s">
        <v>1342</v>
      </c>
      <c r="E318" s="0" t="str">
        <f aca="false">PROPER(TRIM(AL318))</f>
        <v>Karan Malhotra</v>
      </c>
      <c r="F318" s="0" t="str">
        <f aca="false">PROPER(TRIM(AM318))</f>
        <v>Corporate</v>
      </c>
      <c r="G318" s="0" t="str">
        <f aca="false">IF(TRIM(AN318)="","Unknown",PROPER(TRIM(AN318)))</f>
        <v>North</v>
      </c>
      <c r="H318" s="0" t="str">
        <f aca="false">PROPER(TRIM(AO318))</f>
        <v>Punjab</v>
      </c>
      <c r="I318" s="0" t="str">
        <f aca="false">PROPER(TRIM(AP318))</f>
        <v>Ludhiana</v>
      </c>
      <c r="J318" s="0" t="str">
        <f aca="false">PROPER(TRIM(AQ318))</f>
        <v>Office Supplies</v>
      </c>
      <c r="K318" s="0" t="str">
        <f aca="false">PROPER(TRIM(AR318))</f>
        <v>Labels</v>
      </c>
      <c r="M318" s="0" t="str">
        <f aca="false">IF(TRIM(AS318)="","Unknown",PROPER(TRIM(AS318)))</f>
        <v>Standard Class</v>
      </c>
      <c r="N318" s="0" t="n">
        <v>2</v>
      </c>
      <c r="O318" s="0" t="n">
        <v>1947.53</v>
      </c>
      <c r="P318" s="5" t="n">
        <f aca="false">IF(AT318="","",IF(ISNUMBER(AT318),AT318,VALUE(SUBSTITUTE(AT318,"%",""))/100))</f>
        <v>0.2</v>
      </c>
      <c r="Q318" s="5" t="n">
        <f aca="false">IF(P318="",IF(AND(N318&lt;&gt;"",O318&lt;&gt;"",R318&lt;&gt;"",S318&lt;&gt;""),0,"REVIEW"),IF(OR(P318&lt;0,P318&gt;0.3),0,P318))</f>
        <v>0.2</v>
      </c>
      <c r="R318" s="0" t="n">
        <v>3116.05</v>
      </c>
      <c r="S318" s="0" t="n">
        <v>1956.63</v>
      </c>
      <c r="T318" s="6" t="n">
        <f aca="false">N318*O318*(1-Q318)</f>
        <v>3116.048</v>
      </c>
      <c r="U318" s="6" t="n">
        <f aca="false">T318-S318</f>
        <v>1159.418</v>
      </c>
      <c r="V318" s="7" t="n">
        <f aca="false">IF(T318=0,0,U318/T318)</f>
        <v>0.372079634203324</v>
      </c>
      <c r="W318" s="4" t="n">
        <f aca="false">C318-B318</f>
        <v>2</v>
      </c>
      <c r="X318" s="0" t="str">
        <f aca="false">TEXT(B318,"mmmm")</f>
        <v>February</v>
      </c>
      <c r="Y318" s="4" t="n">
        <f aca="false">YEAR(B318)</f>
        <v>2024</v>
      </c>
      <c r="Z318" s="0" t="str">
        <f aca="false">PROPER(TRIM(AU318))</f>
        <v>Paid</v>
      </c>
      <c r="AA318" s="0" t="str">
        <f aca="false">PROPER(TRIM(AV318))</f>
        <v>Cancelled</v>
      </c>
      <c r="AB318" s="0" t="str">
        <f aca="false">IF(TRIM(AN318)="","Yes","No")</f>
        <v>No</v>
      </c>
      <c r="AC318" s="0" t="str">
        <f aca="false">IF(TRIM(AS318)="","Yes","No")</f>
        <v>No</v>
      </c>
      <c r="AD318" s="0" t="str">
        <f aca="false">IF(AT318="","Yes","No")</f>
        <v>No</v>
      </c>
      <c r="AE318" s="0" t="str">
        <f aca="false">IF(W318&lt;0,"Yes","No")</f>
        <v>No</v>
      </c>
      <c r="AF318" s="0" t="str">
        <f aca="false">IF(P318="","No",IF(OR(P318&lt;0,P318&gt;0.3),"Yes","No"))</f>
        <v>No</v>
      </c>
      <c r="AG318" s="4" t="s">
        <v>50</v>
      </c>
      <c r="AH318" s="0" t="str">
        <f aca="false">IF(AND(AA318="Completed",Z318="Paid"),"Yes","No")</f>
        <v>No</v>
      </c>
      <c r="AI318" s="0" t="str">
        <f aca="false">IF(OR(AE318="Yes",AF318="Yes",AG318="Yes"),"Invalid",IF(OR(AB318="Yes",AC318="Yes",AD318="Yes"),"Warning","Clean"))</f>
        <v>Clean</v>
      </c>
      <c r="AJ318" s="4" t="s">
        <v>1343</v>
      </c>
      <c r="AK318" s="4" t="s">
        <v>1344</v>
      </c>
      <c r="AL318" s="4" t="s">
        <v>53</v>
      </c>
      <c r="AM318" s="4" t="s">
        <v>128</v>
      </c>
      <c r="AN318" s="4" t="s">
        <v>168</v>
      </c>
      <c r="AO318" s="4" t="s">
        <v>169</v>
      </c>
      <c r="AP318" s="4" t="s">
        <v>170</v>
      </c>
      <c r="AQ318" s="4" t="s">
        <v>58</v>
      </c>
      <c r="AR318" s="4" t="s">
        <v>129</v>
      </c>
      <c r="AS318" s="4" t="s">
        <v>91</v>
      </c>
      <c r="AT318" s="0" t="n">
        <v>0.2</v>
      </c>
      <c r="AU318" s="4" t="s">
        <v>61</v>
      </c>
      <c r="AV318" s="4" t="s">
        <v>101</v>
      </c>
    </row>
    <row r="319" customFormat="false" ht="15" hidden="false" customHeight="false" outlineLevel="0" collapsed="false">
      <c r="A319" s="0" t="s">
        <v>1345</v>
      </c>
      <c r="B319" s="3" t="n">
        <f aca="false">IF(AJ319="","",IF(ISNUMBER(SEARCH("/",AJ319)),DATE(VALUE(RIGHT(AJ319,4)),VALUE(LEFT(AJ319,2)),VALUE(MID(AJ319,4,2))),IF(ISNUMBER(SEARCH("-",AJ319)),IF(LEN(LEFT(AJ319,FIND("-",AJ319)-1))=4,DATE(VALUE(LEFT(AJ319,4)),VALUE(MID(AJ319,6,2)),VALUE(RIGHT(AJ319,2))),DATE(VALUE(RIGHT(AJ319,4)),VALUE(MID(AJ319,4,2)),VALUE(LEFT(AJ319,2)))),DATE(VALUE(RIGHT(AJ319,4)),MATCH(MID(AJ319,4,3),{"Jan","Feb","Mar","Apr","May","Jun","Jul","Aug","Sep","Oct","Nov","Dec"},0),VALUE(LEFT(AJ319,2))))))</f>
        <v>45898</v>
      </c>
      <c r="C319" s="3" t="n">
        <f aca="false">IF(AK319="","",IF(ISNUMBER(SEARCH("/",AK319)),DATE(VALUE(RIGHT(AK319,4)),VALUE(LEFT(AK319,2)),VALUE(MID(AK319,4,2))),IF(ISNUMBER(SEARCH("-",AK319)),IF(LEN(LEFT(AK319,FIND("-",AK319)-1))=4,DATE(VALUE(LEFT(AK319,4)),VALUE(MID(AK319,6,2)),VALUE(RIGHT(AK319,2))),DATE(VALUE(RIGHT(AK319,4)),VALUE(MID(AK319,4,2)),VALUE(LEFT(AK319,2)))),DATE(VALUE(RIGHT(AK319,4)),MATCH(MID(AK319,4,3),{"Jan","Feb","Mar","Apr","May","Jun","Jul","Aug","Sep","Oct","Nov","Dec"},0),VALUE(LEFT(AK319,2))))))</f>
        <v>45904</v>
      </c>
      <c r="D319" s="4" t="s">
        <v>1346</v>
      </c>
      <c r="E319" s="0" t="str">
        <f aca="false">PROPER(TRIM(AL319))</f>
        <v>Neha Gupta</v>
      </c>
      <c r="F319" s="0" t="str">
        <f aca="false">PROPER(TRIM(AM319))</f>
        <v>Corporate</v>
      </c>
      <c r="G319" s="0" t="str">
        <f aca="false">IF(TRIM(AN319)="","Unknown",PROPER(TRIM(AN319)))</f>
        <v>South</v>
      </c>
      <c r="H319" s="0" t="str">
        <f aca="false">PROPER(TRIM(AO319))</f>
        <v>Kerala</v>
      </c>
      <c r="I319" s="0" t="str">
        <f aca="false">PROPER(TRIM(AP319))</f>
        <v>Kochi</v>
      </c>
      <c r="J319" s="0" t="str">
        <f aca="false">PROPER(TRIM(AQ319))</f>
        <v>Furniture</v>
      </c>
      <c r="K319" s="0" t="str">
        <f aca="false">PROPER(TRIM(AR319))</f>
        <v>Tables</v>
      </c>
      <c r="M319" s="0" t="str">
        <f aca="false">IF(TRIM(AS319)="","Unknown",PROPER(TRIM(AS319)))</f>
        <v>First Class</v>
      </c>
      <c r="N319" s="0" t="n">
        <v>9</v>
      </c>
      <c r="O319" s="0" t="n">
        <v>2996.97</v>
      </c>
      <c r="P319" s="5" t="n">
        <f aca="false">IF(AT319="","",IF(ISNUMBER(AT319),AT319,VALUE(SUBSTITUTE(AT319,"%",""))/100))</f>
        <v>0.15</v>
      </c>
      <c r="Q319" s="5" t="n">
        <f aca="false">IF(P319="",IF(AND(N319&lt;&gt;"",O319&lt;&gt;"",R319&lt;&gt;"",S319&lt;&gt;""),0,"REVIEW"),IF(OR(P319&lt;0,P319&gt;0.3),0,P319))</f>
        <v>0.15</v>
      </c>
      <c r="R319" s="0" t="n">
        <v>22926.82</v>
      </c>
      <c r="S319" s="0" t="n">
        <v>14621.59</v>
      </c>
      <c r="T319" s="6" t="n">
        <f aca="false">N319*O319*(1-Q319)</f>
        <v>22926.8205</v>
      </c>
      <c r="U319" s="6" t="n">
        <f aca="false">T319-S319</f>
        <v>8305.2305</v>
      </c>
      <c r="V319" s="7" t="n">
        <f aca="false">IF(T319=0,0,U319/T319)</f>
        <v>0.362249553966718</v>
      </c>
      <c r="W319" s="4" t="n">
        <f aca="false">C319-B319</f>
        <v>6</v>
      </c>
      <c r="X319" s="0" t="str">
        <f aca="false">TEXT(B319,"mmmm")</f>
        <v>August</v>
      </c>
      <c r="Y319" s="4" t="n">
        <f aca="false">YEAR(B319)</f>
        <v>2025</v>
      </c>
      <c r="Z319" s="0" t="str">
        <f aca="false">PROPER(TRIM(AU319))</f>
        <v>Paid</v>
      </c>
      <c r="AA319" s="0" t="str">
        <f aca="false">PROPER(TRIM(AV319))</f>
        <v>Completed</v>
      </c>
      <c r="AB319" s="0" t="str">
        <f aca="false">IF(TRIM(AN319)="","Yes","No")</f>
        <v>No</v>
      </c>
      <c r="AC319" s="0" t="str">
        <f aca="false">IF(TRIM(AS319)="","Yes","No")</f>
        <v>No</v>
      </c>
      <c r="AD319" s="0" t="str">
        <f aca="false">IF(AT319="","Yes","No")</f>
        <v>No</v>
      </c>
      <c r="AE319" s="0" t="str">
        <f aca="false">IF(W319&lt;0,"Yes","No")</f>
        <v>No</v>
      </c>
      <c r="AF319" s="0" t="str">
        <f aca="false">IF(P319="","No",IF(OR(P319&lt;0,P319&gt;0.3),"Yes","No"))</f>
        <v>No</v>
      </c>
      <c r="AG319" s="4" t="s">
        <v>50</v>
      </c>
      <c r="AH319" s="0" t="str">
        <f aca="false">IF(AND(AA319="Completed",Z319="Paid"),"Yes","No")</f>
        <v>Yes</v>
      </c>
      <c r="AI319" s="0" t="str">
        <f aca="false">IF(OR(AE319="Yes",AF319="Yes",AG319="Yes"),"Invalid",IF(OR(AB319="Yes",AC319="Yes",AD319="Yes"),"Warning","Clean"))</f>
        <v>Clean</v>
      </c>
      <c r="AJ319" s="4" t="s">
        <v>1347</v>
      </c>
      <c r="AK319" s="4" t="s">
        <v>1348</v>
      </c>
      <c r="AL319" s="4" t="s">
        <v>115</v>
      </c>
      <c r="AM319" s="4" t="s">
        <v>128</v>
      </c>
      <c r="AN319" s="4" t="s">
        <v>87</v>
      </c>
      <c r="AO319" s="4" t="s">
        <v>244</v>
      </c>
      <c r="AP319" s="4" t="s">
        <v>245</v>
      </c>
      <c r="AQ319" s="4" t="s">
        <v>72</v>
      </c>
      <c r="AR319" s="4" t="s">
        <v>73</v>
      </c>
      <c r="AS319" s="4" t="s">
        <v>81</v>
      </c>
      <c r="AT319" s="0" t="n">
        <v>0.15</v>
      </c>
      <c r="AU319" s="4" t="s">
        <v>61</v>
      </c>
      <c r="AV319" s="4" t="s">
        <v>62</v>
      </c>
    </row>
    <row r="320" customFormat="false" ht="15" hidden="false" customHeight="false" outlineLevel="0" collapsed="false">
      <c r="A320" s="0" t="s">
        <v>1349</v>
      </c>
      <c r="B320" s="3" t="n">
        <f aca="false">IF(AJ320="","",IF(ISNUMBER(SEARCH("/",AJ320)),DATE(VALUE(RIGHT(AJ320,4)),VALUE(LEFT(AJ320,2)),VALUE(MID(AJ320,4,2))),IF(ISNUMBER(SEARCH("-",AJ320)),IF(LEN(LEFT(AJ320,FIND("-",AJ320)-1))=4,DATE(VALUE(LEFT(AJ320,4)),VALUE(MID(AJ320,6,2)),VALUE(RIGHT(AJ320,2))),DATE(VALUE(RIGHT(AJ320,4)),VALUE(MID(AJ320,4,2)),VALUE(LEFT(AJ320,2)))),DATE(VALUE(RIGHT(AJ320,4)),MATCH(MID(AJ320,4,3),{"Jan","Feb","Mar","Apr","May","Jun","Jul","Aug","Sep","Oct","Nov","Dec"},0),VALUE(LEFT(AJ320,2))))))</f>
        <v>45407</v>
      </c>
      <c r="C320" s="3" t="n">
        <f aca="false">IF(AK320="","",IF(ISNUMBER(SEARCH("/",AK320)),DATE(VALUE(RIGHT(AK320,4)),VALUE(LEFT(AK320,2)),VALUE(MID(AK320,4,2))),IF(ISNUMBER(SEARCH("-",AK320)),IF(LEN(LEFT(AK320,FIND("-",AK320)-1))=4,DATE(VALUE(LEFT(AK320,4)),VALUE(MID(AK320,6,2)),VALUE(RIGHT(AK320,2))),DATE(VALUE(RIGHT(AK320,4)),VALUE(MID(AK320,4,2)),VALUE(LEFT(AK320,2)))),DATE(VALUE(RIGHT(AK320,4)),MATCH(MID(AK320,4,3),{"Jan","Feb","Mar","Apr","May","Jun","Jul","Aug","Sep","Oct","Nov","Dec"},0),VALUE(LEFT(AK320,2))))))</f>
        <v>45412</v>
      </c>
      <c r="D320" s="4" t="s">
        <v>1350</v>
      </c>
      <c r="E320" s="0" t="str">
        <f aca="false">PROPER(TRIM(AL320))</f>
        <v>Mira Das</v>
      </c>
      <c r="F320" s="0" t="str">
        <f aca="false">PROPER(TRIM(AM320))</f>
        <v>Small Business</v>
      </c>
      <c r="G320" s="0" t="str">
        <f aca="false">IF(TRIM(AN320)="","Unknown",PROPER(TRIM(AN320)))</f>
        <v>South</v>
      </c>
      <c r="H320" s="0" t="str">
        <f aca="false">PROPER(TRIM(AO320))</f>
        <v>Karnataka</v>
      </c>
      <c r="I320" s="0" t="str">
        <f aca="false">PROPER(TRIM(AP320))</f>
        <v>Bengaluru</v>
      </c>
      <c r="J320" s="0" t="str">
        <f aca="false">PROPER(TRIM(AQ320))</f>
        <v>Technology</v>
      </c>
      <c r="K320" s="0" t="str">
        <f aca="false">PROPER(TRIM(AR320))</f>
        <v>Phones</v>
      </c>
      <c r="M320" s="0" t="str">
        <f aca="false">IF(TRIM(AS320)="","Unknown",PROPER(TRIM(AS320)))</f>
        <v>Standard Class</v>
      </c>
      <c r="N320" s="0" t="n">
        <v>3</v>
      </c>
      <c r="O320" s="0" t="n">
        <v>4149.46</v>
      </c>
      <c r="P320" s="5" t="n">
        <f aca="false">IF(AT320="","",IF(ISNUMBER(AT320),AT320,VALUE(SUBSTITUTE(AT320,"%",""))/100))</f>
        <v>0.1</v>
      </c>
      <c r="Q320" s="5" t="n">
        <f aca="false">IF(P320="",IF(AND(N320&lt;&gt;"",O320&lt;&gt;"",R320&lt;&gt;"",S320&lt;&gt;""),0,"REVIEW"),IF(OR(P320&lt;0,P320&gt;0.3),0,P320))</f>
        <v>0.1</v>
      </c>
      <c r="R320" s="0" t="n">
        <v>11203.54</v>
      </c>
      <c r="S320" s="0" t="n">
        <v>8452.93</v>
      </c>
      <c r="T320" s="6" t="n">
        <f aca="false">N320*O320*(1-Q320)</f>
        <v>11203.542</v>
      </c>
      <c r="U320" s="6" t="n">
        <f aca="false">T320-S320</f>
        <v>2750.612</v>
      </c>
      <c r="V320" s="7" t="n">
        <f aca="false">IF(T320=0,0,U320/T320)</f>
        <v>0.245512713747135</v>
      </c>
      <c r="W320" s="4" t="n">
        <f aca="false">C320-B320</f>
        <v>5</v>
      </c>
      <c r="X320" s="0" t="str">
        <f aca="false">TEXT(B320,"mmmm")</f>
        <v>April</v>
      </c>
      <c r="Y320" s="4" t="n">
        <f aca="false">YEAR(B320)</f>
        <v>2024</v>
      </c>
      <c r="Z320" s="0" t="str">
        <f aca="false">PROPER(TRIM(AU320))</f>
        <v>Paid</v>
      </c>
      <c r="AA320" s="0" t="str">
        <f aca="false">PROPER(TRIM(AV320))</f>
        <v>Completed</v>
      </c>
      <c r="AB320" s="0" t="str">
        <f aca="false">IF(TRIM(AN320)="","Yes","No")</f>
        <v>No</v>
      </c>
      <c r="AC320" s="0" t="str">
        <f aca="false">IF(TRIM(AS320)="","Yes","No")</f>
        <v>No</v>
      </c>
      <c r="AD320" s="0" t="str">
        <f aca="false">IF(AT320="","Yes","No")</f>
        <v>No</v>
      </c>
      <c r="AE320" s="0" t="str">
        <f aca="false">IF(W320&lt;0,"Yes","No")</f>
        <v>No</v>
      </c>
      <c r="AF320" s="0" t="str">
        <f aca="false">IF(P320="","No",IF(OR(P320&lt;0,P320&gt;0.3),"Yes","No"))</f>
        <v>No</v>
      </c>
      <c r="AG320" s="4" t="s">
        <v>50</v>
      </c>
      <c r="AH320" s="0" t="str">
        <f aca="false">IF(AND(AA320="Completed",Z320="Paid"),"Yes","No")</f>
        <v>Yes</v>
      </c>
      <c r="AI320" s="0" t="str">
        <f aca="false">IF(OR(AE320="Yes",AF320="Yes",AG320="Yes"),"Invalid",IF(OR(AB320="Yes",AC320="Yes",AD320="Yes"),"Warning","Clean"))</f>
        <v>Clean</v>
      </c>
      <c r="AJ320" s="4" t="s">
        <v>1351</v>
      </c>
      <c r="AK320" s="4" t="s">
        <v>1352</v>
      </c>
      <c r="AL320" s="4" t="s">
        <v>67</v>
      </c>
      <c r="AM320" s="4" t="s">
        <v>68</v>
      </c>
      <c r="AN320" s="4" t="s">
        <v>87</v>
      </c>
      <c r="AO320" s="4" t="s">
        <v>233</v>
      </c>
      <c r="AP320" s="4" t="s">
        <v>234</v>
      </c>
      <c r="AQ320" s="4" t="s">
        <v>109</v>
      </c>
      <c r="AR320" s="4" t="s">
        <v>227</v>
      </c>
      <c r="AS320" s="4" t="s">
        <v>91</v>
      </c>
      <c r="AT320" s="0" t="n">
        <v>0.1</v>
      </c>
      <c r="AU320" s="4" t="s">
        <v>61</v>
      </c>
      <c r="AV320" s="4" t="s">
        <v>62</v>
      </c>
    </row>
    <row r="321" customFormat="false" ht="15" hidden="false" customHeight="false" outlineLevel="0" collapsed="false">
      <c r="A321" s="0" t="s">
        <v>1353</v>
      </c>
      <c r="B321" s="3" t="n">
        <f aca="false">IF(AJ321="","",IF(ISNUMBER(SEARCH("/",AJ321)),DATE(VALUE(RIGHT(AJ321,4)),VALUE(LEFT(AJ321,2)),VALUE(MID(AJ321,4,2))),IF(ISNUMBER(SEARCH("-",AJ321)),IF(LEN(LEFT(AJ321,FIND("-",AJ321)-1))=4,DATE(VALUE(LEFT(AJ321,4)),VALUE(MID(AJ321,6,2)),VALUE(RIGHT(AJ321,2))),DATE(VALUE(RIGHT(AJ321,4)),VALUE(MID(AJ321,4,2)),VALUE(LEFT(AJ321,2)))),DATE(VALUE(RIGHT(AJ321,4)),MATCH(MID(AJ321,4,3),{"Jan","Feb","Mar","Apr","May","Jun","Jul","Aug","Sep","Oct","Nov","Dec"},0),VALUE(LEFT(AJ321,2))))))</f>
        <v>45525</v>
      </c>
      <c r="C321" s="3" t="n">
        <f aca="false">IF(AK321="","",IF(ISNUMBER(SEARCH("/",AK321)),DATE(VALUE(RIGHT(AK321,4)),VALUE(LEFT(AK321,2)),VALUE(MID(AK321,4,2))),IF(ISNUMBER(SEARCH("-",AK321)),IF(LEN(LEFT(AK321,FIND("-",AK321)-1))=4,DATE(VALUE(LEFT(AK321,4)),VALUE(MID(AK321,6,2)),VALUE(RIGHT(AK321,2))),DATE(VALUE(RIGHT(AK321,4)),VALUE(MID(AK321,4,2)),VALUE(LEFT(AK321,2)))),DATE(VALUE(RIGHT(AK321,4)),MATCH(MID(AK321,4,3),{"Jan","Feb","Mar","Apr","May","Jun","Jul","Aug","Sep","Oct","Nov","Dec"},0),VALUE(LEFT(AK321,2))))))</f>
        <v>45529</v>
      </c>
      <c r="D321" s="4" t="s">
        <v>1354</v>
      </c>
      <c r="E321" s="0" t="str">
        <f aca="false">PROPER(TRIM(AL321))</f>
        <v>Diya Patel</v>
      </c>
      <c r="F321" s="0" t="str">
        <f aca="false">PROPER(TRIM(AM321))</f>
        <v>Consumer</v>
      </c>
      <c r="G321" s="0" t="str">
        <f aca="false">IF(TRIM(AN321)="","Unknown",PROPER(TRIM(AN321)))</f>
        <v>West</v>
      </c>
      <c r="H321" s="0" t="str">
        <f aca="false">PROPER(TRIM(AO321))</f>
        <v>Gujarat</v>
      </c>
      <c r="I321" s="0" t="str">
        <f aca="false">PROPER(TRIM(AP321))</f>
        <v>Ahmedabad</v>
      </c>
      <c r="J321" s="0" t="str">
        <f aca="false">PROPER(TRIM(AQ321))</f>
        <v>Office Supplies</v>
      </c>
      <c r="K321" s="0" t="str">
        <f aca="false">PROPER(TRIM(AR321))</f>
        <v>Binders</v>
      </c>
      <c r="M321" s="0" t="str">
        <f aca="false">IF(TRIM(AS321)="","Unknown",PROPER(TRIM(AS321)))</f>
        <v>First Class</v>
      </c>
      <c r="N321" s="0" t="n">
        <v>1</v>
      </c>
      <c r="O321" s="0" t="n">
        <v>270.28</v>
      </c>
      <c r="P321" s="5" t="n">
        <f aca="false">IF(AT321="","",IF(ISNUMBER(AT321),AT321,VALUE(SUBSTITUTE(AT321,"%",""))/100))</f>
        <v>0</v>
      </c>
      <c r="Q321" s="5" t="n">
        <f aca="false">IF(P321="",IF(AND(N321&lt;&gt;"",O321&lt;&gt;"",R321&lt;&gt;"",S321&lt;&gt;""),0,"REVIEW"),IF(OR(P321&lt;0,P321&gt;0.3),0,P321))</f>
        <v>0</v>
      </c>
      <c r="R321" s="0" t="n">
        <v>270.28</v>
      </c>
      <c r="S321" s="0" t="n">
        <v>156.34</v>
      </c>
      <c r="T321" s="6" t="n">
        <f aca="false">N321*O321*(1-Q321)</f>
        <v>270.28</v>
      </c>
      <c r="U321" s="6" t="n">
        <f aca="false">T321-S321</f>
        <v>113.94</v>
      </c>
      <c r="V321" s="7" t="n">
        <f aca="false">IF(T321=0,0,U321/T321)</f>
        <v>0.421562823738345</v>
      </c>
      <c r="W321" s="4" t="n">
        <f aca="false">C321-B321</f>
        <v>4</v>
      </c>
      <c r="X321" s="0" t="str">
        <f aca="false">TEXT(B321,"mmmm")</f>
        <v>August</v>
      </c>
      <c r="Y321" s="4" t="n">
        <f aca="false">YEAR(B321)</f>
        <v>2024</v>
      </c>
      <c r="Z321" s="0" t="str">
        <f aca="false">PROPER(TRIM(AU321))</f>
        <v>Paid</v>
      </c>
      <c r="AA321" s="0" t="str">
        <f aca="false">PROPER(TRIM(AV321))</f>
        <v>Completed</v>
      </c>
      <c r="AB321" s="0" t="str">
        <f aca="false">IF(TRIM(AN321)="","Yes","No")</f>
        <v>No</v>
      </c>
      <c r="AC321" s="0" t="str">
        <f aca="false">IF(TRIM(AS321)="","Yes","No")</f>
        <v>No</v>
      </c>
      <c r="AD321" s="0" t="str">
        <f aca="false">IF(AT321="","Yes","No")</f>
        <v>No</v>
      </c>
      <c r="AE321" s="0" t="str">
        <f aca="false">IF(W321&lt;0,"Yes","No")</f>
        <v>No</v>
      </c>
      <c r="AF321" s="0" t="str">
        <f aca="false">IF(P321="","No",IF(OR(P321&lt;0,P321&gt;0.3),"Yes","No"))</f>
        <v>No</v>
      </c>
      <c r="AG321" s="4" t="s">
        <v>50</v>
      </c>
      <c r="AH321" s="0" t="str">
        <f aca="false">IF(AND(AA321="Completed",Z321="Paid"),"Yes","No")</f>
        <v>Yes</v>
      </c>
      <c r="AI321" s="0" t="str">
        <f aca="false">IF(OR(AE321="Yes",AF321="Yes",AG321="Yes"),"Invalid",IF(OR(AB321="Yes",AC321="Yes",AD321="Yes"),"Warning","Clean"))</f>
        <v>Clean</v>
      </c>
      <c r="AJ321" s="4" t="s">
        <v>1355</v>
      </c>
      <c r="AK321" s="4" t="s">
        <v>1356</v>
      </c>
      <c r="AL321" s="4" t="s">
        <v>216</v>
      </c>
      <c r="AM321" s="4" t="s">
        <v>54</v>
      </c>
      <c r="AN321" s="4" t="s">
        <v>97</v>
      </c>
      <c r="AO321" s="4" t="s">
        <v>238</v>
      </c>
      <c r="AP321" s="4" t="s">
        <v>239</v>
      </c>
      <c r="AQ321" s="4" t="s">
        <v>58</v>
      </c>
      <c r="AR321" s="4" t="s">
        <v>206</v>
      </c>
      <c r="AS321" s="4" t="s">
        <v>81</v>
      </c>
      <c r="AT321" s="0" t="n">
        <v>0</v>
      </c>
      <c r="AU321" s="4" t="s">
        <v>61</v>
      </c>
      <c r="AV321" s="4" t="s">
        <v>62</v>
      </c>
    </row>
    <row r="322" customFormat="false" ht="15" hidden="false" customHeight="false" outlineLevel="0" collapsed="false">
      <c r="A322" s="0" t="s">
        <v>1357</v>
      </c>
      <c r="B322" s="3" t="n">
        <f aca="false">IF(AJ322="","",IF(ISNUMBER(SEARCH("/",AJ322)),DATE(VALUE(RIGHT(AJ322,4)),VALUE(LEFT(AJ322,2)),VALUE(MID(AJ322,4,2))),IF(ISNUMBER(SEARCH("-",AJ322)),IF(LEN(LEFT(AJ322,FIND("-",AJ322)-1))=4,DATE(VALUE(LEFT(AJ322,4)),VALUE(MID(AJ322,6,2)),VALUE(RIGHT(AJ322,2))),DATE(VALUE(RIGHT(AJ322,4)),VALUE(MID(AJ322,4,2)),VALUE(LEFT(AJ322,2)))),DATE(VALUE(RIGHT(AJ322,4)),MATCH(MID(AJ322,4,3),{"Jan","Feb","Mar","Apr","May","Jun","Jul","Aug","Sep","Oct","Nov","Dec"},0),VALUE(LEFT(AJ322,2))))))</f>
        <v>45630</v>
      </c>
      <c r="C322" s="3" t="n">
        <f aca="false">IF(AK322="","",IF(ISNUMBER(SEARCH("/",AK322)),DATE(VALUE(RIGHT(AK322,4)),VALUE(LEFT(AK322,2)),VALUE(MID(AK322,4,2))),IF(ISNUMBER(SEARCH("-",AK322)),IF(LEN(LEFT(AK322,FIND("-",AK322)-1))=4,DATE(VALUE(LEFT(AK322,4)),VALUE(MID(AK322,6,2)),VALUE(RIGHT(AK322,2))),DATE(VALUE(RIGHT(AK322,4)),VALUE(MID(AK322,4,2)),VALUE(LEFT(AK322,2)))),DATE(VALUE(RIGHT(AK322,4)),MATCH(MID(AK322,4,3),{"Jan","Feb","Mar","Apr","May","Jun","Jul","Aug","Sep","Oct","Nov","Dec"},0),VALUE(LEFT(AK322,2))))))</f>
        <v>45632</v>
      </c>
      <c r="D322" s="4" t="s">
        <v>1358</v>
      </c>
      <c r="E322" s="0" t="str">
        <f aca="false">PROPER(TRIM(AL322))</f>
        <v>Aarav Sharma</v>
      </c>
      <c r="F322" s="0" t="str">
        <f aca="false">PROPER(TRIM(AM322))</f>
        <v>Home Office</v>
      </c>
      <c r="G322" s="0" t="str">
        <f aca="false">IF(TRIM(AN322)="","Unknown",PROPER(TRIM(AN322)))</f>
        <v>East</v>
      </c>
      <c r="H322" s="0" t="str">
        <f aca="false">PROPER(TRIM(AO322))</f>
        <v>West Bengal</v>
      </c>
      <c r="I322" s="0" t="str">
        <f aca="false">PROPER(TRIM(AP322))</f>
        <v>Kolkata</v>
      </c>
      <c r="J322" s="0" t="str">
        <f aca="false">PROPER(TRIM(AQ322))</f>
        <v>Office Supplies</v>
      </c>
      <c r="K322" s="0" t="str">
        <f aca="false">PROPER(TRIM(AR322))</f>
        <v>Art</v>
      </c>
      <c r="M322" s="0" t="str">
        <f aca="false">IF(TRIM(AS322)="","Unknown",PROPER(TRIM(AS322)))</f>
        <v>Second Class</v>
      </c>
      <c r="N322" s="0" t="n">
        <v>3</v>
      </c>
      <c r="O322" s="0" t="n">
        <v>876.14</v>
      </c>
      <c r="P322" s="5" t="n">
        <f aca="false">IF(AT322="","",IF(ISNUMBER(AT322),AT322,VALUE(SUBSTITUTE(AT322,"%",""))/100))</f>
        <v>0.7</v>
      </c>
      <c r="Q322" s="5" t="n">
        <f aca="false">IF(P322="",IF(AND(N322&lt;&gt;"",O322&lt;&gt;"",R322&lt;&gt;"",S322&lt;&gt;""),0,"REVIEW"),IF(OR(P322&lt;0,P322&gt;0.3),0,P322))</f>
        <v>0</v>
      </c>
      <c r="R322" s="0" t="n">
        <v>2628.42</v>
      </c>
      <c r="S322" s="0" t="n">
        <v>1541.54</v>
      </c>
      <c r="T322" s="6" t="n">
        <f aca="false">N322*O322*(1-Q322)</f>
        <v>2628.42</v>
      </c>
      <c r="U322" s="6" t="n">
        <f aca="false">T322-S322</f>
        <v>1086.88</v>
      </c>
      <c r="V322" s="7" t="n">
        <f aca="false">IF(T322=0,0,U322/T322)</f>
        <v>0.413510778338317</v>
      </c>
      <c r="W322" s="4" t="n">
        <f aca="false">C322-B322</f>
        <v>2</v>
      </c>
      <c r="X322" s="0" t="str">
        <f aca="false">TEXT(B322,"mmmm")</f>
        <v>December</v>
      </c>
      <c r="Y322" s="4" t="n">
        <f aca="false">YEAR(B322)</f>
        <v>2024</v>
      </c>
      <c r="Z322" s="0" t="str">
        <f aca="false">PROPER(TRIM(AU322))</f>
        <v>Pending</v>
      </c>
      <c r="AA322" s="0" t="str">
        <f aca="false">PROPER(TRIM(AV322))</f>
        <v>Returned</v>
      </c>
      <c r="AB322" s="0" t="str">
        <f aca="false">IF(TRIM(AN322)="","Yes","No")</f>
        <v>No</v>
      </c>
      <c r="AC322" s="0" t="str">
        <f aca="false">IF(TRIM(AS322)="","Yes","No")</f>
        <v>No</v>
      </c>
      <c r="AD322" s="0" t="str">
        <f aca="false">IF(AT322="","Yes","No")</f>
        <v>No</v>
      </c>
      <c r="AE322" s="0" t="str">
        <f aca="false">IF(W322&lt;0,"Yes","No")</f>
        <v>No</v>
      </c>
      <c r="AF322" s="0" t="str">
        <f aca="false">IF(P322="","No",IF(OR(P322&lt;0,P322&gt;0.3),"Yes","No"))</f>
        <v>Yes</v>
      </c>
      <c r="AG322" s="4" t="s">
        <v>50</v>
      </c>
      <c r="AH322" s="0" t="str">
        <f aca="false">IF(AND(AA322="Completed",Z322="Paid"),"Yes","No")</f>
        <v>No</v>
      </c>
      <c r="AI322" s="0" t="str">
        <f aca="false">IF(OR(AE322="Yes",AF322="Yes",AG322="Yes"),"Invalid",IF(OR(AB322="Yes",AC322="Yes",AD322="Yes"),"Warning","Clean"))</f>
        <v>Invalid</v>
      </c>
      <c r="AJ322" s="4" t="s">
        <v>1359</v>
      </c>
      <c r="AK322" s="4" t="s">
        <v>1360</v>
      </c>
      <c r="AL322" s="4" t="s">
        <v>176</v>
      </c>
      <c r="AM322" s="4" t="s">
        <v>134</v>
      </c>
      <c r="AN322" s="4" t="s">
        <v>69</v>
      </c>
      <c r="AO322" s="4" t="s">
        <v>139</v>
      </c>
      <c r="AP322" s="4" t="s">
        <v>140</v>
      </c>
      <c r="AQ322" s="4" t="s">
        <v>58</v>
      </c>
      <c r="AR322" s="4" t="s">
        <v>80</v>
      </c>
      <c r="AS322" s="4" t="s">
        <v>60</v>
      </c>
      <c r="AT322" s="4" t="s">
        <v>602</v>
      </c>
      <c r="AU322" s="4" t="s">
        <v>153</v>
      </c>
      <c r="AV322" s="4" t="s">
        <v>142</v>
      </c>
    </row>
    <row r="323" customFormat="false" ht="15" hidden="false" customHeight="false" outlineLevel="0" collapsed="false">
      <c r="A323" s="0" t="s">
        <v>1361</v>
      </c>
      <c r="B323" s="3" t="n">
        <f aca="false">IF(AJ323="","",IF(ISNUMBER(SEARCH("/",AJ323)),DATE(VALUE(RIGHT(AJ323,4)),VALUE(LEFT(AJ323,2)),VALUE(MID(AJ323,4,2))),IF(ISNUMBER(SEARCH("-",AJ323)),IF(LEN(LEFT(AJ323,FIND("-",AJ323)-1))=4,DATE(VALUE(LEFT(AJ323,4)),VALUE(MID(AJ323,6,2)),VALUE(RIGHT(AJ323,2))),DATE(VALUE(RIGHT(AJ323,4)),VALUE(MID(AJ323,4,2)),VALUE(LEFT(AJ323,2)))),DATE(VALUE(RIGHT(AJ323,4)),MATCH(MID(AJ323,4,3),{"Jan","Feb","Mar","Apr","May","Jun","Jul","Aug","Sep","Oct","Nov","Dec"},0),VALUE(LEFT(AJ323,2))))))</f>
        <v>45466</v>
      </c>
      <c r="C323" s="3" t="n">
        <f aca="false">IF(AK323="","",IF(ISNUMBER(SEARCH("/",AK323)),DATE(VALUE(RIGHT(AK323,4)),VALUE(LEFT(AK323,2)),VALUE(MID(AK323,4,2))),IF(ISNUMBER(SEARCH("-",AK323)),IF(LEN(LEFT(AK323,FIND("-",AK323)-1))=4,DATE(VALUE(LEFT(AK323,4)),VALUE(MID(AK323,6,2)),VALUE(RIGHT(AK323,2))),DATE(VALUE(RIGHT(AK323,4)),VALUE(MID(AK323,4,2)),VALUE(LEFT(AK323,2)))),DATE(VALUE(RIGHT(AK323,4)),MATCH(MID(AK323,4,3),{"Jan","Feb","Mar","Apr","May","Jun","Jul","Aug","Sep","Oct","Nov","Dec"},0),VALUE(LEFT(AK323,2))))))</f>
        <v>45473</v>
      </c>
      <c r="D323" s="4" t="s">
        <v>1362</v>
      </c>
      <c r="E323" s="0" t="str">
        <f aca="false">PROPER(TRIM(AL323))</f>
        <v>Neha Gupta</v>
      </c>
      <c r="F323" s="0" t="str">
        <f aca="false">PROPER(TRIM(AM323))</f>
        <v>Small Business</v>
      </c>
      <c r="G323" s="0" t="str">
        <f aca="false">IF(TRIM(AN323)="","Unknown",PROPER(TRIM(AN323)))</f>
        <v>West</v>
      </c>
      <c r="H323" s="0" t="str">
        <f aca="false">PROPER(TRIM(AO323))</f>
        <v>Goa</v>
      </c>
      <c r="I323" s="0" t="str">
        <f aca="false">PROPER(TRIM(AP323))</f>
        <v>Panaji</v>
      </c>
      <c r="J323" s="0" t="str">
        <f aca="false">PROPER(TRIM(AQ323))</f>
        <v>Technology</v>
      </c>
      <c r="K323" s="0" t="str">
        <f aca="false">PROPER(TRIM(AR323))</f>
        <v>Accessories</v>
      </c>
      <c r="M323" s="0" t="str">
        <f aca="false">IF(TRIM(AS323)="","Unknown",PROPER(TRIM(AS323)))</f>
        <v>Same Day</v>
      </c>
      <c r="N323" s="0" t="n">
        <v>4</v>
      </c>
      <c r="O323" s="0" t="n">
        <v>674.82</v>
      </c>
      <c r="P323" s="5" t="n">
        <f aca="false">IF(AT323="","",IF(ISNUMBER(AT323),AT323,VALUE(SUBSTITUTE(AT323,"%",""))/100))</f>
        <v>0</v>
      </c>
      <c r="Q323" s="5" t="n">
        <f aca="false">IF(P323="",IF(AND(N323&lt;&gt;"",O323&lt;&gt;"",R323&lt;&gt;"",S323&lt;&gt;""),0,"REVIEW"),IF(OR(P323&lt;0,P323&gt;0.3),0,P323))</f>
        <v>0</v>
      </c>
      <c r="R323" s="0" t="n">
        <v>2699.28</v>
      </c>
      <c r="S323" s="0" t="n">
        <v>1759.76</v>
      </c>
      <c r="T323" s="6" t="n">
        <f aca="false">N323*O323*(1-Q323)</f>
        <v>2699.28</v>
      </c>
      <c r="U323" s="6" t="n">
        <f aca="false">T323-S323</f>
        <v>939.52</v>
      </c>
      <c r="V323" s="7" t="n">
        <f aca="false">IF(T323=0,0,U323/T323)</f>
        <v>0.348063187220296</v>
      </c>
      <c r="W323" s="4" t="n">
        <f aca="false">C323-B323</f>
        <v>7</v>
      </c>
      <c r="X323" s="0" t="str">
        <f aca="false">TEXT(B323,"mmmm")</f>
        <v>June</v>
      </c>
      <c r="Y323" s="4" t="n">
        <f aca="false">YEAR(B323)</f>
        <v>2024</v>
      </c>
      <c r="Z323" s="0" t="str">
        <f aca="false">PROPER(TRIM(AU323))</f>
        <v>Failed</v>
      </c>
      <c r="AA323" s="0" t="str">
        <f aca="false">PROPER(TRIM(AV323))</f>
        <v>Cancelled</v>
      </c>
      <c r="AB323" s="0" t="str">
        <f aca="false">IF(TRIM(AN323)="","Yes","No")</f>
        <v>No</v>
      </c>
      <c r="AC323" s="0" t="str">
        <f aca="false">IF(TRIM(AS323)="","Yes","No")</f>
        <v>No</v>
      </c>
      <c r="AD323" s="0" t="str">
        <f aca="false">IF(AT323="","Yes","No")</f>
        <v>No</v>
      </c>
      <c r="AE323" s="0" t="str">
        <f aca="false">IF(W323&lt;0,"Yes","No")</f>
        <v>No</v>
      </c>
      <c r="AF323" s="0" t="str">
        <f aca="false">IF(P323="","No",IF(OR(P323&lt;0,P323&gt;0.3),"Yes","No"))</f>
        <v>No</v>
      </c>
      <c r="AG323" s="4" t="s">
        <v>50</v>
      </c>
      <c r="AH323" s="0" t="str">
        <f aca="false">IF(AND(AA323="Completed",Z323="Paid"),"Yes","No")</f>
        <v>No</v>
      </c>
      <c r="AI323" s="0" t="str">
        <f aca="false">IF(OR(AE323="Yes",AF323="Yes",AG323="Yes"),"Invalid",IF(OR(AB323="Yes",AC323="Yes",AD323="Yes"),"Warning","Clean"))</f>
        <v>Clean</v>
      </c>
      <c r="AJ323" s="4" t="s">
        <v>1363</v>
      </c>
      <c r="AK323" s="4" t="s">
        <v>1364</v>
      </c>
      <c r="AL323" s="4" t="s">
        <v>115</v>
      </c>
      <c r="AM323" s="4" t="s">
        <v>68</v>
      </c>
      <c r="AN323" s="4" t="s">
        <v>97</v>
      </c>
      <c r="AO323" s="4" t="s">
        <v>250</v>
      </c>
      <c r="AP323" s="4" t="s">
        <v>251</v>
      </c>
      <c r="AQ323" s="4" t="s">
        <v>109</v>
      </c>
      <c r="AR323" s="4" t="s">
        <v>110</v>
      </c>
      <c r="AS323" s="4" t="s">
        <v>74</v>
      </c>
      <c r="AT323" s="0" t="n">
        <v>0</v>
      </c>
      <c r="AU323" s="4" t="s">
        <v>207</v>
      </c>
      <c r="AV323" s="4" t="s">
        <v>101</v>
      </c>
    </row>
    <row r="324" customFormat="false" ht="15" hidden="false" customHeight="false" outlineLevel="0" collapsed="false">
      <c r="A324" s="0" t="s">
        <v>1365</v>
      </c>
      <c r="B324" s="3" t="n">
        <f aca="false">IF(AJ324="","",IF(ISNUMBER(SEARCH("/",AJ324)),DATE(VALUE(RIGHT(AJ324,4)),VALUE(LEFT(AJ324,2)),VALUE(MID(AJ324,4,2))),IF(ISNUMBER(SEARCH("-",AJ324)),IF(LEN(LEFT(AJ324,FIND("-",AJ324)-1))=4,DATE(VALUE(LEFT(AJ324,4)),VALUE(MID(AJ324,6,2)),VALUE(RIGHT(AJ324,2))),DATE(VALUE(RIGHT(AJ324,4)),VALUE(MID(AJ324,4,2)),VALUE(LEFT(AJ324,2)))),DATE(VALUE(RIGHT(AJ324,4)),MATCH(MID(AJ324,4,3),{"Jan","Feb","Mar","Apr","May","Jun","Jul","Aug","Sep","Oct","Nov","Dec"},0),VALUE(LEFT(AJ324,2))))))</f>
        <v>45608</v>
      </c>
      <c r="C324" s="3" t="n">
        <f aca="false">IF(AK324="","",IF(ISNUMBER(SEARCH("/",AK324)),DATE(VALUE(RIGHT(AK324,4)),VALUE(LEFT(AK324,2)),VALUE(MID(AK324,4,2))),IF(ISNUMBER(SEARCH("-",AK324)),IF(LEN(LEFT(AK324,FIND("-",AK324)-1))=4,DATE(VALUE(LEFT(AK324,4)),VALUE(MID(AK324,6,2)),VALUE(RIGHT(AK324,2))),DATE(VALUE(RIGHT(AK324,4)),VALUE(MID(AK324,4,2)),VALUE(LEFT(AK324,2)))),DATE(VALUE(RIGHT(AK324,4)),MATCH(MID(AK324,4,3),{"Jan","Feb","Mar","Apr","May","Jun","Jul","Aug","Sep","Oct","Nov","Dec"},0),VALUE(LEFT(AK324,2))))))</f>
        <v>45608</v>
      </c>
      <c r="D324" s="4" t="s">
        <v>1366</v>
      </c>
      <c r="E324" s="0" t="str">
        <f aca="false">PROPER(TRIM(AL324))</f>
        <v>Isha Nair</v>
      </c>
      <c r="F324" s="0" t="str">
        <f aca="false">PROPER(TRIM(AM324))</f>
        <v>Consumer</v>
      </c>
      <c r="G324" s="0" t="str">
        <f aca="false">IF(TRIM(AN324)="","Unknown",PROPER(TRIM(AN324)))</f>
        <v>North</v>
      </c>
      <c r="H324" s="0" t="str">
        <f aca="false">PROPER(TRIM(AO324))</f>
        <v>Uttar Pradesh</v>
      </c>
      <c r="I324" s="0" t="str">
        <f aca="false">PROPER(TRIM(AP324))</f>
        <v>Noida</v>
      </c>
      <c r="J324" s="0" t="str">
        <f aca="false">PROPER(TRIM(AQ324))</f>
        <v>Technology</v>
      </c>
      <c r="K324" s="0" t="str">
        <f aca="false">PROPER(TRIM(AR324))</f>
        <v>Phones</v>
      </c>
      <c r="M324" s="0" t="str">
        <f aca="false">IF(TRIM(AS324)="","Unknown",PROPER(TRIM(AS324)))</f>
        <v>Second Class</v>
      </c>
      <c r="N324" s="0" t="n">
        <v>6</v>
      </c>
      <c r="O324" s="0" t="n">
        <v>1369.48</v>
      </c>
      <c r="P324" s="5" t="n">
        <f aca="false">IF(AT324="","",IF(ISNUMBER(AT324),AT324,VALUE(SUBSTITUTE(AT324,"%",""))/100))</f>
        <v>0.15</v>
      </c>
      <c r="Q324" s="5" t="n">
        <f aca="false">IF(P324="",IF(AND(N324&lt;&gt;"",O324&lt;&gt;"",R324&lt;&gt;"",S324&lt;&gt;""),0,"REVIEW"),IF(OR(P324&lt;0,P324&gt;0.3),0,P324))</f>
        <v>0.15</v>
      </c>
      <c r="R324" s="0" t="n">
        <v>6984.35</v>
      </c>
      <c r="S324" s="0" t="n">
        <v>4023.63</v>
      </c>
      <c r="T324" s="6" t="n">
        <f aca="false">N324*O324*(1-Q324)</f>
        <v>6984.348</v>
      </c>
      <c r="U324" s="6" t="n">
        <f aca="false">T324-S324</f>
        <v>2960.718</v>
      </c>
      <c r="V324" s="7" t="n">
        <f aca="false">IF(T324=0,0,U324/T324)</f>
        <v>0.423907571615847</v>
      </c>
      <c r="W324" s="4" t="n">
        <f aca="false">C324-B324</f>
        <v>0</v>
      </c>
      <c r="X324" s="0" t="str">
        <f aca="false">TEXT(B324,"mmmm")</f>
        <v>November</v>
      </c>
      <c r="Y324" s="4" t="n">
        <f aca="false">YEAR(B324)</f>
        <v>2024</v>
      </c>
      <c r="Z324" s="0" t="str">
        <f aca="false">PROPER(TRIM(AU324))</f>
        <v>Paid</v>
      </c>
      <c r="AA324" s="0" t="str">
        <f aca="false">PROPER(TRIM(AV324))</f>
        <v>Completed</v>
      </c>
      <c r="AB324" s="0" t="str">
        <f aca="false">IF(TRIM(AN324)="","Yes","No")</f>
        <v>No</v>
      </c>
      <c r="AC324" s="0" t="str">
        <f aca="false">IF(TRIM(AS324)="","Yes","No")</f>
        <v>No</v>
      </c>
      <c r="AD324" s="0" t="str">
        <f aca="false">IF(AT324="","Yes","No")</f>
        <v>No</v>
      </c>
      <c r="AE324" s="0" t="str">
        <f aca="false">IF(W324&lt;0,"Yes","No")</f>
        <v>No</v>
      </c>
      <c r="AF324" s="0" t="str">
        <f aca="false">IF(P324="","No",IF(OR(P324&lt;0,P324&gt;0.3),"Yes","No"))</f>
        <v>No</v>
      </c>
      <c r="AG324" s="4" t="s">
        <v>50</v>
      </c>
      <c r="AH324" s="0" t="str">
        <f aca="false">IF(AND(AA324="Completed",Z324="Paid"),"Yes","No")</f>
        <v>Yes</v>
      </c>
      <c r="AI324" s="0" t="str">
        <f aca="false">IF(OR(AE324="Yes",AF324="Yes",AG324="Yes"),"Invalid",IF(OR(AB324="Yes",AC324="Yes",AD324="Yes"),"Warning","Clean"))</f>
        <v>Clean</v>
      </c>
      <c r="AJ324" s="4" t="s">
        <v>1285</v>
      </c>
      <c r="AK324" s="4" t="s">
        <v>1367</v>
      </c>
      <c r="AL324" s="4" t="s">
        <v>79</v>
      </c>
      <c r="AM324" s="4" t="s">
        <v>54</v>
      </c>
      <c r="AN324" s="4" t="s">
        <v>168</v>
      </c>
      <c r="AO324" s="4" t="s">
        <v>186</v>
      </c>
      <c r="AP324" s="4" t="s">
        <v>187</v>
      </c>
      <c r="AQ324" s="4" t="s">
        <v>109</v>
      </c>
      <c r="AR324" s="4" t="s">
        <v>227</v>
      </c>
      <c r="AS324" s="4" t="s">
        <v>60</v>
      </c>
      <c r="AT324" s="0" t="n">
        <v>0.15</v>
      </c>
      <c r="AU324" s="4" t="s">
        <v>61</v>
      </c>
      <c r="AV324" s="4" t="s">
        <v>62</v>
      </c>
    </row>
    <row r="325" customFormat="false" ht="15" hidden="false" customHeight="false" outlineLevel="0" collapsed="false">
      <c r="A325" s="0" t="s">
        <v>1368</v>
      </c>
      <c r="B325" s="3" t="n">
        <f aca="false">IF(AJ325="","",IF(ISNUMBER(SEARCH("/",AJ325)),DATE(VALUE(RIGHT(AJ325,4)),VALUE(LEFT(AJ325,2)),VALUE(MID(AJ325,4,2))),IF(ISNUMBER(SEARCH("-",AJ325)),IF(LEN(LEFT(AJ325,FIND("-",AJ325)-1))=4,DATE(VALUE(LEFT(AJ325,4)),VALUE(MID(AJ325,6,2)),VALUE(RIGHT(AJ325,2))),DATE(VALUE(RIGHT(AJ325,4)),VALUE(MID(AJ325,4,2)),VALUE(LEFT(AJ325,2)))),DATE(VALUE(RIGHT(AJ325,4)),MATCH(MID(AJ325,4,3),{"Jan","Feb","Mar","Apr","May","Jun","Jul","Aug","Sep","Oct","Nov","Dec"},0),VALUE(LEFT(AJ325,2))))))</f>
        <v>45347</v>
      </c>
      <c r="C325" s="3" t="n">
        <f aca="false">IF(AK325="","",IF(ISNUMBER(SEARCH("/",AK325)),DATE(VALUE(RIGHT(AK325,4)),VALUE(LEFT(AK325,2)),VALUE(MID(AK325,4,2))),IF(ISNUMBER(SEARCH("-",AK325)),IF(LEN(LEFT(AK325,FIND("-",AK325)-1))=4,DATE(VALUE(LEFT(AK325,4)),VALUE(MID(AK325,6,2)),VALUE(RIGHT(AK325,2))),DATE(VALUE(RIGHT(AK325,4)),VALUE(MID(AK325,4,2)),VALUE(LEFT(AK325,2)))),DATE(VALUE(RIGHT(AK325,4)),MATCH(MID(AK325,4,3),{"Jan","Feb","Mar","Apr","May","Jun","Jul","Aug","Sep","Oct","Nov","Dec"},0),VALUE(LEFT(AK325,2))))))</f>
        <v>45351</v>
      </c>
      <c r="D325" s="4" t="s">
        <v>1369</v>
      </c>
      <c r="E325" s="0" t="str">
        <f aca="false">PROPER(TRIM(AL325))</f>
        <v>Isha Nair</v>
      </c>
      <c r="F325" s="0" t="str">
        <f aca="false">PROPER(TRIM(AM325))</f>
        <v>Small Business</v>
      </c>
      <c r="G325" s="0" t="str">
        <f aca="false">IF(TRIM(AN325)="","Unknown",PROPER(TRIM(AN325)))</f>
        <v>West</v>
      </c>
      <c r="H325" s="0" t="str">
        <f aca="false">PROPER(TRIM(AO325))</f>
        <v>Goa</v>
      </c>
      <c r="I325" s="0" t="str">
        <f aca="false">PROPER(TRIM(AP325))</f>
        <v>Panaji</v>
      </c>
      <c r="J325" s="0" t="str">
        <f aca="false">PROPER(TRIM(AQ325))</f>
        <v>Furniture</v>
      </c>
      <c r="K325" s="0" t="str">
        <f aca="false">PROPER(TRIM(AR325))</f>
        <v>Furnishings</v>
      </c>
      <c r="M325" s="0" t="str">
        <f aca="false">IF(TRIM(AS325)="","Unknown",PROPER(TRIM(AS325)))</f>
        <v>Standard Class</v>
      </c>
      <c r="N325" s="0" t="n">
        <v>9</v>
      </c>
      <c r="O325" s="0" t="n">
        <v>1331.46</v>
      </c>
      <c r="P325" s="5" t="n">
        <f aca="false">IF(AT325="","",IF(ISNUMBER(AT325),AT325,VALUE(SUBSTITUTE(AT325,"%",""))/100))</f>
        <v>0.15</v>
      </c>
      <c r="Q325" s="5" t="n">
        <f aca="false">IF(P325="",IF(AND(N325&lt;&gt;"",O325&lt;&gt;"",R325&lt;&gt;"",S325&lt;&gt;""),0,"REVIEW"),IF(OR(P325&lt;0,P325&gt;0.3),0,P325))</f>
        <v>0.15</v>
      </c>
      <c r="R325" s="0" t="n">
        <v>10185.67</v>
      </c>
      <c r="S325" s="0" t="n">
        <v>6479.31</v>
      </c>
      <c r="T325" s="6" t="n">
        <f aca="false">N325*O325*(1-Q325)</f>
        <v>10185.669</v>
      </c>
      <c r="U325" s="6" t="n">
        <f aca="false">T325-S325</f>
        <v>3706.359</v>
      </c>
      <c r="V325" s="7" t="n">
        <f aca="false">IF(T325=0,0,U325/T325)</f>
        <v>0.363879780503372</v>
      </c>
      <c r="W325" s="4" t="n">
        <f aca="false">C325-B325</f>
        <v>4</v>
      </c>
      <c r="X325" s="0" t="str">
        <f aca="false">TEXT(B325,"mmmm")</f>
        <v>February</v>
      </c>
      <c r="Y325" s="4" t="n">
        <f aca="false">YEAR(B325)</f>
        <v>2024</v>
      </c>
      <c r="Z325" s="0" t="str">
        <f aca="false">PROPER(TRIM(AU325))</f>
        <v>Paid</v>
      </c>
      <c r="AA325" s="0" t="str">
        <f aca="false">PROPER(TRIM(AV325))</f>
        <v>Completed</v>
      </c>
      <c r="AB325" s="0" t="str">
        <f aca="false">IF(TRIM(AN325)="","Yes","No")</f>
        <v>No</v>
      </c>
      <c r="AC325" s="0" t="str">
        <f aca="false">IF(TRIM(AS325)="","Yes","No")</f>
        <v>No</v>
      </c>
      <c r="AD325" s="0" t="str">
        <f aca="false">IF(AT325="","Yes","No")</f>
        <v>No</v>
      </c>
      <c r="AE325" s="0" t="str">
        <f aca="false">IF(W325&lt;0,"Yes","No")</f>
        <v>No</v>
      </c>
      <c r="AF325" s="0" t="str">
        <f aca="false">IF(P325="","No",IF(OR(P325&lt;0,P325&gt;0.3),"Yes","No"))</f>
        <v>No</v>
      </c>
      <c r="AG325" s="4" t="s">
        <v>50</v>
      </c>
      <c r="AH325" s="0" t="str">
        <f aca="false">IF(AND(AA325="Completed",Z325="Paid"),"Yes","No")</f>
        <v>Yes</v>
      </c>
      <c r="AI325" s="0" t="str">
        <f aca="false">IF(OR(AE325="Yes",AF325="Yes",AG325="Yes"),"Invalid",IF(OR(AB325="Yes",AC325="Yes",AD325="Yes"),"Warning","Clean"))</f>
        <v>Clean</v>
      </c>
      <c r="AJ325" s="4" t="s">
        <v>1370</v>
      </c>
      <c r="AK325" s="4" t="s">
        <v>1371</v>
      </c>
      <c r="AL325" s="4" t="s">
        <v>79</v>
      </c>
      <c r="AM325" s="4" t="s">
        <v>68</v>
      </c>
      <c r="AN325" s="4" t="s">
        <v>97</v>
      </c>
      <c r="AO325" s="4" t="s">
        <v>250</v>
      </c>
      <c r="AP325" s="4" t="s">
        <v>251</v>
      </c>
      <c r="AQ325" s="4" t="s">
        <v>72</v>
      </c>
      <c r="AR325" s="4" t="s">
        <v>90</v>
      </c>
      <c r="AS325" s="4" t="s">
        <v>91</v>
      </c>
      <c r="AT325" s="0" t="n">
        <v>0.15</v>
      </c>
      <c r="AU325" s="4" t="s">
        <v>61</v>
      </c>
      <c r="AV325" s="4" t="s">
        <v>62</v>
      </c>
    </row>
    <row r="326" customFormat="false" ht="15" hidden="false" customHeight="false" outlineLevel="0" collapsed="false">
      <c r="A326" s="0" t="s">
        <v>1372</v>
      </c>
      <c r="B326" s="3" t="n">
        <f aca="false">IF(AJ326="","",IF(ISNUMBER(SEARCH("/",AJ326)),DATE(VALUE(RIGHT(AJ326,4)),VALUE(LEFT(AJ326,2)),VALUE(MID(AJ326,4,2))),IF(ISNUMBER(SEARCH("-",AJ326)),IF(LEN(LEFT(AJ326,FIND("-",AJ326)-1))=4,DATE(VALUE(LEFT(AJ326,4)),VALUE(MID(AJ326,6,2)),VALUE(RIGHT(AJ326,2))),DATE(VALUE(RIGHT(AJ326,4)),VALUE(MID(AJ326,4,2)),VALUE(LEFT(AJ326,2)))),DATE(VALUE(RIGHT(AJ326,4)),MATCH(MID(AJ326,4,3),{"Jan","Feb","Mar","Apr","May","Jun","Jul","Aug","Sep","Oct","Nov","Dec"},0),VALUE(LEFT(AJ326,2))))))</f>
        <v>45869</v>
      </c>
      <c r="C326" s="3" t="n">
        <f aca="false">IF(AK326="","",IF(ISNUMBER(SEARCH("/",AK326)),DATE(VALUE(RIGHT(AK326,4)),VALUE(LEFT(AK326,2)),VALUE(MID(AK326,4,2))),IF(ISNUMBER(SEARCH("-",AK326)),IF(LEN(LEFT(AK326,FIND("-",AK326)-1))=4,DATE(VALUE(LEFT(AK326,4)),VALUE(MID(AK326,6,2)),VALUE(RIGHT(AK326,2))),DATE(VALUE(RIGHT(AK326,4)),VALUE(MID(AK326,4,2)),VALUE(LEFT(AK326,2)))),DATE(VALUE(RIGHT(AK326,4)),MATCH(MID(AK326,4,3),{"Jan","Feb","Mar","Apr","May","Jun","Jul","Aug","Sep","Oct","Nov","Dec"},0),VALUE(LEFT(AK326,2))))))</f>
        <v>45871</v>
      </c>
      <c r="D326" s="4" t="s">
        <v>1373</v>
      </c>
      <c r="E326" s="0" t="str">
        <f aca="false">PROPER(TRIM(AL326))</f>
        <v>Rohan Mehta</v>
      </c>
      <c r="F326" s="0" t="str">
        <f aca="false">PROPER(TRIM(AM326))</f>
        <v>Home Office</v>
      </c>
      <c r="G326" s="0" t="str">
        <f aca="false">IF(TRIM(AN326)="","Unknown",PROPER(TRIM(AN326)))</f>
        <v>South</v>
      </c>
      <c r="H326" s="0" t="str">
        <f aca="false">PROPER(TRIM(AO326))</f>
        <v>Andhra Pradesh</v>
      </c>
      <c r="I326" s="0" t="str">
        <f aca="false">PROPER(TRIM(AP326))</f>
        <v>Vijayawada</v>
      </c>
      <c r="J326" s="0" t="str">
        <f aca="false">PROPER(TRIM(AQ326))</f>
        <v>Office Supplies</v>
      </c>
      <c r="K326" s="0" t="str">
        <f aca="false">PROPER(TRIM(AR326))</f>
        <v>Labels</v>
      </c>
      <c r="M326" s="0" t="str">
        <f aca="false">IF(TRIM(AS326)="","Unknown",PROPER(TRIM(AS326)))</f>
        <v>Same Day</v>
      </c>
      <c r="N326" s="0" t="n">
        <v>1</v>
      </c>
      <c r="O326" s="0" t="n">
        <v>1947.88</v>
      </c>
      <c r="P326" s="5" t="n">
        <f aca="false">IF(AT326="","",IF(ISNUMBER(AT326),AT326,VALUE(SUBSTITUTE(AT326,"%",""))/100))</f>
        <v>0.15</v>
      </c>
      <c r="Q326" s="5" t="n">
        <f aca="false">IF(P326="",IF(AND(N326&lt;&gt;"",O326&lt;&gt;"",R326&lt;&gt;"",S326&lt;&gt;""),0,"REVIEW"),IF(OR(P326&lt;0,P326&gt;0.3),0,P326))</f>
        <v>0.15</v>
      </c>
      <c r="R326" s="0" t="n">
        <v>1655.7</v>
      </c>
      <c r="S326" s="0" t="n">
        <v>1354.8</v>
      </c>
      <c r="T326" s="6" t="n">
        <f aca="false">N326*O326*(1-Q326)</f>
        <v>1655.698</v>
      </c>
      <c r="U326" s="6" t="n">
        <f aca="false">T326-S326</f>
        <v>300.898</v>
      </c>
      <c r="V326" s="7" t="n">
        <f aca="false">IF(T326=0,0,U326/T326)</f>
        <v>0.181734833284814</v>
      </c>
      <c r="W326" s="4" t="n">
        <f aca="false">C326-B326</f>
        <v>2</v>
      </c>
      <c r="X326" s="0" t="str">
        <f aca="false">TEXT(B326,"mmmm")</f>
        <v>July</v>
      </c>
      <c r="Y326" s="4" t="n">
        <f aca="false">YEAR(B326)</f>
        <v>2025</v>
      </c>
      <c r="Z326" s="0" t="str">
        <f aca="false">PROPER(TRIM(AU326))</f>
        <v>Paid</v>
      </c>
      <c r="AA326" s="0" t="str">
        <f aca="false">PROPER(TRIM(AV326))</f>
        <v>Returned</v>
      </c>
      <c r="AB326" s="0" t="str">
        <f aca="false">IF(TRIM(AN326)="","Yes","No")</f>
        <v>No</v>
      </c>
      <c r="AC326" s="0" t="str">
        <f aca="false">IF(TRIM(AS326)="","Yes","No")</f>
        <v>No</v>
      </c>
      <c r="AD326" s="0" t="str">
        <f aca="false">IF(AT326="","Yes","No")</f>
        <v>No</v>
      </c>
      <c r="AE326" s="0" t="str">
        <f aca="false">IF(W326&lt;0,"Yes","No")</f>
        <v>No</v>
      </c>
      <c r="AF326" s="0" t="str">
        <f aca="false">IF(P326="","No",IF(OR(P326&lt;0,P326&gt;0.3),"Yes","No"))</f>
        <v>No</v>
      </c>
      <c r="AG326" s="4" t="s">
        <v>50</v>
      </c>
      <c r="AH326" s="0" t="str">
        <f aca="false">IF(AND(AA326="Completed",Z326="Paid"),"Yes","No")</f>
        <v>No</v>
      </c>
      <c r="AI326" s="0" t="str">
        <f aca="false">IF(OR(AE326="Yes",AF326="Yes",AG326="Yes"),"Invalid",IF(OR(AB326="Yes",AC326="Yes",AD326="Yes"),"Warning","Clean"))</f>
        <v>Clean</v>
      </c>
      <c r="AJ326" s="4" t="s">
        <v>1374</v>
      </c>
      <c r="AK326" s="4" t="s">
        <v>814</v>
      </c>
      <c r="AL326" s="4" t="s">
        <v>191</v>
      </c>
      <c r="AM326" s="4" t="s">
        <v>134</v>
      </c>
      <c r="AN326" s="4" t="s">
        <v>87</v>
      </c>
      <c r="AO326" s="4" t="s">
        <v>121</v>
      </c>
      <c r="AP326" s="4" t="s">
        <v>122</v>
      </c>
      <c r="AQ326" s="4" t="s">
        <v>58</v>
      </c>
      <c r="AR326" s="4" t="s">
        <v>129</v>
      </c>
      <c r="AS326" s="4" t="s">
        <v>74</v>
      </c>
      <c r="AT326" s="0" t="n">
        <v>0.15</v>
      </c>
      <c r="AU326" s="4" t="s">
        <v>61</v>
      </c>
      <c r="AV326" s="4" t="s">
        <v>142</v>
      </c>
    </row>
    <row r="327" customFormat="false" ht="15" hidden="false" customHeight="false" outlineLevel="0" collapsed="false">
      <c r="A327" s="0" t="s">
        <v>1375</v>
      </c>
      <c r="B327" s="3" t="n">
        <f aca="false">IF(AJ327="","",IF(ISNUMBER(SEARCH("/",AJ327)),DATE(VALUE(RIGHT(AJ327,4)),VALUE(LEFT(AJ327,2)),VALUE(MID(AJ327,4,2))),IF(ISNUMBER(SEARCH("-",AJ327)),IF(LEN(LEFT(AJ327,FIND("-",AJ327)-1))=4,DATE(VALUE(LEFT(AJ327,4)),VALUE(MID(AJ327,6,2)),VALUE(RIGHT(AJ327,2))),DATE(VALUE(RIGHT(AJ327,4)),VALUE(MID(AJ327,4,2)),VALUE(LEFT(AJ327,2)))),DATE(VALUE(RIGHT(AJ327,4)),MATCH(MID(AJ327,4,3),{"Jan","Feb","Mar","Apr","May","Jun","Jul","Aug","Sep","Oct","Nov","Dec"},0),VALUE(LEFT(AJ327,2))))))</f>
        <v>45916</v>
      </c>
      <c r="C327" s="3" t="n">
        <f aca="false">IF(AK327="","",IF(ISNUMBER(SEARCH("/",AK327)),DATE(VALUE(RIGHT(AK327,4)),VALUE(LEFT(AK327,2)),VALUE(MID(AK327,4,2))),IF(ISNUMBER(SEARCH("-",AK327)),IF(LEN(LEFT(AK327,FIND("-",AK327)-1))=4,DATE(VALUE(LEFT(AK327,4)),VALUE(MID(AK327,6,2)),VALUE(RIGHT(AK327,2))),DATE(VALUE(RIGHT(AK327,4)),VALUE(MID(AK327,4,2)),VALUE(LEFT(AK327,2)))),DATE(VALUE(RIGHT(AK327,4)),MATCH(MID(AK327,4,3),{"Jan","Feb","Mar","Apr","May","Jun","Jul","Aug","Sep","Oct","Nov","Dec"},0),VALUE(LEFT(AK327,2))))))</f>
        <v>45922</v>
      </c>
      <c r="D327" s="4" t="s">
        <v>1376</v>
      </c>
      <c r="E327" s="0" t="str">
        <f aca="false">PROPER(TRIM(AL327))</f>
        <v>Sneha Kapoor</v>
      </c>
      <c r="F327" s="0" t="str">
        <f aca="false">PROPER(TRIM(AM327))</f>
        <v>Home Office</v>
      </c>
      <c r="G327" s="0" t="str">
        <f aca="false">IF(TRIM(AN327)="","Unknown",PROPER(TRIM(AN327)))</f>
        <v>East</v>
      </c>
      <c r="H327" s="0" t="str">
        <f aca="false">PROPER(TRIM(AO327))</f>
        <v>West Bengal</v>
      </c>
      <c r="I327" s="0" t="str">
        <f aca="false">PROPER(TRIM(AP327))</f>
        <v>Kolkata</v>
      </c>
      <c r="J327" s="0" t="str">
        <f aca="false">PROPER(TRIM(AQ327))</f>
        <v>Technology</v>
      </c>
      <c r="K327" s="0" t="str">
        <f aca="false">PROPER(TRIM(AR327))</f>
        <v>Copiers</v>
      </c>
      <c r="M327" s="0" t="str">
        <f aca="false">IF(TRIM(AS327)="","Unknown",PROPER(TRIM(AS327)))</f>
        <v>Second Class</v>
      </c>
      <c r="N327" s="0" t="n">
        <v>5</v>
      </c>
      <c r="O327" s="0" t="n">
        <v>3671.2</v>
      </c>
      <c r="P327" s="5" t="n">
        <f aca="false">IF(AT327="","",IF(ISNUMBER(AT327),AT327,VALUE(SUBSTITUTE(AT327,"%",""))/100))</f>
        <v>0.15</v>
      </c>
      <c r="Q327" s="5" t="n">
        <f aca="false">IF(P327="",IF(AND(N327&lt;&gt;"",O327&lt;&gt;"",R327&lt;&gt;"",S327&lt;&gt;""),0,"REVIEW"),IF(OR(P327&lt;0,P327&gt;0.3),0,P327))</f>
        <v>0.15</v>
      </c>
      <c r="R327" s="0" t="n">
        <v>15602.6</v>
      </c>
      <c r="S327" s="0" t="n">
        <v>11908.52</v>
      </c>
      <c r="T327" s="6" t="n">
        <f aca="false">N327*O327*(1-Q327)</f>
        <v>15602.6</v>
      </c>
      <c r="U327" s="6" t="n">
        <f aca="false">T327-S327</f>
        <v>3694.08</v>
      </c>
      <c r="V327" s="7" t="n">
        <f aca="false">IF(T327=0,0,U327/T327)</f>
        <v>0.236760539910015</v>
      </c>
      <c r="W327" s="4" t="n">
        <f aca="false">C327-B327</f>
        <v>6</v>
      </c>
      <c r="X327" s="0" t="str">
        <f aca="false">TEXT(B327,"mmmm")</f>
        <v>September</v>
      </c>
      <c r="Y327" s="4" t="n">
        <f aca="false">YEAR(B327)</f>
        <v>2025</v>
      </c>
      <c r="Z327" s="0" t="str">
        <f aca="false">PROPER(TRIM(AU327))</f>
        <v>Paid</v>
      </c>
      <c r="AA327" s="0" t="str">
        <f aca="false">PROPER(TRIM(AV327))</f>
        <v>Completed</v>
      </c>
      <c r="AB327" s="0" t="str">
        <f aca="false">IF(TRIM(AN327)="","Yes","No")</f>
        <v>No</v>
      </c>
      <c r="AC327" s="0" t="str">
        <f aca="false">IF(TRIM(AS327)="","Yes","No")</f>
        <v>No</v>
      </c>
      <c r="AD327" s="0" t="str">
        <f aca="false">IF(AT327="","Yes","No")</f>
        <v>No</v>
      </c>
      <c r="AE327" s="0" t="str">
        <f aca="false">IF(W327&lt;0,"Yes","No")</f>
        <v>No</v>
      </c>
      <c r="AF327" s="0" t="str">
        <f aca="false">IF(P327="","No",IF(OR(P327&lt;0,P327&gt;0.3),"Yes","No"))</f>
        <v>No</v>
      </c>
      <c r="AG327" s="4" t="s">
        <v>50</v>
      </c>
      <c r="AH327" s="0" t="str">
        <f aca="false">IF(AND(AA327="Completed",Z327="Paid"),"Yes","No")</f>
        <v>Yes</v>
      </c>
      <c r="AI327" s="0" t="str">
        <f aca="false">IF(OR(AE327="Yes",AF327="Yes",AG327="Yes"),"Invalid",IF(OR(AB327="Yes",AC327="Yes",AD327="Yes"),"Warning","Clean"))</f>
        <v>Clean</v>
      </c>
      <c r="AJ327" s="4" t="s">
        <v>1377</v>
      </c>
      <c r="AK327" s="4" t="s">
        <v>1378</v>
      </c>
      <c r="AL327" s="4" t="s">
        <v>181</v>
      </c>
      <c r="AM327" s="4" t="s">
        <v>134</v>
      </c>
      <c r="AN327" s="4" t="s">
        <v>69</v>
      </c>
      <c r="AO327" s="4" t="s">
        <v>139</v>
      </c>
      <c r="AP327" s="4" t="s">
        <v>140</v>
      </c>
      <c r="AQ327" s="4" t="s">
        <v>109</v>
      </c>
      <c r="AR327" s="4" t="s">
        <v>116</v>
      </c>
      <c r="AS327" s="4" t="s">
        <v>60</v>
      </c>
      <c r="AT327" s="0" t="n">
        <v>0.15</v>
      </c>
      <c r="AU327" s="4" t="s">
        <v>61</v>
      </c>
      <c r="AV327" s="4" t="s">
        <v>62</v>
      </c>
    </row>
    <row r="328" customFormat="false" ht="15" hidden="false" customHeight="false" outlineLevel="0" collapsed="false">
      <c r="A328" s="0" t="s">
        <v>1379</v>
      </c>
      <c r="B328" s="3" t="n">
        <f aca="false">IF(AJ328="","",IF(ISNUMBER(SEARCH("/",AJ328)),DATE(VALUE(RIGHT(AJ328,4)),VALUE(LEFT(AJ328,2)),VALUE(MID(AJ328,4,2))),IF(ISNUMBER(SEARCH("-",AJ328)),IF(LEN(LEFT(AJ328,FIND("-",AJ328)-1))=4,DATE(VALUE(LEFT(AJ328,4)),VALUE(MID(AJ328,6,2)),VALUE(RIGHT(AJ328,2))),DATE(VALUE(RIGHT(AJ328,4)),VALUE(MID(AJ328,4,2)),VALUE(LEFT(AJ328,2)))),DATE(VALUE(RIGHT(AJ328,4)),MATCH(MID(AJ328,4,3),{"Jan","Feb","Mar","Apr","May","Jun","Jul","Aug","Sep","Oct","Nov","Dec"},0),VALUE(LEFT(AJ328,2))))))</f>
        <v>45860</v>
      </c>
      <c r="C328" s="3" t="n">
        <f aca="false">IF(AK328="","",IF(ISNUMBER(SEARCH("/",AK328)),DATE(VALUE(RIGHT(AK328,4)),VALUE(LEFT(AK328,2)),VALUE(MID(AK328,4,2))),IF(ISNUMBER(SEARCH("-",AK328)),IF(LEN(LEFT(AK328,FIND("-",AK328)-1))=4,DATE(VALUE(LEFT(AK328,4)),VALUE(MID(AK328,6,2)),VALUE(RIGHT(AK328,2))),DATE(VALUE(RIGHT(AK328,4)),VALUE(MID(AK328,4,2)),VALUE(LEFT(AK328,2)))),DATE(VALUE(RIGHT(AK328,4)),MATCH(MID(AK328,4,3),{"Jan","Feb","Mar","Apr","May","Jun","Jul","Aug","Sep","Oct","Nov","Dec"},0),VALUE(LEFT(AK328,2))))))</f>
        <v>45860</v>
      </c>
      <c r="D328" s="4" t="s">
        <v>1380</v>
      </c>
      <c r="E328" s="0" t="str">
        <f aca="false">PROPER(TRIM(AL328))</f>
        <v>Sneha Kapoor</v>
      </c>
      <c r="F328" s="0" t="str">
        <f aca="false">PROPER(TRIM(AM328))</f>
        <v>Corporate</v>
      </c>
      <c r="G328" s="0" t="str">
        <f aca="false">IF(TRIM(AN328)="","Unknown",PROPER(TRIM(AN328)))</f>
        <v>East</v>
      </c>
      <c r="H328" s="0" t="str">
        <f aca="false">PROPER(TRIM(AO328))</f>
        <v>Jharkhand</v>
      </c>
      <c r="I328" s="0" t="str">
        <f aca="false">PROPER(TRIM(AP328))</f>
        <v>Ranchi</v>
      </c>
      <c r="J328" s="0" t="str">
        <f aca="false">PROPER(TRIM(AQ328))</f>
        <v>Furniture</v>
      </c>
      <c r="K328" s="0" t="str">
        <f aca="false">PROPER(TRIM(AR328))</f>
        <v>Furnishings</v>
      </c>
      <c r="M328" s="0" t="str">
        <f aca="false">IF(TRIM(AS328)="","Unknown",PROPER(TRIM(AS328)))</f>
        <v>Same Day</v>
      </c>
      <c r="N328" s="0" t="n">
        <v>5</v>
      </c>
      <c r="O328" s="0" t="n">
        <v>3187.05</v>
      </c>
      <c r="P328" s="5" t="n">
        <f aca="false">IF(AT328="","",IF(ISNUMBER(AT328),AT328,VALUE(SUBSTITUTE(AT328,"%",""))/100))</f>
        <v>0.05</v>
      </c>
      <c r="Q328" s="5" t="n">
        <f aca="false">IF(P328="",IF(AND(N328&lt;&gt;"",O328&lt;&gt;"",R328&lt;&gt;"",S328&lt;&gt;""),0,"REVIEW"),IF(OR(P328&lt;0,P328&gt;0.3),0,P328))</f>
        <v>0.05</v>
      </c>
      <c r="R328" s="0" t="n">
        <v>15138.49</v>
      </c>
      <c r="S328" s="0" t="n">
        <v>11235.72</v>
      </c>
      <c r="T328" s="6" t="n">
        <f aca="false">N328*O328*(1-Q328)</f>
        <v>15138.4875</v>
      </c>
      <c r="U328" s="6" t="n">
        <f aca="false">T328-S328</f>
        <v>3902.7675</v>
      </c>
      <c r="V328" s="7" t="n">
        <f aca="false">IF(T328=0,0,U328/T328)</f>
        <v>0.25780432160082</v>
      </c>
      <c r="W328" s="4" t="n">
        <f aca="false">C328-B328</f>
        <v>0</v>
      </c>
      <c r="X328" s="0" t="str">
        <f aca="false">TEXT(B328,"mmmm")</f>
        <v>July</v>
      </c>
      <c r="Y328" s="4" t="n">
        <f aca="false">YEAR(B328)</f>
        <v>2025</v>
      </c>
      <c r="Z328" s="0" t="str">
        <f aca="false">PROPER(TRIM(AU328))</f>
        <v>Paid</v>
      </c>
      <c r="AA328" s="0" t="str">
        <f aca="false">PROPER(TRIM(AV328))</f>
        <v>Completed</v>
      </c>
      <c r="AB328" s="0" t="str">
        <f aca="false">IF(TRIM(AN328)="","Yes","No")</f>
        <v>No</v>
      </c>
      <c r="AC328" s="0" t="str">
        <f aca="false">IF(TRIM(AS328)="","Yes","No")</f>
        <v>No</v>
      </c>
      <c r="AD328" s="0" t="str">
        <f aca="false">IF(AT328="","Yes","No")</f>
        <v>No</v>
      </c>
      <c r="AE328" s="0" t="str">
        <f aca="false">IF(W328&lt;0,"Yes","No")</f>
        <v>No</v>
      </c>
      <c r="AF328" s="0" t="str">
        <f aca="false">IF(P328="","No",IF(OR(P328&lt;0,P328&gt;0.3),"Yes","No"))</f>
        <v>No</v>
      </c>
      <c r="AG328" s="4" t="s">
        <v>50</v>
      </c>
      <c r="AH328" s="0" t="str">
        <f aca="false">IF(AND(AA328="Completed",Z328="Paid"),"Yes","No")</f>
        <v>Yes</v>
      </c>
      <c r="AI328" s="0" t="str">
        <f aca="false">IF(OR(AE328="Yes",AF328="Yes",AG328="Yes"),"Invalid",IF(OR(AB328="Yes",AC328="Yes",AD328="Yes"),"Warning","Clean"))</f>
        <v>Clean</v>
      </c>
      <c r="AJ328" s="4" t="s">
        <v>1381</v>
      </c>
      <c r="AK328" s="4" t="s">
        <v>1266</v>
      </c>
      <c r="AL328" s="4" t="s">
        <v>181</v>
      </c>
      <c r="AM328" s="4" t="s">
        <v>128</v>
      </c>
      <c r="AN328" s="4" t="s">
        <v>69</v>
      </c>
      <c r="AO328" s="4" t="s">
        <v>300</v>
      </c>
      <c r="AP328" s="4" t="s">
        <v>301</v>
      </c>
      <c r="AQ328" s="4" t="s">
        <v>72</v>
      </c>
      <c r="AR328" s="4" t="s">
        <v>90</v>
      </c>
      <c r="AS328" s="4" t="s">
        <v>74</v>
      </c>
      <c r="AT328" s="0" t="n">
        <v>0.05</v>
      </c>
      <c r="AU328" s="4" t="s">
        <v>61</v>
      </c>
      <c r="AV328" s="4" t="s">
        <v>62</v>
      </c>
    </row>
    <row r="329" customFormat="false" ht="15" hidden="false" customHeight="false" outlineLevel="0" collapsed="false">
      <c r="A329" s="0" t="s">
        <v>1382</v>
      </c>
      <c r="B329" s="3" t="n">
        <f aca="false">IF(AJ329="","",IF(ISNUMBER(SEARCH("/",AJ329)),DATE(VALUE(RIGHT(AJ329,4)),VALUE(LEFT(AJ329,2)),VALUE(MID(AJ329,4,2))),IF(ISNUMBER(SEARCH("-",AJ329)),IF(LEN(LEFT(AJ329,FIND("-",AJ329)-1))=4,DATE(VALUE(LEFT(AJ329,4)),VALUE(MID(AJ329,6,2)),VALUE(RIGHT(AJ329,2))),DATE(VALUE(RIGHT(AJ329,4)),VALUE(MID(AJ329,4,2)),VALUE(LEFT(AJ329,2)))),DATE(VALUE(RIGHT(AJ329,4)),MATCH(MID(AJ329,4,3),{"Jan","Feb","Mar","Apr","May","Jun","Jul","Aug","Sep","Oct","Nov","Dec"},0),VALUE(LEFT(AJ329,2))))))</f>
        <v>45497</v>
      </c>
      <c r="C329" s="3" t="n">
        <f aca="false">IF(AK329="","",IF(ISNUMBER(SEARCH("/",AK329)),DATE(VALUE(RIGHT(AK329,4)),VALUE(LEFT(AK329,2)),VALUE(MID(AK329,4,2))),IF(ISNUMBER(SEARCH("-",AK329)),IF(LEN(LEFT(AK329,FIND("-",AK329)-1))=4,DATE(VALUE(LEFT(AK329,4)),VALUE(MID(AK329,6,2)),VALUE(RIGHT(AK329,2))),DATE(VALUE(RIGHT(AK329,4)),VALUE(MID(AK329,4,2)),VALUE(LEFT(AK329,2)))),DATE(VALUE(RIGHT(AK329,4)),MATCH(MID(AK329,4,3),{"Jan","Feb","Mar","Apr","May","Jun","Jul","Aug","Sep","Oct","Nov","Dec"},0),VALUE(LEFT(AK329,2))))))</f>
        <v>45500</v>
      </c>
      <c r="D329" s="4" t="s">
        <v>1383</v>
      </c>
      <c r="E329" s="0" t="str">
        <f aca="false">PROPER(TRIM(AL329))</f>
        <v>Isha Nair</v>
      </c>
      <c r="F329" s="0" t="str">
        <f aca="false">PROPER(TRIM(AM329))</f>
        <v>Consumer</v>
      </c>
      <c r="G329" s="0" t="str">
        <f aca="false">IF(TRIM(AN329)="","Unknown",PROPER(TRIM(AN329)))</f>
        <v>West</v>
      </c>
      <c r="H329" s="0" t="str">
        <f aca="false">PROPER(TRIM(AO329))</f>
        <v>Rajasthan</v>
      </c>
      <c r="I329" s="0" t="str">
        <f aca="false">PROPER(TRIM(AP329))</f>
        <v>Udaipur</v>
      </c>
      <c r="J329" s="0" t="str">
        <f aca="false">PROPER(TRIM(AQ329))</f>
        <v>Technology</v>
      </c>
      <c r="K329" s="0" t="str">
        <f aca="false">PROPER(TRIM(AR329))</f>
        <v>Accessories</v>
      </c>
      <c r="M329" s="0" t="str">
        <f aca="false">IF(TRIM(AS329)="","Unknown",PROPER(TRIM(AS329)))</f>
        <v>Second Class</v>
      </c>
      <c r="N329" s="0" t="n">
        <v>3</v>
      </c>
      <c r="O329" s="0" t="n">
        <v>1834.55</v>
      </c>
      <c r="P329" s="5" t="n">
        <f aca="false">IF(AT329="","",IF(ISNUMBER(AT329),AT329,VALUE(SUBSTITUTE(AT329,"%",""))/100))</f>
        <v>0.2</v>
      </c>
      <c r="Q329" s="5" t="n">
        <f aca="false">IF(P329="",IF(AND(N329&lt;&gt;"",O329&lt;&gt;"",R329&lt;&gt;"",S329&lt;&gt;""),0,"REVIEW"),IF(OR(P329&lt;0,P329&gt;0.3),0,P329))</f>
        <v>0.2</v>
      </c>
      <c r="R329" s="0" t="n">
        <v>4402.92</v>
      </c>
      <c r="S329" s="0" t="n">
        <v>2993.94</v>
      </c>
      <c r="T329" s="6" t="n">
        <f aca="false">N329*O329*(1-Q329)</f>
        <v>4402.92</v>
      </c>
      <c r="U329" s="6" t="n">
        <f aca="false">T329-S329</f>
        <v>1408.98</v>
      </c>
      <c r="V329" s="7" t="n">
        <f aca="false">IF(T329=0,0,U329/T329)</f>
        <v>0.320010356763239</v>
      </c>
      <c r="W329" s="4" t="n">
        <f aca="false">C329-B329</f>
        <v>3</v>
      </c>
      <c r="X329" s="0" t="str">
        <f aca="false">TEXT(B329,"mmmm")</f>
        <v>July</v>
      </c>
      <c r="Y329" s="4" t="n">
        <f aca="false">YEAR(B329)</f>
        <v>2024</v>
      </c>
      <c r="Z329" s="0" t="str">
        <f aca="false">PROPER(TRIM(AU329))</f>
        <v>Pending</v>
      </c>
      <c r="AA329" s="0" t="str">
        <f aca="false">PROPER(TRIM(AV329))</f>
        <v>Cancelled</v>
      </c>
      <c r="AB329" s="0" t="str">
        <f aca="false">IF(TRIM(AN329)="","Yes","No")</f>
        <v>No</v>
      </c>
      <c r="AC329" s="0" t="str">
        <f aca="false">IF(TRIM(AS329)="","Yes","No")</f>
        <v>No</v>
      </c>
      <c r="AD329" s="0" t="str">
        <f aca="false">IF(AT329="","Yes","No")</f>
        <v>No</v>
      </c>
      <c r="AE329" s="0" t="str">
        <f aca="false">IF(W329&lt;0,"Yes","No")</f>
        <v>No</v>
      </c>
      <c r="AF329" s="0" t="str">
        <f aca="false">IF(P329="","No",IF(OR(P329&lt;0,P329&gt;0.3),"Yes","No"))</f>
        <v>No</v>
      </c>
      <c r="AG329" s="4" t="s">
        <v>50</v>
      </c>
      <c r="AH329" s="0" t="str">
        <f aca="false">IF(AND(AA329="Completed",Z329="Paid"),"Yes","No")</f>
        <v>No</v>
      </c>
      <c r="AI329" s="0" t="str">
        <f aca="false">IF(OR(AE329="Yes",AF329="Yes",AG329="Yes"),"Invalid",IF(OR(AB329="Yes",AC329="Yes",AD329="Yes"),"Warning","Clean"))</f>
        <v>Clean</v>
      </c>
      <c r="AJ329" s="4" t="s">
        <v>1384</v>
      </c>
      <c r="AK329" s="4" t="s">
        <v>263</v>
      </c>
      <c r="AL329" s="4" t="s">
        <v>79</v>
      </c>
      <c r="AM329" s="4" t="s">
        <v>54</v>
      </c>
      <c r="AN329" s="4" t="s">
        <v>97</v>
      </c>
      <c r="AO329" s="4" t="s">
        <v>56</v>
      </c>
      <c r="AP329" s="4" t="s">
        <v>152</v>
      </c>
      <c r="AQ329" s="4" t="s">
        <v>109</v>
      </c>
      <c r="AR329" s="4" t="s">
        <v>110</v>
      </c>
      <c r="AS329" s="4" t="s">
        <v>60</v>
      </c>
      <c r="AT329" s="0" t="n">
        <v>0.2</v>
      </c>
      <c r="AU329" s="4" t="s">
        <v>153</v>
      </c>
      <c r="AV329" s="4" t="s">
        <v>101</v>
      </c>
    </row>
    <row r="330" customFormat="false" ht="15" hidden="false" customHeight="false" outlineLevel="0" collapsed="false">
      <c r="A330" s="0" t="s">
        <v>1385</v>
      </c>
      <c r="B330" s="3" t="n">
        <f aca="false">IF(AJ330="","",IF(ISNUMBER(SEARCH("/",AJ330)),DATE(VALUE(RIGHT(AJ330,4)),VALUE(LEFT(AJ330,2)),VALUE(MID(AJ330,4,2))),IF(ISNUMBER(SEARCH("-",AJ330)),IF(LEN(LEFT(AJ330,FIND("-",AJ330)-1))=4,DATE(VALUE(LEFT(AJ330,4)),VALUE(MID(AJ330,6,2)),VALUE(RIGHT(AJ330,2))),DATE(VALUE(RIGHT(AJ330,4)),VALUE(MID(AJ330,4,2)),VALUE(LEFT(AJ330,2)))),DATE(VALUE(RIGHT(AJ330,4)),MATCH(MID(AJ330,4,3),{"Jan","Feb","Mar","Apr","May","Jun","Jul","Aug","Sep","Oct","Nov","Dec"},0),VALUE(LEFT(AJ330,2))))))</f>
        <v>45806</v>
      </c>
      <c r="C330" s="3" t="n">
        <f aca="false">IF(AK330="","",IF(ISNUMBER(SEARCH("/",AK330)),DATE(VALUE(RIGHT(AK330,4)),VALUE(LEFT(AK330,2)),VALUE(MID(AK330,4,2))),IF(ISNUMBER(SEARCH("-",AK330)),IF(LEN(LEFT(AK330,FIND("-",AK330)-1))=4,DATE(VALUE(LEFT(AK330,4)),VALUE(MID(AK330,6,2)),VALUE(RIGHT(AK330,2))),DATE(VALUE(RIGHT(AK330,4)),VALUE(MID(AK330,4,2)),VALUE(LEFT(AK330,2)))),DATE(VALUE(RIGHT(AK330,4)),MATCH(MID(AK330,4,3),{"Jan","Feb","Mar","Apr","May","Jun","Jul","Aug","Sep","Oct","Nov","Dec"},0),VALUE(LEFT(AK330,2))))))</f>
        <v>45812</v>
      </c>
      <c r="D330" s="4" t="s">
        <v>1386</v>
      </c>
      <c r="E330" s="0" t="str">
        <f aca="false">PROPER(TRIM(AL330))</f>
        <v>Diya Patel</v>
      </c>
      <c r="F330" s="0" t="str">
        <f aca="false">PROPER(TRIM(AM330))</f>
        <v>Consumer</v>
      </c>
      <c r="G330" s="0" t="str">
        <f aca="false">IF(TRIM(AN330)="","Unknown",PROPER(TRIM(AN330)))</f>
        <v>West</v>
      </c>
      <c r="H330" s="0" t="str">
        <f aca="false">PROPER(TRIM(AO330))</f>
        <v>Maharashtra</v>
      </c>
      <c r="I330" s="0" t="str">
        <f aca="false">PROPER(TRIM(AP330))</f>
        <v>Mumbai</v>
      </c>
      <c r="J330" s="0" t="str">
        <f aca="false">PROPER(TRIM(AQ330))</f>
        <v>Office Supplies</v>
      </c>
      <c r="K330" s="0" t="str">
        <f aca="false">PROPER(TRIM(AR330))</f>
        <v>Storage</v>
      </c>
      <c r="M330" s="0" t="str">
        <f aca="false">IF(TRIM(AS330)="","Unknown",PROPER(TRIM(AS330)))</f>
        <v>First Class</v>
      </c>
      <c r="N330" s="0" t="n">
        <v>6</v>
      </c>
      <c r="O330" s="0" t="n">
        <v>3100.68</v>
      </c>
      <c r="P330" s="5" t="n">
        <f aca="false">IF(AT330="","",IF(ISNUMBER(AT330),AT330,VALUE(SUBSTITUTE(AT330,"%",""))/100))</f>
        <v>0</v>
      </c>
      <c r="Q330" s="5" t="n">
        <f aca="false">IF(P330="",IF(AND(N330&lt;&gt;"",O330&lt;&gt;"",R330&lt;&gt;"",S330&lt;&gt;""),0,"REVIEW"),IF(OR(P330&lt;0,P330&gt;0.3),0,P330))</f>
        <v>0</v>
      </c>
      <c r="R330" s="0" t="n">
        <v>18604.08</v>
      </c>
      <c r="S330" s="0" t="n">
        <v>15834.3</v>
      </c>
      <c r="T330" s="6" t="n">
        <f aca="false">N330*O330*(1-Q330)</f>
        <v>18604.08</v>
      </c>
      <c r="U330" s="6" t="n">
        <f aca="false">T330-S330</f>
        <v>2769.78</v>
      </c>
      <c r="V330" s="7" t="n">
        <f aca="false">IF(T330=0,0,U330/T330)</f>
        <v>0.148880245623541</v>
      </c>
      <c r="W330" s="4" t="n">
        <f aca="false">C330-B330</f>
        <v>6</v>
      </c>
      <c r="X330" s="0" t="str">
        <f aca="false">TEXT(B330,"mmmm")</f>
        <v>May</v>
      </c>
      <c r="Y330" s="4" t="n">
        <f aca="false">YEAR(B330)</f>
        <v>2025</v>
      </c>
      <c r="Z330" s="0" t="str">
        <f aca="false">PROPER(TRIM(AU330))</f>
        <v>Paid</v>
      </c>
      <c r="AA330" s="0" t="str">
        <f aca="false">PROPER(TRIM(AV330))</f>
        <v>Completed</v>
      </c>
      <c r="AB330" s="0" t="str">
        <f aca="false">IF(TRIM(AN330)="","Yes","No")</f>
        <v>No</v>
      </c>
      <c r="AC330" s="0" t="str">
        <f aca="false">IF(TRIM(AS330)="","Yes","No")</f>
        <v>No</v>
      </c>
      <c r="AD330" s="0" t="str">
        <f aca="false">IF(AT330="","Yes","No")</f>
        <v>No</v>
      </c>
      <c r="AE330" s="0" t="str">
        <f aca="false">IF(W330&lt;0,"Yes","No")</f>
        <v>No</v>
      </c>
      <c r="AF330" s="0" t="str">
        <f aca="false">IF(P330="","No",IF(OR(P330&lt;0,P330&gt;0.3),"Yes","No"))</f>
        <v>No</v>
      </c>
      <c r="AG330" s="4" t="s">
        <v>50</v>
      </c>
      <c r="AH330" s="0" t="str">
        <f aca="false">IF(AND(AA330="Completed",Z330="Paid"),"Yes","No")</f>
        <v>Yes</v>
      </c>
      <c r="AI330" s="0" t="str">
        <f aca="false">IF(OR(AE330="Yes",AF330="Yes",AG330="Yes"),"Invalid",IF(OR(AB330="Yes",AC330="Yes",AD330="Yes"),"Warning","Clean"))</f>
        <v>Clean</v>
      </c>
      <c r="AJ330" s="4" t="s">
        <v>1387</v>
      </c>
      <c r="AK330" s="4" t="s">
        <v>1201</v>
      </c>
      <c r="AL330" s="4" t="s">
        <v>216</v>
      </c>
      <c r="AM330" s="4" t="s">
        <v>54</v>
      </c>
      <c r="AN330" s="4" t="s">
        <v>97</v>
      </c>
      <c r="AO330" s="4" t="s">
        <v>98</v>
      </c>
      <c r="AP330" s="4" t="s">
        <v>99</v>
      </c>
      <c r="AQ330" s="4" t="s">
        <v>58</v>
      </c>
      <c r="AR330" s="4" t="s">
        <v>171</v>
      </c>
      <c r="AS330" s="4" t="s">
        <v>81</v>
      </c>
      <c r="AT330" s="0" t="n">
        <v>0</v>
      </c>
      <c r="AU330" s="4" t="s">
        <v>61</v>
      </c>
      <c r="AV330" s="4" t="s">
        <v>62</v>
      </c>
    </row>
    <row r="331" customFormat="false" ht="15" hidden="false" customHeight="false" outlineLevel="0" collapsed="false">
      <c r="A331" s="0" t="s">
        <v>1388</v>
      </c>
      <c r="B331" s="3" t="n">
        <f aca="false">IF(AJ331="","",IF(ISNUMBER(SEARCH("/",AJ331)),DATE(VALUE(RIGHT(AJ331,4)),VALUE(LEFT(AJ331,2)),VALUE(MID(AJ331,4,2))),IF(ISNUMBER(SEARCH("-",AJ331)),IF(LEN(LEFT(AJ331,FIND("-",AJ331)-1))=4,DATE(VALUE(LEFT(AJ331,4)),VALUE(MID(AJ331,6,2)),VALUE(RIGHT(AJ331,2))),DATE(VALUE(RIGHT(AJ331,4)),VALUE(MID(AJ331,4,2)),VALUE(LEFT(AJ331,2)))),DATE(VALUE(RIGHT(AJ331,4)),MATCH(MID(AJ331,4,3),{"Jan","Feb","Mar","Apr","May","Jun","Jul","Aug","Sep","Oct","Nov","Dec"},0),VALUE(LEFT(AJ331,2))))))</f>
        <v>45789</v>
      </c>
      <c r="C331" s="3" t="n">
        <f aca="false">IF(AK331="","",IF(ISNUMBER(SEARCH("/",AK331)),DATE(VALUE(RIGHT(AK331,4)),VALUE(LEFT(AK331,2)),VALUE(MID(AK331,4,2))),IF(ISNUMBER(SEARCH("-",AK331)),IF(LEN(LEFT(AK331,FIND("-",AK331)-1))=4,DATE(VALUE(LEFT(AK331,4)),VALUE(MID(AK331,6,2)),VALUE(RIGHT(AK331,2))),DATE(VALUE(RIGHT(AK331,4)),VALUE(MID(AK331,4,2)),VALUE(LEFT(AK331,2)))),DATE(VALUE(RIGHT(AK331,4)),MATCH(MID(AK331,4,3),{"Jan","Feb","Mar","Apr","May","Jun","Jul","Aug","Sep","Oct","Nov","Dec"},0),VALUE(LEFT(AK331,2))))))</f>
        <v>45795</v>
      </c>
      <c r="D331" s="4" t="s">
        <v>1389</v>
      </c>
      <c r="E331" s="0" t="str">
        <f aca="false">PROPER(TRIM(AL331))</f>
        <v>Neha Gupta</v>
      </c>
      <c r="F331" s="0" t="str">
        <f aca="false">PROPER(TRIM(AM331))</f>
        <v>Small Business</v>
      </c>
      <c r="G331" s="0" t="str">
        <f aca="false">IF(TRIM(AN331)="","Unknown",PROPER(TRIM(AN331)))</f>
        <v>West</v>
      </c>
      <c r="H331" s="0" t="str">
        <f aca="false">PROPER(TRIM(AO331))</f>
        <v>Maharashtra</v>
      </c>
      <c r="I331" s="0" t="str">
        <f aca="false">PROPER(TRIM(AP331))</f>
        <v>Mumbai</v>
      </c>
      <c r="J331" s="0" t="str">
        <f aca="false">PROPER(TRIM(AQ331))</f>
        <v>Office Supplies</v>
      </c>
      <c r="K331" s="0" t="str">
        <f aca="false">PROPER(TRIM(AR331))</f>
        <v>Storage</v>
      </c>
      <c r="M331" s="0" t="str">
        <f aca="false">IF(TRIM(AS331)="","Unknown",PROPER(TRIM(AS331)))</f>
        <v>Standard Class</v>
      </c>
      <c r="N331" s="0" t="n">
        <v>4</v>
      </c>
      <c r="O331" s="0" t="n">
        <v>4053.03</v>
      </c>
      <c r="P331" s="5" t="n">
        <f aca="false">IF(AT331="","",IF(ISNUMBER(AT331),AT331,VALUE(SUBSTITUTE(AT331,"%",""))/100))</f>
        <v>0.05</v>
      </c>
      <c r="Q331" s="5" t="n">
        <f aca="false">IF(P331="",IF(AND(N331&lt;&gt;"",O331&lt;&gt;"",R331&lt;&gt;"",S331&lt;&gt;""),0,"REVIEW"),IF(OR(P331&lt;0,P331&gt;0.3),0,P331))</f>
        <v>0.05</v>
      </c>
      <c r="R331" s="0" t="n">
        <v>15401.51</v>
      </c>
      <c r="S331" s="0" t="n">
        <v>8650.42</v>
      </c>
      <c r="T331" s="6" t="n">
        <f aca="false">N331*O331*(1-Q331)</f>
        <v>15401.514</v>
      </c>
      <c r="U331" s="6" t="n">
        <f aca="false">T331-S331</f>
        <v>6751.094</v>
      </c>
      <c r="V331" s="7" t="n">
        <f aca="false">IF(T331=0,0,U331/T331)</f>
        <v>0.438339633363317</v>
      </c>
      <c r="W331" s="4" t="n">
        <f aca="false">C331-B331</f>
        <v>6</v>
      </c>
      <c r="X331" s="0" t="str">
        <f aca="false">TEXT(B331,"mmmm")</f>
        <v>May</v>
      </c>
      <c r="Y331" s="4" t="n">
        <f aca="false">YEAR(B331)</f>
        <v>2025</v>
      </c>
      <c r="Z331" s="0" t="str">
        <f aca="false">PROPER(TRIM(AU331))</f>
        <v>Paid</v>
      </c>
      <c r="AA331" s="0" t="str">
        <f aca="false">PROPER(TRIM(AV331))</f>
        <v>Completed</v>
      </c>
      <c r="AB331" s="0" t="str">
        <f aca="false">IF(TRIM(AN331)="","Yes","No")</f>
        <v>No</v>
      </c>
      <c r="AC331" s="0" t="str">
        <f aca="false">IF(TRIM(AS331)="","Yes","No")</f>
        <v>No</v>
      </c>
      <c r="AD331" s="0" t="str">
        <f aca="false">IF(AT331="","Yes","No")</f>
        <v>No</v>
      </c>
      <c r="AE331" s="0" t="str">
        <f aca="false">IF(W331&lt;0,"Yes","No")</f>
        <v>No</v>
      </c>
      <c r="AF331" s="0" t="str">
        <f aca="false">IF(P331="","No",IF(OR(P331&lt;0,P331&gt;0.3),"Yes","No"))</f>
        <v>No</v>
      </c>
      <c r="AG331" s="4" t="s">
        <v>50</v>
      </c>
      <c r="AH331" s="0" t="str">
        <f aca="false">IF(AND(AA331="Completed",Z331="Paid"),"Yes","No")</f>
        <v>Yes</v>
      </c>
      <c r="AI331" s="0" t="str">
        <f aca="false">IF(OR(AE331="Yes",AF331="Yes",AG331="Yes"),"Invalid",IF(OR(AB331="Yes",AC331="Yes",AD331="Yes"),"Warning","Clean"))</f>
        <v>Clean</v>
      </c>
      <c r="AJ331" s="4" t="s">
        <v>1390</v>
      </c>
      <c r="AK331" s="4" t="s">
        <v>1391</v>
      </c>
      <c r="AL331" s="4" t="s">
        <v>115</v>
      </c>
      <c r="AM331" s="4" t="s">
        <v>68</v>
      </c>
      <c r="AN331" s="4" t="s">
        <v>97</v>
      </c>
      <c r="AO331" s="4" t="s">
        <v>98</v>
      </c>
      <c r="AP331" s="4" t="s">
        <v>99</v>
      </c>
      <c r="AQ331" s="4" t="s">
        <v>58</v>
      </c>
      <c r="AR331" s="4" t="s">
        <v>171</v>
      </c>
      <c r="AS331" s="4" t="s">
        <v>91</v>
      </c>
      <c r="AT331" s="0" t="n">
        <v>0.05</v>
      </c>
      <c r="AU331" s="4" t="s">
        <v>61</v>
      </c>
      <c r="AV331" s="4" t="s">
        <v>62</v>
      </c>
    </row>
    <row r="332" customFormat="false" ht="15" hidden="false" customHeight="false" outlineLevel="0" collapsed="false">
      <c r="A332" s="0" t="s">
        <v>1392</v>
      </c>
      <c r="B332" s="3" t="n">
        <f aca="false">IF(AJ332="","",IF(ISNUMBER(SEARCH("/",AJ332)),DATE(VALUE(RIGHT(AJ332,4)),VALUE(LEFT(AJ332,2)),VALUE(MID(AJ332,4,2))),IF(ISNUMBER(SEARCH("-",AJ332)),IF(LEN(LEFT(AJ332,FIND("-",AJ332)-1))=4,DATE(VALUE(LEFT(AJ332,4)),VALUE(MID(AJ332,6,2)),VALUE(RIGHT(AJ332,2))),DATE(VALUE(RIGHT(AJ332,4)),VALUE(MID(AJ332,4,2)),VALUE(LEFT(AJ332,2)))),DATE(VALUE(RIGHT(AJ332,4)),MATCH(MID(AJ332,4,3),{"Jan","Feb","Mar","Apr","May","Jun","Jul","Aug","Sep","Oct","Nov","Dec"},0),VALUE(LEFT(AJ332,2))))))</f>
        <v>45428</v>
      </c>
      <c r="C332" s="3" t="n">
        <f aca="false">IF(AK332="","",IF(ISNUMBER(SEARCH("/",AK332)),DATE(VALUE(RIGHT(AK332,4)),VALUE(LEFT(AK332,2)),VALUE(MID(AK332,4,2))),IF(ISNUMBER(SEARCH("-",AK332)),IF(LEN(LEFT(AK332,FIND("-",AK332)-1))=4,DATE(VALUE(LEFT(AK332,4)),VALUE(MID(AK332,6,2)),VALUE(RIGHT(AK332,2))),DATE(VALUE(RIGHT(AK332,4)),VALUE(MID(AK332,4,2)),VALUE(LEFT(AK332,2)))),DATE(VALUE(RIGHT(AK332,4)),MATCH(MID(AK332,4,3),{"Jan","Feb","Mar","Apr","May","Jun","Jul","Aug","Sep","Oct","Nov","Dec"},0),VALUE(LEFT(AK332,2))))))</f>
        <v>45436</v>
      </c>
      <c r="D332" s="4" t="s">
        <v>1393</v>
      </c>
      <c r="E332" s="0" t="str">
        <f aca="false">PROPER(TRIM(AL332))</f>
        <v>Arjun Bose</v>
      </c>
      <c r="F332" s="0" t="str">
        <f aca="false">PROPER(TRIM(AM332))</f>
        <v>Home Office</v>
      </c>
      <c r="G332" s="0" t="str">
        <f aca="false">IF(TRIM(AN332)="","Unknown",PROPER(TRIM(AN332)))</f>
        <v>North</v>
      </c>
      <c r="H332" s="0" t="str">
        <f aca="false">PROPER(TRIM(AO332))</f>
        <v>Punjab</v>
      </c>
      <c r="I332" s="0" t="str">
        <f aca="false">PROPER(TRIM(AP332))</f>
        <v>Ludhiana</v>
      </c>
      <c r="J332" s="0" t="str">
        <f aca="false">PROPER(TRIM(AQ332))</f>
        <v>Technology</v>
      </c>
      <c r="K332" s="0" t="str">
        <f aca="false">PROPER(TRIM(AR332))</f>
        <v>Accessories</v>
      </c>
      <c r="M332" s="0" t="str">
        <f aca="false">IF(TRIM(AS332)="","Unknown",PROPER(TRIM(AS332)))</f>
        <v>Same Day</v>
      </c>
      <c r="N332" s="0" t="n">
        <v>1</v>
      </c>
      <c r="O332" s="0" t="n">
        <v>783.09</v>
      </c>
      <c r="P332" s="5" t="n">
        <f aca="false">IF(AT332="","",IF(ISNUMBER(AT332),AT332,VALUE(SUBSTITUTE(AT332,"%",""))/100))</f>
        <v>0</v>
      </c>
      <c r="Q332" s="5" t="n">
        <f aca="false">IF(P332="",IF(AND(N332&lt;&gt;"",O332&lt;&gt;"",R332&lt;&gt;"",S332&lt;&gt;""),0,"REVIEW"),IF(OR(P332&lt;0,P332&gt;0.3),0,P332))</f>
        <v>0</v>
      </c>
      <c r="R332" s="0" t="n">
        <v>783.09</v>
      </c>
      <c r="S332" s="0" t="n">
        <v>503.89</v>
      </c>
      <c r="T332" s="6" t="n">
        <f aca="false">N332*O332*(1-Q332)</f>
        <v>783.09</v>
      </c>
      <c r="U332" s="6" t="n">
        <f aca="false">T332-S332</f>
        <v>279.2</v>
      </c>
      <c r="V332" s="7" t="n">
        <f aca="false">IF(T332=0,0,U332/T332)</f>
        <v>0.356536285739826</v>
      </c>
      <c r="W332" s="4" t="n">
        <f aca="false">C332-B332</f>
        <v>8</v>
      </c>
      <c r="X332" s="0" t="str">
        <f aca="false">TEXT(B332,"mmmm")</f>
        <v>May</v>
      </c>
      <c r="Y332" s="4" t="n">
        <f aca="false">YEAR(B332)</f>
        <v>2024</v>
      </c>
      <c r="Z332" s="0" t="str">
        <f aca="false">PROPER(TRIM(AU332))</f>
        <v>Failed</v>
      </c>
      <c r="AA332" s="0" t="str">
        <f aca="false">PROPER(TRIM(AV332))</f>
        <v>Cancelled</v>
      </c>
      <c r="AB332" s="0" t="str">
        <f aca="false">IF(TRIM(AN332)="","Yes","No")</f>
        <v>No</v>
      </c>
      <c r="AC332" s="0" t="str">
        <f aca="false">IF(TRIM(AS332)="","Yes","No")</f>
        <v>No</v>
      </c>
      <c r="AD332" s="0" t="str">
        <f aca="false">IF(AT332="","Yes","No")</f>
        <v>No</v>
      </c>
      <c r="AE332" s="0" t="str">
        <f aca="false">IF(W332&lt;0,"Yes","No")</f>
        <v>No</v>
      </c>
      <c r="AF332" s="0" t="str">
        <f aca="false">IF(P332="","No",IF(OR(P332&lt;0,P332&gt;0.3),"Yes","No"))</f>
        <v>No</v>
      </c>
      <c r="AG332" s="4" t="s">
        <v>50</v>
      </c>
      <c r="AH332" s="0" t="str">
        <f aca="false">IF(AND(AA332="Completed",Z332="Paid"),"Yes","No")</f>
        <v>No</v>
      </c>
      <c r="AI332" s="0" t="str">
        <f aca="false">IF(OR(AE332="Yes",AF332="Yes",AG332="Yes"),"Invalid",IF(OR(AB332="Yes",AC332="Yes",AD332="Yes"),"Warning","Clean"))</f>
        <v>Clean</v>
      </c>
      <c r="AJ332" s="4" t="s">
        <v>961</v>
      </c>
      <c r="AK332" s="4" t="s">
        <v>627</v>
      </c>
      <c r="AL332" s="4" t="s">
        <v>86</v>
      </c>
      <c r="AM332" s="4" t="s">
        <v>134</v>
      </c>
      <c r="AN332" s="4" t="s">
        <v>168</v>
      </c>
      <c r="AO332" s="4" t="s">
        <v>169</v>
      </c>
      <c r="AP332" s="4" t="s">
        <v>170</v>
      </c>
      <c r="AQ332" s="4" t="s">
        <v>109</v>
      </c>
      <c r="AR332" s="4" t="s">
        <v>110</v>
      </c>
      <c r="AS332" s="4" t="s">
        <v>74</v>
      </c>
      <c r="AT332" s="0" t="n">
        <v>0</v>
      </c>
      <c r="AU332" s="4" t="s">
        <v>207</v>
      </c>
      <c r="AV332" s="4" t="s">
        <v>101</v>
      </c>
    </row>
    <row r="333" customFormat="false" ht="15" hidden="false" customHeight="false" outlineLevel="0" collapsed="false">
      <c r="A333" s="0" t="s">
        <v>1394</v>
      </c>
      <c r="B333" s="3" t="n">
        <f aca="false">IF(AJ333="","",IF(ISNUMBER(SEARCH("/",AJ333)),DATE(VALUE(RIGHT(AJ333,4)),VALUE(LEFT(AJ333,2)),VALUE(MID(AJ333,4,2))),IF(ISNUMBER(SEARCH("-",AJ333)),IF(LEN(LEFT(AJ333,FIND("-",AJ333)-1))=4,DATE(VALUE(LEFT(AJ333,4)),VALUE(MID(AJ333,6,2)),VALUE(RIGHT(AJ333,2))),DATE(VALUE(RIGHT(AJ333,4)),VALUE(MID(AJ333,4,2)),VALUE(LEFT(AJ333,2)))),DATE(VALUE(RIGHT(AJ333,4)),MATCH(MID(AJ333,4,3),{"Jan","Feb","Mar","Apr","May","Jun","Jul","Aug","Sep","Oct","Nov","Dec"},0),VALUE(LEFT(AJ333,2))))))</f>
        <v>45630</v>
      </c>
      <c r="C333" s="3" t="n">
        <f aca="false">IF(AK333="","",IF(ISNUMBER(SEARCH("/",AK333)),DATE(VALUE(RIGHT(AK333,4)),VALUE(LEFT(AK333,2)),VALUE(MID(AK333,4,2))),IF(ISNUMBER(SEARCH("-",AK333)),IF(LEN(LEFT(AK333,FIND("-",AK333)-1))=4,DATE(VALUE(LEFT(AK333,4)),VALUE(MID(AK333,6,2)),VALUE(RIGHT(AK333,2))),DATE(VALUE(RIGHT(AK333,4)),VALUE(MID(AK333,4,2)),VALUE(LEFT(AK333,2)))),DATE(VALUE(RIGHT(AK333,4)),MATCH(MID(AK333,4,3),{"Jan","Feb","Mar","Apr","May","Jun","Jul","Aug","Sep","Oct","Nov","Dec"},0),VALUE(LEFT(AK333,2))))))</f>
        <v>45632</v>
      </c>
      <c r="D333" s="4" t="s">
        <v>1395</v>
      </c>
      <c r="E333" s="0" t="str">
        <f aca="false">PROPER(TRIM(AL333))</f>
        <v>Sneha Kapoor</v>
      </c>
      <c r="F333" s="0" t="str">
        <f aca="false">PROPER(TRIM(AM333))</f>
        <v>Home Office</v>
      </c>
      <c r="G333" s="0" t="str">
        <f aca="false">IF(TRIM(AN333)="","Unknown",PROPER(TRIM(AN333)))</f>
        <v>East</v>
      </c>
      <c r="H333" s="0" t="str">
        <f aca="false">PROPER(TRIM(AO333))</f>
        <v>Odisha</v>
      </c>
      <c r="I333" s="0" t="str">
        <f aca="false">PROPER(TRIM(AP333))</f>
        <v>Bhubaneswar</v>
      </c>
      <c r="J333" s="0" t="str">
        <f aca="false">PROPER(TRIM(AQ333))</f>
        <v>Office Supplies</v>
      </c>
      <c r="K333" s="0" t="str">
        <f aca="false">PROPER(TRIM(AR333))</f>
        <v>Binders</v>
      </c>
      <c r="M333" s="0" t="str">
        <f aca="false">IF(TRIM(AS333)="","Unknown",PROPER(TRIM(AS333)))</f>
        <v>Second Class</v>
      </c>
      <c r="N333" s="0" t="n">
        <v>4</v>
      </c>
      <c r="O333" s="0" t="n">
        <v>2685.66</v>
      </c>
      <c r="P333" s="5" t="n">
        <f aca="false">IF(AT333="","",IF(ISNUMBER(AT333),AT333,VALUE(SUBSTITUTE(AT333,"%",""))/100))</f>
        <v>0</v>
      </c>
      <c r="Q333" s="5" t="n">
        <f aca="false">IF(P333="",IF(AND(N333&lt;&gt;"",O333&lt;&gt;"",R333&lt;&gt;"",S333&lt;&gt;""),0,"REVIEW"),IF(OR(P333&lt;0,P333&gt;0.3),0,P333))</f>
        <v>0</v>
      </c>
      <c r="R333" s="0" t="n">
        <v>10742.64</v>
      </c>
      <c r="S333" s="0" t="n">
        <v>6477.37</v>
      </c>
      <c r="T333" s="6" t="n">
        <f aca="false">N333*O333*(1-Q333)</f>
        <v>10742.64</v>
      </c>
      <c r="U333" s="6" t="n">
        <f aca="false">T333-S333</f>
        <v>4265.27</v>
      </c>
      <c r="V333" s="7" t="n">
        <f aca="false">IF(T333=0,0,U333/T333)</f>
        <v>0.397041137001705</v>
      </c>
      <c r="W333" s="4" t="n">
        <f aca="false">C333-B333</f>
        <v>2</v>
      </c>
      <c r="X333" s="0" t="str">
        <f aca="false">TEXT(B333,"mmmm")</f>
        <v>December</v>
      </c>
      <c r="Y333" s="4" t="n">
        <f aca="false">YEAR(B333)</f>
        <v>2024</v>
      </c>
      <c r="Z333" s="0" t="str">
        <f aca="false">PROPER(TRIM(AU333))</f>
        <v>Paid</v>
      </c>
      <c r="AA333" s="0" t="str">
        <f aca="false">PROPER(TRIM(AV333))</f>
        <v>Returned</v>
      </c>
      <c r="AB333" s="0" t="str">
        <f aca="false">IF(TRIM(AN333)="","Yes","No")</f>
        <v>No</v>
      </c>
      <c r="AC333" s="0" t="str">
        <f aca="false">IF(TRIM(AS333)="","Yes","No")</f>
        <v>No</v>
      </c>
      <c r="AD333" s="0" t="str">
        <f aca="false">IF(AT333="","Yes","No")</f>
        <v>No</v>
      </c>
      <c r="AE333" s="0" t="str">
        <f aca="false">IF(W333&lt;0,"Yes","No")</f>
        <v>No</v>
      </c>
      <c r="AF333" s="0" t="str">
        <f aca="false">IF(P333="","No",IF(OR(P333&lt;0,P333&gt;0.3),"Yes","No"))</f>
        <v>No</v>
      </c>
      <c r="AG333" s="4" t="s">
        <v>497</v>
      </c>
      <c r="AH333" s="0" t="str">
        <f aca="false">IF(AND(AA333="Completed",Z333="Paid"),"Yes","No")</f>
        <v>No</v>
      </c>
      <c r="AI333" s="0" t="str">
        <f aca="false">IF(OR(AE333="Yes",AF333="Yes",AG333="Yes"),"Invalid",IF(OR(AB333="Yes",AC333="Yes",AD333="Yes"),"Warning","Clean"))</f>
        <v>Invalid</v>
      </c>
      <c r="AJ333" s="4" t="s">
        <v>624</v>
      </c>
      <c r="AK333" s="4" t="s">
        <v>1396</v>
      </c>
      <c r="AL333" s="4" t="s">
        <v>181</v>
      </c>
      <c r="AM333" s="4" t="s">
        <v>134</v>
      </c>
      <c r="AN333" s="4" t="s">
        <v>69</v>
      </c>
      <c r="AO333" s="4" t="s">
        <v>70</v>
      </c>
      <c r="AP333" s="4" t="s">
        <v>71</v>
      </c>
      <c r="AQ333" s="4" t="s">
        <v>58</v>
      </c>
      <c r="AR333" s="4" t="s">
        <v>206</v>
      </c>
      <c r="AS333" s="4" t="s">
        <v>60</v>
      </c>
      <c r="AT333" s="0" t="n">
        <v>0</v>
      </c>
      <c r="AU333" s="4" t="s">
        <v>61</v>
      </c>
      <c r="AV333" s="4" t="s">
        <v>142</v>
      </c>
    </row>
    <row r="334" customFormat="false" ht="15" hidden="false" customHeight="false" outlineLevel="0" collapsed="false">
      <c r="A334" s="0" t="s">
        <v>1397</v>
      </c>
      <c r="B334" s="3" t="n">
        <f aca="false">IF(AJ334="","",IF(ISNUMBER(SEARCH("/",AJ334)),DATE(VALUE(RIGHT(AJ334,4)),VALUE(LEFT(AJ334,2)),VALUE(MID(AJ334,4,2))),IF(ISNUMBER(SEARCH("-",AJ334)),IF(LEN(LEFT(AJ334,FIND("-",AJ334)-1))=4,DATE(VALUE(LEFT(AJ334,4)),VALUE(MID(AJ334,6,2)),VALUE(RIGHT(AJ334,2))),DATE(VALUE(RIGHT(AJ334,4)),VALUE(MID(AJ334,4,2)),VALUE(LEFT(AJ334,2)))),DATE(VALUE(RIGHT(AJ334,4)),MATCH(MID(AJ334,4,3),{"Jan","Feb","Mar","Apr","May","Jun","Jul","Aug","Sep","Oct","Nov","Dec"},0),VALUE(LEFT(AJ334,2))))))</f>
        <v>45804</v>
      </c>
      <c r="C334" s="3" t="n">
        <f aca="false">IF(AK334="","",IF(ISNUMBER(SEARCH("/",AK334)),DATE(VALUE(RIGHT(AK334,4)),VALUE(LEFT(AK334,2)),VALUE(MID(AK334,4,2))),IF(ISNUMBER(SEARCH("-",AK334)),IF(LEN(LEFT(AK334,FIND("-",AK334)-1))=4,DATE(VALUE(LEFT(AK334,4)),VALUE(MID(AK334,6,2)),VALUE(RIGHT(AK334,2))),DATE(VALUE(RIGHT(AK334,4)),VALUE(MID(AK334,4,2)),VALUE(LEFT(AK334,2)))),DATE(VALUE(RIGHT(AK334,4)),MATCH(MID(AK334,4,3),{"Jan","Feb","Mar","Apr","May","Jun","Jul","Aug","Sep","Oct","Nov","Dec"},0),VALUE(LEFT(AK334,2))))))</f>
        <v>45805</v>
      </c>
      <c r="D334" s="4" t="s">
        <v>1398</v>
      </c>
      <c r="E334" s="0" t="str">
        <f aca="false">PROPER(TRIM(AL334))</f>
        <v>Aarav Sharma</v>
      </c>
      <c r="F334" s="0" t="str">
        <f aca="false">PROPER(TRIM(AM334))</f>
        <v>Consumer</v>
      </c>
      <c r="G334" s="0" t="str">
        <f aca="false">IF(TRIM(AN334)="","Unknown",PROPER(TRIM(AN334)))</f>
        <v>South</v>
      </c>
      <c r="H334" s="0" t="str">
        <f aca="false">PROPER(TRIM(AO334))</f>
        <v>Andhra Pradesh</v>
      </c>
      <c r="I334" s="0" t="str">
        <f aca="false">PROPER(TRIM(AP334))</f>
        <v>Vijayawada</v>
      </c>
      <c r="J334" s="0" t="str">
        <f aca="false">PROPER(TRIM(AQ334))</f>
        <v>Technology</v>
      </c>
      <c r="K334" s="0" t="str">
        <f aca="false">PROPER(TRIM(AR334))</f>
        <v>Machines</v>
      </c>
      <c r="M334" s="0" t="str">
        <f aca="false">IF(TRIM(AS334)="","Unknown",PROPER(TRIM(AS334)))</f>
        <v>Second Class</v>
      </c>
      <c r="N334" s="0" t="n">
        <v>2</v>
      </c>
      <c r="O334" s="0" t="n">
        <v>3911.96</v>
      </c>
      <c r="P334" s="5" t="n">
        <f aca="false">IF(AT334="","",IF(ISNUMBER(AT334),AT334,VALUE(SUBSTITUTE(AT334,"%",""))/100))</f>
        <v>0</v>
      </c>
      <c r="Q334" s="5" t="n">
        <f aca="false">IF(P334="",IF(AND(N334&lt;&gt;"",O334&lt;&gt;"",R334&lt;&gt;"",S334&lt;&gt;""),0,"REVIEW"),IF(OR(P334&lt;0,P334&gt;0.3),0,P334))</f>
        <v>0</v>
      </c>
      <c r="R334" s="0" t="n">
        <v>7823.92</v>
      </c>
      <c r="S334" s="0" t="n">
        <v>6034.63</v>
      </c>
      <c r="T334" s="6" t="n">
        <f aca="false">N334*O334*(1-Q334)</f>
        <v>7823.92</v>
      </c>
      <c r="U334" s="6" t="n">
        <f aca="false">T334-S334</f>
        <v>1789.29</v>
      </c>
      <c r="V334" s="7" t="n">
        <f aca="false">IF(T334=0,0,U334/T334)</f>
        <v>0.22869482305545</v>
      </c>
      <c r="W334" s="4" t="n">
        <f aca="false">C334-B334</f>
        <v>1</v>
      </c>
      <c r="X334" s="0" t="str">
        <f aca="false">TEXT(B334,"mmmm")</f>
        <v>May</v>
      </c>
      <c r="Y334" s="4" t="n">
        <f aca="false">YEAR(B334)</f>
        <v>2025</v>
      </c>
      <c r="Z334" s="0" t="str">
        <f aca="false">PROPER(TRIM(AU334))</f>
        <v>Paid</v>
      </c>
      <c r="AA334" s="0" t="str">
        <f aca="false">PROPER(TRIM(AV334))</f>
        <v>Completed</v>
      </c>
      <c r="AB334" s="0" t="str">
        <f aca="false">IF(TRIM(AN334)="","Yes","No")</f>
        <v>No</v>
      </c>
      <c r="AC334" s="0" t="str">
        <f aca="false">IF(TRIM(AS334)="","Yes","No")</f>
        <v>No</v>
      </c>
      <c r="AD334" s="0" t="str">
        <f aca="false">IF(AT334="","Yes","No")</f>
        <v>No</v>
      </c>
      <c r="AE334" s="0" t="str">
        <f aca="false">IF(W334&lt;0,"Yes","No")</f>
        <v>No</v>
      </c>
      <c r="AF334" s="0" t="str">
        <f aca="false">IF(P334="","No",IF(OR(P334&lt;0,P334&gt;0.3),"Yes","No"))</f>
        <v>No</v>
      </c>
      <c r="AG334" s="4" t="s">
        <v>50</v>
      </c>
      <c r="AH334" s="0" t="str">
        <f aca="false">IF(AND(AA334="Completed",Z334="Paid"),"Yes","No")</f>
        <v>Yes</v>
      </c>
      <c r="AI334" s="0" t="str">
        <f aca="false">IF(OR(AE334="Yes",AF334="Yes",AG334="Yes"),"Invalid",IF(OR(AB334="Yes",AC334="Yes",AD334="Yes"),"Warning","Clean"))</f>
        <v>Clean</v>
      </c>
      <c r="AJ334" s="4" t="s">
        <v>1399</v>
      </c>
      <c r="AK334" s="4" t="s">
        <v>1400</v>
      </c>
      <c r="AL334" s="4" t="s">
        <v>176</v>
      </c>
      <c r="AM334" s="4" t="s">
        <v>54</v>
      </c>
      <c r="AN334" s="4" t="s">
        <v>87</v>
      </c>
      <c r="AO334" s="4" t="s">
        <v>121</v>
      </c>
      <c r="AP334" s="4" t="s">
        <v>122</v>
      </c>
      <c r="AQ334" s="4" t="s">
        <v>109</v>
      </c>
      <c r="AR334" s="4" t="s">
        <v>1401</v>
      </c>
      <c r="AS334" s="4" t="s">
        <v>60</v>
      </c>
      <c r="AT334" s="0" t="n">
        <v>0</v>
      </c>
      <c r="AU334" s="4" t="s">
        <v>61</v>
      </c>
      <c r="AV334" s="4" t="s">
        <v>62</v>
      </c>
    </row>
    <row r="335" customFormat="false" ht="15" hidden="false" customHeight="false" outlineLevel="0" collapsed="false">
      <c r="A335" s="0" t="s">
        <v>1402</v>
      </c>
      <c r="B335" s="3" t="n">
        <f aca="false">IF(AJ335="","",IF(ISNUMBER(SEARCH("/",AJ335)),DATE(VALUE(RIGHT(AJ335,4)),VALUE(LEFT(AJ335,2)),VALUE(MID(AJ335,4,2))),IF(ISNUMBER(SEARCH("-",AJ335)),IF(LEN(LEFT(AJ335,FIND("-",AJ335)-1))=4,DATE(VALUE(LEFT(AJ335,4)),VALUE(MID(AJ335,6,2)),VALUE(RIGHT(AJ335,2))),DATE(VALUE(RIGHT(AJ335,4)),VALUE(MID(AJ335,4,2)),VALUE(LEFT(AJ335,2)))),DATE(VALUE(RIGHT(AJ335,4)),MATCH(MID(AJ335,4,3),{"Jan","Feb","Mar","Apr","May","Jun","Jul","Aug","Sep","Oct","Nov","Dec"},0),VALUE(LEFT(AJ335,2))))))</f>
        <v>45830</v>
      </c>
      <c r="C335" s="3" t="n">
        <f aca="false">IF(AK335="","",IF(ISNUMBER(SEARCH("/",AK335)),DATE(VALUE(RIGHT(AK335,4)),VALUE(LEFT(AK335,2)),VALUE(MID(AK335,4,2))),IF(ISNUMBER(SEARCH("-",AK335)),IF(LEN(LEFT(AK335,FIND("-",AK335)-1))=4,DATE(VALUE(LEFT(AK335,4)),VALUE(MID(AK335,6,2)),VALUE(RIGHT(AK335,2))),DATE(VALUE(RIGHT(AK335,4)),VALUE(MID(AK335,4,2)),VALUE(LEFT(AK335,2)))),DATE(VALUE(RIGHT(AK335,4)),MATCH(MID(AK335,4,3),{"Jan","Feb","Mar","Apr","May","Jun","Jul","Aug","Sep","Oct","Nov","Dec"},0),VALUE(LEFT(AK335,2))))))</f>
        <v>45835</v>
      </c>
      <c r="D335" s="4" t="s">
        <v>1403</v>
      </c>
      <c r="E335" s="0" t="str">
        <f aca="false">PROPER(TRIM(AL335))</f>
        <v>Rohan Mehta</v>
      </c>
      <c r="F335" s="0" t="str">
        <f aca="false">PROPER(TRIM(AM335))</f>
        <v>Home Office</v>
      </c>
      <c r="G335" s="0" t="str">
        <f aca="false">IF(TRIM(AN335)="","Unknown",PROPER(TRIM(AN335)))</f>
        <v>Unknown</v>
      </c>
      <c r="H335" s="0" t="str">
        <f aca="false">PROPER(TRIM(AO335))</f>
        <v>Delhi</v>
      </c>
      <c r="I335" s="0" t="str">
        <f aca="false">PROPER(TRIM(AP335))</f>
        <v>New Delhi</v>
      </c>
      <c r="J335" s="0" t="str">
        <f aca="false">PROPER(TRIM(AQ335))</f>
        <v>Technology</v>
      </c>
      <c r="K335" s="0" t="str">
        <f aca="false">PROPER(TRIM(AR335))</f>
        <v>Phones</v>
      </c>
      <c r="M335" s="0" t="str">
        <f aca="false">IF(TRIM(AS335)="","Unknown",PROPER(TRIM(AS335)))</f>
        <v>First Class</v>
      </c>
      <c r="N335" s="0" t="n">
        <v>2</v>
      </c>
      <c r="O335" s="0" t="n">
        <v>1468.05</v>
      </c>
      <c r="P335" s="5" t="n">
        <f aca="false">IF(AT335="","",IF(ISNUMBER(AT335),AT335,VALUE(SUBSTITUTE(AT335,"%",""))/100))</f>
        <v>0</v>
      </c>
      <c r="Q335" s="5" t="n">
        <f aca="false">IF(P335="",IF(AND(N335&lt;&gt;"",O335&lt;&gt;"",R335&lt;&gt;"",S335&lt;&gt;""),0,"REVIEW"),IF(OR(P335&lt;0,P335&gt;0.3),0,P335))</f>
        <v>0</v>
      </c>
      <c r="R335" s="0" t="n">
        <v>2936.1</v>
      </c>
      <c r="S335" s="0" t="n">
        <v>1923.1</v>
      </c>
      <c r="T335" s="6" t="n">
        <f aca="false">N335*O335*(1-Q335)</f>
        <v>2936.1</v>
      </c>
      <c r="U335" s="6" t="n">
        <f aca="false">T335-S335</f>
        <v>1013</v>
      </c>
      <c r="V335" s="7" t="n">
        <f aca="false">IF(T335=0,0,U335/T335)</f>
        <v>0.345015496747386</v>
      </c>
      <c r="W335" s="4" t="n">
        <f aca="false">C335-B335</f>
        <v>5</v>
      </c>
      <c r="X335" s="0" t="str">
        <f aca="false">TEXT(B335,"mmmm")</f>
        <v>June</v>
      </c>
      <c r="Y335" s="4" t="n">
        <f aca="false">YEAR(B335)</f>
        <v>2025</v>
      </c>
      <c r="Z335" s="0" t="str">
        <f aca="false">PROPER(TRIM(AU335))</f>
        <v>Paid</v>
      </c>
      <c r="AA335" s="0" t="str">
        <f aca="false">PROPER(TRIM(AV335))</f>
        <v>Completed</v>
      </c>
      <c r="AB335" s="0" t="str">
        <f aca="false">IF(TRIM(AN335)="","Yes","No")</f>
        <v>Yes</v>
      </c>
      <c r="AC335" s="0" t="str">
        <f aca="false">IF(TRIM(AS335)="","Yes","No")</f>
        <v>No</v>
      </c>
      <c r="AD335" s="0" t="str">
        <f aca="false">IF(AT335="","Yes","No")</f>
        <v>No</v>
      </c>
      <c r="AE335" s="0" t="str">
        <f aca="false">IF(W335&lt;0,"Yes","No")</f>
        <v>No</v>
      </c>
      <c r="AF335" s="0" t="str">
        <f aca="false">IF(P335="","No",IF(OR(P335&lt;0,P335&gt;0.3),"Yes","No"))</f>
        <v>No</v>
      </c>
      <c r="AG335" s="4" t="s">
        <v>50</v>
      </c>
      <c r="AH335" s="0" t="str">
        <f aca="false">IF(AND(AA335="Completed",Z335="Paid"),"Yes","No")</f>
        <v>Yes</v>
      </c>
      <c r="AI335" s="0" t="str">
        <f aca="false">IF(OR(AE335="Yes",AF335="Yes",AG335="Yes"),"Invalid",IF(OR(AB335="Yes",AC335="Yes",AD335="Yes"),"Warning","Clean"))</f>
        <v>Warning</v>
      </c>
      <c r="AJ335" s="4" t="s">
        <v>1404</v>
      </c>
      <c r="AK335" s="4" t="s">
        <v>1405</v>
      </c>
      <c r="AL335" s="4" t="s">
        <v>191</v>
      </c>
      <c r="AM335" s="4" t="s">
        <v>134</v>
      </c>
      <c r="AO335" s="4" t="s">
        <v>461</v>
      </c>
      <c r="AP335" s="4" t="s">
        <v>462</v>
      </c>
      <c r="AQ335" s="4" t="s">
        <v>109</v>
      </c>
      <c r="AR335" s="4" t="s">
        <v>227</v>
      </c>
      <c r="AS335" s="4" t="s">
        <v>81</v>
      </c>
      <c r="AT335" s="0" t="n">
        <v>0</v>
      </c>
      <c r="AU335" s="4" t="s">
        <v>61</v>
      </c>
      <c r="AV335" s="4" t="s">
        <v>62</v>
      </c>
    </row>
    <row r="336" customFormat="false" ht="15" hidden="false" customHeight="false" outlineLevel="0" collapsed="false">
      <c r="A336" s="0" t="s">
        <v>1406</v>
      </c>
      <c r="B336" s="3" t="n">
        <f aca="false">IF(AJ336="","",IF(ISNUMBER(SEARCH("/",AJ336)),DATE(VALUE(RIGHT(AJ336,4)),VALUE(LEFT(AJ336,2)),VALUE(MID(AJ336,4,2))),IF(ISNUMBER(SEARCH("-",AJ336)),IF(LEN(LEFT(AJ336,FIND("-",AJ336)-1))=4,DATE(VALUE(LEFT(AJ336,4)),VALUE(MID(AJ336,6,2)),VALUE(RIGHT(AJ336,2))),DATE(VALUE(RIGHT(AJ336,4)),VALUE(MID(AJ336,4,2)),VALUE(LEFT(AJ336,2)))),DATE(VALUE(RIGHT(AJ336,4)),MATCH(MID(AJ336,4,3),{"Jan","Feb","Mar","Apr","May","Jun","Jul","Aug","Sep","Oct","Nov","Dec"},0),VALUE(LEFT(AJ336,2))))))</f>
        <v>45547</v>
      </c>
      <c r="C336" s="3" t="n">
        <f aca="false">IF(AK336="","",IF(ISNUMBER(SEARCH("/",AK336)),DATE(VALUE(RIGHT(AK336,4)),VALUE(LEFT(AK336,2)),VALUE(MID(AK336,4,2))),IF(ISNUMBER(SEARCH("-",AK336)),IF(LEN(LEFT(AK336,FIND("-",AK336)-1))=4,DATE(VALUE(LEFT(AK336,4)),VALUE(MID(AK336,6,2)),VALUE(RIGHT(AK336,2))),DATE(VALUE(RIGHT(AK336,4)),VALUE(MID(AK336,4,2)),VALUE(LEFT(AK336,2)))),DATE(VALUE(RIGHT(AK336,4)),MATCH(MID(AK336,4,3),{"Jan","Feb","Mar","Apr","May","Jun","Jul","Aug","Sep","Oct","Nov","Dec"},0),VALUE(LEFT(AK336,2))))))</f>
        <v>45552</v>
      </c>
      <c r="D336" s="4" t="s">
        <v>1407</v>
      </c>
      <c r="E336" s="0" t="str">
        <f aca="false">PROPER(TRIM(AL336))</f>
        <v>Ananya Rao</v>
      </c>
      <c r="F336" s="0" t="str">
        <f aca="false">PROPER(TRIM(AM336))</f>
        <v>Consumer</v>
      </c>
      <c r="G336" s="0" t="str">
        <f aca="false">IF(TRIM(AN336)="","Unknown",PROPER(TRIM(AN336)))</f>
        <v>East</v>
      </c>
      <c r="H336" s="0" t="str">
        <f aca="false">PROPER(TRIM(AO336))</f>
        <v>Jharkhand</v>
      </c>
      <c r="I336" s="0" t="str">
        <f aca="false">PROPER(TRIM(AP336))</f>
        <v>Ranchi</v>
      </c>
      <c r="J336" s="0" t="str">
        <f aca="false">PROPER(TRIM(AQ336))</f>
        <v>Office Supplies</v>
      </c>
      <c r="K336" s="0" t="str">
        <f aca="false">PROPER(TRIM(AR336))</f>
        <v>Storage</v>
      </c>
      <c r="M336" s="0" t="str">
        <f aca="false">IF(TRIM(AS336)="","Unknown",PROPER(TRIM(AS336)))</f>
        <v>First Class</v>
      </c>
      <c r="N336" s="0" t="n">
        <v>9</v>
      </c>
      <c r="O336" s="0" t="n">
        <v>1921.47</v>
      </c>
      <c r="P336" s="5" t="n">
        <f aca="false">IF(AT336="","",IF(ISNUMBER(AT336),AT336,VALUE(SUBSTITUTE(AT336,"%",""))/100))</f>
        <v>0.25</v>
      </c>
      <c r="Q336" s="5" t="n">
        <f aca="false">IF(P336="",IF(AND(N336&lt;&gt;"",O336&lt;&gt;"",R336&lt;&gt;"",S336&lt;&gt;""),0,"REVIEW"),IF(OR(P336&lt;0,P336&gt;0.3),0,P336))</f>
        <v>0.25</v>
      </c>
      <c r="R336" s="0" t="n">
        <v>12969.92</v>
      </c>
      <c r="S336" s="0" t="n">
        <v>9398.46</v>
      </c>
      <c r="T336" s="6" t="n">
        <f aca="false">N336*O336*(1-Q336)</f>
        <v>12969.9225</v>
      </c>
      <c r="U336" s="6" t="n">
        <f aca="false">T336-S336</f>
        <v>3571.4625</v>
      </c>
      <c r="V336" s="7" t="n">
        <f aca="false">IF(T336=0,0,U336/T336)</f>
        <v>0.27536498386941</v>
      </c>
      <c r="W336" s="4" t="n">
        <f aca="false">C336-B336</f>
        <v>5</v>
      </c>
      <c r="X336" s="0" t="str">
        <f aca="false">TEXT(B336,"mmmm")</f>
        <v>September</v>
      </c>
      <c r="Y336" s="4" t="n">
        <f aca="false">YEAR(B336)</f>
        <v>2024</v>
      </c>
      <c r="Z336" s="0" t="str">
        <f aca="false">PROPER(TRIM(AU336))</f>
        <v>Paid</v>
      </c>
      <c r="AA336" s="0" t="str">
        <f aca="false">PROPER(TRIM(AV336))</f>
        <v>Completed</v>
      </c>
      <c r="AB336" s="0" t="str">
        <f aca="false">IF(TRIM(AN336)="","Yes","No")</f>
        <v>No</v>
      </c>
      <c r="AC336" s="0" t="str">
        <f aca="false">IF(TRIM(AS336)="","Yes","No")</f>
        <v>No</v>
      </c>
      <c r="AD336" s="0" t="str">
        <f aca="false">IF(AT336="","Yes","No")</f>
        <v>No</v>
      </c>
      <c r="AE336" s="0" t="str">
        <f aca="false">IF(W336&lt;0,"Yes","No")</f>
        <v>No</v>
      </c>
      <c r="AF336" s="0" t="str">
        <f aca="false">IF(P336="","No",IF(OR(P336&lt;0,P336&gt;0.3),"Yes","No"))</f>
        <v>No</v>
      </c>
      <c r="AG336" s="4" t="s">
        <v>50</v>
      </c>
      <c r="AH336" s="0" t="str">
        <f aca="false">IF(AND(AA336="Completed",Z336="Paid"),"Yes","No")</f>
        <v>Yes</v>
      </c>
      <c r="AI336" s="0" t="str">
        <f aca="false">IF(OR(AE336="Yes",AF336="Yes",AG336="Yes"),"Invalid",IF(OR(AB336="Yes",AC336="Yes",AD336="Yes"),"Warning","Clean"))</f>
        <v>Clean</v>
      </c>
      <c r="AJ336" s="4" t="s">
        <v>1408</v>
      </c>
      <c r="AK336" s="4" t="s">
        <v>1409</v>
      </c>
      <c r="AL336" s="4" t="s">
        <v>96</v>
      </c>
      <c r="AM336" s="4" t="s">
        <v>54</v>
      </c>
      <c r="AN336" s="4" t="s">
        <v>69</v>
      </c>
      <c r="AO336" s="4" t="s">
        <v>300</v>
      </c>
      <c r="AP336" s="4" t="s">
        <v>301</v>
      </c>
      <c r="AQ336" s="4" t="s">
        <v>58</v>
      </c>
      <c r="AR336" s="4" t="s">
        <v>171</v>
      </c>
      <c r="AS336" s="4" t="s">
        <v>81</v>
      </c>
      <c r="AT336" s="0" t="n">
        <v>0.25</v>
      </c>
      <c r="AU336" s="4" t="s">
        <v>61</v>
      </c>
      <c r="AV336" s="4" t="s">
        <v>62</v>
      </c>
    </row>
    <row r="337" customFormat="false" ht="15" hidden="false" customHeight="false" outlineLevel="0" collapsed="false">
      <c r="A337" s="0" t="s">
        <v>1410</v>
      </c>
      <c r="B337" s="3" t="n">
        <f aca="false">IF(AJ337="","",IF(ISNUMBER(SEARCH("/",AJ337)),DATE(VALUE(RIGHT(AJ337,4)),VALUE(LEFT(AJ337,2)),VALUE(MID(AJ337,4,2))),IF(ISNUMBER(SEARCH("-",AJ337)),IF(LEN(LEFT(AJ337,FIND("-",AJ337)-1))=4,DATE(VALUE(LEFT(AJ337,4)),VALUE(MID(AJ337,6,2)),VALUE(RIGHT(AJ337,2))),DATE(VALUE(RIGHT(AJ337,4)),VALUE(MID(AJ337,4,2)),VALUE(LEFT(AJ337,2)))),DATE(VALUE(RIGHT(AJ337,4)),MATCH(MID(AJ337,4,3),{"Jan","Feb","Mar","Apr","May","Jun","Jul","Aug","Sep","Oct","Nov","Dec"},0),VALUE(LEFT(AJ337,2))))))</f>
        <v>45824</v>
      </c>
      <c r="C337" s="3" t="n">
        <f aca="false">IF(AK337="","",IF(ISNUMBER(SEARCH("/",AK337)),DATE(VALUE(RIGHT(AK337,4)),VALUE(LEFT(AK337,2)),VALUE(MID(AK337,4,2))),IF(ISNUMBER(SEARCH("-",AK337)),IF(LEN(LEFT(AK337,FIND("-",AK337)-1))=4,DATE(VALUE(LEFT(AK337,4)),VALUE(MID(AK337,6,2)),VALUE(RIGHT(AK337,2))),DATE(VALUE(RIGHT(AK337,4)),VALUE(MID(AK337,4,2)),VALUE(LEFT(AK337,2)))),DATE(VALUE(RIGHT(AK337,4)),MATCH(MID(AK337,4,3),{"Jan","Feb","Mar","Apr","May","Jun","Jul","Aug","Sep","Oct","Nov","Dec"},0),VALUE(LEFT(AK337,2))))))</f>
        <v>45826</v>
      </c>
      <c r="D337" s="4" t="s">
        <v>1411</v>
      </c>
      <c r="E337" s="0" t="str">
        <f aca="false">PROPER(TRIM(AL337))</f>
        <v>Rahul Verma</v>
      </c>
      <c r="F337" s="0" t="str">
        <f aca="false">PROPER(TRIM(AM337))</f>
        <v>Home Office</v>
      </c>
      <c r="G337" s="0" t="str">
        <f aca="false">IF(TRIM(AN337)="","Unknown",PROPER(TRIM(AN337)))</f>
        <v>West</v>
      </c>
      <c r="H337" s="0" t="str">
        <f aca="false">PROPER(TRIM(AO337))</f>
        <v>Madhya Pradesh</v>
      </c>
      <c r="I337" s="0" t="str">
        <f aca="false">PROPER(TRIM(AP337))</f>
        <v>Indore</v>
      </c>
      <c r="J337" s="0" t="str">
        <f aca="false">PROPER(TRIM(AQ337))</f>
        <v>Office Supplies</v>
      </c>
      <c r="K337" s="0" t="str">
        <f aca="false">PROPER(TRIM(AR337))</f>
        <v>Paper</v>
      </c>
      <c r="M337" s="0" t="str">
        <f aca="false">IF(TRIM(AS337)="","Unknown",PROPER(TRIM(AS337)))</f>
        <v>First Class</v>
      </c>
      <c r="N337" s="0" t="n">
        <v>3</v>
      </c>
      <c r="O337" s="0" t="n">
        <v>4289.37</v>
      </c>
      <c r="P337" s="5" t="n">
        <f aca="false">IF(AT337="","",IF(ISNUMBER(AT337),AT337,VALUE(SUBSTITUTE(AT337,"%",""))/100))</f>
        <v>0.1</v>
      </c>
      <c r="Q337" s="5" t="n">
        <f aca="false">IF(P337="",IF(AND(N337&lt;&gt;"",O337&lt;&gt;"",R337&lt;&gt;"",S337&lt;&gt;""),0,"REVIEW"),IF(OR(P337&lt;0,P337&gt;0.3),0,P337))</f>
        <v>0.1</v>
      </c>
      <c r="R337" s="0" t="n">
        <v>11581.3</v>
      </c>
      <c r="S337" s="0" t="n">
        <v>6829.43</v>
      </c>
      <c r="T337" s="6" t="n">
        <f aca="false">N337*O337*(1-Q337)</f>
        <v>11581.299</v>
      </c>
      <c r="U337" s="6" t="n">
        <f aca="false">T337-S337</f>
        <v>4751.869</v>
      </c>
      <c r="V337" s="7" t="n">
        <f aca="false">IF(T337=0,0,U337/T337)</f>
        <v>0.410305355211017</v>
      </c>
      <c r="W337" s="4" t="n">
        <f aca="false">C337-B337</f>
        <v>2</v>
      </c>
      <c r="X337" s="0" t="str">
        <f aca="false">TEXT(B337,"mmmm")</f>
        <v>June</v>
      </c>
      <c r="Y337" s="4" t="n">
        <f aca="false">YEAR(B337)</f>
        <v>2025</v>
      </c>
      <c r="Z337" s="0" t="str">
        <f aca="false">PROPER(TRIM(AU337))</f>
        <v>Paid</v>
      </c>
      <c r="AA337" s="0" t="str">
        <f aca="false">PROPER(TRIM(AV337))</f>
        <v>Completed</v>
      </c>
      <c r="AB337" s="0" t="str">
        <f aca="false">IF(TRIM(AN337)="","Yes","No")</f>
        <v>No</v>
      </c>
      <c r="AC337" s="0" t="str">
        <f aca="false">IF(TRIM(AS337)="","Yes","No")</f>
        <v>No</v>
      </c>
      <c r="AD337" s="0" t="str">
        <f aca="false">IF(AT337="","Yes","No")</f>
        <v>No</v>
      </c>
      <c r="AE337" s="0" t="str">
        <f aca="false">IF(W337&lt;0,"Yes","No")</f>
        <v>No</v>
      </c>
      <c r="AF337" s="0" t="str">
        <f aca="false">IF(P337="","No",IF(OR(P337&lt;0,P337&gt;0.3),"Yes","No"))</f>
        <v>No</v>
      </c>
      <c r="AG337" s="4" t="s">
        <v>497</v>
      </c>
      <c r="AH337" s="0" t="str">
        <f aca="false">IF(AND(AA337="Completed",Z337="Paid"),"Yes","No")</f>
        <v>Yes</v>
      </c>
      <c r="AI337" s="0" t="str">
        <f aca="false">IF(OR(AE337="Yes",AF337="Yes",AG337="Yes"),"Invalid",IF(OR(AB337="Yes",AC337="Yes",AD337="Yes"),"Warning","Clean"))</f>
        <v>Invalid</v>
      </c>
      <c r="AJ337" s="4" t="s">
        <v>1412</v>
      </c>
      <c r="AK337" s="4" t="s">
        <v>1413</v>
      </c>
      <c r="AL337" s="4" t="s">
        <v>163</v>
      </c>
      <c r="AM337" s="4" t="s">
        <v>134</v>
      </c>
      <c r="AN337" s="4" t="s">
        <v>97</v>
      </c>
      <c r="AO337" s="4" t="s">
        <v>107</v>
      </c>
      <c r="AP337" s="4" t="s">
        <v>108</v>
      </c>
      <c r="AQ337" s="4" t="s">
        <v>58</v>
      </c>
      <c r="AR337" s="4" t="s">
        <v>59</v>
      </c>
      <c r="AS337" s="4" t="s">
        <v>81</v>
      </c>
      <c r="AT337" s="0" t="n">
        <v>0.1</v>
      </c>
      <c r="AU337" s="4" t="s">
        <v>61</v>
      </c>
      <c r="AV337" s="4" t="s">
        <v>62</v>
      </c>
    </row>
    <row r="338" customFormat="false" ht="15" hidden="false" customHeight="false" outlineLevel="0" collapsed="false">
      <c r="A338" s="0" t="s">
        <v>1414</v>
      </c>
      <c r="B338" s="3" t="n">
        <f aca="false">IF(AJ338="","",IF(ISNUMBER(SEARCH("/",AJ338)),DATE(VALUE(RIGHT(AJ338,4)),VALUE(LEFT(AJ338,2)),VALUE(MID(AJ338,4,2))),IF(ISNUMBER(SEARCH("-",AJ338)),IF(LEN(LEFT(AJ338,FIND("-",AJ338)-1))=4,DATE(VALUE(LEFT(AJ338,4)),VALUE(MID(AJ338,6,2)),VALUE(RIGHT(AJ338,2))),DATE(VALUE(RIGHT(AJ338,4)),VALUE(MID(AJ338,4,2)),VALUE(LEFT(AJ338,2)))),DATE(VALUE(RIGHT(AJ338,4)),MATCH(MID(AJ338,4,3),{"Jan","Feb","Mar","Apr","May","Jun","Jul","Aug","Sep","Oct","Nov","Dec"},0),VALUE(LEFT(AJ338,2))))))</f>
        <v>45368</v>
      </c>
      <c r="C338" s="3" t="n">
        <f aca="false">IF(AK338="","",IF(ISNUMBER(SEARCH("/",AK338)),DATE(VALUE(RIGHT(AK338,4)),VALUE(LEFT(AK338,2)),VALUE(MID(AK338,4,2))),IF(ISNUMBER(SEARCH("-",AK338)),IF(LEN(LEFT(AK338,FIND("-",AK338)-1))=4,DATE(VALUE(LEFT(AK338,4)),VALUE(MID(AK338,6,2)),VALUE(RIGHT(AK338,2))),DATE(VALUE(RIGHT(AK338,4)),VALUE(MID(AK338,4,2)),VALUE(LEFT(AK338,2)))),DATE(VALUE(RIGHT(AK338,4)),MATCH(MID(AK338,4,3),{"Jan","Feb","Mar","Apr","May","Jun","Jul","Aug","Sep","Oct","Nov","Dec"},0),VALUE(LEFT(AK338,2))))))</f>
        <v>45372</v>
      </c>
      <c r="D338" s="4" t="s">
        <v>1113</v>
      </c>
      <c r="E338" s="0" t="str">
        <f aca="false">PROPER(TRIM(AL338))</f>
        <v>Aarav Sharma</v>
      </c>
      <c r="F338" s="0" t="str">
        <f aca="false">PROPER(TRIM(AM338))</f>
        <v>Consumer</v>
      </c>
      <c r="G338" s="0" t="str">
        <f aca="false">IF(TRIM(AN338)="","Unknown",PROPER(TRIM(AN338)))</f>
        <v>North</v>
      </c>
      <c r="H338" s="0" t="str">
        <f aca="false">PROPER(TRIM(AO338))</f>
        <v>Rajasthan</v>
      </c>
      <c r="I338" s="0" t="str">
        <f aca="false">PROPER(TRIM(AP338))</f>
        <v>Jaipur</v>
      </c>
      <c r="J338" s="0" t="str">
        <f aca="false">PROPER(TRIM(AQ338))</f>
        <v>Technology</v>
      </c>
      <c r="K338" s="0" t="str">
        <f aca="false">PROPER(TRIM(AR338))</f>
        <v>Copiers</v>
      </c>
      <c r="M338" s="0" t="str">
        <f aca="false">IF(TRIM(AS338)="","Unknown",PROPER(TRIM(AS338)))</f>
        <v>First Class</v>
      </c>
      <c r="N338" s="0" t="n">
        <v>8</v>
      </c>
      <c r="O338" s="0" t="n">
        <v>1992.57</v>
      </c>
      <c r="P338" s="5" t="n">
        <f aca="false">IF(AT338="","",IF(ISNUMBER(AT338),AT338,VALUE(SUBSTITUTE(AT338,"%",""))/100))</f>
        <v>0</v>
      </c>
      <c r="Q338" s="5" t="n">
        <f aca="false">IF(P338="",IF(AND(N338&lt;&gt;"",O338&lt;&gt;"",R338&lt;&gt;"",S338&lt;&gt;""),0,"REVIEW"),IF(OR(P338&lt;0,P338&gt;0.3),0,P338))</f>
        <v>0</v>
      </c>
      <c r="R338" s="0" t="n">
        <v>15940.56</v>
      </c>
      <c r="S338" s="0" t="n">
        <v>12347.15</v>
      </c>
      <c r="T338" s="6" t="n">
        <f aca="false">N338*O338*(1-Q338)</f>
        <v>15940.56</v>
      </c>
      <c r="U338" s="6" t="n">
        <f aca="false">T338-S338</f>
        <v>3593.41</v>
      </c>
      <c r="V338" s="7" t="n">
        <f aca="false">IF(T338=0,0,U338/T338)</f>
        <v>0.22542558103354</v>
      </c>
      <c r="W338" s="4" t="n">
        <f aca="false">C338-B338</f>
        <v>4</v>
      </c>
      <c r="X338" s="0" t="str">
        <f aca="false">TEXT(B338,"mmmm")</f>
        <v>March</v>
      </c>
      <c r="Y338" s="4" t="n">
        <f aca="false">YEAR(B338)</f>
        <v>2024</v>
      </c>
      <c r="Z338" s="0" t="str">
        <f aca="false">PROPER(TRIM(AU338))</f>
        <v>Paid</v>
      </c>
      <c r="AA338" s="0" t="str">
        <f aca="false">PROPER(TRIM(AV338))</f>
        <v>Completed</v>
      </c>
      <c r="AB338" s="0" t="str">
        <f aca="false">IF(TRIM(AN338)="","Yes","No")</f>
        <v>No</v>
      </c>
      <c r="AC338" s="0" t="str">
        <f aca="false">IF(TRIM(AS338)="","Yes","No")</f>
        <v>No</v>
      </c>
      <c r="AD338" s="0" t="str">
        <f aca="false">IF(AT338="","Yes","No")</f>
        <v>No</v>
      </c>
      <c r="AE338" s="0" t="str">
        <f aca="false">IF(W338&lt;0,"Yes","No")</f>
        <v>No</v>
      </c>
      <c r="AF338" s="0" t="str">
        <f aca="false">IF(P338="","No",IF(OR(P338&lt;0,P338&gt;0.3),"Yes","No"))</f>
        <v>No</v>
      </c>
      <c r="AG338" s="4" t="s">
        <v>50</v>
      </c>
      <c r="AH338" s="0" t="str">
        <f aca="false">IF(AND(AA338="Completed",Z338="Paid"),"Yes","No")</f>
        <v>Yes</v>
      </c>
      <c r="AI338" s="0" t="str">
        <f aca="false">IF(OR(AE338="Yes",AF338="Yes",AG338="Yes"),"Invalid",IF(OR(AB338="Yes",AC338="Yes",AD338="Yes"),"Warning","Clean"))</f>
        <v>Clean</v>
      </c>
      <c r="AJ338" s="4" t="s">
        <v>295</v>
      </c>
      <c r="AK338" s="4" t="s">
        <v>1415</v>
      </c>
      <c r="AL338" s="4" t="s">
        <v>176</v>
      </c>
      <c r="AM338" s="4" t="s">
        <v>54</v>
      </c>
      <c r="AN338" s="4" t="s">
        <v>168</v>
      </c>
      <c r="AO338" s="4" t="s">
        <v>56</v>
      </c>
      <c r="AP338" s="4" t="s">
        <v>57</v>
      </c>
      <c r="AQ338" s="4" t="s">
        <v>109</v>
      </c>
      <c r="AR338" s="4" t="s">
        <v>116</v>
      </c>
      <c r="AS338" s="4" t="s">
        <v>81</v>
      </c>
      <c r="AT338" s="0" t="n">
        <v>0</v>
      </c>
      <c r="AU338" s="4" t="s">
        <v>61</v>
      </c>
      <c r="AV338" s="4" t="s">
        <v>62</v>
      </c>
    </row>
    <row r="339" customFormat="false" ht="15" hidden="false" customHeight="false" outlineLevel="0" collapsed="false">
      <c r="A339" s="0" t="s">
        <v>1416</v>
      </c>
      <c r="B339" s="3" t="n">
        <f aca="false">IF(AJ339="","",IF(ISNUMBER(SEARCH("/",AJ339)),DATE(VALUE(RIGHT(AJ339,4)),VALUE(LEFT(AJ339,2)),VALUE(MID(AJ339,4,2))),IF(ISNUMBER(SEARCH("-",AJ339)),IF(LEN(LEFT(AJ339,FIND("-",AJ339)-1))=4,DATE(VALUE(LEFT(AJ339,4)),VALUE(MID(AJ339,6,2)),VALUE(RIGHT(AJ339,2))),DATE(VALUE(RIGHT(AJ339,4)),VALUE(MID(AJ339,4,2)),VALUE(LEFT(AJ339,2)))),DATE(VALUE(RIGHT(AJ339,4)),MATCH(MID(AJ339,4,3),{"Jan","Feb","Mar","Apr","May","Jun","Jul","Aug","Sep","Oct","Nov","Dec"},0),VALUE(LEFT(AJ339,2))))))</f>
        <v>45516</v>
      </c>
      <c r="C339" s="3" t="n">
        <f aca="false">IF(AK339="","",IF(ISNUMBER(SEARCH("/",AK339)),DATE(VALUE(RIGHT(AK339,4)),VALUE(LEFT(AK339,2)),VALUE(MID(AK339,4,2))),IF(ISNUMBER(SEARCH("-",AK339)),IF(LEN(LEFT(AK339,FIND("-",AK339)-1))=4,DATE(VALUE(LEFT(AK339,4)),VALUE(MID(AK339,6,2)),VALUE(RIGHT(AK339,2))),DATE(VALUE(RIGHT(AK339,4)),VALUE(MID(AK339,4,2)),VALUE(LEFT(AK339,2)))),DATE(VALUE(RIGHT(AK339,4)),MATCH(MID(AK339,4,3),{"Jan","Feb","Mar","Apr","May","Jun","Jul","Aug","Sep","Oct","Nov","Dec"},0),VALUE(LEFT(AK339,2))))))</f>
        <v>45522</v>
      </c>
      <c r="D339" s="4" t="s">
        <v>1417</v>
      </c>
      <c r="E339" s="0" t="str">
        <f aca="false">PROPER(TRIM(AL339))</f>
        <v>Ananya Rao</v>
      </c>
      <c r="F339" s="0" t="str">
        <f aca="false">PROPER(TRIM(AM339))</f>
        <v>Consumer</v>
      </c>
      <c r="G339" s="0" t="str">
        <f aca="false">IF(TRIM(AN339)="","Unknown",PROPER(TRIM(AN339)))</f>
        <v>East</v>
      </c>
      <c r="H339" s="0" t="str">
        <f aca="false">PROPER(TRIM(AO339))</f>
        <v>Assam</v>
      </c>
      <c r="I339" s="0" t="str">
        <f aca="false">PROPER(TRIM(AP339))</f>
        <v>Guwahati</v>
      </c>
      <c r="J339" s="0" t="str">
        <f aca="false">PROPER(TRIM(AQ339))</f>
        <v>Office Supplies</v>
      </c>
      <c r="K339" s="0" t="str">
        <f aca="false">PROPER(TRIM(AR339))</f>
        <v>Labels</v>
      </c>
      <c r="M339" s="0" t="str">
        <f aca="false">IF(TRIM(AS339)="","Unknown",PROPER(TRIM(AS339)))</f>
        <v>Same Day</v>
      </c>
      <c r="N339" s="0" t="n">
        <v>6</v>
      </c>
      <c r="O339" s="0" t="n">
        <v>1181.74</v>
      </c>
      <c r="P339" s="5" t="n">
        <f aca="false">IF(AT339="","",IF(ISNUMBER(AT339),AT339,VALUE(SUBSTITUTE(AT339,"%",""))/100))</f>
        <v>0</v>
      </c>
      <c r="Q339" s="5" t="n">
        <f aca="false">IF(P339="",IF(AND(N339&lt;&gt;"",O339&lt;&gt;"",R339&lt;&gt;"",S339&lt;&gt;""),0,"REVIEW"),IF(OR(P339&lt;0,P339&gt;0.3),0,P339))</f>
        <v>0</v>
      </c>
      <c r="R339" s="0" t="n">
        <v>7090.44</v>
      </c>
      <c r="S339" s="0" t="n">
        <v>5672.27</v>
      </c>
      <c r="T339" s="6" t="n">
        <f aca="false">N339*O339*(1-Q339)</f>
        <v>7090.44</v>
      </c>
      <c r="U339" s="6" t="n">
        <f aca="false">T339-S339</f>
        <v>1418.17</v>
      </c>
      <c r="V339" s="7" t="n">
        <f aca="false">IF(T339=0,0,U339/T339)</f>
        <v>0.200011564867625</v>
      </c>
      <c r="W339" s="4" t="n">
        <f aca="false">C339-B339</f>
        <v>6</v>
      </c>
      <c r="X339" s="0" t="str">
        <f aca="false">TEXT(B339,"mmmm")</f>
        <v>August</v>
      </c>
      <c r="Y339" s="4" t="n">
        <f aca="false">YEAR(B339)</f>
        <v>2024</v>
      </c>
      <c r="Z339" s="0" t="str">
        <f aca="false">PROPER(TRIM(AU339))</f>
        <v>Paid</v>
      </c>
      <c r="AA339" s="0" t="str">
        <f aca="false">PROPER(TRIM(AV339))</f>
        <v>Completed</v>
      </c>
      <c r="AB339" s="0" t="str">
        <f aca="false">IF(TRIM(AN339)="","Yes","No")</f>
        <v>No</v>
      </c>
      <c r="AC339" s="0" t="str">
        <f aca="false">IF(TRIM(AS339)="","Yes","No")</f>
        <v>No</v>
      </c>
      <c r="AD339" s="0" t="str">
        <f aca="false">IF(AT339="","Yes","No")</f>
        <v>No</v>
      </c>
      <c r="AE339" s="0" t="str">
        <f aca="false">IF(W339&lt;0,"Yes","No")</f>
        <v>No</v>
      </c>
      <c r="AF339" s="0" t="str">
        <f aca="false">IF(P339="","No",IF(OR(P339&lt;0,P339&gt;0.3),"Yes","No"))</f>
        <v>No</v>
      </c>
      <c r="AG339" s="4" t="s">
        <v>50</v>
      </c>
      <c r="AH339" s="0" t="str">
        <f aca="false">IF(AND(AA339="Completed",Z339="Paid"),"Yes","No")</f>
        <v>Yes</v>
      </c>
      <c r="AI339" s="0" t="str">
        <f aca="false">IF(OR(AE339="Yes",AF339="Yes",AG339="Yes"),"Invalid",IF(OR(AB339="Yes",AC339="Yes",AD339="Yes"),"Warning","Clean"))</f>
        <v>Clean</v>
      </c>
      <c r="AJ339" s="4" t="s">
        <v>1418</v>
      </c>
      <c r="AK339" s="4" t="s">
        <v>1419</v>
      </c>
      <c r="AL339" s="4" t="s">
        <v>96</v>
      </c>
      <c r="AM339" s="4" t="s">
        <v>54</v>
      </c>
      <c r="AN339" s="4" t="s">
        <v>69</v>
      </c>
      <c r="AO339" s="4" t="s">
        <v>221</v>
      </c>
      <c r="AP339" s="4" t="s">
        <v>222</v>
      </c>
      <c r="AQ339" s="4" t="s">
        <v>58</v>
      </c>
      <c r="AR339" s="4" t="s">
        <v>129</v>
      </c>
      <c r="AS339" s="4" t="s">
        <v>74</v>
      </c>
      <c r="AT339" s="0" t="n">
        <v>0</v>
      </c>
      <c r="AU339" s="4" t="s">
        <v>61</v>
      </c>
      <c r="AV339" s="4" t="s">
        <v>62</v>
      </c>
    </row>
    <row r="340" customFormat="false" ht="15" hidden="false" customHeight="false" outlineLevel="0" collapsed="false">
      <c r="A340" s="0" t="s">
        <v>1420</v>
      </c>
      <c r="B340" s="3" t="n">
        <f aca="false">IF(AJ340="","",IF(ISNUMBER(SEARCH("/",AJ340)),DATE(VALUE(RIGHT(AJ340,4)),VALUE(LEFT(AJ340,2)),VALUE(MID(AJ340,4,2))),IF(ISNUMBER(SEARCH("-",AJ340)),IF(LEN(LEFT(AJ340,FIND("-",AJ340)-1))=4,DATE(VALUE(LEFT(AJ340,4)),VALUE(MID(AJ340,6,2)),VALUE(RIGHT(AJ340,2))),DATE(VALUE(RIGHT(AJ340,4)),VALUE(MID(AJ340,4,2)),VALUE(LEFT(AJ340,2)))),DATE(VALUE(RIGHT(AJ340,4)),MATCH(MID(AJ340,4,3),{"Jan","Feb","Mar","Apr","May","Jun","Jul","Aug","Sep","Oct","Nov","Dec"},0),VALUE(LEFT(AJ340,2))))))</f>
        <v>45634</v>
      </c>
      <c r="C340" s="3" t="n">
        <f aca="false">IF(AK340="","",IF(ISNUMBER(SEARCH("/",AK340)),DATE(VALUE(RIGHT(AK340,4)),VALUE(LEFT(AK340,2)),VALUE(MID(AK340,4,2))),IF(ISNUMBER(SEARCH("-",AK340)),IF(LEN(LEFT(AK340,FIND("-",AK340)-1))=4,DATE(VALUE(LEFT(AK340,4)),VALUE(MID(AK340,6,2)),VALUE(RIGHT(AK340,2))),DATE(VALUE(RIGHT(AK340,4)),VALUE(MID(AK340,4,2)),VALUE(LEFT(AK340,2)))),DATE(VALUE(RIGHT(AK340,4)),MATCH(MID(AK340,4,3),{"Jan","Feb","Mar","Apr","May","Jun","Jul","Aug","Sep","Oct","Nov","Dec"},0),VALUE(LEFT(AK340,2))))))</f>
        <v>45634</v>
      </c>
      <c r="D340" s="4" t="s">
        <v>1421</v>
      </c>
      <c r="E340" s="0" t="str">
        <f aca="false">PROPER(TRIM(AL340))</f>
        <v>Arjun Bose</v>
      </c>
      <c r="F340" s="0" t="str">
        <f aca="false">PROPER(TRIM(AM340))</f>
        <v>Small Business</v>
      </c>
      <c r="G340" s="0" t="str">
        <f aca="false">IF(TRIM(AN340)="","Unknown",PROPER(TRIM(AN340)))</f>
        <v>South</v>
      </c>
      <c r="H340" s="0" t="str">
        <f aca="false">PROPER(TRIM(AO340))</f>
        <v>Andhra Pradesh</v>
      </c>
      <c r="I340" s="0" t="str">
        <f aca="false">PROPER(TRIM(AP340))</f>
        <v>Vijayawada</v>
      </c>
      <c r="J340" s="0" t="str">
        <f aca="false">PROPER(TRIM(AQ340))</f>
        <v>Technology</v>
      </c>
      <c r="K340" s="0" t="str">
        <f aca="false">PROPER(TRIM(AR340))</f>
        <v>Accessories</v>
      </c>
      <c r="M340" s="0" t="str">
        <f aca="false">IF(TRIM(AS340)="","Unknown",PROPER(TRIM(AS340)))</f>
        <v>First Class</v>
      </c>
      <c r="N340" s="0" t="n">
        <v>8</v>
      </c>
      <c r="O340" s="0" t="n">
        <v>4402.36</v>
      </c>
      <c r="P340" s="5" t="n">
        <f aca="false">IF(AT340="","",IF(ISNUMBER(AT340),AT340,VALUE(SUBSTITUTE(AT340,"%",""))/100))</f>
        <v>0.25</v>
      </c>
      <c r="Q340" s="5" t="n">
        <f aca="false">IF(P340="",IF(AND(N340&lt;&gt;"",O340&lt;&gt;"",R340&lt;&gt;"",S340&lt;&gt;""),0,"REVIEW"),IF(OR(P340&lt;0,P340&gt;0.3),0,P340))</f>
        <v>0.25</v>
      </c>
      <c r="R340" s="0" t="n">
        <v>26414.16</v>
      </c>
      <c r="S340" s="0" t="n">
        <v>21822.53</v>
      </c>
      <c r="T340" s="6" t="n">
        <f aca="false">N340*O340*(1-Q340)</f>
        <v>26414.16</v>
      </c>
      <c r="U340" s="6" t="n">
        <f aca="false">T340-S340</f>
        <v>4591.63</v>
      </c>
      <c r="V340" s="7" t="n">
        <f aca="false">IF(T340=0,0,U340/T340)</f>
        <v>0.173832141548321</v>
      </c>
      <c r="W340" s="4" t="n">
        <f aca="false">C340-B340</f>
        <v>0</v>
      </c>
      <c r="X340" s="0" t="str">
        <f aca="false">TEXT(B340,"mmmm")</f>
        <v>December</v>
      </c>
      <c r="Y340" s="4" t="n">
        <f aca="false">YEAR(B340)</f>
        <v>2024</v>
      </c>
      <c r="Z340" s="0" t="str">
        <f aca="false">PROPER(TRIM(AU340))</f>
        <v>Paid</v>
      </c>
      <c r="AA340" s="0" t="str">
        <f aca="false">PROPER(TRIM(AV340))</f>
        <v>Completed</v>
      </c>
      <c r="AB340" s="0" t="str">
        <f aca="false">IF(TRIM(AN340)="","Yes","No")</f>
        <v>No</v>
      </c>
      <c r="AC340" s="0" t="str">
        <f aca="false">IF(TRIM(AS340)="","Yes","No")</f>
        <v>No</v>
      </c>
      <c r="AD340" s="0" t="str">
        <f aca="false">IF(AT340="","Yes","No")</f>
        <v>No</v>
      </c>
      <c r="AE340" s="0" t="str">
        <f aca="false">IF(W340&lt;0,"Yes","No")</f>
        <v>No</v>
      </c>
      <c r="AF340" s="0" t="str">
        <f aca="false">IF(P340="","No",IF(OR(P340&lt;0,P340&gt;0.3),"Yes","No"))</f>
        <v>No</v>
      </c>
      <c r="AG340" s="4" t="s">
        <v>50</v>
      </c>
      <c r="AH340" s="0" t="str">
        <f aca="false">IF(AND(AA340="Completed",Z340="Paid"),"Yes","No")</f>
        <v>Yes</v>
      </c>
      <c r="AI340" s="0" t="str">
        <f aca="false">IF(OR(AE340="Yes",AF340="Yes",AG340="Yes"),"Invalid",IF(OR(AB340="Yes",AC340="Yes",AD340="Yes"),"Warning","Clean"))</f>
        <v>Clean</v>
      </c>
      <c r="AJ340" s="4" t="s">
        <v>1422</v>
      </c>
      <c r="AK340" s="4" t="s">
        <v>1228</v>
      </c>
      <c r="AL340" s="4" t="s">
        <v>86</v>
      </c>
      <c r="AM340" s="4" t="s">
        <v>68</v>
      </c>
      <c r="AN340" s="4" t="s">
        <v>87</v>
      </c>
      <c r="AO340" s="4" t="s">
        <v>121</v>
      </c>
      <c r="AP340" s="4" t="s">
        <v>122</v>
      </c>
      <c r="AQ340" s="4" t="s">
        <v>109</v>
      </c>
      <c r="AR340" s="4" t="s">
        <v>110</v>
      </c>
      <c r="AS340" s="4" t="s">
        <v>81</v>
      </c>
      <c r="AT340" s="0" t="n">
        <v>0.25</v>
      </c>
      <c r="AU340" s="4" t="s">
        <v>61</v>
      </c>
      <c r="AV340" s="4" t="s">
        <v>62</v>
      </c>
    </row>
    <row r="341" customFormat="false" ht="15" hidden="false" customHeight="false" outlineLevel="0" collapsed="false">
      <c r="A341" s="0" t="s">
        <v>1423</v>
      </c>
      <c r="B341" s="3" t="n">
        <f aca="false">IF(AJ341="","",IF(ISNUMBER(SEARCH("/",AJ341)),DATE(VALUE(RIGHT(AJ341,4)),VALUE(LEFT(AJ341,2)),VALUE(MID(AJ341,4,2))),IF(ISNUMBER(SEARCH("-",AJ341)),IF(LEN(LEFT(AJ341,FIND("-",AJ341)-1))=4,DATE(VALUE(LEFT(AJ341,4)),VALUE(MID(AJ341,6,2)),VALUE(RIGHT(AJ341,2))),DATE(VALUE(RIGHT(AJ341,4)),VALUE(MID(AJ341,4,2)),VALUE(LEFT(AJ341,2)))),DATE(VALUE(RIGHT(AJ341,4)),MATCH(MID(AJ341,4,3),{"Jan","Feb","Mar","Apr","May","Jun","Jul","Aug","Sep","Oct","Nov","Dec"},0),VALUE(LEFT(AJ341,2))))))</f>
        <v>45708</v>
      </c>
      <c r="C341" s="3" t="n">
        <f aca="false">IF(AK341="","",IF(ISNUMBER(SEARCH("/",AK341)),DATE(VALUE(RIGHT(AK341,4)),VALUE(LEFT(AK341,2)),VALUE(MID(AK341,4,2))),IF(ISNUMBER(SEARCH("-",AK341)),IF(LEN(LEFT(AK341,FIND("-",AK341)-1))=4,DATE(VALUE(LEFT(AK341,4)),VALUE(MID(AK341,6,2)),VALUE(RIGHT(AK341,2))),DATE(VALUE(RIGHT(AK341,4)),VALUE(MID(AK341,4,2)),VALUE(LEFT(AK341,2)))),DATE(VALUE(RIGHT(AK341,4)),MATCH(MID(AK341,4,3),{"Jan","Feb","Mar","Apr","May","Jun","Jul","Aug","Sep","Oct","Nov","Dec"},0),VALUE(LEFT(AK341,2))))))</f>
        <v>45710</v>
      </c>
      <c r="D341" s="4" t="s">
        <v>1424</v>
      </c>
      <c r="E341" s="0" t="str">
        <f aca="false">PROPER(TRIM(AL341))</f>
        <v>Neha Gupta</v>
      </c>
      <c r="F341" s="0" t="str">
        <f aca="false">PROPER(TRIM(AM341))</f>
        <v>Corporate</v>
      </c>
      <c r="G341" s="0" t="str">
        <f aca="false">IF(TRIM(AN341)="","Unknown",PROPER(TRIM(AN341)))</f>
        <v>East</v>
      </c>
      <c r="H341" s="0" t="str">
        <f aca="false">PROPER(TRIM(AO341))</f>
        <v>Jharkhand</v>
      </c>
      <c r="I341" s="0" t="str">
        <f aca="false">PROPER(TRIM(AP341))</f>
        <v>Ranchi</v>
      </c>
      <c r="J341" s="0" t="str">
        <f aca="false">PROPER(TRIM(AQ341))</f>
        <v>Furniture</v>
      </c>
      <c r="K341" s="0" t="str">
        <f aca="false">PROPER(TRIM(AR341))</f>
        <v>Bookcases</v>
      </c>
      <c r="M341" s="0" t="str">
        <f aca="false">IF(TRIM(AS341)="","Unknown",PROPER(TRIM(AS341)))</f>
        <v>Standard Class</v>
      </c>
      <c r="N341" s="0" t="n">
        <v>8</v>
      </c>
      <c r="O341" s="0" t="n">
        <v>3265.76</v>
      </c>
      <c r="P341" s="5" t="n">
        <f aca="false">IF(AT341="","",IF(ISNUMBER(AT341),AT341,VALUE(SUBSTITUTE(AT341,"%",""))/100))</f>
        <v>0.2</v>
      </c>
      <c r="Q341" s="5" t="n">
        <f aca="false">IF(P341="",IF(AND(N341&lt;&gt;"",O341&lt;&gt;"",R341&lt;&gt;"",S341&lt;&gt;""),0,"REVIEW"),IF(OR(P341&lt;0,P341&gt;0.3),0,P341))</f>
        <v>0.2</v>
      </c>
      <c r="R341" s="0" t="n">
        <v>20900.86</v>
      </c>
      <c r="S341" s="0" t="n">
        <v>12513.14</v>
      </c>
      <c r="T341" s="6" t="n">
        <f aca="false">N341*O341*(1-Q341)</f>
        <v>20900.864</v>
      </c>
      <c r="U341" s="6" t="n">
        <f aca="false">T341-S341</f>
        <v>8387.724</v>
      </c>
      <c r="V341" s="7" t="n">
        <f aca="false">IF(T341=0,0,U341/T341)</f>
        <v>0.401309917140268</v>
      </c>
      <c r="W341" s="4" t="n">
        <f aca="false">C341-B341</f>
        <v>2</v>
      </c>
      <c r="X341" s="0" t="str">
        <f aca="false">TEXT(B341,"mmmm")</f>
        <v>February</v>
      </c>
      <c r="Y341" s="4" t="n">
        <f aca="false">YEAR(B341)</f>
        <v>2025</v>
      </c>
      <c r="Z341" s="0" t="str">
        <f aca="false">PROPER(TRIM(AU341))</f>
        <v>Paid</v>
      </c>
      <c r="AA341" s="0" t="str">
        <f aca="false">PROPER(TRIM(AV341))</f>
        <v>Completed</v>
      </c>
      <c r="AB341" s="0" t="str">
        <f aca="false">IF(TRIM(AN341)="","Yes","No")</f>
        <v>No</v>
      </c>
      <c r="AC341" s="0" t="str">
        <f aca="false">IF(TRIM(AS341)="","Yes","No")</f>
        <v>No</v>
      </c>
      <c r="AD341" s="0" t="str">
        <f aca="false">IF(AT341="","Yes","No")</f>
        <v>No</v>
      </c>
      <c r="AE341" s="0" t="str">
        <f aca="false">IF(W341&lt;0,"Yes","No")</f>
        <v>No</v>
      </c>
      <c r="AF341" s="0" t="str">
        <f aca="false">IF(P341="","No",IF(OR(P341&lt;0,P341&gt;0.3),"Yes","No"))</f>
        <v>No</v>
      </c>
      <c r="AG341" s="4" t="s">
        <v>50</v>
      </c>
      <c r="AH341" s="0" t="str">
        <f aca="false">IF(AND(AA341="Completed",Z341="Paid"),"Yes","No")</f>
        <v>Yes</v>
      </c>
      <c r="AI341" s="0" t="str">
        <f aca="false">IF(OR(AE341="Yes",AF341="Yes",AG341="Yes"),"Invalid",IF(OR(AB341="Yes",AC341="Yes",AD341="Yes"),"Warning","Clean"))</f>
        <v>Clean</v>
      </c>
      <c r="AJ341" s="4" t="s">
        <v>793</v>
      </c>
      <c r="AK341" s="4" t="s">
        <v>1425</v>
      </c>
      <c r="AL341" s="4" t="s">
        <v>115</v>
      </c>
      <c r="AM341" s="4" t="s">
        <v>128</v>
      </c>
      <c r="AN341" s="4" t="s">
        <v>69</v>
      </c>
      <c r="AO341" s="4" t="s">
        <v>300</v>
      </c>
      <c r="AP341" s="4" t="s">
        <v>301</v>
      </c>
      <c r="AQ341" s="4" t="s">
        <v>72</v>
      </c>
      <c r="AR341" s="4" t="s">
        <v>211</v>
      </c>
      <c r="AS341" s="4" t="s">
        <v>91</v>
      </c>
      <c r="AT341" s="0" t="n">
        <v>0.2</v>
      </c>
      <c r="AU341" s="4" t="s">
        <v>61</v>
      </c>
      <c r="AV341" s="4" t="s">
        <v>62</v>
      </c>
    </row>
    <row r="342" customFormat="false" ht="15" hidden="false" customHeight="false" outlineLevel="0" collapsed="false">
      <c r="A342" s="0" t="s">
        <v>1426</v>
      </c>
      <c r="B342" s="3" t="n">
        <f aca="false">IF(AJ342="","",IF(ISNUMBER(SEARCH("/",AJ342)),DATE(VALUE(RIGHT(AJ342,4)),VALUE(LEFT(AJ342,2)),VALUE(MID(AJ342,4,2))),IF(ISNUMBER(SEARCH("-",AJ342)),IF(LEN(LEFT(AJ342,FIND("-",AJ342)-1))=4,DATE(VALUE(LEFT(AJ342,4)),VALUE(MID(AJ342,6,2)),VALUE(RIGHT(AJ342,2))),DATE(VALUE(RIGHT(AJ342,4)),VALUE(MID(AJ342,4,2)),VALUE(LEFT(AJ342,2)))),DATE(VALUE(RIGHT(AJ342,4)),MATCH(MID(AJ342,4,3),{"Jan","Feb","Mar","Apr","May","Jun","Jul","Aug","Sep","Oct","Nov","Dec"},0),VALUE(LEFT(AJ342,2))))))</f>
        <v>45312</v>
      </c>
      <c r="C342" s="3" t="n">
        <f aca="false">IF(AK342="","",IF(ISNUMBER(SEARCH("/",AK342)),DATE(VALUE(RIGHT(AK342,4)),VALUE(LEFT(AK342,2)),VALUE(MID(AK342,4,2))),IF(ISNUMBER(SEARCH("-",AK342)),IF(LEN(LEFT(AK342,FIND("-",AK342)-1))=4,DATE(VALUE(LEFT(AK342,4)),VALUE(MID(AK342,6,2)),VALUE(RIGHT(AK342,2))),DATE(VALUE(RIGHT(AK342,4)),VALUE(MID(AK342,4,2)),VALUE(LEFT(AK342,2)))),DATE(VALUE(RIGHT(AK342,4)),MATCH(MID(AK342,4,3),{"Jan","Feb","Mar","Apr","May","Jun","Jul","Aug","Sep","Oct","Nov","Dec"},0),VALUE(LEFT(AK342,2))))))</f>
        <v>45320</v>
      </c>
      <c r="D342" s="4" t="s">
        <v>1427</v>
      </c>
      <c r="E342" s="0" t="str">
        <f aca="false">PROPER(TRIM(AL342))</f>
        <v>Neha Gupta</v>
      </c>
      <c r="F342" s="0" t="str">
        <f aca="false">PROPER(TRIM(AM342))</f>
        <v>Consumer</v>
      </c>
      <c r="G342" s="0" t="str">
        <f aca="false">IF(TRIM(AN342)="","Unknown",PROPER(TRIM(AN342)))</f>
        <v>South</v>
      </c>
      <c r="H342" s="0" t="str">
        <f aca="false">PROPER(TRIM(AO342))</f>
        <v>Karnataka</v>
      </c>
      <c r="I342" s="0" t="str">
        <f aca="false">PROPER(TRIM(AP342))</f>
        <v>Bengaluru</v>
      </c>
      <c r="J342" s="0" t="str">
        <f aca="false">PROPER(TRIM(AQ342))</f>
        <v>Office Supplies</v>
      </c>
      <c r="K342" s="0" t="str">
        <f aca="false">PROPER(TRIM(AR342))</f>
        <v>Binders</v>
      </c>
      <c r="M342" s="0" t="str">
        <f aca="false">IF(TRIM(AS342)="","Unknown",PROPER(TRIM(AS342)))</f>
        <v>Standard Class</v>
      </c>
      <c r="N342" s="0" t="n">
        <v>5</v>
      </c>
      <c r="O342" s="0" t="n">
        <v>4058.08</v>
      </c>
      <c r="P342" s="5" t="n">
        <f aca="false">IF(AT342="","",IF(ISNUMBER(AT342),AT342,VALUE(SUBSTITUTE(AT342,"%",""))/100))</f>
        <v>0.1</v>
      </c>
      <c r="Q342" s="5" t="n">
        <f aca="false">IF(P342="",IF(AND(N342&lt;&gt;"",O342&lt;&gt;"",R342&lt;&gt;"",S342&lt;&gt;""),0,"REVIEW"),IF(OR(P342&lt;0,P342&gt;0.3),0,P342))</f>
        <v>0.1</v>
      </c>
      <c r="R342" s="0" t="n">
        <v>18261.36</v>
      </c>
      <c r="S342" s="0" t="n">
        <v>11399.94</v>
      </c>
      <c r="T342" s="6" t="n">
        <f aca="false">N342*O342*(1-Q342)</f>
        <v>18261.36</v>
      </c>
      <c r="U342" s="6" t="n">
        <f aca="false">T342-S342</f>
        <v>6861.42</v>
      </c>
      <c r="V342" s="7" t="n">
        <f aca="false">IF(T342=0,0,U342/T342)</f>
        <v>0.375734337420652</v>
      </c>
      <c r="W342" s="4" t="n">
        <f aca="false">C342-B342</f>
        <v>8</v>
      </c>
      <c r="X342" s="0" t="str">
        <f aca="false">TEXT(B342,"mmmm")</f>
        <v>January</v>
      </c>
      <c r="Y342" s="4" t="n">
        <f aca="false">YEAR(B342)</f>
        <v>2024</v>
      </c>
      <c r="Z342" s="0" t="str">
        <f aca="false">PROPER(TRIM(AU342))</f>
        <v>Paid</v>
      </c>
      <c r="AA342" s="0" t="str">
        <f aca="false">PROPER(TRIM(AV342))</f>
        <v>Completed</v>
      </c>
      <c r="AB342" s="0" t="str">
        <f aca="false">IF(TRIM(AN342)="","Yes","No")</f>
        <v>No</v>
      </c>
      <c r="AC342" s="0" t="str">
        <f aca="false">IF(TRIM(AS342)="","Yes","No")</f>
        <v>No</v>
      </c>
      <c r="AD342" s="0" t="str">
        <f aca="false">IF(AT342="","Yes","No")</f>
        <v>No</v>
      </c>
      <c r="AE342" s="0" t="str">
        <f aca="false">IF(W342&lt;0,"Yes","No")</f>
        <v>No</v>
      </c>
      <c r="AF342" s="0" t="str">
        <f aca="false">IF(P342="","No",IF(OR(P342&lt;0,P342&gt;0.3),"Yes","No"))</f>
        <v>No</v>
      </c>
      <c r="AG342" s="4" t="s">
        <v>50</v>
      </c>
      <c r="AH342" s="0" t="str">
        <f aca="false">IF(AND(AA342="Completed",Z342="Paid"),"Yes","No")</f>
        <v>Yes</v>
      </c>
      <c r="AI342" s="0" t="str">
        <f aca="false">IF(OR(AE342="Yes",AF342="Yes",AG342="Yes"),"Invalid",IF(OR(AB342="Yes",AC342="Yes",AD342="Yes"),"Warning","Clean"))</f>
        <v>Clean</v>
      </c>
      <c r="AJ342" s="4" t="s">
        <v>1428</v>
      </c>
      <c r="AK342" s="4" t="s">
        <v>1429</v>
      </c>
      <c r="AL342" s="4" t="s">
        <v>115</v>
      </c>
      <c r="AM342" s="4" t="s">
        <v>54</v>
      </c>
      <c r="AN342" s="4" t="s">
        <v>87</v>
      </c>
      <c r="AO342" s="4" t="s">
        <v>233</v>
      </c>
      <c r="AP342" s="4" t="s">
        <v>234</v>
      </c>
      <c r="AQ342" s="4" t="s">
        <v>58</v>
      </c>
      <c r="AR342" s="4" t="s">
        <v>206</v>
      </c>
      <c r="AS342" s="4" t="s">
        <v>91</v>
      </c>
      <c r="AT342" s="0" t="n">
        <v>0.1</v>
      </c>
      <c r="AU342" s="4" t="s">
        <v>61</v>
      </c>
      <c r="AV342" s="4" t="s">
        <v>62</v>
      </c>
    </row>
    <row r="343" customFormat="false" ht="15" hidden="false" customHeight="false" outlineLevel="0" collapsed="false">
      <c r="A343" s="0" t="s">
        <v>1430</v>
      </c>
      <c r="B343" s="3" t="n">
        <f aca="false">IF(AJ343="","",IF(ISNUMBER(SEARCH("/",AJ343)),DATE(VALUE(RIGHT(AJ343,4)),VALUE(LEFT(AJ343,2)),VALUE(MID(AJ343,4,2))),IF(ISNUMBER(SEARCH("-",AJ343)),IF(LEN(LEFT(AJ343,FIND("-",AJ343)-1))=4,DATE(VALUE(LEFT(AJ343,4)),VALUE(MID(AJ343,6,2)),VALUE(RIGHT(AJ343,2))),DATE(VALUE(RIGHT(AJ343,4)),VALUE(MID(AJ343,4,2)),VALUE(LEFT(AJ343,2)))),DATE(VALUE(RIGHT(AJ343,4)),MATCH(MID(AJ343,4,3),{"Jan","Feb","Mar","Apr","May","Jun","Jul","Aug","Sep","Oct","Nov","Dec"},0),VALUE(LEFT(AJ343,2))))))</f>
        <v>45908</v>
      </c>
      <c r="C343" s="3" t="n">
        <f aca="false">IF(AK343="","",IF(ISNUMBER(SEARCH("/",AK343)),DATE(VALUE(RIGHT(AK343,4)),VALUE(LEFT(AK343,2)),VALUE(MID(AK343,4,2))),IF(ISNUMBER(SEARCH("-",AK343)),IF(LEN(LEFT(AK343,FIND("-",AK343)-1))=4,DATE(VALUE(LEFT(AK343,4)),VALUE(MID(AK343,6,2)),VALUE(RIGHT(AK343,2))),DATE(VALUE(RIGHT(AK343,4)),VALUE(MID(AK343,4,2)),VALUE(LEFT(AK343,2)))),DATE(VALUE(RIGHT(AK343,4)),MATCH(MID(AK343,4,3),{"Jan","Feb","Mar","Apr","May","Jun","Jul","Aug","Sep","Oct","Nov","Dec"},0),VALUE(LEFT(AK343,2))))))</f>
        <v>45909</v>
      </c>
      <c r="D343" s="4" t="s">
        <v>1431</v>
      </c>
      <c r="E343" s="0" t="str">
        <f aca="false">PROPER(TRIM(AL343))</f>
        <v>Rohan Mehta</v>
      </c>
      <c r="F343" s="0" t="str">
        <f aca="false">PROPER(TRIM(AM343))</f>
        <v>Home Office</v>
      </c>
      <c r="G343" s="0" t="str">
        <f aca="false">IF(TRIM(AN343)="","Unknown",PROPER(TRIM(AN343)))</f>
        <v>West</v>
      </c>
      <c r="H343" s="0" t="str">
        <f aca="false">PROPER(TRIM(AO343))</f>
        <v>Gujarat</v>
      </c>
      <c r="I343" s="0" t="str">
        <f aca="false">PROPER(TRIM(AP343))</f>
        <v>Ahmedabad</v>
      </c>
      <c r="J343" s="0" t="str">
        <f aca="false">PROPER(TRIM(AQ343))</f>
        <v>Furniture</v>
      </c>
      <c r="K343" s="0" t="str">
        <f aca="false">PROPER(TRIM(AR343))</f>
        <v>Chairs</v>
      </c>
      <c r="M343" s="0" t="str">
        <f aca="false">IF(TRIM(AS343)="","Unknown",PROPER(TRIM(AS343)))</f>
        <v>Second Class</v>
      </c>
      <c r="N343" s="0" t="n">
        <v>2</v>
      </c>
      <c r="O343" s="0" t="n">
        <v>3960.33</v>
      </c>
      <c r="P343" s="5" t="n">
        <f aca="false">IF(AT343="","",IF(ISNUMBER(AT343),AT343,VALUE(SUBSTITUTE(AT343,"%",""))/100))</f>
        <v>0.05</v>
      </c>
      <c r="Q343" s="5" t="n">
        <f aca="false">IF(P343="",IF(AND(N343&lt;&gt;"",O343&lt;&gt;"",R343&lt;&gt;"",S343&lt;&gt;""),0,"REVIEW"),IF(OR(P343&lt;0,P343&gt;0.3),0,P343))</f>
        <v>0.05</v>
      </c>
      <c r="R343" s="0" t="n">
        <v>7524.63</v>
      </c>
      <c r="S343" s="0" t="n">
        <v>6229.6</v>
      </c>
      <c r="T343" s="6" t="n">
        <f aca="false">N343*O343*(1-Q343)</f>
        <v>7524.627</v>
      </c>
      <c r="U343" s="6" t="n">
        <f aca="false">T343-S343</f>
        <v>1295.027</v>
      </c>
      <c r="V343" s="7" t="n">
        <f aca="false">IF(T343=0,0,U343/T343)</f>
        <v>0.172105142221668</v>
      </c>
      <c r="W343" s="4" t="n">
        <f aca="false">C343-B343</f>
        <v>1</v>
      </c>
      <c r="X343" s="0" t="str">
        <f aca="false">TEXT(B343,"mmmm")</f>
        <v>September</v>
      </c>
      <c r="Y343" s="4" t="n">
        <f aca="false">YEAR(B343)</f>
        <v>2025</v>
      </c>
      <c r="Z343" s="0" t="str">
        <f aca="false">PROPER(TRIM(AU343))</f>
        <v>Paid</v>
      </c>
      <c r="AA343" s="0" t="str">
        <f aca="false">PROPER(TRIM(AV343))</f>
        <v>Completed</v>
      </c>
      <c r="AB343" s="0" t="str">
        <f aca="false">IF(TRIM(AN343)="","Yes","No")</f>
        <v>No</v>
      </c>
      <c r="AC343" s="0" t="str">
        <f aca="false">IF(TRIM(AS343)="","Yes","No")</f>
        <v>No</v>
      </c>
      <c r="AD343" s="0" t="str">
        <f aca="false">IF(AT343="","Yes","No")</f>
        <v>No</v>
      </c>
      <c r="AE343" s="0" t="str">
        <f aca="false">IF(W343&lt;0,"Yes","No")</f>
        <v>No</v>
      </c>
      <c r="AF343" s="0" t="str">
        <f aca="false">IF(P343="","No",IF(OR(P343&lt;0,P343&gt;0.3),"Yes","No"))</f>
        <v>No</v>
      </c>
      <c r="AG343" s="4" t="s">
        <v>50</v>
      </c>
      <c r="AH343" s="0" t="str">
        <f aca="false">IF(AND(AA343="Completed",Z343="Paid"),"Yes","No")</f>
        <v>Yes</v>
      </c>
      <c r="AI343" s="0" t="str">
        <f aca="false">IF(OR(AE343="Yes",AF343="Yes",AG343="Yes"),"Invalid",IF(OR(AB343="Yes",AC343="Yes",AD343="Yes"),"Warning","Clean"))</f>
        <v>Clean</v>
      </c>
      <c r="AJ343" s="4" t="s">
        <v>1432</v>
      </c>
      <c r="AK343" s="4" t="s">
        <v>1433</v>
      </c>
      <c r="AL343" s="4" t="s">
        <v>191</v>
      </c>
      <c r="AM343" s="4" t="s">
        <v>134</v>
      </c>
      <c r="AN343" s="4" t="s">
        <v>97</v>
      </c>
      <c r="AO343" s="4" t="s">
        <v>238</v>
      </c>
      <c r="AP343" s="4" t="s">
        <v>239</v>
      </c>
      <c r="AQ343" s="4" t="s">
        <v>72</v>
      </c>
      <c r="AR343" s="4" t="s">
        <v>100</v>
      </c>
      <c r="AS343" s="4" t="s">
        <v>60</v>
      </c>
      <c r="AT343" s="0" t="n">
        <v>0.05</v>
      </c>
      <c r="AU343" s="4" t="s">
        <v>61</v>
      </c>
      <c r="AV343" s="4" t="s">
        <v>62</v>
      </c>
    </row>
    <row r="344" customFormat="false" ht="15" hidden="false" customHeight="false" outlineLevel="0" collapsed="false">
      <c r="A344" s="0" t="s">
        <v>1434</v>
      </c>
      <c r="B344" s="3" t="n">
        <f aca="false">IF(AJ344="","",IF(ISNUMBER(SEARCH("/",AJ344)),DATE(VALUE(RIGHT(AJ344,4)),VALUE(LEFT(AJ344,2)),VALUE(MID(AJ344,4,2))),IF(ISNUMBER(SEARCH("-",AJ344)),IF(LEN(LEFT(AJ344,FIND("-",AJ344)-1))=4,DATE(VALUE(LEFT(AJ344,4)),VALUE(MID(AJ344,6,2)),VALUE(RIGHT(AJ344,2))),DATE(VALUE(RIGHT(AJ344,4)),VALUE(MID(AJ344,4,2)),VALUE(LEFT(AJ344,2)))),DATE(VALUE(RIGHT(AJ344,4)),MATCH(MID(AJ344,4,3),{"Jan","Feb","Mar","Apr","May","Jun","Jul","Aug","Sep","Oct","Nov","Dec"},0),VALUE(LEFT(AJ344,2))))))</f>
        <v>45862</v>
      </c>
      <c r="C344" s="3" t="n">
        <f aca="false">IF(AK344="","",IF(ISNUMBER(SEARCH("/",AK344)),DATE(VALUE(RIGHT(AK344,4)),VALUE(LEFT(AK344,2)),VALUE(MID(AK344,4,2))),IF(ISNUMBER(SEARCH("-",AK344)),IF(LEN(LEFT(AK344,FIND("-",AK344)-1))=4,DATE(VALUE(LEFT(AK344,4)),VALUE(MID(AK344,6,2)),VALUE(RIGHT(AK344,2))),DATE(VALUE(RIGHT(AK344,4)),VALUE(MID(AK344,4,2)),VALUE(LEFT(AK344,2)))),DATE(VALUE(RIGHT(AK344,4)),MATCH(MID(AK344,4,3),{"Jan","Feb","Mar","Apr","May","Jun","Jul","Aug","Sep","Oct","Nov","Dec"},0),VALUE(LEFT(AK344,2))))))</f>
        <v>45870</v>
      </c>
      <c r="D344" s="4" t="s">
        <v>1435</v>
      </c>
      <c r="E344" s="0" t="str">
        <f aca="false">PROPER(TRIM(AL344))</f>
        <v>Kabir Singh</v>
      </c>
      <c r="F344" s="0" t="str">
        <f aca="false">PROPER(TRIM(AM344))</f>
        <v>Small Business</v>
      </c>
      <c r="G344" s="0" t="str">
        <f aca="false">IF(TRIM(AN344)="","Unknown",PROPER(TRIM(AN344)))</f>
        <v>East</v>
      </c>
      <c r="H344" s="0" t="str">
        <f aca="false">PROPER(TRIM(AO344))</f>
        <v>Jharkhand</v>
      </c>
      <c r="I344" s="0" t="str">
        <f aca="false">PROPER(TRIM(AP344))</f>
        <v>Ranchi</v>
      </c>
      <c r="J344" s="0" t="str">
        <f aca="false">PROPER(TRIM(AQ344))</f>
        <v>Office Supplies</v>
      </c>
      <c r="K344" s="0" t="str">
        <f aca="false">PROPER(TRIM(AR344))</f>
        <v>Binders</v>
      </c>
      <c r="M344" s="0" t="str">
        <f aca="false">IF(TRIM(AS344)="","Unknown",PROPER(TRIM(AS344)))</f>
        <v>First Class</v>
      </c>
      <c r="N344" s="0" t="n">
        <v>8</v>
      </c>
      <c r="O344" s="0" t="n">
        <v>1528.92</v>
      </c>
      <c r="P344" s="5" t="n">
        <f aca="false">IF(AT344="","",IF(ISNUMBER(AT344),AT344,VALUE(SUBSTITUTE(AT344,"%",""))/100))</f>
        <v>0</v>
      </c>
      <c r="Q344" s="5" t="n">
        <f aca="false">IF(P344="",IF(AND(N344&lt;&gt;"",O344&lt;&gt;"",R344&lt;&gt;"",S344&lt;&gt;""),0,"REVIEW"),IF(OR(P344&lt;0,P344&gt;0.3),0,P344))</f>
        <v>0</v>
      </c>
      <c r="R344" s="0" t="n">
        <v>12231.36</v>
      </c>
      <c r="S344" s="0" t="n">
        <v>8766.9</v>
      </c>
      <c r="T344" s="6" t="n">
        <f aca="false">N344*O344*(1-Q344)</f>
        <v>12231.36</v>
      </c>
      <c r="U344" s="6" t="n">
        <f aca="false">T344-S344</f>
        <v>3464.46</v>
      </c>
      <c r="V344" s="7" t="n">
        <f aca="false">IF(T344=0,0,U344/T344)</f>
        <v>0.283244054626795</v>
      </c>
      <c r="W344" s="4" t="n">
        <f aca="false">C344-B344</f>
        <v>8</v>
      </c>
      <c r="X344" s="0" t="str">
        <f aca="false">TEXT(B344,"mmmm")</f>
        <v>July</v>
      </c>
      <c r="Y344" s="4" t="n">
        <f aca="false">YEAR(B344)</f>
        <v>2025</v>
      </c>
      <c r="Z344" s="0" t="str">
        <f aca="false">PROPER(TRIM(AU344))</f>
        <v>Paid</v>
      </c>
      <c r="AA344" s="0" t="str">
        <f aca="false">PROPER(TRIM(AV344))</f>
        <v>Completed</v>
      </c>
      <c r="AB344" s="0" t="str">
        <f aca="false">IF(TRIM(AN344)="","Yes","No")</f>
        <v>No</v>
      </c>
      <c r="AC344" s="0" t="str">
        <f aca="false">IF(TRIM(AS344)="","Yes","No")</f>
        <v>No</v>
      </c>
      <c r="AD344" s="0" t="str">
        <f aca="false">IF(AT344="","Yes","No")</f>
        <v>No</v>
      </c>
      <c r="AE344" s="0" t="str">
        <f aca="false">IF(W344&lt;0,"Yes","No")</f>
        <v>No</v>
      </c>
      <c r="AF344" s="0" t="str">
        <f aca="false">IF(P344="","No",IF(OR(P344&lt;0,P344&gt;0.3),"Yes","No"))</f>
        <v>No</v>
      </c>
      <c r="AG344" s="4" t="s">
        <v>50</v>
      </c>
      <c r="AH344" s="0" t="str">
        <f aca="false">IF(AND(AA344="Completed",Z344="Paid"),"Yes","No")</f>
        <v>Yes</v>
      </c>
      <c r="AI344" s="0" t="str">
        <f aca="false">IF(OR(AE344="Yes",AF344="Yes",AG344="Yes"),"Invalid",IF(OR(AB344="Yes",AC344="Yes",AD344="Yes"),"Warning","Clean"))</f>
        <v>Clean</v>
      </c>
      <c r="AJ344" s="4" t="s">
        <v>1436</v>
      </c>
      <c r="AK344" s="4" t="s">
        <v>1437</v>
      </c>
      <c r="AL344" s="4" t="s">
        <v>347</v>
      </c>
      <c r="AM344" s="4" t="s">
        <v>68</v>
      </c>
      <c r="AN344" s="4" t="s">
        <v>69</v>
      </c>
      <c r="AO344" s="4" t="s">
        <v>300</v>
      </c>
      <c r="AP344" s="4" t="s">
        <v>301</v>
      </c>
      <c r="AQ344" s="4" t="s">
        <v>58</v>
      </c>
      <c r="AR344" s="4" t="s">
        <v>206</v>
      </c>
      <c r="AS344" s="4" t="s">
        <v>81</v>
      </c>
      <c r="AT344" s="0" t="n">
        <v>0</v>
      </c>
      <c r="AU344" s="4" t="s">
        <v>61</v>
      </c>
      <c r="AV344" s="4" t="s">
        <v>62</v>
      </c>
    </row>
    <row r="345" customFormat="false" ht="15" hidden="false" customHeight="false" outlineLevel="0" collapsed="false">
      <c r="A345" s="0" t="s">
        <v>1438</v>
      </c>
      <c r="B345" s="3" t="n">
        <f aca="false">IF(AJ345="","",IF(ISNUMBER(SEARCH("/",AJ345)),DATE(VALUE(RIGHT(AJ345,4)),VALUE(LEFT(AJ345,2)),VALUE(MID(AJ345,4,2))),IF(ISNUMBER(SEARCH("-",AJ345)),IF(LEN(LEFT(AJ345,FIND("-",AJ345)-1))=4,DATE(VALUE(LEFT(AJ345,4)),VALUE(MID(AJ345,6,2)),VALUE(RIGHT(AJ345,2))),DATE(VALUE(RIGHT(AJ345,4)),VALUE(MID(AJ345,4,2)),VALUE(LEFT(AJ345,2)))),DATE(VALUE(RIGHT(AJ345,4)),MATCH(MID(AJ345,4,3),{"Jan","Feb","Mar","Apr","May","Jun","Jul","Aug","Sep","Oct","Nov","Dec"},0),VALUE(LEFT(AJ345,2))))))</f>
        <v>45933</v>
      </c>
      <c r="C345" s="3" t="n">
        <f aca="false">IF(AK345="","",IF(ISNUMBER(SEARCH("/",AK345)),DATE(VALUE(RIGHT(AK345,4)),VALUE(LEFT(AK345,2)),VALUE(MID(AK345,4,2))),IF(ISNUMBER(SEARCH("-",AK345)),IF(LEN(LEFT(AK345,FIND("-",AK345)-1))=4,DATE(VALUE(LEFT(AK345,4)),VALUE(MID(AK345,6,2)),VALUE(RIGHT(AK345,2))),DATE(VALUE(RIGHT(AK345,4)),VALUE(MID(AK345,4,2)),VALUE(LEFT(AK345,2)))),DATE(VALUE(RIGHT(AK345,4)),MATCH(MID(AK345,4,3),{"Jan","Feb","Mar","Apr","May","Jun","Jul","Aug","Sep","Oct","Nov","Dec"},0),VALUE(LEFT(AK345,2))))))</f>
        <v>45938</v>
      </c>
      <c r="D345" s="4" t="s">
        <v>1439</v>
      </c>
      <c r="E345" s="0" t="str">
        <f aca="false">PROPER(TRIM(AL345))</f>
        <v>Aarav Sharma</v>
      </c>
      <c r="F345" s="0" t="str">
        <f aca="false">PROPER(TRIM(AM345))</f>
        <v>Corporate</v>
      </c>
      <c r="G345" s="0" t="str">
        <f aca="false">IF(TRIM(AN345)="","Unknown",PROPER(TRIM(AN345)))</f>
        <v>West</v>
      </c>
      <c r="H345" s="0" t="str">
        <f aca="false">PROPER(TRIM(AO345))</f>
        <v>Madhya Pradesh</v>
      </c>
      <c r="I345" s="0" t="str">
        <f aca="false">PROPER(TRIM(AP345))</f>
        <v>Indore</v>
      </c>
      <c r="J345" s="0" t="str">
        <f aca="false">PROPER(TRIM(AQ345))</f>
        <v>Technology</v>
      </c>
      <c r="K345" s="0" t="str">
        <f aca="false">PROPER(TRIM(AR345))</f>
        <v>Machines</v>
      </c>
      <c r="M345" s="0" t="str">
        <f aca="false">IF(TRIM(AS345)="","Unknown",PROPER(TRIM(AS345)))</f>
        <v>Same Day</v>
      </c>
      <c r="N345" s="0" t="n">
        <v>9</v>
      </c>
      <c r="O345" s="0" t="n">
        <v>3837</v>
      </c>
      <c r="P345" s="5" t="n">
        <f aca="false">IF(AT345="","",IF(ISNUMBER(AT345),AT345,VALUE(SUBSTITUTE(AT345,"%",""))/100))</f>
        <v>0.1</v>
      </c>
      <c r="Q345" s="5" t="n">
        <f aca="false">IF(P345="",IF(AND(N345&lt;&gt;"",O345&lt;&gt;"",R345&lt;&gt;"",S345&lt;&gt;""),0,"REVIEW"),IF(OR(P345&lt;0,P345&gt;0.3),0,P345))</f>
        <v>0.1</v>
      </c>
      <c r="R345" s="0" t="n">
        <v>31079.7</v>
      </c>
      <c r="S345" s="0" t="n">
        <v>17758.25</v>
      </c>
      <c r="T345" s="6" t="n">
        <f aca="false">N345*O345*(1-Q345)</f>
        <v>31079.7</v>
      </c>
      <c r="U345" s="6" t="n">
        <f aca="false">T345-S345</f>
        <v>13321.45</v>
      </c>
      <c r="V345" s="7" t="n">
        <f aca="false">IF(T345=0,0,U345/T345)</f>
        <v>0.428622219648195</v>
      </c>
      <c r="W345" s="4" t="n">
        <f aca="false">C345-B345</f>
        <v>5</v>
      </c>
      <c r="X345" s="0" t="str">
        <f aca="false">TEXT(B345,"mmmm")</f>
        <v>October</v>
      </c>
      <c r="Y345" s="4" t="n">
        <f aca="false">YEAR(B345)</f>
        <v>2025</v>
      </c>
      <c r="Z345" s="0" t="str">
        <f aca="false">PROPER(TRIM(AU345))</f>
        <v>Paid</v>
      </c>
      <c r="AA345" s="0" t="str">
        <f aca="false">PROPER(TRIM(AV345))</f>
        <v>Completed</v>
      </c>
      <c r="AB345" s="0" t="str">
        <f aca="false">IF(TRIM(AN345)="","Yes","No")</f>
        <v>No</v>
      </c>
      <c r="AC345" s="0" t="str">
        <f aca="false">IF(TRIM(AS345)="","Yes","No")</f>
        <v>No</v>
      </c>
      <c r="AD345" s="0" t="str">
        <f aca="false">IF(AT345="","Yes","No")</f>
        <v>No</v>
      </c>
      <c r="AE345" s="0" t="str">
        <f aca="false">IF(W345&lt;0,"Yes","No")</f>
        <v>No</v>
      </c>
      <c r="AF345" s="0" t="str">
        <f aca="false">IF(P345="","No",IF(OR(P345&lt;0,P345&gt;0.3),"Yes","No"))</f>
        <v>No</v>
      </c>
      <c r="AG345" s="4" t="s">
        <v>50</v>
      </c>
      <c r="AH345" s="0" t="str">
        <f aca="false">IF(AND(AA345="Completed",Z345="Paid"),"Yes","No")</f>
        <v>Yes</v>
      </c>
      <c r="AI345" s="0" t="str">
        <f aca="false">IF(OR(AE345="Yes",AF345="Yes",AG345="Yes"),"Invalid",IF(OR(AB345="Yes",AC345="Yes",AD345="Yes"),"Warning","Clean"))</f>
        <v>Clean</v>
      </c>
      <c r="AJ345" s="4" t="s">
        <v>1440</v>
      </c>
      <c r="AK345" s="4" t="s">
        <v>1013</v>
      </c>
      <c r="AL345" s="4" t="s">
        <v>176</v>
      </c>
      <c r="AM345" s="4" t="s">
        <v>128</v>
      </c>
      <c r="AN345" s="4" t="s">
        <v>97</v>
      </c>
      <c r="AO345" s="4" t="s">
        <v>107</v>
      </c>
      <c r="AP345" s="4" t="s">
        <v>108</v>
      </c>
      <c r="AQ345" s="4" t="s">
        <v>109</v>
      </c>
      <c r="AR345" s="4" t="s">
        <v>360</v>
      </c>
      <c r="AS345" s="4" t="s">
        <v>74</v>
      </c>
      <c r="AT345" s="0" t="n">
        <v>0.1</v>
      </c>
      <c r="AU345" s="4" t="s">
        <v>61</v>
      </c>
      <c r="AV345" s="4" t="s">
        <v>62</v>
      </c>
    </row>
    <row r="346" customFormat="false" ht="15" hidden="false" customHeight="false" outlineLevel="0" collapsed="false">
      <c r="A346" s="0" t="s">
        <v>1441</v>
      </c>
      <c r="B346" s="3" t="n">
        <f aca="false">IF(AJ346="","",IF(ISNUMBER(SEARCH("/",AJ346)),DATE(VALUE(RIGHT(AJ346,4)),VALUE(LEFT(AJ346,2)),VALUE(MID(AJ346,4,2))),IF(ISNUMBER(SEARCH("-",AJ346)),IF(LEN(LEFT(AJ346,FIND("-",AJ346)-1))=4,DATE(VALUE(LEFT(AJ346,4)),VALUE(MID(AJ346,6,2)),VALUE(RIGHT(AJ346,2))),DATE(VALUE(RIGHT(AJ346,4)),VALUE(MID(AJ346,4,2)),VALUE(LEFT(AJ346,2)))),DATE(VALUE(RIGHT(AJ346,4)),MATCH(MID(AJ346,4,3),{"Jan","Feb","Mar","Apr","May","Jun","Jul","Aug","Sep","Oct","Nov","Dec"},0),VALUE(LEFT(AJ346,2))))))</f>
        <v>45362</v>
      </c>
      <c r="C346" s="3" t="n">
        <f aca="false">IF(AK346="","",IF(ISNUMBER(SEARCH("/",AK346)),DATE(VALUE(RIGHT(AK346,4)),VALUE(LEFT(AK346,2)),VALUE(MID(AK346,4,2))),IF(ISNUMBER(SEARCH("-",AK346)),IF(LEN(LEFT(AK346,FIND("-",AK346)-1))=4,DATE(VALUE(LEFT(AK346,4)),VALUE(MID(AK346,6,2)),VALUE(RIGHT(AK346,2))),DATE(VALUE(RIGHT(AK346,4)),VALUE(MID(AK346,4,2)),VALUE(LEFT(AK346,2)))),DATE(VALUE(RIGHT(AK346,4)),MATCH(MID(AK346,4,3),{"Jan","Feb","Mar","Apr","May","Jun","Jul","Aug","Sep","Oct","Nov","Dec"},0),VALUE(LEFT(AK346,2))))))</f>
        <v>45362</v>
      </c>
      <c r="D346" s="4" t="s">
        <v>1442</v>
      </c>
      <c r="E346" s="0" t="str">
        <f aca="false">PROPER(TRIM(AL346))</f>
        <v>Priya Menon</v>
      </c>
      <c r="F346" s="0" t="str">
        <f aca="false">PROPER(TRIM(AM346))</f>
        <v>Consumer</v>
      </c>
      <c r="G346" s="0" t="str">
        <f aca="false">IF(TRIM(AN346)="","Unknown",PROPER(TRIM(AN346)))</f>
        <v>North</v>
      </c>
      <c r="H346" s="0" t="str">
        <f aca="false">PROPER(TRIM(AO346))</f>
        <v>Punjab</v>
      </c>
      <c r="I346" s="0" t="str">
        <f aca="false">PROPER(TRIM(AP346))</f>
        <v>Ludhiana</v>
      </c>
      <c r="J346" s="0" t="str">
        <f aca="false">PROPER(TRIM(AQ346))</f>
        <v>Furniture</v>
      </c>
      <c r="K346" s="0" t="str">
        <f aca="false">PROPER(TRIM(AR346))</f>
        <v>Bookcases</v>
      </c>
      <c r="M346" s="0" t="str">
        <f aca="false">IF(TRIM(AS346)="","Unknown",PROPER(TRIM(AS346)))</f>
        <v>Same Day</v>
      </c>
      <c r="N346" s="0" t="n">
        <v>9</v>
      </c>
      <c r="O346" s="0" t="n">
        <v>3456.38</v>
      </c>
      <c r="P346" s="5" t="n">
        <f aca="false">IF(AT346="","",IF(ISNUMBER(AT346),AT346,VALUE(SUBSTITUTE(AT346,"%",""))/100))</f>
        <v>0</v>
      </c>
      <c r="Q346" s="5" t="n">
        <f aca="false">IF(P346="",IF(AND(N346&lt;&gt;"",O346&lt;&gt;"",R346&lt;&gt;"",S346&lt;&gt;""),0,"REVIEW"),IF(OR(P346&lt;0,P346&gt;0.3),0,P346))</f>
        <v>0</v>
      </c>
      <c r="R346" s="0" t="n">
        <v>31107.42</v>
      </c>
      <c r="S346" s="0" t="n">
        <v>20146.66</v>
      </c>
      <c r="T346" s="6" t="n">
        <f aca="false">N346*O346*(1-Q346)</f>
        <v>31107.42</v>
      </c>
      <c r="U346" s="6" t="n">
        <f aca="false">T346-S346</f>
        <v>10960.76</v>
      </c>
      <c r="V346" s="7" t="n">
        <f aca="false">IF(T346=0,0,U346/T346)</f>
        <v>0.352351946898843</v>
      </c>
      <c r="W346" s="4" t="n">
        <f aca="false">C346-B346</f>
        <v>0</v>
      </c>
      <c r="X346" s="0" t="str">
        <f aca="false">TEXT(B346,"mmmm")</f>
        <v>March</v>
      </c>
      <c r="Y346" s="4" t="n">
        <f aca="false">YEAR(B346)</f>
        <v>2024</v>
      </c>
      <c r="Z346" s="0" t="str">
        <f aca="false">PROPER(TRIM(AU346))</f>
        <v>Pending</v>
      </c>
      <c r="AA346" s="0" t="str">
        <f aca="false">PROPER(TRIM(AV346))</f>
        <v>Returned</v>
      </c>
      <c r="AB346" s="0" t="str">
        <f aca="false">IF(TRIM(AN346)="","Yes","No")</f>
        <v>No</v>
      </c>
      <c r="AC346" s="0" t="str">
        <f aca="false">IF(TRIM(AS346)="","Yes","No")</f>
        <v>No</v>
      </c>
      <c r="AD346" s="0" t="str">
        <f aca="false">IF(AT346="","Yes","No")</f>
        <v>No</v>
      </c>
      <c r="AE346" s="0" t="str">
        <f aca="false">IF(W346&lt;0,"Yes","No")</f>
        <v>No</v>
      </c>
      <c r="AF346" s="0" t="str">
        <f aca="false">IF(P346="","No",IF(OR(P346&lt;0,P346&gt;0.3),"Yes","No"))</f>
        <v>No</v>
      </c>
      <c r="AG346" s="4" t="s">
        <v>50</v>
      </c>
      <c r="AH346" s="0" t="str">
        <f aca="false">IF(AND(AA346="Completed",Z346="Paid"),"Yes","No")</f>
        <v>No</v>
      </c>
      <c r="AI346" s="0" t="str">
        <f aca="false">IF(OR(AE346="Yes",AF346="Yes",AG346="Yes"),"Invalid",IF(OR(AB346="Yes",AC346="Yes",AD346="Yes"),"Warning","Clean"))</f>
        <v>Clean</v>
      </c>
      <c r="AJ346" s="4" t="s">
        <v>1262</v>
      </c>
      <c r="AK346" s="4" t="s">
        <v>1262</v>
      </c>
      <c r="AL346" s="4" t="s">
        <v>158</v>
      </c>
      <c r="AM346" s="4" t="s">
        <v>54</v>
      </c>
      <c r="AN346" s="4" t="s">
        <v>168</v>
      </c>
      <c r="AO346" s="4" t="s">
        <v>169</v>
      </c>
      <c r="AP346" s="4" t="s">
        <v>170</v>
      </c>
      <c r="AQ346" s="4" t="s">
        <v>72</v>
      </c>
      <c r="AR346" s="4" t="s">
        <v>211</v>
      </c>
      <c r="AS346" s="4" t="s">
        <v>74</v>
      </c>
      <c r="AT346" s="0" t="n">
        <v>0</v>
      </c>
      <c r="AU346" s="4" t="s">
        <v>153</v>
      </c>
      <c r="AV346" s="4" t="s">
        <v>142</v>
      </c>
    </row>
    <row r="347" customFormat="false" ht="15" hidden="false" customHeight="false" outlineLevel="0" collapsed="false">
      <c r="A347" s="0" t="s">
        <v>1443</v>
      </c>
      <c r="B347" s="3" t="n">
        <f aca="false">IF(AJ347="","",IF(ISNUMBER(SEARCH("/",AJ347)),DATE(VALUE(RIGHT(AJ347,4)),VALUE(LEFT(AJ347,2)),VALUE(MID(AJ347,4,2))),IF(ISNUMBER(SEARCH("-",AJ347)),IF(LEN(LEFT(AJ347,FIND("-",AJ347)-1))=4,DATE(VALUE(LEFT(AJ347,4)),VALUE(MID(AJ347,6,2)),VALUE(RIGHT(AJ347,2))),DATE(VALUE(RIGHT(AJ347,4)),VALUE(MID(AJ347,4,2)),VALUE(LEFT(AJ347,2)))),DATE(VALUE(RIGHT(AJ347,4)),MATCH(MID(AJ347,4,3),{"Jan","Feb","Mar","Apr","May","Jun","Jul","Aug","Sep","Oct","Nov","Dec"},0),VALUE(LEFT(AJ347,2))))))</f>
        <v>45549</v>
      </c>
      <c r="C347" s="3" t="n">
        <f aca="false">IF(AK347="","",IF(ISNUMBER(SEARCH("/",AK347)),DATE(VALUE(RIGHT(AK347,4)),VALUE(LEFT(AK347,2)),VALUE(MID(AK347,4,2))),IF(ISNUMBER(SEARCH("-",AK347)),IF(LEN(LEFT(AK347,FIND("-",AK347)-1))=4,DATE(VALUE(LEFT(AK347,4)),VALUE(MID(AK347,6,2)),VALUE(RIGHT(AK347,2))),DATE(VALUE(RIGHT(AK347,4)),VALUE(MID(AK347,4,2)),VALUE(LEFT(AK347,2)))),DATE(VALUE(RIGHT(AK347,4)),MATCH(MID(AK347,4,3),{"Jan","Feb","Mar","Apr","May","Jun","Jul","Aug","Sep","Oct","Nov","Dec"},0),VALUE(LEFT(AK347,2))))))</f>
        <v>45557</v>
      </c>
      <c r="D347" s="4" t="s">
        <v>1444</v>
      </c>
      <c r="E347" s="0" t="str">
        <f aca="false">PROPER(TRIM(AL347))</f>
        <v>Karan Malhotra</v>
      </c>
      <c r="F347" s="0" t="str">
        <f aca="false">PROPER(TRIM(AM347))</f>
        <v>Consumer</v>
      </c>
      <c r="G347" s="0" t="str">
        <f aca="false">IF(TRIM(AN347)="","Unknown",PROPER(TRIM(AN347)))</f>
        <v>West</v>
      </c>
      <c r="H347" s="0" t="str">
        <f aca="false">PROPER(TRIM(AO347))</f>
        <v>Madhya Pradesh</v>
      </c>
      <c r="I347" s="0" t="str">
        <f aca="false">PROPER(TRIM(AP347))</f>
        <v>Indore</v>
      </c>
      <c r="J347" s="0" t="str">
        <f aca="false">PROPER(TRIM(AQ347))</f>
        <v>Furniture</v>
      </c>
      <c r="K347" s="0" t="str">
        <f aca="false">PROPER(TRIM(AR347))</f>
        <v>Furnishings</v>
      </c>
      <c r="M347" s="0" t="str">
        <f aca="false">IF(TRIM(AS347)="","Unknown",PROPER(TRIM(AS347)))</f>
        <v>Second Class</v>
      </c>
      <c r="N347" s="0" t="n">
        <v>2</v>
      </c>
      <c r="O347" s="0" t="n">
        <v>2765.3</v>
      </c>
      <c r="P347" s="5" t="n">
        <f aca="false">IF(AT347="","",IF(ISNUMBER(AT347),AT347,VALUE(SUBSTITUTE(AT347,"%",""))/100))</f>
        <v>0</v>
      </c>
      <c r="Q347" s="5" t="n">
        <f aca="false">IF(P347="",IF(AND(N347&lt;&gt;"",O347&lt;&gt;"",R347&lt;&gt;"",S347&lt;&gt;""),0,"REVIEW"),IF(OR(P347&lt;0,P347&gt;0.3),0,P347))</f>
        <v>0</v>
      </c>
      <c r="R347" s="0" t="n">
        <v>5530.6</v>
      </c>
      <c r="S347" s="0" t="n">
        <v>4453.11</v>
      </c>
      <c r="T347" s="6" t="n">
        <f aca="false">N347*O347*(1-Q347)</f>
        <v>5530.6</v>
      </c>
      <c r="U347" s="6" t="n">
        <f aca="false">T347-S347</f>
        <v>1077.49</v>
      </c>
      <c r="V347" s="7" t="n">
        <f aca="false">IF(T347=0,0,U347/T347)</f>
        <v>0.194823346472354</v>
      </c>
      <c r="W347" s="4" t="n">
        <f aca="false">C347-B347</f>
        <v>8</v>
      </c>
      <c r="X347" s="0" t="str">
        <f aca="false">TEXT(B347,"mmmm")</f>
        <v>September</v>
      </c>
      <c r="Y347" s="4" t="n">
        <f aca="false">YEAR(B347)</f>
        <v>2024</v>
      </c>
      <c r="Z347" s="0" t="str">
        <f aca="false">PROPER(TRIM(AU347))</f>
        <v>Paid</v>
      </c>
      <c r="AA347" s="0" t="str">
        <f aca="false">PROPER(TRIM(AV347))</f>
        <v>Completed</v>
      </c>
      <c r="AB347" s="0" t="str">
        <f aca="false">IF(TRIM(AN347)="","Yes","No")</f>
        <v>No</v>
      </c>
      <c r="AC347" s="0" t="str">
        <f aca="false">IF(TRIM(AS347)="","Yes","No")</f>
        <v>No</v>
      </c>
      <c r="AD347" s="0" t="str">
        <f aca="false">IF(AT347="","Yes","No")</f>
        <v>No</v>
      </c>
      <c r="AE347" s="0" t="str">
        <f aca="false">IF(W347&lt;0,"Yes","No")</f>
        <v>No</v>
      </c>
      <c r="AF347" s="0" t="str">
        <f aca="false">IF(P347="","No",IF(OR(P347&lt;0,P347&gt;0.3),"Yes","No"))</f>
        <v>No</v>
      </c>
      <c r="AG347" s="4" t="s">
        <v>50</v>
      </c>
      <c r="AH347" s="0" t="str">
        <f aca="false">IF(AND(AA347="Completed",Z347="Paid"),"Yes","No")</f>
        <v>Yes</v>
      </c>
      <c r="AI347" s="0" t="str">
        <f aca="false">IF(OR(AE347="Yes",AF347="Yes",AG347="Yes"),"Invalid",IF(OR(AB347="Yes",AC347="Yes",AD347="Yes"),"Warning","Clean"))</f>
        <v>Clean</v>
      </c>
      <c r="AJ347" s="4" t="s">
        <v>1445</v>
      </c>
      <c r="AK347" s="4" t="s">
        <v>1446</v>
      </c>
      <c r="AL347" s="4" t="s">
        <v>53</v>
      </c>
      <c r="AM347" s="4" t="s">
        <v>54</v>
      </c>
      <c r="AN347" s="4" t="s">
        <v>97</v>
      </c>
      <c r="AO347" s="4" t="s">
        <v>107</v>
      </c>
      <c r="AP347" s="4" t="s">
        <v>108</v>
      </c>
      <c r="AQ347" s="4" t="s">
        <v>72</v>
      </c>
      <c r="AR347" s="4" t="s">
        <v>90</v>
      </c>
      <c r="AS347" s="4" t="s">
        <v>60</v>
      </c>
      <c r="AT347" s="0" t="n">
        <v>0</v>
      </c>
      <c r="AU347" s="4" t="s">
        <v>61</v>
      </c>
      <c r="AV347" s="4" t="s">
        <v>62</v>
      </c>
    </row>
    <row r="348" customFormat="false" ht="15" hidden="false" customHeight="false" outlineLevel="0" collapsed="false">
      <c r="A348" s="0" t="s">
        <v>1447</v>
      </c>
      <c r="B348" s="3" t="n">
        <f aca="false">IF(AJ348="","",IF(ISNUMBER(SEARCH("/",AJ348)),DATE(VALUE(RIGHT(AJ348,4)),VALUE(LEFT(AJ348,2)),VALUE(MID(AJ348,4,2))),IF(ISNUMBER(SEARCH("-",AJ348)),IF(LEN(LEFT(AJ348,FIND("-",AJ348)-1))=4,DATE(VALUE(LEFT(AJ348,4)),VALUE(MID(AJ348,6,2)),VALUE(RIGHT(AJ348,2))),DATE(VALUE(RIGHT(AJ348,4)),VALUE(MID(AJ348,4,2)),VALUE(LEFT(AJ348,2)))),DATE(VALUE(RIGHT(AJ348,4)),MATCH(MID(AJ348,4,3),{"Jan","Feb","Mar","Apr","May","Jun","Jul","Aug","Sep","Oct","Nov","Dec"},0),VALUE(LEFT(AJ348,2))))))</f>
        <v>45860</v>
      </c>
      <c r="C348" s="3" t="n">
        <f aca="false">IF(AK348="","",IF(ISNUMBER(SEARCH("/",AK348)),DATE(VALUE(RIGHT(AK348,4)),VALUE(LEFT(AK348,2)),VALUE(MID(AK348,4,2))),IF(ISNUMBER(SEARCH("-",AK348)),IF(LEN(LEFT(AK348,FIND("-",AK348)-1))=4,DATE(VALUE(LEFT(AK348,4)),VALUE(MID(AK348,6,2)),VALUE(RIGHT(AK348,2))),DATE(VALUE(RIGHT(AK348,4)),VALUE(MID(AK348,4,2)),VALUE(LEFT(AK348,2)))),DATE(VALUE(RIGHT(AK348,4)),MATCH(MID(AK348,4,3),{"Jan","Feb","Mar","Apr","May","Jun","Jul","Aug","Sep","Oct","Nov","Dec"},0),VALUE(LEFT(AK348,2))))))</f>
        <v>45866</v>
      </c>
      <c r="D348" s="4" t="s">
        <v>1448</v>
      </c>
      <c r="E348" s="0" t="str">
        <f aca="false">PROPER(TRIM(AL348))</f>
        <v>Rahul Verma</v>
      </c>
      <c r="F348" s="0" t="str">
        <f aca="false">PROPER(TRIM(AM348))</f>
        <v>Corporate</v>
      </c>
      <c r="G348" s="0" t="str">
        <f aca="false">IF(TRIM(AN348)="","Unknown",PROPER(TRIM(AN348)))</f>
        <v>South</v>
      </c>
      <c r="H348" s="0" t="str">
        <f aca="false">PROPER(TRIM(AO348))</f>
        <v>Kerala</v>
      </c>
      <c r="I348" s="0" t="str">
        <f aca="false">PROPER(TRIM(AP348))</f>
        <v>Kochi</v>
      </c>
      <c r="J348" s="0" t="str">
        <f aca="false">PROPER(TRIM(AQ348))</f>
        <v>Furniture</v>
      </c>
      <c r="K348" s="0" t="str">
        <f aca="false">PROPER(TRIM(AR348))</f>
        <v>Chairs</v>
      </c>
      <c r="M348" s="0" t="str">
        <f aca="false">IF(TRIM(AS348)="","Unknown",PROPER(TRIM(AS348)))</f>
        <v>Second Class</v>
      </c>
      <c r="N348" s="0" t="n">
        <v>6</v>
      </c>
      <c r="O348" s="0" t="n">
        <v>1607.46</v>
      </c>
      <c r="P348" s="5" t="n">
        <f aca="false">IF(AT348="","",IF(ISNUMBER(AT348),AT348,VALUE(SUBSTITUTE(AT348,"%",""))/100))</f>
        <v>0.2</v>
      </c>
      <c r="Q348" s="5" t="n">
        <f aca="false">IF(P348="",IF(AND(N348&lt;&gt;"",O348&lt;&gt;"",R348&lt;&gt;"",S348&lt;&gt;""),0,"REVIEW"),IF(OR(P348&lt;0,P348&gt;0.3),0,P348))</f>
        <v>0.2</v>
      </c>
      <c r="R348" s="0" t="n">
        <v>7715.81</v>
      </c>
      <c r="S348" s="0" t="n">
        <v>4258.42</v>
      </c>
      <c r="T348" s="6" t="n">
        <f aca="false">N348*O348*(1-Q348)</f>
        <v>7715.808</v>
      </c>
      <c r="U348" s="6" t="n">
        <f aca="false">T348-S348</f>
        <v>3457.388</v>
      </c>
      <c r="V348" s="7" t="n">
        <f aca="false">IF(T348=0,0,U348/T348)</f>
        <v>0.448091502536092</v>
      </c>
      <c r="W348" s="4" t="n">
        <f aca="false">C348-B348</f>
        <v>6</v>
      </c>
      <c r="X348" s="0" t="str">
        <f aca="false">TEXT(B348,"mmmm")</f>
        <v>July</v>
      </c>
      <c r="Y348" s="4" t="n">
        <f aca="false">YEAR(B348)</f>
        <v>2025</v>
      </c>
      <c r="Z348" s="0" t="str">
        <f aca="false">PROPER(TRIM(AU348))</f>
        <v>Paid</v>
      </c>
      <c r="AA348" s="0" t="str">
        <f aca="false">PROPER(TRIM(AV348))</f>
        <v>Completed</v>
      </c>
      <c r="AB348" s="0" t="str">
        <f aca="false">IF(TRIM(AN348)="","Yes","No")</f>
        <v>No</v>
      </c>
      <c r="AC348" s="0" t="str">
        <f aca="false">IF(TRIM(AS348)="","Yes","No")</f>
        <v>No</v>
      </c>
      <c r="AD348" s="0" t="str">
        <f aca="false">IF(AT348="","Yes","No")</f>
        <v>No</v>
      </c>
      <c r="AE348" s="0" t="str">
        <f aca="false">IF(W348&lt;0,"Yes","No")</f>
        <v>No</v>
      </c>
      <c r="AF348" s="0" t="str">
        <f aca="false">IF(P348="","No",IF(OR(P348&lt;0,P348&gt;0.3),"Yes","No"))</f>
        <v>No</v>
      </c>
      <c r="AG348" s="4" t="s">
        <v>50</v>
      </c>
      <c r="AH348" s="0" t="str">
        <f aca="false">IF(AND(AA348="Completed",Z348="Paid"),"Yes","No")</f>
        <v>Yes</v>
      </c>
      <c r="AI348" s="0" t="str">
        <f aca="false">IF(OR(AE348="Yes",AF348="Yes",AG348="Yes"),"Invalid",IF(OR(AB348="Yes",AC348="Yes",AD348="Yes"),"Warning","Clean"))</f>
        <v>Clean</v>
      </c>
      <c r="AJ348" s="4" t="s">
        <v>1381</v>
      </c>
      <c r="AK348" s="4" t="s">
        <v>1449</v>
      </c>
      <c r="AL348" s="4" t="s">
        <v>163</v>
      </c>
      <c r="AM348" s="4" t="s">
        <v>128</v>
      </c>
      <c r="AN348" s="4" t="s">
        <v>87</v>
      </c>
      <c r="AO348" s="4" t="s">
        <v>244</v>
      </c>
      <c r="AP348" s="4" t="s">
        <v>245</v>
      </c>
      <c r="AQ348" s="4" t="s">
        <v>72</v>
      </c>
      <c r="AR348" s="4" t="s">
        <v>100</v>
      </c>
      <c r="AS348" s="4" t="s">
        <v>60</v>
      </c>
      <c r="AT348" s="0" t="n">
        <v>0.2</v>
      </c>
      <c r="AU348" s="4" t="s">
        <v>61</v>
      </c>
      <c r="AV348" s="4" t="s">
        <v>62</v>
      </c>
    </row>
    <row r="349" customFormat="false" ht="15" hidden="false" customHeight="false" outlineLevel="0" collapsed="false">
      <c r="A349" s="0" t="s">
        <v>1450</v>
      </c>
      <c r="B349" s="3" t="n">
        <f aca="false">IF(AJ349="","",IF(ISNUMBER(SEARCH("/",AJ349)),DATE(VALUE(RIGHT(AJ349,4)),VALUE(LEFT(AJ349,2)),VALUE(MID(AJ349,4,2))),IF(ISNUMBER(SEARCH("-",AJ349)),IF(LEN(LEFT(AJ349,FIND("-",AJ349)-1))=4,DATE(VALUE(LEFT(AJ349,4)),VALUE(MID(AJ349,6,2)),VALUE(RIGHT(AJ349,2))),DATE(VALUE(RIGHT(AJ349,4)),VALUE(MID(AJ349,4,2)),VALUE(LEFT(AJ349,2)))),DATE(VALUE(RIGHT(AJ349,4)),MATCH(MID(AJ349,4,3),{"Jan","Feb","Mar","Apr","May","Jun","Jul","Aug","Sep","Oct","Nov","Dec"},0),VALUE(LEFT(AJ349,2))))))</f>
        <v>45627</v>
      </c>
      <c r="C349" s="3" t="n">
        <f aca="false">IF(AK349="","",IF(ISNUMBER(SEARCH("/",AK349)),DATE(VALUE(RIGHT(AK349,4)),VALUE(LEFT(AK349,2)),VALUE(MID(AK349,4,2))),IF(ISNUMBER(SEARCH("-",AK349)),IF(LEN(LEFT(AK349,FIND("-",AK349)-1))=4,DATE(VALUE(LEFT(AK349,4)),VALUE(MID(AK349,6,2)),VALUE(RIGHT(AK349,2))),DATE(VALUE(RIGHT(AK349,4)),VALUE(MID(AK349,4,2)),VALUE(LEFT(AK349,2)))),DATE(VALUE(RIGHT(AK349,4)),MATCH(MID(AK349,4,3),{"Jan","Feb","Mar","Apr","May","Jun","Jul","Aug","Sep","Oct","Nov","Dec"},0),VALUE(LEFT(AK349,2))))))</f>
        <v>45634</v>
      </c>
      <c r="D349" s="4" t="s">
        <v>1451</v>
      </c>
      <c r="E349" s="0" t="str">
        <f aca="false">PROPER(TRIM(AL349))</f>
        <v>Aarav Sharma</v>
      </c>
      <c r="F349" s="0" t="str">
        <f aca="false">PROPER(TRIM(AM349))</f>
        <v>Small Business</v>
      </c>
      <c r="G349" s="0" t="str">
        <f aca="false">IF(TRIM(AN349)="","Unknown",PROPER(TRIM(AN349)))</f>
        <v>West</v>
      </c>
      <c r="H349" s="0" t="str">
        <f aca="false">PROPER(TRIM(AO349))</f>
        <v>Goa</v>
      </c>
      <c r="I349" s="0" t="str">
        <f aca="false">PROPER(TRIM(AP349))</f>
        <v>Panaji</v>
      </c>
      <c r="J349" s="0" t="str">
        <f aca="false">PROPER(TRIM(AQ349))</f>
        <v>Furniture</v>
      </c>
      <c r="K349" s="0" t="str">
        <f aca="false">PROPER(TRIM(AR349))</f>
        <v>Chairs</v>
      </c>
      <c r="M349" s="0" t="str">
        <f aca="false">IF(TRIM(AS349)="","Unknown",PROPER(TRIM(AS349)))</f>
        <v>Second Class</v>
      </c>
      <c r="N349" s="0" t="n">
        <v>5</v>
      </c>
      <c r="O349" s="0" t="n">
        <v>2981.49</v>
      </c>
      <c r="P349" s="5" t="n">
        <f aca="false">IF(AT349="","",IF(ISNUMBER(AT349),AT349,VALUE(SUBSTITUTE(AT349,"%",""))/100))</f>
        <v>0.2</v>
      </c>
      <c r="Q349" s="5" t="n">
        <f aca="false">IF(P349="",IF(AND(N349&lt;&gt;"",O349&lt;&gt;"",R349&lt;&gt;"",S349&lt;&gt;""),0,"REVIEW"),IF(OR(P349&lt;0,P349&gt;0.3),0,P349))</f>
        <v>0.2</v>
      </c>
      <c r="R349" s="0" t="n">
        <v>11925.96</v>
      </c>
      <c r="S349" s="0" t="n">
        <v>10103.51</v>
      </c>
      <c r="T349" s="6" t="n">
        <f aca="false">N349*O349*(1-Q349)</f>
        <v>11925.96</v>
      </c>
      <c r="U349" s="6" t="n">
        <f aca="false">T349-S349</f>
        <v>1822.45</v>
      </c>
      <c r="V349" s="7" t="n">
        <f aca="false">IF(T349=0,0,U349/T349)</f>
        <v>0.152813693824229</v>
      </c>
      <c r="W349" s="4" t="n">
        <f aca="false">C349-B349</f>
        <v>7</v>
      </c>
      <c r="X349" s="0" t="str">
        <f aca="false">TEXT(B349,"mmmm")</f>
        <v>December</v>
      </c>
      <c r="Y349" s="4" t="n">
        <f aca="false">YEAR(B349)</f>
        <v>2024</v>
      </c>
      <c r="Z349" s="0" t="str">
        <f aca="false">PROPER(TRIM(AU349))</f>
        <v>Refunded</v>
      </c>
      <c r="AA349" s="0" t="str">
        <f aca="false">PROPER(TRIM(AV349))</f>
        <v>Returned</v>
      </c>
      <c r="AB349" s="0" t="str">
        <f aca="false">IF(TRIM(AN349)="","Yes","No")</f>
        <v>No</v>
      </c>
      <c r="AC349" s="0" t="str">
        <f aca="false">IF(TRIM(AS349)="","Yes","No")</f>
        <v>No</v>
      </c>
      <c r="AD349" s="0" t="str">
        <f aca="false">IF(AT349="","Yes","No")</f>
        <v>No</v>
      </c>
      <c r="AE349" s="0" t="str">
        <f aca="false">IF(W349&lt;0,"Yes","No")</f>
        <v>No</v>
      </c>
      <c r="AF349" s="0" t="str">
        <f aca="false">IF(P349="","No",IF(OR(P349&lt;0,P349&gt;0.3),"Yes","No"))</f>
        <v>No</v>
      </c>
      <c r="AG349" s="4" t="s">
        <v>50</v>
      </c>
      <c r="AH349" s="0" t="str">
        <f aca="false">IF(AND(AA349="Completed",Z349="Paid"),"Yes","No")</f>
        <v>No</v>
      </c>
      <c r="AI349" s="0" t="str">
        <f aca="false">IF(OR(AE349="Yes",AF349="Yes",AG349="Yes"),"Invalid",IF(OR(AB349="Yes",AC349="Yes",AD349="Yes"),"Warning","Clean"))</f>
        <v>Clean</v>
      </c>
      <c r="AJ349" s="4" t="s">
        <v>1452</v>
      </c>
      <c r="AK349" s="4" t="s">
        <v>1228</v>
      </c>
      <c r="AL349" s="4" t="s">
        <v>176</v>
      </c>
      <c r="AM349" s="4" t="s">
        <v>68</v>
      </c>
      <c r="AN349" s="4" t="s">
        <v>97</v>
      </c>
      <c r="AO349" s="4" t="s">
        <v>250</v>
      </c>
      <c r="AP349" s="4" t="s">
        <v>251</v>
      </c>
      <c r="AQ349" s="4" t="s">
        <v>72</v>
      </c>
      <c r="AR349" s="4" t="s">
        <v>100</v>
      </c>
      <c r="AS349" s="4" t="s">
        <v>60</v>
      </c>
      <c r="AT349" s="0" t="n">
        <v>0.2</v>
      </c>
      <c r="AU349" s="4" t="s">
        <v>141</v>
      </c>
      <c r="AV349" s="4" t="s">
        <v>142</v>
      </c>
    </row>
    <row r="350" customFormat="false" ht="15" hidden="false" customHeight="false" outlineLevel="0" collapsed="false">
      <c r="A350" s="0" t="s">
        <v>1453</v>
      </c>
      <c r="B350" s="3" t="n">
        <f aca="false">IF(AJ350="","",IF(ISNUMBER(SEARCH("/",AJ350)),DATE(VALUE(RIGHT(AJ350,4)),VALUE(LEFT(AJ350,2)),VALUE(MID(AJ350,4,2))),IF(ISNUMBER(SEARCH("-",AJ350)),IF(LEN(LEFT(AJ350,FIND("-",AJ350)-1))=4,DATE(VALUE(LEFT(AJ350,4)),VALUE(MID(AJ350,6,2)),VALUE(RIGHT(AJ350,2))),DATE(VALUE(RIGHT(AJ350,4)),VALUE(MID(AJ350,4,2)),VALUE(LEFT(AJ350,2)))),DATE(VALUE(RIGHT(AJ350,4)),MATCH(MID(AJ350,4,3),{"Jan","Feb","Mar","Apr","May","Jun","Jul","Aug","Sep","Oct","Nov","Dec"},0),VALUE(LEFT(AJ350,2))))))</f>
        <v>45445</v>
      </c>
      <c r="C350" s="3" t="n">
        <f aca="false">IF(AK350="","",IF(ISNUMBER(SEARCH("/",AK350)),DATE(VALUE(RIGHT(AK350,4)),VALUE(LEFT(AK350,2)),VALUE(MID(AK350,4,2))),IF(ISNUMBER(SEARCH("-",AK350)),IF(LEN(LEFT(AK350,FIND("-",AK350)-1))=4,DATE(VALUE(LEFT(AK350,4)),VALUE(MID(AK350,6,2)),VALUE(RIGHT(AK350,2))),DATE(VALUE(RIGHT(AK350,4)),VALUE(MID(AK350,4,2)),VALUE(LEFT(AK350,2)))),DATE(VALUE(RIGHT(AK350,4)),MATCH(MID(AK350,4,3),{"Jan","Feb","Mar","Apr","May","Jun","Jul","Aug","Sep","Oct","Nov","Dec"},0),VALUE(LEFT(AK350,2))))))</f>
        <v>45450</v>
      </c>
      <c r="D350" s="4" t="s">
        <v>1454</v>
      </c>
      <c r="E350" s="0" t="str">
        <f aca="false">PROPER(TRIM(AL350))</f>
        <v>Aarav Sharma</v>
      </c>
      <c r="F350" s="0" t="str">
        <f aca="false">PROPER(TRIM(AM350))</f>
        <v>Corporate</v>
      </c>
      <c r="G350" s="0" t="str">
        <f aca="false">IF(TRIM(AN350)="","Unknown",PROPER(TRIM(AN350)))</f>
        <v>South</v>
      </c>
      <c r="H350" s="0" t="str">
        <f aca="false">PROPER(TRIM(AO350))</f>
        <v>Karnataka</v>
      </c>
      <c r="I350" s="0" t="str">
        <f aca="false">PROPER(TRIM(AP350))</f>
        <v>Bengaluru</v>
      </c>
      <c r="J350" s="0" t="str">
        <f aca="false">PROPER(TRIM(AQ350))</f>
        <v>Technology</v>
      </c>
      <c r="K350" s="0" t="str">
        <f aca="false">PROPER(TRIM(AR350))</f>
        <v>Phones</v>
      </c>
      <c r="M350" s="0" t="str">
        <f aca="false">IF(TRIM(AS350)="","Unknown",PROPER(TRIM(AS350)))</f>
        <v>Same Day</v>
      </c>
      <c r="N350" s="0" t="n">
        <v>9</v>
      </c>
      <c r="O350" s="0" t="n">
        <v>2860.26</v>
      </c>
      <c r="P350" s="5" t="n">
        <f aca="false">IF(AT350="","",IF(ISNUMBER(AT350),AT350,VALUE(SUBSTITUTE(AT350,"%",""))/100))</f>
        <v>0.25</v>
      </c>
      <c r="Q350" s="5" t="n">
        <f aca="false">IF(P350="",IF(AND(N350&lt;&gt;"",O350&lt;&gt;"",R350&lt;&gt;"",S350&lt;&gt;""),0,"REVIEW"),IF(OR(P350&lt;0,P350&gt;0.3),0,P350))</f>
        <v>0.25</v>
      </c>
      <c r="R350" s="0" t="n">
        <v>19306.76</v>
      </c>
      <c r="S350" s="0" t="n">
        <v>14442.38</v>
      </c>
      <c r="T350" s="6" t="n">
        <f aca="false">N350*O350*(1-Q350)</f>
        <v>19306.755</v>
      </c>
      <c r="U350" s="6" t="n">
        <f aca="false">T350-S350</f>
        <v>4864.37500000001</v>
      </c>
      <c r="V350" s="7" t="n">
        <f aca="false">IF(T350=0,0,U350/T350)</f>
        <v>0.251951972250127</v>
      </c>
      <c r="W350" s="4" t="n">
        <f aca="false">C350-B350</f>
        <v>5</v>
      </c>
      <c r="X350" s="0" t="str">
        <f aca="false">TEXT(B350,"mmmm")</f>
        <v>June</v>
      </c>
      <c r="Y350" s="4" t="n">
        <f aca="false">YEAR(B350)</f>
        <v>2024</v>
      </c>
      <c r="Z350" s="0" t="str">
        <f aca="false">PROPER(TRIM(AU350))</f>
        <v>Paid</v>
      </c>
      <c r="AA350" s="0" t="str">
        <f aca="false">PROPER(TRIM(AV350))</f>
        <v>Completed</v>
      </c>
      <c r="AB350" s="0" t="str">
        <f aca="false">IF(TRIM(AN350)="","Yes","No")</f>
        <v>No</v>
      </c>
      <c r="AC350" s="0" t="str">
        <f aca="false">IF(TRIM(AS350)="","Yes","No")</f>
        <v>No</v>
      </c>
      <c r="AD350" s="0" t="str">
        <f aca="false">IF(AT350="","Yes","No")</f>
        <v>No</v>
      </c>
      <c r="AE350" s="0" t="str">
        <f aca="false">IF(W350&lt;0,"Yes","No")</f>
        <v>No</v>
      </c>
      <c r="AF350" s="0" t="str">
        <f aca="false">IF(P350="","No",IF(OR(P350&lt;0,P350&gt;0.3),"Yes","No"))</f>
        <v>No</v>
      </c>
      <c r="AG350" s="4" t="s">
        <v>50</v>
      </c>
      <c r="AH350" s="0" t="str">
        <f aca="false">IF(AND(AA350="Completed",Z350="Paid"),"Yes","No")</f>
        <v>Yes</v>
      </c>
      <c r="AI350" s="0" t="str">
        <f aca="false">IF(OR(AE350="Yes",AF350="Yes",AG350="Yes"),"Invalid",IF(OR(AB350="Yes",AC350="Yes",AD350="Yes"),"Warning","Clean"))</f>
        <v>Clean</v>
      </c>
      <c r="AJ350" s="4" t="s">
        <v>1101</v>
      </c>
      <c r="AK350" s="4" t="s">
        <v>1455</v>
      </c>
      <c r="AL350" s="4" t="s">
        <v>176</v>
      </c>
      <c r="AM350" s="4" t="s">
        <v>128</v>
      </c>
      <c r="AN350" s="4" t="s">
        <v>87</v>
      </c>
      <c r="AO350" s="4" t="s">
        <v>233</v>
      </c>
      <c r="AP350" s="4" t="s">
        <v>234</v>
      </c>
      <c r="AQ350" s="4" t="s">
        <v>109</v>
      </c>
      <c r="AR350" s="4" t="s">
        <v>227</v>
      </c>
      <c r="AS350" s="4" t="s">
        <v>74</v>
      </c>
      <c r="AT350" s="0" t="n">
        <v>0.25</v>
      </c>
      <c r="AU350" s="4" t="s">
        <v>61</v>
      </c>
      <c r="AV350" s="4" t="s">
        <v>62</v>
      </c>
    </row>
    <row r="351" customFormat="false" ht="15" hidden="false" customHeight="false" outlineLevel="0" collapsed="false">
      <c r="A351" s="0" t="s">
        <v>1456</v>
      </c>
      <c r="B351" s="3" t="n">
        <f aca="false">IF(AJ351="","",IF(ISNUMBER(SEARCH("/",AJ351)),DATE(VALUE(RIGHT(AJ351,4)),VALUE(LEFT(AJ351,2)),VALUE(MID(AJ351,4,2))),IF(ISNUMBER(SEARCH("-",AJ351)),IF(LEN(LEFT(AJ351,FIND("-",AJ351)-1))=4,DATE(VALUE(LEFT(AJ351,4)),VALUE(MID(AJ351,6,2)),VALUE(RIGHT(AJ351,2))),DATE(VALUE(RIGHT(AJ351,4)),VALUE(MID(AJ351,4,2)),VALUE(LEFT(AJ351,2)))),DATE(VALUE(RIGHT(AJ351,4)),MATCH(MID(AJ351,4,3),{"Jan","Feb","Mar","Apr","May","Jun","Jul","Aug","Sep","Oct","Nov","Dec"},0),VALUE(LEFT(AJ351,2))))))</f>
        <v>45927</v>
      </c>
      <c r="C351" s="3" t="n">
        <f aca="false">IF(AK351="","",IF(ISNUMBER(SEARCH("/",AK351)),DATE(VALUE(RIGHT(AK351,4)),VALUE(LEFT(AK351,2)),VALUE(MID(AK351,4,2))),IF(ISNUMBER(SEARCH("-",AK351)),IF(LEN(LEFT(AK351,FIND("-",AK351)-1))=4,DATE(VALUE(LEFT(AK351,4)),VALUE(MID(AK351,6,2)),VALUE(RIGHT(AK351,2))),DATE(VALUE(RIGHT(AK351,4)),VALUE(MID(AK351,4,2)),VALUE(LEFT(AK351,2)))),DATE(VALUE(RIGHT(AK351,4)),MATCH(MID(AK351,4,3),{"Jan","Feb","Mar","Apr","May","Jun","Jul","Aug","Sep","Oct","Nov","Dec"},0),VALUE(LEFT(AK351,2))))))</f>
        <v>45929</v>
      </c>
      <c r="D351" s="4" t="s">
        <v>1457</v>
      </c>
      <c r="E351" s="0" t="str">
        <f aca="false">PROPER(TRIM(AL351))</f>
        <v>Kabir Singh</v>
      </c>
      <c r="F351" s="0" t="str">
        <f aca="false">PROPER(TRIM(AM351))</f>
        <v>Home Office</v>
      </c>
      <c r="G351" s="0" t="str">
        <f aca="false">IF(TRIM(AN351)="","Unknown",PROPER(TRIM(AN351)))</f>
        <v>East</v>
      </c>
      <c r="H351" s="0" t="str">
        <f aca="false">PROPER(TRIM(AO351))</f>
        <v>Jharkhand</v>
      </c>
      <c r="I351" s="0" t="str">
        <f aca="false">PROPER(TRIM(AP351))</f>
        <v>Ranchi</v>
      </c>
      <c r="J351" s="0" t="str">
        <f aca="false">PROPER(TRIM(AQ351))</f>
        <v>Furniture</v>
      </c>
      <c r="K351" s="0" t="str">
        <f aca="false">PROPER(TRIM(AR351))</f>
        <v>Furnishings</v>
      </c>
      <c r="M351" s="0" t="str">
        <f aca="false">IF(TRIM(AS351)="","Unknown",PROPER(TRIM(AS351)))</f>
        <v>Second Class</v>
      </c>
      <c r="N351" s="0" t="n">
        <v>9</v>
      </c>
      <c r="O351" s="0" t="n">
        <v>2867.55</v>
      </c>
      <c r="P351" s="5" t="n">
        <f aca="false">IF(AT351="","",IF(ISNUMBER(AT351),AT351,VALUE(SUBSTITUTE(AT351,"%",""))/100))</f>
        <v>0.25</v>
      </c>
      <c r="Q351" s="5" t="n">
        <f aca="false">IF(P351="",IF(AND(N351&lt;&gt;"",O351&lt;&gt;"",R351&lt;&gt;"",S351&lt;&gt;""),0,"REVIEW"),IF(OR(P351&lt;0,P351&gt;0.3),0,P351))</f>
        <v>0.25</v>
      </c>
      <c r="R351" s="0" t="n">
        <v>19355.96</v>
      </c>
      <c r="S351" s="0" t="n">
        <v>15012.45</v>
      </c>
      <c r="T351" s="6" t="n">
        <f aca="false">N351*O351*(1-Q351)</f>
        <v>19355.9625</v>
      </c>
      <c r="U351" s="6" t="n">
        <f aca="false">T351-S351</f>
        <v>4343.5125</v>
      </c>
      <c r="V351" s="7" t="n">
        <f aca="false">IF(T351=0,0,U351/T351)</f>
        <v>0.224401783171465</v>
      </c>
      <c r="W351" s="4" t="n">
        <f aca="false">C351-B351</f>
        <v>2</v>
      </c>
      <c r="X351" s="0" t="str">
        <f aca="false">TEXT(B351,"mmmm")</f>
        <v>September</v>
      </c>
      <c r="Y351" s="4" t="n">
        <f aca="false">YEAR(B351)</f>
        <v>2025</v>
      </c>
      <c r="Z351" s="0" t="str">
        <f aca="false">PROPER(TRIM(AU351))</f>
        <v>Paid</v>
      </c>
      <c r="AA351" s="0" t="str">
        <f aca="false">PROPER(TRIM(AV351))</f>
        <v>Completed</v>
      </c>
      <c r="AB351" s="0" t="str">
        <f aca="false">IF(TRIM(AN351)="","Yes","No")</f>
        <v>No</v>
      </c>
      <c r="AC351" s="0" t="str">
        <f aca="false">IF(TRIM(AS351)="","Yes","No")</f>
        <v>No</v>
      </c>
      <c r="AD351" s="0" t="str">
        <f aca="false">IF(AT351="","Yes","No")</f>
        <v>No</v>
      </c>
      <c r="AE351" s="0" t="str">
        <f aca="false">IF(W351&lt;0,"Yes","No")</f>
        <v>No</v>
      </c>
      <c r="AF351" s="0" t="str">
        <f aca="false">IF(P351="","No",IF(OR(P351&lt;0,P351&gt;0.3),"Yes","No"))</f>
        <v>No</v>
      </c>
      <c r="AG351" s="4" t="s">
        <v>50</v>
      </c>
      <c r="AH351" s="0" t="str">
        <f aca="false">IF(AND(AA351="Completed",Z351="Paid"),"Yes","No")</f>
        <v>Yes</v>
      </c>
      <c r="AI351" s="0" t="str">
        <f aca="false">IF(OR(AE351="Yes",AF351="Yes",AG351="Yes"),"Invalid",IF(OR(AB351="Yes",AC351="Yes",AD351="Yes"),"Warning","Clean"))</f>
        <v>Clean</v>
      </c>
      <c r="AJ351" s="4" t="s">
        <v>1458</v>
      </c>
      <c r="AK351" s="4" t="s">
        <v>658</v>
      </c>
      <c r="AL351" s="4" t="s">
        <v>347</v>
      </c>
      <c r="AM351" s="4" t="s">
        <v>134</v>
      </c>
      <c r="AN351" s="4" t="s">
        <v>69</v>
      </c>
      <c r="AO351" s="4" t="s">
        <v>300</v>
      </c>
      <c r="AP351" s="4" t="s">
        <v>301</v>
      </c>
      <c r="AQ351" s="4" t="s">
        <v>72</v>
      </c>
      <c r="AR351" s="4" t="s">
        <v>90</v>
      </c>
      <c r="AS351" s="4" t="s">
        <v>60</v>
      </c>
      <c r="AT351" s="0" t="n">
        <v>0.25</v>
      </c>
      <c r="AU351" s="4" t="s">
        <v>61</v>
      </c>
      <c r="AV351" s="4" t="s">
        <v>62</v>
      </c>
    </row>
    <row r="352" customFormat="false" ht="15" hidden="false" customHeight="false" outlineLevel="0" collapsed="false">
      <c r="A352" s="0" t="s">
        <v>1459</v>
      </c>
      <c r="B352" s="3" t="n">
        <f aca="false">IF(AJ352="","",IF(ISNUMBER(SEARCH("/",AJ352)),DATE(VALUE(RIGHT(AJ352,4)),VALUE(LEFT(AJ352,2)),VALUE(MID(AJ352,4,2))),IF(ISNUMBER(SEARCH("-",AJ352)),IF(LEN(LEFT(AJ352,FIND("-",AJ352)-1))=4,DATE(VALUE(LEFT(AJ352,4)),VALUE(MID(AJ352,6,2)),VALUE(RIGHT(AJ352,2))),DATE(VALUE(RIGHT(AJ352,4)),VALUE(MID(AJ352,4,2)),VALUE(LEFT(AJ352,2)))),DATE(VALUE(RIGHT(AJ352,4)),MATCH(MID(AJ352,4,3),{"Jan","Feb","Mar","Apr","May","Jun","Jul","Aug","Sep","Oct","Nov","Dec"},0),VALUE(LEFT(AJ352,2))))))</f>
        <v>45298</v>
      </c>
      <c r="C352" s="3" t="n">
        <f aca="false">IF(AK352="","",IF(ISNUMBER(SEARCH("/",AK352)),DATE(VALUE(RIGHT(AK352,4)),VALUE(LEFT(AK352,2)),VALUE(MID(AK352,4,2))),IF(ISNUMBER(SEARCH("-",AK352)),IF(LEN(LEFT(AK352,FIND("-",AK352)-1))=4,DATE(VALUE(LEFT(AK352,4)),VALUE(MID(AK352,6,2)),VALUE(RIGHT(AK352,2))),DATE(VALUE(RIGHT(AK352,4)),VALUE(MID(AK352,4,2)),VALUE(LEFT(AK352,2)))),DATE(VALUE(RIGHT(AK352,4)),MATCH(MID(AK352,4,3),{"Jan","Feb","Mar","Apr","May","Jun","Jul","Aug","Sep","Oct","Nov","Dec"},0),VALUE(LEFT(AK352,2))))))</f>
        <v>45305</v>
      </c>
      <c r="D352" s="4" t="s">
        <v>1460</v>
      </c>
      <c r="E352" s="0" t="str">
        <f aca="false">PROPER(TRIM(AL352))</f>
        <v>Sneha Kapoor</v>
      </c>
      <c r="F352" s="0" t="str">
        <f aca="false">PROPER(TRIM(AM352))</f>
        <v>Small Business</v>
      </c>
      <c r="G352" s="0" t="str">
        <f aca="false">IF(TRIM(AN352)="","Unknown",PROPER(TRIM(AN352)))</f>
        <v>East</v>
      </c>
      <c r="H352" s="0" t="str">
        <f aca="false">PROPER(TRIM(AO352))</f>
        <v>Jharkhand</v>
      </c>
      <c r="I352" s="0" t="str">
        <f aca="false">PROPER(TRIM(AP352))</f>
        <v>Ranchi</v>
      </c>
      <c r="J352" s="0" t="str">
        <f aca="false">PROPER(TRIM(AQ352))</f>
        <v>Furniture</v>
      </c>
      <c r="K352" s="0" t="str">
        <f aca="false">PROPER(TRIM(AR352))</f>
        <v>Furnishings</v>
      </c>
      <c r="M352" s="0" t="str">
        <f aca="false">IF(TRIM(AS352)="","Unknown",PROPER(TRIM(AS352)))</f>
        <v>Second Class</v>
      </c>
      <c r="N352" s="0" t="n">
        <v>4</v>
      </c>
      <c r="O352" s="0" t="n">
        <v>3309.54</v>
      </c>
      <c r="P352" s="5" t="n">
        <f aca="false">IF(AT352="","",IF(ISNUMBER(AT352),AT352,VALUE(SUBSTITUTE(AT352,"%",""))/100))</f>
        <v>0.1</v>
      </c>
      <c r="Q352" s="5" t="n">
        <f aca="false">IF(P352="",IF(AND(N352&lt;&gt;"",O352&lt;&gt;"",R352&lt;&gt;"",S352&lt;&gt;""),0,"REVIEW"),IF(OR(P352&lt;0,P352&gt;0.3),0,P352))</f>
        <v>0.1</v>
      </c>
      <c r="R352" s="0" t="n">
        <v>11914.34</v>
      </c>
      <c r="S352" s="0" t="n">
        <v>9771.24</v>
      </c>
      <c r="T352" s="6" t="n">
        <f aca="false">N352*O352*(1-Q352)</f>
        <v>11914.344</v>
      </c>
      <c r="U352" s="6" t="n">
        <f aca="false">T352-S352</f>
        <v>2143.104</v>
      </c>
      <c r="V352" s="7" t="n">
        <f aca="false">IF(T352=0,0,U352/T352)</f>
        <v>0.179875954563676</v>
      </c>
      <c r="W352" s="4" t="n">
        <f aca="false">C352-B352</f>
        <v>7</v>
      </c>
      <c r="X352" s="0" t="str">
        <f aca="false">TEXT(B352,"mmmm")</f>
        <v>January</v>
      </c>
      <c r="Y352" s="4" t="n">
        <f aca="false">YEAR(B352)</f>
        <v>2024</v>
      </c>
      <c r="Z352" s="0" t="str">
        <f aca="false">PROPER(TRIM(AU352))</f>
        <v>Refunded</v>
      </c>
      <c r="AA352" s="0" t="str">
        <f aca="false">PROPER(TRIM(AV352))</f>
        <v>Returned</v>
      </c>
      <c r="AB352" s="0" t="str">
        <f aca="false">IF(TRIM(AN352)="","Yes","No")</f>
        <v>No</v>
      </c>
      <c r="AC352" s="0" t="str">
        <f aca="false">IF(TRIM(AS352)="","Yes","No")</f>
        <v>No</v>
      </c>
      <c r="AD352" s="0" t="str">
        <f aca="false">IF(AT352="","Yes","No")</f>
        <v>No</v>
      </c>
      <c r="AE352" s="0" t="str">
        <f aca="false">IF(W352&lt;0,"Yes","No")</f>
        <v>No</v>
      </c>
      <c r="AF352" s="0" t="str">
        <f aca="false">IF(P352="","No",IF(OR(P352&lt;0,P352&gt;0.3),"Yes","No"))</f>
        <v>No</v>
      </c>
      <c r="AG352" s="4" t="s">
        <v>50</v>
      </c>
      <c r="AH352" s="0" t="str">
        <f aca="false">IF(AND(AA352="Completed",Z352="Paid"),"Yes","No")</f>
        <v>No</v>
      </c>
      <c r="AI352" s="0" t="str">
        <f aca="false">IF(OR(AE352="Yes",AF352="Yes",AG352="Yes"),"Invalid",IF(OR(AB352="Yes",AC352="Yes",AD352="Yes"),"Warning","Clean"))</f>
        <v>Clean</v>
      </c>
      <c r="AJ352" s="4" t="s">
        <v>1461</v>
      </c>
      <c r="AK352" s="4" t="s">
        <v>1462</v>
      </c>
      <c r="AL352" s="4" t="s">
        <v>181</v>
      </c>
      <c r="AM352" s="4" t="s">
        <v>68</v>
      </c>
      <c r="AN352" s="4" t="s">
        <v>69</v>
      </c>
      <c r="AO352" s="4" t="s">
        <v>300</v>
      </c>
      <c r="AP352" s="4" t="s">
        <v>301</v>
      </c>
      <c r="AQ352" s="4" t="s">
        <v>72</v>
      </c>
      <c r="AR352" s="4" t="s">
        <v>90</v>
      </c>
      <c r="AS352" s="4" t="s">
        <v>60</v>
      </c>
      <c r="AT352" s="0" t="n">
        <v>0.1</v>
      </c>
      <c r="AU352" s="4" t="s">
        <v>141</v>
      </c>
      <c r="AV352" s="4" t="s">
        <v>142</v>
      </c>
    </row>
    <row r="353" customFormat="false" ht="15" hidden="false" customHeight="false" outlineLevel="0" collapsed="false">
      <c r="A353" s="0" t="s">
        <v>1463</v>
      </c>
      <c r="B353" s="3" t="n">
        <f aca="false">IF(AJ353="","",IF(ISNUMBER(SEARCH("/",AJ353)),DATE(VALUE(RIGHT(AJ353,4)),VALUE(LEFT(AJ353,2)),VALUE(MID(AJ353,4,2))),IF(ISNUMBER(SEARCH("-",AJ353)),IF(LEN(LEFT(AJ353,FIND("-",AJ353)-1))=4,DATE(VALUE(LEFT(AJ353,4)),VALUE(MID(AJ353,6,2)),VALUE(RIGHT(AJ353,2))),DATE(VALUE(RIGHT(AJ353,4)),VALUE(MID(AJ353,4,2)),VALUE(LEFT(AJ353,2)))),DATE(VALUE(RIGHT(AJ353,4)),MATCH(MID(AJ353,4,3),{"Jan","Feb","Mar","Apr","May","Jun","Jul","Aug","Sep","Oct","Nov","Dec"},0),VALUE(LEFT(AJ353,2))))))</f>
        <v>45800</v>
      </c>
      <c r="C353" s="3" t="n">
        <f aca="false">IF(AK353="","",IF(ISNUMBER(SEARCH("/",AK353)),DATE(VALUE(RIGHT(AK353,4)),VALUE(LEFT(AK353,2)),VALUE(MID(AK353,4,2))),IF(ISNUMBER(SEARCH("-",AK353)),IF(LEN(LEFT(AK353,FIND("-",AK353)-1))=4,DATE(VALUE(LEFT(AK353,4)),VALUE(MID(AK353,6,2)),VALUE(RIGHT(AK353,2))),DATE(VALUE(RIGHT(AK353,4)),VALUE(MID(AK353,4,2)),VALUE(LEFT(AK353,2)))),DATE(VALUE(RIGHT(AK353,4)),MATCH(MID(AK353,4,3),{"Jan","Feb","Mar","Apr","May","Jun","Jul","Aug","Sep","Oct","Nov","Dec"},0),VALUE(LEFT(AK353,2))))))</f>
        <v>45804</v>
      </c>
      <c r="D353" s="4" t="s">
        <v>1464</v>
      </c>
      <c r="E353" s="0" t="str">
        <f aca="false">PROPER(TRIM(AL353))</f>
        <v>Vikram Iyer</v>
      </c>
      <c r="F353" s="0" t="str">
        <f aca="false">PROPER(TRIM(AM353))</f>
        <v>Small Business</v>
      </c>
      <c r="G353" s="0" t="str">
        <f aca="false">IF(TRIM(AN353)="","Unknown",PROPER(TRIM(AN353)))</f>
        <v>South</v>
      </c>
      <c r="H353" s="0" t="str">
        <f aca="false">PROPER(TRIM(AO353))</f>
        <v>Telangana</v>
      </c>
      <c r="I353" s="0" t="str">
        <f aca="false">PROPER(TRIM(AP353))</f>
        <v>Hyderabad</v>
      </c>
      <c r="J353" s="0" t="str">
        <f aca="false">PROPER(TRIM(AQ353))</f>
        <v>Office Supplies</v>
      </c>
      <c r="K353" s="0" t="str">
        <f aca="false">PROPER(TRIM(AR353))</f>
        <v>Storage</v>
      </c>
      <c r="M353" s="0" t="str">
        <f aca="false">IF(TRIM(AS353)="","Unknown",PROPER(TRIM(AS353)))</f>
        <v>First Class</v>
      </c>
      <c r="N353" s="0" t="n">
        <v>6</v>
      </c>
      <c r="O353" s="0" t="n">
        <v>719.44</v>
      </c>
      <c r="P353" s="5" t="n">
        <f aca="false">IF(AT353="","",IF(ISNUMBER(AT353),AT353,VALUE(SUBSTITUTE(AT353,"%",""))/100))</f>
        <v>0.25</v>
      </c>
      <c r="Q353" s="5" t="n">
        <f aca="false">IF(P353="",IF(AND(N353&lt;&gt;"",O353&lt;&gt;"",R353&lt;&gt;"",S353&lt;&gt;""),0,"REVIEW"),IF(OR(P353&lt;0,P353&gt;0.3),0,P353))</f>
        <v>0.25</v>
      </c>
      <c r="R353" s="0" t="n">
        <v>3237.48</v>
      </c>
      <c r="S353" s="0" t="n">
        <v>2118.34</v>
      </c>
      <c r="T353" s="6" t="n">
        <f aca="false">N353*O353*(1-Q353)</f>
        <v>3237.48</v>
      </c>
      <c r="U353" s="6" t="n">
        <f aca="false">T353-S353</f>
        <v>1119.14</v>
      </c>
      <c r="V353" s="7" t="n">
        <f aca="false">IF(T353=0,0,U353/T353)</f>
        <v>0.345682444370313</v>
      </c>
      <c r="W353" s="4" t="n">
        <f aca="false">C353-B353</f>
        <v>4</v>
      </c>
      <c r="X353" s="0" t="str">
        <f aca="false">TEXT(B353,"mmmm")</f>
        <v>May</v>
      </c>
      <c r="Y353" s="4" t="n">
        <f aca="false">YEAR(B353)</f>
        <v>2025</v>
      </c>
      <c r="Z353" s="0" t="str">
        <f aca="false">PROPER(TRIM(AU353))</f>
        <v>Pending</v>
      </c>
      <c r="AA353" s="0" t="str">
        <f aca="false">PROPER(TRIM(AV353))</f>
        <v>Cancelled</v>
      </c>
      <c r="AB353" s="0" t="str">
        <f aca="false">IF(TRIM(AN353)="","Yes","No")</f>
        <v>No</v>
      </c>
      <c r="AC353" s="0" t="str">
        <f aca="false">IF(TRIM(AS353)="","Yes","No")</f>
        <v>No</v>
      </c>
      <c r="AD353" s="0" t="str">
        <f aca="false">IF(AT353="","Yes","No")</f>
        <v>No</v>
      </c>
      <c r="AE353" s="0" t="str">
        <f aca="false">IF(W353&lt;0,"Yes","No")</f>
        <v>No</v>
      </c>
      <c r="AF353" s="0" t="str">
        <f aca="false">IF(P353="","No",IF(OR(P353&lt;0,P353&gt;0.3),"Yes","No"))</f>
        <v>No</v>
      </c>
      <c r="AG353" s="4" t="s">
        <v>50</v>
      </c>
      <c r="AH353" s="0" t="str">
        <f aca="false">IF(AND(AA353="Completed",Z353="Paid"),"Yes","No")</f>
        <v>No</v>
      </c>
      <c r="AI353" s="0" t="str">
        <f aca="false">IF(OR(AE353="Yes",AF353="Yes",AG353="Yes"),"Invalid",IF(OR(AB353="Yes",AC353="Yes",AD353="Yes"),"Warning","Clean"))</f>
        <v>Clean</v>
      </c>
      <c r="AJ353" s="4" t="s">
        <v>1465</v>
      </c>
      <c r="AK353" s="4" t="s">
        <v>1399</v>
      </c>
      <c r="AL353" s="4" t="s">
        <v>106</v>
      </c>
      <c r="AM353" s="4" t="s">
        <v>68</v>
      </c>
      <c r="AN353" s="4" t="s">
        <v>87</v>
      </c>
      <c r="AO353" s="4" t="s">
        <v>88</v>
      </c>
      <c r="AP353" s="4" t="s">
        <v>89</v>
      </c>
      <c r="AQ353" s="4" t="s">
        <v>58</v>
      </c>
      <c r="AR353" s="4" t="s">
        <v>171</v>
      </c>
      <c r="AS353" s="4" t="s">
        <v>81</v>
      </c>
      <c r="AT353" s="0" t="n">
        <v>0.25</v>
      </c>
      <c r="AU353" s="4" t="s">
        <v>153</v>
      </c>
      <c r="AV353" s="4" t="s">
        <v>101</v>
      </c>
    </row>
    <row r="354" customFormat="false" ht="15" hidden="false" customHeight="false" outlineLevel="0" collapsed="false">
      <c r="A354" s="0" t="s">
        <v>1466</v>
      </c>
      <c r="B354" s="3" t="n">
        <f aca="false">IF(AJ354="","",IF(ISNUMBER(SEARCH("/",AJ354)),DATE(VALUE(RIGHT(AJ354,4)),VALUE(LEFT(AJ354,2)),VALUE(MID(AJ354,4,2))),IF(ISNUMBER(SEARCH("-",AJ354)),IF(LEN(LEFT(AJ354,FIND("-",AJ354)-1))=4,DATE(VALUE(LEFT(AJ354,4)),VALUE(MID(AJ354,6,2)),VALUE(RIGHT(AJ354,2))),DATE(VALUE(RIGHT(AJ354,4)),VALUE(MID(AJ354,4,2)),VALUE(LEFT(AJ354,2)))),DATE(VALUE(RIGHT(AJ354,4)),MATCH(MID(AJ354,4,3),{"Jan","Feb","Mar","Apr","May","Jun","Jul","Aug","Sep","Oct","Nov","Dec"},0),VALUE(LEFT(AJ354,2))))))</f>
        <v>45884</v>
      </c>
      <c r="C354" s="3" t="n">
        <f aca="false">IF(AK354="","",IF(ISNUMBER(SEARCH("/",AK354)),DATE(VALUE(RIGHT(AK354,4)),VALUE(LEFT(AK354,2)),VALUE(MID(AK354,4,2))),IF(ISNUMBER(SEARCH("-",AK354)),IF(LEN(LEFT(AK354,FIND("-",AK354)-1))=4,DATE(VALUE(LEFT(AK354,4)),VALUE(MID(AK354,6,2)),VALUE(RIGHT(AK354,2))),DATE(VALUE(RIGHT(AK354,4)),VALUE(MID(AK354,4,2)),VALUE(LEFT(AK354,2)))),DATE(VALUE(RIGHT(AK354,4)),MATCH(MID(AK354,4,3),{"Jan","Feb","Mar","Apr","May","Jun","Jul","Aug","Sep","Oct","Nov","Dec"},0),VALUE(LEFT(AK354,2))))))</f>
        <v>45886</v>
      </c>
      <c r="D354" s="4" t="s">
        <v>1467</v>
      </c>
      <c r="E354" s="0" t="str">
        <f aca="false">PROPER(TRIM(AL354))</f>
        <v>Diya Patel</v>
      </c>
      <c r="F354" s="0" t="str">
        <f aca="false">PROPER(TRIM(AM354))</f>
        <v>Small Business</v>
      </c>
      <c r="G354" s="0" t="str">
        <f aca="false">IF(TRIM(AN354)="","Unknown",PROPER(TRIM(AN354)))</f>
        <v>East</v>
      </c>
      <c r="H354" s="0" t="str">
        <f aca="false">PROPER(TRIM(AO354))</f>
        <v>Assam</v>
      </c>
      <c r="I354" s="0" t="str">
        <f aca="false">PROPER(TRIM(AP354))</f>
        <v>Guwahati</v>
      </c>
      <c r="J354" s="0" t="str">
        <f aca="false">PROPER(TRIM(AQ354))</f>
        <v>Technology</v>
      </c>
      <c r="K354" s="0" t="str">
        <f aca="false">PROPER(TRIM(AR354))</f>
        <v>Copiers</v>
      </c>
      <c r="M354" s="0" t="str">
        <f aca="false">IF(TRIM(AS354)="","Unknown",PROPER(TRIM(AS354)))</f>
        <v>First Class</v>
      </c>
      <c r="N354" s="0" t="n">
        <v>5</v>
      </c>
      <c r="O354" s="0" t="n">
        <v>2862.6</v>
      </c>
      <c r="P354" s="5" t="n">
        <f aca="false">IF(AT354="","",IF(ISNUMBER(AT354),AT354,VALUE(SUBSTITUTE(AT354,"%",""))/100))</f>
        <v>0.25</v>
      </c>
      <c r="Q354" s="5" t="n">
        <f aca="false">IF(P354="",IF(AND(N354&lt;&gt;"",O354&lt;&gt;"",R354&lt;&gt;"",S354&lt;&gt;""),0,"REVIEW"),IF(OR(P354&lt;0,P354&gt;0.3),0,P354))</f>
        <v>0.25</v>
      </c>
      <c r="R354" s="0" t="n">
        <v>10734.75</v>
      </c>
      <c r="S354" s="0" t="n">
        <v>6475.73</v>
      </c>
      <c r="T354" s="6" t="n">
        <f aca="false">N354*O354*(1-Q354)</f>
        <v>10734.75</v>
      </c>
      <c r="U354" s="6" t="n">
        <f aca="false">T354-S354</f>
        <v>4259.02</v>
      </c>
      <c r="V354" s="7" t="n">
        <f aca="false">IF(T354=0,0,U354/T354)</f>
        <v>0.396750739421039</v>
      </c>
      <c r="W354" s="4" t="n">
        <f aca="false">C354-B354</f>
        <v>2</v>
      </c>
      <c r="X354" s="0" t="str">
        <f aca="false">TEXT(B354,"mmmm")</f>
        <v>August</v>
      </c>
      <c r="Y354" s="4" t="n">
        <f aca="false">YEAR(B354)</f>
        <v>2025</v>
      </c>
      <c r="Z354" s="0" t="str">
        <f aca="false">PROPER(TRIM(AU354))</f>
        <v>Paid</v>
      </c>
      <c r="AA354" s="0" t="str">
        <f aca="false">PROPER(TRIM(AV354))</f>
        <v>Completed</v>
      </c>
      <c r="AB354" s="0" t="str">
        <f aca="false">IF(TRIM(AN354)="","Yes","No")</f>
        <v>No</v>
      </c>
      <c r="AC354" s="0" t="str">
        <f aca="false">IF(TRIM(AS354)="","Yes","No")</f>
        <v>No</v>
      </c>
      <c r="AD354" s="0" t="str">
        <f aca="false">IF(AT354="","Yes","No")</f>
        <v>No</v>
      </c>
      <c r="AE354" s="0" t="str">
        <f aca="false">IF(W354&lt;0,"Yes","No")</f>
        <v>No</v>
      </c>
      <c r="AF354" s="0" t="str">
        <f aca="false">IF(P354="","No",IF(OR(P354&lt;0,P354&gt;0.3),"Yes","No"))</f>
        <v>No</v>
      </c>
      <c r="AG354" s="4" t="s">
        <v>50</v>
      </c>
      <c r="AH354" s="0" t="str">
        <f aca="false">IF(AND(AA354="Completed",Z354="Paid"),"Yes","No")</f>
        <v>Yes</v>
      </c>
      <c r="AI354" s="0" t="str">
        <f aca="false">IF(OR(AE354="Yes",AF354="Yes",AG354="Yes"),"Invalid",IF(OR(AB354="Yes",AC354="Yes",AD354="Yes"),"Warning","Clean"))</f>
        <v>Clean</v>
      </c>
      <c r="AJ354" s="4" t="s">
        <v>1468</v>
      </c>
      <c r="AK354" s="4" t="s">
        <v>1172</v>
      </c>
      <c r="AL354" s="4" t="s">
        <v>216</v>
      </c>
      <c r="AM354" s="4" t="s">
        <v>68</v>
      </c>
      <c r="AN354" s="4" t="s">
        <v>69</v>
      </c>
      <c r="AO354" s="4" t="s">
        <v>221</v>
      </c>
      <c r="AP354" s="4" t="s">
        <v>222</v>
      </c>
      <c r="AQ354" s="4" t="s">
        <v>109</v>
      </c>
      <c r="AR354" s="4" t="s">
        <v>116</v>
      </c>
      <c r="AS354" s="4" t="s">
        <v>81</v>
      </c>
      <c r="AT354" s="0" t="n">
        <v>0.25</v>
      </c>
      <c r="AU354" s="4" t="s">
        <v>61</v>
      </c>
      <c r="AV354" s="4" t="s">
        <v>62</v>
      </c>
    </row>
    <row r="355" customFormat="false" ht="15" hidden="false" customHeight="false" outlineLevel="0" collapsed="false">
      <c r="A355" s="0" t="s">
        <v>1469</v>
      </c>
      <c r="B355" s="3" t="n">
        <f aca="false">IF(AJ355="","",IF(ISNUMBER(SEARCH("/",AJ355)),DATE(VALUE(RIGHT(AJ355,4)),VALUE(LEFT(AJ355,2)),VALUE(MID(AJ355,4,2))),IF(ISNUMBER(SEARCH("-",AJ355)),IF(LEN(LEFT(AJ355,FIND("-",AJ355)-1))=4,DATE(VALUE(LEFT(AJ355,4)),VALUE(MID(AJ355,6,2)),VALUE(RIGHT(AJ355,2))),DATE(VALUE(RIGHT(AJ355,4)),VALUE(MID(AJ355,4,2)),VALUE(LEFT(AJ355,2)))),DATE(VALUE(RIGHT(AJ355,4)),MATCH(MID(AJ355,4,3),{"Jan","Feb","Mar","Apr","May","Jun","Jul","Aug","Sep","Oct","Nov","Dec"},0),VALUE(LEFT(AJ355,2))))))</f>
        <v>45709</v>
      </c>
      <c r="C355" s="3" t="n">
        <f aca="false">IF(AK355="","",IF(ISNUMBER(SEARCH("/",AK355)),DATE(VALUE(RIGHT(AK355,4)),VALUE(LEFT(AK355,2)),VALUE(MID(AK355,4,2))),IF(ISNUMBER(SEARCH("-",AK355)),IF(LEN(LEFT(AK355,FIND("-",AK355)-1))=4,DATE(VALUE(LEFT(AK355,4)),VALUE(MID(AK355,6,2)),VALUE(RIGHT(AK355,2))),DATE(VALUE(RIGHT(AK355,4)),VALUE(MID(AK355,4,2)),VALUE(LEFT(AK355,2)))),DATE(VALUE(RIGHT(AK355,4)),MATCH(MID(AK355,4,3),{"Jan","Feb","Mar","Apr","May","Jun","Jul","Aug","Sep","Oct","Nov","Dec"},0),VALUE(LEFT(AK355,2))))))</f>
        <v>45715</v>
      </c>
      <c r="D355" s="4" t="s">
        <v>1470</v>
      </c>
      <c r="E355" s="0" t="str">
        <f aca="false">PROPER(TRIM(AL355))</f>
        <v>Ananya Rao</v>
      </c>
      <c r="F355" s="0" t="str">
        <f aca="false">PROPER(TRIM(AM355))</f>
        <v>Consumer</v>
      </c>
      <c r="G355" s="0" t="str">
        <f aca="false">IF(TRIM(AN355)="","Unknown",PROPER(TRIM(AN355)))</f>
        <v>North</v>
      </c>
      <c r="H355" s="0" t="str">
        <f aca="false">PROPER(TRIM(AO355))</f>
        <v>Rajasthan</v>
      </c>
      <c r="I355" s="0" t="str">
        <f aca="false">PROPER(TRIM(AP355))</f>
        <v>Jaipur</v>
      </c>
      <c r="J355" s="0" t="str">
        <f aca="false">PROPER(TRIM(AQ355))</f>
        <v>Office Supplies</v>
      </c>
      <c r="K355" s="0" t="str">
        <f aca="false">PROPER(TRIM(AR355))</f>
        <v>Art</v>
      </c>
      <c r="M355" s="0" t="str">
        <f aca="false">IF(TRIM(AS355)="","Unknown",PROPER(TRIM(AS355)))</f>
        <v>Same Day</v>
      </c>
      <c r="N355" s="0" t="n">
        <v>9</v>
      </c>
      <c r="O355" s="0" t="n">
        <v>1431.67</v>
      </c>
      <c r="P355" s="5" t="n">
        <f aca="false">IF(AT355="","",IF(ISNUMBER(AT355),AT355,VALUE(SUBSTITUTE(AT355,"%",""))/100))</f>
        <v>0.2</v>
      </c>
      <c r="Q355" s="5" t="n">
        <f aca="false">IF(P355="",IF(AND(N355&lt;&gt;"",O355&lt;&gt;"",R355&lt;&gt;"",S355&lt;&gt;""),0,"REVIEW"),IF(OR(P355&lt;0,P355&gt;0.3),0,P355))</f>
        <v>0.2</v>
      </c>
      <c r="R355" s="0" t="n">
        <v>10308.02</v>
      </c>
      <c r="S355" s="0" t="n">
        <v>5822.31</v>
      </c>
      <c r="T355" s="6" t="n">
        <f aca="false">N355*O355*(1-Q355)</f>
        <v>10308.024</v>
      </c>
      <c r="U355" s="6" t="n">
        <f aca="false">T355-S355</f>
        <v>4485.714</v>
      </c>
      <c r="V355" s="7" t="n">
        <f aca="false">IF(T355=0,0,U355/T355)</f>
        <v>0.435167205664248</v>
      </c>
      <c r="W355" s="4" t="n">
        <f aca="false">C355-B355</f>
        <v>6</v>
      </c>
      <c r="X355" s="0" t="str">
        <f aca="false">TEXT(B355,"mmmm")</f>
        <v>February</v>
      </c>
      <c r="Y355" s="4" t="n">
        <f aca="false">YEAR(B355)</f>
        <v>2025</v>
      </c>
      <c r="Z355" s="0" t="str">
        <f aca="false">PROPER(TRIM(AU355))</f>
        <v>Paid</v>
      </c>
      <c r="AA355" s="0" t="str">
        <f aca="false">PROPER(TRIM(AV355))</f>
        <v>Completed</v>
      </c>
      <c r="AB355" s="0" t="str">
        <f aca="false">IF(TRIM(AN355)="","Yes","No")</f>
        <v>No</v>
      </c>
      <c r="AC355" s="0" t="str">
        <f aca="false">IF(TRIM(AS355)="","Yes","No")</f>
        <v>No</v>
      </c>
      <c r="AD355" s="0" t="str">
        <f aca="false">IF(AT355="","Yes","No")</f>
        <v>No</v>
      </c>
      <c r="AE355" s="0" t="str">
        <f aca="false">IF(W355&lt;0,"Yes","No")</f>
        <v>No</v>
      </c>
      <c r="AF355" s="0" t="str">
        <f aca="false">IF(P355="","No",IF(OR(P355&lt;0,P355&gt;0.3),"Yes","No"))</f>
        <v>No</v>
      </c>
      <c r="AG355" s="4" t="s">
        <v>50</v>
      </c>
      <c r="AH355" s="0" t="str">
        <f aca="false">IF(AND(AA355="Completed",Z355="Paid"),"Yes","No")</f>
        <v>Yes</v>
      </c>
      <c r="AI355" s="0" t="str">
        <f aca="false">IF(OR(AE355="Yes",AF355="Yes",AG355="Yes"),"Invalid",IF(OR(AB355="Yes",AC355="Yes",AD355="Yes"),"Warning","Clean"))</f>
        <v>Clean</v>
      </c>
      <c r="AJ355" s="4" t="s">
        <v>1471</v>
      </c>
      <c r="AK355" s="4" t="s">
        <v>991</v>
      </c>
      <c r="AL355" s="4" t="s">
        <v>96</v>
      </c>
      <c r="AM355" s="4" t="s">
        <v>54</v>
      </c>
      <c r="AN355" s="4" t="s">
        <v>168</v>
      </c>
      <c r="AO355" s="4" t="s">
        <v>56</v>
      </c>
      <c r="AP355" s="4" t="s">
        <v>57</v>
      </c>
      <c r="AQ355" s="4" t="s">
        <v>58</v>
      </c>
      <c r="AR355" s="4" t="s">
        <v>80</v>
      </c>
      <c r="AS355" s="4" t="s">
        <v>74</v>
      </c>
      <c r="AT355" s="0" t="n">
        <v>0.2</v>
      </c>
      <c r="AU355" s="4" t="s">
        <v>61</v>
      </c>
      <c r="AV355" s="4" t="s">
        <v>62</v>
      </c>
    </row>
    <row r="356" customFormat="false" ht="15" hidden="false" customHeight="false" outlineLevel="0" collapsed="false">
      <c r="A356" s="0" t="s">
        <v>1472</v>
      </c>
      <c r="B356" s="3" t="n">
        <f aca="false">IF(AJ356="","",IF(ISNUMBER(SEARCH("/",AJ356)),DATE(VALUE(RIGHT(AJ356,4)),VALUE(LEFT(AJ356,2)),VALUE(MID(AJ356,4,2))),IF(ISNUMBER(SEARCH("-",AJ356)),IF(LEN(LEFT(AJ356,FIND("-",AJ356)-1))=4,DATE(VALUE(LEFT(AJ356,4)),VALUE(MID(AJ356,6,2)),VALUE(RIGHT(AJ356,2))),DATE(VALUE(RIGHT(AJ356,4)),VALUE(MID(AJ356,4,2)),VALUE(LEFT(AJ356,2)))),DATE(VALUE(RIGHT(AJ356,4)),MATCH(MID(AJ356,4,3),{"Jan","Feb","Mar","Apr","May","Jun","Jul","Aug","Sep","Oct","Nov","Dec"},0),VALUE(LEFT(AJ356,2))))))</f>
        <v>45653</v>
      </c>
      <c r="C356" s="3" t="n">
        <f aca="false">IF(AK356="","",IF(ISNUMBER(SEARCH("/",AK356)),DATE(VALUE(RIGHT(AK356,4)),VALUE(LEFT(AK356,2)),VALUE(MID(AK356,4,2))),IF(ISNUMBER(SEARCH("-",AK356)),IF(LEN(LEFT(AK356,FIND("-",AK356)-1))=4,DATE(VALUE(LEFT(AK356,4)),VALUE(MID(AK356,6,2)),VALUE(RIGHT(AK356,2))),DATE(VALUE(RIGHT(AK356,4)),VALUE(MID(AK356,4,2)),VALUE(LEFT(AK356,2)))),DATE(VALUE(RIGHT(AK356,4)),MATCH(MID(AK356,4,3),{"Jan","Feb","Mar","Apr","May","Jun","Jul","Aug","Sep","Oct","Nov","Dec"},0),VALUE(LEFT(AK356,2))))))</f>
        <v>45657</v>
      </c>
      <c r="D356" s="4" t="s">
        <v>1473</v>
      </c>
      <c r="E356" s="0" t="str">
        <f aca="false">PROPER(TRIM(AL356))</f>
        <v>Kabir Singh</v>
      </c>
      <c r="F356" s="0" t="str">
        <f aca="false">PROPER(TRIM(AM356))</f>
        <v>Corporate</v>
      </c>
      <c r="G356" s="0" t="str">
        <f aca="false">IF(TRIM(AN356)="","Unknown",PROPER(TRIM(AN356)))</f>
        <v>North</v>
      </c>
      <c r="H356" s="0" t="str">
        <f aca="false">PROPER(TRIM(AO356))</f>
        <v>Punjab</v>
      </c>
      <c r="I356" s="0" t="str">
        <f aca="false">PROPER(TRIM(AP356))</f>
        <v>Ludhiana</v>
      </c>
      <c r="J356" s="0" t="str">
        <f aca="false">PROPER(TRIM(AQ356))</f>
        <v>Furniture</v>
      </c>
      <c r="K356" s="0" t="str">
        <f aca="false">PROPER(TRIM(AR356))</f>
        <v>Furnishings</v>
      </c>
      <c r="M356" s="0" t="str">
        <f aca="false">IF(TRIM(AS356)="","Unknown",PROPER(TRIM(AS356)))</f>
        <v>Standard Class</v>
      </c>
      <c r="N356" s="0" t="n">
        <v>6</v>
      </c>
      <c r="O356" s="0" t="n">
        <v>3346.78</v>
      </c>
      <c r="P356" s="5" t="n">
        <f aca="false">IF(AT356="","",IF(ISNUMBER(AT356),AT356,VALUE(SUBSTITUTE(AT356,"%",""))/100))</f>
        <v>-0.06</v>
      </c>
      <c r="Q356" s="5" t="n">
        <f aca="false">IF(P356="",IF(AND(N356&lt;&gt;"",O356&lt;&gt;"",R356&lt;&gt;"",S356&lt;&gt;""),0,"REVIEW"),IF(OR(P356&lt;0,P356&gt;0.3),0,P356))</f>
        <v>0</v>
      </c>
      <c r="R356" s="0" t="n">
        <v>20080.68</v>
      </c>
      <c r="S356" s="0" t="n">
        <v>12908.84</v>
      </c>
      <c r="T356" s="6" t="n">
        <f aca="false">N356*O356*(1-Q356)</f>
        <v>20080.68</v>
      </c>
      <c r="U356" s="6" t="n">
        <f aca="false">T356-S356</f>
        <v>7171.84</v>
      </c>
      <c r="V356" s="7" t="n">
        <f aca="false">IF(T356=0,0,U356/T356)</f>
        <v>0.357151251850037</v>
      </c>
      <c r="W356" s="4" t="n">
        <f aca="false">C356-B356</f>
        <v>4</v>
      </c>
      <c r="X356" s="0" t="str">
        <f aca="false">TEXT(B356,"mmmm")</f>
        <v>December</v>
      </c>
      <c r="Y356" s="4" t="n">
        <f aca="false">YEAR(B356)</f>
        <v>2024</v>
      </c>
      <c r="Z356" s="0" t="str">
        <f aca="false">PROPER(TRIM(AU356))</f>
        <v>Pending</v>
      </c>
      <c r="AA356" s="0" t="str">
        <f aca="false">PROPER(TRIM(AV356))</f>
        <v>Cancelled</v>
      </c>
      <c r="AB356" s="0" t="str">
        <f aca="false">IF(TRIM(AN356)="","Yes","No")</f>
        <v>No</v>
      </c>
      <c r="AC356" s="0" t="str">
        <f aca="false">IF(TRIM(AS356)="","Yes","No")</f>
        <v>No</v>
      </c>
      <c r="AD356" s="0" t="str">
        <f aca="false">IF(AT356="","Yes","No")</f>
        <v>No</v>
      </c>
      <c r="AE356" s="0" t="str">
        <f aca="false">IF(W356&lt;0,"Yes","No")</f>
        <v>No</v>
      </c>
      <c r="AF356" s="0" t="str">
        <f aca="false">IF(P356="","No",IF(OR(P356&lt;0,P356&gt;0.3),"Yes","No"))</f>
        <v>Yes</v>
      </c>
      <c r="AG356" s="4" t="s">
        <v>50</v>
      </c>
      <c r="AH356" s="0" t="str">
        <f aca="false">IF(AND(AA356="Completed",Z356="Paid"),"Yes","No")</f>
        <v>No</v>
      </c>
      <c r="AI356" s="0" t="str">
        <f aca="false">IF(OR(AE356="Yes",AF356="Yes",AG356="Yes"),"Invalid",IF(OR(AB356="Yes",AC356="Yes",AD356="Yes"),"Warning","Clean"))</f>
        <v>Invalid</v>
      </c>
      <c r="AJ356" s="4" t="s">
        <v>161</v>
      </c>
      <c r="AK356" s="4" t="s">
        <v>1474</v>
      </c>
      <c r="AL356" s="4" t="s">
        <v>347</v>
      </c>
      <c r="AM356" s="4" t="s">
        <v>1475</v>
      </c>
      <c r="AN356" s="4" t="s">
        <v>168</v>
      </c>
      <c r="AO356" s="4" t="s">
        <v>169</v>
      </c>
      <c r="AP356" s="4" t="s">
        <v>170</v>
      </c>
      <c r="AQ356" s="4" t="s">
        <v>72</v>
      </c>
      <c r="AR356" s="4" t="s">
        <v>90</v>
      </c>
      <c r="AS356" s="4" t="s">
        <v>91</v>
      </c>
      <c r="AT356" s="0" t="n">
        <v>-0.06</v>
      </c>
      <c r="AU356" s="4" t="s">
        <v>153</v>
      </c>
      <c r="AV356" s="4" t="s">
        <v>101</v>
      </c>
    </row>
    <row r="357" customFormat="false" ht="15" hidden="false" customHeight="false" outlineLevel="0" collapsed="false">
      <c r="A357" s="0" t="s">
        <v>1476</v>
      </c>
      <c r="B357" s="3" t="n">
        <f aca="false">IF(AJ357="","",IF(ISNUMBER(SEARCH("/",AJ357)),DATE(VALUE(RIGHT(AJ357,4)),VALUE(LEFT(AJ357,2)),VALUE(MID(AJ357,4,2))),IF(ISNUMBER(SEARCH("-",AJ357)),IF(LEN(LEFT(AJ357,FIND("-",AJ357)-1))=4,DATE(VALUE(LEFT(AJ357,4)),VALUE(MID(AJ357,6,2)),VALUE(RIGHT(AJ357,2))),DATE(VALUE(RIGHT(AJ357,4)),VALUE(MID(AJ357,4,2)),VALUE(LEFT(AJ357,2)))),DATE(VALUE(RIGHT(AJ357,4)),MATCH(MID(AJ357,4,3),{"Jan","Feb","Mar","Apr","May","Jun","Jul","Aug","Sep","Oct","Nov","Dec"},0),VALUE(LEFT(AJ357,2))))))</f>
        <v>45424</v>
      </c>
      <c r="C357" s="3" t="n">
        <f aca="false">IF(AK357="","",IF(ISNUMBER(SEARCH("/",AK357)),DATE(VALUE(RIGHT(AK357,4)),VALUE(LEFT(AK357,2)),VALUE(MID(AK357,4,2))),IF(ISNUMBER(SEARCH("-",AK357)),IF(LEN(LEFT(AK357,FIND("-",AK357)-1))=4,DATE(VALUE(LEFT(AK357,4)),VALUE(MID(AK357,6,2)),VALUE(RIGHT(AK357,2))),DATE(VALUE(RIGHT(AK357,4)),VALUE(MID(AK357,4,2)),VALUE(LEFT(AK357,2)))),DATE(VALUE(RIGHT(AK357,4)),MATCH(MID(AK357,4,3),{"Jan","Feb","Mar","Apr","May","Jun","Jul","Aug","Sep","Oct","Nov","Dec"},0),VALUE(LEFT(AK357,2))))))</f>
        <v>45421</v>
      </c>
      <c r="D357" s="4" t="s">
        <v>1477</v>
      </c>
      <c r="E357" s="0" t="str">
        <f aca="false">PROPER(TRIM(AL357))</f>
        <v>Priya Menon</v>
      </c>
      <c r="F357" s="0" t="str">
        <f aca="false">PROPER(TRIM(AM357))</f>
        <v>Corporate</v>
      </c>
      <c r="G357" s="0" t="str">
        <f aca="false">IF(TRIM(AN357)="","Unknown",PROPER(TRIM(AN357)))</f>
        <v>West</v>
      </c>
      <c r="H357" s="0" t="str">
        <f aca="false">PROPER(TRIM(AO357))</f>
        <v>Rajasthan</v>
      </c>
      <c r="I357" s="0" t="str">
        <f aca="false">PROPER(TRIM(AP357))</f>
        <v>Udaipur</v>
      </c>
      <c r="J357" s="0" t="str">
        <f aca="false">PROPER(TRIM(AQ357))</f>
        <v>Furniture</v>
      </c>
      <c r="K357" s="0" t="str">
        <f aca="false">PROPER(TRIM(AR357))</f>
        <v>Tables</v>
      </c>
      <c r="M357" s="0" t="str">
        <f aca="false">IF(TRIM(AS357)="","Unknown",PROPER(TRIM(AS357)))</f>
        <v>Standard Class</v>
      </c>
      <c r="N357" s="0" t="n">
        <v>5</v>
      </c>
      <c r="O357" s="0" t="n">
        <v>3203.48</v>
      </c>
      <c r="P357" s="5" t="n">
        <f aca="false">IF(AT357="","",IF(ISNUMBER(AT357),AT357,VALUE(SUBSTITUTE(AT357,"%",""))/100))</f>
        <v>0</v>
      </c>
      <c r="Q357" s="5" t="n">
        <f aca="false">IF(P357="",IF(AND(N357&lt;&gt;"",O357&lt;&gt;"",R357&lt;&gt;"",S357&lt;&gt;""),0,"REVIEW"),IF(OR(P357&lt;0,P357&gt;0.3),0,P357))</f>
        <v>0</v>
      </c>
      <c r="R357" s="0" t="n">
        <v>16017.4</v>
      </c>
      <c r="S357" s="0" t="n">
        <v>9557.8</v>
      </c>
      <c r="T357" s="6" t="n">
        <f aca="false">N357*O357*(1-Q357)</f>
        <v>16017.4</v>
      </c>
      <c r="U357" s="6" t="n">
        <f aca="false">T357-S357</f>
        <v>6459.6</v>
      </c>
      <c r="V357" s="7" t="n">
        <f aca="false">IF(T357=0,0,U357/T357)</f>
        <v>0.403286426011712</v>
      </c>
      <c r="W357" s="4" t="n">
        <f aca="false">C357-B357</f>
        <v>-3</v>
      </c>
      <c r="X357" s="0" t="str">
        <f aca="false">TEXT(B357,"mmmm")</f>
        <v>May</v>
      </c>
      <c r="Y357" s="4" t="n">
        <f aca="false">YEAR(B357)</f>
        <v>2024</v>
      </c>
      <c r="Z357" s="0" t="str">
        <f aca="false">PROPER(TRIM(AU357))</f>
        <v>Pending</v>
      </c>
      <c r="AA357" s="0" t="str">
        <f aca="false">PROPER(TRIM(AV357))</f>
        <v>Cancelled</v>
      </c>
      <c r="AB357" s="0" t="str">
        <f aca="false">IF(TRIM(AN357)="","Yes","No")</f>
        <v>No</v>
      </c>
      <c r="AC357" s="0" t="str">
        <f aca="false">IF(TRIM(AS357)="","Yes","No")</f>
        <v>No</v>
      </c>
      <c r="AD357" s="0" t="str">
        <f aca="false">IF(AT357="","Yes","No")</f>
        <v>No</v>
      </c>
      <c r="AE357" s="0" t="str">
        <f aca="false">IF(W357&lt;0,"Yes","No")</f>
        <v>Yes</v>
      </c>
      <c r="AF357" s="0" t="str">
        <f aca="false">IF(P357="","No",IF(OR(P357&lt;0,P357&gt;0.3),"Yes","No"))</f>
        <v>No</v>
      </c>
      <c r="AG357" s="4" t="s">
        <v>50</v>
      </c>
      <c r="AH357" s="0" t="str">
        <f aca="false">IF(AND(AA357="Completed",Z357="Paid"),"Yes","No")</f>
        <v>No</v>
      </c>
      <c r="AI357" s="0" t="str">
        <f aca="false">IF(OR(AE357="Yes",AF357="Yes",AG357="Yes"),"Invalid",IF(OR(AB357="Yes",AC357="Yes",AD357="Yes"),"Warning","Clean"))</f>
        <v>Invalid</v>
      </c>
      <c r="AJ357" s="4" t="s">
        <v>1478</v>
      </c>
      <c r="AK357" s="4" t="s">
        <v>1479</v>
      </c>
      <c r="AL357" s="4" t="s">
        <v>158</v>
      </c>
      <c r="AM357" s="4" t="s">
        <v>128</v>
      </c>
      <c r="AN357" s="4" t="s">
        <v>97</v>
      </c>
      <c r="AO357" s="4" t="s">
        <v>56</v>
      </c>
      <c r="AP357" s="4" t="s">
        <v>152</v>
      </c>
      <c r="AQ357" s="4" t="s">
        <v>72</v>
      </c>
      <c r="AR357" s="4" t="s">
        <v>73</v>
      </c>
      <c r="AS357" s="4" t="s">
        <v>91</v>
      </c>
      <c r="AT357" s="0" t="n">
        <v>0</v>
      </c>
      <c r="AU357" s="4" t="s">
        <v>153</v>
      </c>
      <c r="AV357" s="4" t="s">
        <v>101</v>
      </c>
    </row>
    <row r="358" customFormat="false" ht="15" hidden="false" customHeight="false" outlineLevel="0" collapsed="false">
      <c r="A358" s="0" t="s">
        <v>1480</v>
      </c>
      <c r="B358" s="3" t="n">
        <f aca="false">IF(AJ358="","",IF(ISNUMBER(SEARCH("/",AJ358)),DATE(VALUE(RIGHT(AJ358,4)),VALUE(LEFT(AJ358,2)),VALUE(MID(AJ358,4,2))),IF(ISNUMBER(SEARCH("-",AJ358)),IF(LEN(LEFT(AJ358,FIND("-",AJ358)-1))=4,DATE(VALUE(LEFT(AJ358,4)),VALUE(MID(AJ358,6,2)),VALUE(RIGHT(AJ358,2))),DATE(VALUE(RIGHT(AJ358,4)),VALUE(MID(AJ358,4,2)),VALUE(LEFT(AJ358,2)))),DATE(VALUE(RIGHT(AJ358,4)),MATCH(MID(AJ358,4,3),{"Jan","Feb","Mar","Apr","May","Jun","Jul","Aug","Sep","Oct","Nov","Dec"},0),VALUE(LEFT(AJ358,2))))))</f>
        <v>45835</v>
      </c>
      <c r="C358" s="3" t="n">
        <f aca="false">IF(AK358="","",IF(ISNUMBER(SEARCH("/",AK358)),DATE(VALUE(RIGHT(AK358,4)),VALUE(LEFT(AK358,2)),VALUE(MID(AK358,4,2))),IF(ISNUMBER(SEARCH("-",AK358)),IF(LEN(LEFT(AK358,FIND("-",AK358)-1))=4,DATE(VALUE(LEFT(AK358,4)),VALUE(MID(AK358,6,2)),VALUE(RIGHT(AK358,2))),DATE(VALUE(RIGHT(AK358,4)),VALUE(MID(AK358,4,2)),VALUE(LEFT(AK358,2)))),DATE(VALUE(RIGHT(AK358,4)),MATCH(MID(AK358,4,3),{"Jan","Feb","Mar","Apr","May","Jun","Jul","Aug","Sep","Oct","Nov","Dec"},0),VALUE(LEFT(AK358,2))))))</f>
        <v>45837</v>
      </c>
      <c r="D358" s="4" t="s">
        <v>1481</v>
      </c>
      <c r="E358" s="0" t="str">
        <f aca="false">PROPER(TRIM(AL358))</f>
        <v>Rohan Mehta</v>
      </c>
      <c r="F358" s="0" t="str">
        <f aca="false">PROPER(TRIM(AM358))</f>
        <v>Home Office</v>
      </c>
      <c r="G358" s="0" t="str">
        <f aca="false">IF(TRIM(AN358)="","Unknown",PROPER(TRIM(AN358)))</f>
        <v>South</v>
      </c>
      <c r="H358" s="0" t="str">
        <f aca="false">PROPER(TRIM(AO358))</f>
        <v>Telangana</v>
      </c>
      <c r="I358" s="0" t="str">
        <f aca="false">PROPER(TRIM(AP358))</f>
        <v>Hyderabad</v>
      </c>
      <c r="J358" s="0" t="str">
        <f aca="false">PROPER(TRIM(AQ358))</f>
        <v>Furniture</v>
      </c>
      <c r="K358" s="0" t="str">
        <f aca="false">PROPER(TRIM(AR358))</f>
        <v>Chairs</v>
      </c>
      <c r="M358" s="0" t="str">
        <f aca="false">IF(TRIM(AS358)="","Unknown",PROPER(TRIM(AS358)))</f>
        <v>First Class</v>
      </c>
      <c r="N358" s="0" t="n">
        <v>5</v>
      </c>
      <c r="O358" s="0" t="n">
        <v>621.7</v>
      </c>
      <c r="P358" s="5" t="n">
        <f aca="false">IF(AT358="","",IF(ISNUMBER(AT358),AT358,VALUE(SUBSTITUTE(AT358,"%",""))/100))</f>
        <v>0.2</v>
      </c>
      <c r="Q358" s="5" t="n">
        <f aca="false">IF(P358="",IF(AND(N358&lt;&gt;"",O358&lt;&gt;"",R358&lt;&gt;"",S358&lt;&gt;""),0,"REVIEW"),IF(OR(P358&lt;0,P358&gt;0.3),0,P358))</f>
        <v>0.2</v>
      </c>
      <c r="R358" s="0" t="n">
        <v>2486.8</v>
      </c>
      <c r="S358" s="0" t="n">
        <v>2131.73</v>
      </c>
      <c r="T358" s="6" t="n">
        <f aca="false">N358*O358*(1-Q358)</f>
        <v>2486.8</v>
      </c>
      <c r="U358" s="6" t="n">
        <f aca="false">T358-S358</f>
        <v>355.07</v>
      </c>
      <c r="V358" s="7" t="n">
        <f aca="false">IF(T358=0,0,U358/T358)</f>
        <v>0.142781888370597</v>
      </c>
      <c r="W358" s="4" t="n">
        <f aca="false">C358-B358</f>
        <v>2</v>
      </c>
      <c r="X358" s="0" t="str">
        <f aca="false">TEXT(B358,"mmmm")</f>
        <v>June</v>
      </c>
      <c r="Y358" s="4" t="n">
        <f aca="false">YEAR(B358)</f>
        <v>2025</v>
      </c>
      <c r="Z358" s="0" t="str">
        <f aca="false">PROPER(TRIM(AU358))</f>
        <v>Pending</v>
      </c>
      <c r="AA358" s="0" t="str">
        <f aca="false">PROPER(TRIM(AV358))</f>
        <v>Returned</v>
      </c>
      <c r="AB358" s="0" t="str">
        <f aca="false">IF(TRIM(AN358)="","Yes","No")</f>
        <v>No</v>
      </c>
      <c r="AC358" s="0" t="str">
        <f aca="false">IF(TRIM(AS358)="","Yes","No")</f>
        <v>No</v>
      </c>
      <c r="AD358" s="0" t="str">
        <f aca="false">IF(AT358="","Yes","No")</f>
        <v>No</v>
      </c>
      <c r="AE358" s="0" t="str">
        <f aca="false">IF(W358&lt;0,"Yes","No")</f>
        <v>No</v>
      </c>
      <c r="AF358" s="0" t="str">
        <f aca="false">IF(P358="","No",IF(OR(P358&lt;0,P358&gt;0.3),"Yes","No"))</f>
        <v>No</v>
      </c>
      <c r="AG358" s="4" t="s">
        <v>50</v>
      </c>
      <c r="AH358" s="0" t="str">
        <f aca="false">IF(AND(AA358="Completed",Z358="Paid"),"Yes","No")</f>
        <v>No</v>
      </c>
      <c r="AI358" s="0" t="str">
        <f aca="false">IF(OR(AE358="Yes",AF358="Yes",AG358="Yes"),"Invalid",IF(OR(AB358="Yes",AC358="Yes",AD358="Yes"),"Warning","Clean"))</f>
        <v>Clean</v>
      </c>
      <c r="AJ358" s="4" t="s">
        <v>1482</v>
      </c>
      <c r="AK358" s="4" t="s">
        <v>1483</v>
      </c>
      <c r="AL358" s="4" t="s">
        <v>191</v>
      </c>
      <c r="AM358" s="4" t="s">
        <v>134</v>
      </c>
      <c r="AN358" s="4" t="s">
        <v>87</v>
      </c>
      <c r="AO358" s="4" t="s">
        <v>88</v>
      </c>
      <c r="AP358" s="4" t="s">
        <v>89</v>
      </c>
      <c r="AQ358" s="4" t="s">
        <v>72</v>
      </c>
      <c r="AR358" s="4" t="s">
        <v>100</v>
      </c>
      <c r="AS358" s="4" t="s">
        <v>81</v>
      </c>
      <c r="AT358" s="0" t="n">
        <v>0.2</v>
      </c>
      <c r="AU358" s="4" t="s">
        <v>153</v>
      </c>
      <c r="AV358" s="4" t="s">
        <v>142</v>
      </c>
    </row>
    <row r="359" customFormat="false" ht="15" hidden="false" customHeight="false" outlineLevel="0" collapsed="false">
      <c r="A359" s="0" t="s">
        <v>1484</v>
      </c>
      <c r="B359" s="3" t="n">
        <f aca="false">IF(AJ359="","",IF(ISNUMBER(SEARCH("/",AJ359)),DATE(VALUE(RIGHT(AJ359,4)),VALUE(LEFT(AJ359,2)),VALUE(MID(AJ359,4,2))),IF(ISNUMBER(SEARCH("-",AJ359)),IF(LEN(LEFT(AJ359,FIND("-",AJ359)-1))=4,DATE(VALUE(LEFT(AJ359,4)),VALUE(MID(AJ359,6,2)),VALUE(RIGHT(AJ359,2))),DATE(VALUE(RIGHT(AJ359,4)),VALUE(MID(AJ359,4,2)),VALUE(LEFT(AJ359,2)))),DATE(VALUE(RIGHT(AJ359,4)),MATCH(MID(AJ359,4,3),{"Jan","Feb","Mar","Apr","May","Jun","Jul","Aug","Sep","Oct","Nov","Dec"},0),VALUE(LEFT(AJ359,2))))))</f>
        <v>45678</v>
      </c>
      <c r="C359" s="3" t="n">
        <f aca="false">IF(AK359="","",IF(ISNUMBER(SEARCH("/",AK359)),DATE(VALUE(RIGHT(AK359,4)),VALUE(LEFT(AK359,2)),VALUE(MID(AK359,4,2))),IF(ISNUMBER(SEARCH("-",AK359)),IF(LEN(LEFT(AK359,FIND("-",AK359)-1))=4,DATE(VALUE(LEFT(AK359,4)),VALUE(MID(AK359,6,2)),VALUE(RIGHT(AK359,2))),DATE(VALUE(RIGHT(AK359,4)),VALUE(MID(AK359,4,2)),VALUE(LEFT(AK359,2)))),DATE(VALUE(RIGHT(AK359,4)),MATCH(MID(AK359,4,3),{"Jan","Feb","Mar","Apr","May","Jun","Jul","Aug","Sep","Oct","Nov","Dec"},0),VALUE(LEFT(AK359,2))))))</f>
        <v>45686</v>
      </c>
      <c r="D359" s="4" t="s">
        <v>1485</v>
      </c>
      <c r="E359" s="0" t="str">
        <f aca="false">PROPER(TRIM(AL359))</f>
        <v>Mira Das</v>
      </c>
      <c r="F359" s="0" t="str">
        <f aca="false">PROPER(TRIM(AM359))</f>
        <v>Home Office</v>
      </c>
      <c r="G359" s="0" t="str">
        <f aca="false">IF(TRIM(AN359)="","Unknown",PROPER(TRIM(AN359)))</f>
        <v>South</v>
      </c>
      <c r="H359" s="0" t="str">
        <f aca="false">PROPER(TRIM(AO359))</f>
        <v>Andhra Pradesh</v>
      </c>
      <c r="I359" s="0" t="str">
        <f aca="false">PROPER(TRIM(AP359))</f>
        <v>Vijayawada</v>
      </c>
      <c r="J359" s="0" t="str">
        <f aca="false">PROPER(TRIM(AQ359))</f>
        <v>Technology</v>
      </c>
      <c r="K359" s="0" t="str">
        <f aca="false">PROPER(TRIM(AR359))</f>
        <v>Machines</v>
      </c>
      <c r="M359" s="0" t="str">
        <f aca="false">IF(TRIM(AS359)="","Unknown",PROPER(TRIM(AS359)))</f>
        <v>Second Class</v>
      </c>
      <c r="N359" s="0" t="n">
        <v>8</v>
      </c>
      <c r="O359" s="0" t="n">
        <v>546.13</v>
      </c>
      <c r="P359" s="5" t="n">
        <f aca="false">IF(AT359="","",IF(ISNUMBER(AT359),AT359,VALUE(SUBSTITUTE(AT359,"%",""))/100))</f>
        <v>0</v>
      </c>
      <c r="Q359" s="5" t="n">
        <f aca="false">IF(P359="",IF(AND(N359&lt;&gt;"",O359&lt;&gt;"",R359&lt;&gt;"",S359&lt;&gt;""),0,"REVIEW"),IF(OR(P359&lt;0,P359&gt;0.3),0,P359))</f>
        <v>0</v>
      </c>
      <c r="R359" s="0" t="n">
        <v>4369.04</v>
      </c>
      <c r="S359" s="0" t="n">
        <v>3716.88</v>
      </c>
      <c r="T359" s="6" t="n">
        <f aca="false">N359*O359*(1-Q359)</f>
        <v>4369.04</v>
      </c>
      <c r="U359" s="6" t="n">
        <f aca="false">T359-S359</f>
        <v>652.16</v>
      </c>
      <c r="V359" s="7" t="n">
        <f aca="false">IF(T359=0,0,U359/T359)</f>
        <v>0.149268489187556</v>
      </c>
      <c r="W359" s="4" t="n">
        <f aca="false">C359-B359</f>
        <v>8</v>
      </c>
      <c r="X359" s="0" t="str">
        <f aca="false">TEXT(B359,"mmmm")</f>
        <v>January</v>
      </c>
      <c r="Y359" s="4" t="n">
        <f aca="false">YEAR(B359)</f>
        <v>2025</v>
      </c>
      <c r="Z359" s="0" t="str">
        <f aca="false">PROPER(TRIM(AU359))</f>
        <v>Paid</v>
      </c>
      <c r="AA359" s="0" t="str">
        <f aca="false">PROPER(TRIM(AV359))</f>
        <v>Cancelled</v>
      </c>
      <c r="AB359" s="0" t="str">
        <f aca="false">IF(TRIM(AN359)="","Yes","No")</f>
        <v>No</v>
      </c>
      <c r="AC359" s="0" t="str">
        <f aca="false">IF(TRIM(AS359)="","Yes","No")</f>
        <v>No</v>
      </c>
      <c r="AD359" s="0" t="str">
        <f aca="false">IF(AT359="","Yes","No")</f>
        <v>No</v>
      </c>
      <c r="AE359" s="0" t="str">
        <f aca="false">IF(W359&lt;0,"Yes","No")</f>
        <v>No</v>
      </c>
      <c r="AF359" s="0" t="str">
        <f aca="false">IF(P359="","No",IF(OR(P359&lt;0,P359&gt;0.3),"Yes","No"))</f>
        <v>No</v>
      </c>
      <c r="AG359" s="4" t="s">
        <v>50</v>
      </c>
      <c r="AH359" s="0" t="str">
        <f aca="false">IF(AND(AA359="Completed",Z359="Paid"),"Yes","No")</f>
        <v>No</v>
      </c>
      <c r="AI359" s="0" t="str">
        <f aca="false">IF(OR(AE359="Yes",AF359="Yes",AG359="Yes"),"Invalid",IF(OR(AB359="Yes",AC359="Yes",AD359="Yes"),"Warning","Clean"))</f>
        <v>Clean</v>
      </c>
      <c r="AJ359" s="4" t="s">
        <v>205</v>
      </c>
      <c r="AK359" s="4" t="s">
        <v>1486</v>
      </c>
      <c r="AL359" s="4" t="s">
        <v>67</v>
      </c>
      <c r="AM359" s="4" t="s">
        <v>134</v>
      </c>
      <c r="AN359" s="4" t="s">
        <v>87</v>
      </c>
      <c r="AO359" s="4" t="s">
        <v>121</v>
      </c>
      <c r="AP359" s="4" t="s">
        <v>122</v>
      </c>
      <c r="AQ359" s="4" t="s">
        <v>109</v>
      </c>
      <c r="AR359" s="4" t="s">
        <v>360</v>
      </c>
      <c r="AS359" s="4" t="s">
        <v>60</v>
      </c>
      <c r="AT359" s="0" t="n">
        <v>0</v>
      </c>
      <c r="AU359" s="4" t="s">
        <v>61</v>
      </c>
      <c r="AV359" s="4" t="s">
        <v>101</v>
      </c>
    </row>
    <row r="360" customFormat="false" ht="15" hidden="false" customHeight="false" outlineLevel="0" collapsed="false">
      <c r="A360" s="0" t="s">
        <v>1487</v>
      </c>
      <c r="B360" s="3" t="n">
        <f aca="false">IF(AJ360="","",IF(ISNUMBER(SEARCH("/",AJ360)),DATE(VALUE(RIGHT(AJ360,4)),VALUE(LEFT(AJ360,2)),VALUE(MID(AJ360,4,2))),IF(ISNUMBER(SEARCH("-",AJ360)),IF(LEN(LEFT(AJ360,FIND("-",AJ360)-1))=4,DATE(VALUE(LEFT(AJ360,4)),VALUE(MID(AJ360,6,2)),VALUE(RIGHT(AJ360,2))),DATE(VALUE(RIGHT(AJ360,4)),VALUE(MID(AJ360,4,2)),VALUE(LEFT(AJ360,2)))),DATE(VALUE(RIGHT(AJ360,4)),MATCH(MID(AJ360,4,3),{"Jan","Feb","Mar","Apr","May","Jun","Jul","Aug","Sep","Oct","Nov","Dec"},0),VALUE(LEFT(AJ360,2))))))</f>
        <v>45878</v>
      </c>
      <c r="C360" s="3" t="n">
        <f aca="false">IF(AK360="","",IF(ISNUMBER(SEARCH("/",AK360)),DATE(VALUE(RIGHT(AK360,4)),VALUE(LEFT(AK360,2)),VALUE(MID(AK360,4,2))),IF(ISNUMBER(SEARCH("-",AK360)),IF(LEN(LEFT(AK360,FIND("-",AK360)-1))=4,DATE(VALUE(LEFT(AK360,4)),VALUE(MID(AK360,6,2)),VALUE(RIGHT(AK360,2))),DATE(VALUE(RIGHT(AK360,4)),VALUE(MID(AK360,4,2)),VALUE(LEFT(AK360,2)))),DATE(VALUE(RIGHT(AK360,4)),MATCH(MID(AK360,4,3),{"Jan","Feb","Mar","Apr","May","Jun","Jul","Aug","Sep","Oct","Nov","Dec"},0),VALUE(LEFT(AK360,2))))))</f>
        <v>45876</v>
      </c>
      <c r="D360" s="4" t="s">
        <v>1488</v>
      </c>
      <c r="E360" s="0" t="str">
        <f aca="false">PROPER(TRIM(AL360))</f>
        <v>Vikram Iyer</v>
      </c>
      <c r="F360" s="0" t="str">
        <f aca="false">PROPER(TRIM(AM360))</f>
        <v>Home Office</v>
      </c>
      <c r="G360" s="0" t="str">
        <f aca="false">IF(TRIM(AN360)="","Unknown",PROPER(TRIM(AN360)))</f>
        <v>West</v>
      </c>
      <c r="H360" s="0" t="str">
        <f aca="false">PROPER(TRIM(AO360))</f>
        <v>Gujarat</v>
      </c>
      <c r="I360" s="0" t="str">
        <f aca="false">PROPER(TRIM(AP360))</f>
        <v>Ahmedabad</v>
      </c>
      <c r="J360" s="0" t="str">
        <f aca="false">PROPER(TRIM(AQ360))</f>
        <v>Furniture</v>
      </c>
      <c r="K360" s="0" t="str">
        <f aca="false">PROPER(TRIM(AR360))</f>
        <v>Bookcases</v>
      </c>
      <c r="M360" s="0" t="str">
        <f aca="false">IF(TRIM(AS360)="","Unknown",PROPER(TRIM(AS360)))</f>
        <v>Second Class</v>
      </c>
      <c r="N360" s="0" t="n">
        <v>5</v>
      </c>
      <c r="O360" s="0" t="n">
        <v>1253.92</v>
      </c>
      <c r="P360" s="5" t="n">
        <f aca="false">IF(AT360="","",IF(ISNUMBER(AT360),AT360,VALUE(SUBSTITUTE(AT360,"%",""))/100))</f>
        <v>0.05</v>
      </c>
      <c r="Q360" s="5" t="n">
        <f aca="false">IF(P360="",IF(AND(N360&lt;&gt;"",O360&lt;&gt;"",R360&lt;&gt;"",S360&lt;&gt;""),0,"REVIEW"),IF(OR(P360&lt;0,P360&gt;0.3),0,P360))</f>
        <v>0.05</v>
      </c>
      <c r="R360" s="0" t="n">
        <v>5956.12</v>
      </c>
      <c r="S360" s="0" t="n">
        <v>4379.18</v>
      </c>
      <c r="T360" s="6" t="n">
        <f aca="false">N360*O360*(1-Q360)</f>
        <v>5956.12</v>
      </c>
      <c r="U360" s="6" t="n">
        <f aca="false">T360-S360</f>
        <v>1576.94</v>
      </c>
      <c r="V360" s="7" t="n">
        <f aca="false">IF(T360=0,0,U360/T360)</f>
        <v>0.264759608604259</v>
      </c>
      <c r="W360" s="4" t="n">
        <f aca="false">C360-B360</f>
        <v>-2</v>
      </c>
      <c r="X360" s="0" t="str">
        <f aca="false">TEXT(B360,"mmmm")</f>
        <v>August</v>
      </c>
      <c r="Y360" s="4" t="n">
        <f aca="false">YEAR(B360)</f>
        <v>2025</v>
      </c>
      <c r="Z360" s="0" t="str">
        <f aca="false">PROPER(TRIM(AU360))</f>
        <v>Pending</v>
      </c>
      <c r="AA360" s="0" t="str">
        <f aca="false">PROPER(TRIM(AV360))</f>
        <v>Returned</v>
      </c>
      <c r="AB360" s="0" t="str">
        <f aca="false">IF(TRIM(AN360)="","Yes","No")</f>
        <v>No</v>
      </c>
      <c r="AC360" s="0" t="str">
        <f aca="false">IF(TRIM(AS360)="","Yes","No")</f>
        <v>No</v>
      </c>
      <c r="AD360" s="0" t="str">
        <f aca="false">IF(AT360="","Yes","No")</f>
        <v>No</v>
      </c>
      <c r="AE360" s="0" t="str">
        <f aca="false">IF(W360&lt;0,"Yes","No")</f>
        <v>Yes</v>
      </c>
      <c r="AF360" s="0" t="str">
        <f aca="false">IF(P360="","No",IF(OR(P360&lt;0,P360&gt;0.3),"Yes","No"))</f>
        <v>No</v>
      </c>
      <c r="AG360" s="4" t="s">
        <v>50</v>
      </c>
      <c r="AH360" s="0" t="str">
        <f aca="false">IF(AND(AA360="Completed",Z360="Paid"),"Yes","No")</f>
        <v>No</v>
      </c>
      <c r="AI360" s="0" t="str">
        <f aca="false">IF(OR(AE360="Yes",AF360="Yes",AG360="Yes"),"Invalid",IF(OR(AB360="Yes",AC360="Yes",AD360="Yes"),"Warning","Clean"))</f>
        <v>Invalid</v>
      </c>
      <c r="AJ360" s="4" t="s">
        <v>1489</v>
      </c>
      <c r="AK360" s="4" t="s">
        <v>1490</v>
      </c>
      <c r="AL360" s="4" t="s">
        <v>106</v>
      </c>
      <c r="AM360" s="4" t="s">
        <v>134</v>
      </c>
      <c r="AN360" s="4" t="s">
        <v>97</v>
      </c>
      <c r="AO360" s="4" t="s">
        <v>238</v>
      </c>
      <c r="AP360" s="4" t="s">
        <v>239</v>
      </c>
      <c r="AQ360" s="4" t="s">
        <v>72</v>
      </c>
      <c r="AR360" s="4" t="s">
        <v>211</v>
      </c>
      <c r="AS360" s="4" t="s">
        <v>60</v>
      </c>
      <c r="AT360" s="0" t="n">
        <v>0.05</v>
      </c>
      <c r="AU360" s="4" t="s">
        <v>153</v>
      </c>
      <c r="AV360" s="4" t="s">
        <v>142</v>
      </c>
    </row>
    <row r="361" customFormat="false" ht="15" hidden="false" customHeight="false" outlineLevel="0" collapsed="false">
      <c r="A361" s="0" t="s">
        <v>1491</v>
      </c>
      <c r="B361" s="3" t="n">
        <f aca="false">IF(AJ361="","",IF(ISNUMBER(SEARCH("/",AJ361)),DATE(VALUE(RIGHT(AJ361,4)),VALUE(LEFT(AJ361,2)),VALUE(MID(AJ361,4,2))),IF(ISNUMBER(SEARCH("-",AJ361)),IF(LEN(LEFT(AJ361,FIND("-",AJ361)-1))=4,DATE(VALUE(LEFT(AJ361,4)),VALUE(MID(AJ361,6,2)),VALUE(RIGHT(AJ361,2))),DATE(VALUE(RIGHT(AJ361,4)),VALUE(MID(AJ361,4,2)),VALUE(LEFT(AJ361,2)))),DATE(VALUE(RIGHT(AJ361,4)),MATCH(MID(AJ361,4,3),{"Jan","Feb","Mar","Apr","May","Jun","Jul","Aug","Sep","Oct","Nov","Dec"},0),VALUE(LEFT(AJ361,2))))))</f>
        <v>45525</v>
      </c>
      <c r="C361" s="3" t="n">
        <f aca="false">IF(AK361="","",IF(ISNUMBER(SEARCH("/",AK361)),DATE(VALUE(RIGHT(AK361,4)),VALUE(LEFT(AK361,2)),VALUE(MID(AK361,4,2))),IF(ISNUMBER(SEARCH("-",AK361)),IF(LEN(LEFT(AK361,FIND("-",AK361)-1))=4,DATE(VALUE(LEFT(AK361,4)),VALUE(MID(AK361,6,2)),VALUE(RIGHT(AK361,2))),DATE(VALUE(RIGHT(AK361,4)),VALUE(MID(AK361,4,2)),VALUE(LEFT(AK361,2)))),DATE(VALUE(RIGHT(AK361,4)),MATCH(MID(AK361,4,3),{"Jan","Feb","Mar","Apr","May","Jun","Jul","Aug","Sep","Oct","Nov","Dec"},0),VALUE(LEFT(AK361,2))))))</f>
        <v>45526</v>
      </c>
      <c r="D361" s="4" t="s">
        <v>1492</v>
      </c>
      <c r="E361" s="0" t="str">
        <f aca="false">PROPER(TRIM(AL361))</f>
        <v>Isha Nair</v>
      </c>
      <c r="F361" s="0" t="str">
        <f aca="false">PROPER(TRIM(AM361))</f>
        <v>Consumer</v>
      </c>
      <c r="G361" s="0" t="str">
        <f aca="false">IF(TRIM(AN361)="","Unknown",PROPER(TRIM(AN361)))</f>
        <v>South</v>
      </c>
      <c r="H361" s="0" t="str">
        <f aca="false">PROPER(TRIM(AO361))</f>
        <v>Tamil Nadu</v>
      </c>
      <c r="I361" s="0" t="str">
        <f aca="false">PROPER(TRIM(AP361))</f>
        <v>Chennai</v>
      </c>
      <c r="J361" s="0" t="str">
        <f aca="false">PROPER(TRIM(AQ361))</f>
        <v>Technology</v>
      </c>
      <c r="K361" s="0" t="str">
        <f aca="false">PROPER(TRIM(AR361))</f>
        <v>Phones</v>
      </c>
      <c r="M361" s="0" t="str">
        <f aca="false">IF(TRIM(AS361)="","Unknown",PROPER(TRIM(AS361)))</f>
        <v>Same Day</v>
      </c>
      <c r="N361" s="0" t="n">
        <v>9</v>
      </c>
      <c r="O361" s="0" t="n">
        <v>616.96</v>
      </c>
      <c r="P361" s="5" t="n">
        <f aca="false">IF(AT361="","",IF(ISNUMBER(AT361),AT361,VALUE(SUBSTITUTE(AT361,"%",""))/100))</f>
        <v>0.1</v>
      </c>
      <c r="Q361" s="5" t="n">
        <f aca="false">IF(P361="",IF(AND(N361&lt;&gt;"",O361&lt;&gt;"",R361&lt;&gt;"",S361&lt;&gt;""),0,"REVIEW"),IF(OR(P361&lt;0,P361&gt;0.3),0,P361))</f>
        <v>0.1</v>
      </c>
      <c r="R361" s="0" t="n">
        <v>4997.38</v>
      </c>
      <c r="S361" s="0" t="n">
        <v>2971.39</v>
      </c>
      <c r="T361" s="6" t="n">
        <f aca="false">N361*O361*(1-Q361)</f>
        <v>4997.376</v>
      </c>
      <c r="U361" s="6" t="n">
        <f aca="false">T361-S361</f>
        <v>2025.986</v>
      </c>
      <c r="V361" s="7" t="n">
        <f aca="false">IF(T361=0,0,U361/T361)</f>
        <v>0.40540995914656</v>
      </c>
      <c r="W361" s="4" t="n">
        <f aca="false">C361-B361</f>
        <v>1</v>
      </c>
      <c r="X361" s="0" t="str">
        <f aca="false">TEXT(B361,"mmmm")</f>
        <v>August</v>
      </c>
      <c r="Y361" s="4" t="n">
        <f aca="false">YEAR(B361)</f>
        <v>2024</v>
      </c>
      <c r="Z361" s="0" t="str">
        <f aca="false">PROPER(TRIM(AU361))</f>
        <v>Paid</v>
      </c>
      <c r="AA361" s="0" t="str">
        <f aca="false">PROPER(TRIM(AV361))</f>
        <v>Completed</v>
      </c>
      <c r="AB361" s="0" t="str">
        <f aca="false">IF(TRIM(AN361)="","Yes","No")</f>
        <v>No</v>
      </c>
      <c r="AC361" s="0" t="str">
        <f aca="false">IF(TRIM(AS361)="","Yes","No")</f>
        <v>No</v>
      </c>
      <c r="AD361" s="0" t="str">
        <f aca="false">IF(AT361="","Yes","No")</f>
        <v>No</v>
      </c>
      <c r="AE361" s="0" t="str">
        <f aca="false">IF(W361&lt;0,"Yes","No")</f>
        <v>No</v>
      </c>
      <c r="AF361" s="0" t="str">
        <f aca="false">IF(P361="","No",IF(OR(P361&lt;0,P361&gt;0.3),"Yes","No"))</f>
        <v>No</v>
      </c>
      <c r="AG361" s="4" t="s">
        <v>50</v>
      </c>
      <c r="AH361" s="0" t="str">
        <f aca="false">IF(AND(AA361="Completed",Z361="Paid"),"Yes","No")</f>
        <v>Yes</v>
      </c>
      <c r="AI361" s="0" t="str">
        <f aca="false">IF(OR(AE361="Yes",AF361="Yes",AG361="Yes"),"Invalid",IF(OR(AB361="Yes",AC361="Yes",AD361="Yes"),"Warning","Clean"))</f>
        <v>Clean</v>
      </c>
      <c r="AJ361" s="4" t="s">
        <v>1355</v>
      </c>
      <c r="AK361" s="4" t="s">
        <v>1493</v>
      </c>
      <c r="AL361" s="4" t="s">
        <v>79</v>
      </c>
      <c r="AM361" s="4" t="s">
        <v>54</v>
      </c>
      <c r="AN361" s="4" t="s">
        <v>87</v>
      </c>
      <c r="AO361" s="4" t="s">
        <v>323</v>
      </c>
      <c r="AP361" s="4" t="s">
        <v>324</v>
      </c>
      <c r="AQ361" s="4" t="s">
        <v>109</v>
      </c>
      <c r="AR361" s="4" t="s">
        <v>227</v>
      </c>
      <c r="AS361" s="4" t="s">
        <v>74</v>
      </c>
      <c r="AT361" s="0" t="n">
        <v>0.1</v>
      </c>
      <c r="AU361" s="4" t="s">
        <v>61</v>
      </c>
      <c r="AV361" s="4" t="s">
        <v>62</v>
      </c>
    </row>
    <row r="362" customFormat="false" ht="15" hidden="false" customHeight="false" outlineLevel="0" collapsed="false">
      <c r="A362" s="0" t="s">
        <v>1494</v>
      </c>
      <c r="B362" s="3" t="n">
        <f aca="false">IF(AJ362="","",IF(ISNUMBER(SEARCH("/",AJ362)),DATE(VALUE(RIGHT(AJ362,4)),VALUE(LEFT(AJ362,2)),VALUE(MID(AJ362,4,2))),IF(ISNUMBER(SEARCH("-",AJ362)),IF(LEN(LEFT(AJ362,FIND("-",AJ362)-1))=4,DATE(VALUE(LEFT(AJ362,4)),VALUE(MID(AJ362,6,2)),VALUE(RIGHT(AJ362,2))),DATE(VALUE(RIGHT(AJ362,4)),VALUE(MID(AJ362,4,2)),VALUE(LEFT(AJ362,2)))),DATE(VALUE(RIGHT(AJ362,4)),MATCH(MID(AJ362,4,3),{"Jan","Feb","Mar","Apr","May","Jun","Jul","Aug","Sep","Oct","Nov","Dec"},0),VALUE(LEFT(AJ362,2))))))</f>
        <v>45460</v>
      </c>
      <c r="C362" s="3" t="n">
        <f aca="false">IF(AK362="","",IF(ISNUMBER(SEARCH("/",AK362)),DATE(VALUE(RIGHT(AK362,4)),VALUE(LEFT(AK362,2)),VALUE(MID(AK362,4,2))),IF(ISNUMBER(SEARCH("-",AK362)),IF(LEN(LEFT(AK362,FIND("-",AK362)-1))=4,DATE(VALUE(LEFT(AK362,4)),VALUE(MID(AK362,6,2)),VALUE(RIGHT(AK362,2))),DATE(VALUE(RIGHT(AK362,4)),VALUE(MID(AK362,4,2)),VALUE(LEFT(AK362,2)))),DATE(VALUE(RIGHT(AK362,4)),MATCH(MID(AK362,4,3),{"Jan","Feb","Mar","Apr","May","Jun","Jul","Aug","Sep","Oct","Nov","Dec"},0),VALUE(LEFT(AK362,2))))))</f>
        <v>45463</v>
      </c>
      <c r="D362" s="4" t="s">
        <v>1495</v>
      </c>
      <c r="E362" s="0" t="str">
        <f aca="false">PROPER(TRIM(AL362))</f>
        <v>Sneha Kapoor</v>
      </c>
      <c r="F362" s="0" t="str">
        <f aca="false">PROPER(TRIM(AM362))</f>
        <v>Small Business</v>
      </c>
      <c r="G362" s="0" t="str">
        <f aca="false">IF(TRIM(AN362)="","Unknown",PROPER(TRIM(AN362)))</f>
        <v>West</v>
      </c>
      <c r="H362" s="0" t="str">
        <f aca="false">PROPER(TRIM(AO362))</f>
        <v>Gujarat</v>
      </c>
      <c r="I362" s="0" t="str">
        <f aca="false">PROPER(TRIM(AP362))</f>
        <v>Ahmedabad</v>
      </c>
      <c r="J362" s="0" t="str">
        <f aca="false">PROPER(TRIM(AQ362))</f>
        <v>Furniture</v>
      </c>
      <c r="K362" s="0" t="str">
        <f aca="false">PROPER(TRIM(AR362))</f>
        <v>Furnishings</v>
      </c>
      <c r="M362" s="0" t="str">
        <f aca="false">IF(TRIM(AS362)="","Unknown",PROPER(TRIM(AS362)))</f>
        <v>Standard Class</v>
      </c>
      <c r="N362" s="0" t="n">
        <v>7</v>
      </c>
      <c r="O362" s="0" t="n">
        <v>3155.25</v>
      </c>
      <c r="P362" s="5" t="n">
        <f aca="false">IF(AT362="","",IF(ISNUMBER(AT362),AT362,VALUE(SUBSTITUTE(AT362,"%",""))/100))</f>
        <v>0.2</v>
      </c>
      <c r="Q362" s="5" t="n">
        <f aca="false">IF(P362="",IF(AND(N362&lt;&gt;"",O362&lt;&gt;"",R362&lt;&gt;"",S362&lt;&gt;""),0,"REVIEW"),IF(OR(P362&lt;0,P362&gt;0.3),0,P362))</f>
        <v>0.2</v>
      </c>
      <c r="R362" s="0" t="n">
        <v>17669.4</v>
      </c>
      <c r="S362" s="0" t="n">
        <v>13718.77</v>
      </c>
      <c r="T362" s="6" t="n">
        <f aca="false">N362*O362*(1-Q362)</f>
        <v>17669.4</v>
      </c>
      <c r="U362" s="6" t="n">
        <f aca="false">T362-S362</f>
        <v>3950.63</v>
      </c>
      <c r="V362" s="7" t="n">
        <f aca="false">IF(T362=0,0,U362/T362)</f>
        <v>0.223585973490894</v>
      </c>
      <c r="W362" s="4" t="n">
        <f aca="false">C362-B362</f>
        <v>3</v>
      </c>
      <c r="X362" s="0" t="str">
        <f aca="false">TEXT(B362,"mmmm")</f>
        <v>June</v>
      </c>
      <c r="Y362" s="4" t="n">
        <f aca="false">YEAR(B362)</f>
        <v>2024</v>
      </c>
      <c r="Z362" s="0" t="str">
        <f aca="false">PROPER(TRIM(AU362))</f>
        <v>Refunded</v>
      </c>
      <c r="AA362" s="0" t="str">
        <f aca="false">PROPER(TRIM(AV362))</f>
        <v>Cancelled</v>
      </c>
      <c r="AB362" s="0" t="str">
        <f aca="false">IF(TRIM(AN362)="","Yes","No")</f>
        <v>No</v>
      </c>
      <c r="AC362" s="0" t="str">
        <f aca="false">IF(TRIM(AS362)="","Yes","No")</f>
        <v>No</v>
      </c>
      <c r="AD362" s="0" t="str">
        <f aca="false">IF(AT362="","Yes","No")</f>
        <v>No</v>
      </c>
      <c r="AE362" s="0" t="str">
        <f aca="false">IF(W362&lt;0,"Yes","No")</f>
        <v>No</v>
      </c>
      <c r="AF362" s="0" t="str">
        <f aca="false">IF(P362="","No",IF(OR(P362&lt;0,P362&gt;0.3),"Yes","No"))</f>
        <v>No</v>
      </c>
      <c r="AG362" s="4" t="s">
        <v>50</v>
      </c>
      <c r="AH362" s="0" t="str">
        <f aca="false">IF(AND(AA362="Completed",Z362="Paid"),"Yes","No")</f>
        <v>No</v>
      </c>
      <c r="AI362" s="0" t="str">
        <f aca="false">IF(OR(AE362="Yes",AF362="Yes",AG362="Yes"),"Invalid",IF(OR(AB362="Yes",AC362="Yes",AD362="Yes"),"Warning","Clean"))</f>
        <v>Clean</v>
      </c>
      <c r="AJ362" s="4" t="s">
        <v>1496</v>
      </c>
      <c r="AK362" s="4" t="s">
        <v>1497</v>
      </c>
      <c r="AL362" s="4" t="s">
        <v>181</v>
      </c>
      <c r="AM362" s="4" t="s">
        <v>68</v>
      </c>
      <c r="AN362" s="4" t="s">
        <v>97</v>
      </c>
      <c r="AO362" s="4" t="s">
        <v>238</v>
      </c>
      <c r="AP362" s="4" t="s">
        <v>239</v>
      </c>
      <c r="AQ362" s="4" t="s">
        <v>72</v>
      </c>
      <c r="AR362" s="4" t="s">
        <v>90</v>
      </c>
      <c r="AS362" s="4" t="s">
        <v>91</v>
      </c>
      <c r="AT362" s="0" t="n">
        <v>0.2</v>
      </c>
      <c r="AU362" s="4" t="s">
        <v>141</v>
      </c>
      <c r="AV362" s="4" t="s">
        <v>101</v>
      </c>
    </row>
    <row r="363" customFormat="false" ht="15" hidden="false" customHeight="false" outlineLevel="0" collapsed="false">
      <c r="A363" s="0" t="s">
        <v>1498</v>
      </c>
      <c r="B363" s="3" t="n">
        <f aca="false">IF(AJ363="","",IF(ISNUMBER(SEARCH("/",AJ363)),DATE(VALUE(RIGHT(AJ363,4)),VALUE(LEFT(AJ363,2)),VALUE(MID(AJ363,4,2))),IF(ISNUMBER(SEARCH("-",AJ363)),IF(LEN(LEFT(AJ363,FIND("-",AJ363)-1))=4,DATE(VALUE(LEFT(AJ363,4)),VALUE(MID(AJ363,6,2)),VALUE(RIGHT(AJ363,2))),DATE(VALUE(RIGHT(AJ363,4)),VALUE(MID(AJ363,4,2)),VALUE(LEFT(AJ363,2)))),DATE(VALUE(RIGHT(AJ363,4)),MATCH(MID(AJ363,4,3),{"Jan","Feb","Mar","Apr","May","Jun","Jul","Aug","Sep","Oct","Nov","Dec"},0),VALUE(LEFT(AJ363,2))))))</f>
        <v>45748</v>
      </c>
      <c r="C363" s="3" t="n">
        <f aca="false">IF(AK363="","",IF(ISNUMBER(SEARCH("/",AK363)),DATE(VALUE(RIGHT(AK363,4)),VALUE(LEFT(AK363,2)),VALUE(MID(AK363,4,2))),IF(ISNUMBER(SEARCH("-",AK363)),IF(LEN(LEFT(AK363,FIND("-",AK363)-1))=4,DATE(VALUE(LEFT(AK363,4)),VALUE(MID(AK363,6,2)),VALUE(RIGHT(AK363,2))),DATE(VALUE(RIGHT(AK363,4)),VALUE(MID(AK363,4,2)),VALUE(LEFT(AK363,2)))),DATE(VALUE(RIGHT(AK363,4)),MATCH(MID(AK363,4,3),{"Jan","Feb","Mar","Apr","May","Jun","Jul","Aug","Sep","Oct","Nov","Dec"},0),VALUE(LEFT(AK363,2))))))</f>
        <v>45749</v>
      </c>
      <c r="D363" s="4" t="s">
        <v>1499</v>
      </c>
      <c r="E363" s="0" t="str">
        <f aca="false">PROPER(TRIM(AL363))</f>
        <v>Rohan Mehta</v>
      </c>
      <c r="F363" s="0" t="str">
        <f aca="false">PROPER(TRIM(AM363))</f>
        <v>Corporate</v>
      </c>
      <c r="G363" s="0" t="str">
        <f aca="false">IF(TRIM(AN363)="","Unknown",PROPER(TRIM(AN363)))</f>
        <v>East</v>
      </c>
      <c r="H363" s="0" t="str">
        <f aca="false">PROPER(TRIM(AO363))</f>
        <v>Odisha</v>
      </c>
      <c r="I363" s="0" t="str">
        <f aca="false">PROPER(TRIM(AP363))</f>
        <v>Bhubaneswar</v>
      </c>
      <c r="J363" s="0" t="str">
        <f aca="false">PROPER(TRIM(AQ363))</f>
        <v>Furniture</v>
      </c>
      <c r="K363" s="0" t="str">
        <f aca="false">PROPER(TRIM(AR363))</f>
        <v>Chairs</v>
      </c>
      <c r="M363" s="0" t="str">
        <f aca="false">IF(TRIM(AS363)="","Unknown",PROPER(TRIM(AS363)))</f>
        <v>Second Class</v>
      </c>
      <c r="N363" s="0" t="n">
        <v>9</v>
      </c>
      <c r="O363" s="0" t="n">
        <v>4165.58</v>
      </c>
      <c r="P363" s="5" t="n">
        <f aca="false">IF(AT363="","",IF(ISNUMBER(AT363),AT363,VALUE(SUBSTITUTE(AT363,"%",""))/100))</f>
        <v>0.05</v>
      </c>
      <c r="Q363" s="5" t="n">
        <f aca="false">IF(P363="",IF(AND(N363&lt;&gt;"",O363&lt;&gt;"",R363&lt;&gt;"",S363&lt;&gt;""),0,"REVIEW"),IF(OR(P363&lt;0,P363&gt;0.3),0,P363))</f>
        <v>0.05</v>
      </c>
      <c r="R363" s="0" t="n">
        <v>35615.71</v>
      </c>
      <c r="S363" s="0" t="n">
        <v>20389.71</v>
      </c>
      <c r="T363" s="6" t="n">
        <f aca="false">N363*O363*(1-Q363)</f>
        <v>35615.709</v>
      </c>
      <c r="U363" s="6" t="n">
        <f aca="false">T363-S363</f>
        <v>15225.999</v>
      </c>
      <c r="V363" s="7" t="n">
        <f aca="false">IF(T363=0,0,U363/T363)</f>
        <v>0.427507957233141</v>
      </c>
      <c r="W363" s="4" t="n">
        <f aca="false">C363-B363</f>
        <v>1</v>
      </c>
      <c r="X363" s="0" t="str">
        <f aca="false">TEXT(B363,"mmmm")</f>
        <v>April</v>
      </c>
      <c r="Y363" s="4" t="n">
        <f aca="false">YEAR(B363)</f>
        <v>2025</v>
      </c>
      <c r="Z363" s="0" t="str">
        <f aca="false">PROPER(TRIM(AU363))</f>
        <v>Pending</v>
      </c>
      <c r="AA363" s="0" t="str">
        <f aca="false">PROPER(TRIM(AV363))</f>
        <v>Returned</v>
      </c>
      <c r="AB363" s="0" t="str">
        <f aca="false">IF(TRIM(AN363)="","Yes","No")</f>
        <v>No</v>
      </c>
      <c r="AC363" s="0" t="str">
        <f aca="false">IF(TRIM(AS363)="","Yes","No")</f>
        <v>No</v>
      </c>
      <c r="AD363" s="0" t="str">
        <f aca="false">IF(AT363="","Yes","No")</f>
        <v>No</v>
      </c>
      <c r="AE363" s="0" t="str">
        <f aca="false">IF(W363&lt;0,"Yes","No")</f>
        <v>No</v>
      </c>
      <c r="AF363" s="0" t="str">
        <f aca="false">IF(P363="","No",IF(OR(P363&lt;0,P363&gt;0.3),"Yes","No"))</f>
        <v>No</v>
      </c>
      <c r="AG363" s="4" t="s">
        <v>50</v>
      </c>
      <c r="AH363" s="0" t="str">
        <f aca="false">IF(AND(AA363="Completed",Z363="Paid"),"Yes","No")</f>
        <v>No</v>
      </c>
      <c r="AI363" s="0" t="str">
        <f aca="false">IF(OR(AE363="Yes",AF363="Yes",AG363="Yes"),"Invalid",IF(OR(AB363="Yes",AC363="Yes",AD363="Yes"),"Warning","Clean"))</f>
        <v>Clean</v>
      </c>
      <c r="AJ363" s="4" t="s">
        <v>986</v>
      </c>
      <c r="AK363" s="4" t="s">
        <v>1500</v>
      </c>
      <c r="AL363" s="4" t="s">
        <v>191</v>
      </c>
      <c r="AM363" s="4" t="s">
        <v>128</v>
      </c>
      <c r="AN363" s="4" t="s">
        <v>69</v>
      </c>
      <c r="AO363" s="4" t="s">
        <v>70</v>
      </c>
      <c r="AP363" s="4" t="s">
        <v>71</v>
      </c>
      <c r="AQ363" s="4" t="s">
        <v>72</v>
      </c>
      <c r="AR363" s="4" t="s">
        <v>100</v>
      </c>
      <c r="AS363" s="4" t="s">
        <v>60</v>
      </c>
      <c r="AT363" s="0" t="n">
        <v>0.05</v>
      </c>
      <c r="AU363" s="4" t="s">
        <v>153</v>
      </c>
      <c r="AV363" s="4" t="s">
        <v>142</v>
      </c>
    </row>
    <row r="364" customFormat="false" ht="15" hidden="false" customHeight="false" outlineLevel="0" collapsed="false">
      <c r="A364" s="0" t="s">
        <v>1501</v>
      </c>
      <c r="B364" s="3" t="n">
        <f aca="false">IF(AJ364="","",IF(ISNUMBER(SEARCH("/",AJ364)),DATE(VALUE(RIGHT(AJ364,4)),VALUE(LEFT(AJ364,2)),VALUE(MID(AJ364,4,2))),IF(ISNUMBER(SEARCH("-",AJ364)),IF(LEN(LEFT(AJ364,FIND("-",AJ364)-1))=4,DATE(VALUE(LEFT(AJ364,4)),VALUE(MID(AJ364,6,2)),VALUE(RIGHT(AJ364,2))),DATE(VALUE(RIGHT(AJ364,4)),VALUE(MID(AJ364,4,2)),VALUE(LEFT(AJ364,2)))),DATE(VALUE(RIGHT(AJ364,4)),MATCH(MID(AJ364,4,3),{"Jan","Feb","Mar","Apr","May","Jun","Jul","Aug","Sep","Oct","Nov","Dec"},0),VALUE(LEFT(AJ364,2))))))</f>
        <v>45527</v>
      </c>
      <c r="C364" s="3" t="n">
        <f aca="false">IF(AK364="","",IF(ISNUMBER(SEARCH("/",AK364)),DATE(VALUE(RIGHT(AK364,4)),VALUE(LEFT(AK364,2)),VALUE(MID(AK364,4,2))),IF(ISNUMBER(SEARCH("-",AK364)),IF(LEN(LEFT(AK364,FIND("-",AK364)-1))=4,DATE(VALUE(LEFT(AK364,4)),VALUE(MID(AK364,6,2)),VALUE(RIGHT(AK364,2))),DATE(VALUE(RIGHT(AK364,4)),VALUE(MID(AK364,4,2)),VALUE(LEFT(AK364,2)))),DATE(VALUE(RIGHT(AK364,4)),MATCH(MID(AK364,4,3),{"Jan","Feb","Mar","Apr","May","Jun","Jul","Aug","Sep","Oct","Nov","Dec"},0),VALUE(LEFT(AK364,2))))))</f>
        <v>45529</v>
      </c>
      <c r="D364" s="4" t="s">
        <v>1502</v>
      </c>
      <c r="E364" s="0" t="str">
        <f aca="false">PROPER(TRIM(AL364))</f>
        <v>Vikram Iyer</v>
      </c>
      <c r="F364" s="0" t="str">
        <f aca="false">PROPER(TRIM(AM364))</f>
        <v>Consumer</v>
      </c>
      <c r="G364" s="0" t="str">
        <f aca="false">IF(TRIM(AN364)="","Unknown",PROPER(TRIM(AN364)))</f>
        <v>West</v>
      </c>
      <c r="H364" s="0" t="str">
        <f aca="false">PROPER(TRIM(AO364))</f>
        <v>Goa</v>
      </c>
      <c r="I364" s="0" t="str">
        <f aca="false">PROPER(TRIM(AP364))</f>
        <v>Panaji</v>
      </c>
      <c r="J364" s="0" t="str">
        <f aca="false">PROPER(TRIM(AQ364))</f>
        <v>Technology</v>
      </c>
      <c r="K364" s="0" t="str">
        <f aca="false">PROPER(TRIM(AR364))</f>
        <v>Machines</v>
      </c>
      <c r="M364" s="0" t="str">
        <f aca="false">IF(TRIM(AS364)="","Unknown",PROPER(TRIM(AS364)))</f>
        <v>Same Day</v>
      </c>
      <c r="N364" s="0" t="n">
        <v>4</v>
      </c>
      <c r="O364" s="0" t="n">
        <v>491.16</v>
      </c>
      <c r="P364" s="5" t="n">
        <f aca="false">IF(AT364="","",IF(ISNUMBER(AT364),AT364,VALUE(SUBSTITUTE(AT364,"%",""))/100))</f>
        <v>0.05</v>
      </c>
      <c r="Q364" s="5" t="n">
        <f aca="false">IF(P364="",IF(AND(N364&lt;&gt;"",O364&lt;&gt;"",R364&lt;&gt;"",S364&lt;&gt;""),0,"REVIEW"),IF(OR(P364&lt;0,P364&gt;0.3),0,P364))</f>
        <v>0.05</v>
      </c>
      <c r="R364" s="0" t="n">
        <v>1866.41</v>
      </c>
      <c r="S364" s="0" t="n">
        <v>1576.49</v>
      </c>
      <c r="T364" s="6" t="n">
        <f aca="false">N364*O364*(1-Q364)</f>
        <v>1866.408</v>
      </c>
      <c r="U364" s="6" t="n">
        <f aca="false">T364-S364</f>
        <v>289.918</v>
      </c>
      <c r="V364" s="7" t="n">
        <f aca="false">IF(T364=0,0,U364/T364)</f>
        <v>0.155334739242438</v>
      </c>
      <c r="W364" s="4" t="n">
        <f aca="false">C364-B364</f>
        <v>2</v>
      </c>
      <c r="X364" s="0" t="str">
        <f aca="false">TEXT(B364,"mmmm")</f>
        <v>August</v>
      </c>
      <c r="Y364" s="4" t="n">
        <f aca="false">YEAR(B364)</f>
        <v>2024</v>
      </c>
      <c r="Z364" s="0" t="str">
        <f aca="false">PROPER(TRIM(AU364))</f>
        <v>Paid</v>
      </c>
      <c r="AA364" s="0" t="str">
        <f aca="false">PROPER(TRIM(AV364))</f>
        <v>Completed</v>
      </c>
      <c r="AB364" s="0" t="str">
        <f aca="false">IF(TRIM(AN364)="","Yes","No")</f>
        <v>No</v>
      </c>
      <c r="AC364" s="0" t="str">
        <f aca="false">IF(TRIM(AS364)="","Yes","No")</f>
        <v>No</v>
      </c>
      <c r="AD364" s="0" t="str">
        <f aca="false">IF(AT364="","Yes","No")</f>
        <v>No</v>
      </c>
      <c r="AE364" s="0" t="str">
        <f aca="false">IF(W364&lt;0,"Yes","No")</f>
        <v>No</v>
      </c>
      <c r="AF364" s="0" t="str">
        <f aca="false">IF(P364="","No",IF(OR(P364&lt;0,P364&gt;0.3),"Yes","No"))</f>
        <v>No</v>
      </c>
      <c r="AG364" s="4" t="s">
        <v>50</v>
      </c>
      <c r="AH364" s="0" t="str">
        <f aca="false">IF(AND(AA364="Completed",Z364="Paid"),"Yes","No")</f>
        <v>Yes</v>
      </c>
      <c r="AI364" s="0" t="str">
        <f aca="false">IF(OR(AE364="Yes",AF364="Yes",AG364="Yes"),"Invalid",IF(OR(AB364="Yes",AC364="Yes",AD364="Yes"),"Warning","Clean"))</f>
        <v>Clean</v>
      </c>
      <c r="AJ364" s="4" t="s">
        <v>1503</v>
      </c>
      <c r="AK364" s="4" t="s">
        <v>1504</v>
      </c>
      <c r="AL364" s="4" t="s">
        <v>106</v>
      </c>
      <c r="AM364" s="4" t="s">
        <v>54</v>
      </c>
      <c r="AN364" s="4" t="s">
        <v>97</v>
      </c>
      <c r="AO364" s="4" t="s">
        <v>250</v>
      </c>
      <c r="AP364" s="4" t="s">
        <v>251</v>
      </c>
      <c r="AQ364" s="4" t="s">
        <v>109</v>
      </c>
      <c r="AR364" s="4" t="s">
        <v>360</v>
      </c>
      <c r="AS364" s="4" t="s">
        <v>74</v>
      </c>
      <c r="AT364" s="0" t="n">
        <v>0.05</v>
      </c>
      <c r="AU364" s="4" t="s">
        <v>61</v>
      </c>
      <c r="AV364" s="4" t="s">
        <v>62</v>
      </c>
    </row>
    <row r="365" customFormat="false" ht="15" hidden="false" customHeight="false" outlineLevel="0" collapsed="false">
      <c r="A365" s="0" t="s">
        <v>1505</v>
      </c>
      <c r="B365" s="3" t="n">
        <f aca="false">IF(AJ365="","",IF(ISNUMBER(SEARCH("/",AJ365)),DATE(VALUE(RIGHT(AJ365,4)),VALUE(LEFT(AJ365,2)),VALUE(MID(AJ365,4,2))),IF(ISNUMBER(SEARCH("-",AJ365)),IF(LEN(LEFT(AJ365,FIND("-",AJ365)-1))=4,DATE(VALUE(LEFT(AJ365,4)),VALUE(MID(AJ365,6,2)),VALUE(RIGHT(AJ365,2))),DATE(VALUE(RIGHT(AJ365,4)),VALUE(MID(AJ365,4,2)),VALUE(LEFT(AJ365,2)))),DATE(VALUE(RIGHT(AJ365,4)),MATCH(MID(AJ365,4,3),{"Jan","Feb","Mar","Apr","May","Jun","Jul","Aug","Sep","Oct","Nov","Dec"},0),VALUE(LEFT(AJ365,2))))))</f>
        <v>45845</v>
      </c>
      <c r="C365" s="3" t="n">
        <f aca="false">IF(AK365="","",IF(ISNUMBER(SEARCH("/",AK365)),DATE(VALUE(RIGHT(AK365,4)),VALUE(LEFT(AK365,2)),VALUE(MID(AK365,4,2))),IF(ISNUMBER(SEARCH("-",AK365)),IF(LEN(LEFT(AK365,FIND("-",AK365)-1))=4,DATE(VALUE(LEFT(AK365,4)),VALUE(MID(AK365,6,2)),VALUE(RIGHT(AK365,2))),DATE(VALUE(RIGHT(AK365,4)),VALUE(MID(AK365,4,2)),VALUE(LEFT(AK365,2)))),DATE(VALUE(RIGHT(AK365,4)),MATCH(MID(AK365,4,3),{"Jan","Feb","Mar","Apr","May","Jun","Jul","Aug","Sep","Oct","Nov","Dec"},0),VALUE(LEFT(AK365,2))))))</f>
        <v>45850</v>
      </c>
      <c r="D365" s="4" t="s">
        <v>1506</v>
      </c>
      <c r="E365" s="0" t="str">
        <f aca="false">PROPER(TRIM(AL365))</f>
        <v>Diya Patel</v>
      </c>
      <c r="F365" s="0" t="str">
        <f aca="false">PROPER(TRIM(AM365))</f>
        <v>Corporate</v>
      </c>
      <c r="G365" s="0" t="str">
        <f aca="false">IF(TRIM(AN365)="","Unknown",PROPER(TRIM(AN365)))</f>
        <v>East</v>
      </c>
      <c r="H365" s="0" t="str">
        <f aca="false">PROPER(TRIM(AO365))</f>
        <v>West Bengal</v>
      </c>
      <c r="I365" s="0" t="str">
        <f aca="false">PROPER(TRIM(AP365))</f>
        <v>Kolkata</v>
      </c>
      <c r="J365" s="0" t="str">
        <f aca="false">PROPER(TRIM(AQ365))</f>
        <v>Furniture</v>
      </c>
      <c r="K365" s="0" t="str">
        <f aca="false">PROPER(TRIM(AR365))</f>
        <v>Tables</v>
      </c>
      <c r="M365" s="0" t="str">
        <f aca="false">IF(TRIM(AS365)="","Unknown",PROPER(TRIM(AS365)))</f>
        <v>Second Class</v>
      </c>
      <c r="N365" s="0" t="n">
        <v>5</v>
      </c>
      <c r="O365" s="0" t="n">
        <v>1831.37</v>
      </c>
      <c r="P365" s="5" t="n">
        <f aca="false">IF(AT365="","",IF(ISNUMBER(AT365),AT365,VALUE(SUBSTITUTE(AT365,"%",""))/100))</f>
        <v>0.25</v>
      </c>
      <c r="Q365" s="5" t="n">
        <f aca="false">IF(P365="",IF(AND(N365&lt;&gt;"",O365&lt;&gt;"",R365&lt;&gt;"",S365&lt;&gt;""),0,"REVIEW"),IF(OR(P365&lt;0,P365&gt;0.3),0,P365))</f>
        <v>0.25</v>
      </c>
      <c r="R365" s="0" t="n">
        <v>6867.64</v>
      </c>
      <c r="S365" s="0" t="n">
        <v>5205.36</v>
      </c>
      <c r="T365" s="6" t="n">
        <f aca="false">N365*O365*(1-Q365)</f>
        <v>6867.6375</v>
      </c>
      <c r="U365" s="6" t="n">
        <f aca="false">T365-S365</f>
        <v>1662.2775</v>
      </c>
      <c r="V365" s="7" t="n">
        <f aca="false">IF(T365=0,0,U365/T365)</f>
        <v>0.242045026401</v>
      </c>
      <c r="W365" s="4" t="n">
        <f aca="false">C365-B365</f>
        <v>5</v>
      </c>
      <c r="X365" s="0" t="str">
        <f aca="false">TEXT(B365,"mmmm")</f>
        <v>July</v>
      </c>
      <c r="Y365" s="4" t="n">
        <f aca="false">YEAR(B365)</f>
        <v>2025</v>
      </c>
      <c r="Z365" s="0" t="str">
        <f aca="false">PROPER(TRIM(AU365))</f>
        <v>Paid</v>
      </c>
      <c r="AA365" s="0" t="str">
        <f aca="false">PROPER(TRIM(AV365))</f>
        <v>Completed</v>
      </c>
      <c r="AB365" s="0" t="str">
        <f aca="false">IF(TRIM(AN365)="","Yes","No")</f>
        <v>No</v>
      </c>
      <c r="AC365" s="0" t="str">
        <f aca="false">IF(TRIM(AS365)="","Yes","No")</f>
        <v>No</v>
      </c>
      <c r="AD365" s="0" t="str">
        <f aca="false">IF(AT365="","Yes","No")</f>
        <v>No</v>
      </c>
      <c r="AE365" s="0" t="str">
        <f aca="false">IF(W365&lt;0,"Yes","No")</f>
        <v>No</v>
      </c>
      <c r="AF365" s="0" t="str">
        <f aca="false">IF(P365="","No",IF(OR(P365&lt;0,P365&gt;0.3),"Yes","No"))</f>
        <v>No</v>
      </c>
      <c r="AG365" s="4" t="s">
        <v>50</v>
      </c>
      <c r="AH365" s="0" t="str">
        <f aca="false">IF(AND(AA365="Completed",Z365="Paid"),"Yes","No")</f>
        <v>Yes</v>
      </c>
      <c r="AI365" s="0" t="str">
        <f aca="false">IF(OR(AE365="Yes",AF365="Yes",AG365="Yes"),"Invalid",IF(OR(AB365="Yes",AC365="Yes",AD365="Yes"),"Warning","Clean"))</f>
        <v>Clean</v>
      </c>
      <c r="AJ365" s="4" t="s">
        <v>1507</v>
      </c>
      <c r="AK365" s="4" t="s">
        <v>1508</v>
      </c>
      <c r="AL365" s="4" t="s">
        <v>216</v>
      </c>
      <c r="AM365" s="4" t="s">
        <v>128</v>
      </c>
      <c r="AN365" s="4" t="s">
        <v>69</v>
      </c>
      <c r="AO365" s="4" t="s">
        <v>139</v>
      </c>
      <c r="AP365" s="4" t="s">
        <v>140</v>
      </c>
      <c r="AQ365" s="4" t="s">
        <v>72</v>
      </c>
      <c r="AR365" s="4" t="s">
        <v>73</v>
      </c>
      <c r="AS365" s="4" t="s">
        <v>60</v>
      </c>
      <c r="AT365" s="0" t="n">
        <v>0.25</v>
      </c>
      <c r="AU365" s="4" t="s">
        <v>61</v>
      </c>
      <c r="AV365" s="4" t="s">
        <v>62</v>
      </c>
    </row>
    <row r="366" customFormat="false" ht="15" hidden="false" customHeight="false" outlineLevel="0" collapsed="false">
      <c r="A366" s="0" t="s">
        <v>1509</v>
      </c>
      <c r="B366" s="3" t="n">
        <f aca="false">IF(AJ366="","",IF(ISNUMBER(SEARCH("/",AJ366)),DATE(VALUE(RIGHT(AJ366,4)),VALUE(LEFT(AJ366,2)),VALUE(MID(AJ366,4,2))),IF(ISNUMBER(SEARCH("-",AJ366)),IF(LEN(LEFT(AJ366,FIND("-",AJ366)-1))=4,DATE(VALUE(LEFT(AJ366,4)),VALUE(MID(AJ366,6,2)),VALUE(RIGHT(AJ366,2))),DATE(VALUE(RIGHT(AJ366,4)),VALUE(MID(AJ366,4,2)),VALUE(LEFT(AJ366,2)))),DATE(VALUE(RIGHT(AJ366,4)),MATCH(MID(AJ366,4,3),{"Jan","Feb","Mar","Apr","May","Jun","Jul","Aug","Sep","Oct","Nov","Dec"},0),VALUE(LEFT(AJ366,2))))))</f>
        <v>45737</v>
      </c>
      <c r="C366" s="3" t="n">
        <f aca="false">IF(AK366="","",IF(ISNUMBER(SEARCH("/",AK366)),DATE(VALUE(RIGHT(AK366,4)),VALUE(LEFT(AK366,2)),VALUE(MID(AK366,4,2))),IF(ISNUMBER(SEARCH("-",AK366)),IF(LEN(LEFT(AK366,FIND("-",AK366)-1))=4,DATE(VALUE(LEFT(AK366,4)),VALUE(MID(AK366,6,2)),VALUE(RIGHT(AK366,2))),DATE(VALUE(RIGHT(AK366,4)),VALUE(MID(AK366,4,2)),VALUE(LEFT(AK366,2)))),DATE(VALUE(RIGHT(AK366,4)),MATCH(MID(AK366,4,3),{"Jan","Feb","Mar","Apr","May","Jun","Jul","Aug","Sep","Oct","Nov","Dec"},0),VALUE(LEFT(AK366,2))))))</f>
        <v>45740</v>
      </c>
      <c r="D366" s="4" t="s">
        <v>1510</v>
      </c>
      <c r="E366" s="0" t="str">
        <f aca="false">PROPER(TRIM(AL366))</f>
        <v>Aarav Sharma</v>
      </c>
      <c r="F366" s="0" t="str">
        <f aca="false">PROPER(TRIM(AM366))</f>
        <v>Small Business</v>
      </c>
      <c r="G366" s="0" t="str">
        <f aca="false">IF(TRIM(AN366)="","Unknown",PROPER(TRIM(AN366)))</f>
        <v>South</v>
      </c>
      <c r="H366" s="0" t="str">
        <f aca="false">PROPER(TRIM(AO366))</f>
        <v>Andhra Pradesh</v>
      </c>
      <c r="I366" s="0" t="str">
        <f aca="false">PROPER(TRIM(AP366))</f>
        <v>Vijayawada</v>
      </c>
      <c r="J366" s="0" t="str">
        <f aca="false">PROPER(TRIM(AQ366))</f>
        <v>Furniture</v>
      </c>
      <c r="K366" s="0" t="str">
        <f aca="false">PROPER(TRIM(AR366))</f>
        <v>Chairs</v>
      </c>
      <c r="M366" s="0" t="str">
        <f aca="false">IF(TRIM(AS366)="","Unknown",PROPER(TRIM(AS366)))</f>
        <v>Second Class</v>
      </c>
      <c r="N366" s="0" t="n">
        <v>5</v>
      </c>
      <c r="O366" s="0" t="n">
        <v>1239.15</v>
      </c>
      <c r="P366" s="5" t="n">
        <f aca="false">IF(AT366="","",IF(ISNUMBER(AT366),AT366,VALUE(SUBSTITUTE(AT366,"%",""))/100))</f>
        <v>0</v>
      </c>
      <c r="Q366" s="5" t="n">
        <f aca="false">IF(P366="",IF(AND(N366&lt;&gt;"",O366&lt;&gt;"",R366&lt;&gt;"",S366&lt;&gt;""),0,"REVIEW"),IF(OR(P366&lt;0,P366&gt;0.3),0,P366))</f>
        <v>0</v>
      </c>
      <c r="R366" s="0" t="n">
        <v>6195.75</v>
      </c>
      <c r="S366" s="0" t="n">
        <v>3967.02</v>
      </c>
      <c r="T366" s="6" t="n">
        <f aca="false">N366*O366*(1-Q366)</f>
        <v>6195.75</v>
      </c>
      <c r="U366" s="6" t="n">
        <f aca="false">T366-S366</f>
        <v>2228.73</v>
      </c>
      <c r="V366" s="7" t="n">
        <f aca="false">IF(T366=0,0,U366/T366)</f>
        <v>0.359719162329016</v>
      </c>
      <c r="W366" s="4" t="n">
        <f aca="false">C366-B366</f>
        <v>3</v>
      </c>
      <c r="X366" s="0" t="str">
        <f aca="false">TEXT(B366,"mmmm")</f>
        <v>March</v>
      </c>
      <c r="Y366" s="4" t="n">
        <f aca="false">YEAR(B366)</f>
        <v>2025</v>
      </c>
      <c r="Z366" s="0" t="str">
        <f aca="false">PROPER(TRIM(AU366))</f>
        <v>Paid</v>
      </c>
      <c r="AA366" s="0" t="str">
        <f aca="false">PROPER(TRIM(AV366))</f>
        <v>Completed</v>
      </c>
      <c r="AB366" s="0" t="str">
        <f aca="false">IF(TRIM(AN366)="","Yes","No")</f>
        <v>No</v>
      </c>
      <c r="AC366" s="0" t="str">
        <f aca="false">IF(TRIM(AS366)="","Yes","No")</f>
        <v>No</v>
      </c>
      <c r="AD366" s="0" t="str">
        <f aca="false">IF(AT366="","Yes","No")</f>
        <v>No</v>
      </c>
      <c r="AE366" s="0" t="str">
        <f aca="false">IF(W366&lt;0,"Yes","No")</f>
        <v>No</v>
      </c>
      <c r="AF366" s="0" t="str">
        <f aca="false">IF(P366="","No",IF(OR(P366&lt;0,P366&gt;0.3),"Yes","No"))</f>
        <v>No</v>
      </c>
      <c r="AG366" s="4" t="s">
        <v>50</v>
      </c>
      <c r="AH366" s="0" t="str">
        <f aca="false">IF(AND(AA366="Completed",Z366="Paid"),"Yes","No")</f>
        <v>Yes</v>
      </c>
      <c r="AI366" s="0" t="str">
        <f aca="false">IF(OR(AE366="Yes",AF366="Yes",AG366="Yes"),"Invalid",IF(OR(AB366="Yes",AC366="Yes",AD366="Yes"),"Warning","Clean"))</f>
        <v>Clean</v>
      </c>
      <c r="AJ366" s="4" t="s">
        <v>1511</v>
      </c>
      <c r="AK366" s="4" t="s">
        <v>1512</v>
      </c>
      <c r="AL366" s="4" t="s">
        <v>176</v>
      </c>
      <c r="AM366" s="4" t="s">
        <v>68</v>
      </c>
      <c r="AN366" s="4" t="s">
        <v>87</v>
      </c>
      <c r="AO366" s="4" t="s">
        <v>121</v>
      </c>
      <c r="AP366" s="4" t="s">
        <v>122</v>
      </c>
      <c r="AQ366" s="4" t="s">
        <v>72</v>
      </c>
      <c r="AR366" s="4" t="s">
        <v>100</v>
      </c>
      <c r="AS366" s="4" t="s">
        <v>60</v>
      </c>
      <c r="AT366" s="0" t="n">
        <v>0</v>
      </c>
      <c r="AU366" s="4" t="s">
        <v>61</v>
      </c>
      <c r="AV366" s="4" t="s">
        <v>62</v>
      </c>
    </row>
    <row r="367" customFormat="false" ht="15" hidden="false" customHeight="false" outlineLevel="0" collapsed="false">
      <c r="A367" s="0" t="s">
        <v>1513</v>
      </c>
      <c r="B367" s="3" t="n">
        <f aca="false">IF(AJ367="","",IF(ISNUMBER(SEARCH("/",AJ367)),DATE(VALUE(RIGHT(AJ367,4)),VALUE(LEFT(AJ367,2)),VALUE(MID(AJ367,4,2))),IF(ISNUMBER(SEARCH("-",AJ367)),IF(LEN(LEFT(AJ367,FIND("-",AJ367)-1))=4,DATE(VALUE(LEFT(AJ367,4)),VALUE(MID(AJ367,6,2)),VALUE(RIGHT(AJ367,2))),DATE(VALUE(RIGHT(AJ367,4)),VALUE(MID(AJ367,4,2)),VALUE(LEFT(AJ367,2)))),DATE(VALUE(RIGHT(AJ367,4)),MATCH(MID(AJ367,4,3),{"Jan","Feb","Mar","Apr","May","Jun","Jul","Aug","Sep","Oct","Nov","Dec"},0),VALUE(LEFT(AJ367,2))))))</f>
        <v>45458</v>
      </c>
      <c r="C367" s="3" t="n">
        <f aca="false">IF(AK367="","",IF(ISNUMBER(SEARCH("/",AK367)),DATE(VALUE(RIGHT(AK367,4)),VALUE(LEFT(AK367,2)),VALUE(MID(AK367,4,2))),IF(ISNUMBER(SEARCH("-",AK367)),IF(LEN(LEFT(AK367,FIND("-",AK367)-1))=4,DATE(VALUE(LEFT(AK367,4)),VALUE(MID(AK367,6,2)),VALUE(RIGHT(AK367,2))),DATE(VALUE(RIGHT(AK367,4)),VALUE(MID(AK367,4,2)),VALUE(LEFT(AK367,2)))),DATE(VALUE(RIGHT(AK367,4)),MATCH(MID(AK367,4,3),{"Jan","Feb","Mar","Apr","May","Jun","Jul","Aug","Sep","Oct","Nov","Dec"},0),VALUE(LEFT(AK367,2))))))</f>
        <v>45464</v>
      </c>
      <c r="D367" s="4" t="s">
        <v>1514</v>
      </c>
      <c r="E367" s="0" t="str">
        <f aca="false">PROPER(TRIM(AL367))</f>
        <v>Aditi Sen</v>
      </c>
      <c r="F367" s="0" t="str">
        <f aca="false">PROPER(TRIM(AM367))</f>
        <v>Corporate</v>
      </c>
      <c r="G367" s="0" t="str">
        <f aca="false">IF(TRIM(AN367)="","Unknown",PROPER(TRIM(AN367)))</f>
        <v>West</v>
      </c>
      <c r="H367" s="0" t="str">
        <f aca="false">PROPER(TRIM(AO367))</f>
        <v>Goa</v>
      </c>
      <c r="I367" s="0" t="str">
        <f aca="false">PROPER(TRIM(AP367))</f>
        <v>Panaji</v>
      </c>
      <c r="J367" s="0" t="str">
        <f aca="false">PROPER(TRIM(AQ367))</f>
        <v>Technology</v>
      </c>
      <c r="K367" s="0" t="str">
        <f aca="false">PROPER(TRIM(AR367))</f>
        <v>Accessories</v>
      </c>
      <c r="M367" s="0" t="str">
        <f aca="false">IF(TRIM(AS367)="","Unknown",PROPER(TRIM(AS367)))</f>
        <v>First Class</v>
      </c>
      <c r="N367" s="0" t="n">
        <v>8</v>
      </c>
      <c r="O367" s="0" t="n">
        <v>1706.4</v>
      </c>
      <c r="P367" s="5" t="str">
        <f aca="false">IF(AT367="","",IF(ISNUMBER(AT367),AT367,VALUE(SUBSTITUTE(AT367,"%",""))/100))</f>
        <v/>
      </c>
      <c r="Q367" s="5" t="n">
        <f aca="false">IF(P367="",IF(AND(N367&lt;&gt;"",O367&lt;&gt;"",R367&lt;&gt;"",S367&lt;&gt;""),0,"REVIEW"),IF(OR(P367&lt;0,P367&gt;0.3),0,P367))</f>
        <v>0</v>
      </c>
      <c r="R367" s="0" t="n">
        <v>12968.64</v>
      </c>
      <c r="S367" s="0" t="n">
        <v>10119.61</v>
      </c>
      <c r="T367" s="6" t="n">
        <f aca="false">N367*O367*(1-Q367)</f>
        <v>13651.2</v>
      </c>
      <c r="U367" s="6" t="n">
        <f aca="false">T367-S367</f>
        <v>3531.59</v>
      </c>
      <c r="V367" s="7" t="n">
        <f aca="false">IF(T367=0,0,U367/T367)</f>
        <v>0.258701799109236</v>
      </c>
      <c r="W367" s="4" t="n">
        <f aca="false">C367-B367</f>
        <v>6</v>
      </c>
      <c r="X367" s="0" t="str">
        <f aca="false">TEXT(B367,"mmmm")</f>
        <v>June</v>
      </c>
      <c r="Y367" s="4" t="n">
        <f aca="false">YEAR(B367)</f>
        <v>2024</v>
      </c>
      <c r="Z367" s="0" t="str">
        <f aca="false">PROPER(TRIM(AU367))</f>
        <v>Paid</v>
      </c>
      <c r="AA367" s="0" t="str">
        <f aca="false">PROPER(TRIM(AV367))</f>
        <v>Completed</v>
      </c>
      <c r="AB367" s="0" t="str">
        <f aca="false">IF(TRIM(AN367)="","Yes","No")</f>
        <v>No</v>
      </c>
      <c r="AC367" s="0" t="str">
        <f aca="false">IF(TRIM(AS367)="","Yes","No")</f>
        <v>No</v>
      </c>
      <c r="AD367" s="0" t="str">
        <f aca="false">IF(AT367="","Yes","No")</f>
        <v>Yes</v>
      </c>
      <c r="AE367" s="0" t="str">
        <f aca="false">IF(W367&lt;0,"Yes","No")</f>
        <v>No</v>
      </c>
      <c r="AF367" s="0" t="str">
        <f aca="false">IF(P367="","No",IF(OR(P367&lt;0,P367&gt;0.3),"Yes","No"))</f>
        <v>No</v>
      </c>
      <c r="AG367" s="4" t="s">
        <v>50</v>
      </c>
      <c r="AH367" s="0" t="str">
        <f aca="false">IF(AND(AA367="Completed",Z367="Paid"),"Yes","No")</f>
        <v>Yes</v>
      </c>
      <c r="AI367" s="0" t="str">
        <f aca="false">IF(OR(AE367="Yes",AF367="Yes",AG367="Yes"),"Invalid",IF(OR(AB367="Yes",AC367="Yes",AD367="Yes"),"Warning","Clean"))</f>
        <v>Warning</v>
      </c>
      <c r="AJ367" s="4" t="s">
        <v>1515</v>
      </c>
      <c r="AK367" s="4" t="s">
        <v>1516</v>
      </c>
      <c r="AL367" s="4" t="s">
        <v>127</v>
      </c>
      <c r="AM367" s="4" t="s">
        <v>128</v>
      </c>
      <c r="AN367" s="4" t="s">
        <v>97</v>
      </c>
      <c r="AO367" s="4" t="s">
        <v>250</v>
      </c>
      <c r="AP367" s="4" t="s">
        <v>251</v>
      </c>
      <c r="AQ367" s="4" t="s">
        <v>109</v>
      </c>
      <c r="AR367" s="4" t="s">
        <v>110</v>
      </c>
      <c r="AS367" s="4" t="s">
        <v>81</v>
      </c>
      <c r="AU367" s="4" t="s">
        <v>61</v>
      </c>
      <c r="AV367" s="4" t="s">
        <v>62</v>
      </c>
    </row>
    <row r="368" customFormat="false" ht="15" hidden="false" customHeight="false" outlineLevel="0" collapsed="false">
      <c r="A368" s="0" t="s">
        <v>1517</v>
      </c>
      <c r="B368" s="3" t="n">
        <f aca="false">IF(AJ368="","",IF(ISNUMBER(SEARCH("/",AJ368)),DATE(VALUE(RIGHT(AJ368,4)),VALUE(LEFT(AJ368,2)),VALUE(MID(AJ368,4,2))),IF(ISNUMBER(SEARCH("-",AJ368)),IF(LEN(LEFT(AJ368,FIND("-",AJ368)-1))=4,DATE(VALUE(LEFT(AJ368,4)),VALUE(MID(AJ368,6,2)),VALUE(RIGHT(AJ368,2))),DATE(VALUE(RIGHT(AJ368,4)),VALUE(MID(AJ368,4,2)),VALUE(LEFT(AJ368,2)))),DATE(VALUE(RIGHT(AJ368,4)),MATCH(MID(AJ368,4,3),{"Jan","Feb","Mar","Apr","May","Jun","Jul","Aug","Sep","Oct","Nov","Dec"},0),VALUE(LEFT(AJ368,2))))))</f>
        <v>45673</v>
      </c>
      <c r="C368" s="3" t="n">
        <f aca="false">IF(AK368="","",IF(ISNUMBER(SEARCH("/",AK368)),DATE(VALUE(RIGHT(AK368,4)),VALUE(LEFT(AK368,2)),VALUE(MID(AK368,4,2))),IF(ISNUMBER(SEARCH("-",AK368)),IF(LEN(LEFT(AK368,FIND("-",AK368)-1))=4,DATE(VALUE(LEFT(AK368,4)),VALUE(MID(AK368,6,2)),VALUE(RIGHT(AK368,2))),DATE(VALUE(RIGHT(AK368,4)),VALUE(MID(AK368,4,2)),VALUE(LEFT(AK368,2)))),DATE(VALUE(RIGHT(AK368,4)),MATCH(MID(AK368,4,3),{"Jan","Feb","Mar","Apr","May","Jun","Jul","Aug","Sep","Oct","Nov","Dec"},0),VALUE(LEFT(AK368,2))))))</f>
        <v>45679</v>
      </c>
      <c r="D368" s="4" t="s">
        <v>1518</v>
      </c>
      <c r="E368" s="0" t="str">
        <f aca="false">PROPER(TRIM(AL368))</f>
        <v>Sneha Kapoor</v>
      </c>
      <c r="F368" s="0" t="str">
        <f aca="false">PROPER(TRIM(AM368))</f>
        <v>Corporate</v>
      </c>
      <c r="G368" s="0" t="str">
        <f aca="false">IF(TRIM(AN368)="","Unknown",PROPER(TRIM(AN368)))</f>
        <v>North</v>
      </c>
      <c r="H368" s="0" t="str">
        <f aca="false">PROPER(TRIM(AO368))</f>
        <v>Rajasthan</v>
      </c>
      <c r="I368" s="0" t="str">
        <f aca="false">PROPER(TRIM(AP368))</f>
        <v>Jaipur</v>
      </c>
      <c r="J368" s="0" t="str">
        <f aca="false">PROPER(TRIM(AQ368))</f>
        <v>Furniture</v>
      </c>
      <c r="K368" s="0" t="str">
        <f aca="false">PROPER(TRIM(AR368))</f>
        <v>Tables</v>
      </c>
      <c r="M368" s="0" t="str">
        <f aca="false">IF(TRIM(AS368)="","Unknown",PROPER(TRIM(AS368)))</f>
        <v>Same Day</v>
      </c>
      <c r="N368" s="0" t="n">
        <v>2</v>
      </c>
      <c r="O368" s="0" t="n">
        <v>4418.28</v>
      </c>
      <c r="P368" s="5" t="n">
        <f aca="false">IF(AT368="","",IF(ISNUMBER(AT368),AT368,VALUE(SUBSTITUTE(AT368,"%",""))/100))</f>
        <v>0</v>
      </c>
      <c r="Q368" s="5" t="n">
        <f aca="false">IF(P368="",IF(AND(N368&lt;&gt;"",O368&lt;&gt;"",R368&lt;&gt;"",S368&lt;&gt;""),0,"REVIEW"),IF(OR(P368&lt;0,P368&gt;0.3),0,P368))</f>
        <v>0</v>
      </c>
      <c r="R368" s="0" t="n">
        <v>8836.56</v>
      </c>
      <c r="S368" s="0" t="n">
        <v>5867.75</v>
      </c>
      <c r="T368" s="6" t="n">
        <f aca="false">N368*O368*(1-Q368)</f>
        <v>8836.56</v>
      </c>
      <c r="U368" s="6" t="n">
        <f aca="false">T368-S368</f>
        <v>2968.81</v>
      </c>
      <c r="V368" s="7" t="n">
        <f aca="false">IF(T368=0,0,U368/T368)</f>
        <v>0.33596897435201</v>
      </c>
      <c r="W368" s="4" t="n">
        <f aca="false">C368-B368</f>
        <v>6</v>
      </c>
      <c r="X368" s="0" t="str">
        <f aca="false">TEXT(B368,"mmmm")</f>
        <v>January</v>
      </c>
      <c r="Y368" s="4" t="n">
        <f aca="false">YEAR(B368)</f>
        <v>2025</v>
      </c>
      <c r="Z368" s="0" t="str">
        <f aca="false">PROPER(TRIM(AU368))</f>
        <v>Paid</v>
      </c>
      <c r="AA368" s="0" t="str">
        <f aca="false">PROPER(TRIM(AV368))</f>
        <v>Completed</v>
      </c>
      <c r="AB368" s="0" t="str">
        <f aca="false">IF(TRIM(AN368)="","Yes","No")</f>
        <v>No</v>
      </c>
      <c r="AC368" s="0" t="str">
        <f aca="false">IF(TRIM(AS368)="","Yes","No")</f>
        <v>No</v>
      </c>
      <c r="AD368" s="0" t="str">
        <f aca="false">IF(AT368="","Yes","No")</f>
        <v>No</v>
      </c>
      <c r="AE368" s="0" t="str">
        <f aca="false">IF(W368&lt;0,"Yes","No")</f>
        <v>No</v>
      </c>
      <c r="AF368" s="0" t="str">
        <f aca="false">IF(P368="","No",IF(OR(P368&lt;0,P368&gt;0.3),"Yes","No"))</f>
        <v>No</v>
      </c>
      <c r="AG368" s="4" t="s">
        <v>50</v>
      </c>
      <c r="AH368" s="0" t="str">
        <f aca="false">IF(AND(AA368="Completed",Z368="Paid"),"Yes","No")</f>
        <v>Yes</v>
      </c>
      <c r="AI368" s="0" t="str">
        <f aca="false">IF(OR(AE368="Yes",AF368="Yes",AG368="Yes"),"Invalid",IF(OR(AB368="Yes",AC368="Yes",AD368="Yes"),"Warning","Clean"))</f>
        <v>Clean</v>
      </c>
      <c r="AJ368" s="4" t="s">
        <v>1519</v>
      </c>
      <c r="AK368" s="4" t="s">
        <v>1520</v>
      </c>
      <c r="AL368" s="4" t="s">
        <v>181</v>
      </c>
      <c r="AM368" s="4" t="s">
        <v>128</v>
      </c>
      <c r="AN368" s="4" t="s">
        <v>168</v>
      </c>
      <c r="AO368" s="4" t="s">
        <v>56</v>
      </c>
      <c r="AP368" s="4" t="s">
        <v>57</v>
      </c>
      <c r="AQ368" s="4" t="s">
        <v>72</v>
      </c>
      <c r="AR368" s="4" t="s">
        <v>73</v>
      </c>
      <c r="AS368" s="4" t="s">
        <v>74</v>
      </c>
      <c r="AT368" s="0" t="n">
        <v>0</v>
      </c>
      <c r="AU368" s="4" t="s">
        <v>61</v>
      </c>
      <c r="AV368" s="4" t="s">
        <v>62</v>
      </c>
    </row>
    <row r="369" customFormat="false" ht="15" hidden="false" customHeight="false" outlineLevel="0" collapsed="false">
      <c r="A369" s="0" t="s">
        <v>1521</v>
      </c>
      <c r="B369" s="3" t="n">
        <f aca="false">IF(AJ369="","",IF(ISNUMBER(SEARCH("/",AJ369)),DATE(VALUE(RIGHT(AJ369,4)),VALUE(LEFT(AJ369,2)),VALUE(MID(AJ369,4,2))),IF(ISNUMBER(SEARCH("-",AJ369)),IF(LEN(LEFT(AJ369,FIND("-",AJ369)-1))=4,DATE(VALUE(LEFT(AJ369,4)),VALUE(MID(AJ369,6,2)),VALUE(RIGHT(AJ369,2))),DATE(VALUE(RIGHT(AJ369,4)),VALUE(MID(AJ369,4,2)),VALUE(LEFT(AJ369,2)))),DATE(VALUE(RIGHT(AJ369,4)),MATCH(MID(AJ369,4,3),{"Jan","Feb","Mar","Apr","May","Jun","Jul","Aug","Sep","Oct","Nov","Dec"},0),VALUE(LEFT(AJ369,2))))))</f>
        <v>45366</v>
      </c>
      <c r="C369" s="3" t="n">
        <f aca="false">IF(AK369="","",IF(ISNUMBER(SEARCH("/",AK369)),DATE(VALUE(RIGHT(AK369,4)),VALUE(LEFT(AK369,2)),VALUE(MID(AK369,4,2))),IF(ISNUMBER(SEARCH("-",AK369)),IF(LEN(LEFT(AK369,FIND("-",AK369)-1))=4,DATE(VALUE(LEFT(AK369,4)),VALUE(MID(AK369,6,2)),VALUE(RIGHT(AK369,2))),DATE(VALUE(RIGHT(AK369,4)),VALUE(MID(AK369,4,2)),VALUE(LEFT(AK369,2)))),DATE(VALUE(RIGHT(AK369,4)),MATCH(MID(AK369,4,3),{"Jan","Feb","Mar","Apr","May","Jun","Jul","Aug","Sep","Oct","Nov","Dec"},0),VALUE(LEFT(AK369,2))))))</f>
        <v>45367</v>
      </c>
      <c r="D369" s="4" t="s">
        <v>1522</v>
      </c>
      <c r="E369" s="0" t="str">
        <f aca="false">PROPER(TRIM(AL369))</f>
        <v>Rohan Mehta</v>
      </c>
      <c r="F369" s="0" t="str">
        <f aca="false">PROPER(TRIM(AM369))</f>
        <v>Consumer</v>
      </c>
      <c r="G369" s="0" t="str">
        <f aca="false">IF(TRIM(AN369)="","Unknown",PROPER(TRIM(AN369)))</f>
        <v>North</v>
      </c>
      <c r="H369" s="0" t="str">
        <f aca="false">PROPER(TRIM(AO369))</f>
        <v>Delhi</v>
      </c>
      <c r="I369" s="0" t="str">
        <f aca="false">PROPER(TRIM(AP369))</f>
        <v>New Delhi</v>
      </c>
      <c r="J369" s="0" t="str">
        <f aca="false">PROPER(TRIM(AQ369))</f>
        <v>Office Supplies</v>
      </c>
      <c r="K369" s="0" t="str">
        <f aca="false">PROPER(TRIM(AR369))</f>
        <v>Art</v>
      </c>
      <c r="M369" s="0" t="str">
        <f aca="false">IF(TRIM(AS369)="","Unknown",PROPER(TRIM(AS369)))</f>
        <v>Standard Class</v>
      </c>
      <c r="N369" s="0" t="n">
        <v>6</v>
      </c>
      <c r="O369" s="0" t="n">
        <v>3815.09</v>
      </c>
      <c r="P369" s="5" t="n">
        <f aca="false">IF(AT369="","",IF(ISNUMBER(AT369),AT369,VALUE(SUBSTITUTE(AT369,"%",""))/100))</f>
        <v>0.15</v>
      </c>
      <c r="Q369" s="5" t="n">
        <f aca="false">IF(P369="",IF(AND(N369&lt;&gt;"",O369&lt;&gt;"",R369&lt;&gt;"",S369&lt;&gt;""),0,"REVIEW"),IF(OR(P369&lt;0,P369&gt;0.3),0,P369))</f>
        <v>0.15</v>
      </c>
      <c r="R369" s="0" t="n">
        <v>19456.96</v>
      </c>
      <c r="S369" s="0" t="n">
        <v>14520.06</v>
      </c>
      <c r="T369" s="6" t="n">
        <f aca="false">N369*O369*(1-Q369)</f>
        <v>19456.959</v>
      </c>
      <c r="U369" s="6" t="n">
        <f aca="false">T369-S369</f>
        <v>4936.899</v>
      </c>
      <c r="V369" s="7" t="n">
        <f aca="false">IF(T369=0,0,U369/T369)</f>
        <v>0.25373435797444</v>
      </c>
      <c r="W369" s="4" t="n">
        <f aca="false">C369-B369</f>
        <v>1</v>
      </c>
      <c r="X369" s="0" t="str">
        <f aca="false">TEXT(B369,"mmmm")</f>
        <v>March</v>
      </c>
      <c r="Y369" s="4" t="n">
        <f aca="false">YEAR(B369)</f>
        <v>2024</v>
      </c>
      <c r="Z369" s="0" t="str">
        <f aca="false">PROPER(TRIM(AU369))</f>
        <v>Failed</v>
      </c>
      <c r="AA369" s="0" t="str">
        <f aca="false">PROPER(TRIM(AV369))</f>
        <v>Cancelled</v>
      </c>
      <c r="AB369" s="0" t="str">
        <f aca="false">IF(TRIM(AN369)="","Yes","No")</f>
        <v>No</v>
      </c>
      <c r="AC369" s="0" t="str">
        <f aca="false">IF(TRIM(AS369)="","Yes","No")</f>
        <v>No</v>
      </c>
      <c r="AD369" s="0" t="str">
        <f aca="false">IF(AT369="","Yes","No")</f>
        <v>No</v>
      </c>
      <c r="AE369" s="0" t="str">
        <f aca="false">IF(W369&lt;0,"Yes","No")</f>
        <v>No</v>
      </c>
      <c r="AF369" s="0" t="str">
        <f aca="false">IF(P369="","No",IF(OR(P369&lt;0,P369&gt;0.3),"Yes","No"))</f>
        <v>No</v>
      </c>
      <c r="AG369" s="4" t="s">
        <v>50</v>
      </c>
      <c r="AH369" s="0" t="str">
        <f aca="false">IF(AND(AA369="Completed",Z369="Paid"),"Yes","No")</f>
        <v>No</v>
      </c>
      <c r="AI369" s="0" t="str">
        <f aca="false">IF(OR(AE369="Yes",AF369="Yes",AG369="Yes"),"Invalid",IF(OR(AB369="Yes",AC369="Yes",AD369="Yes"),"Warning","Clean"))</f>
        <v>Clean</v>
      </c>
      <c r="AJ369" s="4" t="s">
        <v>842</v>
      </c>
      <c r="AK369" s="4" t="s">
        <v>1523</v>
      </c>
      <c r="AL369" s="4" t="s">
        <v>191</v>
      </c>
      <c r="AM369" s="4" t="s">
        <v>54</v>
      </c>
      <c r="AN369" s="4" t="s">
        <v>168</v>
      </c>
      <c r="AO369" s="4" t="s">
        <v>461</v>
      </c>
      <c r="AP369" s="4" t="s">
        <v>462</v>
      </c>
      <c r="AQ369" s="4" t="s">
        <v>58</v>
      </c>
      <c r="AR369" s="4" t="s">
        <v>80</v>
      </c>
      <c r="AS369" s="4" t="s">
        <v>91</v>
      </c>
      <c r="AT369" s="0" t="n">
        <v>0.15</v>
      </c>
      <c r="AU369" s="4" t="s">
        <v>207</v>
      </c>
      <c r="AV369" s="4" t="s">
        <v>101</v>
      </c>
    </row>
    <row r="370" customFormat="false" ht="15" hidden="false" customHeight="false" outlineLevel="0" collapsed="false">
      <c r="A370" s="0" t="s">
        <v>1524</v>
      </c>
      <c r="B370" s="3" t="n">
        <f aca="false">IF(AJ370="","",IF(ISNUMBER(SEARCH("/",AJ370)),DATE(VALUE(RIGHT(AJ370,4)),VALUE(LEFT(AJ370,2)),VALUE(MID(AJ370,4,2))),IF(ISNUMBER(SEARCH("-",AJ370)),IF(LEN(LEFT(AJ370,FIND("-",AJ370)-1))=4,DATE(VALUE(LEFT(AJ370,4)),VALUE(MID(AJ370,6,2)),VALUE(RIGHT(AJ370,2))),DATE(VALUE(RIGHT(AJ370,4)),VALUE(MID(AJ370,4,2)),VALUE(LEFT(AJ370,2)))),DATE(VALUE(RIGHT(AJ370,4)),MATCH(MID(AJ370,4,3),{"Jan","Feb","Mar","Apr","May","Jun","Jul","Aug","Sep","Oct","Nov","Dec"},0),VALUE(LEFT(AJ370,2))))))</f>
        <v>45844</v>
      </c>
      <c r="C370" s="3" t="n">
        <f aca="false">IF(AK370="","",IF(ISNUMBER(SEARCH("/",AK370)),DATE(VALUE(RIGHT(AK370,4)),VALUE(LEFT(AK370,2)),VALUE(MID(AK370,4,2))),IF(ISNUMBER(SEARCH("-",AK370)),IF(LEN(LEFT(AK370,FIND("-",AK370)-1))=4,DATE(VALUE(LEFT(AK370,4)),VALUE(MID(AK370,6,2)),VALUE(RIGHT(AK370,2))),DATE(VALUE(RIGHT(AK370,4)),VALUE(MID(AK370,4,2)),VALUE(LEFT(AK370,2)))),DATE(VALUE(RIGHT(AK370,4)),MATCH(MID(AK370,4,3),{"Jan","Feb","Mar","Apr","May","Jun","Jul","Aug","Sep","Oct","Nov","Dec"},0),VALUE(LEFT(AK370,2))))))</f>
        <v>45844</v>
      </c>
      <c r="D370" s="4" t="s">
        <v>1525</v>
      </c>
      <c r="E370" s="0" t="str">
        <f aca="false">PROPER(TRIM(AL370))</f>
        <v>Aarav Sharma</v>
      </c>
      <c r="F370" s="0" t="str">
        <f aca="false">PROPER(TRIM(AM370))</f>
        <v>Home Office</v>
      </c>
      <c r="G370" s="0" t="str">
        <f aca="false">IF(TRIM(AN370)="","Unknown",PROPER(TRIM(AN370)))</f>
        <v>North</v>
      </c>
      <c r="H370" s="0" t="str">
        <f aca="false">PROPER(TRIM(AO370))</f>
        <v>Rajasthan</v>
      </c>
      <c r="I370" s="0" t="str">
        <f aca="false">PROPER(TRIM(AP370))</f>
        <v>Jaipur</v>
      </c>
      <c r="J370" s="0" t="str">
        <f aca="false">PROPER(TRIM(AQ370))</f>
        <v>Technology</v>
      </c>
      <c r="K370" s="0" t="str">
        <f aca="false">PROPER(TRIM(AR370))</f>
        <v>Accessories</v>
      </c>
      <c r="M370" s="0" t="str">
        <f aca="false">IF(TRIM(AS370)="","Unknown",PROPER(TRIM(AS370)))</f>
        <v>Same Day</v>
      </c>
      <c r="N370" s="0" t="n">
        <v>9</v>
      </c>
      <c r="O370" s="0" t="n">
        <v>243.19</v>
      </c>
      <c r="P370" s="5" t="n">
        <f aca="false">IF(AT370="","",IF(ISNUMBER(AT370),AT370,VALUE(SUBSTITUTE(AT370,"%",""))/100))</f>
        <v>0.05</v>
      </c>
      <c r="Q370" s="5" t="n">
        <f aca="false">IF(P370="",IF(AND(N370&lt;&gt;"",O370&lt;&gt;"",R370&lt;&gt;"",S370&lt;&gt;""),0,"REVIEW"),IF(OR(P370&lt;0,P370&gt;0.3),0,P370))</f>
        <v>0.05</v>
      </c>
      <c r="R370" s="0" t="n">
        <v>2079.27</v>
      </c>
      <c r="S370" s="0" t="n">
        <v>1512.17</v>
      </c>
      <c r="T370" s="6" t="n">
        <f aca="false">N370*O370*(1-Q370)</f>
        <v>2079.2745</v>
      </c>
      <c r="U370" s="6" t="n">
        <f aca="false">T370-S370</f>
        <v>567.1045</v>
      </c>
      <c r="V370" s="7" t="n">
        <f aca="false">IF(T370=0,0,U370/T370)</f>
        <v>0.272741525950518</v>
      </c>
      <c r="W370" s="4" t="n">
        <f aca="false">C370-B370</f>
        <v>0</v>
      </c>
      <c r="X370" s="0" t="str">
        <f aca="false">TEXT(B370,"mmmm")</f>
        <v>July</v>
      </c>
      <c r="Y370" s="4" t="n">
        <f aca="false">YEAR(B370)</f>
        <v>2025</v>
      </c>
      <c r="Z370" s="0" t="str">
        <f aca="false">PROPER(TRIM(AU370))</f>
        <v>Refunded</v>
      </c>
      <c r="AA370" s="0" t="str">
        <f aca="false">PROPER(TRIM(AV370))</f>
        <v>Returned</v>
      </c>
      <c r="AB370" s="0" t="str">
        <f aca="false">IF(TRIM(AN370)="","Yes","No")</f>
        <v>No</v>
      </c>
      <c r="AC370" s="0" t="str">
        <f aca="false">IF(TRIM(AS370)="","Yes","No")</f>
        <v>No</v>
      </c>
      <c r="AD370" s="0" t="str">
        <f aca="false">IF(AT370="","Yes","No")</f>
        <v>No</v>
      </c>
      <c r="AE370" s="0" t="str">
        <f aca="false">IF(W370&lt;0,"Yes","No")</f>
        <v>No</v>
      </c>
      <c r="AF370" s="0" t="str">
        <f aca="false">IF(P370="","No",IF(OR(P370&lt;0,P370&gt;0.3),"Yes","No"))</f>
        <v>No</v>
      </c>
      <c r="AG370" s="4" t="s">
        <v>50</v>
      </c>
      <c r="AH370" s="0" t="str">
        <f aca="false">IF(AND(AA370="Completed",Z370="Paid"),"Yes","No")</f>
        <v>No</v>
      </c>
      <c r="AI370" s="0" t="str">
        <f aca="false">IF(OR(AE370="Yes",AF370="Yes",AG370="Yes"),"Invalid",IF(OR(AB370="Yes",AC370="Yes",AD370="Yes"),"Warning","Clean"))</f>
        <v>Clean</v>
      </c>
      <c r="AJ370" s="4" t="s">
        <v>1077</v>
      </c>
      <c r="AK370" s="4" t="s">
        <v>1077</v>
      </c>
      <c r="AL370" s="4" t="s">
        <v>176</v>
      </c>
      <c r="AM370" s="4" t="s">
        <v>134</v>
      </c>
      <c r="AN370" s="4" t="s">
        <v>168</v>
      </c>
      <c r="AO370" s="4" t="s">
        <v>56</v>
      </c>
      <c r="AP370" s="4" t="s">
        <v>57</v>
      </c>
      <c r="AQ370" s="4" t="s">
        <v>109</v>
      </c>
      <c r="AR370" s="4" t="s">
        <v>110</v>
      </c>
      <c r="AS370" s="4" t="s">
        <v>74</v>
      </c>
      <c r="AT370" s="0" t="n">
        <v>0.05</v>
      </c>
      <c r="AU370" s="4" t="s">
        <v>141</v>
      </c>
      <c r="AV370" s="4" t="s">
        <v>142</v>
      </c>
    </row>
    <row r="371" customFormat="false" ht="15" hidden="false" customHeight="false" outlineLevel="0" collapsed="false">
      <c r="A371" s="0" t="s">
        <v>1526</v>
      </c>
      <c r="B371" s="3" t="n">
        <f aca="false">IF(AJ371="","",IF(ISNUMBER(SEARCH("/",AJ371)),DATE(VALUE(RIGHT(AJ371,4)),VALUE(LEFT(AJ371,2)),VALUE(MID(AJ371,4,2))),IF(ISNUMBER(SEARCH("-",AJ371)),IF(LEN(LEFT(AJ371,FIND("-",AJ371)-1))=4,DATE(VALUE(LEFT(AJ371,4)),VALUE(MID(AJ371,6,2)),VALUE(RIGHT(AJ371,2))),DATE(VALUE(RIGHT(AJ371,4)),VALUE(MID(AJ371,4,2)),VALUE(LEFT(AJ371,2)))),DATE(VALUE(RIGHT(AJ371,4)),MATCH(MID(AJ371,4,3),{"Jan","Feb","Mar","Apr","May","Jun","Jul","Aug","Sep","Oct","Nov","Dec"},0),VALUE(LEFT(AJ371,2))))))</f>
        <v>45680</v>
      </c>
      <c r="C371" s="3" t="n">
        <f aca="false">IF(AK371="","",IF(ISNUMBER(SEARCH("/",AK371)),DATE(VALUE(RIGHT(AK371,4)),VALUE(LEFT(AK371,2)),VALUE(MID(AK371,4,2))),IF(ISNUMBER(SEARCH("-",AK371)),IF(LEN(LEFT(AK371,FIND("-",AK371)-1))=4,DATE(VALUE(LEFT(AK371,4)),VALUE(MID(AK371,6,2)),VALUE(RIGHT(AK371,2))),DATE(VALUE(RIGHT(AK371,4)),VALUE(MID(AK371,4,2)),VALUE(LEFT(AK371,2)))),DATE(VALUE(RIGHT(AK371,4)),MATCH(MID(AK371,4,3),{"Jan","Feb","Mar","Apr","May","Jun","Jul","Aug","Sep","Oct","Nov","Dec"},0),VALUE(LEFT(AK371,2))))))</f>
        <v>45687</v>
      </c>
      <c r="D371" s="4" t="s">
        <v>1527</v>
      </c>
      <c r="E371" s="0" t="str">
        <f aca="false">PROPER(TRIM(AL371))</f>
        <v>Priya Menon</v>
      </c>
      <c r="F371" s="0" t="str">
        <f aca="false">PROPER(TRIM(AM371))</f>
        <v>Consumer</v>
      </c>
      <c r="G371" s="0" t="str">
        <f aca="false">IF(TRIM(AN371)="","Unknown",PROPER(TRIM(AN371)))</f>
        <v>North</v>
      </c>
      <c r="H371" s="0" t="str">
        <f aca="false">PROPER(TRIM(AO371))</f>
        <v>Delhi</v>
      </c>
      <c r="I371" s="0" t="str">
        <f aca="false">PROPER(TRIM(AP371))</f>
        <v>New Delhi</v>
      </c>
      <c r="J371" s="0" t="str">
        <f aca="false">PROPER(TRIM(AQ371))</f>
        <v>Office Supplies</v>
      </c>
      <c r="K371" s="0" t="str">
        <f aca="false">PROPER(TRIM(AR371))</f>
        <v>Labels</v>
      </c>
      <c r="M371" s="0" t="str">
        <f aca="false">IF(TRIM(AS371)="","Unknown",PROPER(TRIM(AS371)))</f>
        <v>Standard Class</v>
      </c>
      <c r="N371" s="0" t="n">
        <v>9</v>
      </c>
      <c r="O371" s="0" t="n">
        <v>1169.37</v>
      </c>
      <c r="P371" s="5" t="n">
        <f aca="false">IF(AT371="","",IF(ISNUMBER(AT371),AT371,VALUE(SUBSTITUTE(AT371,"%",""))/100))</f>
        <v>0.15</v>
      </c>
      <c r="Q371" s="5" t="n">
        <f aca="false">IF(P371="",IF(AND(N371&lt;&gt;"",O371&lt;&gt;"",R371&lt;&gt;"",S371&lt;&gt;""),0,"REVIEW"),IF(OR(P371&lt;0,P371&gt;0.3),0,P371))</f>
        <v>0.15</v>
      </c>
      <c r="R371" s="0" t="n">
        <v>8945.68</v>
      </c>
      <c r="S371" s="0" t="n">
        <v>6740.35</v>
      </c>
      <c r="T371" s="6" t="n">
        <f aca="false">N371*O371*(1-Q371)</f>
        <v>8945.6805</v>
      </c>
      <c r="U371" s="6" t="n">
        <f aca="false">T371-S371</f>
        <v>2205.3305</v>
      </c>
      <c r="V371" s="7" t="n">
        <f aca="false">IF(T371=0,0,U371/T371)</f>
        <v>0.246524621575742</v>
      </c>
      <c r="W371" s="4" t="n">
        <f aca="false">C371-B371</f>
        <v>7</v>
      </c>
      <c r="X371" s="0" t="str">
        <f aca="false">TEXT(B371,"mmmm")</f>
        <v>January</v>
      </c>
      <c r="Y371" s="4" t="n">
        <f aca="false">YEAR(B371)</f>
        <v>2025</v>
      </c>
      <c r="Z371" s="0" t="str">
        <f aca="false">PROPER(TRIM(AU371))</f>
        <v>Paid</v>
      </c>
      <c r="AA371" s="0" t="str">
        <f aca="false">PROPER(TRIM(AV371))</f>
        <v>Completed</v>
      </c>
      <c r="AB371" s="0" t="str">
        <f aca="false">IF(TRIM(AN371)="","Yes","No")</f>
        <v>No</v>
      </c>
      <c r="AC371" s="0" t="str">
        <f aca="false">IF(TRIM(AS371)="","Yes","No")</f>
        <v>No</v>
      </c>
      <c r="AD371" s="0" t="str">
        <f aca="false">IF(AT371="","Yes","No")</f>
        <v>No</v>
      </c>
      <c r="AE371" s="0" t="str">
        <f aca="false">IF(W371&lt;0,"Yes","No")</f>
        <v>No</v>
      </c>
      <c r="AF371" s="0" t="str">
        <f aca="false">IF(P371="","No",IF(OR(P371&lt;0,P371&gt;0.3),"Yes","No"))</f>
        <v>No</v>
      </c>
      <c r="AG371" s="4" t="s">
        <v>50</v>
      </c>
      <c r="AH371" s="0" t="str">
        <f aca="false">IF(AND(AA371="Completed",Z371="Paid"),"Yes","No")</f>
        <v>Yes</v>
      </c>
      <c r="AI371" s="0" t="str">
        <f aca="false">IF(OR(AE371="Yes",AF371="Yes",AG371="Yes"),"Invalid",IF(OR(AB371="Yes",AC371="Yes",AD371="Yes"),"Warning","Clean"))</f>
        <v>Clean</v>
      </c>
      <c r="AJ371" s="4" t="s">
        <v>1281</v>
      </c>
      <c r="AK371" s="4" t="s">
        <v>201</v>
      </c>
      <c r="AL371" s="4" t="s">
        <v>158</v>
      </c>
      <c r="AM371" s="4" t="s">
        <v>54</v>
      </c>
      <c r="AN371" s="4" t="s">
        <v>168</v>
      </c>
      <c r="AO371" s="4" t="s">
        <v>461</v>
      </c>
      <c r="AP371" s="4" t="s">
        <v>462</v>
      </c>
      <c r="AQ371" s="4" t="s">
        <v>58</v>
      </c>
      <c r="AR371" s="4" t="s">
        <v>129</v>
      </c>
      <c r="AS371" s="4" t="s">
        <v>91</v>
      </c>
      <c r="AT371" s="0" t="n">
        <v>0.15</v>
      </c>
      <c r="AU371" s="4" t="s">
        <v>61</v>
      </c>
      <c r="AV371" s="4" t="s">
        <v>62</v>
      </c>
    </row>
    <row r="372" customFormat="false" ht="15" hidden="false" customHeight="false" outlineLevel="0" collapsed="false">
      <c r="A372" s="0" t="s">
        <v>1528</v>
      </c>
      <c r="B372" s="3" t="n">
        <f aca="false">IF(AJ372="","",IF(ISNUMBER(SEARCH("/",AJ372)),DATE(VALUE(RIGHT(AJ372,4)),VALUE(LEFT(AJ372,2)),VALUE(MID(AJ372,4,2))),IF(ISNUMBER(SEARCH("-",AJ372)),IF(LEN(LEFT(AJ372,FIND("-",AJ372)-1))=4,DATE(VALUE(LEFT(AJ372,4)),VALUE(MID(AJ372,6,2)),VALUE(RIGHT(AJ372,2))),DATE(VALUE(RIGHT(AJ372,4)),VALUE(MID(AJ372,4,2)),VALUE(LEFT(AJ372,2)))),DATE(VALUE(RIGHT(AJ372,4)),MATCH(MID(AJ372,4,3),{"Jan","Feb","Mar","Apr","May","Jun","Jul","Aug","Sep","Oct","Nov","Dec"},0),VALUE(LEFT(AJ372,2))))))</f>
        <v>45519</v>
      </c>
      <c r="C372" s="3" t="n">
        <f aca="false">IF(AK372="","",IF(ISNUMBER(SEARCH("/",AK372)),DATE(VALUE(RIGHT(AK372,4)),VALUE(LEFT(AK372,2)),VALUE(MID(AK372,4,2))),IF(ISNUMBER(SEARCH("-",AK372)),IF(LEN(LEFT(AK372,FIND("-",AK372)-1))=4,DATE(VALUE(LEFT(AK372,4)),VALUE(MID(AK372,6,2)),VALUE(RIGHT(AK372,2))),DATE(VALUE(RIGHT(AK372,4)),VALUE(MID(AK372,4,2)),VALUE(LEFT(AK372,2)))),DATE(VALUE(RIGHT(AK372,4)),MATCH(MID(AK372,4,3),{"Jan","Feb","Mar","Apr","May","Jun","Jul","Aug","Sep","Oct","Nov","Dec"},0),VALUE(LEFT(AK372,2))))))</f>
        <v>45525</v>
      </c>
      <c r="D372" s="4" t="s">
        <v>1529</v>
      </c>
      <c r="E372" s="0" t="str">
        <f aca="false">PROPER(TRIM(AL372))</f>
        <v>Ananya Rao</v>
      </c>
      <c r="F372" s="0" t="str">
        <f aca="false">PROPER(TRIM(AM372))</f>
        <v>Small Business</v>
      </c>
      <c r="G372" s="0" t="str">
        <f aca="false">IF(TRIM(AN372)="","Unknown",PROPER(TRIM(AN372)))</f>
        <v>West</v>
      </c>
      <c r="H372" s="0" t="str">
        <f aca="false">PROPER(TRIM(AO372))</f>
        <v>Rajasthan</v>
      </c>
      <c r="I372" s="0" t="str">
        <f aca="false">PROPER(TRIM(AP372))</f>
        <v>Udaipur</v>
      </c>
      <c r="J372" s="0" t="str">
        <f aca="false">PROPER(TRIM(AQ372))</f>
        <v>Technology</v>
      </c>
      <c r="K372" s="0" t="str">
        <f aca="false">PROPER(TRIM(AR372))</f>
        <v>Copiers</v>
      </c>
      <c r="M372" s="0" t="str">
        <f aca="false">IF(TRIM(AS372)="","Unknown",PROPER(TRIM(AS372)))</f>
        <v>First Class</v>
      </c>
      <c r="N372" s="0" t="n">
        <v>7</v>
      </c>
      <c r="O372" s="0" t="n">
        <v>2333.81</v>
      </c>
      <c r="P372" s="5" t="n">
        <f aca="false">IF(AT372="","",IF(ISNUMBER(AT372),AT372,VALUE(SUBSTITUTE(AT372,"%",""))/100))</f>
        <v>0.2</v>
      </c>
      <c r="Q372" s="5" t="n">
        <f aca="false">IF(P372="",IF(AND(N372&lt;&gt;"",O372&lt;&gt;"",R372&lt;&gt;"",S372&lt;&gt;""),0,"REVIEW"),IF(OR(P372&lt;0,P372&gt;0.3),0,P372))</f>
        <v>0.2</v>
      </c>
      <c r="R372" s="0" t="n">
        <v>13069.34</v>
      </c>
      <c r="S372" s="0" t="n">
        <v>8768.59</v>
      </c>
      <c r="T372" s="6" t="n">
        <f aca="false">N372*O372*(1-Q372)</f>
        <v>13069.336</v>
      </c>
      <c r="U372" s="6" t="n">
        <f aca="false">T372-S372</f>
        <v>4300.746</v>
      </c>
      <c r="V372" s="7" t="n">
        <f aca="false">IF(T372=0,0,U372/T372)</f>
        <v>0.329071499883391</v>
      </c>
      <c r="W372" s="4" t="n">
        <f aca="false">C372-B372</f>
        <v>6</v>
      </c>
      <c r="X372" s="0" t="str">
        <f aca="false">TEXT(B372,"mmmm")</f>
        <v>August</v>
      </c>
      <c r="Y372" s="4" t="n">
        <f aca="false">YEAR(B372)</f>
        <v>2024</v>
      </c>
      <c r="Z372" s="0" t="str">
        <f aca="false">PROPER(TRIM(AU372))</f>
        <v>Paid</v>
      </c>
      <c r="AA372" s="0" t="str">
        <f aca="false">PROPER(TRIM(AV372))</f>
        <v>Completed</v>
      </c>
      <c r="AB372" s="0" t="str">
        <f aca="false">IF(TRIM(AN372)="","Yes","No")</f>
        <v>No</v>
      </c>
      <c r="AC372" s="0" t="str">
        <f aca="false">IF(TRIM(AS372)="","Yes","No")</f>
        <v>No</v>
      </c>
      <c r="AD372" s="0" t="str">
        <f aca="false">IF(AT372="","Yes","No")</f>
        <v>No</v>
      </c>
      <c r="AE372" s="0" t="str">
        <f aca="false">IF(W372&lt;0,"Yes","No")</f>
        <v>No</v>
      </c>
      <c r="AF372" s="0" t="str">
        <f aca="false">IF(P372="","No",IF(OR(P372&lt;0,P372&gt;0.3),"Yes","No"))</f>
        <v>No</v>
      </c>
      <c r="AG372" s="4" t="s">
        <v>50</v>
      </c>
      <c r="AH372" s="0" t="str">
        <f aca="false">IF(AND(AA372="Completed",Z372="Paid"),"Yes","No")</f>
        <v>Yes</v>
      </c>
      <c r="AI372" s="0" t="str">
        <f aca="false">IF(OR(AE372="Yes",AF372="Yes",AG372="Yes"),"Invalid",IF(OR(AB372="Yes",AC372="Yes",AD372="Yes"),"Warning","Clean"))</f>
        <v>Clean</v>
      </c>
      <c r="AJ372" s="4" t="s">
        <v>1530</v>
      </c>
      <c r="AK372" s="4" t="s">
        <v>1355</v>
      </c>
      <c r="AL372" s="4" t="s">
        <v>96</v>
      </c>
      <c r="AM372" s="4" t="s">
        <v>68</v>
      </c>
      <c r="AN372" s="4" t="s">
        <v>97</v>
      </c>
      <c r="AO372" s="4" t="s">
        <v>56</v>
      </c>
      <c r="AP372" s="4" t="s">
        <v>152</v>
      </c>
      <c r="AQ372" s="4" t="s">
        <v>109</v>
      </c>
      <c r="AR372" s="4" t="s">
        <v>116</v>
      </c>
      <c r="AS372" s="4" t="s">
        <v>81</v>
      </c>
      <c r="AT372" s="0" t="n">
        <v>0.2</v>
      </c>
      <c r="AU372" s="4" t="s">
        <v>61</v>
      </c>
      <c r="AV372" s="4" t="s">
        <v>62</v>
      </c>
    </row>
    <row r="373" customFormat="false" ht="15" hidden="false" customHeight="false" outlineLevel="0" collapsed="false">
      <c r="A373" s="0" t="s">
        <v>1531</v>
      </c>
      <c r="B373" s="3" t="n">
        <f aca="false">IF(AJ373="","",IF(ISNUMBER(SEARCH("/",AJ373)),DATE(VALUE(RIGHT(AJ373,4)),VALUE(LEFT(AJ373,2)),VALUE(MID(AJ373,4,2))),IF(ISNUMBER(SEARCH("-",AJ373)),IF(LEN(LEFT(AJ373,FIND("-",AJ373)-1))=4,DATE(VALUE(LEFT(AJ373,4)),VALUE(MID(AJ373,6,2)),VALUE(RIGHT(AJ373,2))),DATE(VALUE(RIGHT(AJ373,4)),VALUE(MID(AJ373,4,2)),VALUE(LEFT(AJ373,2)))),DATE(VALUE(RIGHT(AJ373,4)),MATCH(MID(AJ373,4,3),{"Jan","Feb","Mar","Apr","May","Jun","Jul","Aug","Sep","Oct","Nov","Dec"},0),VALUE(LEFT(AJ373,2))))))</f>
        <v>45313</v>
      </c>
      <c r="C373" s="3" t="n">
        <f aca="false">IF(AK373="","",IF(ISNUMBER(SEARCH("/",AK373)),DATE(VALUE(RIGHT(AK373,4)),VALUE(LEFT(AK373,2)),VALUE(MID(AK373,4,2))),IF(ISNUMBER(SEARCH("-",AK373)),IF(LEN(LEFT(AK373,FIND("-",AK373)-1))=4,DATE(VALUE(LEFT(AK373,4)),VALUE(MID(AK373,6,2)),VALUE(RIGHT(AK373,2))),DATE(VALUE(RIGHT(AK373,4)),VALUE(MID(AK373,4,2)),VALUE(LEFT(AK373,2)))),DATE(VALUE(RIGHT(AK373,4)),MATCH(MID(AK373,4,3),{"Jan","Feb","Mar","Apr","May","Jun","Jul","Aug","Sep","Oct","Nov","Dec"},0),VALUE(LEFT(AK373,2))))))</f>
        <v>45315</v>
      </c>
      <c r="D373" s="4" t="s">
        <v>1532</v>
      </c>
      <c r="E373" s="0" t="str">
        <f aca="false">PROPER(TRIM(AL373))</f>
        <v>Diya Patel</v>
      </c>
      <c r="F373" s="0" t="str">
        <f aca="false">PROPER(TRIM(AM373))</f>
        <v>Home Office</v>
      </c>
      <c r="G373" s="0" t="str">
        <f aca="false">IF(TRIM(AN373)="","Unknown",PROPER(TRIM(AN373)))</f>
        <v>West</v>
      </c>
      <c r="H373" s="0" t="str">
        <f aca="false">PROPER(TRIM(AO373))</f>
        <v>Maharashtra</v>
      </c>
      <c r="I373" s="0" t="str">
        <f aca="false">PROPER(TRIM(AP373))</f>
        <v>Mumbai</v>
      </c>
      <c r="J373" s="0" t="str">
        <f aca="false">PROPER(TRIM(AQ373))</f>
        <v>Office Supplies</v>
      </c>
      <c r="K373" s="0" t="str">
        <f aca="false">PROPER(TRIM(AR373))</f>
        <v>Art</v>
      </c>
      <c r="M373" s="0" t="str">
        <f aca="false">IF(TRIM(AS373)="","Unknown",PROPER(TRIM(AS373)))</f>
        <v>Standard Class</v>
      </c>
      <c r="N373" s="0" t="n">
        <v>6</v>
      </c>
      <c r="O373" s="0" t="n">
        <v>1026.06</v>
      </c>
      <c r="P373" s="5" t="str">
        <f aca="false">IF(AT373="","",IF(ISNUMBER(AT373),AT373,VALUE(SUBSTITUTE(AT373,"%",""))/100))</f>
        <v/>
      </c>
      <c r="Q373" s="5" t="n">
        <f aca="false">IF(P373="",IF(AND(N373&lt;&gt;"",O373&lt;&gt;"",R373&lt;&gt;"",S373&lt;&gt;""),0,"REVIEW"),IF(OR(P373&lt;0,P373&gt;0.3),0,P373))</f>
        <v>0</v>
      </c>
      <c r="R373" s="0" t="n">
        <v>4617.27</v>
      </c>
      <c r="S373" s="0" t="n">
        <v>2981.94</v>
      </c>
      <c r="T373" s="6" t="n">
        <f aca="false">N373*O373*(1-Q373)</f>
        <v>6156.36</v>
      </c>
      <c r="U373" s="6" t="n">
        <f aca="false">T373-S373</f>
        <v>3174.42</v>
      </c>
      <c r="V373" s="7" t="n">
        <f aca="false">IF(T373=0,0,U373/T373)</f>
        <v>0.515632614077149</v>
      </c>
      <c r="W373" s="4" t="n">
        <f aca="false">C373-B373</f>
        <v>2</v>
      </c>
      <c r="X373" s="0" t="str">
        <f aca="false">TEXT(B373,"mmmm")</f>
        <v>January</v>
      </c>
      <c r="Y373" s="4" t="n">
        <f aca="false">YEAR(B373)</f>
        <v>2024</v>
      </c>
      <c r="Z373" s="0" t="str">
        <f aca="false">PROPER(TRIM(AU373))</f>
        <v>Refunded</v>
      </c>
      <c r="AA373" s="0" t="str">
        <f aca="false">PROPER(TRIM(AV373))</f>
        <v>Cancelled</v>
      </c>
      <c r="AB373" s="0" t="str">
        <f aca="false">IF(TRIM(AN373)="","Yes","No")</f>
        <v>No</v>
      </c>
      <c r="AC373" s="0" t="str">
        <f aca="false">IF(TRIM(AS373)="","Yes","No")</f>
        <v>No</v>
      </c>
      <c r="AD373" s="0" t="str">
        <f aca="false">IF(AT373="","Yes","No")</f>
        <v>Yes</v>
      </c>
      <c r="AE373" s="0" t="str">
        <f aca="false">IF(W373&lt;0,"Yes","No")</f>
        <v>No</v>
      </c>
      <c r="AF373" s="0" t="str">
        <f aca="false">IF(P373="","No",IF(OR(P373&lt;0,P373&gt;0.3),"Yes","No"))</f>
        <v>No</v>
      </c>
      <c r="AG373" s="4" t="s">
        <v>50</v>
      </c>
      <c r="AH373" s="0" t="str">
        <f aca="false">IF(AND(AA373="Completed",Z373="Paid"),"Yes","No")</f>
        <v>No</v>
      </c>
      <c r="AI373" s="0" t="str">
        <f aca="false">IF(OR(AE373="Yes",AF373="Yes",AG373="Yes"),"Invalid",IF(OR(AB373="Yes",AC373="Yes",AD373="Yes"),"Warning","Clean"))</f>
        <v>Warning</v>
      </c>
      <c r="AJ373" s="4" t="s">
        <v>906</v>
      </c>
      <c r="AK373" s="4" t="s">
        <v>1533</v>
      </c>
      <c r="AL373" s="4" t="s">
        <v>216</v>
      </c>
      <c r="AM373" s="4" t="s">
        <v>134</v>
      </c>
      <c r="AN373" s="4" t="s">
        <v>97</v>
      </c>
      <c r="AO373" s="4" t="s">
        <v>98</v>
      </c>
      <c r="AP373" s="4" t="s">
        <v>99</v>
      </c>
      <c r="AQ373" s="4" t="s">
        <v>58</v>
      </c>
      <c r="AR373" s="4" t="s">
        <v>80</v>
      </c>
      <c r="AS373" s="4" t="s">
        <v>91</v>
      </c>
      <c r="AU373" s="4" t="s">
        <v>141</v>
      </c>
      <c r="AV373" s="4" t="s">
        <v>101</v>
      </c>
    </row>
    <row r="374" customFormat="false" ht="15" hidden="false" customHeight="false" outlineLevel="0" collapsed="false">
      <c r="A374" s="0" t="s">
        <v>1534</v>
      </c>
      <c r="B374" s="3" t="n">
        <f aca="false">IF(AJ374="","",IF(ISNUMBER(SEARCH("/",AJ374)),DATE(VALUE(RIGHT(AJ374,4)),VALUE(LEFT(AJ374,2)),VALUE(MID(AJ374,4,2))),IF(ISNUMBER(SEARCH("-",AJ374)),IF(LEN(LEFT(AJ374,FIND("-",AJ374)-1))=4,DATE(VALUE(LEFT(AJ374,4)),VALUE(MID(AJ374,6,2)),VALUE(RIGHT(AJ374,2))),DATE(VALUE(RIGHT(AJ374,4)),VALUE(MID(AJ374,4,2)),VALUE(LEFT(AJ374,2)))),DATE(VALUE(RIGHT(AJ374,4)),MATCH(MID(AJ374,4,3),{"Jan","Feb","Mar","Apr","May","Jun","Jul","Aug","Sep","Oct","Nov","Dec"},0),VALUE(LEFT(AJ374,2))))))</f>
        <v>45885</v>
      </c>
      <c r="C374" s="3" t="n">
        <f aca="false">IF(AK374="","",IF(ISNUMBER(SEARCH("/",AK374)),DATE(VALUE(RIGHT(AK374,4)),VALUE(LEFT(AK374,2)),VALUE(MID(AK374,4,2))),IF(ISNUMBER(SEARCH("-",AK374)),IF(LEN(LEFT(AK374,FIND("-",AK374)-1))=4,DATE(VALUE(LEFT(AK374,4)),VALUE(MID(AK374,6,2)),VALUE(RIGHT(AK374,2))),DATE(VALUE(RIGHT(AK374,4)),VALUE(MID(AK374,4,2)),VALUE(LEFT(AK374,2)))),DATE(VALUE(RIGHT(AK374,4)),MATCH(MID(AK374,4,3),{"Jan","Feb","Mar","Apr","May","Jun","Jul","Aug","Sep","Oct","Nov","Dec"},0),VALUE(LEFT(AK374,2))))))</f>
        <v>45887</v>
      </c>
      <c r="D374" s="4" t="s">
        <v>833</v>
      </c>
      <c r="E374" s="0" t="str">
        <f aca="false">PROPER(TRIM(AL374))</f>
        <v>Kabir Singh</v>
      </c>
      <c r="F374" s="0" t="str">
        <f aca="false">PROPER(TRIM(AM374))</f>
        <v>Consumer</v>
      </c>
      <c r="G374" s="0" t="str">
        <f aca="false">IF(TRIM(AN374)="","Unknown",PROPER(TRIM(AN374)))</f>
        <v>East</v>
      </c>
      <c r="H374" s="0" t="str">
        <f aca="false">PROPER(TRIM(AO374))</f>
        <v>Jharkhand</v>
      </c>
      <c r="I374" s="0" t="str">
        <f aca="false">PROPER(TRIM(AP374))</f>
        <v>Ranchi</v>
      </c>
      <c r="J374" s="0" t="str">
        <f aca="false">PROPER(TRIM(AQ374))</f>
        <v>Furniture</v>
      </c>
      <c r="K374" s="0" t="str">
        <f aca="false">PROPER(TRIM(AR374))</f>
        <v>Chairs</v>
      </c>
      <c r="M374" s="0" t="str">
        <f aca="false">IF(TRIM(AS374)="","Unknown",PROPER(TRIM(AS374)))</f>
        <v>Same Day</v>
      </c>
      <c r="N374" s="0" t="n">
        <v>5</v>
      </c>
      <c r="O374" s="0" t="n">
        <v>1530.36</v>
      </c>
      <c r="P374" s="5" t="n">
        <f aca="false">IF(AT374="","",IF(ISNUMBER(AT374),AT374,VALUE(SUBSTITUTE(AT374,"%",""))/100))</f>
        <v>0</v>
      </c>
      <c r="Q374" s="5" t="n">
        <f aca="false">IF(P374="",IF(AND(N374&lt;&gt;"",O374&lt;&gt;"",R374&lt;&gt;"",S374&lt;&gt;""),0,"REVIEW"),IF(OR(P374&lt;0,P374&gt;0.3),0,P374))</f>
        <v>0</v>
      </c>
      <c r="R374" s="0" t="n">
        <v>7651.8</v>
      </c>
      <c r="S374" s="0" t="n">
        <v>5171.78</v>
      </c>
      <c r="T374" s="6" t="n">
        <f aca="false">N374*O374*(1-Q374)</f>
        <v>7651.8</v>
      </c>
      <c r="U374" s="6" t="n">
        <f aca="false">T374-S374</f>
        <v>2480.02</v>
      </c>
      <c r="V374" s="7" t="n">
        <f aca="false">IF(T374=0,0,U374/T374)</f>
        <v>0.324109359889176</v>
      </c>
      <c r="W374" s="4" t="n">
        <f aca="false">C374-B374</f>
        <v>2</v>
      </c>
      <c r="X374" s="0" t="str">
        <f aca="false">TEXT(B374,"mmmm")</f>
        <v>August</v>
      </c>
      <c r="Y374" s="4" t="n">
        <f aca="false">YEAR(B374)</f>
        <v>2025</v>
      </c>
      <c r="Z374" s="0" t="str">
        <f aca="false">PROPER(TRIM(AU374))</f>
        <v>Paid</v>
      </c>
      <c r="AA374" s="0" t="str">
        <f aca="false">PROPER(TRIM(AV374))</f>
        <v>Completed</v>
      </c>
      <c r="AB374" s="0" t="str">
        <f aca="false">IF(TRIM(AN374)="","Yes","No")</f>
        <v>No</v>
      </c>
      <c r="AC374" s="0" t="str">
        <f aca="false">IF(TRIM(AS374)="","Yes","No")</f>
        <v>No</v>
      </c>
      <c r="AD374" s="0" t="str">
        <f aca="false">IF(AT374="","Yes","No")</f>
        <v>No</v>
      </c>
      <c r="AE374" s="0" t="str">
        <f aca="false">IF(W374&lt;0,"Yes","No")</f>
        <v>No</v>
      </c>
      <c r="AF374" s="0" t="str">
        <f aca="false">IF(P374="","No",IF(OR(P374&lt;0,P374&gt;0.3),"Yes","No"))</f>
        <v>No</v>
      </c>
      <c r="AG374" s="4" t="s">
        <v>50</v>
      </c>
      <c r="AH374" s="0" t="str">
        <f aca="false">IF(AND(AA374="Completed",Z374="Paid"),"Yes","No")</f>
        <v>Yes</v>
      </c>
      <c r="AI374" s="0" t="str">
        <f aca="false">IF(OR(AE374="Yes",AF374="Yes",AG374="Yes"),"Invalid",IF(OR(AB374="Yes",AC374="Yes",AD374="Yes"),"Warning","Clean"))</f>
        <v>Clean</v>
      </c>
      <c r="AJ374" s="4" t="s">
        <v>1535</v>
      </c>
      <c r="AK374" s="4" t="s">
        <v>797</v>
      </c>
      <c r="AL374" s="4" t="s">
        <v>347</v>
      </c>
      <c r="AM374" s="4" t="s">
        <v>54</v>
      </c>
      <c r="AN374" s="4" t="s">
        <v>69</v>
      </c>
      <c r="AO374" s="4" t="s">
        <v>300</v>
      </c>
      <c r="AP374" s="4" t="s">
        <v>301</v>
      </c>
      <c r="AQ374" s="4" t="s">
        <v>72</v>
      </c>
      <c r="AR374" s="4" t="s">
        <v>100</v>
      </c>
      <c r="AS374" s="4" t="s">
        <v>74</v>
      </c>
      <c r="AT374" s="0" t="n">
        <v>0</v>
      </c>
      <c r="AU374" s="4" t="s">
        <v>61</v>
      </c>
      <c r="AV374" s="4" t="s">
        <v>62</v>
      </c>
    </row>
    <row r="375" customFormat="false" ht="15" hidden="false" customHeight="false" outlineLevel="0" collapsed="false">
      <c r="A375" s="0" t="s">
        <v>1536</v>
      </c>
      <c r="B375" s="3" t="n">
        <f aca="false">IF(AJ375="","",IF(ISNUMBER(SEARCH("/",AJ375)),DATE(VALUE(RIGHT(AJ375,4)),VALUE(LEFT(AJ375,2)),VALUE(MID(AJ375,4,2))),IF(ISNUMBER(SEARCH("-",AJ375)),IF(LEN(LEFT(AJ375,FIND("-",AJ375)-1))=4,DATE(VALUE(LEFT(AJ375,4)),VALUE(MID(AJ375,6,2)),VALUE(RIGHT(AJ375,2))),DATE(VALUE(RIGHT(AJ375,4)),VALUE(MID(AJ375,4,2)),VALUE(LEFT(AJ375,2)))),DATE(VALUE(RIGHT(AJ375,4)),MATCH(MID(AJ375,4,3),{"Jan","Feb","Mar","Apr","May","Jun","Jul","Aug","Sep","Oct","Nov","Dec"},0),VALUE(LEFT(AJ375,2))))))</f>
        <v>45760</v>
      </c>
      <c r="C375" s="3" t="n">
        <f aca="false">IF(AK375="","",IF(ISNUMBER(SEARCH("/",AK375)),DATE(VALUE(RIGHT(AK375,4)),VALUE(LEFT(AK375,2)),VALUE(MID(AK375,4,2))),IF(ISNUMBER(SEARCH("-",AK375)),IF(LEN(LEFT(AK375,FIND("-",AK375)-1))=4,DATE(VALUE(LEFT(AK375,4)),VALUE(MID(AK375,6,2)),VALUE(RIGHT(AK375,2))),DATE(VALUE(RIGHT(AK375,4)),VALUE(MID(AK375,4,2)),VALUE(LEFT(AK375,2)))),DATE(VALUE(RIGHT(AK375,4)),MATCH(MID(AK375,4,3),{"Jan","Feb","Mar","Apr","May","Jun","Jul","Aug","Sep","Oct","Nov","Dec"},0),VALUE(LEFT(AK375,2))))))</f>
        <v>45760</v>
      </c>
      <c r="D375" s="4" t="s">
        <v>1537</v>
      </c>
      <c r="E375" s="0" t="str">
        <f aca="false">PROPER(TRIM(AL375))</f>
        <v>Sneha Kapoor</v>
      </c>
      <c r="F375" s="0" t="str">
        <f aca="false">PROPER(TRIM(AM375))</f>
        <v>Small Business</v>
      </c>
      <c r="G375" s="0" t="str">
        <f aca="false">IF(TRIM(AN375)="","Unknown",PROPER(TRIM(AN375)))</f>
        <v>North</v>
      </c>
      <c r="H375" s="0" t="str">
        <f aca="false">PROPER(TRIM(AO375))</f>
        <v>Uttar Pradesh</v>
      </c>
      <c r="I375" s="0" t="str">
        <f aca="false">PROPER(TRIM(AP375))</f>
        <v>Noida</v>
      </c>
      <c r="J375" s="0" t="str">
        <f aca="false">PROPER(TRIM(AQ375))</f>
        <v>Office Supplies</v>
      </c>
      <c r="K375" s="0" t="str">
        <f aca="false">PROPER(TRIM(AR375))</f>
        <v>Storage</v>
      </c>
      <c r="M375" s="0" t="str">
        <f aca="false">IF(TRIM(AS375)="","Unknown",PROPER(TRIM(AS375)))</f>
        <v>Second Class</v>
      </c>
      <c r="N375" s="0" t="n">
        <v>9</v>
      </c>
      <c r="O375" s="0" t="n">
        <v>1118.68</v>
      </c>
      <c r="P375" s="5" t="n">
        <f aca="false">IF(AT375="","",IF(ISNUMBER(AT375),AT375,VALUE(SUBSTITUTE(AT375,"%",""))/100))</f>
        <v>0</v>
      </c>
      <c r="Q375" s="5" t="n">
        <f aca="false">IF(P375="",IF(AND(N375&lt;&gt;"",O375&lt;&gt;"",R375&lt;&gt;"",S375&lt;&gt;""),0,"REVIEW"),IF(OR(P375&lt;0,P375&gt;0.3),0,P375))</f>
        <v>0</v>
      </c>
      <c r="R375" s="0" t="n">
        <v>10068.12</v>
      </c>
      <c r="S375" s="0" t="n">
        <v>8595.37</v>
      </c>
      <c r="T375" s="6" t="n">
        <f aca="false">N375*O375*(1-Q375)</f>
        <v>10068.12</v>
      </c>
      <c r="U375" s="6" t="n">
        <f aca="false">T375-S375</f>
        <v>1472.75</v>
      </c>
      <c r="V375" s="7" t="n">
        <f aca="false">IF(T375=0,0,U375/T375)</f>
        <v>0.146278550513899</v>
      </c>
      <c r="W375" s="4" t="n">
        <f aca="false">C375-B375</f>
        <v>0</v>
      </c>
      <c r="X375" s="0" t="str">
        <f aca="false">TEXT(B375,"mmmm")</f>
        <v>April</v>
      </c>
      <c r="Y375" s="4" t="n">
        <f aca="false">YEAR(B375)</f>
        <v>2025</v>
      </c>
      <c r="Z375" s="0" t="str">
        <f aca="false">PROPER(TRIM(AU375))</f>
        <v>Paid</v>
      </c>
      <c r="AA375" s="0" t="str">
        <f aca="false">PROPER(TRIM(AV375))</f>
        <v>Completed</v>
      </c>
      <c r="AB375" s="0" t="str">
        <f aca="false">IF(TRIM(AN375)="","Yes","No")</f>
        <v>No</v>
      </c>
      <c r="AC375" s="0" t="str">
        <f aca="false">IF(TRIM(AS375)="","Yes","No")</f>
        <v>No</v>
      </c>
      <c r="AD375" s="0" t="str">
        <f aca="false">IF(AT375="","Yes","No")</f>
        <v>No</v>
      </c>
      <c r="AE375" s="0" t="str">
        <f aca="false">IF(W375&lt;0,"Yes","No")</f>
        <v>No</v>
      </c>
      <c r="AF375" s="0" t="str">
        <f aca="false">IF(P375="","No",IF(OR(P375&lt;0,P375&gt;0.3),"Yes","No"))</f>
        <v>No</v>
      </c>
      <c r="AG375" s="4" t="s">
        <v>497</v>
      </c>
      <c r="AH375" s="0" t="str">
        <f aca="false">IF(AND(AA375="Completed",Z375="Paid"),"Yes","No")</f>
        <v>Yes</v>
      </c>
      <c r="AI375" s="0" t="str">
        <f aca="false">IF(OR(AE375="Yes",AF375="Yes",AG375="Yes"),"Invalid",IF(OR(AB375="Yes",AC375="Yes",AD375="Yes"),"Warning","Clean"))</f>
        <v>Invalid</v>
      </c>
      <c r="AJ375" s="4" t="s">
        <v>1538</v>
      </c>
      <c r="AK375" s="4" t="s">
        <v>1538</v>
      </c>
      <c r="AL375" s="4" t="s">
        <v>181</v>
      </c>
      <c r="AM375" s="4" t="s">
        <v>68</v>
      </c>
      <c r="AN375" s="4" t="s">
        <v>168</v>
      </c>
      <c r="AO375" s="4" t="s">
        <v>186</v>
      </c>
      <c r="AP375" s="4" t="s">
        <v>187</v>
      </c>
      <c r="AQ375" s="4" t="s">
        <v>58</v>
      </c>
      <c r="AR375" s="4" t="s">
        <v>171</v>
      </c>
      <c r="AS375" s="4" t="s">
        <v>60</v>
      </c>
      <c r="AT375" s="0" t="n">
        <v>0</v>
      </c>
      <c r="AU375" s="4" t="s">
        <v>61</v>
      </c>
      <c r="AV375" s="4" t="s">
        <v>62</v>
      </c>
    </row>
    <row r="376" customFormat="false" ht="15" hidden="false" customHeight="false" outlineLevel="0" collapsed="false">
      <c r="A376" s="0" t="s">
        <v>1539</v>
      </c>
      <c r="B376" s="3" t="n">
        <f aca="false">IF(AJ376="","",IF(ISNUMBER(SEARCH("/",AJ376)),DATE(VALUE(RIGHT(AJ376,4)),VALUE(LEFT(AJ376,2)),VALUE(MID(AJ376,4,2))),IF(ISNUMBER(SEARCH("-",AJ376)),IF(LEN(LEFT(AJ376,FIND("-",AJ376)-1))=4,DATE(VALUE(LEFT(AJ376,4)),VALUE(MID(AJ376,6,2)),VALUE(RIGHT(AJ376,2))),DATE(VALUE(RIGHT(AJ376,4)),VALUE(MID(AJ376,4,2)),VALUE(LEFT(AJ376,2)))),DATE(VALUE(RIGHT(AJ376,4)),MATCH(MID(AJ376,4,3),{"Jan","Feb","Mar","Apr","May","Jun","Jul","Aug","Sep","Oct","Nov","Dec"},0),VALUE(LEFT(AJ376,2))))))</f>
        <v>45715</v>
      </c>
      <c r="C376" s="3" t="n">
        <f aca="false">IF(AK376="","",IF(ISNUMBER(SEARCH("/",AK376)),DATE(VALUE(RIGHT(AK376,4)),VALUE(LEFT(AK376,2)),VALUE(MID(AK376,4,2))),IF(ISNUMBER(SEARCH("-",AK376)),IF(LEN(LEFT(AK376,FIND("-",AK376)-1))=4,DATE(VALUE(LEFT(AK376,4)),VALUE(MID(AK376,6,2)),VALUE(RIGHT(AK376,2))),DATE(VALUE(RIGHT(AK376,4)),VALUE(MID(AK376,4,2)),VALUE(LEFT(AK376,2)))),DATE(VALUE(RIGHT(AK376,4)),MATCH(MID(AK376,4,3),{"Jan","Feb","Mar","Apr","May","Jun","Jul","Aug","Sep","Oct","Nov","Dec"},0),VALUE(LEFT(AK376,2))))))</f>
        <v>45716</v>
      </c>
      <c r="D376" s="4" t="s">
        <v>1540</v>
      </c>
      <c r="E376" s="0" t="str">
        <f aca="false">PROPER(TRIM(AL376))</f>
        <v>Aditi Sen</v>
      </c>
      <c r="F376" s="0" t="str">
        <f aca="false">PROPER(TRIM(AM376))</f>
        <v>Small Business</v>
      </c>
      <c r="G376" s="0" t="str">
        <f aca="false">IF(TRIM(AN376)="","Unknown",PROPER(TRIM(AN376)))</f>
        <v>North</v>
      </c>
      <c r="H376" s="0" t="str">
        <f aca="false">PROPER(TRIM(AO376))</f>
        <v>Uttar Pradesh</v>
      </c>
      <c r="I376" s="0" t="str">
        <f aca="false">PROPER(TRIM(AP376))</f>
        <v>Noida</v>
      </c>
      <c r="J376" s="0" t="str">
        <f aca="false">PROPER(TRIM(AQ376))</f>
        <v>Office Supplies</v>
      </c>
      <c r="K376" s="0" t="str">
        <f aca="false">PROPER(TRIM(AR376))</f>
        <v>Labels</v>
      </c>
      <c r="M376" s="0" t="str">
        <f aca="false">IF(TRIM(AS376)="","Unknown",PROPER(TRIM(AS376)))</f>
        <v>Standard Class</v>
      </c>
      <c r="N376" s="0" t="n">
        <v>6</v>
      </c>
      <c r="O376" s="0" t="n">
        <v>2393.25</v>
      </c>
      <c r="P376" s="5" t="n">
        <f aca="false">IF(AT376="","",IF(ISNUMBER(AT376),AT376,VALUE(SUBSTITUTE(AT376,"%",""))/100))</f>
        <v>0</v>
      </c>
      <c r="Q376" s="5" t="n">
        <f aca="false">IF(P376="",IF(AND(N376&lt;&gt;"",O376&lt;&gt;"",R376&lt;&gt;"",S376&lt;&gt;""),0,"REVIEW"),IF(OR(P376&lt;0,P376&gt;0.3),0,P376))</f>
        <v>0</v>
      </c>
      <c r="R376" s="0" t="n">
        <v>14359.5</v>
      </c>
      <c r="S376" s="0" t="n">
        <v>8117.71</v>
      </c>
      <c r="T376" s="6" t="n">
        <f aca="false">N376*O376*(1-Q376)</f>
        <v>14359.5</v>
      </c>
      <c r="U376" s="6" t="n">
        <f aca="false">T376-S376</f>
        <v>6241.79</v>
      </c>
      <c r="V376" s="7" t="n">
        <f aca="false">IF(T376=0,0,U376/T376)</f>
        <v>0.434680176886382</v>
      </c>
      <c r="W376" s="4" t="n">
        <f aca="false">C376-B376</f>
        <v>1</v>
      </c>
      <c r="X376" s="0" t="str">
        <f aca="false">TEXT(B376,"mmmm")</f>
        <v>February</v>
      </c>
      <c r="Y376" s="4" t="n">
        <f aca="false">YEAR(B376)</f>
        <v>2025</v>
      </c>
      <c r="Z376" s="0" t="str">
        <f aca="false">PROPER(TRIM(AU376))</f>
        <v>Paid</v>
      </c>
      <c r="AA376" s="0" t="str">
        <f aca="false">PROPER(TRIM(AV376))</f>
        <v>Completed</v>
      </c>
      <c r="AB376" s="0" t="str">
        <f aca="false">IF(TRIM(AN376)="","Yes","No")</f>
        <v>No</v>
      </c>
      <c r="AC376" s="0" t="str">
        <f aca="false">IF(TRIM(AS376)="","Yes","No")</f>
        <v>No</v>
      </c>
      <c r="AD376" s="0" t="str">
        <f aca="false">IF(AT376="","Yes","No")</f>
        <v>No</v>
      </c>
      <c r="AE376" s="0" t="str">
        <f aca="false">IF(W376&lt;0,"Yes","No")</f>
        <v>No</v>
      </c>
      <c r="AF376" s="0" t="str">
        <f aca="false">IF(P376="","No",IF(OR(P376&lt;0,P376&gt;0.3),"Yes","No"))</f>
        <v>No</v>
      </c>
      <c r="AG376" s="4" t="s">
        <v>50</v>
      </c>
      <c r="AH376" s="0" t="str">
        <f aca="false">IF(AND(AA376="Completed",Z376="Paid"),"Yes","No")</f>
        <v>Yes</v>
      </c>
      <c r="AI376" s="0" t="str">
        <f aca="false">IF(OR(AE376="Yes",AF376="Yes",AG376="Yes"),"Invalid",IF(OR(AB376="Yes",AC376="Yes",AD376="Yes"),"Warning","Clean"))</f>
        <v>Clean</v>
      </c>
      <c r="AJ376" s="4" t="s">
        <v>1541</v>
      </c>
      <c r="AK376" s="4" t="s">
        <v>1542</v>
      </c>
      <c r="AL376" s="4" t="s">
        <v>127</v>
      </c>
      <c r="AM376" s="4" t="s">
        <v>68</v>
      </c>
      <c r="AN376" s="4" t="s">
        <v>168</v>
      </c>
      <c r="AO376" s="4" t="s">
        <v>186</v>
      </c>
      <c r="AP376" s="4" t="s">
        <v>187</v>
      </c>
      <c r="AQ376" s="4" t="s">
        <v>58</v>
      </c>
      <c r="AR376" s="4" t="s">
        <v>129</v>
      </c>
      <c r="AS376" s="4" t="s">
        <v>91</v>
      </c>
      <c r="AT376" s="0" t="n">
        <v>0</v>
      </c>
      <c r="AU376" s="4" t="s">
        <v>61</v>
      </c>
      <c r="AV376" s="4" t="s">
        <v>62</v>
      </c>
    </row>
    <row r="377" customFormat="false" ht="15" hidden="false" customHeight="false" outlineLevel="0" collapsed="false">
      <c r="A377" s="0" t="s">
        <v>1543</v>
      </c>
      <c r="B377" s="3" t="n">
        <f aca="false">IF(AJ377="","",IF(ISNUMBER(SEARCH("/",AJ377)),DATE(VALUE(RIGHT(AJ377,4)),VALUE(LEFT(AJ377,2)),VALUE(MID(AJ377,4,2))),IF(ISNUMBER(SEARCH("-",AJ377)),IF(LEN(LEFT(AJ377,FIND("-",AJ377)-1))=4,DATE(VALUE(LEFT(AJ377,4)),VALUE(MID(AJ377,6,2)),VALUE(RIGHT(AJ377,2))),DATE(VALUE(RIGHT(AJ377,4)),VALUE(MID(AJ377,4,2)),VALUE(LEFT(AJ377,2)))),DATE(VALUE(RIGHT(AJ377,4)),MATCH(MID(AJ377,4,3),{"Jan","Feb","Mar","Apr","May","Jun","Jul","Aug","Sep","Oct","Nov","Dec"},0),VALUE(LEFT(AJ377,2))))))</f>
        <v>45657</v>
      </c>
      <c r="C377" s="3" t="n">
        <f aca="false">IF(AK377="","",IF(ISNUMBER(SEARCH("/",AK377)),DATE(VALUE(RIGHT(AK377,4)),VALUE(LEFT(AK377,2)),VALUE(MID(AK377,4,2))),IF(ISNUMBER(SEARCH("-",AK377)),IF(LEN(LEFT(AK377,FIND("-",AK377)-1))=4,DATE(VALUE(LEFT(AK377,4)),VALUE(MID(AK377,6,2)),VALUE(RIGHT(AK377,2))),DATE(VALUE(RIGHT(AK377,4)),VALUE(MID(AK377,4,2)),VALUE(LEFT(AK377,2)))),DATE(VALUE(RIGHT(AK377,4)),MATCH(MID(AK377,4,3),{"Jan","Feb","Mar","Apr","May","Jun","Jul","Aug","Sep","Oct","Nov","Dec"},0),VALUE(LEFT(AK377,2))))))</f>
        <v>45661</v>
      </c>
      <c r="D377" s="4" t="s">
        <v>1544</v>
      </c>
      <c r="E377" s="0" t="str">
        <f aca="false">PROPER(TRIM(AL377))</f>
        <v>Vikram Iyer</v>
      </c>
      <c r="F377" s="0" t="str">
        <f aca="false">PROPER(TRIM(AM377))</f>
        <v>Consumer</v>
      </c>
      <c r="G377" s="0" t="str">
        <f aca="false">IF(TRIM(AN377)="","Unknown",PROPER(TRIM(AN377)))</f>
        <v>North</v>
      </c>
      <c r="H377" s="0" t="str">
        <f aca="false">PROPER(TRIM(AO377))</f>
        <v>Delhi</v>
      </c>
      <c r="I377" s="0" t="str">
        <f aca="false">PROPER(TRIM(AP377))</f>
        <v>New Delhi</v>
      </c>
      <c r="J377" s="0" t="str">
        <f aca="false">PROPER(TRIM(AQ377))</f>
        <v>Furniture</v>
      </c>
      <c r="K377" s="0" t="str">
        <f aca="false">PROPER(TRIM(AR377))</f>
        <v>Chairs</v>
      </c>
      <c r="M377" s="0" t="str">
        <f aca="false">IF(TRIM(AS377)="","Unknown",PROPER(TRIM(AS377)))</f>
        <v>Same Day</v>
      </c>
      <c r="N377" s="0" t="n">
        <v>3</v>
      </c>
      <c r="O377" s="0" t="n">
        <v>1166.61</v>
      </c>
      <c r="P377" s="5" t="n">
        <f aca="false">IF(AT377="","",IF(ISNUMBER(AT377),AT377,VALUE(SUBSTITUTE(AT377,"%",""))/100))</f>
        <v>0.25</v>
      </c>
      <c r="Q377" s="5" t="n">
        <f aca="false">IF(P377="",IF(AND(N377&lt;&gt;"",O377&lt;&gt;"",R377&lt;&gt;"",S377&lt;&gt;""),0,"REVIEW"),IF(OR(P377&lt;0,P377&gt;0.3),0,P377))</f>
        <v>0.25</v>
      </c>
      <c r="R377" s="0" t="n">
        <v>2624.87</v>
      </c>
      <c r="S377" s="0" t="n">
        <v>2253.88</v>
      </c>
      <c r="T377" s="6" t="n">
        <f aca="false">N377*O377*(1-Q377)</f>
        <v>2624.8725</v>
      </c>
      <c r="U377" s="6" t="n">
        <f aca="false">T377-S377</f>
        <v>370.9925</v>
      </c>
      <c r="V377" s="7" t="n">
        <f aca="false">IF(T377=0,0,U377/T377)</f>
        <v>0.141337341147046</v>
      </c>
      <c r="W377" s="4" t="n">
        <f aca="false">C377-B377</f>
        <v>4</v>
      </c>
      <c r="X377" s="0" t="str">
        <f aca="false">TEXT(B377,"mmmm")</f>
        <v>December</v>
      </c>
      <c r="Y377" s="4" t="n">
        <f aca="false">YEAR(B377)</f>
        <v>2024</v>
      </c>
      <c r="Z377" s="0" t="str">
        <f aca="false">PROPER(TRIM(AU377))</f>
        <v>Paid</v>
      </c>
      <c r="AA377" s="0" t="str">
        <f aca="false">PROPER(TRIM(AV377))</f>
        <v>Completed</v>
      </c>
      <c r="AB377" s="0" t="str">
        <f aca="false">IF(TRIM(AN377)="","Yes","No")</f>
        <v>No</v>
      </c>
      <c r="AC377" s="0" t="str">
        <f aca="false">IF(TRIM(AS377)="","Yes","No")</f>
        <v>No</v>
      </c>
      <c r="AD377" s="0" t="str">
        <f aca="false">IF(AT377="","Yes","No")</f>
        <v>No</v>
      </c>
      <c r="AE377" s="0" t="str">
        <f aca="false">IF(W377&lt;0,"Yes","No")</f>
        <v>No</v>
      </c>
      <c r="AF377" s="0" t="str">
        <f aca="false">IF(P377="","No",IF(OR(P377&lt;0,P377&gt;0.3),"Yes","No"))</f>
        <v>No</v>
      </c>
      <c r="AG377" s="4" t="s">
        <v>50</v>
      </c>
      <c r="AH377" s="0" t="str">
        <f aca="false">IF(AND(AA377="Completed",Z377="Paid"),"Yes","No")</f>
        <v>Yes</v>
      </c>
      <c r="AI377" s="0" t="str">
        <f aca="false">IF(OR(AE377="Yes",AF377="Yes",AG377="Yes"),"Invalid",IF(OR(AB377="Yes",AC377="Yes",AD377="Yes"),"Warning","Clean"))</f>
        <v>Clean</v>
      </c>
      <c r="AJ377" s="4" t="s">
        <v>1545</v>
      </c>
      <c r="AK377" s="4" t="s">
        <v>1546</v>
      </c>
      <c r="AL377" s="4" t="s">
        <v>106</v>
      </c>
      <c r="AM377" s="4" t="s">
        <v>54</v>
      </c>
      <c r="AN377" s="4" t="s">
        <v>168</v>
      </c>
      <c r="AO377" s="4" t="s">
        <v>461</v>
      </c>
      <c r="AP377" s="4" t="s">
        <v>462</v>
      </c>
      <c r="AQ377" s="4" t="s">
        <v>72</v>
      </c>
      <c r="AR377" s="4" t="s">
        <v>100</v>
      </c>
      <c r="AS377" s="4" t="s">
        <v>74</v>
      </c>
      <c r="AT377" s="0" t="n">
        <v>0.25</v>
      </c>
      <c r="AU377" s="4" t="s">
        <v>61</v>
      </c>
      <c r="AV377" s="4" t="s">
        <v>62</v>
      </c>
    </row>
    <row r="378" customFormat="false" ht="15" hidden="false" customHeight="false" outlineLevel="0" collapsed="false">
      <c r="A378" s="0" t="s">
        <v>1547</v>
      </c>
      <c r="B378" s="3" t="n">
        <f aca="false">IF(AJ378="","",IF(ISNUMBER(SEARCH("/",AJ378)),DATE(VALUE(RIGHT(AJ378,4)),VALUE(LEFT(AJ378,2)),VALUE(MID(AJ378,4,2))),IF(ISNUMBER(SEARCH("-",AJ378)),IF(LEN(LEFT(AJ378,FIND("-",AJ378)-1))=4,DATE(VALUE(LEFT(AJ378,4)),VALUE(MID(AJ378,6,2)),VALUE(RIGHT(AJ378,2))),DATE(VALUE(RIGHT(AJ378,4)),VALUE(MID(AJ378,4,2)),VALUE(LEFT(AJ378,2)))),DATE(VALUE(RIGHT(AJ378,4)),MATCH(MID(AJ378,4,3),{"Jan","Feb","Mar","Apr","May","Jun","Jul","Aug","Sep","Oct","Nov","Dec"},0),VALUE(LEFT(AJ378,2))))))</f>
        <v>45655</v>
      </c>
      <c r="C378" s="3" t="n">
        <f aca="false">IF(AK378="","",IF(ISNUMBER(SEARCH("/",AK378)),DATE(VALUE(RIGHT(AK378,4)),VALUE(LEFT(AK378,2)),VALUE(MID(AK378,4,2))),IF(ISNUMBER(SEARCH("-",AK378)),IF(LEN(LEFT(AK378,FIND("-",AK378)-1))=4,DATE(VALUE(LEFT(AK378,4)),VALUE(MID(AK378,6,2)),VALUE(RIGHT(AK378,2))),DATE(VALUE(RIGHT(AK378,4)),VALUE(MID(AK378,4,2)),VALUE(LEFT(AK378,2)))),DATE(VALUE(RIGHT(AK378,4)),MATCH(MID(AK378,4,3),{"Jan","Feb","Mar","Apr","May","Jun","Jul","Aug","Sep","Oct","Nov","Dec"},0),VALUE(LEFT(AK378,2))))))</f>
        <v>45657</v>
      </c>
      <c r="D378" s="4" t="s">
        <v>1548</v>
      </c>
      <c r="E378" s="0" t="str">
        <f aca="false">PROPER(TRIM(AL378))</f>
        <v>Isha Nair</v>
      </c>
      <c r="F378" s="0" t="str">
        <f aca="false">PROPER(TRIM(AM378))</f>
        <v>Small Business</v>
      </c>
      <c r="G378" s="0" t="str">
        <f aca="false">IF(TRIM(AN378)="","Unknown",PROPER(TRIM(AN378)))</f>
        <v>East</v>
      </c>
      <c r="H378" s="0" t="str">
        <f aca="false">PROPER(TRIM(AO378))</f>
        <v>Bihar</v>
      </c>
      <c r="I378" s="0" t="str">
        <f aca="false">PROPER(TRIM(AP378))</f>
        <v>Patna</v>
      </c>
      <c r="J378" s="0" t="str">
        <f aca="false">PROPER(TRIM(AQ378))</f>
        <v>Furniture</v>
      </c>
      <c r="K378" s="0" t="str">
        <f aca="false">PROPER(TRIM(AR378))</f>
        <v>Chairs</v>
      </c>
      <c r="M378" s="0" t="str">
        <f aca="false">IF(TRIM(AS378)="","Unknown",PROPER(TRIM(AS378)))</f>
        <v>First Class</v>
      </c>
      <c r="N378" s="0" t="n">
        <v>6</v>
      </c>
      <c r="O378" s="0" t="n">
        <v>1844.78</v>
      </c>
      <c r="P378" s="5" t="n">
        <f aca="false">IF(AT378="","",IF(ISNUMBER(AT378),AT378,VALUE(SUBSTITUTE(AT378,"%",""))/100))</f>
        <v>0.2</v>
      </c>
      <c r="Q378" s="5" t="n">
        <f aca="false">IF(P378="",IF(AND(N378&lt;&gt;"",O378&lt;&gt;"",R378&lt;&gt;"",S378&lt;&gt;""),0,"REVIEW"),IF(OR(P378&lt;0,P378&gt;0.3),0,P378))</f>
        <v>0.2</v>
      </c>
      <c r="R378" s="0" t="n">
        <v>8854.94</v>
      </c>
      <c r="S378" s="0" t="n">
        <v>7433.95</v>
      </c>
      <c r="T378" s="6" t="n">
        <f aca="false">N378*O378*(1-Q378)</f>
        <v>8854.944</v>
      </c>
      <c r="U378" s="6" t="n">
        <f aca="false">T378-S378</f>
        <v>1420.994</v>
      </c>
      <c r="V378" s="7" t="n">
        <f aca="false">IF(T378=0,0,U378/T378)</f>
        <v>0.160474645576528</v>
      </c>
      <c r="W378" s="4" t="n">
        <f aca="false">C378-B378</f>
        <v>2</v>
      </c>
      <c r="X378" s="0" t="str">
        <f aca="false">TEXT(B378,"mmmm")</f>
        <v>December</v>
      </c>
      <c r="Y378" s="4" t="n">
        <f aca="false">YEAR(B378)</f>
        <v>2024</v>
      </c>
      <c r="Z378" s="0" t="str">
        <f aca="false">PROPER(TRIM(AU378))</f>
        <v>Paid</v>
      </c>
      <c r="AA378" s="0" t="str">
        <f aca="false">PROPER(TRIM(AV378))</f>
        <v>Completed</v>
      </c>
      <c r="AB378" s="0" t="str">
        <f aca="false">IF(TRIM(AN378)="","Yes","No")</f>
        <v>No</v>
      </c>
      <c r="AC378" s="0" t="str">
        <f aca="false">IF(TRIM(AS378)="","Yes","No")</f>
        <v>No</v>
      </c>
      <c r="AD378" s="0" t="str">
        <f aca="false">IF(AT378="","Yes","No")</f>
        <v>No</v>
      </c>
      <c r="AE378" s="0" t="str">
        <f aca="false">IF(W378&lt;0,"Yes","No")</f>
        <v>No</v>
      </c>
      <c r="AF378" s="0" t="str">
        <f aca="false">IF(P378="","No",IF(OR(P378&lt;0,P378&gt;0.3),"Yes","No"))</f>
        <v>No</v>
      </c>
      <c r="AG378" s="4" t="s">
        <v>50</v>
      </c>
      <c r="AH378" s="0" t="str">
        <f aca="false">IF(AND(AA378="Completed",Z378="Paid"),"Yes","No")</f>
        <v>Yes</v>
      </c>
      <c r="AI378" s="0" t="str">
        <f aca="false">IF(OR(AE378="Yes",AF378="Yes",AG378="Yes"),"Invalid",IF(OR(AB378="Yes",AC378="Yes",AD378="Yes"),"Warning","Clean"))</f>
        <v>Clean</v>
      </c>
      <c r="AJ378" s="4" t="s">
        <v>1549</v>
      </c>
      <c r="AK378" s="4" t="s">
        <v>1474</v>
      </c>
      <c r="AL378" s="4" t="s">
        <v>79</v>
      </c>
      <c r="AM378" s="4" t="s">
        <v>68</v>
      </c>
      <c r="AN378" s="4" t="s">
        <v>69</v>
      </c>
      <c r="AO378" s="4" t="s">
        <v>196</v>
      </c>
      <c r="AP378" s="4" t="s">
        <v>197</v>
      </c>
      <c r="AQ378" s="4" t="s">
        <v>72</v>
      </c>
      <c r="AR378" s="4" t="s">
        <v>100</v>
      </c>
      <c r="AS378" s="4" t="s">
        <v>81</v>
      </c>
      <c r="AT378" s="0" t="n">
        <v>0.2</v>
      </c>
      <c r="AU378" s="4" t="s">
        <v>61</v>
      </c>
      <c r="AV378" s="4" t="s">
        <v>62</v>
      </c>
    </row>
    <row r="379" customFormat="false" ht="15" hidden="false" customHeight="false" outlineLevel="0" collapsed="false">
      <c r="A379" s="0" t="s">
        <v>1550</v>
      </c>
      <c r="B379" s="3" t="n">
        <f aca="false">IF(AJ379="","",IF(ISNUMBER(SEARCH("/",AJ379)),DATE(VALUE(RIGHT(AJ379,4)),VALUE(LEFT(AJ379,2)),VALUE(MID(AJ379,4,2))),IF(ISNUMBER(SEARCH("-",AJ379)),IF(LEN(LEFT(AJ379,FIND("-",AJ379)-1))=4,DATE(VALUE(LEFT(AJ379,4)),VALUE(MID(AJ379,6,2)),VALUE(RIGHT(AJ379,2))),DATE(VALUE(RIGHT(AJ379,4)),VALUE(MID(AJ379,4,2)),VALUE(LEFT(AJ379,2)))),DATE(VALUE(RIGHT(AJ379,4)),MATCH(MID(AJ379,4,3),{"Jan","Feb","Mar","Apr","May","Jun","Jul","Aug","Sep","Oct","Nov","Dec"},0),VALUE(LEFT(AJ379,2))))))</f>
        <v>45801</v>
      </c>
      <c r="C379" s="3" t="n">
        <f aca="false">IF(AK379="","",IF(ISNUMBER(SEARCH("/",AK379)),DATE(VALUE(RIGHT(AK379,4)),VALUE(LEFT(AK379,2)),VALUE(MID(AK379,4,2))),IF(ISNUMBER(SEARCH("-",AK379)),IF(LEN(LEFT(AK379,FIND("-",AK379)-1))=4,DATE(VALUE(LEFT(AK379,4)),VALUE(MID(AK379,6,2)),VALUE(RIGHT(AK379,2))),DATE(VALUE(RIGHT(AK379,4)),VALUE(MID(AK379,4,2)),VALUE(LEFT(AK379,2)))),DATE(VALUE(RIGHT(AK379,4)),MATCH(MID(AK379,4,3),{"Jan","Feb","Mar","Apr","May","Jun","Jul","Aug","Sep","Oct","Nov","Dec"},0),VALUE(LEFT(AK379,2))))))</f>
        <v>45807</v>
      </c>
      <c r="D379" s="4" t="s">
        <v>1551</v>
      </c>
      <c r="E379" s="0" t="str">
        <f aca="false">PROPER(TRIM(AL379))</f>
        <v>Kabir Singh</v>
      </c>
      <c r="F379" s="0" t="str">
        <f aca="false">PROPER(TRIM(AM379))</f>
        <v>Small Business</v>
      </c>
      <c r="G379" s="0" t="str">
        <f aca="false">IF(TRIM(AN379)="","Unknown",PROPER(TRIM(AN379)))</f>
        <v>East</v>
      </c>
      <c r="H379" s="0" t="str">
        <f aca="false">PROPER(TRIM(AO379))</f>
        <v>Odisha</v>
      </c>
      <c r="I379" s="0" t="str">
        <f aca="false">PROPER(TRIM(AP379))</f>
        <v>Bhubaneswar</v>
      </c>
      <c r="J379" s="0" t="str">
        <f aca="false">PROPER(TRIM(AQ379))</f>
        <v>Office Supplies</v>
      </c>
      <c r="K379" s="0" t="str">
        <f aca="false">PROPER(TRIM(AR379))</f>
        <v>Storage</v>
      </c>
      <c r="M379" s="0" t="str">
        <f aca="false">IF(TRIM(AS379)="","Unknown",PROPER(TRIM(AS379)))</f>
        <v>Same Day</v>
      </c>
      <c r="N379" s="0" t="n">
        <v>1</v>
      </c>
      <c r="O379" s="0" t="n">
        <v>2564.74</v>
      </c>
      <c r="P379" s="5" t="n">
        <f aca="false">IF(AT379="","",IF(ISNUMBER(AT379),AT379,VALUE(SUBSTITUTE(AT379,"%",""))/100))</f>
        <v>0</v>
      </c>
      <c r="Q379" s="5" t="n">
        <f aca="false">IF(P379="",IF(AND(N379&lt;&gt;"",O379&lt;&gt;"",R379&lt;&gt;"",S379&lt;&gt;""),0,"REVIEW"),IF(OR(P379&lt;0,P379&gt;0.3),0,P379))</f>
        <v>0</v>
      </c>
      <c r="R379" s="0" t="n">
        <v>2564.74</v>
      </c>
      <c r="S379" s="0" t="n">
        <v>1754.58</v>
      </c>
      <c r="T379" s="6" t="n">
        <f aca="false">N379*O379*(1-Q379)</f>
        <v>2564.74</v>
      </c>
      <c r="U379" s="6" t="n">
        <f aca="false">T379-S379</f>
        <v>810.16</v>
      </c>
      <c r="V379" s="7" t="n">
        <f aca="false">IF(T379=0,0,U379/T379)</f>
        <v>0.315883871269602</v>
      </c>
      <c r="W379" s="4" t="n">
        <f aca="false">C379-B379</f>
        <v>6</v>
      </c>
      <c r="X379" s="0" t="str">
        <f aca="false">TEXT(B379,"mmmm")</f>
        <v>May</v>
      </c>
      <c r="Y379" s="4" t="n">
        <f aca="false">YEAR(B379)</f>
        <v>2025</v>
      </c>
      <c r="Z379" s="0" t="str">
        <f aca="false">PROPER(TRIM(AU379))</f>
        <v>Paid</v>
      </c>
      <c r="AA379" s="0" t="str">
        <f aca="false">PROPER(TRIM(AV379))</f>
        <v>Completed</v>
      </c>
      <c r="AB379" s="0" t="str">
        <f aca="false">IF(TRIM(AN379)="","Yes","No")</f>
        <v>No</v>
      </c>
      <c r="AC379" s="0" t="str">
        <f aca="false">IF(TRIM(AS379)="","Yes","No")</f>
        <v>No</v>
      </c>
      <c r="AD379" s="0" t="str">
        <f aca="false">IF(AT379="","Yes","No")</f>
        <v>No</v>
      </c>
      <c r="AE379" s="0" t="str">
        <f aca="false">IF(W379&lt;0,"Yes","No")</f>
        <v>No</v>
      </c>
      <c r="AF379" s="0" t="str">
        <f aca="false">IF(P379="","No",IF(OR(P379&lt;0,P379&gt;0.3),"Yes","No"))</f>
        <v>No</v>
      </c>
      <c r="AG379" s="4" t="s">
        <v>50</v>
      </c>
      <c r="AH379" s="0" t="str">
        <f aca="false">IF(AND(AA379="Completed",Z379="Paid"),"Yes","No")</f>
        <v>Yes</v>
      </c>
      <c r="AI379" s="0" t="str">
        <f aca="false">IF(OR(AE379="Yes",AF379="Yes",AG379="Yes"),"Invalid",IF(OR(AB379="Yes",AC379="Yes",AD379="Yes"),"Warning","Clean"))</f>
        <v>Clean</v>
      </c>
      <c r="AJ379" s="4" t="s">
        <v>1273</v>
      </c>
      <c r="AK379" s="4" t="s">
        <v>1552</v>
      </c>
      <c r="AL379" s="4" t="s">
        <v>347</v>
      </c>
      <c r="AM379" s="4" t="s">
        <v>68</v>
      </c>
      <c r="AN379" s="4" t="s">
        <v>69</v>
      </c>
      <c r="AO379" s="4" t="s">
        <v>70</v>
      </c>
      <c r="AP379" s="4" t="s">
        <v>71</v>
      </c>
      <c r="AQ379" s="4" t="s">
        <v>58</v>
      </c>
      <c r="AR379" s="4" t="s">
        <v>1553</v>
      </c>
      <c r="AS379" s="4" t="s">
        <v>74</v>
      </c>
      <c r="AT379" s="0" t="n">
        <v>0</v>
      </c>
      <c r="AU379" s="4" t="s">
        <v>61</v>
      </c>
      <c r="AV379" s="4" t="s">
        <v>62</v>
      </c>
    </row>
    <row r="380" customFormat="false" ht="15" hidden="false" customHeight="false" outlineLevel="0" collapsed="false">
      <c r="A380" s="0" t="s">
        <v>1554</v>
      </c>
      <c r="B380" s="3" t="n">
        <f aca="false">IF(AJ380="","",IF(ISNUMBER(SEARCH("/",AJ380)),DATE(VALUE(RIGHT(AJ380,4)),VALUE(LEFT(AJ380,2)),VALUE(MID(AJ380,4,2))),IF(ISNUMBER(SEARCH("-",AJ380)),IF(LEN(LEFT(AJ380,FIND("-",AJ380)-1))=4,DATE(VALUE(LEFT(AJ380,4)),VALUE(MID(AJ380,6,2)),VALUE(RIGHT(AJ380,2))),DATE(VALUE(RIGHT(AJ380,4)),VALUE(MID(AJ380,4,2)),VALUE(LEFT(AJ380,2)))),DATE(VALUE(RIGHT(AJ380,4)),MATCH(MID(AJ380,4,3),{"Jan","Feb","Mar","Apr","May","Jun","Jul","Aug","Sep","Oct","Nov","Dec"},0),VALUE(LEFT(AJ380,2))))))</f>
        <v>45799</v>
      </c>
      <c r="C380" s="3" t="n">
        <f aca="false">IF(AK380="","",IF(ISNUMBER(SEARCH("/",AK380)),DATE(VALUE(RIGHT(AK380,4)),VALUE(LEFT(AK380,2)),VALUE(MID(AK380,4,2))),IF(ISNUMBER(SEARCH("-",AK380)),IF(LEN(LEFT(AK380,FIND("-",AK380)-1))=4,DATE(VALUE(LEFT(AK380,4)),VALUE(MID(AK380,6,2)),VALUE(RIGHT(AK380,2))),DATE(VALUE(RIGHT(AK380,4)),VALUE(MID(AK380,4,2)),VALUE(LEFT(AK380,2)))),DATE(VALUE(RIGHT(AK380,4)),MATCH(MID(AK380,4,3),{"Jan","Feb","Mar","Apr","May","Jun","Jul","Aug","Sep","Oct","Nov","Dec"},0),VALUE(LEFT(AK380,2))))))</f>
        <v>45799</v>
      </c>
      <c r="D380" s="4" t="s">
        <v>1555</v>
      </c>
      <c r="E380" s="0" t="str">
        <f aca="false">PROPER(TRIM(AL380))</f>
        <v>Mira Das</v>
      </c>
      <c r="F380" s="0" t="str">
        <f aca="false">PROPER(TRIM(AM380))</f>
        <v>Consumer</v>
      </c>
      <c r="G380" s="0" t="str">
        <f aca="false">IF(TRIM(AN380)="","Unknown",PROPER(TRIM(AN380)))</f>
        <v>West</v>
      </c>
      <c r="H380" s="0" t="str">
        <f aca="false">PROPER(TRIM(AO380))</f>
        <v>Goa</v>
      </c>
      <c r="I380" s="0" t="str">
        <f aca="false">PROPER(TRIM(AP380))</f>
        <v>Panaji</v>
      </c>
      <c r="J380" s="0" t="str">
        <f aca="false">PROPER(TRIM(AQ380))</f>
        <v>Technology</v>
      </c>
      <c r="K380" s="0" t="str">
        <f aca="false">PROPER(TRIM(AR380))</f>
        <v>Accessories</v>
      </c>
      <c r="M380" s="0" t="str">
        <f aca="false">IF(TRIM(AS380)="","Unknown",PROPER(TRIM(AS380)))</f>
        <v>Standard Class</v>
      </c>
      <c r="N380" s="0" t="n">
        <v>2</v>
      </c>
      <c r="O380" s="0" t="n">
        <v>3910.61</v>
      </c>
      <c r="P380" s="5" t="n">
        <f aca="false">IF(AT380="","",IF(ISNUMBER(AT380),AT380,VALUE(SUBSTITUTE(AT380,"%",""))/100))</f>
        <v>0</v>
      </c>
      <c r="Q380" s="5" t="n">
        <f aca="false">IF(P380="",IF(AND(N380&lt;&gt;"",O380&lt;&gt;"",R380&lt;&gt;"",S380&lt;&gt;""),0,"REVIEW"),IF(OR(P380&lt;0,P380&gt;0.3),0,P380))</f>
        <v>0</v>
      </c>
      <c r="R380" s="0" t="n">
        <v>7821.22</v>
      </c>
      <c r="S380" s="0" t="n">
        <v>4994.46</v>
      </c>
      <c r="T380" s="6" t="n">
        <f aca="false">N380*O380*(1-Q380)</f>
        <v>7821.22</v>
      </c>
      <c r="U380" s="6" t="n">
        <f aca="false">T380-S380</f>
        <v>2826.76</v>
      </c>
      <c r="V380" s="7" t="n">
        <f aca="false">IF(T380=0,0,U380/T380)</f>
        <v>0.361421875359599</v>
      </c>
      <c r="W380" s="4" t="n">
        <f aca="false">C380-B380</f>
        <v>0</v>
      </c>
      <c r="X380" s="0" t="str">
        <f aca="false">TEXT(B380,"mmmm")</f>
        <v>May</v>
      </c>
      <c r="Y380" s="4" t="n">
        <f aca="false">YEAR(B380)</f>
        <v>2025</v>
      </c>
      <c r="Z380" s="0" t="str">
        <f aca="false">PROPER(TRIM(AU380))</f>
        <v>Paid</v>
      </c>
      <c r="AA380" s="0" t="str">
        <f aca="false">PROPER(TRIM(AV380))</f>
        <v>Completed</v>
      </c>
      <c r="AB380" s="0" t="str">
        <f aca="false">IF(TRIM(AN380)="","Yes","No")</f>
        <v>No</v>
      </c>
      <c r="AC380" s="0" t="str">
        <f aca="false">IF(TRIM(AS380)="","Yes","No")</f>
        <v>No</v>
      </c>
      <c r="AD380" s="0" t="str">
        <f aca="false">IF(AT380="","Yes","No")</f>
        <v>No</v>
      </c>
      <c r="AE380" s="0" t="str">
        <f aca="false">IF(W380&lt;0,"Yes","No")</f>
        <v>No</v>
      </c>
      <c r="AF380" s="0" t="str">
        <f aca="false">IF(P380="","No",IF(OR(P380&lt;0,P380&gt;0.3),"Yes","No"))</f>
        <v>No</v>
      </c>
      <c r="AG380" s="4" t="s">
        <v>50</v>
      </c>
      <c r="AH380" s="0" t="str">
        <f aca="false">IF(AND(AA380="Completed",Z380="Paid"),"Yes","No")</f>
        <v>Yes</v>
      </c>
      <c r="AI380" s="0" t="str">
        <f aca="false">IF(OR(AE380="Yes",AF380="Yes",AG380="Yes"),"Invalid",IF(OR(AB380="Yes",AC380="Yes",AD380="Yes"),"Warning","Clean"))</f>
        <v>Clean</v>
      </c>
      <c r="AJ380" s="4" t="s">
        <v>1556</v>
      </c>
      <c r="AK380" s="4" t="s">
        <v>1556</v>
      </c>
      <c r="AL380" s="4" t="s">
        <v>67</v>
      </c>
      <c r="AM380" s="4" t="s">
        <v>54</v>
      </c>
      <c r="AN380" s="4" t="s">
        <v>97</v>
      </c>
      <c r="AO380" s="4" t="s">
        <v>250</v>
      </c>
      <c r="AP380" s="4" t="s">
        <v>251</v>
      </c>
      <c r="AQ380" s="4" t="s">
        <v>109</v>
      </c>
      <c r="AR380" s="4" t="s">
        <v>110</v>
      </c>
      <c r="AS380" s="4" t="s">
        <v>91</v>
      </c>
      <c r="AT380" s="0" t="n">
        <v>0</v>
      </c>
      <c r="AU380" s="4" t="s">
        <v>61</v>
      </c>
      <c r="AV380" s="4" t="s">
        <v>62</v>
      </c>
    </row>
    <row r="381" customFormat="false" ht="15" hidden="false" customHeight="false" outlineLevel="0" collapsed="false">
      <c r="A381" s="0" t="s">
        <v>1557</v>
      </c>
      <c r="B381" s="3" t="n">
        <f aca="false">IF(AJ381="","",IF(ISNUMBER(SEARCH("/",AJ381)),DATE(VALUE(RIGHT(AJ381,4)),VALUE(LEFT(AJ381,2)),VALUE(MID(AJ381,4,2))),IF(ISNUMBER(SEARCH("-",AJ381)),IF(LEN(LEFT(AJ381,FIND("-",AJ381)-1))=4,DATE(VALUE(LEFT(AJ381,4)),VALUE(MID(AJ381,6,2)),VALUE(RIGHT(AJ381,2))),DATE(VALUE(RIGHT(AJ381,4)),VALUE(MID(AJ381,4,2)),VALUE(LEFT(AJ381,2)))),DATE(VALUE(RIGHT(AJ381,4)),MATCH(MID(AJ381,4,3),{"Jan","Feb","Mar","Apr","May","Jun","Jul","Aug","Sep","Oct","Nov","Dec"},0),VALUE(LEFT(AJ381,2))))))</f>
        <v>45554</v>
      </c>
      <c r="C381" s="3" t="n">
        <f aca="false">IF(AK381="","",IF(ISNUMBER(SEARCH("/",AK381)),DATE(VALUE(RIGHT(AK381,4)),VALUE(LEFT(AK381,2)),VALUE(MID(AK381,4,2))),IF(ISNUMBER(SEARCH("-",AK381)),IF(LEN(LEFT(AK381,FIND("-",AK381)-1))=4,DATE(VALUE(LEFT(AK381,4)),VALUE(MID(AK381,6,2)),VALUE(RIGHT(AK381,2))),DATE(VALUE(RIGHT(AK381,4)),VALUE(MID(AK381,4,2)),VALUE(LEFT(AK381,2)))),DATE(VALUE(RIGHT(AK381,4)),MATCH(MID(AK381,4,3),{"Jan","Feb","Mar","Apr","May","Jun","Jul","Aug","Sep","Oct","Nov","Dec"},0),VALUE(LEFT(AK381,2))))))</f>
        <v>45558</v>
      </c>
      <c r="D381" s="4" t="s">
        <v>1558</v>
      </c>
      <c r="E381" s="0" t="str">
        <f aca="false">PROPER(TRIM(AL381))</f>
        <v>Mira Das</v>
      </c>
      <c r="F381" s="0" t="str">
        <f aca="false">PROPER(TRIM(AM381))</f>
        <v>Small Business</v>
      </c>
      <c r="G381" s="0" t="str">
        <f aca="false">IF(TRIM(AN381)="","Unknown",PROPER(TRIM(AN381)))</f>
        <v>South</v>
      </c>
      <c r="H381" s="0" t="str">
        <f aca="false">PROPER(TRIM(AO381))</f>
        <v>Kerala</v>
      </c>
      <c r="I381" s="0" t="str">
        <f aca="false">PROPER(TRIM(AP381))</f>
        <v>Kochi</v>
      </c>
      <c r="J381" s="0" t="str">
        <f aca="false">PROPER(TRIM(AQ381))</f>
        <v>Office Supplies</v>
      </c>
      <c r="K381" s="0" t="str">
        <f aca="false">PROPER(TRIM(AR381))</f>
        <v>Paper</v>
      </c>
      <c r="M381" s="0" t="str">
        <f aca="false">IF(TRIM(AS381)="","Unknown",PROPER(TRIM(AS381)))</f>
        <v>Standard Class</v>
      </c>
      <c r="N381" s="0" t="n">
        <v>7</v>
      </c>
      <c r="O381" s="0" t="n">
        <v>1136.68</v>
      </c>
      <c r="P381" s="5" t="str">
        <f aca="false">IF(AT381="","",IF(ISNUMBER(AT381),AT381,VALUE(SUBSTITUTE(AT381,"%",""))/100))</f>
        <v/>
      </c>
      <c r="Q381" s="5" t="n">
        <f aca="false">IF(P381="",IF(AND(N381&lt;&gt;"",O381&lt;&gt;"",R381&lt;&gt;"",S381&lt;&gt;""),0,"REVIEW"),IF(OR(P381&lt;0,P381&gt;0.3),0,P381))</f>
        <v>0</v>
      </c>
      <c r="R381" s="0" t="n">
        <v>7956.76</v>
      </c>
      <c r="S381" s="0" t="n">
        <v>4799.54</v>
      </c>
      <c r="T381" s="6" t="n">
        <f aca="false">N381*O381*(1-Q381)</f>
        <v>7956.76</v>
      </c>
      <c r="U381" s="6" t="n">
        <f aca="false">T381-S381</f>
        <v>3157.22</v>
      </c>
      <c r="V381" s="7" t="n">
        <f aca="false">IF(T381=0,0,U381/T381)</f>
        <v>0.396797188805494</v>
      </c>
      <c r="W381" s="4" t="n">
        <f aca="false">C381-B381</f>
        <v>4</v>
      </c>
      <c r="X381" s="0" t="str">
        <f aca="false">TEXT(B381,"mmmm")</f>
        <v>September</v>
      </c>
      <c r="Y381" s="4" t="n">
        <f aca="false">YEAR(B381)</f>
        <v>2024</v>
      </c>
      <c r="Z381" s="0" t="str">
        <f aca="false">PROPER(TRIM(AU381))</f>
        <v>Paid</v>
      </c>
      <c r="AA381" s="0" t="str">
        <f aca="false">PROPER(TRIM(AV381))</f>
        <v>Completed</v>
      </c>
      <c r="AB381" s="0" t="str">
        <f aca="false">IF(TRIM(AN381)="","Yes","No")</f>
        <v>No</v>
      </c>
      <c r="AC381" s="0" t="str">
        <f aca="false">IF(TRIM(AS381)="","Yes","No")</f>
        <v>No</v>
      </c>
      <c r="AD381" s="0" t="str">
        <f aca="false">IF(AT381="","Yes","No")</f>
        <v>Yes</v>
      </c>
      <c r="AE381" s="0" t="str">
        <f aca="false">IF(W381&lt;0,"Yes","No")</f>
        <v>No</v>
      </c>
      <c r="AF381" s="0" t="str">
        <f aca="false">IF(P381="","No",IF(OR(P381&lt;0,P381&gt;0.3),"Yes","No"))</f>
        <v>No</v>
      </c>
      <c r="AG381" s="4" t="s">
        <v>50</v>
      </c>
      <c r="AH381" s="0" t="str">
        <f aca="false">IF(AND(AA381="Completed",Z381="Paid"),"Yes","No")</f>
        <v>Yes</v>
      </c>
      <c r="AI381" s="0" t="str">
        <f aca="false">IF(OR(AE381="Yes",AF381="Yes",AG381="Yes"),"Invalid",IF(OR(AB381="Yes",AC381="Yes",AD381="Yes"),"Warning","Clean"))</f>
        <v>Warning</v>
      </c>
      <c r="AJ381" s="4" t="s">
        <v>1559</v>
      </c>
      <c r="AK381" s="4" t="s">
        <v>1560</v>
      </c>
      <c r="AL381" s="4" t="s">
        <v>67</v>
      </c>
      <c r="AM381" s="4" t="s">
        <v>68</v>
      </c>
      <c r="AN381" s="4" t="s">
        <v>87</v>
      </c>
      <c r="AO381" s="4" t="s">
        <v>244</v>
      </c>
      <c r="AP381" s="4" t="s">
        <v>245</v>
      </c>
      <c r="AQ381" s="4" t="s">
        <v>58</v>
      </c>
      <c r="AR381" s="4" t="s">
        <v>59</v>
      </c>
      <c r="AS381" s="4" t="s">
        <v>91</v>
      </c>
      <c r="AU381" s="4" t="s">
        <v>61</v>
      </c>
      <c r="AV381" s="4" t="s">
        <v>62</v>
      </c>
    </row>
    <row r="382" customFormat="false" ht="15" hidden="false" customHeight="false" outlineLevel="0" collapsed="false">
      <c r="A382" s="0" t="s">
        <v>1561</v>
      </c>
      <c r="B382" s="3" t="n">
        <f aca="false">IF(AJ382="","",IF(ISNUMBER(SEARCH("/",AJ382)),DATE(VALUE(RIGHT(AJ382,4)),VALUE(LEFT(AJ382,2)),VALUE(MID(AJ382,4,2))),IF(ISNUMBER(SEARCH("-",AJ382)),IF(LEN(LEFT(AJ382,FIND("-",AJ382)-1))=4,DATE(VALUE(LEFT(AJ382,4)),VALUE(MID(AJ382,6,2)),VALUE(RIGHT(AJ382,2))),DATE(VALUE(RIGHT(AJ382,4)),VALUE(MID(AJ382,4,2)),VALUE(LEFT(AJ382,2)))),DATE(VALUE(RIGHT(AJ382,4)),MATCH(MID(AJ382,4,3),{"Jan","Feb","Mar","Apr","May","Jun","Jul","Aug","Sep","Oct","Nov","Dec"},0),VALUE(LEFT(AJ382,2))))))</f>
        <v>45389</v>
      </c>
      <c r="C382" s="3" t="n">
        <f aca="false">IF(AK382="","",IF(ISNUMBER(SEARCH("/",AK382)),DATE(VALUE(RIGHT(AK382,4)),VALUE(LEFT(AK382,2)),VALUE(MID(AK382,4,2))),IF(ISNUMBER(SEARCH("-",AK382)),IF(LEN(LEFT(AK382,FIND("-",AK382)-1))=4,DATE(VALUE(LEFT(AK382,4)),VALUE(MID(AK382,6,2)),VALUE(RIGHT(AK382,2))),DATE(VALUE(RIGHT(AK382,4)),VALUE(MID(AK382,4,2)),VALUE(LEFT(AK382,2)))),DATE(VALUE(RIGHT(AK382,4)),MATCH(MID(AK382,4,3),{"Jan","Feb","Mar","Apr","May","Jun","Jul","Aug","Sep","Oct","Nov","Dec"},0),VALUE(LEFT(AK382,2))))))</f>
        <v>45396</v>
      </c>
      <c r="D382" s="4" t="s">
        <v>1562</v>
      </c>
      <c r="E382" s="0" t="str">
        <f aca="false">PROPER(TRIM(AL382))</f>
        <v>Vikram Iyer</v>
      </c>
      <c r="F382" s="0" t="str">
        <f aca="false">PROPER(TRIM(AM382))</f>
        <v>Consumer</v>
      </c>
      <c r="G382" s="0" t="str">
        <f aca="false">IF(TRIM(AN382)="","Unknown",PROPER(TRIM(AN382)))</f>
        <v>West</v>
      </c>
      <c r="H382" s="0" t="str">
        <f aca="false">PROPER(TRIM(AO382))</f>
        <v>Maharashtra</v>
      </c>
      <c r="I382" s="0" t="str">
        <f aca="false">PROPER(TRIM(AP382))</f>
        <v>Mumbai</v>
      </c>
      <c r="J382" s="0" t="str">
        <f aca="false">PROPER(TRIM(AQ382))</f>
        <v>Furniture</v>
      </c>
      <c r="K382" s="0" t="str">
        <f aca="false">PROPER(TRIM(AR382))</f>
        <v>Bookcases</v>
      </c>
      <c r="M382" s="0" t="str">
        <f aca="false">IF(TRIM(AS382)="","Unknown",PROPER(TRIM(AS382)))</f>
        <v>Same Day</v>
      </c>
      <c r="N382" s="0" t="n">
        <v>5</v>
      </c>
      <c r="O382" s="0" t="n">
        <v>2235.85</v>
      </c>
      <c r="P382" s="5" t="n">
        <f aca="false">IF(AT382="","",IF(ISNUMBER(AT382),AT382,VALUE(SUBSTITUTE(AT382,"%",""))/100))</f>
        <v>0.25</v>
      </c>
      <c r="Q382" s="5" t="n">
        <f aca="false">IF(P382="",IF(AND(N382&lt;&gt;"",O382&lt;&gt;"",R382&lt;&gt;"",S382&lt;&gt;""),0,"REVIEW"),IF(OR(P382&lt;0,P382&gt;0.3),0,P382))</f>
        <v>0.25</v>
      </c>
      <c r="R382" s="0" t="n">
        <v>8384.44</v>
      </c>
      <c r="S382" s="0" t="n">
        <v>4765.96</v>
      </c>
      <c r="T382" s="6" t="n">
        <f aca="false">N382*O382*(1-Q382)</f>
        <v>8384.4375</v>
      </c>
      <c r="U382" s="6" t="n">
        <f aca="false">T382-S382</f>
        <v>3618.4775</v>
      </c>
      <c r="V382" s="7" t="n">
        <f aca="false">IF(T382=0,0,U382/T382)</f>
        <v>0.431570692726853</v>
      </c>
      <c r="W382" s="4" t="n">
        <f aca="false">C382-B382</f>
        <v>7</v>
      </c>
      <c r="X382" s="0" t="str">
        <f aca="false">TEXT(B382,"mmmm")</f>
        <v>April</v>
      </c>
      <c r="Y382" s="4" t="n">
        <f aca="false">YEAR(B382)</f>
        <v>2024</v>
      </c>
      <c r="Z382" s="0" t="str">
        <f aca="false">PROPER(TRIM(AU382))</f>
        <v>Paid</v>
      </c>
      <c r="AA382" s="0" t="str">
        <f aca="false">PROPER(TRIM(AV382))</f>
        <v>Returned</v>
      </c>
      <c r="AB382" s="0" t="str">
        <f aca="false">IF(TRIM(AN382)="","Yes","No")</f>
        <v>No</v>
      </c>
      <c r="AC382" s="0" t="str">
        <f aca="false">IF(TRIM(AS382)="","Yes","No")</f>
        <v>No</v>
      </c>
      <c r="AD382" s="0" t="str">
        <f aca="false">IF(AT382="","Yes","No")</f>
        <v>No</v>
      </c>
      <c r="AE382" s="0" t="str">
        <f aca="false">IF(W382&lt;0,"Yes","No")</f>
        <v>No</v>
      </c>
      <c r="AF382" s="0" t="str">
        <f aca="false">IF(P382="","No",IF(OR(P382&lt;0,P382&gt;0.3),"Yes","No"))</f>
        <v>No</v>
      </c>
      <c r="AG382" s="4" t="s">
        <v>50</v>
      </c>
      <c r="AH382" s="0" t="str">
        <f aca="false">IF(AND(AA382="Completed",Z382="Paid"),"Yes","No")</f>
        <v>No</v>
      </c>
      <c r="AI382" s="0" t="str">
        <f aca="false">IF(OR(AE382="Yes",AF382="Yes",AG382="Yes"),"Invalid",IF(OR(AB382="Yes",AC382="Yes",AD382="Yes"),"Warning","Clean"))</f>
        <v>Clean</v>
      </c>
      <c r="AJ382" s="4" t="s">
        <v>1563</v>
      </c>
      <c r="AK382" s="4" t="s">
        <v>1193</v>
      </c>
      <c r="AL382" s="4" t="s">
        <v>106</v>
      </c>
      <c r="AM382" s="4" t="s">
        <v>54</v>
      </c>
      <c r="AN382" s="4" t="s">
        <v>97</v>
      </c>
      <c r="AO382" s="4" t="s">
        <v>98</v>
      </c>
      <c r="AP382" s="4" t="s">
        <v>99</v>
      </c>
      <c r="AQ382" s="4" t="s">
        <v>72</v>
      </c>
      <c r="AR382" s="4" t="s">
        <v>211</v>
      </c>
      <c r="AS382" s="4" t="s">
        <v>74</v>
      </c>
      <c r="AT382" s="0" t="n">
        <v>0.25</v>
      </c>
      <c r="AU382" s="4" t="s">
        <v>61</v>
      </c>
      <c r="AV382" s="4" t="s">
        <v>142</v>
      </c>
    </row>
    <row r="383" customFormat="false" ht="15" hidden="false" customHeight="false" outlineLevel="0" collapsed="false">
      <c r="A383" s="0" t="s">
        <v>1564</v>
      </c>
      <c r="B383" s="3" t="n">
        <f aca="false">IF(AJ383="","",IF(ISNUMBER(SEARCH("/",AJ383)),DATE(VALUE(RIGHT(AJ383,4)),VALUE(LEFT(AJ383,2)),VALUE(MID(AJ383,4,2))),IF(ISNUMBER(SEARCH("-",AJ383)),IF(LEN(LEFT(AJ383,FIND("-",AJ383)-1))=4,DATE(VALUE(LEFT(AJ383,4)),VALUE(MID(AJ383,6,2)),VALUE(RIGHT(AJ383,2))),DATE(VALUE(RIGHT(AJ383,4)),VALUE(MID(AJ383,4,2)),VALUE(LEFT(AJ383,2)))),DATE(VALUE(RIGHT(AJ383,4)),MATCH(MID(AJ383,4,3),{"Jan","Feb","Mar","Apr","May","Jun","Jul","Aug","Sep","Oct","Nov","Dec"},0),VALUE(LEFT(AJ383,2))))))</f>
        <v>45919</v>
      </c>
      <c r="C383" s="3" t="n">
        <f aca="false">IF(AK383="","",IF(ISNUMBER(SEARCH("/",AK383)),DATE(VALUE(RIGHT(AK383,4)),VALUE(LEFT(AK383,2)),VALUE(MID(AK383,4,2))),IF(ISNUMBER(SEARCH("-",AK383)),IF(LEN(LEFT(AK383,FIND("-",AK383)-1))=4,DATE(VALUE(LEFT(AK383,4)),VALUE(MID(AK383,6,2)),VALUE(RIGHT(AK383,2))),DATE(VALUE(RIGHT(AK383,4)),VALUE(MID(AK383,4,2)),VALUE(LEFT(AK383,2)))),DATE(VALUE(RIGHT(AK383,4)),MATCH(MID(AK383,4,3),{"Jan","Feb","Mar","Apr","May","Jun","Jul","Aug","Sep","Oct","Nov","Dec"},0),VALUE(LEFT(AK383,2))))))</f>
        <v>45923</v>
      </c>
      <c r="D383" s="4" t="s">
        <v>1565</v>
      </c>
      <c r="E383" s="0" t="str">
        <f aca="false">PROPER(TRIM(AL383))</f>
        <v>Arjun Bose</v>
      </c>
      <c r="F383" s="0" t="str">
        <f aca="false">PROPER(TRIM(AM383))</f>
        <v>Home Office</v>
      </c>
      <c r="G383" s="0" t="str">
        <f aca="false">IF(TRIM(AN383)="","Unknown",PROPER(TRIM(AN383)))</f>
        <v>North</v>
      </c>
      <c r="H383" s="0" t="str">
        <f aca="false">PROPER(TRIM(AO383))</f>
        <v>Delhi</v>
      </c>
      <c r="I383" s="0" t="str">
        <f aca="false">PROPER(TRIM(AP383))</f>
        <v>New Delhi</v>
      </c>
      <c r="J383" s="0" t="str">
        <f aca="false">PROPER(TRIM(AQ383))</f>
        <v>Office Supplies</v>
      </c>
      <c r="K383" s="0" t="str">
        <f aca="false">PROPER(TRIM(AR383))</f>
        <v>Binders</v>
      </c>
      <c r="M383" s="0" t="str">
        <f aca="false">IF(TRIM(AS383)="","Unknown",PROPER(TRIM(AS383)))</f>
        <v>Standard Class</v>
      </c>
      <c r="N383" s="0" t="n">
        <v>4</v>
      </c>
      <c r="O383" s="0" t="n">
        <v>4387.15</v>
      </c>
      <c r="P383" s="5" t="n">
        <f aca="false">IF(AT383="","",IF(ISNUMBER(AT383),AT383,VALUE(SUBSTITUTE(AT383,"%",""))/100))</f>
        <v>0.05</v>
      </c>
      <c r="Q383" s="5" t="n">
        <f aca="false">IF(P383="",IF(AND(N383&lt;&gt;"",O383&lt;&gt;"",R383&lt;&gt;"",S383&lt;&gt;""),0,"REVIEW"),IF(OR(P383&lt;0,P383&gt;0.3),0,P383))</f>
        <v>0.05</v>
      </c>
      <c r="R383" s="0" t="n">
        <v>16671.17</v>
      </c>
      <c r="S383" s="0" t="n">
        <v>10833.19</v>
      </c>
      <c r="T383" s="6" t="n">
        <f aca="false">N383*O383*(1-Q383)</f>
        <v>16671.17</v>
      </c>
      <c r="U383" s="6" t="n">
        <f aca="false">T383-S383</f>
        <v>5837.98</v>
      </c>
      <c r="V383" s="7" t="n">
        <f aca="false">IF(T383=0,0,U383/T383)</f>
        <v>0.350184180234501</v>
      </c>
      <c r="W383" s="4" t="n">
        <f aca="false">C383-B383</f>
        <v>4</v>
      </c>
      <c r="X383" s="0" t="str">
        <f aca="false">TEXT(B383,"mmmm")</f>
        <v>September</v>
      </c>
      <c r="Y383" s="4" t="n">
        <f aca="false">YEAR(B383)</f>
        <v>2025</v>
      </c>
      <c r="Z383" s="0" t="str">
        <f aca="false">PROPER(TRIM(AU383))</f>
        <v>Failed</v>
      </c>
      <c r="AA383" s="0" t="str">
        <f aca="false">PROPER(TRIM(AV383))</f>
        <v>Cancelled</v>
      </c>
      <c r="AB383" s="0" t="str">
        <f aca="false">IF(TRIM(AN383)="","Yes","No")</f>
        <v>No</v>
      </c>
      <c r="AC383" s="0" t="str">
        <f aca="false">IF(TRIM(AS383)="","Yes","No")</f>
        <v>No</v>
      </c>
      <c r="AD383" s="0" t="str">
        <f aca="false">IF(AT383="","Yes","No")</f>
        <v>No</v>
      </c>
      <c r="AE383" s="0" t="str">
        <f aca="false">IF(W383&lt;0,"Yes","No")</f>
        <v>No</v>
      </c>
      <c r="AF383" s="0" t="str">
        <f aca="false">IF(P383="","No",IF(OR(P383&lt;0,P383&gt;0.3),"Yes","No"))</f>
        <v>No</v>
      </c>
      <c r="AG383" s="4" t="s">
        <v>50</v>
      </c>
      <c r="AH383" s="0" t="str">
        <f aca="false">IF(AND(AA383="Completed",Z383="Paid"),"Yes","No")</f>
        <v>No</v>
      </c>
      <c r="AI383" s="0" t="str">
        <f aca="false">IF(OR(AE383="Yes",AF383="Yes",AG383="Yes"),"Invalid",IF(OR(AB383="Yes",AC383="Yes",AD383="Yes"),"Warning","Clean"))</f>
        <v>Clean</v>
      </c>
      <c r="AJ383" s="4" t="s">
        <v>1566</v>
      </c>
      <c r="AK383" s="4" t="s">
        <v>1567</v>
      </c>
      <c r="AL383" s="4" t="s">
        <v>86</v>
      </c>
      <c r="AM383" s="4" t="s">
        <v>1568</v>
      </c>
      <c r="AN383" s="4" t="s">
        <v>168</v>
      </c>
      <c r="AO383" s="4" t="s">
        <v>461</v>
      </c>
      <c r="AP383" s="4" t="s">
        <v>462</v>
      </c>
      <c r="AQ383" s="4" t="s">
        <v>58</v>
      </c>
      <c r="AR383" s="4" t="s">
        <v>206</v>
      </c>
      <c r="AS383" s="4" t="s">
        <v>91</v>
      </c>
      <c r="AT383" s="0" t="n">
        <v>0.05</v>
      </c>
      <c r="AU383" s="4" t="s">
        <v>207</v>
      </c>
      <c r="AV383" s="4" t="s">
        <v>101</v>
      </c>
    </row>
    <row r="384" customFormat="false" ht="15" hidden="false" customHeight="false" outlineLevel="0" collapsed="false">
      <c r="A384" s="0" t="s">
        <v>1569</v>
      </c>
      <c r="B384" s="3" t="n">
        <f aca="false">IF(AJ384="","",IF(ISNUMBER(SEARCH("/",AJ384)),DATE(VALUE(RIGHT(AJ384,4)),VALUE(LEFT(AJ384,2)),VALUE(MID(AJ384,4,2))),IF(ISNUMBER(SEARCH("-",AJ384)),IF(LEN(LEFT(AJ384,FIND("-",AJ384)-1))=4,DATE(VALUE(LEFT(AJ384,4)),VALUE(MID(AJ384,6,2)),VALUE(RIGHT(AJ384,2))),DATE(VALUE(RIGHT(AJ384,4)),VALUE(MID(AJ384,4,2)),VALUE(LEFT(AJ384,2)))),DATE(VALUE(RIGHT(AJ384,4)),MATCH(MID(AJ384,4,3),{"Jan","Feb","Mar","Apr","May","Jun","Jul","Aug","Sep","Oct","Nov","Dec"},0),VALUE(LEFT(AJ384,2))))))</f>
        <v>45720</v>
      </c>
      <c r="C384" s="3" t="n">
        <f aca="false">IF(AK384="","",IF(ISNUMBER(SEARCH("/",AK384)),DATE(VALUE(RIGHT(AK384,4)),VALUE(LEFT(AK384,2)),VALUE(MID(AK384,4,2))),IF(ISNUMBER(SEARCH("-",AK384)),IF(LEN(LEFT(AK384,FIND("-",AK384)-1))=4,DATE(VALUE(LEFT(AK384,4)),VALUE(MID(AK384,6,2)),VALUE(RIGHT(AK384,2))),DATE(VALUE(RIGHT(AK384,4)),VALUE(MID(AK384,4,2)),VALUE(LEFT(AK384,2)))),DATE(VALUE(RIGHT(AK384,4)),MATCH(MID(AK384,4,3),{"Jan","Feb","Mar","Apr","May","Jun","Jul","Aug","Sep","Oct","Nov","Dec"},0),VALUE(LEFT(AK384,2))))))</f>
        <v>45724</v>
      </c>
      <c r="D384" s="4" t="s">
        <v>209</v>
      </c>
      <c r="E384" s="0" t="str">
        <f aca="false">PROPER(TRIM(AL384))</f>
        <v>Arjun Bose</v>
      </c>
      <c r="F384" s="0" t="str">
        <f aca="false">PROPER(TRIM(AM384))</f>
        <v>Small Business</v>
      </c>
      <c r="G384" s="0" t="str">
        <f aca="false">IF(TRIM(AN384)="","Unknown",PROPER(TRIM(AN384)))</f>
        <v>East</v>
      </c>
      <c r="H384" s="0" t="str">
        <f aca="false">PROPER(TRIM(AO384))</f>
        <v>Bihar</v>
      </c>
      <c r="I384" s="0" t="str">
        <f aca="false">PROPER(TRIM(AP384))</f>
        <v>Patna</v>
      </c>
      <c r="J384" s="0" t="str">
        <f aca="false">PROPER(TRIM(AQ384))</f>
        <v>Technology</v>
      </c>
      <c r="K384" s="0" t="str">
        <f aca="false">PROPER(TRIM(AR384))</f>
        <v>Phones</v>
      </c>
      <c r="M384" s="0" t="str">
        <f aca="false">IF(TRIM(AS384)="","Unknown",PROPER(TRIM(AS384)))</f>
        <v>First Class</v>
      </c>
      <c r="N384" s="0" t="n">
        <v>3</v>
      </c>
      <c r="O384" s="0" t="n">
        <v>4361.85</v>
      </c>
      <c r="P384" s="5" t="n">
        <f aca="false">IF(AT384="","",IF(ISNUMBER(AT384),AT384,VALUE(SUBSTITUTE(AT384,"%",""))/100))</f>
        <v>0.2</v>
      </c>
      <c r="Q384" s="5" t="n">
        <f aca="false">IF(P384="",IF(AND(N384&lt;&gt;"",O384&lt;&gt;"",R384&lt;&gt;"",S384&lt;&gt;""),0,"REVIEW"),IF(OR(P384&lt;0,P384&gt;0.3),0,P384))</f>
        <v>0.2</v>
      </c>
      <c r="R384" s="0" t="n">
        <v>10468.44</v>
      </c>
      <c r="S384" s="0" t="n">
        <v>8399.87</v>
      </c>
      <c r="T384" s="6" t="n">
        <f aca="false">N384*O384*(1-Q384)</f>
        <v>10468.44</v>
      </c>
      <c r="U384" s="6" t="n">
        <f aca="false">T384-S384</f>
        <v>2068.57</v>
      </c>
      <c r="V384" s="7" t="n">
        <f aca="false">IF(T384=0,0,U384/T384)</f>
        <v>0.197600597605756</v>
      </c>
      <c r="W384" s="4" t="n">
        <f aca="false">C384-B384</f>
        <v>4</v>
      </c>
      <c r="X384" s="0" t="str">
        <f aca="false">TEXT(B384,"mmmm")</f>
        <v>March</v>
      </c>
      <c r="Y384" s="4" t="n">
        <f aca="false">YEAR(B384)</f>
        <v>2025</v>
      </c>
      <c r="Z384" s="0" t="str">
        <f aca="false">PROPER(TRIM(AU384))</f>
        <v>Paid</v>
      </c>
      <c r="AA384" s="0" t="str">
        <f aca="false">PROPER(TRIM(AV384))</f>
        <v>Completed</v>
      </c>
      <c r="AB384" s="0" t="str">
        <f aca="false">IF(TRIM(AN384)="","Yes","No")</f>
        <v>No</v>
      </c>
      <c r="AC384" s="0" t="str">
        <f aca="false">IF(TRIM(AS384)="","Yes","No")</f>
        <v>No</v>
      </c>
      <c r="AD384" s="0" t="str">
        <f aca="false">IF(AT384="","Yes","No")</f>
        <v>No</v>
      </c>
      <c r="AE384" s="0" t="str">
        <f aca="false">IF(W384&lt;0,"Yes","No")</f>
        <v>No</v>
      </c>
      <c r="AF384" s="0" t="str">
        <f aca="false">IF(P384="","No",IF(OR(P384&lt;0,P384&gt;0.3),"Yes","No"))</f>
        <v>No</v>
      </c>
      <c r="AG384" s="4" t="s">
        <v>50</v>
      </c>
      <c r="AH384" s="0" t="str">
        <f aca="false">IF(AND(AA384="Completed",Z384="Paid"),"Yes","No")</f>
        <v>Yes</v>
      </c>
      <c r="AI384" s="0" t="str">
        <f aca="false">IF(OR(AE384="Yes",AF384="Yes",AG384="Yes"),"Invalid",IF(OR(AB384="Yes",AC384="Yes",AD384="Yes"),"Warning","Clean"))</f>
        <v>Clean</v>
      </c>
      <c r="AJ384" s="4" t="s">
        <v>1570</v>
      </c>
      <c r="AK384" s="4" t="s">
        <v>502</v>
      </c>
      <c r="AL384" s="4" t="s">
        <v>86</v>
      </c>
      <c r="AM384" s="4" t="s">
        <v>68</v>
      </c>
      <c r="AN384" s="4" t="s">
        <v>69</v>
      </c>
      <c r="AO384" s="4" t="s">
        <v>196</v>
      </c>
      <c r="AP384" s="4" t="s">
        <v>197</v>
      </c>
      <c r="AQ384" s="4" t="s">
        <v>1571</v>
      </c>
      <c r="AR384" s="4" t="s">
        <v>227</v>
      </c>
      <c r="AS384" s="4" t="s">
        <v>81</v>
      </c>
      <c r="AT384" s="0" t="n">
        <v>0.2</v>
      </c>
      <c r="AU384" s="4" t="s">
        <v>61</v>
      </c>
      <c r="AV384" s="4" t="s">
        <v>62</v>
      </c>
    </row>
    <row r="385" customFormat="false" ht="15" hidden="false" customHeight="false" outlineLevel="0" collapsed="false">
      <c r="A385" s="0" t="s">
        <v>1572</v>
      </c>
      <c r="B385" s="3" t="n">
        <f aca="false">IF(AJ385="","",IF(ISNUMBER(SEARCH("/",AJ385)),DATE(VALUE(RIGHT(AJ385,4)),VALUE(LEFT(AJ385,2)),VALUE(MID(AJ385,4,2))),IF(ISNUMBER(SEARCH("-",AJ385)),IF(LEN(LEFT(AJ385,FIND("-",AJ385)-1))=4,DATE(VALUE(LEFT(AJ385,4)),VALUE(MID(AJ385,6,2)),VALUE(RIGHT(AJ385,2))),DATE(VALUE(RIGHT(AJ385,4)),VALUE(MID(AJ385,4,2)),VALUE(LEFT(AJ385,2)))),DATE(VALUE(RIGHT(AJ385,4)),MATCH(MID(AJ385,4,3),{"Jan","Feb","Mar","Apr","May","Jun","Jul","Aug","Sep","Oct","Nov","Dec"},0),VALUE(LEFT(AJ385,2))))))</f>
        <v>45836</v>
      </c>
      <c r="C385" s="3" t="n">
        <f aca="false">IF(AK385="","",IF(ISNUMBER(SEARCH("/",AK385)),DATE(VALUE(RIGHT(AK385,4)),VALUE(LEFT(AK385,2)),VALUE(MID(AK385,4,2))),IF(ISNUMBER(SEARCH("-",AK385)),IF(LEN(LEFT(AK385,FIND("-",AK385)-1))=4,DATE(VALUE(LEFT(AK385,4)),VALUE(MID(AK385,6,2)),VALUE(RIGHT(AK385,2))),DATE(VALUE(RIGHT(AK385,4)),VALUE(MID(AK385,4,2)),VALUE(LEFT(AK385,2)))),DATE(VALUE(RIGHT(AK385,4)),MATCH(MID(AK385,4,3),{"Jan","Feb","Mar","Apr","May","Jun","Jul","Aug","Sep","Oct","Nov","Dec"},0),VALUE(LEFT(AK385,2))))))</f>
        <v>45843</v>
      </c>
      <c r="D385" s="4" t="s">
        <v>1573</v>
      </c>
      <c r="E385" s="0" t="str">
        <f aca="false">PROPER(TRIM(AL385))</f>
        <v>Vikram Iyer</v>
      </c>
      <c r="F385" s="0" t="str">
        <f aca="false">PROPER(TRIM(AM385))</f>
        <v>Corporate</v>
      </c>
      <c r="G385" s="0" t="str">
        <f aca="false">IF(TRIM(AN385)="","Unknown",PROPER(TRIM(AN385)))</f>
        <v>East</v>
      </c>
      <c r="H385" s="0" t="str">
        <f aca="false">PROPER(TRIM(AO385))</f>
        <v>West Bengal</v>
      </c>
      <c r="I385" s="0" t="str">
        <f aca="false">PROPER(TRIM(AP385))</f>
        <v>Kolkata</v>
      </c>
      <c r="J385" s="0" t="str">
        <f aca="false">PROPER(TRIM(AQ385))</f>
        <v>Office Supplies</v>
      </c>
      <c r="K385" s="0" t="str">
        <f aca="false">PROPER(TRIM(AR385))</f>
        <v>Art</v>
      </c>
      <c r="M385" s="0" t="str">
        <f aca="false">IF(TRIM(AS385)="","Unknown",PROPER(TRIM(AS385)))</f>
        <v>First Class</v>
      </c>
      <c r="N385" s="0" t="n">
        <v>2</v>
      </c>
      <c r="O385" s="0" t="n">
        <v>2242.75</v>
      </c>
      <c r="P385" s="5" t="n">
        <f aca="false">IF(AT385="","",IF(ISNUMBER(AT385),AT385,VALUE(SUBSTITUTE(AT385,"%",""))/100))</f>
        <v>0</v>
      </c>
      <c r="Q385" s="5" t="n">
        <f aca="false">IF(P385="",IF(AND(N385&lt;&gt;"",O385&lt;&gt;"",R385&lt;&gt;"",S385&lt;&gt;""),0,"REVIEW"),IF(OR(P385&lt;0,P385&gt;0.3),0,P385))</f>
        <v>0</v>
      </c>
      <c r="R385" s="0" t="n">
        <v>4485.5</v>
      </c>
      <c r="S385" s="0" t="n">
        <v>3131.86</v>
      </c>
      <c r="T385" s="6" t="n">
        <f aca="false">N385*O385*(1-Q385)</f>
        <v>4485.5</v>
      </c>
      <c r="U385" s="6" t="n">
        <f aca="false">T385-S385</f>
        <v>1353.64</v>
      </c>
      <c r="V385" s="7" t="n">
        <f aca="false">IF(T385=0,0,U385/T385)</f>
        <v>0.301781295284807</v>
      </c>
      <c r="W385" s="4" t="n">
        <f aca="false">C385-B385</f>
        <v>7</v>
      </c>
      <c r="X385" s="0" t="str">
        <f aca="false">TEXT(B385,"mmmm")</f>
        <v>June</v>
      </c>
      <c r="Y385" s="4" t="n">
        <f aca="false">YEAR(B385)</f>
        <v>2025</v>
      </c>
      <c r="Z385" s="0" t="str">
        <f aca="false">PROPER(TRIM(AU385))</f>
        <v>Paid</v>
      </c>
      <c r="AA385" s="0" t="str">
        <f aca="false">PROPER(TRIM(AV385))</f>
        <v>Cancelled</v>
      </c>
      <c r="AB385" s="0" t="str">
        <f aca="false">IF(TRIM(AN385)="","Yes","No")</f>
        <v>No</v>
      </c>
      <c r="AC385" s="0" t="str">
        <f aca="false">IF(TRIM(AS385)="","Yes","No")</f>
        <v>No</v>
      </c>
      <c r="AD385" s="0" t="str">
        <f aca="false">IF(AT385="","Yes","No")</f>
        <v>No</v>
      </c>
      <c r="AE385" s="0" t="str">
        <f aca="false">IF(W385&lt;0,"Yes","No")</f>
        <v>No</v>
      </c>
      <c r="AF385" s="0" t="str">
        <f aca="false">IF(P385="","No",IF(OR(P385&lt;0,P385&gt;0.3),"Yes","No"))</f>
        <v>No</v>
      </c>
      <c r="AG385" s="4" t="s">
        <v>50</v>
      </c>
      <c r="AH385" s="0" t="str">
        <f aca="false">IF(AND(AA385="Completed",Z385="Paid"),"Yes","No")</f>
        <v>No</v>
      </c>
      <c r="AI385" s="0" t="str">
        <f aca="false">IF(OR(AE385="Yes",AF385="Yes",AG385="Yes"),"Invalid",IF(OR(AB385="Yes",AC385="Yes",AD385="Yes"),"Warning","Clean"))</f>
        <v>Clean</v>
      </c>
      <c r="AJ385" s="4" t="s">
        <v>1270</v>
      </c>
      <c r="AK385" s="4" t="s">
        <v>919</v>
      </c>
      <c r="AL385" s="4" t="s">
        <v>106</v>
      </c>
      <c r="AM385" s="4" t="s">
        <v>128</v>
      </c>
      <c r="AN385" s="4" t="s">
        <v>69</v>
      </c>
      <c r="AO385" s="4" t="s">
        <v>139</v>
      </c>
      <c r="AP385" s="4" t="s">
        <v>140</v>
      </c>
      <c r="AQ385" s="4" t="s">
        <v>58</v>
      </c>
      <c r="AR385" s="4" t="s">
        <v>80</v>
      </c>
      <c r="AS385" s="4" t="s">
        <v>81</v>
      </c>
      <c r="AT385" s="0" t="n">
        <v>0</v>
      </c>
      <c r="AU385" s="4" t="s">
        <v>61</v>
      </c>
      <c r="AV385" s="4" t="s">
        <v>101</v>
      </c>
    </row>
    <row r="386" customFormat="false" ht="15" hidden="false" customHeight="false" outlineLevel="0" collapsed="false">
      <c r="A386" s="0" t="s">
        <v>1574</v>
      </c>
      <c r="B386" s="3" t="n">
        <f aca="false">IF(AJ386="","",IF(ISNUMBER(SEARCH("/",AJ386)),DATE(VALUE(RIGHT(AJ386,4)),VALUE(LEFT(AJ386,2)),VALUE(MID(AJ386,4,2))),IF(ISNUMBER(SEARCH("-",AJ386)),IF(LEN(LEFT(AJ386,FIND("-",AJ386)-1))=4,DATE(VALUE(LEFT(AJ386,4)),VALUE(MID(AJ386,6,2)),VALUE(RIGHT(AJ386,2))),DATE(VALUE(RIGHT(AJ386,4)),VALUE(MID(AJ386,4,2)),VALUE(LEFT(AJ386,2)))),DATE(VALUE(RIGHT(AJ386,4)),MATCH(MID(AJ386,4,3),{"Jan","Feb","Mar","Apr","May","Jun","Jul","Aug","Sep","Oct","Nov","Dec"},0),VALUE(LEFT(AJ386,2))))))</f>
        <v>45366</v>
      </c>
      <c r="C386" s="3" t="n">
        <f aca="false">IF(AK386="","",IF(ISNUMBER(SEARCH("/",AK386)),DATE(VALUE(RIGHT(AK386,4)),VALUE(LEFT(AK386,2)),VALUE(MID(AK386,4,2))),IF(ISNUMBER(SEARCH("-",AK386)),IF(LEN(LEFT(AK386,FIND("-",AK386)-1))=4,DATE(VALUE(LEFT(AK386,4)),VALUE(MID(AK386,6,2)),VALUE(RIGHT(AK386,2))),DATE(VALUE(RIGHT(AK386,4)),VALUE(MID(AK386,4,2)),VALUE(LEFT(AK386,2)))),DATE(VALUE(RIGHT(AK386,4)),MATCH(MID(AK386,4,3),{"Jan","Feb","Mar","Apr","May","Jun","Jul","Aug","Sep","Oct","Nov","Dec"},0),VALUE(LEFT(AK386,2))))))</f>
        <v>45371</v>
      </c>
      <c r="D386" s="4" t="s">
        <v>1575</v>
      </c>
      <c r="E386" s="0" t="str">
        <f aca="false">PROPER(TRIM(AL386))</f>
        <v>Rohan Mehta</v>
      </c>
      <c r="F386" s="0" t="str">
        <f aca="false">PROPER(TRIM(AM386))</f>
        <v>Consumer</v>
      </c>
      <c r="G386" s="0" t="str">
        <f aca="false">IF(TRIM(AN386)="","Unknown",PROPER(TRIM(AN386)))</f>
        <v>East</v>
      </c>
      <c r="H386" s="0" t="str">
        <f aca="false">PROPER(TRIM(AO386))</f>
        <v>Jharkhand</v>
      </c>
      <c r="I386" s="0" t="str">
        <f aca="false">PROPER(TRIM(AP386))</f>
        <v>Ranchi</v>
      </c>
      <c r="J386" s="0" t="str">
        <f aca="false">PROPER(TRIM(AQ386))</f>
        <v>Technology</v>
      </c>
      <c r="K386" s="0" t="str">
        <f aca="false">PROPER(TRIM(AR386))</f>
        <v>Copiers</v>
      </c>
      <c r="M386" s="0" t="str">
        <f aca="false">IF(TRIM(AS386)="","Unknown",PROPER(TRIM(AS386)))</f>
        <v>Standard Class</v>
      </c>
      <c r="N386" s="0" t="n">
        <v>2</v>
      </c>
      <c r="O386" s="0" t="n">
        <v>1881.4</v>
      </c>
      <c r="P386" s="5" t="n">
        <f aca="false">IF(AT386="","",IF(ISNUMBER(AT386),AT386,VALUE(SUBSTITUTE(AT386,"%",""))/100))</f>
        <v>0.25</v>
      </c>
      <c r="Q386" s="5" t="n">
        <f aca="false">IF(P386="",IF(AND(N386&lt;&gt;"",O386&lt;&gt;"",R386&lt;&gt;"",S386&lt;&gt;""),0,"REVIEW"),IF(OR(P386&lt;0,P386&gt;0.3),0,P386))</f>
        <v>0.25</v>
      </c>
      <c r="R386" s="0" t="n">
        <v>2822.1</v>
      </c>
      <c r="S386" s="0" t="n">
        <v>1624.57</v>
      </c>
      <c r="T386" s="6" t="n">
        <f aca="false">N386*O386*(1-Q386)</f>
        <v>2822.1</v>
      </c>
      <c r="U386" s="6" t="n">
        <f aca="false">T386-S386</f>
        <v>1197.53</v>
      </c>
      <c r="V386" s="7" t="n">
        <f aca="false">IF(T386=0,0,U386/T386)</f>
        <v>0.424340030473761</v>
      </c>
      <c r="W386" s="4" t="n">
        <f aca="false">C386-B386</f>
        <v>5</v>
      </c>
      <c r="X386" s="0" t="str">
        <f aca="false">TEXT(B386,"mmmm")</f>
        <v>March</v>
      </c>
      <c r="Y386" s="4" t="n">
        <f aca="false">YEAR(B386)</f>
        <v>2024</v>
      </c>
      <c r="Z386" s="0" t="str">
        <f aca="false">PROPER(TRIM(AU386))</f>
        <v>Paid</v>
      </c>
      <c r="AA386" s="0" t="str">
        <f aca="false">PROPER(TRIM(AV386))</f>
        <v>Returned</v>
      </c>
      <c r="AB386" s="0" t="str">
        <f aca="false">IF(TRIM(AN386)="","Yes","No")</f>
        <v>No</v>
      </c>
      <c r="AC386" s="0" t="str">
        <f aca="false">IF(TRIM(AS386)="","Yes","No")</f>
        <v>No</v>
      </c>
      <c r="AD386" s="0" t="str">
        <f aca="false">IF(AT386="","Yes","No")</f>
        <v>No</v>
      </c>
      <c r="AE386" s="0" t="str">
        <f aca="false">IF(W386&lt;0,"Yes","No")</f>
        <v>No</v>
      </c>
      <c r="AF386" s="0" t="str">
        <f aca="false">IF(P386="","No",IF(OR(P386&lt;0,P386&gt;0.3),"Yes","No"))</f>
        <v>No</v>
      </c>
      <c r="AG386" s="4" t="s">
        <v>50</v>
      </c>
      <c r="AH386" s="0" t="str">
        <f aca="false">IF(AND(AA386="Completed",Z386="Paid"),"Yes","No")</f>
        <v>No</v>
      </c>
      <c r="AI386" s="0" t="str">
        <f aca="false">IF(OR(AE386="Yes",AF386="Yes",AG386="Yes"),"Invalid",IF(OR(AB386="Yes",AC386="Yes",AD386="Yes"),"Warning","Clean"))</f>
        <v>Clean</v>
      </c>
      <c r="AJ386" s="4" t="s">
        <v>1576</v>
      </c>
      <c r="AK386" s="4" t="s">
        <v>1577</v>
      </c>
      <c r="AL386" s="4" t="s">
        <v>191</v>
      </c>
      <c r="AM386" s="4" t="s">
        <v>54</v>
      </c>
      <c r="AN386" s="4" t="s">
        <v>69</v>
      </c>
      <c r="AO386" s="4" t="s">
        <v>300</v>
      </c>
      <c r="AP386" s="4" t="s">
        <v>301</v>
      </c>
      <c r="AQ386" s="4" t="s">
        <v>109</v>
      </c>
      <c r="AR386" s="4" t="s">
        <v>116</v>
      </c>
      <c r="AS386" s="4" t="s">
        <v>91</v>
      </c>
      <c r="AT386" s="0" t="n">
        <v>0.25</v>
      </c>
      <c r="AU386" s="4" t="s">
        <v>61</v>
      </c>
      <c r="AV386" s="4" t="s">
        <v>142</v>
      </c>
    </row>
    <row r="387" customFormat="false" ht="15" hidden="false" customHeight="false" outlineLevel="0" collapsed="false">
      <c r="A387" s="0" t="s">
        <v>1578</v>
      </c>
      <c r="B387" s="3" t="n">
        <f aca="false">IF(AJ387="","",IF(ISNUMBER(SEARCH("/",AJ387)),DATE(VALUE(RIGHT(AJ387,4)),VALUE(LEFT(AJ387,2)),VALUE(MID(AJ387,4,2))),IF(ISNUMBER(SEARCH("-",AJ387)),IF(LEN(LEFT(AJ387,FIND("-",AJ387)-1))=4,DATE(VALUE(LEFT(AJ387,4)),VALUE(MID(AJ387,6,2)),VALUE(RIGHT(AJ387,2))),DATE(VALUE(RIGHT(AJ387,4)),VALUE(MID(AJ387,4,2)),VALUE(LEFT(AJ387,2)))),DATE(VALUE(RIGHT(AJ387,4)),MATCH(MID(AJ387,4,3),{"Jan","Feb","Mar","Apr","May","Jun","Jul","Aug","Sep","Oct","Nov","Dec"},0),VALUE(LEFT(AJ387,2))))))</f>
        <v>45832</v>
      </c>
      <c r="C387" s="3" t="n">
        <f aca="false">IF(AK387="","",IF(ISNUMBER(SEARCH("/",AK387)),DATE(VALUE(RIGHT(AK387,4)),VALUE(LEFT(AK387,2)),VALUE(MID(AK387,4,2))),IF(ISNUMBER(SEARCH("-",AK387)),IF(LEN(LEFT(AK387,FIND("-",AK387)-1))=4,DATE(VALUE(LEFT(AK387,4)),VALUE(MID(AK387,6,2)),VALUE(RIGHT(AK387,2))),DATE(VALUE(RIGHT(AK387,4)),VALUE(MID(AK387,4,2)),VALUE(LEFT(AK387,2)))),DATE(VALUE(RIGHT(AK387,4)),MATCH(MID(AK387,4,3),{"Jan","Feb","Mar","Apr","May","Jun","Jul","Aug","Sep","Oct","Nov","Dec"},0),VALUE(LEFT(AK387,2))))))</f>
        <v>45838</v>
      </c>
      <c r="D387" s="4" t="s">
        <v>1579</v>
      </c>
      <c r="E387" s="0" t="str">
        <f aca="false">PROPER(TRIM(AL387))</f>
        <v>Arjun Bose</v>
      </c>
      <c r="F387" s="0" t="str">
        <f aca="false">PROPER(TRIM(AM387))</f>
        <v>Consumer</v>
      </c>
      <c r="G387" s="0" t="str">
        <f aca="false">IF(TRIM(AN387)="","Unknown",PROPER(TRIM(AN387)))</f>
        <v>North</v>
      </c>
      <c r="H387" s="0" t="str">
        <f aca="false">PROPER(TRIM(AO387))</f>
        <v>Haryana</v>
      </c>
      <c r="I387" s="0" t="str">
        <f aca="false">PROPER(TRIM(AP387))</f>
        <v>Gurugram</v>
      </c>
      <c r="J387" s="0" t="str">
        <f aca="false">PROPER(TRIM(AQ387))</f>
        <v>Office Supplies</v>
      </c>
      <c r="K387" s="0" t="str">
        <f aca="false">PROPER(TRIM(AR387))</f>
        <v>Labels</v>
      </c>
      <c r="M387" s="0" t="str">
        <f aca="false">IF(TRIM(AS387)="","Unknown",PROPER(TRIM(AS387)))</f>
        <v>Standard Class</v>
      </c>
      <c r="N387" s="0" t="n">
        <v>6</v>
      </c>
      <c r="O387" s="0" t="n">
        <v>365.76</v>
      </c>
      <c r="P387" s="5" t="n">
        <f aca="false">IF(AT387="","",IF(ISNUMBER(AT387),AT387,VALUE(SUBSTITUTE(AT387,"%",""))/100))</f>
        <v>0.1</v>
      </c>
      <c r="Q387" s="5" t="n">
        <f aca="false">IF(P387="",IF(AND(N387&lt;&gt;"",O387&lt;&gt;"",R387&lt;&gt;"",S387&lt;&gt;""),0,"REVIEW"),IF(OR(P387&lt;0,P387&gt;0.3),0,P387))</f>
        <v>0.1</v>
      </c>
      <c r="R387" s="0" t="n">
        <v>1975.1</v>
      </c>
      <c r="S387" s="0" t="n">
        <v>1115.35</v>
      </c>
      <c r="T387" s="6" t="n">
        <f aca="false">N387*O387*(1-Q387)</f>
        <v>1975.104</v>
      </c>
      <c r="U387" s="6" t="n">
        <f aca="false">T387-S387</f>
        <v>859.754</v>
      </c>
      <c r="V387" s="7" t="n">
        <f aca="false">IF(T387=0,0,U387/T387)</f>
        <v>0.435295559119925</v>
      </c>
      <c r="W387" s="4" t="n">
        <f aca="false">C387-B387</f>
        <v>6</v>
      </c>
      <c r="X387" s="0" t="str">
        <f aca="false">TEXT(B387,"mmmm")</f>
        <v>June</v>
      </c>
      <c r="Y387" s="4" t="n">
        <f aca="false">YEAR(B387)</f>
        <v>2025</v>
      </c>
      <c r="Z387" s="0" t="str">
        <f aca="false">PROPER(TRIM(AU387))</f>
        <v>Paid</v>
      </c>
      <c r="AA387" s="0" t="str">
        <f aca="false">PROPER(TRIM(AV387))</f>
        <v>Completed</v>
      </c>
      <c r="AB387" s="0" t="str">
        <f aca="false">IF(TRIM(AN387)="","Yes","No")</f>
        <v>No</v>
      </c>
      <c r="AC387" s="0" t="str">
        <f aca="false">IF(TRIM(AS387)="","Yes","No")</f>
        <v>No</v>
      </c>
      <c r="AD387" s="0" t="str">
        <f aca="false">IF(AT387="","Yes","No")</f>
        <v>No</v>
      </c>
      <c r="AE387" s="0" t="str">
        <f aca="false">IF(W387&lt;0,"Yes","No")</f>
        <v>No</v>
      </c>
      <c r="AF387" s="0" t="str">
        <f aca="false">IF(P387="","No",IF(OR(P387&lt;0,P387&gt;0.3),"Yes","No"))</f>
        <v>No</v>
      </c>
      <c r="AG387" s="4" t="s">
        <v>50</v>
      </c>
      <c r="AH387" s="0" t="str">
        <f aca="false">IF(AND(AA387="Completed",Z387="Paid"),"Yes","No")</f>
        <v>Yes</v>
      </c>
      <c r="AI387" s="0" t="str">
        <f aca="false">IF(OR(AE387="Yes",AF387="Yes",AG387="Yes"),"Invalid",IF(OR(AB387="Yes",AC387="Yes",AD387="Yes"),"Warning","Clean"))</f>
        <v>Clean</v>
      </c>
      <c r="AJ387" s="4" t="s">
        <v>856</v>
      </c>
      <c r="AK387" s="4" t="s">
        <v>1580</v>
      </c>
      <c r="AL387" s="4" t="s">
        <v>86</v>
      </c>
      <c r="AM387" s="4" t="s">
        <v>54</v>
      </c>
      <c r="AN387" s="4" t="s">
        <v>168</v>
      </c>
      <c r="AO387" s="4" t="s">
        <v>310</v>
      </c>
      <c r="AP387" s="4" t="s">
        <v>311</v>
      </c>
      <c r="AQ387" s="4" t="s">
        <v>58</v>
      </c>
      <c r="AR387" s="4" t="s">
        <v>129</v>
      </c>
      <c r="AS387" s="4" t="s">
        <v>91</v>
      </c>
      <c r="AT387" s="0" t="n">
        <v>0.1</v>
      </c>
      <c r="AU387" s="4" t="s">
        <v>61</v>
      </c>
      <c r="AV387" s="4" t="s">
        <v>62</v>
      </c>
    </row>
    <row r="388" customFormat="false" ht="15" hidden="false" customHeight="false" outlineLevel="0" collapsed="false">
      <c r="A388" s="0" t="s">
        <v>1581</v>
      </c>
      <c r="B388" s="3" t="n">
        <f aca="false">IF(AJ388="","",IF(ISNUMBER(SEARCH("/",AJ388)),DATE(VALUE(RIGHT(AJ388,4)),VALUE(LEFT(AJ388,2)),VALUE(MID(AJ388,4,2))),IF(ISNUMBER(SEARCH("-",AJ388)),IF(LEN(LEFT(AJ388,FIND("-",AJ388)-1))=4,DATE(VALUE(LEFT(AJ388,4)),VALUE(MID(AJ388,6,2)),VALUE(RIGHT(AJ388,2))),DATE(VALUE(RIGHT(AJ388,4)),VALUE(MID(AJ388,4,2)),VALUE(LEFT(AJ388,2)))),DATE(VALUE(RIGHT(AJ388,4)),MATCH(MID(AJ388,4,3),{"Jan","Feb","Mar","Apr","May","Jun","Jul","Aug","Sep","Oct","Nov","Dec"},0),VALUE(LEFT(AJ388,2))))))</f>
        <v>45700</v>
      </c>
      <c r="C388" s="3" t="n">
        <f aca="false">IF(AK388="","",IF(ISNUMBER(SEARCH("/",AK388)),DATE(VALUE(RIGHT(AK388,4)),VALUE(LEFT(AK388,2)),VALUE(MID(AK388,4,2))),IF(ISNUMBER(SEARCH("-",AK388)),IF(LEN(LEFT(AK388,FIND("-",AK388)-1))=4,DATE(VALUE(LEFT(AK388,4)),VALUE(MID(AK388,6,2)),VALUE(RIGHT(AK388,2))),DATE(VALUE(RIGHT(AK388,4)),VALUE(MID(AK388,4,2)),VALUE(LEFT(AK388,2)))),DATE(VALUE(RIGHT(AK388,4)),MATCH(MID(AK388,4,3),{"Jan","Feb","Mar","Apr","May","Jun","Jul","Aug","Sep","Oct","Nov","Dec"},0),VALUE(LEFT(AK388,2))))))</f>
        <v>45702</v>
      </c>
      <c r="D388" s="4" t="s">
        <v>1582</v>
      </c>
      <c r="E388" s="0" t="str">
        <f aca="false">PROPER(TRIM(AL388))</f>
        <v>Sneha Kapoor</v>
      </c>
      <c r="F388" s="0" t="str">
        <f aca="false">PROPER(TRIM(AM388))</f>
        <v>Consumer</v>
      </c>
      <c r="G388" s="0" t="str">
        <f aca="false">IF(TRIM(AN388)="","Unknown",PROPER(TRIM(AN388)))</f>
        <v>West</v>
      </c>
      <c r="H388" s="0" t="str">
        <f aca="false">PROPER(TRIM(AO388))</f>
        <v>Maharashtra</v>
      </c>
      <c r="I388" s="0" t="str">
        <f aca="false">PROPER(TRIM(AP388))</f>
        <v>Mumbai</v>
      </c>
      <c r="J388" s="0" t="str">
        <f aca="false">PROPER(TRIM(AQ388))</f>
        <v>Furniture</v>
      </c>
      <c r="K388" s="0" t="str">
        <f aca="false">PROPER(TRIM(AR388))</f>
        <v>Furnishings</v>
      </c>
      <c r="M388" s="0" t="str">
        <f aca="false">IF(TRIM(AS388)="","Unknown",PROPER(TRIM(AS388)))</f>
        <v>Second Class</v>
      </c>
      <c r="N388" s="0" t="n">
        <v>8</v>
      </c>
      <c r="O388" s="0" t="n">
        <v>2786.66</v>
      </c>
      <c r="P388" s="5" t="n">
        <f aca="false">IF(AT388="","",IF(ISNUMBER(AT388),AT388,VALUE(SUBSTITUTE(AT388,"%",""))/100))</f>
        <v>0.1</v>
      </c>
      <c r="Q388" s="5" t="n">
        <f aca="false">IF(P388="",IF(AND(N388&lt;&gt;"",O388&lt;&gt;"",R388&lt;&gt;"",S388&lt;&gt;""),0,"REVIEW"),IF(OR(P388&lt;0,P388&gt;0.3),0,P388))</f>
        <v>0.1</v>
      </c>
      <c r="R388" s="0" t="n">
        <v>20063.95</v>
      </c>
      <c r="S388" s="0" t="n">
        <v>14363.38</v>
      </c>
      <c r="T388" s="6" t="n">
        <f aca="false">N388*O388*(1-Q388)</f>
        <v>20063.952</v>
      </c>
      <c r="U388" s="6" t="n">
        <f aca="false">T388-S388</f>
        <v>5700.572</v>
      </c>
      <c r="V388" s="7" t="n">
        <f aca="false">IF(T388=0,0,U388/T388)</f>
        <v>0.284120097575991</v>
      </c>
      <c r="W388" s="4" t="n">
        <f aca="false">C388-B388</f>
        <v>2</v>
      </c>
      <c r="X388" s="0" t="str">
        <f aca="false">TEXT(B388,"mmmm")</f>
        <v>February</v>
      </c>
      <c r="Y388" s="4" t="n">
        <f aca="false">YEAR(B388)</f>
        <v>2025</v>
      </c>
      <c r="Z388" s="0" t="str">
        <f aca="false">PROPER(TRIM(AU388))</f>
        <v>Paid</v>
      </c>
      <c r="AA388" s="0" t="str">
        <f aca="false">PROPER(TRIM(AV388))</f>
        <v>Completed</v>
      </c>
      <c r="AB388" s="0" t="str">
        <f aca="false">IF(TRIM(AN388)="","Yes","No")</f>
        <v>No</v>
      </c>
      <c r="AC388" s="0" t="str">
        <f aca="false">IF(TRIM(AS388)="","Yes","No")</f>
        <v>No</v>
      </c>
      <c r="AD388" s="0" t="str">
        <f aca="false">IF(AT388="","Yes","No")</f>
        <v>No</v>
      </c>
      <c r="AE388" s="0" t="str">
        <f aca="false">IF(W388&lt;0,"Yes","No")</f>
        <v>No</v>
      </c>
      <c r="AF388" s="0" t="str">
        <f aca="false">IF(P388="","No",IF(OR(P388&lt;0,P388&gt;0.3),"Yes","No"))</f>
        <v>No</v>
      </c>
      <c r="AG388" s="4" t="s">
        <v>50</v>
      </c>
      <c r="AH388" s="0" t="str">
        <f aca="false">IF(AND(AA388="Completed",Z388="Paid"),"Yes","No")</f>
        <v>Yes</v>
      </c>
      <c r="AI388" s="0" t="str">
        <f aca="false">IF(OR(AE388="Yes",AF388="Yes",AG388="Yes"),"Invalid",IF(OR(AB388="Yes",AC388="Yes",AD388="Yes"),"Warning","Clean"))</f>
        <v>Clean</v>
      </c>
      <c r="AJ388" s="4" t="s">
        <v>1175</v>
      </c>
      <c r="AK388" s="4" t="s">
        <v>1583</v>
      </c>
      <c r="AL388" s="4" t="s">
        <v>181</v>
      </c>
      <c r="AM388" s="4" t="s">
        <v>54</v>
      </c>
      <c r="AN388" s="4" t="s">
        <v>97</v>
      </c>
      <c r="AO388" s="4" t="s">
        <v>98</v>
      </c>
      <c r="AP388" s="4" t="s">
        <v>99</v>
      </c>
      <c r="AQ388" s="4" t="s">
        <v>72</v>
      </c>
      <c r="AR388" s="4" t="s">
        <v>90</v>
      </c>
      <c r="AS388" s="4" t="s">
        <v>60</v>
      </c>
      <c r="AT388" s="0" t="n">
        <v>0.1</v>
      </c>
      <c r="AU388" s="4" t="s">
        <v>61</v>
      </c>
      <c r="AV388" s="4" t="s">
        <v>62</v>
      </c>
    </row>
    <row r="389" customFormat="false" ht="15" hidden="false" customHeight="false" outlineLevel="0" collapsed="false">
      <c r="A389" s="0" t="s">
        <v>1584</v>
      </c>
      <c r="B389" s="3" t="n">
        <f aca="false">IF(AJ389="","",IF(ISNUMBER(SEARCH("/",AJ389)),DATE(VALUE(RIGHT(AJ389,4)),VALUE(LEFT(AJ389,2)),VALUE(MID(AJ389,4,2))),IF(ISNUMBER(SEARCH("-",AJ389)),IF(LEN(LEFT(AJ389,FIND("-",AJ389)-1))=4,DATE(VALUE(LEFT(AJ389,4)),VALUE(MID(AJ389,6,2)),VALUE(RIGHT(AJ389,2))),DATE(VALUE(RIGHT(AJ389,4)),VALUE(MID(AJ389,4,2)),VALUE(LEFT(AJ389,2)))),DATE(VALUE(RIGHT(AJ389,4)),MATCH(MID(AJ389,4,3),{"Jan","Feb","Mar","Apr","May","Jun","Jul","Aug","Sep","Oct","Nov","Dec"},0),VALUE(LEFT(AJ389,2))))))</f>
        <v>45879</v>
      </c>
      <c r="C389" s="3" t="n">
        <f aca="false">IF(AK389="","",IF(ISNUMBER(SEARCH("/",AK389)),DATE(VALUE(RIGHT(AK389,4)),VALUE(LEFT(AK389,2)),VALUE(MID(AK389,4,2))),IF(ISNUMBER(SEARCH("-",AK389)),IF(LEN(LEFT(AK389,FIND("-",AK389)-1))=4,DATE(VALUE(LEFT(AK389,4)),VALUE(MID(AK389,6,2)),VALUE(RIGHT(AK389,2))),DATE(VALUE(RIGHT(AK389,4)),VALUE(MID(AK389,4,2)),VALUE(LEFT(AK389,2)))),DATE(VALUE(RIGHT(AK389,4)),MATCH(MID(AK389,4,3),{"Jan","Feb","Mar","Apr","May","Jun","Jul","Aug","Sep","Oct","Nov","Dec"},0),VALUE(LEFT(AK389,2))))))</f>
        <v>45882</v>
      </c>
      <c r="D389" s="4" t="s">
        <v>1585</v>
      </c>
      <c r="E389" s="0" t="str">
        <f aca="false">PROPER(TRIM(AL389))</f>
        <v>Priya Menon</v>
      </c>
      <c r="F389" s="0" t="str">
        <f aca="false">PROPER(TRIM(AM389))</f>
        <v>Small Business</v>
      </c>
      <c r="G389" s="0" t="str">
        <f aca="false">IF(TRIM(AN389)="","Unknown",PROPER(TRIM(AN389)))</f>
        <v>West</v>
      </c>
      <c r="H389" s="0" t="str">
        <f aca="false">PROPER(TRIM(AO389))</f>
        <v>Madhya Pradesh</v>
      </c>
      <c r="I389" s="0" t="str">
        <f aca="false">PROPER(TRIM(AP389))</f>
        <v>Indore</v>
      </c>
      <c r="J389" s="0" t="str">
        <f aca="false">PROPER(TRIM(AQ389))</f>
        <v>Furniture</v>
      </c>
      <c r="K389" s="0" t="str">
        <f aca="false">PROPER(TRIM(AR389))</f>
        <v>Chairs</v>
      </c>
      <c r="M389" s="0" t="str">
        <f aca="false">IF(TRIM(AS389)="","Unknown",PROPER(TRIM(AS389)))</f>
        <v>Standard Class</v>
      </c>
      <c r="N389" s="0" t="n">
        <v>5</v>
      </c>
      <c r="O389" s="0" t="n">
        <v>352.86</v>
      </c>
      <c r="P389" s="5" t="n">
        <f aca="false">IF(AT389="","",IF(ISNUMBER(AT389),AT389,VALUE(SUBSTITUTE(AT389,"%",""))/100))</f>
        <v>0</v>
      </c>
      <c r="Q389" s="5" t="n">
        <f aca="false">IF(P389="",IF(AND(N389&lt;&gt;"",O389&lt;&gt;"",R389&lt;&gt;"",S389&lt;&gt;""),0,"REVIEW"),IF(OR(P389&lt;0,P389&gt;0.3),0,P389))</f>
        <v>0</v>
      </c>
      <c r="R389" s="0" t="n">
        <v>1764.3</v>
      </c>
      <c r="S389" s="0" t="n">
        <v>1332.49</v>
      </c>
      <c r="T389" s="6" t="n">
        <f aca="false">N389*O389*(1-Q389)</f>
        <v>1764.3</v>
      </c>
      <c r="U389" s="6" t="n">
        <f aca="false">T389-S389</f>
        <v>431.81</v>
      </c>
      <c r="V389" s="7" t="n">
        <f aca="false">IF(T389=0,0,U389/T389)</f>
        <v>0.244748625517202</v>
      </c>
      <c r="W389" s="4" t="n">
        <f aca="false">C389-B389</f>
        <v>3</v>
      </c>
      <c r="X389" s="0" t="str">
        <f aca="false">TEXT(B389,"mmmm")</f>
        <v>August</v>
      </c>
      <c r="Y389" s="4" t="n">
        <f aca="false">YEAR(B389)</f>
        <v>2025</v>
      </c>
      <c r="Z389" s="0" t="str">
        <f aca="false">PROPER(TRIM(AU389))</f>
        <v>Pending</v>
      </c>
      <c r="AA389" s="0" t="str">
        <f aca="false">PROPER(TRIM(AV389))</f>
        <v>Cancelled</v>
      </c>
      <c r="AB389" s="0" t="str">
        <f aca="false">IF(TRIM(AN389)="","Yes","No")</f>
        <v>No</v>
      </c>
      <c r="AC389" s="0" t="str">
        <f aca="false">IF(TRIM(AS389)="","Yes","No")</f>
        <v>No</v>
      </c>
      <c r="AD389" s="0" t="str">
        <f aca="false">IF(AT389="","Yes","No")</f>
        <v>No</v>
      </c>
      <c r="AE389" s="0" t="str">
        <f aca="false">IF(W389&lt;0,"Yes","No")</f>
        <v>No</v>
      </c>
      <c r="AF389" s="0" t="str">
        <f aca="false">IF(P389="","No",IF(OR(P389&lt;0,P389&gt;0.3),"Yes","No"))</f>
        <v>No</v>
      </c>
      <c r="AG389" s="4" t="s">
        <v>50</v>
      </c>
      <c r="AH389" s="0" t="str">
        <f aca="false">IF(AND(AA389="Completed",Z389="Paid"),"Yes","No")</f>
        <v>No</v>
      </c>
      <c r="AI389" s="0" t="str">
        <f aca="false">IF(OR(AE389="Yes",AF389="Yes",AG389="Yes"),"Invalid",IF(OR(AB389="Yes",AC389="Yes",AD389="Yes"),"Warning","Clean"))</f>
        <v>Clean</v>
      </c>
      <c r="AJ389" s="4" t="s">
        <v>815</v>
      </c>
      <c r="AK389" s="4" t="s">
        <v>953</v>
      </c>
      <c r="AL389" s="4" t="s">
        <v>158</v>
      </c>
      <c r="AM389" s="4" t="s">
        <v>68</v>
      </c>
      <c r="AN389" s="4" t="s">
        <v>97</v>
      </c>
      <c r="AO389" s="4" t="s">
        <v>107</v>
      </c>
      <c r="AP389" s="4" t="s">
        <v>108</v>
      </c>
      <c r="AQ389" s="4" t="s">
        <v>72</v>
      </c>
      <c r="AR389" s="4" t="s">
        <v>100</v>
      </c>
      <c r="AS389" s="4" t="s">
        <v>91</v>
      </c>
      <c r="AT389" s="0" t="n">
        <v>0</v>
      </c>
      <c r="AU389" s="4" t="s">
        <v>153</v>
      </c>
      <c r="AV389" s="4" t="s">
        <v>101</v>
      </c>
    </row>
    <row r="390" customFormat="false" ht="15" hidden="false" customHeight="false" outlineLevel="0" collapsed="false">
      <c r="A390" s="0" t="s">
        <v>1586</v>
      </c>
      <c r="B390" s="3" t="n">
        <f aca="false">IF(AJ390="","",IF(ISNUMBER(SEARCH("/",AJ390)),DATE(VALUE(RIGHT(AJ390,4)),VALUE(LEFT(AJ390,2)),VALUE(MID(AJ390,4,2))),IF(ISNUMBER(SEARCH("-",AJ390)),IF(LEN(LEFT(AJ390,FIND("-",AJ390)-1))=4,DATE(VALUE(LEFT(AJ390,4)),VALUE(MID(AJ390,6,2)),VALUE(RIGHT(AJ390,2))),DATE(VALUE(RIGHT(AJ390,4)),VALUE(MID(AJ390,4,2)),VALUE(LEFT(AJ390,2)))),DATE(VALUE(RIGHT(AJ390,4)),MATCH(MID(AJ390,4,3),{"Jan","Feb","Mar","Apr","May","Jun","Jul","Aug","Sep","Oct","Nov","Dec"},0),VALUE(LEFT(AJ390,2))))))</f>
        <v>45425</v>
      </c>
      <c r="C390" s="3" t="n">
        <f aca="false">IF(AK390="","",IF(ISNUMBER(SEARCH("/",AK390)),DATE(VALUE(RIGHT(AK390,4)),VALUE(LEFT(AK390,2)),VALUE(MID(AK390,4,2))),IF(ISNUMBER(SEARCH("-",AK390)),IF(LEN(LEFT(AK390,FIND("-",AK390)-1))=4,DATE(VALUE(LEFT(AK390,4)),VALUE(MID(AK390,6,2)),VALUE(RIGHT(AK390,2))),DATE(VALUE(RIGHT(AK390,4)),VALUE(MID(AK390,4,2)),VALUE(LEFT(AK390,2)))),DATE(VALUE(RIGHT(AK390,4)),MATCH(MID(AK390,4,3),{"Jan","Feb","Mar","Apr","May","Jun","Jul","Aug","Sep","Oct","Nov","Dec"},0),VALUE(LEFT(AK390,2))))))</f>
        <v>45430</v>
      </c>
      <c r="D390" s="4" t="s">
        <v>1587</v>
      </c>
      <c r="E390" s="0" t="str">
        <f aca="false">PROPER(TRIM(AL390))</f>
        <v>Isha Nair</v>
      </c>
      <c r="F390" s="0" t="str">
        <f aca="false">PROPER(TRIM(AM390))</f>
        <v>Small Business</v>
      </c>
      <c r="G390" s="0" t="str">
        <f aca="false">IF(TRIM(AN390)="","Unknown",PROPER(TRIM(AN390)))</f>
        <v>West</v>
      </c>
      <c r="H390" s="0" t="str">
        <f aca="false">PROPER(TRIM(AO390))</f>
        <v>Gujarat</v>
      </c>
      <c r="I390" s="0" t="str">
        <f aca="false">PROPER(TRIM(AP390))</f>
        <v>Ahmedabad</v>
      </c>
      <c r="J390" s="0" t="str">
        <f aca="false">PROPER(TRIM(AQ390))</f>
        <v>Furniture</v>
      </c>
      <c r="K390" s="0" t="str">
        <f aca="false">PROPER(TRIM(AR390))</f>
        <v>Chairs</v>
      </c>
      <c r="M390" s="0" t="str">
        <f aca="false">IF(TRIM(AS390)="","Unknown",PROPER(TRIM(AS390)))</f>
        <v>Standard Class</v>
      </c>
      <c r="N390" s="0" t="n">
        <v>3</v>
      </c>
      <c r="O390" s="0" t="n">
        <v>3128.59</v>
      </c>
      <c r="P390" s="5" t="n">
        <f aca="false">IF(AT390="","",IF(ISNUMBER(AT390),AT390,VALUE(SUBSTITUTE(AT390,"%",""))/100))</f>
        <v>0</v>
      </c>
      <c r="Q390" s="5" t="n">
        <f aca="false">IF(P390="",IF(AND(N390&lt;&gt;"",O390&lt;&gt;"",R390&lt;&gt;"",S390&lt;&gt;""),0,"REVIEW"),IF(OR(P390&lt;0,P390&gt;0.3),0,P390))</f>
        <v>0</v>
      </c>
      <c r="R390" s="0" t="n">
        <v>9385.77</v>
      </c>
      <c r="S390" s="0" t="n">
        <v>6872.44</v>
      </c>
      <c r="T390" s="6" t="n">
        <f aca="false">N390*O390*(1-Q390)</f>
        <v>9385.77</v>
      </c>
      <c r="U390" s="6" t="n">
        <f aca="false">T390-S390</f>
        <v>2513.33</v>
      </c>
      <c r="V390" s="7" t="n">
        <f aca="false">IF(T390=0,0,U390/T390)</f>
        <v>0.267780906627799</v>
      </c>
      <c r="W390" s="4" t="n">
        <f aca="false">C390-B390</f>
        <v>5</v>
      </c>
      <c r="X390" s="0" t="str">
        <f aca="false">TEXT(B390,"mmmm")</f>
        <v>May</v>
      </c>
      <c r="Y390" s="4" t="n">
        <f aca="false">YEAR(B390)</f>
        <v>2024</v>
      </c>
      <c r="Z390" s="0" t="str">
        <f aca="false">PROPER(TRIM(AU390))</f>
        <v>Paid</v>
      </c>
      <c r="AA390" s="0" t="str">
        <f aca="false">PROPER(TRIM(AV390))</f>
        <v>Completed</v>
      </c>
      <c r="AB390" s="0" t="str">
        <f aca="false">IF(TRIM(AN390)="","Yes","No")</f>
        <v>No</v>
      </c>
      <c r="AC390" s="0" t="str">
        <f aca="false">IF(TRIM(AS390)="","Yes","No")</f>
        <v>No</v>
      </c>
      <c r="AD390" s="0" t="str">
        <f aca="false">IF(AT390="","Yes","No")</f>
        <v>No</v>
      </c>
      <c r="AE390" s="0" t="str">
        <f aca="false">IF(W390&lt;0,"Yes","No")</f>
        <v>No</v>
      </c>
      <c r="AF390" s="0" t="str">
        <f aca="false">IF(P390="","No",IF(OR(P390&lt;0,P390&gt;0.3),"Yes","No"))</f>
        <v>No</v>
      </c>
      <c r="AG390" s="4" t="s">
        <v>50</v>
      </c>
      <c r="AH390" s="0" t="str">
        <f aca="false">IF(AND(AA390="Completed",Z390="Paid"),"Yes","No")</f>
        <v>Yes</v>
      </c>
      <c r="AI390" s="0" t="str">
        <f aca="false">IF(OR(AE390="Yes",AF390="Yes",AG390="Yes"),"Invalid",IF(OR(AB390="Yes",AC390="Yes",AD390="Yes"),"Warning","Clean"))</f>
        <v>Clean</v>
      </c>
      <c r="AJ390" s="4" t="s">
        <v>1588</v>
      </c>
      <c r="AK390" s="4" t="s">
        <v>1589</v>
      </c>
      <c r="AL390" s="4" t="s">
        <v>79</v>
      </c>
      <c r="AM390" s="4" t="s">
        <v>68</v>
      </c>
      <c r="AN390" s="4" t="s">
        <v>97</v>
      </c>
      <c r="AO390" s="4" t="s">
        <v>238</v>
      </c>
      <c r="AP390" s="4" t="s">
        <v>239</v>
      </c>
      <c r="AQ390" s="4" t="s">
        <v>72</v>
      </c>
      <c r="AR390" s="4" t="s">
        <v>100</v>
      </c>
      <c r="AS390" s="4" t="s">
        <v>91</v>
      </c>
      <c r="AT390" s="0" t="n">
        <v>0</v>
      </c>
      <c r="AU390" s="4" t="s">
        <v>61</v>
      </c>
      <c r="AV390" s="4" t="s">
        <v>62</v>
      </c>
    </row>
    <row r="391" customFormat="false" ht="15" hidden="false" customHeight="false" outlineLevel="0" collapsed="false">
      <c r="A391" s="0" t="s">
        <v>1590</v>
      </c>
      <c r="B391" s="3" t="n">
        <f aca="false">IF(AJ391="","",IF(ISNUMBER(SEARCH("/",AJ391)),DATE(VALUE(RIGHT(AJ391,4)),VALUE(LEFT(AJ391,2)),VALUE(MID(AJ391,4,2))),IF(ISNUMBER(SEARCH("-",AJ391)),IF(LEN(LEFT(AJ391,FIND("-",AJ391)-1))=4,DATE(VALUE(LEFT(AJ391,4)),VALUE(MID(AJ391,6,2)),VALUE(RIGHT(AJ391,2))),DATE(VALUE(RIGHT(AJ391,4)),VALUE(MID(AJ391,4,2)),VALUE(LEFT(AJ391,2)))),DATE(VALUE(RIGHT(AJ391,4)),MATCH(MID(AJ391,4,3),{"Jan","Feb","Mar","Apr","May","Jun","Jul","Aug","Sep","Oct","Nov","Dec"},0),VALUE(LEFT(AJ391,2))))))</f>
        <v>45387</v>
      </c>
      <c r="C391" s="3" t="n">
        <f aca="false">IF(AK391="","",IF(ISNUMBER(SEARCH("/",AK391)),DATE(VALUE(RIGHT(AK391,4)),VALUE(LEFT(AK391,2)),VALUE(MID(AK391,4,2))),IF(ISNUMBER(SEARCH("-",AK391)),IF(LEN(LEFT(AK391,FIND("-",AK391)-1))=4,DATE(VALUE(LEFT(AK391,4)),VALUE(MID(AK391,6,2)),VALUE(RIGHT(AK391,2))),DATE(VALUE(RIGHT(AK391,4)),VALUE(MID(AK391,4,2)),VALUE(LEFT(AK391,2)))),DATE(VALUE(RIGHT(AK391,4)),MATCH(MID(AK391,4,3),{"Jan","Feb","Mar","Apr","May","Jun","Jul","Aug","Sep","Oct","Nov","Dec"},0),VALUE(LEFT(AK391,2))))))</f>
        <v>45395</v>
      </c>
      <c r="D391" s="4" t="s">
        <v>1591</v>
      </c>
      <c r="E391" s="0" t="str">
        <f aca="false">PROPER(TRIM(AL391))</f>
        <v>Diya Patel</v>
      </c>
      <c r="F391" s="0" t="str">
        <f aca="false">PROPER(TRIM(AM391))</f>
        <v>Corporate</v>
      </c>
      <c r="G391" s="0" t="str">
        <f aca="false">IF(TRIM(AN391)="","Unknown",PROPER(TRIM(AN391)))</f>
        <v>West</v>
      </c>
      <c r="H391" s="0" t="str">
        <f aca="false">PROPER(TRIM(AO391))</f>
        <v>Gujarat</v>
      </c>
      <c r="I391" s="0" t="str">
        <f aca="false">PROPER(TRIM(AP391))</f>
        <v>Ahmedabad</v>
      </c>
      <c r="J391" s="0" t="str">
        <f aca="false">PROPER(TRIM(AQ391))</f>
        <v>Technology</v>
      </c>
      <c r="K391" s="0" t="str">
        <f aca="false">PROPER(TRIM(AR391))</f>
        <v>Machines</v>
      </c>
      <c r="M391" s="0" t="str">
        <f aca="false">IF(TRIM(AS391)="","Unknown",PROPER(TRIM(AS391)))</f>
        <v>Second Class</v>
      </c>
      <c r="N391" s="0" t="n">
        <v>5</v>
      </c>
      <c r="O391" s="0" t="n">
        <v>1937.54</v>
      </c>
      <c r="P391" s="5" t="n">
        <f aca="false">IF(AT391="","",IF(ISNUMBER(AT391),AT391,VALUE(SUBSTITUTE(AT391,"%",""))/100))</f>
        <v>0.2</v>
      </c>
      <c r="Q391" s="5" t="n">
        <f aca="false">IF(P391="",IF(AND(N391&lt;&gt;"",O391&lt;&gt;"",R391&lt;&gt;"",S391&lt;&gt;""),0,"REVIEW"),IF(OR(P391&lt;0,P391&gt;0.3),0,P391))</f>
        <v>0.2</v>
      </c>
      <c r="R391" s="0" t="n">
        <v>7750.16</v>
      </c>
      <c r="S391" s="0" t="n">
        <v>5434.3</v>
      </c>
      <c r="T391" s="6" t="n">
        <f aca="false">N391*O391*(1-Q391)</f>
        <v>7750.16</v>
      </c>
      <c r="U391" s="6" t="n">
        <f aca="false">T391-S391</f>
        <v>2315.86</v>
      </c>
      <c r="V391" s="7" t="n">
        <f aca="false">IF(T391=0,0,U391/T391)</f>
        <v>0.298814476088236</v>
      </c>
      <c r="W391" s="4" t="n">
        <f aca="false">C391-B391</f>
        <v>8</v>
      </c>
      <c r="X391" s="0" t="str">
        <f aca="false">TEXT(B391,"mmmm")</f>
        <v>April</v>
      </c>
      <c r="Y391" s="4" t="n">
        <f aca="false">YEAR(B391)</f>
        <v>2024</v>
      </c>
      <c r="Z391" s="0" t="str">
        <f aca="false">PROPER(TRIM(AU391))</f>
        <v>Pending</v>
      </c>
      <c r="AA391" s="0" t="str">
        <f aca="false">PROPER(TRIM(AV391))</f>
        <v>Cancelled</v>
      </c>
      <c r="AB391" s="0" t="str">
        <f aca="false">IF(TRIM(AN391)="","Yes","No")</f>
        <v>No</v>
      </c>
      <c r="AC391" s="0" t="str">
        <f aca="false">IF(TRIM(AS391)="","Yes","No")</f>
        <v>No</v>
      </c>
      <c r="AD391" s="0" t="str">
        <f aca="false">IF(AT391="","Yes","No")</f>
        <v>No</v>
      </c>
      <c r="AE391" s="0" t="str">
        <f aca="false">IF(W391&lt;0,"Yes","No")</f>
        <v>No</v>
      </c>
      <c r="AF391" s="0" t="str">
        <f aca="false">IF(P391="","No",IF(OR(P391&lt;0,P391&gt;0.3),"Yes","No"))</f>
        <v>No</v>
      </c>
      <c r="AG391" s="4" t="s">
        <v>50</v>
      </c>
      <c r="AH391" s="0" t="str">
        <f aca="false">IF(AND(AA391="Completed",Z391="Paid"),"Yes","No")</f>
        <v>No</v>
      </c>
      <c r="AI391" s="0" t="str">
        <f aca="false">IF(OR(AE391="Yes",AF391="Yes",AG391="Yes"),"Invalid",IF(OR(AB391="Yes",AC391="Yes",AD391="Yes"),"Warning","Clean"))</f>
        <v>Clean</v>
      </c>
      <c r="AJ391" s="4" t="s">
        <v>1592</v>
      </c>
      <c r="AK391" s="4" t="s">
        <v>333</v>
      </c>
      <c r="AL391" s="4" t="s">
        <v>216</v>
      </c>
      <c r="AM391" s="4" t="s">
        <v>128</v>
      </c>
      <c r="AN391" s="4" t="s">
        <v>97</v>
      </c>
      <c r="AO391" s="4" t="s">
        <v>238</v>
      </c>
      <c r="AP391" s="4" t="s">
        <v>239</v>
      </c>
      <c r="AQ391" s="4" t="s">
        <v>109</v>
      </c>
      <c r="AR391" s="4" t="s">
        <v>360</v>
      </c>
      <c r="AS391" s="4" t="s">
        <v>60</v>
      </c>
      <c r="AT391" s="0" t="n">
        <v>0.2</v>
      </c>
      <c r="AU391" s="4" t="s">
        <v>153</v>
      </c>
      <c r="AV391" s="4" t="s">
        <v>101</v>
      </c>
    </row>
    <row r="392" customFormat="false" ht="15" hidden="false" customHeight="false" outlineLevel="0" collapsed="false">
      <c r="A392" s="0" t="s">
        <v>1593</v>
      </c>
      <c r="B392" s="3" t="n">
        <f aca="false">IF(AJ392="","",IF(ISNUMBER(SEARCH("/",AJ392)),DATE(VALUE(RIGHT(AJ392,4)),VALUE(LEFT(AJ392,2)),VALUE(MID(AJ392,4,2))),IF(ISNUMBER(SEARCH("-",AJ392)),IF(LEN(LEFT(AJ392,FIND("-",AJ392)-1))=4,DATE(VALUE(LEFT(AJ392,4)),VALUE(MID(AJ392,6,2)),VALUE(RIGHT(AJ392,2))),DATE(VALUE(RIGHT(AJ392,4)),VALUE(MID(AJ392,4,2)),VALUE(LEFT(AJ392,2)))),DATE(VALUE(RIGHT(AJ392,4)),MATCH(MID(AJ392,4,3),{"Jan","Feb","Mar","Apr","May","Jun","Jul","Aug","Sep","Oct","Nov","Dec"},0),VALUE(LEFT(AJ392,2))))))</f>
        <v>45602</v>
      </c>
      <c r="C392" s="3" t="n">
        <f aca="false">IF(AK392="","",IF(ISNUMBER(SEARCH("/",AK392)),DATE(VALUE(RIGHT(AK392,4)),VALUE(LEFT(AK392,2)),VALUE(MID(AK392,4,2))),IF(ISNUMBER(SEARCH("-",AK392)),IF(LEN(LEFT(AK392,FIND("-",AK392)-1))=4,DATE(VALUE(LEFT(AK392,4)),VALUE(MID(AK392,6,2)),VALUE(RIGHT(AK392,2))),DATE(VALUE(RIGHT(AK392,4)),VALUE(MID(AK392,4,2)),VALUE(LEFT(AK392,2)))),DATE(VALUE(RIGHT(AK392,4)),MATCH(MID(AK392,4,3),{"Jan","Feb","Mar","Apr","May","Jun","Jul","Aug","Sep","Oct","Nov","Dec"},0),VALUE(LEFT(AK392,2))))))</f>
        <v>45607</v>
      </c>
      <c r="D392" s="4" t="s">
        <v>1594</v>
      </c>
      <c r="E392" s="0" t="str">
        <f aca="false">PROPER(TRIM(AL392))</f>
        <v>Isha Nair</v>
      </c>
      <c r="F392" s="0" t="str">
        <f aca="false">PROPER(TRIM(AM392))</f>
        <v>Consumer</v>
      </c>
      <c r="G392" s="0" t="str">
        <f aca="false">IF(TRIM(AN392)="","Unknown",PROPER(TRIM(AN392)))</f>
        <v>West</v>
      </c>
      <c r="H392" s="0" t="str">
        <f aca="false">PROPER(TRIM(AO392))</f>
        <v>Gujarat</v>
      </c>
      <c r="I392" s="0" t="str">
        <f aca="false">PROPER(TRIM(AP392))</f>
        <v>Ahmedabad</v>
      </c>
      <c r="J392" s="0" t="str">
        <f aca="false">PROPER(TRIM(AQ392))</f>
        <v>Furniture</v>
      </c>
      <c r="K392" s="0" t="str">
        <f aca="false">PROPER(TRIM(AR392))</f>
        <v>Furnishings</v>
      </c>
      <c r="M392" s="0" t="str">
        <f aca="false">IF(TRIM(AS392)="","Unknown",PROPER(TRIM(AS392)))</f>
        <v>Standard Class</v>
      </c>
      <c r="N392" s="0" t="n">
        <v>4</v>
      </c>
      <c r="O392" s="0" t="n">
        <v>1917.26</v>
      </c>
      <c r="P392" s="5" t="n">
        <f aca="false">IF(AT392="","",IF(ISNUMBER(AT392),AT392,VALUE(SUBSTITUTE(AT392,"%",""))/100))</f>
        <v>0.2</v>
      </c>
      <c r="Q392" s="5" t="n">
        <f aca="false">IF(P392="",IF(AND(N392&lt;&gt;"",O392&lt;&gt;"",R392&lt;&gt;"",S392&lt;&gt;""),0,"REVIEW"),IF(OR(P392&lt;0,P392&gt;0.3),0,P392))</f>
        <v>0.2</v>
      </c>
      <c r="R392" s="0" t="n">
        <v>6135.23</v>
      </c>
      <c r="S392" s="0" t="n">
        <v>3439.79</v>
      </c>
      <c r="T392" s="6" t="n">
        <f aca="false">N392*O392*(1-Q392)</f>
        <v>6135.232</v>
      </c>
      <c r="U392" s="6" t="n">
        <f aca="false">T392-S392</f>
        <v>2695.442</v>
      </c>
      <c r="V392" s="7" t="n">
        <f aca="false">IF(T392=0,0,U392/T392)</f>
        <v>0.439338235294118</v>
      </c>
      <c r="W392" s="4" t="n">
        <f aca="false">C392-B392</f>
        <v>5</v>
      </c>
      <c r="X392" s="0" t="str">
        <f aca="false">TEXT(B392,"mmmm")</f>
        <v>November</v>
      </c>
      <c r="Y392" s="4" t="n">
        <f aca="false">YEAR(B392)</f>
        <v>2024</v>
      </c>
      <c r="Z392" s="0" t="str">
        <f aca="false">PROPER(TRIM(AU392))</f>
        <v>Paid</v>
      </c>
      <c r="AA392" s="0" t="str">
        <f aca="false">PROPER(TRIM(AV392))</f>
        <v>Completed</v>
      </c>
      <c r="AB392" s="0" t="str">
        <f aca="false">IF(TRIM(AN392)="","Yes","No")</f>
        <v>No</v>
      </c>
      <c r="AC392" s="0" t="str">
        <f aca="false">IF(TRIM(AS392)="","Yes","No")</f>
        <v>No</v>
      </c>
      <c r="AD392" s="0" t="str">
        <f aca="false">IF(AT392="","Yes","No")</f>
        <v>No</v>
      </c>
      <c r="AE392" s="0" t="str">
        <f aca="false">IF(W392&lt;0,"Yes","No")</f>
        <v>No</v>
      </c>
      <c r="AF392" s="0" t="str">
        <f aca="false">IF(P392="","No",IF(OR(P392&lt;0,P392&gt;0.3),"Yes","No"))</f>
        <v>No</v>
      </c>
      <c r="AG392" s="4" t="s">
        <v>50</v>
      </c>
      <c r="AH392" s="0" t="str">
        <f aca="false">IF(AND(AA392="Completed",Z392="Paid"),"Yes","No")</f>
        <v>Yes</v>
      </c>
      <c r="AI392" s="0" t="str">
        <f aca="false">IF(OR(AE392="Yes",AF392="Yes",AG392="Yes"),"Invalid",IF(OR(AB392="Yes",AC392="Yes",AD392="Yes"),"Warning","Clean"))</f>
        <v>Clean</v>
      </c>
      <c r="AJ392" s="4" t="s">
        <v>1595</v>
      </c>
      <c r="AK392" s="4" t="s">
        <v>443</v>
      </c>
      <c r="AL392" s="4" t="s">
        <v>79</v>
      </c>
      <c r="AM392" s="4" t="s">
        <v>54</v>
      </c>
      <c r="AN392" s="4" t="s">
        <v>97</v>
      </c>
      <c r="AO392" s="4" t="s">
        <v>238</v>
      </c>
      <c r="AP392" s="4" t="s">
        <v>239</v>
      </c>
      <c r="AQ392" s="4" t="s">
        <v>72</v>
      </c>
      <c r="AR392" s="4" t="s">
        <v>90</v>
      </c>
      <c r="AS392" s="4" t="s">
        <v>91</v>
      </c>
      <c r="AT392" s="0" t="n">
        <v>0.2</v>
      </c>
      <c r="AU392" s="4" t="s">
        <v>61</v>
      </c>
      <c r="AV392" s="4" t="s">
        <v>62</v>
      </c>
    </row>
    <row r="393" customFormat="false" ht="15" hidden="false" customHeight="false" outlineLevel="0" collapsed="false">
      <c r="A393" s="0" t="s">
        <v>1596</v>
      </c>
      <c r="B393" s="3" t="n">
        <f aca="false">IF(AJ393="","",IF(ISNUMBER(SEARCH("/",AJ393)),DATE(VALUE(RIGHT(AJ393,4)),VALUE(LEFT(AJ393,2)),VALUE(MID(AJ393,4,2))),IF(ISNUMBER(SEARCH("-",AJ393)),IF(LEN(LEFT(AJ393,FIND("-",AJ393)-1))=4,DATE(VALUE(LEFT(AJ393,4)),VALUE(MID(AJ393,6,2)),VALUE(RIGHT(AJ393,2))),DATE(VALUE(RIGHT(AJ393,4)),VALUE(MID(AJ393,4,2)),VALUE(LEFT(AJ393,2)))),DATE(VALUE(RIGHT(AJ393,4)),MATCH(MID(AJ393,4,3),{"Jan","Feb","Mar","Apr","May","Jun","Jul","Aug","Sep","Oct","Nov","Dec"},0),VALUE(LEFT(AJ393,2))))))</f>
        <v>45702</v>
      </c>
      <c r="C393" s="3" t="n">
        <f aca="false">IF(AK393="","",IF(ISNUMBER(SEARCH("/",AK393)),DATE(VALUE(RIGHT(AK393,4)),VALUE(LEFT(AK393,2)),VALUE(MID(AK393,4,2))),IF(ISNUMBER(SEARCH("-",AK393)),IF(LEN(LEFT(AK393,FIND("-",AK393)-1))=4,DATE(VALUE(LEFT(AK393,4)),VALUE(MID(AK393,6,2)),VALUE(RIGHT(AK393,2))),DATE(VALUE(RIGHT(AK393,4)),VALUE(MID(AK393,4,2)),VALUE(LEFT(AK393,2)))),DATE(VALUE(RIGHT(AK393,4)),MATCH(MID(AK393,4,3),{"Jan","Feb","Mar","Apr","May","Jun","Jul","Aug","Sep","Oct","Nov","Dec"},0),VALUE(LEFT(AK393,2))))))</f>
        <v>45702</v>
      </c>
      <c r="D393" s="4" t="s">
        <v>1597</v>
      </c>
      <c r="E393" s="0" t="str">
        <f aca="false">PROPER(TRIM(AL393))</f>
        <v>Diya Patel</v>
      </c>
      <c r="F393" s="0" t="str">
        <f aca="false">PROPER(TRIM(AM393))</f>
        <v>Consumer</v>
      </c>
      <c r="G393" s="0" t="str">
        <f aca="false">IF(TRIM(AN393)="","Unknown",PROPER(TRIM(AN393)))</f>
        <v>South</v>
      </c>
      <c r="H393" s="0" t="str">
        <f aca="false">PROPER(TRIM(AO393))</f>
        <v>Karnataka</v>
      </c>
      <c r="I393" s="0" t="str">
        <f aca="false">PROPER(TRIM(AP393))</f>
        <v>Bengaluru</v>
      </c>
      <c r="J393" s="0" t="str">
        <f aca="false">PROPER(TRIM(AQ393))</f>
        <v>Office Supplies</v>
      </c>
      <c r="K393" s="0" t="str">
        <f aca="false">PROPER(TRIM(AR393))</f>
        <v>Storage</v>
      </c>
      <c r="M393" s="0" t="str">
        <f aca="false">IF(TRIM(AS393)="","Unknown",PROPER(TRIM(AS393)))</f>
        <v>First Class</v>
      </c>
      <c r="N393" s="0" t="n">
        <v>1</v>
      </c>
      <c r="O393" s="0" t="n">
        <v>714.43</v>
      </c>
      <c r="P393" s="5" t="n">
        <f aca="false">IF(AT393="","",IF(ISNUMBER(AT393),AT393,VALUE(SUBSTITUTE(AT393,"%",""))/100))</f>
        <v>0</v>
      </c>
      <c r="Q393" s="5" t="n">
        <f aca="false">IF(P393="",IF(AND(N393&lt;&gt;"",O393&lt;&gt;"",R393&lt;&gt;"",S393&lt;&gt;""),0,"REVIEW"),IF(OR(P393&lt;0,P393&gt;0.3),0,P393))</f>
        <v>0</v>
      </c>
      <c r="R393" s="0" t="n">
        <v>714.43</v>
      </c>
      <c r="S393" s="0" t="n">
        <v>565.44</v>
      </c>
      <c r="T393" s="6" t="n">
        <f aca="false">N393*O393*(1-Q393)</f>
        <v>714.43</v>
      </c>
      <c r="U393" s="6" t="n">
        <f aca="false">T393-S393</f>
        <v>148.99</v>
      </c>
      <c r="V393" s="7" t="n">
        <f aca="false">IF(T393=0,0,U393/T393)</f>
        <v>0.208543874137424</v>
      </c>
      <c r="W393" s="4" t="n">
        <f aca="false">C393-B393</f>
        <v>0</v>
      </c>
      <c r="X393" s="0" t="str">
        <f aca="false">TEXT(B393,"mmmm")</f>
        <v>February</v>
      </c>
      <c r="Y393" s="4" t="n">
        <f aca="false">YEAR(B393)</f>
        <v>2025</v>
      </c>
      <c r="Z393" s="0" t="str">
        <f aca="false">PROPER(TRIM(AU393))</f>
        <v>Paid</v>
      </c>
      <c r="AA393" s="0" t="str">
        <f aca="false">PROPER(TRIM(AV393))</f>
        <v>Completed</v>
      </c>
      <c r="AB393" s="0" t="str">
        <f aca="false">IF(TRIM(AN393)="","Yes","No")</f>
        <v>No</v>
      </c>
      <c r="AC393" s="0" t="str">
        <f aca="false">IF(TRIM(AS393)="","Yes","No")</f>
        <v>No</v>
      </c>
      <c r="AD393" s="0" t="str">
        <f aca="false">IF(AT393="","Yes","No")</f>
        <v>No</v>
      </c>
      <c r="AE393" s="0" t="str">
        <f aca="false">IF(W393&lt;0,"Yes","No")</f>
        <v>No</v>
      </c>
      <c r="AF393" s="0" t="str">
        <f aca="false">IF(P393="","No",IF(OR(P393&lt;0,P393&gt;0.3),"Yes","No"))</f>
        <v>No</v>
      </c>
      <c r="AG393" s="4" t="s">
        <v>50</v>
      </c>
      <c r="AH393" s="0" t="str">
        <f aca="false">IF(AND(AA393="Completed",Z393="Paid"),"Yes","No")</f>
        <v>Yes</v>
      </c>
      <c r="AI393" s="0" t="str">
        <f aca="false">IF(OR(AE393="Yes",AF393="Yes",AG393="Yes"),"Invalid",IF(OR(AB393="Yes",AC393="Yes",AD393="Yes"),"Warning","Clean"))</f>
        <v>Clean</v>
      </c>
      <c r="AJ393" s="4" t="s">
        <v>1583</v>
      </c>
      <c r="AK393" s="4" t="s">
        <v>1598</v>
      </c>
      <c r="AL393" s="4" t="s">
        <v>216</v>
      </c>
      <c r="AM393" s="4" t="s">
        <v>54</v>
      </c>
      <c r="AN393" s="4" t="s">
        <v>87</v>
      </c>
      <c r="AO393" s="4" t="s">
        <v>233</v>
      </c>
      <c r="AP393" s="4" t="s">
        <v>234</v>
      </c>
      <c r="AQ393" s="4" t="s">
        <v>58</v>
      </c>
      <c r="AR393" s="4" t="s">
        <v>171</v>
      </c>
      <c r="AS393" s="4" t="s">
        <v>81</v>
      </c>
      <c r="AT393" s="0" t="n">
        <v>0</v>
      </c>
      <c r="AU393" s="4" t="s">
        <v>61</v>
      </c>
      <c r="AV393" s="4" t="s">
        <v>62</v>
      </c>
    </row>
    <row r="394" customFormat="false" ht="15" hidden="false" customHeight="false" outlineLevel="0" collapsed="false">
      <c r="A394" s="0" t="s">
        <v>1599</v>
      </c>
      <c r="B394" s="3" t="n">
        <f aca="false">IF(AJ394="","",IF(ISNUMBER(SEARCH("/",AJ394)),DATE(VALUE(RIGHT(AJ394,4)),VALUE(LEFT(AJ394,2)),VALUE(MID(AJ394,4,2))),IF(ISNUMBER(SEARCH("-",AJ394)),IF(LEN(LEFT(AJ394,FIND("-",AJ394)-1))=4,DATE(VALUE(LEFT(AJ394,4)),VALUE(MID(AJ394,6,2)),VALUE(RIGHT(AJ394,2))),DATE(VALUE(RIGHT(AJ394,4)),VALUE(MID(AJ394,4,2)),VALUE(LEFT(AJ394,2)))),DATE(VALUE(RIGHT(AJ394,4)),MATCH(MID(AJ394,4,3),{"Jan","Feb","Mar","Apr","May","Jun","Jul","Aug","Sep","Oct","Nov","Dec"},0),VALUE(LEFT(AJ394,2))))))</f>
        <v>45341</v>
      </c>
      <c r="C394" s="3" t="n">
        <f aca="false">IF(AK394="","",IF(ISNUMBER(SEARCH("/",AK394)),DATE(VALUE(RIGHT(AK394,4)),VALUE(LEFT(AK394,2)),VALUE(MID(AK394,4,2))),IF(ISNUMBER(SEARCH("-",AK394)),IF(LEN(LEFT(AK394,FIND("-",AK394)-1))=4,DATE(VALUE(LEFT(AK394,4)),VALUE(MID(AK394,6,2)),VALUE(RIGHT(AK394,2))),DATE(VALUE(RIGHT(AK394,4)),VALUE(MID(AK394,4,2)),VALUE(LEFT(AK394,2)))),DATE(VALUE(RIGHT(AK394,4)),MATCH(MID(AK394,4,3),{"Jan","Feb","Mar","Apr","May","Jun","Jul","Aug","Sep","Oct","Nov","Dec"},0),VALUE(LEFT(AK394,2))))))</f>
        <v>45344</v>
      </c>
      <c r="D394" s="4" t="s">
        <v>1600</v>
      </c>
      <c r="E394" s="0" t="str">
        <f aca="false">PROPER(TRIM(AL394))</f>
        <v>Aditi Sen</v>
      </c>
      <c r="F394" s="0" t="str">
        <f aca="false">PROPER(TRIM(AM394))</f>
        <v>Small Business</v>
      </c>
      <c r="G394" s="0" t="str">
        <f aca="false">IF(TRIM(AN394)="","Unknown",PROPER(TRIM(AN394)))</f>
        <v>South</v>
      </c>
      <c r="H394" s="0" t="str">
        <f aca="false">PROPER(TRIM(AO394))</f>
        <v>Kerala</v>
      </c>
      <c r="I394" s="0" t="str">
        <f aca="false">PROPER(TRIM(AP394))</f>
        <v>Kochi</v>
      </c>
      <c r="J394" s="0" t="str">
        <f aca="false">PROPER(TRIM(AQ394))</f>
        <v>Furniture</v>
      </c>
      <c r="K394" s="0" t="str">
        <f aca="false">PROPER(TRIM(AR394))</f>
        <v>Furnishings</v>
      </c>
      <c r="M394" s="0" t="str">
        <f aca="false">IF(TRIM(AS394)="","Unknown",PROPER(TRIM(AS394)))</f>
        <v>Same Day</v>
      </c>
      <c r="N394" s="0" t="n">
        <v>9</v>
      </c>
      <c r="O394" s="0" t="n">
        <v>4053.01</v>
      </c>
      <c r="P394" s="5" t="n">
        <f aca="false">IF(AT394="","",IF(ISNUMBER(AT394),AT394,VALUE(SUBSTITUTE(AT394,"%",""))/100))</f>
        <v>0</v>
      </c>
      <c r="Q394" s="5" t="n">
        <f aca="false">IF(P394="",IF(AND(N394&lt;&gt;"",O394&lt;&gt;"",R394&lt;&gt;"",S394&lt;&gt;""),0,"REVIEW"),IF(OR(P394&lt;0,P394&gt;0.3),0,P394))</f>
        <v>0</v>
      </c>
      <c r="R394" s="0" t="n">
        <v>36477.09</v>
      </c>
      <c r="S394" s="0" t="n">
        <v>24525.48</v>
      </c>
      <c r="T394" s="6" t="n">
        <f aca="false">N394*O394*(1-Q394)</f>
        <v>36477.09</v>
      </c>
      <c r="U394" s="6" t="n">
        <f aca="false">T394-S394</f>
        <v>11951.61</v>
      </c>
      <c r="V394" s="7" t="n">
        <f aca="false">IF(T394=0,0,U394/T394)</f>
        <v>0.327647024474814</v>
      </c>
      <c r="W394" s="4" t="n">
        <f aca="false">C394-B394</f>
        <v>3</v>
      </c>
      <c r="X394" s="0" t="str">
        <f aca="false">TEXT(B394,"mmmm")</f>
        <v>February</v>
      </c>
      <c r="Y394" s="4" t="n">
        <f aca="false">YEAR(B394)</f>
        <v>2024</v>
      </c>
      <c r="Z394" s="0" t="str">
        <f aca="false">PROPER(TRIM(AU394))</f>
        <v>Paid</v>
      </c>
      <c r="AA394" s="0" t="str">
        <f aca="false">PROPER(TRIM(AV394))</f>
        <v>Completed</v>
      </c>
      <c r="AB394" s="0" t="str">
        <f aca="false">IF(TRIM(AN394)="","Yes","No")</f>
        <v>No</v>
      </c>
      <c r="AC394" s="0" t="str">
        <f aca="false">IF(TRIM(AS394)="","Yes","No")</f>
        <v>No</v>
      </c>
      <c r="AD394" s="0" t="str">
        <f aca="false">IF(AT394="","Yes","No")</f>
        <v>No</v>
      </c>
      <c r="AE394" s="0" t="str">
        <f aca="false">IF(W394&lt;0,"Yes","No")</f>
        <v>No</v>
      </c>
      <c r="AF394" s="0" t="str">
        <f aca="false">IF(P394="","No",IF(OR(P394&lt;0,P394&gt;0.3),"Yes","No"))</f>
        <v>No</v>
      </c>
      <c r="AG394" s="4" t="s">
        <v>50</v>
      </c>
      <c r="AH394" s="0" t="str">
        <f aca="false">IF(AND(AA394="Completed",Z394="Paid"),"Yes","No")</f>
        <v>Yes</v>
      </c>
      <c r="AI394" s="0" t="str">
        <f aca="false">IF(OR(AE394="Yes",AF394="Yes",AG394="Yes"),"Invalid",IF(OR(AB394="Yes",AC394="Yes",AD394="Yes"),"Warning","Clean"))</f>
        <v>Clean</v>
      </c>
      <c r="AJ394" s="4" t="s">
        <v>1601</v>
      </c>
      <c r="AK394" s="4" t="s">
        <v>1602</v>
      </c>
      <c r="AL394" s="4" t="s">
        <v>127</v>
      </c>
      <c r="AM394" s="4" t="s">
        <v>68</v>
      </c>
      <c r="AN394" s="4" t="s">
        <v>87</v>
      </c>
      <c r="AO394" s="4" t="s">
        <v>244</v>
      </c>
      <c r="AP394" s="4" t="s">
        <v>245</v>
      </c>
      <c r="AQ394" s="4" t="s">
        <v>72</v>
      </c>
      <c r="AR394" s="4" t="s">
        <v>90</v>
      </c>
      <c r="AS394" s="4" t="s">
        <v>74</v>
      </c>
      <c r="AT394" s="0" t="n">
        <v>0</v>
      </c>
      <c r="AU394" s="4" t="s">
        <v>61</v>
      </c>
      <c r="AV394" s="4" t="s">
        <v>62</v>
      </c>
    </row>
    <row r="395" customFormat="false" ht="15" hidden="false" customHeight="false" outlineLevel="0" collapsed="false">
      <c r="A395" s="0" t="s">
        <v>1603</v>
      </c>
      <c r="B395" s="3" t="n">
        <f aca="false">IF(AJ395="","",IF(ISNUMBER(SEARCH("/",AJ395)),DATE(VALUE(RIGHT(AJ395,4)),VALUE(LEFT(AJ395,2)),VALUE(MID(AJ395,4,2))),IF(ISNUMBER(SEARCH("-",AJ395)),IF(LEN(LEFT(AJ395,FIND("-",AJ395)-1))=4,DATE(VALUE(LEFT(AJ395,4)),VALUE(MID(AJ395,6,2)),VALUE(RIGHT(AJ395,2))),DATE(VALUE(RIGHT(AJ395,4)),VALUE(MID(AJ395,4,2)),VALUE(LEFT(AJ395,2)))),DATE(VALUE(RIGHT(AJ395,4)),MATCH(MID(AJ395,4,3),{"Jan","Feb","Mar","Apr","May","Jun","Jul","Aug","Sep","Oct","Nov","Dec"},0),VALUE(LEFT(AJ395,2))))))</f>
        <v>45527</v>
      </c>
      <c r="C395" s="3" t="n">
        <f aca="false">IF(AK395="","",IF(ISNUMBER(SEARCH("/",AK395)),DATE(VALUE(RIGHT(AK395,4)),VALUE(LEFT(AK395,2)),VALUE(MID(AK395,4,2))),IF(ISNUMBER(SEARCH("-",AK395)),IF(LEN(LEFT(AK395,FIND("-",AK395)-1))=4,DATE(VALUE(LEFT(AK395,4)),VALUE(MID(AK395,6,2)),VALUE(RIGHT(AK395,2))),DATE(VALUE(RIGHT(AK395,4)),VALUE(MID(AK395,4,2)),VALUE(LEFT(AK395,2)))),DATE(VALUE(RIGHT(AK395,4)),MATCH(MID(AK395,4,3),{"Jan","Feb","Mar","Apr","May","Jun","Jul","Aug","Sep","Oct","Nov","Dec"},0),VALUE(LEFT(AK395,2))))))</f>
        <v>45533</v>
      </c>
      <c r="D395" s="4" t="s">
        <v>1604</v>
      </c>
      <c r="E395" s="0" t="str">
        <f aca="false">PROPER(TRIM(AL395))</f>
        <v>Mira Das</v>
      </c>
      <c r="F395" s="0" t="str">
        <f aca="false">PROPER(TRIM(AM395))</f>
        <v>Corporate</v>
      </c>
      <c r="G395" s="0" t="str">
        <f aca="false">IF(TRIM(AN395)="","Unknown",PROPER(TRIM(AN395)))</f>
        <v>North</v>
      </c>
      <c r="H395" s="0" t="str">
        <f aca="false">PROPER(TRIM(AO395))</f>
        <v>Uttar Pradesh</v>
      </c>
      <c r="I395" s="0" t="str">
        <f aca="false">PROPER(TRIM(AP395))</f>
        <v>Noida</v>
      </c>
      <c r="J395" s="0" t="str">
        <f aca="false">PROPER(TRIM(AQ395))</f>
        <v>Office Supplies</v>
      </c>
      <c r="K395" s="0" t="str">
        <f aca="false">PROPER(TRIM(AR395))</f>
        <v>Labels</v>
      </c>
      <c r="M395" s="0" t="str">
        <f aca="false">IF(TRIM(AS395)="","Unknown",PROPER(TRIM(AS395)))</f>
        <v>Same Day</v>
      </c>
      <c r="N395" s="0" t="n">
        <v>2</v>
      </c>
      <c r="O395" s="0" t="n">
        <v>1936.91</v>
      </c>
      <c r="P395" s="5" t="n">
        <f aca="false">IF(AT395="","",IF(ISNUMBER(AT395),AT395,VALUE(SUBSTITUTE(AT395,"%",""))/100))</f>
        <v>0.05</v>
      </c>
      <c r="Q395" s="5" t="n">
        <f aca="false">IF(P395="",IF(AND(N395&lt;&gt;"",O395&lt;&gt;"",R395&lt;&gt;"",S395&lt;&gt;""),0,"REVIEW"),IF(OR(P395&lt;0,P395&gt;0.3),0,P395))</f>
        <v>0.05</v>
      </c>
      <c r="R395" s="0" t="n">
        <v>3680.13</v>
      </c>
      <c r="S395" s="0" t="n">
        <v>2967.46</v>
      </c>
      <c r="T395" s="6" t="n">
        <f aca="false">N395*O395*(1-Q395)</f>
        <v>3680.129</v>
      </c>
      <c r="U395" s="6" t="n">
        <f aca="false">T395-S395</f>
        <v>712.669</v>
      </c>
      <c r="V395" s="7" t="n">
        <f aca="false">IF(T395=0,0,U395/T395)</f>
        <v>0.193653265958883</v>
      </c>
      <c r="W395" s="4" t="n">
        <f aca="false">C395-B395</f>
        <v>6</v>
      </c>
      <c r="X395" s="0" t="str">
        <f aca="false">TEXT(B395,"mmmm")</f>
        <v>August</v>
      </c>
      <c r="Y395" s="4" t="n">
        <f aca="false">YEAR(B395)</f>
        <v>2024</v>
      </c>
      <c r="Z395" s="0" t="str">
        <f aca="false">PROPER(TRIM(AU395))</f>
        <v>Paid</v>
      </c>
      <c r="AA395" s="0" t="str">
        <f aca="false">PROPER(TRIM(AV395))</f>
        <v>Completed</v>
      </c>
      <c r="AB395" s="0" t="str">
        <f aca="false">IF(TRIM(AN395)="","Yes","No")</f>
        <v>No</v>
      </c>
      <c r="AC395" s="0" t="str">
        <f aca="false">IF(TRIM(AS395)="","Yes","No")</f>
        <v>No</v>
      </c>
      <c r="AD395" s="0" t="str">
        <f aca="false">IF(AT395="","Yes","No")</f>
        <v>No</v>
      </c>
      <c r="AE395" s="0" t="str">
        <f aca="false">IF(W395&lt;0,"Yes","No")</f>
        <v>No</v>
      </c>
      <c r="AF395" s="0" t="str">
        <f aca="false">IF(P395="","No",IF(OR(P395&lt;0,P395&gt;0.3),"Yes","No"))</f>
        <v>No</v>
      </c>
      <c r="AG395" s="4" t="s">
        <v>50</v>
      </c>
      <c r="AH395" s="0" t="str">
        <f aca="false">IF(AND(AA395="Completed",Z395="Paid"),"Yes","No")</f>
        <v>Yes</v>
      </c>
      <c r="AI395" s="0" t="str">
        <f aca="false">IF(OR(AE395="Yes",AF395="Yes",AG395="Yes"),"Invalid",IF(OR(AB395="Yes",AC395="Yes",AD395="Yes"),"Warning","Clean"))</f>
        <v>Clean</v>
      </c>
      <c r="AJ395" s="4" t="s">
        <v>1605</v>
      </c>
      <c r="AK395" s="4" t="s">
        <v>1606</v>
      </c>
      <c r="AL395" s="4" t="s">
        <v>67</v>
      </c>
      <c r="AM395" s="4" t="s">
        <v>128</v>
      </c>
      <c r="AN395" s="4" t="s">
        <v>168</v>
      </c>
      <c r="AO395" s="4" t="s">
        <v>186</v>
      </c>
      <c r="AP395" s="4" t="s">
        <v>187</v>
      </c>
      <c r="AQ395" s="4" t="s">
        <v>58</v>
      </c>
      <c r="AR395" s="4" t="s">
        <v>129</v>
      </c>
      <c r="AS395" s="4" t="s">
        <v>74</v>
      </c>
      <c r="AT395" s="0" t="n">
        <v>0.05</v>
      </c>
      <c r="AU395" s="4" t="s">
        <v>61</v>
      </c>
      <c r="AV395" s="4" t="s">
        <v>62</v>
      </c>
    </row>
    <row r="396" customFormat="false" ht="15" hidden="false" customHeight="false" outlineLevel="0" collapsed="false">
      <c r="A396" s="0" t="s">
        <v>1607</v>
      </c>
      <c r="B396" s="3" t="n">
        <f aca="false">IF(AJ396="","",IF(ISNUMBER(SEARCH("/",AJ396)),DATE(VALUE(RIGHT(AJ396,4)),VALUE(LEFT(AJ396,2)),VALUE(MID(AJ396,4,2))),IF(ISNUMBER(SEARCH("-",AJ396)),IF(LEN(LEFT(AJ396,FIND("-",AJ396)-1))=4,DATE(VALUE(LEFT(AJ396,4)),VALUE(MID(AJ396,6,2)),VALUE(RIGHT(AJ396,2))),DATE(VALUE(RIGHT(AJ396,4)),VALUE(MID(AJ396,4,2)),VALUE(LEFT(AJ396,2)))),DATE(VALUE(RIGHT(AJ396,4)),MATCH(MID(AJ396,4,3),{"Jan","Feb","Mar","Apr","May","Jun","Jul","Aug","Sep","Oct","Nov","Dec"},0),VALUE(LEFT(AJ396,2))))))</f>
        <v>45385</v>
      </c>
      <c r="C396" s="3" t="n">
        <f aca="false">IF(AK396="","",IF(ISNUMBER(SEARCH("/",AK396)),DATE(VALUE(RIGHT(AK396,4)),VALUE(LEFT(AK396,2)),VALUE(MID(AK396,4,2))),IF(ISNUMBER(SEARCH("-",AK396)),IF(LEN(LEFT(AK396,FIND("-",AK396)-1))=4,DATE(VALUE(LEFT(AK396,4)),VALUE(MID(AK396,6,2)),VALUE(RIGHT(AK396,2))),DATE(VALUE(RIGHT(AK396,4)),VALUE(MID(AK396,4,2)),VALUE(LEFT(AK396,2)))),DATE(VALUE(RIGHT(AK396,4)),MATCH(MID(AK396,4,3),{"Jan","Feb","Mar","Apr","May","Jun","Jul","Aug","Sep","Oct","Nov","Dec"},0),VALUE(LEFT(AK396,2))))))</f>
        <v>45386</v>
      </c>
      <c r="D396" s="4" t="s">
        <v>1608</v>
      </c>
      <c r="E396" s="0" t="str">
        <f aca="false">PROPER(TRIM(AL396))</f>
        <v>Kabir Singh</v>
      </c>
      <c r="F396" s="0" t="str">
        <f aca="false">PROPER(TRIM(AM396))</f>
        <v>Consumer</v>
      </c>
      <c r="G396" s="0" t="str">
        <f aca="false">IF(TRIM(AN396)="","Unknown",PROPER(TRIM(AN396)))</f>
        <v>West</v>
      </c>
      <c r="H396" s="0" t="str">
        <f aca="false">PROPER(TRIM(AO396))</f>
        <v>Maharashtra</v>
      </c>
      <c r="I396" s="0" t="str">
        <f aca="false">PROPER(TRIM(AP396))</f>
        <v>Mumbai</v>
      </c>
      <c r="J396" s="0" t="str">
        <f aca="false">PROPER(TRIM(AQ396))</f>
        <v>Furniture</v>
      </c>
      <c r="K396" s="0" t="str">
        <f aca="false">PROPER(TRIM(AR396))</f>
        <v>Furnishings</v>
      </c>
      <c r="M396" s="0" t="str">
        <f aca="false">IF(TRIM(AS396)="","Unknown",PROPER(TRIM(AS396)))</f>
        <v>First Class</v>
      </c>
      <c r="N396" s="0" t="n">
        <v>7</v>
      </c>
      <c r="O396" s="0" t="n">
        <v>3945.21</v>
      </c>
      <c r="P396" s="5" t="n">
        <f aca="false">IF(AT396="","",IF(ISNUMBER(AT396),AT396,VALUE(SUBSTITUTE(AT396,"%",""))/100))</f>
        <v>0</v>
      </c>
      <c r="Q396" s="5" t="n">
        <f aca="false">IF(P396="",IF(AND(N396&lt;&gt;"",O396&lt;&gt;"",R396&lt;&gt;"",S396&lt;&gt;""),0,"REVIEW"),IF(OR(P396&lt;0,P396&gt;0.3),0,P396))</f>
        <v>0</v>
      </c>
      <c r="R396" s="0" t="n">
        <v>27616.47</v>
      </c>
      <c r="S396" s="0" t="n">
        <v>21225.26</v>
      </c>
      <c r="T396" s="6" t="n">
        <f aca="false">N396*O396*(1-Q396)</f>
        <v>27616.47</v>
      </c>
      <c r="U396" s="6" t="n">
        <f aca="false">T396-S396</f>
        <v>6391.21</v>
      </c>
      <c r="V396" s="7" t="n">
        <f aca="false">IF(T396=0,0,U396/T396)</f>
        <v>0.231427477878237</v>
      </c>
      <c r="W396" s="4" t="n">
        <f aca="false">C396-B396</f>
        <v>1</v>
      </c>
      <c r="X396" s="0" t="str">
        <f aca="false">TEXT(B396,"mmmm")</f>
        <v>April</v>
      </c>
      <c r="Y396" s="4" t="n">
        <f aca="false">YEAR(B396)</f>
        <v>2024</v>
      </c>
      <c r="Z396" s="0" t="str">
        <f aca="false">PROPER(TRIM(AU396))</f>
        <v>Paid</v>
      </c>
      <c r="AA396" s="0" t="str">
        <f aca="false">PROPER(TRIM(AV396))</f>
        <v>Completed</v>
      </c>
      <c r="AB396" s="0" t="str">
        <f aca="false">IF(TRIM(AN396)="","Yes","No")</f>
        <v>No</v>
      </c>
      <c r="AC396" s="0" t="str">
        <f aca="false">IF(TRIM(AS396)="","Yes","No")</f>
        <v>No</v>
      </c>
      <c r="AD396" s="0" t="str">
        <f aca="false">IF(AT396="","Yes","No")</f>
        <v>No</v>
      </c>
      <c r="AE396" s="0" t="str">
        <f aca="false">IF(W396&lt;0,"Yes","No")</f>
        <v>No</v>
      </c>
      <c r="AF396" s="0" t="str">
        <f aca="false">IF(P396="","No",IF(OR(P396&lt;0,P396&gt;0.3),"Yes","No"))</f>
        <v>No</v>
      </c>
      <c r="AG396" s="4" t="s">
        <v>50</v>
      </c>
      <c r="AH396" s="0" t="str">
        <f aca="false">IF(AND(AA396="Completed",Z396="Paid"),"Yes","No")</f>
        <v>Yes</v>
      </c>
      <c r="AI396" s="0" t="str">
        <f aca="false">IF(OR(AE396="Yes",AF396="Yes",AG396="Yes"),"Invalid",IF(OR(AB396="Yes",AC396="Yes",AD396="Yes"),"Warning","Clean"))</f>
        <v>Clean</v>
      </c>
      <c r="AJ396" s="4" t="s">
        <v>1609</v>
      </c>
      <c r="AK396" s="4" t="s">
        <v>1610</v>
      </c>
      <c r="AL396" s="4" t="s">
        <v>347</v>
      </c>
      <c r="AM396" s="4" t="s">
        <v>54</v>
      </c>
      <c r="AN396" s="4" t="s">
        <v>97</v>
      </c>
      <c r="AO396" s="4" t="s">
        <v>98</v>
      </c>
      <c r="AP396" s="4" t="s">
        <v>99</v>
      </c>
      <c r="AQ396" s="4" t="s">
        <v>72</v>
      </c>
      <c r="AR396" s="4" t="s">
        <v>90</v>
      </c>
      <c r="AS396" s="4" t="s">
        <v>81</v>
      </c>
      <c r="AT396" s="0" t="n">
        <v>0</v>
      </c>
      <c r="AU396" s="4" t="s">
        <v>61</v>
      </c>
      <c r="AV396" s="4" t="s">
        <v>62</v>
      </c>
    </row>
    <row r="397" customFormat="false" ht="15" hidden="false" customHeight="false" outlineLevel="0" collapsed="false">
      <c r="A397" s="0" t="s">
        <v>1611</v>
      </c>
      <c r="B397" s="3" t="n">
        <f aca="false">IF(AJ397="","",IF(ISNUMBER(SEARCH("/",AJ397)),DATE(VALUE(RIGHT(AJ397,4)),VALUE(LEFT(AJ397,2)),VALUE(MID(AJ397,4,2))),IF(ISNUMBER(SEARCH("-",AJ397)),IF(LEN(LEFT(AJ397,FIND("-",AJ397)-1))=4,DATE(VALUE(LEFT(AJ397,4)),VALUE(MID(AJ397,6,2)),VALUE(RIGHT(AJ397,2))),DATE(VALUE(RIGHT(AJ397,4)),VALUE(MID(AJ397,4,2)),VALUE(LEFT(AJ397,2)))),DATE(VALUE(RIGHT(AJ397,4)),MATCH(MID(AJ397,4,3),{"Jan","Feb","Mar","Apr","May","Jun","Jul","Aug","Sep","Oct","Nov","Dec"},0),VALUE(LEFT(AJ397,2))))))</f>
        <v>45449</v>
      </c>
      <c r="C397" s="3" t="n">
        <f aca="false">IF(AK397="","",IF(ISNUMBER(SEARCH("/",AK397)),DATE(VALUE(RIGHT(AK397,4)),VALUE(LEFT(AK397,2)),VALUE(MID(AK397,4,2))),IF(ISNUMBER(SEARCH("-",AK397)),IF(LEN(LEFT(AK397,FIND("-",AK397)-1))=4,DATE(VALUE(LEFT(AK397,4)),VALUE(MID(AK397,6,2)),VALUE(RIGHT(AK397,2))),DATE(VALUE(RIGHT(AK397,4)),VALUE(MID(AK397,4,2)),VALUE(LEFT(AK397,2)))),DATE(VALUE(RIGHT(AK397,4)),MATCH(MID(AK397,4,3),{"Jan","Feb","Mar","Apr","May","Jun","Jul","Aug","Sep","Oct","Nov","Dec"},0),VALUE(LEFT(AK397,2))))))</f>
        <v>45450</v>
      </c>
      <c r="D397" s="4" t="s">
        <v>1612</v>
      </c>
      <c r="E397" s="0" t="str">
        <f aca="false">PROPER(TRIM(AL397))</f>
        <v>Rahul Verma</v>
      </c>
      <c r="F397" s="0" t="str">
        <f aca="false">PROPER(TRIM(AM397))</f>
        <v>Home Office</v>
      </c>
      <c r="G397" s="0" t="str">
        <f aca="false">IF(TRIM(AN397)="","Unknown",PROPER(TRIM(AN397)))</f>
        <v>South</v>
      </c>
      <c r="H397" s="0" t="str">
        <f aca="false">PROPER(TRIM(AO397))</f>
        <v>Tamil Nadu</v>
      </c>
      <c r="I397" s="0" t="str">
        <f aca="false">PROPER(TRIM(AP397))</f>
        <v>Chennai</v>
      </c>
      <c r="J397" s="0" t="str">
        <f aca="false">PROPER(TRIM(AQ397))</f>
        <v>Furniture</v>
      </c>
      <c r="K397" s="0" t="str">
        <f aca="false">PROPER(TRIM(AR397))</f>
        <v>Tables</v>
      </c>
      <c r="M397" s="0" t="str">
        <f aca="false">IF(TRIM(AS397)="","Unknown",PROPER(TRIM(AS397)))</f>
        <v>Same Day</v>
      </c>
      <c r="N397" s="0" t="n">
        <v>7</v>
      </c>
      <c r="O397" s="0" t="n">
        <v>861.91</v>
      </c>
      <c r="P397" s="5" t="n">
        <f aca="false">IF(AT397="","",IF(ISNUMBER(AT397),AT397,VALUE(SUBSTITUTE(AT397,"%",""))/100))</f>
        <v>0.05</v>
      </c>
      <c r="Q397" s="5" t="n">
        <f aca="false">IF(P397="",IF(AND(N397&lt;&gt;"",O397&lt;&gt;"",R397&lt;&gt;"",S397&lt;&gt;""),0,"REVIEW"),IF(OR(P397&lt;0,P397&gt;0.3),0,P397))</f>
        <v>0.05</v>
      </c>
      <c r="R397" s="0" t="n">
        <v>5731.7</v>
      </c>
      <c r="S397" s="0" t="n">
        <v>4115.56</v>
      </c>
      <c r="T397" s="6" t="n">
        <f aca="false">N397*O397*(1-Q397)</f>
        <v>5731.7015</v>
      </c>
      <c r="U397" s="6" t="n">
        <f aca="false">T397-S397</f>
        <v>1616.1415</v>
      </c>
      <c r="V397" s="7" t="n">
        <f aca="false">IF(T397=0,0,U397/T397)</f>
        <v>0.281965398930841</v>
      </c>
      <c r="W397" s="4" t="n">
        <f aca="false">C397-B397</f>
        <v>1</v>
      </c>
      <c r="X397" s="0" t="str">
        <f aca="false">TEXT(B397,"mmmm")</f>
        <v>June</v>
      </c>
      <c r="Y397" s="4" t="n">
        <f aca="false">YEAR(B397)</f>
        <v>2024</v>
      </c>
      <c r="Z397" s="0" t="str">
        <f aca="false">PROPER(TRIM(AU397))</f>
        <v>Paid</v>
      </c>
      <c r="AA397" s="0" t="str">
        <f aca="false">PROPER(TRIM(AV397))</f>
        <v>Completed</v>
      </c>
      <c r="AB397" s="0" t="str">
        <f aca="false">IF(TRIM(AN397)="","Yes","No")</f>
        <v>No</v>
      </c>
      <c r="AC397" s="0" t="str">
        <f aca="false">IF(TRIM(AS397)="","Yes","No")</f>
        <v>No</v>
      </c>
      <c r="AD397" s="0" t="str">
        <f aca="false">IF(AT397="","Yes","No")</f>
        <v>No</v>
      </c>
      <c r="AE397" s="0" t="str">
        <f aca="false">IF(W397&lt;0,"Yes","No")</f>
        <v>No</v>
      </c>
      <c r="AF397" s="0" t="str">
        <f aca="false">IF(P397="","No",IF(OR(P397&lt;0,P397&gt;0.3),"Yes","No"))</f>
        <v>No</v>
      </c>
      <c r="AG397" s="4" t="s">
        <v>50</v>
      </c>
      <c r="AH397" s="0" t="str">
        <f aca="false">IF(AND(AA397="Completed",Z397="Paid"),"Yes","No")</f>
        <v>Yes</v>
      </c>
      <c r="AI397" s="0" t="str">
        <f aca="false">IF(OR(AE397="Yes",AF397="Yes",AG397="Yes"),"Invalid",IF(OR(AB397="Yes",AC397="Yes",AD397="Yes"),"Warning","Clean"))</f>
        <v>Clean</v>
      </c>
      <c r="AJ397" s="4" t="s">
        <v>913</v>
      </c>
      <c r="AK397" s="4" t="s">
        <v>1455</v>
      </c>
      <c r="AL397" s="4" t="s">
        <v>163</v>
      </c>
      <c r="AM397" s="4" t="s">
        <v>134</v>
      </c>
      <c r="AN397" s="4" t="s">
        <v>87</v>
      </c>
      <c r="AO397" s="4" t="s">
        <v>323</v>
      </c>
      <c r="AP397" s="4" t="s">
        <v>324</v>
      </c>
      <c r="AQ397" s="4" t="s">
        <v>72</v>
      </c>
      <c r="AR397" s="4" t="s">
        <v>73</v>
      </c>
      <c r="AS397" s="4" t="s">
        <v>74</v>
      </c>
      <c r="AT397" s="0" t="n">
        <v>0.05</v>
      </c>
      <c r="AU397" s="4" t="s">
        <v>61</v>
      </c>
      <c r="AV397" s="4" t="s">
        <v>62</v>
      </c>
    </row>
    <row r="398" customFormat="false" ht="15" hidden="false" customHeight="false" outlineLevel="0" collapsed="false">
      <c r="A398" s="0" t="s">
        <v>1613</v>
      </c>
      <c r="B398" s="3" t="n">
        <f aca="false">IF(AJ398="","",IF(ISNUMBER(SEARCH("/",AJ398)),DATE(VALUE(RIGHT(AJ398,4)),VALUE(LEFT(AJ398,2)),VALUE(MID(AJ398,4,2))),IF(ISNUMBER(SEARCH("-",AJ398)),IF(LEN(LEFT(AJ398,FIND("-",AJ398)-1))=4,DATE(VALUE(LEFT(AJ398,4)),VALUE(MID(AJ398,6,2)),VALUE(RIGHT(AJ398,2))),DATE(VALUE(RIGHT(AJ398,4)),VALUE(MID(AJ398,4,2)),VALUE(LEFT(AJ398,2)))),DATE(VALUE(RIGHT(AJ398,4)),MATCH(MID(AJ398,4,3),{"Jan","Feb","Mar","Apr","May","Jun","Jul","Aug","Sep","Oct","Nov","Dec"},0),VALUE(LEFT(AJ398,2))))))</f>
        <v>45761</v>
      </c>
      <c r="C398" s="3" t="n">
        <f aca="false">IF(AK398="","",IF(ISNUMBER(SEARCH("/",AK398)),DATE(VALUE(RIGHT(AK398,4)),VALUE(LEFT(AK398,2)),VALUE(MID(AK398,4,2))),IF(ISNUMBER(SEARCH("-",AK398)),IF(LEN(LEFT(AK398,FIND("-",AK398)-1))=4,DATE(VALUE(LEFT(AK398,4)),VALUE(MID(AK398,6,2)),VALUE(RIGHT(AK398,2))),DATE(VALUE(RIGHT(AK398,4)),VALUE(MID(AK398,4,2)),VALUE(LEFT(AK398,2)))),DATE(VALUE(RIGHT(AK398,4)),MATCH(MID(AK398,4,3),{"Jan","Feb","Mar","Apr","May","Jun","Jul","Aug","Sep","Oct","Nov","Dec"},0),VALUE(LEFT(AK398,2))))))</f>
        <v>45769</v>
      </c>
      <c r="D398" s="4" t="s">
        <v>1614</v>
      </c>
      <c r="E398" s="0" t="str">
        <f aca="false">PROPER(TRIM(AL398))</f>
        <v>Aditi Sen</v>
      </c>
      <c r="F398" s="0" t="str">
        <f aca="false">PROPER(TRIM(AM398))</f>
        <v>Small Business</v>
      </c>
      <c r="G398" s="0" t="str">
        <f aca="false">IF(TRIM(AN398)="","Unknown",PROPER(TRIM(AN398)))</f>
        <v>South</v>
      </c>
      <c r="H398" s="0" t="str">
        <f aca="false">PROPER(TRIM(AO398))</f>
        <v>Karnataka</v>
      </c>
      <c r="I398" s="0" t="str">
        <f aca="false">PROPER(TRIM(AP398))</f>
        <v>Bengaluru</v>
      </c>
      <c r="J398" s="0" t="str">
        <f aca="false">PROPER(TRIM(AQ398))</f>
        <v>Technology</v>
      </c>
      <c r="K398" s="0" t="str">
        <f aca="false">PROPER(TRIM(AR398))</f>
        <v>Machines</v>
      </c>
      <c r="M398" s="0" t="str">
        <f aca="false">IF(TRIM(AS398)="","Unknown",PROPER(TRIM(AS398)))</f>
        <v>Standard Class</v>
      </c>
      <c r="N398" s="0" t="n">
        <v>2</v>
      </c>
      <c r="O398" s="0" t="n">
        <v>638.73</v>
      </c>
      <c r="P398" s="5" t="n">
        <f aca="false">IF(AT398="","",IF(ISNUMBER(AT398),AT398,VALUE(SUBSTITUTE(AT398,"%",""))/100))</f>
        <v>0.05</v>
      </c>
      <c r="Q398" s="5" t="n">
        <f aca="false">IF(P398="",IF(AND(N398&lt;&gt;"",O398&lt;&gt;"",R398&lt;&gt;"",S398&lt;&gt;""),0,"REVIEW"),IF(OR(P398&lt;0,P398&gt;0.3),0,P398))</f>
        <v>0.05</v>
      </c>
      <c r="R398" s="0" t="n">
        <v>1213.59</v>
      </c>
      <c r="S398" s="0" t="n">
        <v>956.22</v>
      </c>
      <c r="T398" s="6" t="n">
        <f aca="false">N398*O398*(1-Q398)</f>
        <v>1213.587</v>
      </c>
      <c r="U398" s="6" t="n">
        <f aca="false">T398-S398</f>
        <v>257.367</v>
      </c>
      <c r="V398" s="7" t="n">
        <f aca="false">IF(T398=0,0,U398/T398)</f>
        <v>0.212071322451542</v>
      </c>
      <c r="W398" s="4" t="n">
        <f aca="false">C398-B398</f>
        <v>8</v>
      </c>
      <c r="X398" s="0" t="str">
        <f aca="false">TEXT(B398,"mmmm")</f>
        <v>April</v>
      </c>
      <c r="Y398" s="4" t="n">
        <f aca="false">YEAR(B398)</f>
        <v>2025</v>
      </c>
      <c r="Z398" s="0" t="str">
        <f aca="false">PROPER(TRIM(AU398))</f>
        <v>Paid</v>
      </c>
      <c r="AA398" s="0" t="str">
        <f aca="false">PROPER(TRIM(AV398))</f>
        <v>Completed</v>
      </c>
      <c r="AB398" s="0" t="str">
        <f aca="false">IF(TRIM(AN398)="","Yes","No")</f>
        <v>No</v>
      </c>
      <c r="AC398" s="0" t="str">
        <f aca="false">IF(TRIM(AS398)="","Yes","No")</f>
        <v>No</v>
      </c>
      <c r="AD398" s="0" t="str">
        <f aca="false">IF(AT398="","Yes","No")</f>
        <v>No</v>
      </c>
      <c r="AE398" s="0" t="str">
        <f aca="false">IF(W398&lt;0,"Yes","No")</f>
        <v>No</v>
      </c>
      <c r="AF398" s="0" t="str">
        <f aca="false">IF(P398="","No",IF(OR(P398&lt;0,P398&gt;0.3),"Yes","No"))</f>
        <v>No</v>
      </c>
      <c r="AG398" s="4" t="s">
        <v>50</v>
      </c>
      <c r="AH398" s="0" t="str">
        <f aca="false">IF(AND(AA398="Completed",Z398="Paid"),"Yes","No")</f>
        <v>Yes</v>
      </c>
      <c r="AI398" s="0" t="str">
        <f aca="false">IF(OR(AE398="Yes",AF398="Yes",AG398="Yes"),"Invalid",IF(OR(AB398="Yes",AC398="Yes",AD398="Yes"),"Warning","Clean"))</f>
        <v>Clean</v>
      </c>
      <c r="AJ398" s="4" t="s">
        <v>1615</v>
      </c>
      <c r="AK398" s="4" t="s">
        <v>1616</v>
      </c>
      <c r="AL398" s="4" t="s">
        <v>127</v>
      </c>
      <c r="AM398" s="4" t="s">
        <v>68</v>
      </c>
      <c r="AN398" s="4" t="s">
        <v>87</v>
      </c>
      <c r="AO398" s="4" t="s">
        <v>233</v>
      </c>
      <c r="AP398" s="4" t="s">
        <v>234</v>
      </c>
      <c r="AQ398" s="4" t="s">
        <v>109</v>
      </c>
      <c r="AR398" s="4" t="s">
        <v>360</v>
      </c>
      <c r="AS398" s="4" t="s">
        <v>91</v>
      </c>
      <c r="AT398" s="0" t="n">
        <v>0.05</v>
      </c>
      <c r="AU398" s="4" t="s">
        <v>61</v>
      </c>
      <c r="AV398" s="4" t="s">
        <v>62</v>
      </c>
    </row>
    <row r="399" customFormat="false" ht="15" hidden="false" customHeight="false" outlineLevel="0" collapsed="false">
      <c r="A399" s="0" t="s">
        <v>1617</v>
      </c>
      <c r="B399" s="3" t="n">
        <f aca="false">IF(AJ399="","",IF(ISNUMBER(SEARCH("/",AJ399)),DATE(VALUE(RIGHT(AJ399,4)),VALUE(LEFT(AJ399,2)),VALUE(MID(AJ399,4,2))),IF(ISNUMBER(SEARCH("-",AJ399)),IF(LEN(LEFT(AJ399,FIND("-",AJ399)-1))=4,DATE(VALUE(LEFT(AJ399,4)),VALUE(MID(AJ399,6,2)),VALUE(RIGHT(AJ399,2))),DATE(VALUE(RIGHT(AJ399,4)),VALUE(MID(AJ399,4,2)),VALUE(LEFT(AJ399,2)))),DATE(VALUE(RIGHT(AJ399,4)),MATCH(MID(AJ399,4,3),{"Jan","Feb","Mar","Apr","May","Jun","Jul","Aug","Sep","Oct","Nov","Dec"},0),VALUE(LEFT(AJ399,2))))))</f>
        <v>45817</v>
      </c>
      <c r="C399" s="3" t="n">
        <f aca="false">IF(AK399="","",IF(ISNUMBER(SEARCH("/",AK399)),DATE(VALUE(RIGHT(AK399,4)),VALUE(LEFT(AK399,2)),VALUE(MID(AK399,4,2))),IF(ISNUMBER(SEARCH("-",AK399)),IF(LEN(LEFT(AK399,FIND("-",AK399)-1))=4,DATE(VALUE(LEFT(AK399,4)),VALUE(MID(AK399,6,2)),VALUE(RIGHT(AK399,2))),DATE(VALUE(RIGHT(AK399,4)),VALUE(MID(AK399,4,2)),VALUE(LEFT(AK399,2)))),DATE(VALUE(RIGHT(AK399,4)),MATCH(MID(AK399,4,3),{"Jan","Feb","Mar","Apr","May","Jun","Jul","Aug","Sep","Oct","Nov","Dec"},0),VALUE(LEFT(AK399,2))))))</f>
        <v>45818</v>
      </c>
      <c r="D399" s="4" t="s">
        <v>1618</v>
      </c>
      <c r="E399" s="0" t="str">
        <f aca="false">PROPER(TRIM(AL399))</f>
        <v>Sneha Kapoor</v>
      </c>
      <c r="F399" s="0" t="str">
        <f aca="false">PROPER(TRIM(AM399))</f>
        <v>Small Business</v>
      </c>
      <c r="G399" s="0" t="str">
        <f aca="false">IF(TRIM(AN399)="","Unknown",PROPER(TRIM(AN399)))</f>
        <v>North</v>
      </c>
      <c r="H399" s="0" t="str">
        <f aca="false">PROPER(TRIM(AO399))</f>
        <v>Uttar Pradesh</v>
      </c>
      <c r="I399" s="0" t="str">
        <f aca="false">PROPER(TRIM(AP399))</f>
        <v>Noida</v>
      </c>
      <c r="J399" s="0" t="str">
        <f aca="false">PROPER(TRIM(AQ399))</f>
        <v>Furniture</v>
      </c>
      <c r="K399" s="0" t="str">
        <f aca="false">PROPER(TRIM(AR399))</f>
        <v>Tables</v>
      </c>
      <c r="M399" s="0" t="str">
        <f aca="false">IF(TRIM(AS399)="","Unknown",PROPER(TRIM(AS399)))</f>
        <v>Second Class</v>
      </c>
      <c r="N399" s="0" t="n">
        <v>2</v>
      </c>
      <c r="O399" s="0" t="n">
        <v>1731.88</v>
      </c>
      <c r="P399" s="5" t="n">
        <f aca="false">IF(AT399="","",IF(ISNUMBER(AT399),AT399,VALUE(SUBSTITUTE(AT399,"%",""))/100))</f>
        <v>0</v>
      </c>
      <c r="Q399" s="5" t="n">
        <f aca="false">IF(P399="",IF(AND(N399&lt;&gt;"",O399&lt;&gt;"",R399&lt;&gt;"",S399&lt;&gt;""),0,"REVIEW"),IF(OR(P399&lt;0,P399&gt;0.3),0,P399))</f>
        <v>0</v>
      </c>
      <c r="R399" s="0" t="n">
        <v>3463.76</v>
      </c>
      <c r="S399" s="0" t="n">
        <v>2143.74</v>
      </c>
      <c r="T399" s="6" t="n">
        <f aca="false">N399*O399*(1-Q399)</f>
        <v>3463.76</v>
      </c>
      <c r="U399" s="6" t="n">
        <f aca="false">T399-S399</f>
        <v>1320.02</v>
      </c>
      <c r="V399" s="7" t="n">
        <f aca="false">IF(T399=0,0,U399/T399)</f>
        <v>0.38109453310853</v>
      </c>
      <c r="W399" s="4" t="n">
        <f aca="false">C399-B399</f>
        <v>1</v>
      </c>
      <c r="X399" s="0" t="str">
        <f aca="false">TEXT(B399,"mmmm")</f>
        <v>June</v>
      </c>
      <c r="Y399" s="4" t="n">
        <f aca="false">YEAR(B399)</f>
        <v>2025</v>
      </c>
      <c r="Z399" s="0" t="str">
        <f aca="false">PROPER(TRIM(AU399))</f>
        <v>Paid</v>
      </c>
      <c r="AA399" s="0" t="str">
        <f aca="false">PROPER(TRIM(AV399))</f>
        <v>Completed</v>
      </c>
      <c r="AB399" s="0" t="str">
        <f aca="false">IF(TRIM(AN399)="","Yes","No")</f>
        <v>No</v>
      </c>
      <c r="AC399" s="0" t="str">
        <f aca="false">IF(TRIM(AS399)="","Yes","No")</f>
        <v>No</v>
      </c>
      <c r="AD399" s="0" t="str">
        <f aca="false">IF(AT399="","Yes","No")</f>
        <v>No</v>
      </c>
      <c r="AE399" s="0" t="str">
        <f aca="false">IF(W399&lt;0,"Yes","No")</f>
        <v>No</v>
      </c>
      <c r="AF399" s="0" t="str">
        <f aca="false">IF(P399="","No",IF(OR(P399&lt;0,P399&gt;0.3),"Yes","No"))</f>
        <v>No</v>
      </c>
      <c r="AG399" s="4" t="s">
        <v>50</v>
      </c>
      <c r="AH399" s="0" t="str">
        <f aca="false">IF(AND(AA399="Completed",Z399="Paid"),"Yes","No")</f>
        <v>Yes</v>
      </c>
      <c r="AI399" s="0" t="str">
        <f aca="false">IF(OR(AE399="Yes",AF399="Yes",AG399="Yes"),"Invalid",IF(OR(AB399="Yes",AC399="Yes",AD399="Yes"),"Warning","Clean"))</f>
        <v>Clean</v>
      </c>
      <c r="AJ399" s="4" t="s">
        <v>1619</v>
      </c>
      <c r="AK399" s="4" t="s">
        <v>1620</v>
      </c>
      <c r="AL399" s="4" t="s">
        <v>181</v>
      </c>
      <c r="AM399" s="4" t="s">
        <v>68</v>
      </c>
      <c r="AN399" s="4" t="s">
        <v>168</v>
      </c>
      <c r="AO399" s="4" t="s">
        <v>186</v>
      </c>
      <c r="AP399" s="4" t="s">
        <v>187</v>
      </c>
      <c r="AQ399" s="4" t="s">
        <v>72</v>
      </c>
      <c r="AR399" s="4" t="s">
        <v>73</v>
      </c>
      <c r="AS399" s="4" t="s">
        <v>60</v>
      </c>
      <c r="AT399" s="0" t="n">
        <v>0</v>
      </c>
      <c r="AU399" s="4" t="s">
        <v>61</v>
      </c>
      <c r="AV399" s="4" t="s">
        <v>62</v>
      </c>
    </row>
    <row r="400" customFormat="false" ht="15" hidden="false" customHeight="false" outlineLevel="0" collapsed="false">
      <c r="A400" s="0" t="s">
        <v>1621</v>
      </c>
      <c r="B400" s="3" t="n">
        <f aca="false">IF(AJ400="","",IF(ISNUMBER(SEARCH("/",AJ400)),DATE(VALUE(RIGHT(AJ400,4)),VALUE(LEFT(AJ400,2)),VALUE(MID(AJ400,4,2))),IF(ISNUMBER(SEARCH("-",AJ400)),IF(LEN(LEFT(AJ400,FIND("-",AJ400)-1))=4,DATE(VALUE(LEFT(AJ400,4)),VALUE(MID(AJ400,6,2)),VALUE(RIGHT(AJ400,2))),DATE(VALUE(RIGHT(AJ400,4)),VALUE(MID(AJ400,4,2)),VALUE(LEFT(AJ400,2)))),DATE(VALUE(RIGHT(AJ400,4)),MATCH(MID(AJ400,4,3),{"Jan","Feb","Mar","Apr","May","Jun","Jul","Aug","Sep","Oct","Nov","Dec"},0),VALUE(LEFT(AJ400,2))))))</f>
        <v>45492</v>
      </c>
      <c r="C400" s="3" t="n">
        <f aca="false">IF(AK400="","",IF(ISNUMBER(SEARCH("/",AK400)),DATE(VALUE(RIGHT(AK400,4)),VALUE(LEFT(AK400,2)),VALUE(MID(AK400,4,2))),IF(ISNUMBER(SEARCH("-",AK400)),IF(LEN(LEFT(AK400,FIND("-",AK400)-1))=4,DATE(VALUE(LEFT(AK400,4)),VALUE(MID(AK400,6,2)),VALUE(RIGHT(AK400,2))),DATE(VALUE(RIGHT(AK400,4)),VALUE(MID(AK400,4,2)),VALUE(LEFT(AK400,2)))),DATE(VALUE(RIGHT(AK400,4)),MATCH(MID(AK400,4,3),{"Jan","Feb","Mar","Apr","May","Jun","Jul","Aug","Sep","Oct","Nov","Dec"},0),VALUE(LEFT(AK400,2))))))</f>
        <v>45499</v>
      </c>
      <c r="D400" s="4" t="s">
        <v>1622</v>
      </c>
      <c r="E400" s="0" t="str">
        <f aca="false">PROPER(TRIM(AL400))</f>
        <v>Vikram Iyer</v>
      </c>
      <c r="F400" s="0" t="str">
        <f aca="false">PROPER(TRIM(AM400))</f>
        <v>Corporate</v>
      </c>
      <c r="G400" s="0" t="str">
        <f aca="false">IF(TRIM(AN400)="","Unknown",PROPER(TRIM(AN400)))</f>
        <v>North</v>
      </c>
      <c r="H400" s="0" t="str">
        <f aca="false">PROPER(TRIM(AO400))</f>
        <v>Punjab</v>
      </c>
      <c r="I400" s="0" t="str">
        <f aca="false">PROPER(TRIM(AP400))</f>
        <v>Ludhiana</v>
      </c>
      <c r="J400" s="0" t="str">
        <f aca="false">PROPER(TRIM(AQ400))</f>
        <v>Technology</v>
      </c>
      <c r="K400" s="0" t="str">
        <f aca="false">PROPER(TRIM(AR400))</f>
        <v>Machines</v>
      </c>
      <c r="M400" s="0" t="str">
        <f aca="false">IF(TRIM(AS400)="","Unknown",PROPER(TRIM(AS400)))</f>
        <v>Same Day</v>
      </c>
      <c r="N400" s="0" t="n">
        <v>2</v>
      </c>
      <c r="O400" s="0" t="n">
        <v>1263.65</v>
      </c>
      <c r="P400" s="5" t="n">
        <f aca="false">IF(AT400="","",IF(ISNUMBER(AT400),AT400,VALUE(SUBSTITUTE(AT400,"%",""))/100))</f>
        <v>0.2</v>
      </c>
      <c r="Q400" s="5" t="n">
        <f aca="false">IF(P400="",IF(AND(N400&lt;&gt;"",O400&lt;&gt;"",R400&lt;&gt;"",S400&lt;&gt;""),0,"REVIEW"),IF(OR(P400&lt;0,P400&gt;0.3),0,P400))</f>
        <v>0.2</v>
      </c>
      <c r="R400" s="0" t="n">
        <v>2021.84</v>
      </c>
      <c r="S400" s="0" t="n">
        <v>1355.22</v>
      </c>
      <c r="T400" s="6" t="n">
        <f aca="false">N400*O400*(1-Q400)</f>
        <v>2021.84</v>
      </c>
      <c r="U400" s="6" t="n">
        <f aca="false">T400-S400</f>
        <v>666.62</v>
      </c>
      <c r="V400" s="7" t="n">
        <f aca="false">IF(T400=0,0,U400/T400)</f>
        <v>0.329709571479445</v>
      </c>
      <c r="W400" s="4" t="n">
        <f aca="false">C400-B400</f>
        <v>7</v>
      </c>
      <c r="X400" s="0" t="str">
        <f aca="false">TEXT(B400,"mmmm")</f>
        <v>July</v>
      </c>
      <c r="Y400" s="4" t="n">
        <f aca="false">YEAR(B400)</f>
        <v>2024</v>
      </c>
      <c r="Z400" s="0" t="str">
        <f aca="false">PROPER(TRIM(AU400))</f>
        <v>Paid</v>
      </c>
      <c r="AA400" s="0" t="str">
        <f aca="false">PROPER(TRIM(AV400))</f>
        <v>Completed</v>
      </c>
      <c r="AB400" s="0" t="str">
        <f aca="false">IF(TRIM(AN400)="","Yes","No")</f>
        <v>No</v>
      </c>
      <c r="AC400" s="0" t="str">
        <f aca="false">IF(TRIM(AS400)="","Yes","No")</f>
        <v>No</v>
      </c>
      <c r="AD400" s="0" t="str">
        <f aca="false">IF(AT400="","Yes","No")</f>
        <v>No</v>
      </c>
      <c r="AE400" s="0" t="str">
        <f aca="false">IF(W400&lt;0,"Yes","No")</f>
        <v>No</v>
      </c>
      <c r="AF400" s="0" t="str">
        <f aca="false">IF(P400="","No",IF(OR(P400&lt;0,P400&gt;0.3),"Yes","No"))</f>
        <v>No</v>
      </c>
      <c r="AG400" s="4" t="s">
        <v>50</v>
      </c>
      <c r="AH400" s="0" t="str">
        <f aca="false">IF(AND(AA400="Completed",Z400="Paid"),"Yes","No")</f>
        <v>Yes</v>
      </c>
      <c r="AI400" s="0" t="str">
        <f aca="false">IF(OR(AE400="Yes",AF400="Yes",AG400="Yes"),"Invalid",IF(OR(AB400="Yes",AC400="Yes",AD400="Yes"),"Warning","Clean"))</f>
        <v>Clean</v>
      </c>
      <c r="AJ400" s="4" t="s">
        <v>1623</v>
      </c>
      <c r="AK400" s="4" t="s">
        <v>1624</v>
      </c>
      <c r="AL400" s="4" t="s">
        <v>106</v>
      </c>
      <c r="AM400" s="4" t="s">
        <v>1625</v>
      </c>
      <c r="AN400" s="4" t="s">
        <v>168</v>
      </c>
      <c r="AO400" s="4" t="s">
        <v>169</v>
      </c>
      <c r="AP400" s="4" t="s">
        <v>170</v>
      </c>
      <c r="AQ400" s="4" t="s">
        <v>109</v>
      </c>
      <c r="AR400" s="4" t="s">
        <v>360</v>
      </c>
      <c r="AS400" s="4" t="s">
        <v>74</v>
      </c>
      <c r="AT400" s="0" t="n">
        <v>0.2</v>
      </c>
      <c r="AU400" s="4" t="s">
        <v>61</v>
      </c>
      <c r="AV400" s="4" t="s">
        <v>62</v>
      </c>
    </row>
    <row r="401" customFormat="false" ht="15" hidden="false" customHeight="false" outlineLevel="0" collapsed="false">
      <c r="A401" s="0" t="s">
        <v>1626</v>
      </c>
      <c r="B401" s="3" t="n">
        <f aca="false">IF(AJ401="","",IF(ISNUMBER(SEARCH("/",AJ401)),DATE(VALUE(RIGHT(AJ401,4)),VALUE(LEFT(AJ401,2)),VALUE(MID(AJ401,4,2))),IF(ISNUMBER(SEARCH("-",AJ401)),IF(LEN(LEFT(AJ401,FIND("-",AJ401)-1))=4,DATE(VALUE(LEFT(AJ401,4)),VALUE(MID(AJ401,6,2)),VALUE(RIGHT(AJ401,2))),DATE(VALUE(RIGHT(AJ401,4)),VALUE(MID(AJ401,4,2)),VALUE(LEFT(AJ401,2)))),DATE(VALUE(RIGHT(AJ401,4)),MATCH(MID(AJ401,4,3),{"Jan","Feb","Mar","Apr","May","Jun","Jul","Aug","Sep","Oct","Nov","Dec"},0),VALUE(LEFT(AJ401,2))))))</f>
        <v>45771</v>
      </c>
      <c r="C401" s="3" t="n">
        <f aca="false">IF(AK401="","",IF(ISNUMBER(SEARCH("/",AK401)),DATE(VALUE(RIGHT(AK401,4)),VALUE(LEFT(AK401,2)),VALUE(MID(AK401,4,2))),IF(ISNUMBER(SEARCH("-",AK401)),IF(LEN(LEFT(AK401,FIND("-",AK401)-1))=4,DATE(VALUE(LEFT(AK401,4)),VALUE(MID(AK401,6,2)),VALUE(RIGHT(AK401,2))),DATE(VALUE(RIGHT(AK401,4)),VALUE(MID(AK401,4,2)),VALUE(LEFT(AK401,2)))),DATE(VALUE(RIGHT(AK401,4)),MATCH(MID(AK401,4,3),{"Jan","Feb","Mar","Apr","May","Jun","Jul","Aug","Sep","Oct","Nov","Dec"},0),VALUE(LEFT(AK401,2))))))</f>
        <v>45776</v>
      </c>
      <c r="D401" s="4" t="s">
        <v>1627</v>
      </c>
      <c r="E401" s="0" t="str">
        <f aca="false">PROPER(TRIM(AL401))</f>
        <v>Diya Patel</v>
      </c>
      <c r="F401" s="0" t="str">
        <f aca="false">PROPER(TRIM(AM401))</f>
        <v>Small Business</v>
      </c>
      <c r="G401" s="0" t="str">
        <f aca="false">IF(TRIM(AN401)="","Unknown",PROPER(TRIM(AN401)))</f>
        <v>South</v>
      </c>
      <c r="H401" s="0" t="str">
        <f aca="false">PROPER(TRIM(AO401))</f>
        <v>Andhra Pradesh</v>
      </c>
      <c r="I401" s="0" t="str">
        <f aca="false">PROPER(TRIM(AP401))</f>
        <v>Vijayawada</v>
      </c>
      <c r="J401" s="0" t="str">
        <f aca="false">PROPER(TRIM(AQ401))</f>
        <v>Office Supplies</v>
      </c>
      <c r="K401" s="0" t="str">
        <f aca="false">PROPER(TRIM(AR401))</f>
        <v>Paper</v>
      </c>
      <c r="M401" s="0" t="str">
        <f aca="false">IF(TRIM(AS401)="","Unknown",PROPER(TRIM(AS401)))</f>
        <v>Same Day</v>
      </c>
      <c r="N401" s="0" t="n">
        <v>1</v>
      </c>
      <c r="O401" s="0" t="n">
        <v>4358.5</v>
      </c>
      <c r="P401" s="5" t="n">
        <f aca="false">IF(AT401="","",IF(ISNUMBER(AT401),AT401,VALUE(SUBSTITUTE(AT401,"%",""))/100))</f>
        <v>0.25</v>
      </c>
      <c r="Q401" s="5" t="n">
        <f aca="false">IF(P401="",IF(AND(N401&lt;&gt;"",O401&lt;&gt;"",R401&lt;&gt;"",S401&lt;&gt;""),0,"REVIEW"),IF(OR(P401&lt;0,P401&gt;0.3),0,P401))</f>
        <v>0.25</v>
      </c>
      <c r="R401" s="0" t="n">
        <v>3268.88</v>
      </c>
      <c r="S401" s="0" t="n">
        <v>1993.74</v>
      </c>
      <c r="T401" s="6" t="n">
        <f aca="false">N401*O401*(1-Q401)</f>
        <v>3268.875</v>
      </c>
      <c r="U401" s="6" t="n">
        <f aca="false">T401-S401</f>
        <v>1275.135</v>
      </c>
      <c r="V401" s="7" t="n">
        <f aca="false">IF(T401=0,0,U401/T401)</f>
        <v>0.39008374440748</v>
      </c>
      <c r="W401" s="4" t="n">
        <f aca="false">C401-B401</f>
        <v>5</v>
      </c>
      <c r="X401" s="0" t="str">
        <f aca="false">TEXT(B401,"mmmm")</f>
        <v>April</v>
      </c>
      <c r="Y401" s="4" t="n">
        <f aca="false">YEAR(B401)</f>
        <v>2025</v>
      </c>
      <c r="Z401" s="0" t="str">
        <f aca="false">PROPER(TRIM(AU401))</f>
        <v>Paid</v>
      </c>
      <c r="AA401" s="0" t="str">
        <f aca="false">PROPER(TRIM(AV401))</f>
        <v>Completed</v>
      </c>
      <c r="AB401" s="0" t="str">
        <f aca="false">IF(TRIM(AN401)="","Yes","No")</f>
        <v>No</v>
      </c>
      <c r="AC401" s="0" t="str">
        <f aca="false">IF(TRIM(AS401)="","Yes","No")</f>
        <v>No</v>
      </c>
      <c r="AD401" s="0" t="str">
        <f aca="false">IF(AT401="","Yes","No")</f>
        <v>No</v>
      </c>
      <c r="AE401" s="0" t="str">
        <f aca="false">IF(W401&lt;0,"Yes","No")</f>
        <v>No</v>
      </c>
      <c r="AF401" s="0" t="str">
        <f aca="false">IF(P401="","No",IF(OR(P401&lt;0,P401&gt;0.3),"Yes","No"))</f>
        <v>No</v>
      </c>
      <c r="AG401" s="4" t="s">
        <v>50</v>
      </c>
      <c r="AH401" s="0" t="str">
        <f aca="false">IF(AND(AA401="Completed",Z401="Paid"),"Yes","No")</f>
        <v>Yes</v>
      </c>
      <c r="AI401" s="0" t="str">
        <f aca="false">IF(OR(AE401="Yes",AF401="Yes",AG401="Yes"),"Invalid",IF(OR(AB401="Yes",AC401="Yes",AD401="Yes"),"Warning","Clean"))</f>
        <v>Clean</v>
      </c>
      <c r="AJ401" s="4" t="s">
        <v>1628</v>
      </c>
      <c r="AK401" s="4" t="s">
        <v>1629</v>
      </c>
      <c r="AL401" s="4" t="s">
        <v>216</v>
      </c>
      <c r="AM401" s="4" t="s">
        <v>68</v>
      </c>
      <c r="AN401" s="4" t="s">
        <v>87</v>
      </c>
      <c r="AO401" s="4" t="s">
        <v>121</v>
      </c>
      <c r="AP401" s="4" t="s">
        <v>122</v>
      </c>
      <c r="AQ401" s="4" t="s">
        <v>58</v>
      </c>
      <c r="AR401" s="4" t="s">
        <v>59</v>
      </c>
      <c r="AS401" s="4" t="s">
        <v>74</v>
      </c>
      <c r="AT401" s="0" t="n">
        <v>0.25</v>
      </c>
      <c r="AU401" s="4" t="s">
        <v>61</v>
      </c>
      <c r="AV401" s="4" t="s">
        <v>62</v>
      </c>
    </row>
    <row r="402" customFormat="false" ht="15" hidden="false" customHeight="false" outlineLevel="0" collapsed="false">
      <c r="A402" s="0" t="s">
        <v>1630</v>
      </c>
      <c r="B402" s="3" t="n">
        <f aca="false">IF(AJ402="","",IF(ISNUMBER(SEARCH("/",AJ402)),DATE(VALUE(RIGHT(AJ402,4)),VALUE(LEFT(AJ402,2)),VALUE(MID(AJ402,4,2))),IF(ISNUMBER(SEARCH("-",AJ402)),IF(LEN(LEFT(AJ402,FIND("-",AJ402)-1))=4,DATE(VALUE(LEFT(AJ402,4)),VALUE(MID(AJ402,6,2)),VALUE(RIGHT(AJ402,2))),DATE(VALUE(RIGHT(AJ402,4)),VALUE(MID(AJ402,4,2)),VALUE(LEFT(AJ402,2)))),DATE(VALUE(RIGHT(AJ402,4)),MATCH(MID(AJ402,4,3),{"Jan","Feb","Mar","Apr","May","Jun","Jul","Aug","Sep","Oct","Nov","Dec"},0),VALUE(LEFT(AJ402,2))))))</f>
        <v>45814</v>
      </c>
      <c r="C402" s="3" t="n">
        <f aca="false">IF(AK402="","",IF(ISNUMBER(SEARCH("/",AK402)),DATE(VALUE(RIGHT(AK402,4)),VALUE(LEFT(AK402,2)),VALUE(MID(AK402,4,2))),IF(ISNUMBER(SEARCH("-",AK402)),IF(LEN(LEFT(AK402,FIND("-",AK402)-1))=4,DATE(VALUE(LEFT(AK402,4)),VALUE(MID(AK402,6,2)),VALUE(RIGHT(AK402,2))),DATE(VALUE(RIGHT(AK402,4)),VALUE(MID(AK402,4,2)),VALUE(LEFT(AK402,2)))),DATE(VALUE(RIGHT(AK402,4)),MATCH(MID(AK402,4,3),{"Jan","Feb","Mar","Apr","May","Jun","Jul","Aug","Sep","Oct","Nov","Dec"},0),VALUE(LEFT(AK402,2))))))</f>
        <v>45819</v>
      </c>
      <c r="D402" s="4" t="s">
        <v>1631</v>
      </c>
      <c r="E402" s="0" t="str">
        <f aca="false">PROPER(TRIM(AL402))</f>
        <v>Sneha Kapoor</v>
      </c>
      <c r="F402" s="0" t="str">
        <f aca="false">PROPER(TRIM(AM402))</f>
        <v>Small Business</v>
      </c>
      <c r="G402" s="0" t="str">
        <f aca="false">IF(TRIM(AN402)="","Unknown",PROPER(TRIM(AN402)))</f>
        <v>North</v>
      </c>
      <c r="H402" s="0" t="str">
        <f aca="false">PROPER(TRIM(AO402))</f>
        <v>Uttar Pradesh</v>
      </c>
      <c r="I402" s="0" t="str">
        <f aca="false">PROPER(TRIM(AP402))</f>
        <v>Noida</v>
      </c>
      <c r="J402" s="0" t="str">
        <f aca="false">PROPER(TRIM(AQ402))</f>
        <v>Office Supplies</v>
      </c>
      <c r="K402" s="0" t="str">
        <f aca="false">PROPER(TRIM(AR402))</f>
        <v>Paper</v>
      </c>
      <c r="M402" s="0" t="str">
        <f aca="false">IF(TRIM(AS402)="","Unknown",PROPER(TRIM(AS402)))</f>
        <v>Same Day</v>
      </c>
      <c r="N402" s="0" t="n">
        <v>7</v>
      </c>
      <c r="O402" s="0" t="n">
        <v>878.09</v>
      </c>
      <c r="P402" s="5" t="n">
        <f aca="false">IF(AT402="","",IF(ISNUMBER(AT402),AT402,VALUE(SUBSTITUTE(AT402,"%",""))/100))</f>
        <v>-0.1</v>
      </c>
      <c r="Q402" s="5" t="n">
        <f aca="false">IF(P402="",IF(AND(N402&lt;&gt;"",O402&lt;&gt;"",R402&lt;&gt;"",S402&lt;&gt;""),0,"REVIEW"),IF(OR(P402&lt;0,P402&gt;0.3),0,P402))</f>
        <v>0</v>
      </c>
      <c r="R402" s="0" t="n">
        <v>5839.3</v>
      </c>
      <c r="S402" s="0" t="n">
        <v>4877.38</v>
      </c>
      <c r="T402" s="6" t="n">
        <f aca="false">N402*O402*(1-Q402)</f>
        <v>6146.63</v>
      </c>
      <c r="U402" s="6" t="n">
        <f aca="false">T402-S402</f>
        <v>1269.25</v>
      </c>
      <c r="V402" s="7" t="n">
        <f aca="false">IF(T402=0,0,U402/T402)</f>
        <v>0.206495266511894</v>
      </c>
      <c r="W402" s="4" t="n">
        <f aca="false">C402-B402</f>
        <v>5</v>
      </c>
      <c r="X402" s="0" t="str">
        <f aca="false">TEXT(B402,"mmmm")</f>
        <v>June</v>
      </c>
      <c r="Y402" s="4" t="n">
        <f aca="false">YEAR(B402)</f>
        <v>2025</v>
      </c>
      <c r="Z402" s="0" t="str">
        <f aca="false">PROPER(TRIM(AU402))</f>
        <v>Paid</v>
      </c>
      <c r="AA402" s="0" t="str">
        <f aca="false">PROPER(TRIM(AV402))</f>
        <v>Completed</v>
      </c>
      <c r="AB402" s="0" t="str">
        <f aca="false">IF(TRIM(AN402)="","Yes","No")</f>
        <v>No</v>
      </c>
      <c r="AC402" s="0" t="str">
        <f aca="false">IF(TRIM(AS402)="","Yes","No")</f>
        <v>No</v>
      </c>
      <c r="AD402" s="0" t="str">
        <f aca="false">IF(AT402="","Yes","No")</f>
        <v>No</v>
      </c>
      <c r="AE402" s="0" t="str">
        <f aca="false">IF(W402&lt;0,"Yes","No")</f>
        <v>No</v>
      </c>
      <c r="AF402" s="0" t="str">
        <f aca="false">IF(P402="","No",IF(OR(P402&lt;0,P402&gt;0.3),"Yes","No"))</f>
        <v>Yes</v>
      </c>
      <c r="AG402" s="4" t="s">
        <v>50</v>
      </c>
      <c r="AH402" s="0" t="str">
        <f aca="false">IF(AND(AA402="Completed",Z402="Paid"),"Yes","No")</f>
        <v>Yes</v>
      </c>
      <c r="AI402" s="0" t="str">
        <f aca="false">IF(OR(AE402="Yes",AF402="Yes",AG402="Yes"),"Invalid",IF(OR(AB402="Yes",AC402="Yes",AD402="Yes"),"Warning","Clean"))</f>
        <v>Invalid</v>
      </c>
      <c r="AJ402" s="4" t="s">
        <v>1632</v>
      </c>
      <c r="AK402" s="4" t="s">
        <v>1633</v>
      </c>
      <c r="AL402" s="4" t="s">
        <v>181</v>
      </c>
      <c r="AM402" s="4" t="s">
        <v>68</v>
      </c>
      <c r="AN402" s="4" t="s">
        <v>168</v>
      </c>
      <c r="AO402" s="4" t="s">
        <v>186</v>
      </c>
      <c r="AP402" s="4" t="s">
        <v>187</v>
      </c>
      <c r="AQ402" s="4" t="s">
        <v>58</v>
      </c>
      <c r="AR402" s="4" t="s">
        <v>59</v>
      </c>
      <c r="AS402" s="4" t="s">
        <v>74</v>
      </c>
      <c r="AT402" s="0" t="n">
        <v>-0.1</v>
      </c>
      <c r="AU402" s="4" t="s">
        <v>61</v>
      </c>
      <c r="AV402" s="4" t="s">
        <v>62</v>
      </c>
    </row>
    <row r="403" customFormat="false" ht="15" hidden="false" customHeight="false" outlineLevel="0" collapsed="false">
      <c r="A403" s="0" t="s">
        <v>1634</v>
      </c>
      <c r="B403" s="3" t="n">
        <f aca="false">IF(AJ403="","",IF(ISNUMBER(SEARCH("/",AJ403)),DATE(VALUE(RIGHT(AJ403,4)),VALUE(LEFT(AJ403,2)),VALUE(MID(AJ403,4,2))),IF(ISNUMBER(SEARCH("-",AJ403)),IF(LEN(LEFT(AJ403,FIND("-",AJ403)-1))=4,DATE(VALUE(LEFT(AJ403,4)),VALUE(MID(AJ403,6,2)),VALUE(RIGHT(AJ403,2))),DATE(VALUE(RIGHT(AJ403,4)),VALUE(MID(AJ403,4,2)),VALUE(LEFT(AJ403,2)))),DATE(VALUE(RIGHT(AJ403,4)),MATCH(MID(AJ403,4,3),{"Jan","Feb","Mar","Apr","May","Jun","Jul","Aug","Sep","Oct","Nov","Dec"},0),VALUE(LEFT(AJ403,2))))))</f>
        <v>45725</v>
      </c>
      <c r="C403" s="3" t="n">
        <f aca="false">IF(AK403="","",IF(ISNUMBER(SEARCH("/",AK403)),DATE(VALUE(RIGHT(AK403,4)),VALUE(LEFT(AK403,2)),VALUE(MID(AK403,4,2))),IF(ISNUMBER(SEARCH("-",AK403)),IF(LEN(LEFT(AK403,FIND("-",AK403)-1))=4,DATE(VALUE(LEFT(AK403,4)),VALUE(MID(AK403,6,2)),VALUE(RIGHT(AK403,2))),DATE(VALUE(RIGHT(AK403,4)),VALUE(MID(AK403,4,2)),VALUE(LEFT(AK403,2)))),DATE(VALUE(RIGHT(AK403,4)),MATCH(MID(AK403,4,3),{"Jan","Feb","Mar","Apr","May","Jun","Jul","Aug","Sep","Oct","Nov","Dec"},0),VALUE(LEFT(AK403,2))))))</f>
        <v>45732</v>
      </c>
      <c r="D403" s="4" t="s">
        <v>1635</v>
      </c>
      <c r="E403" s="0" t="str">
        <f aca="false">PROPER(TRIM(AL403))</f>
        <v>Arjun Bose</v>
      </c>
      <c r="F403" s="0" t="str">
        <f aca="false">PROPER(TRIM(AM403))</f>
        <v>Small Business</v>
      </c>
      <c r="G403" s="0" t="str">
        <f aca="false">IF(TRIM(AN403)="","Unknown",PROPER(TRIM(AN403)))</f>
        <v>East</v>
      </c>
      <c r="H403" s="0" t="str">
        <f aca="false">PROPER(TRIM(AO403))</f>
        <v>Jharkhand</v>
      </c>
      <c r="I403" s="0" t="str">
        <f aca="false">PROPER(TRIM(AP403))</f>
        <v>Ranchi</v>
      </c>
      <c r="J403" s="0" t="str">
        <f aca="false">PROPER(TRIM(AQ403))</f>
        <v>Furniture</v>
      </c>
      <c r="K403" s="0" t="str">
        <f aca="false">PROPER(TRIM(AR403))</f>
        <v>Tables</v>
      </c>
      <c r="M403" s="0" t="str">
        <f aca="false">IF(TRIM(AS403)="","Unknown",PROPER(TRIM(AS403)))</f>
        <v>Same Day</v>
      </c>
      <c r="N403" s="0" t="n">
        <v>3</v>
      </c>
      <c r="O403" s="0" t="n">
        <v>2625.85</v>
      </c>
      <c r="P403" s="5" t="n">
        <f aca="false">IF(AT403="","",IF(ISNUMBER(AT403),AT403,VALUE(SUBSTITUTE(AT403,"%",""))/100))</f>
        <v>0</v>
      </c>
      <c r="Q403" s="5" t="n">
        <f aca="false">IF(P403="",IF(AND(N403&lt;&gt;"",O403&lt;&gt;"",R403&lt;&gt;"",S403&lt;&gt;""),0,"REVIEW"),IF(OR(P403&lt;0,P403&gt;0.3),0,P403))</f>
        <v>0</v>
      </c>
      <c r="R403" s="0" t="n">
        <v>7877.55</v>
      </c>
      <c r="S403" s="0" t="n">
        <v>5562.77</v>
      </c>
      <c r="T403" s="6" t="n">
        <f aca="false">N403*O403*(1-Q403)</f>
        <v>7877.55</v>
      </c>
      <c r="U403" s="6" t="n">
        <f aca="false">T403-S403</f>
        <v>2314.78</v>
      </c>
      <c r="V403" s="7" t="n">
        <f aca="false">IF(T403=0,0,U403/T403)</f>
        <v>0.293845167596524</v>
      </c>
      <c r="W403" s="4" t="n">
        <f aca="false">C403-B403</f>
        <v>7</v>
      </c>
      <c r="X403" s="0" t="str">
        <f aca="false">TEXT(B403,"mmmm")</f>
        <v>March</v>
      </c>
      <c r="Y403" s="4" t="n">
        <f aca="false">YEAR(B403)</f>
        <v>2025</v>
      </c>
      <c r="Z403" s="0" t="str">
        <f aca="false">PROPER(TRIM(AU403))</f>
        <v>Paid</v>
      </c>
      <c r="AA403" s="0" t="str">
        <f aca="false">PROPER(TRIM(AV403))</f>
        <v>Completed</v>
      </c>
      <c r="AB403" s="0" t="str">
        <f aca="false">IF(TRIM(AN403)="","Yes","No")</f>
        <v>No</v>
      </c>
      <c r="AC403" s="0" t="str">
        <f aca="false">IF(TRIM(AS403)="","Yes","No")</f>
        <v>No</v>
      </c>
      <c r="AD403" s="0" t="str">
        <f aca="false">IF(AT403="","Yes","No")</f>
        <v>No</v>
      </c>
      <c r="AE403" s="0" t="str">
        <f aca="false">IF(W403&lt;0,"Yes","No")</f>
        <v>No</v>
      </c>
      <c r="AF403" s="0" t="str">
        <f aca="false">IF(P403="","No",IF(OR(P403&lt;0,P403&gt;0.3),"Yes","No"))</f>
        <v>No</v>
      </c>
      <c r="AG403" s="4" t="s">
        <v>50</v>
      </c>
      <c r="AH403" s="0" t="str">
        <f aca="false">IF(AND(AA403="Completed",Z403="Paid"),"Yes","No")</f>
        <v>Yes</v>
      </c>
      <c r="AI403" s="0" t="str">
        <f aca="false">IF(OR(AE403="Yes",AF403="Yes",AG403="Yes"),"Invalid",IF(OR(AB403="Yes",AC403="Yes",AD403="Yes"),"Warning","Clean"))</f>
        <v>Clean</v>
      </c>
      <c r="AJ403" s="4" t="s">
        <v>1636</v>
      </c>
      <c r="AK403" s="4" t="s">
        <v>1637</v>
      </c>
      <c r="AL403" s="4" t="s">
        <v>86</v>
      </c>
      <c r="AM403" s="4" t="s">
        <v>68</v>
      </c>
      <c r="AN403" s="4" t="s">
        <v>69</v>
      </c>
      <c r="AO403" s="4" t="s">
        <v>300</v>
      </c>
      <c r="AP403" s="4" t="s">
        <v>301</v>
      </c>
      <c r="AQ403" s="4" t="s">
        <v>72</v>
      </c>
      <c r="AR403" s="4" t="s">
        <v>73</v>
      </c>
      <c r="AS403" s="4" t="s">
        <v>74</v>
      </c>
      <c r="AT403" s="0" t="n">
        <v>0</v>
      </c>
      <c r="AU403" s="4" t="s">
        <v>61</v>
      </c>
      <c r="AV403" s="4" t="s">
        <v>62</v>
      </c>
    </row>
    <row r="404" customFormat="false" ht="15" hidden="false" customHeight="false" outlineLevel="0" collapsed="false">
      <c r="A404" s="0" t="s">
        <v>1638</v>
      </c>
      <c r="B404" s="3" t="n">
        <f aca="false">IF(AJ404="","",IF(ISNUMBER(SEARCH("/",AJ404)),DATE(VALUE(RIGHT(AJ404,4)),VALUE(LEFT(AJ404,2)),VALUE(MID(AJ404,4,2))),IF(ISNUMBER(SEARCH("-",AJ404)),IF(LEN(LEFT(AJ404,FIND("-",AJ404)-1))=4,DATE(VALUE(LEFT(AJ404,4)),VALUE(MID(AJ404,6,2)),VALUE(RIGHT(AJ404,2))),DATE(VALUE(RIGHT(AJ404,4)),VALUE(MID(AJ404,4,2)),VALUE(LEFT(AJ404,2)))),DATE(VALUE(RIGHT(AJ404,4)),MATCH(MID(AJ404,4,3),{"Jan","Feb","Mar","Apr","May","Jun","Jul","Aug","Sep","Oct","Nov","Dec"},0),VALUE(LEFT(AJ404,2))))))</f>
        <v>45373</v>
      </c>
      <c r="C404" s="3" t="n">
        <f aca="false">IF(AK404="","",IF(ISNUMBER(SEARCH("/",AK404)),DATE(VALUE(RIGHT(AK404,4)),VALUE(LEFT(AK404,2)),VALUE(MID(AK404,4,2))),IF(ISNUMBER(SEARCH("-",AK404)),IF(LEN(LEFT(AK404,FIND("-",AK404)-1))=4,DATE(VALUE(LEFT(AK404,4)),VALUE(MID(AK404,6,2)),VALUE(RIGHT(AK404,2))),DATE(VALUE(RIGHT(AK404,4)),VALUE(MID(AK404,4,2)),VALUE(LEFT(AK404,2)))),DATE(VALUE(RIGHT(AK404,4)),MATCH(MID(AK404,4,3),{"Jan","Feb","Mar","Apr","May","Jun","Jul","Aug","Sep","Oct","Nov","Dec"},0),VALUE(LEFT(AK404,2))))))</f>
        <v>45373</v>
      </c>
      <c r="D404" s="4" t="s">
        <v>1639</v>
      </c>
      <c r="E404" s="0" t="str">
        <f aca="false">PROPER(TRIM(AL404))</f>
        <v>Priya Menon</v>
      </c>
      <c r="F404" s="0" t="str">
        <f aca="false">PROPER(TRIM(AM404))</f>
        <v>Small Business</v>
      </c>
      <c r="G404" s="0" t="str">
        <f aca="false">IF(TRIM(AN404)="","Unknown",PROPER(TRIM(AN404)))</f>
        <v>South</v>
      </c>
      <c r="H404" s="0" t="str">
        <f aca="false">PROPER(TRIM(AO404))</f>
        <v>Karnataka</v>
      </c>
      <c r="I404" s="0" t="str">
        <f aca="false">PROPER(TRIM(AP404))</f>
        <v>Bengaluru</v>
      </c>
      <c r="J404" s="0" t="str">
        <f aca="false">PROPER(TRIM(AQ404))</f>
        <v>Furniture</v>
      </c>
      <c r="K404" s="0" t="str">
        <f aca="false">PROPER(TRIM(AR404))</f>
        <v>Tables</v>
      </c>
      <c r="M404" s="0" t="str">
        <f aca="false">IF(TRIM(AS404)="","Unknown",PROPER(TRIM(AS404)))</f>
        <v>Unknown</v>
      </c>
      <c r="N404" s="0" t="n">
        <v>3</v>
      </c>
      <c r="O404" s="0" t="n">
        <v>1365.26</v>
      </c>
      <c r="P404" s="5" t="n">
        <f aca="false">IF(AT404="","",IF(ISNUMBER(AT404),AT404,VALUE(SUBSTITUTE(AT404,"%",""))/100))</f>
        <v>0</v>
      </c>
      <c r="Q404" s="5" t="n">
        <f aca="false">IF(P404="",IF(AND(N404&lt;&gt;"",O404&lt;&gt;"",R404&lt;&gt;"",S404&lt;&gt;""),0,"REVIEW"),IF(OR(P404&lt;0,P404&gt;0.3),0,P404))</f>
        <v>0</v>
      </c>
      <c r="R404" s="0" t="n">
        <v>4095.78</v>
      </c>
      <c r="S404" s="0" t="n">
        <v>2807.77</v>
      </c>
      <c r="T404" s="6" t="n">
        <f aca="false">N404*O404*(1-Q404)</f>
        <v>4095.78</v>
      </c>
      <c r="U404" s="6" t="n">
        <f aca="false">T404-S404</f>
        <v>1288.01</v>
      </c>
      <c r="V404" s="7" t="n">
        <f aca="false">IF(T404=0,0,U404/T404)</f>
        <v>0.314472457016734</v>
      </c>
      <c r="W404" s="4" t="n">
        <f aca="false">C404-B404</f>
        <v>0</v>
      </c>
      <c r="X404" s="0" t="str">
        <f aca="false">TEXT(B404,"mmmm")</f>
        <v>March</v>
      </c>
      <c r="Y404" s="4" t="n">
        <f aca="false">YEAR(B404)</f>
        <v>2024</v>
      </c>
      <c r="Z404" s="0" t="str">
        <f aca="false">PROPER(TRIM(AU404))</f>
        <v>Paid</v>
      </c>
      <c r="AA404" s="0" t="str">
        <f aca="false">PROPER(TRIM(AV404))</f>
        <v>Completed</v>
      </c>
      <c r="AB404" s="0" t="str">
        <f aca="false">IF(TRIM(AN404)="","Yes","No")</f>
        <v>No</v>
      </c>
      <c r="AC404" s="0" t="str">
        <f aca="false">IF(TRIM(AS404)="","Yes","No")</f>
        <v>Yes</v>
      </c>
      <c r="AD404" s="0" t="str">
        <f aca="false">IF(AT404="","Yes","No")</f>
        <v>No</v>
      </c>
      <c r="AE404" s="0" t="str">
        <f aca="false">IF(W404&lt;0,"Yes","No")</f>
        <v>No</v>
      </c>
      <c r="AF404" s="0" t="str">
        <f aca="false">IF(P404="","No",IF(OR(P404&lt;0,P404&gt;0.3),"Yes","No"))</f>
        <v>No</v>
      </c>
      <c r="AG404" s="4" t="s">
        <v>50</v>
      </c>
      <c r="AH404" s="0" t="str">
        <f aca="false">IF(AND(AA404="Completed",Z404="Paid"),"Yes","No")</f>
        <v>Yes</v>
      </c>
      <c r="AI404" s="0" t="str">
        <f aca="false">IF(OR(AE404="Yes",AF404="Yes",AG404="Yes"),"Invalid",IF(OR(AB404="Yes",AC404="Yes",AD404="Yes"),"Warning","Clean"))</f>
        <v>Warning</v>
      </c>
      <c r="AJ404" s="4" t="s">
        <v>1640</v>
      </c>
      <c r="AK404" s="4" t="s">
        <v>1641</v>
      </c>
      <c r="AL404" s="4" t="s">
        <v>158</v>
      </c>
      <c r="AM404" s="4" t="s">
        <v>68</v>
      </c>
      <c r="AN404" s="4" t="s">
        <v>87</v>
      </c>
      <c r="AO404" s="4" t="s">
        <v>233</v>
      </c>
      <c r="AP404" s="4" t="s">
        <v>234</v>
      </c>
      <c r="AQ404" s="4" t="s">
        <v>72</v>
      </c>
      <c r="AR404" s="4" t="s">
        <v>73</v>
      </c>
      <c r="AT404" s="0" t="n">
        <v>0</v>
      </c>
      <c r="AU404" s="4" t="s">
        <v>61</v>
      </c>
      <c r="AV404" s="4" t="s">
        <v>62</v>
      </c>
    </row>
    <row r="405" customFormat="false" ht="15" hidden="false" customHeight="false" outlineLevel="0" collapsed="false">
      <c r="A405" s="0" t="s">
        <v>1642</v>
      </c>
      <c r="B405" s="3" t="n">
        <f aca="false">IF(AJ405="","",IF(ISNUMBER(SEARCH("/",AJ405)),DATE(VALUE(RIGHT(AJ405,4)),VALUE(LEFT(AJ405,2)),VALUE(MID(AJ405,4,2))),IF(ISNUMBER(SEARCH("-",AJ405)),IF(LEN(LEFT(AJ405,FIND("-",AJ405)-1))=4,DATE(VALUE(LEFT(AJ405,4)),VALUE(MID(AJ405,6,2)),VALUE(RIGHT(AJ405,2))),DATE(VALUE(RIGHT(AJ405,4)),VALUE(MID(AJ405,4,2)),VALUE(LEFT(AJ405,2)))),DATE(VALUE(RIGHT(AJ405,4)),MATCH(MID(AJ405,4,3),{"Jan","Feb","Mar","Apr","May","Jun","Jul","Aug","Sep","Oct","Nov","Dec"},0),VALUE(LEFT(AJ405,2))))))</f>
        <v>45565</v>
      </c>
      <c r="C405" s="3" t="n">
        <f aca="false">IF(AK405="","",IF(ISNUMBER(SEARCH("/",AK405)),DATE(VALUE(RIGHT(AK405,4)),VALUE(LEFT(AK405,2)),VALUE(MID(AK405,4,2))),IF(ISNUMBER(SEARCH("-",AK405)),IF(LEN(LEFT(AK405,FIND("-",AK405)-1))=4,DATE(VALUE(LEFT(AK405,4)),VALUE(MID(AK405,6,2)),VALUE(RIGHT(AK405,2))),DATE(VALUE(RIGHT(AK405,4)),VALUE(MID(AK405,4,2)),VALUE(LEFT(AK405,2)))),DATE(VALUE(RIGHT(AK405,4)),MATCH(MID(AK405,4,3),{"Jan","Feb","Mar","Apr","May","Jun","Jul","Aug","Sep","Oct","Nov","Dec"},0),VALUE(LEFT(AK405,2))))))</f>
        <v>45569</v>
      </c>
      <c r="D405" s="4" t="s">
        <v>1643</v>
      </c>
      <c r="E405" s="0" t="str">
        <f aca="false">PROPER(TRIM(AL405))</f>
        <v>Arjun Bose</v>
      </c>
      <c r="F405" s="0" t="str">
        <f aca="false">PROPER(TRIM(AM405))</f>
        <v>Small Business</v>
      </c>
      <c r="G405" s="0" t="str">
        <f aca="false">IF(TRIM(AN405)="","Unknown",PROPER(TRIM(AN405)))</f>
        <v>South</v>
      </c>
      <c r="H405" s="0" t="str">
        <f aca="false">PROPER(TRIM(AO405))</f>
        <v>Kerala</v>
      </c>
      <c r="I405" s="0" t="str">
        <f aca="false">PROPER(TRIM(AP405))</f>
        <v>Kochi</v>
      </c>
      <c r="J405" s="0" t="str">
        <f aca="false">PROPER(TRIM(AQ405))</f>
        <v>Office Supplies</v>
      </c>
      <c r="K405" s="0" t="str">
        <f aca="false">PROPER(TRIM(AR405))</f>
        <v>Paper</v>
      </c>
      <c r="M405" s="0" t="str">
        <f aca="false">IF(TRIM(AS405)="","Unknown",PROPER(TRIM(AS405)))</f>
        <v>Same Day</v>
      </c>
      <c r="N405" s="0" t="n">
        <v>5</v>
      </c>
      <c r="O405" s="0" t="n">
        <v>3512.25</v>
      </c>
      <c r="P405" s="5" t="n">
        <f aca="false">IF(AT405="","",IF(ISNUMBER(AT405),AT405,VALUE(SUBSTITUTE(AT405,"%",""))/100))</f>
        <v>0.05</v>
      </c>
      <c r="Q405" s="5" t="n">
        <f aca="false">IF(P405="",IF(AND(N405&lt;&gt;"",O405&lt;&gt;"",R405&lt;&gt;"",S405&lt;&gt;""),0,"REVIEW"),IF(OR(P405&lt;0,P405&gt;0.3),0,P405))</f>
        <v>0.05</v>
      </c>
      <c r="R405" s="0" t="n">
        <v>16683.19</v>
      </c>
      <c r="S405" s="0" t="n">
        <v>10301.16</v>
      </c>
      <c r="T405" s="6" t="n">
        <f aca="false">N405*O405*(1-Q405)</f>
        <v>16683.1875</v>
      </c>
      <c r="U405" s="6" t="n">
        <f aca="false">T405-S405</f>
        <v>6382.0275</v>
      </c>
      <c r="V405" s="7" t="n">
        <f aca="false">IF(T405=0,0,U405/T405)</f>
        <v>0.382542454791688</v>
      </c>
      <c r="W405" s="4" t="n">
        <f aca="false">C405-B405</f>
        <v>4</v>
      </c>
      <c r="X405" s="0" t="str">
        <f aca="false">TEXT(B405,"mmmm")</f>
        <v>September</v>
      </c>
      <c r="Y405" s="4" t="n">
        <f aca="false">YEAR(B405)</f>
        <v>2024</v>
      </c>
      <c r="Z405" s="0" t="str">
        <f aca="false">PROPER(TRIM(AU405))</f>
        <v>Paid</v>
      </c>
      <c r="AA405" s="0" t="str">
        <f aca="false">PROPER(TRIM(AV405))</f>
        <v>Returned</v>
      </c>
      <c r="AB405" s="0" t="str">
        <f aca="false">IF(TRIM(AN405)="","Yes","No")</f>
        <v>No</v>
      </c>
      <c r="AC405" s="0" t="str">
        <f aca="false">IF(TRIM(AS405)="","Yes","No")</f>
        <v>No</v>
      </c>
      <c r="AD405" s="0" t="str">
        <f aca="false">IF(AT405="","Yes","No")</f>
        <v>No</v>
      </c>
      <c r="AE405" s="0" t="str">
        <f aca="false">IF(W405&lt;0,"Yes","No")</f>
        <v>No</v>
      </c>
      <c r="AF405" s="0" t="str">
        <f aca="false">IF(P405="","No",IF(OR(P405&lt;0,P405&gt;0.3),"Yes","No"))</f>
        <v>No</v>
      </c>
      <c r="AG405" s="4" t="s">
        <v>50</v>
      </c>
      <c r="AH405" s="0" t="str">
        <f aca="false">IF(AND(AA405="Completed",Z405="Paid"),"Yes","No")</f>
        <v>No</v>
      </c>
      <c r="AI405" s="0" t="str">
        <f aca="false">IF(OR(AE405="Yes",AF405="Yes",AG405="Yes"),"Invalid",IF(OR(AB405="Yes",AC405="Yes",AD405="Yes"),"Warning","Clean"))</f>
        <v>Clean</v>
      </c>
      <c r="AJ405" s="4" t="s">
        <v>1644</v>
      </c>
      <c r="AK405" s="4" t="s">
        <v>1645</v>
      </c>
      <c r="AL405" s="4" t="s">
        <v>86</v>
      </c>
      <c r="AM405" s="4" t="s">
        <v>68</v>
      </c>
      <c r="AN405" s="4" t="s">
        <v>87</v>
      </c>
      <c r="AO405" s="4" t="s">
        <v>244</v>
      </c>
      <c r="AP405" s="4" t="s">
        <v>245</v>
      </c>
      <c r="AQ405" s="4" t="s">
        <v>58</v>
      </c>
      <c r="AR405" s="4" t="s">
        <v>1646</v>
      </c>
      <c r="AS405" s="4" t="s">
        <v>74</v>
      </c>
      <c r="AT405" s="0" t="n">
        <v>0.05</v>
      </c>
      <c r="AU405" s="4" t="s">
        <v>61</v>
      </c>
      <c r="AV405" s="4" t="s">
        <v>142</v>
      </c>
    </row>
    <row r="406" customFormat="false" ht="15" hidden="false" customHeight="false" outlineLevel="0" collapsed="false">
      <c r="A406" s="0" t="s">
        <v>1647</v>
      </c>
      <c r="B406" s="3" t="n">
        <f aca="false">IF(AJ406="","",IF(ISNUMBER(SEARCH("/",AJ406)),DATE(VALUE(RIGHT(AJ406,4)),VALUE(LEFT(AJ406,2)),VALUE(MID(AJ406,4,2))),IF(ISNUMBER(SEARCH("-",AJ406)),IF(LEN(LEFT(AJ406,FIND("-",AJ406)-1))=4,DATE(VALUE(LEFT(AJ406,4)),VALUE(MID(AJ406,6,2)),VALUE(RIGHT(AJ406,2))),DATE(VALUE(RIGHT(AJ406,4)),VALUE(MID(AJ406,4,2)),VALUE(LEFT(AJ406,2)))),DATE(VALUE(RIGHT(AJ406,4)),MATCH(MID(AJ406,4,3),{"Jan","Feb","Mar","Apr","May","Jun","Jul","Aug","Sep","Oct","Nov","Dec"},0),VALUE(LEFT(AJ406,2))))))</f>
        <v>45318</v>
      </c>
      <c r="C406" s="3" t="n">
        <f aca="false">IF(AK406="","",IF(ISNUMBER(SEARCH("/",AK406)),DATE(VALUE(RIGHT(AK406,4)),VALUE(LEFT(AK406,2)),VALUE(MID(AK406,4,2))),IF(ISNUMBER(SEARCH("-",AK406)),IF(LEN(LEFT(AK406,FIND("-",AK406)-1))=4,DATE(VALUE(LEFT(AK406,4)),VALUE(MID(AK406,6,2)),VALUE(RIGHT(AK406,2))),DATE(VALUE(RIGHT(AK406,4)),VALUE(MID(AK406,4,2)),VALUE(LEFT(AK406,2)))),DATE(VALUE(RIGHT(AK406,4)),MATCH(MID(AK406,4,3),{"Jan","Feb","Mar","Apr","May","Jun","Jul","Aug","Sep","Oct","Nov","Dec"},0),VALUE(LEFT(AK406,2))))))</f>
        <v>45325</v>
      </c>
      <c r="D406" s="4" t="s">
        <v>1648</v>
      </c>
      <c r="E406" s="0" t="str">
        <f aca="false">PROPER(TRIM(AL406))</f>
        <v>Aditi Sen</v>
      </c>
      <c r="F406" s="0" t="str">
        <f aca="false">PROPER(TRIM(AM406))</f>
        <v>Corporate</v>
      </c>
      <c r="G406" s="0" t="str">
        <f aca="false">IF(TRIM(AN406)="","Unknown",PROPER(TRIM(AN406)))</f>
        <v>West</v>
      </c>
      <c r="H406" s="0" t="str">
        <f aca="false">PROPER(TRIM(AO406))</f>
        <v>Rajasthan</v>
      </c>
      <c r="I406" s="0" t="str">
        <f aca="false">PROPER(TRIM(AP406))</f>
        <v>Udaipur</v>
      </c>
      <c r="J406" s="0" t="str">
        <f aca="false">PROPER(TRIM(AQ406))</f>
        <v>Furniture</v>
      </c>
      <c r="K406" s="0" t="str">
        <f aca="false">PROPER(TRIM(AR406))</f>
        <v>Chairs</v>
      </c>
      <c r="M406" s="0" t="str">
        <f aca="false">IF(TRIM(AS406)="","Unknown",PROPER(TRIM(AS406)))</f>
        <v>Same Day</v>
      </c>
      <c r="N406" s="0" t="n">
        <v>3</v>
      </c>
      <c r="O406" s="0" t="n">
        <v>359.61</v>
      </c>
      <c r="P406" s="5" t="n">
        <f aca="false">IF(AT406="","",IF(ISNUMBER(AT406),AT406,VALUE(SUBSTITUTE(AT406,"%",""))/100))</f>
        <v>0</v>
      </c>
      <c r="Q406" s="5" t="n">
        <f aca="false">IF(P406="",IF(AND(N406&lt;&gt;"",O406&lt;&gt;"",R406&lt;&gt;"",S406&lt;&gt;""),0,"REVIEW"),IF(OR(P406&lt;0,P406&gt;0.3),0,P406))</f>
        <v>0</v>
      </c>
      <c r="R406" s="0" t="n">
        <v>1078.83</v>
      </c>
      <c r="S406" s="0" t="n">
        <v>926.35</v>
      </c>
      <c r="T406" s="6" t="n">
        <f aca="false">N406*O406*(1-Q406)</f>
        <v>1078.83</v>
      </c>
      <c r="U406" s="6" t="n">
        <f aca="false">T406-S406</f>
        <v>152.48</v>
      </c>
      <c r="V406" s="7" t="n">
        <f aca="false">IF(T406=0,0,U406/T406)</f>
        <v>0.14133830167867</v>
      </c>
      <c r="W406" s="4" t="n">
        <f aca="false">C406-B406</f>
        <v>7</v>
      </c>
      <c r="X406" s="0" t="str">
        <f aca="false">TEXT(B406,"mmmm")</f>
        <v>January</v>
      </c>
      <c r="Y406" s="4" t="n">
        <f aca="false">YEAR(B406)</f>
        <v>2024</v>
      </c>
      <c r="Z406" s="0" t="str">
        <f aca="false">PROPER(TRIM(AU406))</f>
        <v>Paid</v>
      </c>
      <c r="AA406" s="0" t="str">
        <f aca="false">PROPER(TRIM(AV406))</f>
        <v>Completed</v>
      </c>
      <c r="AB406" s="0" t="str">
        <f aca="false">IF(TRIM(AN406)="","Yes","No")</f>
        <v>No</v>
      </c>
      <c r="AC406" s="0" t="str">
        <f aca="false">IF(TRIM(AS406)="","Yes","No")</f>
        <v>No</v>
      </c>
      <c r="AD406" s="0" t="str">
        <f aca="false">IF(AT406="","Yes","No")</f>
        <v>No</v>
      </c>
      <c r="AE406" s="0" t="str">
        <f aca="false">IF(W406&lt;0,"Yes","No")</f>
        <v>No</v>
      </c>
      <c r="AF406" s="0" t="str">
        <f aca="false">IF(P406="","No",IF(OR(P406&lt;0,P406&gt;0.3),"Yes","No"))</f>
        <v>No</v>
      </c>
      <c r="AG406" s="4" t="s">
        <v>50</v>
      </c>
      <c r="AH406" s="0" t="str">
        <f aca="false">IF(AND(AA406="Completed",Z406="Paid"),"Yes","No")</f>
        <v>Yes</v>
      </c>
      <c r="AI406" s="0" t="str">
        <f aca="false">IF(OR(AE406="Yes",AF406="Yes",AG406="Yes"),"Invalid",IF(OR(AB406="Yes",AC406="Yes",AD406="Yes"),"Warning","Clean"))</f>
        <v>Clean</v>
      </c>
      <c r="AJ406" s="4" t="s">
        <v>1649</v>
      </c>
      <c r="AK406" s="4" t="s">
        <v>1650</v>
      </c>
      <c r="AL406" s="4" t="s">
        <v>127</v>
      </c>
      <c r="AM406" s="4" t="s">
        <v>128</v>
      </c>
      <c r="AN406" s="4" t="s">
        <v>97</v>
      </c>
      <c r="AO406" s="4" t="s">
        <v>56</v>
      </c>
      <c r="AP406" s="4" t="s">
        <v>152</v>
      </c>
      <c r="AQ406" s="4" t="s">
        <v>72</v>
      </c>
      <c r="AR406" s="4" t="s">
        <v>100</v>
      </c>
      <c r="AS406" s="4" t="s">
        <v>74</v>
      </c>
      <c r="AT406" s="0" t="n">
        <v>0</v>
      </c>
      <c r="AU406" s="4" t="s">
        <v>61</v>
      </c>
      <c r="AV406" s="4" t="s">
        <v>883</v>
      </c>
    </row>
    <row r="407" customFormat="false" ht="15" hidden="false" customHeight="false" outlineLevel="0" collapsed="false">
      <c r="A407" s="0" t="s">
        <v>1651</v>
      </c>
      <c r="B407" s="3" t="n">
        <f aca="false">IF(AJ407="","",IF(ISNUMBER(SEARCH("/",AJ407)),DATE(VALUE(RIGHT(AJ407,4)),VALUE(LEFT(AJ407,2)),VALUE(MID(AJ407,4,2))),IF(ISNUMBER(SEARCH("-",AJ407)),IF(LEN(LEFT(AJ407,FIND("-",AJ407)-1))=4,DATE(VALUE(LEFT(AJ407,4)),VALUE(MID(AJ407,6,2)),VALUE(RIGHT(AJ407,2))),DATE(VALUE(RIGHT(AJ407,4)),VALUE(MID(AJ407,4,2)),VALUE(LEFT(AJ407,2)))),DATE(VALUE(RIGHT(AJ407,4)),MATCH(MID(AJ407,4,3),{"Jan","Feb","Mar","Apr","May","Jun","Jul","Aug","Sep","Oct","Nov","Dec"},0),VALUE(LEFT(AJ407,2))))))</f>
        <v>45558</v>
      </c>
      <c r="C407" s="3" t="n">
        <f aca="false">IF(AK407="","",IF(ISNUMBER(SEARCH("/",AK407)),DATE(VALUE(RIGHT(AK407,4)),VALUE(LEFT(AK407,2)),VALUE(MID(AK407,4,2))),IF(ISNUMBER(SEARCH("-",AK407)),IF(LEN(LEFT(AK407,FIND("-",AK407)-1))=4,DATE(VALUE(LEFT(AK407,4)),VALUE(MID(AK407,6,2)),VALUE(RIGHT(AK407,2))),DATE(VALUE(RIGHT(AK407,4)),VALUE(MID(AK407,4,2)),VALUE(LEFT(AK407,2)))),DATE(VALUE(RIGHT(AK407,4)),MATCH(MID(AK407,4,3),{"Jan","Feb","Mar","Apr","May","Jun","Jul","Aug","Sep","Oct","Nov","Dec"},0),VALUE(LEFT(AK407,2))))))</f>
        <v>45559</v>
      </c>
      <c r="D407" s="4" t="s">
        <v>1652</v>
      </c>
      <c r="E407" s="0" t="str">
        <f aca="false">PROPER(TRIM(AL407))</f>
        <v>Aditi Sen</v>
      </c>
      <c r="F407" s="0" t="str">
        <f aca="false">PROPER(TRIM(AM407))</f>
        <v>Home Office</v>
      </c>
      <c r="G407" s="0" t="str">
        <f aca="false">IF(TRIM(AN407)="","Unknown",PROPER(TRIM(AN407)))</f>
        <v>West</v>
      </c>
      <c r="H407" s="0" t="str">
        <f aca="false">PROPER(TRIM(AO407))</f>
        <v>Gujarat</v>
      </c>
      <c r="I407" s="0" t="str">
        <f aca="false">PROPER(TRIM(AP407))</f>
        <v>Ahmedabad</v>
      </c>
      <c r="J407" s="0" t="str">
        <f aca="false">PROPER(TRIM(AQ407))</f>
        <v>Furniture</v>
      </c>
      <c r="K407" s="0" t="str">
        <f aca="false">PROPER(TRIM(AR407))</f>
        <v>Bookcases</v>
      </c>
      <c r="M407" s="0" t="str">
        <f aca="false">IF(TRIM(AS407)="","Unknown",PROPER(TRIM(AS407)))</f>
        <v>Unknown</v>
      </c>
      <c r="N407" s="0" t="n">
        <v>7</v>
      </c>
      <c r="O407" s="0" t="n">
        <v>3878.01</v>
      </c>
      <c r="P407" s="5" t="n">
        <f aca="false">IF(AT407="","",IF(ISNUMBER(AT407),AT407,VALUE(SUBSTITUTE(AT407,"%",""))/100))</f>
        <v>0.1</v>
      </c>
      <c r="Q407" s="5" t="n">
        <f aca="false">IF(P407="",IF(AND(N407&lt;&gt;"",O407&lt;&gt;"",R407&lt;&gt;"",S407&lt;&gt;""),0,"REVIEW"),IF(OR(P407&lt;0,P407&gt;0.3),0,P407))</f>
        <v>0.1</v>
      </c>
      <c r="R407" s="0" t="n">
        <v>24431.46</v>
      </c>
      <c r="S407" s="0" t="n">
        <v>18202.36</v>
      </c>
      <c r="T407" s="6" t="n">
        <f aca="false">N407*O407*(1-Q407)</f>
        <v>24431.463</v>
      </c>
      <c r="U407" s="6" t="n">
        <f aca="false">T407-S407</f>
        <v>6229.103</v>
      </c>
      <c r="V407" s="7" t="n">
        <f aca="false">IF(T407=0,0,U407/T407)</f>
        <v>0.254962340978107</v>
      </c>
      <c r="W407" s="4" t="n">
        <f aca="false">C407-B407</f>
        <v>1</v>
      </c>
      <c r="X407" s="0" t="str">
        <f aca="false">TEXT(B407,"mmmm")</f>
        <v>September</v>
      </c>
      <c r="Y407" s="4" t="n">
        <f aca="false">YEAR(B407)</f>
        <v>2024</v>
      </c>
      <c r="Z407" s="0" t="str">
        <f aca="false">PROPER(TRIM(AU407))</f>
        <v>Paid</v>
      </c>
      <c r="AA407" s="0" t="str">
        <f aca="false">PROPER(TRIM(AV407))</f>
        <v>Completed</v>
      </c>
      <c r="AB407" s="0" t="str">
        <f aca="false">IF(TRIM(AN407)="","Yes","No")</f>
        <v>No</v>
      </c>
      <c r="AC407" s="0" t="str">
        <f aca="false">IF(TRIM(AS407)="","Yes","No")</f>
        <v>Yes</v>
      </c>
      <c r="AD407" s="0" t="str">
        <f aca="false">IF(AT407="","Yes","No")</f>
        <v>No</v>
      </c>
      <c r="AE407" s="0" t="str">
        <f aca="false">IF(W407&lt;0,"Yes","No")</f>
        <v>No</v>
      </c>
      <c r="AF407" s="0" t="str">
        <f aca="false">IF(P407="","No",IF(OR(P407&lt;0,P407&gt;0.3),"Yes","No"))</f>
        <v>No</v>
      </c>
      <c r="AG407" s="4" t="s">
        <v>50</v>
      </c>
      <c r="AH407" s="0" t="str">
        <f aca="false">IF(AND(AA407="Completed",Z407="Paid"),"Yes","No")</f>
        <v>Yes</v>
      </c>
      <c r="AI407" s="0" t="str">
        <f aca="false">IF(OR(AE407="Yes",AF407="Yes",AG407="Yes"),"Invalid",IF(OR(AB407="Yes",AC407="Yes",AD407="Yes"),"Warning","Clean"))</f>
        <v>Warning</v>
      </c>
      <c r="AJ407" s="4" t="s">
        <v>1653</v>
      </c>
      <c r="AK407" s="4" t="s">
        <v>1654</v>
      </c>
      <c r="AL407" s="4" t="s">
        <v>127</v>
      </c>
      <c r="AM407" s="4" t="s">
        <v>134</v>
      </c>
      <c r="AN407" s="4" t="s">
        <v>97</v>
      </c>
      <c r="AO407" s="4" t="s">
        <v>238</v>
      </c>
      <c r="AP407" s="4" t="s">
        <v>239</v>
      </c>
      <c r="AQ407" s="4" t="s">
        <v>72</v>
      </c>
      <c r="AR407" s="4" t="s">
        <v>211</v>
      </c>
      <c r="AT407" s="0" t="n">
        <v>0.1</v>
      </c>
      <c r="AU407" s="4" t="s">
        <v>61</v>
      </c>
      <c r="AV407" s="4" t="s">
        <v>62</v>
      </c>
    </row>
    <row r="408" customFormat="false" ht="15" hidden="false" customHeight="false" outlineLevel="0" collapsed="false">
      <c r="A408" s="0" t="s">
        <v>1655</v>
      </c>
      <c r="B408" s="3" t="n">
        <f aca="false">IF(AJ408="","",IF(ISNUMBER(SEARCH("/",AJ408)),DATE(VALUE(RIGHT(AJ408,4)),VALUE(LEFT(AJ408,2)),VALUE(MID(AJ408,4,2))),IF(ISNUMBER(SEARCH("-",AJ408)),IF(LEN(LEFT(AJ408,FIND("-",AJ408)-1))=4,DATE(VALUE(LEFT(AJ408,4)),VALUE(MID(AJ408,6,2)),VALUE(RIGHT(AJ408,2))),DATE(VALUE(RIGHT(AJ408,4)),VALUE(MID(AJ408,4,2)),VALUE(LEFT(AJ408,2)))),DATE(VALUE(RIGHT(AJ408,4)),MATCH(MID(AJ408,4,3),{"Jan","Feb","Mar","Apr","May","Jun","Jul","Aug","Sep","Oct","Nov","Dec"},0),VALUE(LEFT(AJ408,2))))))</f>
        <v>45713</v>
      </c>
      <c r="C408" s="3" t="n">
        <f aca="false">IF(AK408="","",IF(ISNUMBER(SEARCH("/",AK408)),DATE(VALUE(RIGHT(AK408,4)),VALUE(LEFT(AK408,2)),VALUE(MID(AK408,4,2))),IF(ISNUMBER(SEARCH("-",AK408)),IF(LEN(LEFT(AK408,FIND("-",AK408)-1))=4,DATE(VALUE(LEFT(AK408,4)),VALUE(MID(AK408,6,2)),VALUE(RIGHT(AK408,2))),DATE(VALUE(RIGHT(AK408,4)),VALUE(MID(AK408,4,2)),VALUE(LEFT(AK408,2)))),DATE(VALUE(RIGHT(AK408,4)),MATCH(MID(AK408,4,3),{"Jan","Feb","Mar","Apr","May","Jun","Jul","Aug","Sep","Oct","Nov","Dec"},0),VALUE(LEFT(AK408,2))))))</f>
        <v>45713</v>
      </c>
      <c r="D408" s="4" t="s">
        <v>1656</v>
      </c>
      <c r="E408" s="0" t="str">
        <f aca="false">PROPER(TRIM(AL408))</f>
        <v>Kabir Singh</v>
      </c>
      <c r="F408" s="0" t="str">
        <f aca="false">PROPER(TRIM(AM408))</f>
        <v>Small Business</v>
      </c>
      <c r="G408" s="0" t="str">
        <f aca="false">IF(TRIM(AN408)="","Unknown",PROPER(TRIM(AN408)))</f>
        <v>West</v>
      </c>
      <c r="H408" s="0" t="str">
        <f aca="false">PROPER(TRIM(AO408))</f>
        <v>Goa</v>
      </c>
      <c r="I408" s="0" t="str">
        <f aca="false">PROPER(TRIM(AP408))</f>
        <v>Panaji</v>
      </c>
      <c r="J408" s="0" t="str">
        <f aca="false">PROPER(TRIM(AQ408))</f>
        <v>Furniture</v>
      </c>
      <c r="K408" s="0" t="str">
        <f aca="false">PROPER(TRIM(AR408))</f>
        <v>Furnishings</v>
      </c>
      <c r="M408" s="0" t="str">
        <f aca="false">IF(TRIM(AS408)="","Unknown",PROPER(TRIM(AS408)))</f>
        <v>Standard Class</v>
      </c>
      <c r="N408" s="0" t="n">
        <v>2</v>
      </c>
      <c r="O408" s="0" t="n">
        <v>3924.2</v>
      </c>
      <c r="P408" s="5" t="n">
        <f aca="false">IF(AT408="","",IF(ISNUMBER(AT408),AT408,VALUE(SUBSTITUTE(AT408,"%",""))/100))</f>
        <v>0.25</v>
      </c>
      <c r="Q408" s="5" t="n">
        <f aca="false">IF(P408="",IF(AND(N408&lt;&gt;"",O408&lt;&gt;"",R408&lt;&gt;"",S408&lt;&gt;""),0,"REVIEW"),IF(OR(P408&lt;0,P408&gt;0.3),0,P408))</f>
        <v>0.25</v>
      </c>
      <c r="R408" s="0" t="n">
        <v>5886.3</v>
      </c>
      <c r="S408" s="0" t="n">
        <v>3621.76</v>
      </c>
      <c r="T408" s="6" t="n">
        <f aca="false">N408*O408*(1-Q408)</f>
        <v>5886.3</v>
      </c>
      <c r="U408" s="6" t="n">
        <f aca="false">T408-S408</f>
        <v>2264.54</v>
      </c>
      <c r="V408" s="7" t="n">
        <f aca="false">IF(T408=0,0,U408/T408)</f>
        <v>0.384713657136062</v>
      </c>
      <c r="W408" s="4" t="n">
        <f aca="false">C408-B408</f>
        <v>0</v>
      </c>
      <c r="X408" s="0" t="str">
        <f aca="false">TEXT(B408,"mmmm")</f>
        <v>February</v>
      </c>
      <c r="Y408" s="4" t="n">
        <f aca="false">YEAR(B408)</f>
        <v>2025</v>
      </c>
      <c r="Z408" s="0" t="str">
        <f aca="false">PROPER(TRIM(AU408))</f>
        <v>Pending</v>
      </c>
      <c r="AA408" s="0" t="str">
        <f aca="false">PROPER(TRIM(AV408))</f>
        <v>Returned</v>
      </c>
      <c r="AB408" s="0" t="str">
        <f aca="false">IF(TRIM(AN408)="","Yes","No")</f>
        <v>No</v>
      </c>
      <c r="AC408" s="0" t="str">
        <f aca="false">IF(TRIM(AS408)="","Yes","No")</f>
        <v>No</v>
      </c>
      <c r="AD408" s="0" t="str">
        <f aca="false">IF(AT408="","Yes","No")</f>
        <v>No</v>
      </c>
      <c r="AE408" s="0" t="str">
        <f aca="false">IF(W408&lt;0,"Yes","No")</f>
        <v>No</v>
      </c>
      <c r="AF408" s="0" t="str">
        <f aca="false">IF(P408="","No",IF(OR(P408&lt;0,P408&gt;0.3),"Yes","No"))</f>
        <v>No</v>
      </c>
      <c r="AG408" s="4" t="s">
        <v>50</v>
      </c>
      <c r="AH408" s="0" t="str">
        <f aca="false">IF(AND(AA408="Completed",Z408="Paid"),"Yes","No")</f>
        <v>No</v>
      </c>
      <c r="AI408" s="0" t="str">
        <f aca="false">IF(OR(AE408="Yes",AF408="Yes",AG408="Yes"),"Invalid",IF(OR(AB408="Yes",AC408="Yes",AD408="Yes"),"Warning","Clean"))</f>
        <v>Clean</v>
      </c>
      <c r="AJ408" s="4" t="s">
        <v>1657</v>
      </c>
      <c r="AK408" s="4" t="s">
        <v>1657</v>
      </c>
      <c r="AL408" s="4" t="s">
        <v>347</v>
      </c>
      <c r="AM408" s="4" t="s">
        <v>68</v>
      </c>
      <c r="AN408" s="4" t="s">
        <v>97</v>
      </c>
      <c r="AO408" s="4" t="s">
        <v>250</v>
      </c>
      <c r="AP408" s="4" t="s">
        <v>251</v>
      </c>
      <c r="AQ408" s="4" t="s">
        <v>72</v>
      </c>
      <c r="AR408" s="4" t="s">
        <v>90</v>
      </c>
      <c r="AS408" s="4" t="s">
        <v>91</v>
      </c>
      <c r="AT408" s="0" t="n">
        <v>0.25</v>
      </c>
      <c r="AU408" s="4" t="s">
        <v>153</v>
      </c>
      <c r="AV408" s="4" t="s">
        <v>142</v>
      </c>
    </row>
    <row r="409" customFormat="false" ht="15" hidden="false" customHeight="false" outlineLevel="0" collapsed="false">
      <c r="A409" s="0" t="s">
        <v>1658</v>
      </c>
      <c r="B409" s="3" t="n">
        <f aca="false">IF(AJ409="","",IF(ISNUMBER(SEARCH("/",AJ409)),DATE(VALUE(RIGHT(AJ409,4)),VALUE(LEFT(AJ409,2)),VALUE(MID(AJ409,4,2))),IF(ISNUMBER(SEARCH("-",AJ409)),IF(LEN(LEFT(AJ409,FIND("-",AJ409)-1))=4,DATE(VALUE(LEFT(AJ409,4)),VALUE(MID(AJ409,6,2)),VALUE(RIGHT(AJ409,2))),DATE(VALUE(RIGHT(AJ409,4)),VALUE(MID(AJ409,4,2)),VALUE(LEFT(AJ409,2)))),DATE(VALUE(RIGHT(AJ409,4)),MATCH(MID(AJ409,4,3),{"Jan","Feb","Mar","Apr","May","Jun","Jul","Aug","Sep","Oct","Nov","Dec"},0),VALUE(LEFT(AJ409,2))))))</f>
        <v>45424</v>
      </c>
      <c r="C409" s="3" t="n">
        <f aca="false">IF(AK409="","",IF(ISNUMBER(SEARCH("/",AK409)),DATE(VALUE(RIGHT(AK409,4)),VALUE(LEFT(AK409,2)),VALUE(MID(AK409,4,2))),IF(ISNUMBER(SEARCH("-",AK409)),IF(LEN(LEFT(AK409,FIND("-",AK409)-1))=4,DATE(VALUE(LEFT(AK409,4)),VALUE(MID(AK409,6,2)),VALUE(RIGHT(AK409,2))),DATE(VALUE(RIGHT(AK409,4)),VALUE(MID(AK409,4,2)),VALUE(LEFT(AK409,2)))),DATE(VALUE(RIGHT(AK409,4)),MATCH(MID(AK409,4,3),{"Jan","Feb","Mar","Apr","May","Jun","Jul","Aug","Sep","Oct","Nov","Dec"},0),VALUE(LEFT(AK409,2))))))</f>
        <v>45425</v>
      </c>
      <c r="D409" s="4" t="s">
        <v>1659</v>
      </c>
      <c r="E409" s="0" t="str">
        <f aca="false">PROPER(TRIM(AL409))</f>
        <v>Rahul Verma</v>
      </c>
      <c r="F409" s="0" t="str">
        <f aca="false">PROPER(TRIM(AM409))</f>
        <v>Corporate</v>
      </c>
      <c r="G409" s="0" t="str">
        <f aca="false">IF(TRIM(AN409)="","Unknown",PROPER(TRIM(AN409)))</f>
        <v>West</v>
      </c>
      <c r="H409" s="0" t="str">
        <f aca="false">PROPER(TRIM(AO409))</f>
        <v>Goa</v>
      </c>
      <c r="I409" s="0" t="str">
        <f aca="false">PROPER(TRIM(AP409))</f>
        <v>Panaji</v>
      </c>
      <c r="J409" s="0" t="str">
        <f aca="false">PROPER(TRIM(AQ409))</f>
        <v>Office Supplies</v>
      </c>
      <c r="K409" s="0" t="str">
        <f aca="false">PROPER(TRIM(AR409))</f>
        <v>Labels</v>
      </c>
      <c r="M409" s="0" t="str">
        <f aca="false">IF(TRIM(AS409)="","Unknown",PROPER(TRIM(AS409)))</f>
        <v>Second Class</v>
      </c>
      <c r="N409" s="0" t="n">
        <v>3</v>
      </c>
      <c r="O409" s="0" t="n">
        <v>2644.55</v>
      </c>
      <c r="P409" s="5" t="n">
        <f aca="false">IF(AT409="","",IF(ISNUMBER(AT409),AT409,VALUE(SUBSTITUTE(AT409,"%",""))/100))</f>
        <v>0</v>
      </c>
      <c r="Q409" s="5" t="n">
        <f aca="false">IF(P409="",IF(AND(N409&lt;&gt;"",O409&lt;&gt;"",R409&lt;&gt;"",S409&lt;&gt;""),0,"REVIEW"),IF(OR(P409&lt;0,P409&gt;0.3),0,P409))</f>
        <v>0</v>
      </c>
      <c r="R409" s="0" t="n">
        <v>7933.65</v>
      </c>
      <c r="S409" s="0" t="n">
        <v>5698.42</v>
      </c>
      <c r="T409" s="6" t="n">
        <f aca="false">N409*O409*(1-Q409)</f>
        <v>7933.65</v>
      </c>
      <c r="U409" s="6" t="n">
        <f aca="false">T409-S409</f>
        <v>2235.23</v>
      </c>
      <c r="V409" s="7" t="n">
        <f aca="false">IF(T409=0,0,U409/T409)</f>
        <v>0.281740434730547</v>
      </c>
      <c r="W409" s="4" t="n">
        <f aca="false">C409-B409</f>
        <v>1</v>
      </c>
      <c r="X409" s="0" t="str">
        <f aca="false">TEXT(B409,"mmmm")</f>
        <v>May</v>
      </c>
      <c r="Y409" s="4" t="n">
        <f aca="false">YEAR(B409)</f>
        <v>2024</v>
      </c>
      <c r="Z409" s="0" t="str">
        <f aca="false">PROPER(TRIM(AU409))</f>
        <v>Paid</v>
      </c>
      <c r="AA409" s="0" t="str">
        <f aca="false">PROPER(TRIM(AV409))</f>
        <v>Completed</v>
      </c>
      <c r="AB409" s="0" t="str">
        <f aca="false">IF(TRIM(AN409)="","Yes","No")</f>
        <v>No</v>
      </c>
      <c r="AC409" s="0" t="str">
        <f aca="false">IF(TRIM(AS409)="","Yes","No")</f>
        <v>No</v>
      </c>
      <c r="AD409" s="0" t="str">
        <f aca="false">IF(AT409="","Yes","No")</f>
        <v>No</v>
      </c>
      <c r="AE409" s="0" t="str">
        <f aca="false">IF(W409&lt;0,"Yes","No")</f>
        <v>No</v>
      </c>
      <c r="AF409" s="0" t="str">
        <f aca="false">IF(P409="","No",IF(OR(P409&lt;0,P409&gt;0.3),"Yes","No"))</f>
        <v>No</v>
      </c>
      <c r="AG409" s="4" t="s">
        <v>50</v>
      </c>
      <c r="AH409" s="0" t="str">
        <f aca="false">IF(AND(AA409="Completed",Z409="Paid"),"Yes","No")</f>
        <v>Yes</v>
      </c>
      <c r="AI409" s="0" t="str">
        <f aca="false">IF(OR(AE409="Yes",AF409="Yes",AG409="Yes"),"Invalid",IF(OR(AB409="Yes",AC409="Yes",AD409="Yes"),"Warning","Clean"))</f>
        <v>Clean</v>
      </c>
      <c r="AJ409" s="4" t="s">
        <v>1660</v>
      </c>
      <c r="AK409" s="4" t="s">
        <v>1661</v>
      </c>
      <c r="AL409" s="4" t="s">
        <v>163</v>
      </c>
      <c r="AM409" s="4" t="s">
        <v>128</v>
      </c>
      <c r="AN409" s="4" t="s">
        <v>97</v>
      </c>
      <c r="AO409" s="4" t="s">
        <v>250</v>
      </c>
      <c r="AP409" s="4" t="s">
        <v>251</v>
      </c>
      <c r="AQ409" s="4" t="s">
        <v>58</v>
      </c>
      <c r="AR409" s="4" t="s">
        <v>129</v>
      </c>
      <c r="AS409" s="4" t="s">
        <v>60</v>
      </c>
      <c r="AT409" s="0" t="n">
        <v>0</v>
      </c>
      <c r="AU409" s="4" t="s">
        <v>61</v>
      </c>
      <c r="AV409" s="4" t="s">
        <v>62</v>
      </c>
    </row>
    <row r="410" customFormat="false" ht="15" hidden="false" customHeight="false" outlineLevel="0" collapsed="false">
      <c r="A410" s="0" t="s">
        <v>1662</v>
      </c>
      <c r="B410" s="3" t="n">
        <f aca="false">IF(AJ410="","",IF(ISNUMBER(SEARCH("/",AJ410)),DATE(VALUE(RIGHT(AJ410,4)),VALUE(LEFT(AJ410,2)),VALUE(MID(AJ410,4,2))),IF(ISNUMBER(SEARCH("-",AJ410)),IF(LEN(LEFT(AJ410,FIND("-",AJ410)-1))=4,DATE(VALUE(LEFT(AJ410,4)),VALUE(MID(AJ410,6,2)),VALUE(RIGHT(AJ410,2))),DATE(VALUE(RIGHT(AJ410,4)),VALUE(MID(AJ410,4,2)),VALUE(LEFT(AJ410,2)))),DATE(VALUE(RIGHT(AJ410,4)),MATCH(MID(AJ410,4,3),{"Jan","Feb","Mar","Apr","May","Jun","Jul","Aug","Sep","Oct","Nov","Dec"},0),VALUE(LEFT(AJ410,2))))))</f>
        <v>45870</v>
      </c>
      <c r="C410" s="3" t="n">
        <f aca="false">IF(AK410="","",IF(ISNUMBER(SEARCH("/",AK410)),DATE(VALUE(RIGHT(AK410,4)),VALUE(LEFT(AK410,2)),VALUE(MID(AK410,4,2))),IF(ISNUMBER(SEARCH("-",AK410)),IF(LEN(LEFT(AK410,FIND("-",AK410)-1))=4,DATE(VALUE(LEFT(AK410,4)),VALUE(MID(AK410,6,2)),VALUE(RIGHT(AK410,2))),DATE(VALUE(RIGHT(AK410,4)),VALUE(MID(AK410,4,2)),VALUE(LEFT(AK410,2)))),DATE(VALUE(RIGHT(AK410,4)),MATCH(MID(AK410,4,3),{"Jan","Feb","Mar","Apr","May","Jun","Jul","Aug","Sep","Oct","Nov","Dec"},0),VALUE(LEFT(AK410,2))))))</f>
        <v>45872</v>
      </c>
      <c r="D410" s="4" t="s">
        <v>1663</v>
      </c>
      <c r="E410" s="0" t="str">
        <f aca="false">PROPER(TRIM(AL410))</f>
        <v>Sneha Kapoor</v>
      </c>
      <c r="F410" s="0" t="str">
        <f aca="false">PROPER(TRIM(AM410))</f>
        <v>Consumer</v>
      </c>
      <c r="G410" s="0" t="str">
        <f aca="false">IF(TRIM(AN410)="","Unknown",PROPER(TRIM(AN410)))</f>
        <v>West</v>
      </c>
      <c r="H410" s="0" t="str">
        <f aca="false">PROPER(TRIM(AO410))</f>
        <v>Maharashtra</v>
      </c>
      <c r="I410" s="0" t="str">
        <f aca="false">PROPER(TRIM(AP410))</f>
        <v>Mumbai</v>
      </c>
      <c r="J410" s="0" t="str">
        <f aca="false">PROPER(TRIM(AQ410))</f>
        <v>Furniture</v>
      </c>
      <c r="K410" s="0" t="str">
        <f aca="false">PROPER(TRIM(AR410))</f>
        <v>Chairs</v>
      </c>
      <c r="M410" s="0" t="str">
        <f aca="false">IF(TRIM(AS410)="","Unknown",PROPER(TRIM(AS410)))</f>
        <v>First Class</v>
      </c>
      <c r="N410" s="0" t="n">
        <v>4</v>
      </c>
      <c r="O410" s="0" t="n">
        <v>1773.46</v>
      </c>
      <c r="P410" s="5" t="n">
        <f aca="false">IF(AT410="","",IF(ISNUMBER(AT410),AT410,VALUE(SUBSTITUTE(AT410,"%",""))/100))</f>
        <v>0</v>
      </c>
      <c r="Q410" s="5" t="n">
        <f aca="false">IF(P410="",IF(AND(N410&lt;&gt;"",O410&lt;&gt;"",R410&lt;&gt;"",S410&lt;&gt;""),0,"REVIEW"),IF(OR(P410&lt;0,P410&gt;0.3),0,P410))</f>
        <v>0</v>
      </c>
      <c r="R410" s="0" t="n">
        <v>7093.84</v>
      </c>
      <c r="S410" s="0" t="n">
        <v>4587.49</v>
      </c>
      <c r="T410" s="6" t="n">
        <f aca="false">N410*O410*(1-Q410)</f>
        <v>7093.84</v>
      </c>
      <c r="U410" s="6" t="n">
        <f aca="false">T410-S410</f>
        <v>2506.35</v>
      </c>
      <c r="V410" s="7" t="n">
        <f aca="false">IF(T410=0,0,U410/T410)</f>
        <v>0.353313579105252</v>
      </c>
      <c r="W410" s="4" t="n">
        <f aca="false">C410-B410</f>
        <v>2</v>
      </c>
      <c r="X410" s="0" t="str">
        <f aca="false">TEXT(B410,"mmmm")</f>
        <v>August</v>
      </c>
      <c r="Y410" s="4" t="n">
        <f aca="false">YEAR(B410)</f>
        <v>2025</v>
      </c>
      <c r="Z410" s="0" t="str">
        <f aca="false">PROPER(TRIM(AU410))</f>
        <v>Failed</v>
      </c>
      <c r="AA410" s="0" t="str">
        <f aca="false">PROPER(TRIM(AV410))</f>
        <v>Returned</v>
      </c>
      <c r="AB410" s="0" t="str">
        <f aca="false">IF(TRIM(AN410)="","Yes","No")</f>
        <v>No</v>
      </c>
      <c r="AC410" s="0" t="str">
        <f aca="false">IF(TRIM(AS410)="","Yes","No")</f>
        <v>No</v>
      </c>
      <c r="AD410" s="0" t="str">
        <f aca="false">IF(AT410="","Yes","No")</f>
        <v>No</v>
      </c>
      <c r="AE410" s="0" t="str">
        <f aca="false">IF(W410&lt;0,"Yes","No")</f>
        <v>No</v>
      </c>
      <c r="AF410" s="0" t="str">
        <f aca="false">IF(P410="","No",IF(OR(P410&lt;0,P410&gt;0.3),"Yes","No"))</f>
        <v>No</v>
      </c>
      <c r="AG410" s="4" t="s">
        <v>50</v>
      </c>
      <c r="AH410" s="0" t="str">
        <f aca="false">IF(AND(AA410="Completed",Z410="Paid"),"Yes","No")</f>
        <v>No</v>
      </c>
      <c r="AI410" s="0" t="str">
        <f aca="false">IF(OR(AE410="Yes",AF410="Yes",AG410="Yes"),"Invalid",IF(OR(AB410="Yes",AC410="Yes",AD410="Yes"),"Warning","Clean"))</f>
        <v>Clean</v>
      </c>
      <c r="AJ410" s="4" t="s">
        <v>717</v>
      </c>
      <c r="AK410" s="4" t="s">
        <v>923</v>
      </c>
      <c r="AL410" s="4" t="s">
        <v>181</v>
      </c>
      <c r="AM410" s="4" t="s">
        <v>54</v>
      </c>
      <c r="AN410" s="4" t="s">
        <v>97</v>
      </c>
      <c r="AO410" s="4" t="s">
        <v>98</v>
      </c>
      <c r="AP410" s="4" t="s">
        <v>99</v>
      </c>
      <c r="AQ410" s="4" t="s">
        <v>72</v>
      </c>
      <c r="AR410" s="4" t="s">
        <v>100</v>
      </c>
      <c r="AS410" s="4" t="s">
        <v>81</v>
      </c>
      <c r="AT410" s="0" t="n">
        <v>0</v>
      </c>
      <c r="AU410" s="4" t="s">
        <v>207</v>
      </c>
      <c r="AV410" s="4" t="s">
        <v>142</v>
      </c>
    </row>
    <row r="411" customFormat="false" ht="15" hidden="false" customHeight="false" outlineLevel="0" collapsed="false">
      <c r="A411" s="0" t="s">
        <v>1664</v>
      </c>
      <c r="B411" s="3" t="n">
        <f aca="false">IF(AJ411="","",IF(ISNUMBER(SEARCH("/",AJ411)),DATE(VALUE(RIGHT(AJ411,4)),VALUE(LEFT(AJ411,2)),VALUE(MID(AJ411,4,2))),IF(ISNUMBER(SEARCH("-",AJ411)),IF(LEN(LEFT(AJ411,FIND("-",AJ411)-1))=4,DATE(VALUE(LEFT(AJ411,4)),VALUE(MID(AJ411,6,2)),VALUE(RIGHT(AJ411,2))),DATE(VALUE(RIGHT(AJ411,4)),VALUE(MID(AJ411,4,2)),VALUE(LEFT(AJ411,2)))),DATE(VALUE(RIGHT(AJ411,4)),MATCH(MID(AJ411,4,3),{"Jan","Feb","Mar","Apr","May","Jun","Jul","Aug","Sep","Oct","Nov","Dec"},0),VALUE(LEFT(AJ411,2))))))</f>
        <v>45701</v>
      </c>
      <c r="C411" s="3" t="n">
        <f aca="false">IF(AK411="","",IF(ISNUMBER(SEARCH("/",AK411)),DATE(VALUE(RIGHT(AK411,4)),VALUE(LEFT(AK411,2)),VALUE(MID(AK411,4,2))),IF(ISNUMBER(SEARCH("-",AK411)),IF(LEN(LEFT(AK411,FIND("-",AK411)-1))=4,DATE(VALUE(LEFT(AK411,4)),VALUE(MID(AK411,6,2)),VALUE(RIGHT(AK411,2))),DATE(VALUE(RIGHT(AK411,4)),VALUE(MID(AK411,4,2)),VALUE(LEFT(AK411,2)))),DATE(VALUE(RIGHT(AK411,4)),MATCH(MID(AK411,4,3),{"Jan","Feb","Mar","Apr","May","Jun","Jul","Aug","Sep","Oct","Nov","Dec"},0),VALUE(LEFT(AK411,2))))))</f>
        <v>45703</v>
      </c>
      <c r="D411" s="4" t="s">
        <v>1665</v>
      </c>
      <c r="E411" s="0" t="str">
        <f aca="false">PROPER(TRIM(AL411))</f>
        <v>Karan Malhotra</v>
      </c>
      <c r="F411" s="0" t="str">
        <f aca="false">PROPER(TRIM(AM411))</f>
        <v>Consumer</v>
      </c>
      <c r="G411" s="0" t="str">
        <f aca="false">IF(TRIM(AN411)="","Unknown",PROPER(TRIM(AN411)))</f>
        <v>East</v>
      </c>
      <c r="H411" s="0" t="str">
        <f aca="false">PROPER(TRIM(AO411))</f>
        <v>Assam</v>
      </c>
      <c r="I411" s="0" t="str">
        <f aca="false">PROPER(TRIM(AP411))</f>
        <v>Guwahati</v>
      </c>
      <c r="J411" s="0" t="str">
        <f aca="false">PROPER(TRIM(AQ411))</f>
        <v>Technology</v>
      </c>
      <c r="K411" s="0" t="str">
        <f aca="false">PROPER(TRIM(AR411))</f>
        <v>Accessories</v>
      </c>
      <c r="M411" s="0" t="str">
        <f aca="false">IF(TRIM(AS411)="","Unknown",PROPER(TRIM(AS411)))</f>
        <v>Same Day</v>
      </c>
      <c r="N411" s="0" t="n">
        <v>1</v>
      </c>
      <c r="O411" s="0" t="n">
        <v>3025.46</v>
      </c>
      <c r="P411" s="5" t="n">
        <f aca="false">IF(AT411="","",IF(ISNUMBER(AT411),AT411,VALUE(SUBSTITUTE(AT411,"%",""))/100))</f>
        <v>0.25</v>
      </c>
      <c r="Q411" s="5" t="n">
        <f aca="false">IF(P411="",IF(AND(N411&lt;&gt;"",O411&lt;&gt;"",R411&lt;&gt;"",S411&lt;&gt;""),0,"REVIEW"),IF(OR(P411&lt;0,P411&gt;0.3),0,P411))</f>
        <v>0.25</v>
      </c>
      <c r="R411" s="0" t="n">
        <v>2269.1</v>
      </c>
      <c r="S411" s="0" t="n">
        <v>1593.59</v>
      </c>
      <c r="T411" s="6" t="n">
        <f aca="false">N411*O411*(1-Q411)</f>
        <v>2269.095</v>
      </c>
      <c r="U411" s="6" t="n">
        <f aca="false">T411-S411</f>
        <v>675.505</v>
      </c>
      <c r="V411" s="7" t="n">
        <f aca="false">IF(T411=0,0,U411/T411)</f>
        <v>0.297697980913095</v>
      </c>
      <c r="W411" s="4" t="n">
        <f aca="false">C411-B411</f>
        <v>2</v>
      </c>
      <c r="X411" s="0" t="str">
        <f aca="false">TEXT(B411,"mmmm")</f>
        <v>February</v>
      </c>
      <c r="Y411" s="4" t="n">
        <f aca="false">YEAR(B411)</f>
        <v>2025</v>
      </c>
      <c r="Z411" s="0" t="str">
        <f aca="false">PROPER(TRIM(AU411))</f>
        <v>Refunded</v>
      </c>
      <c r="AA411" s="0" t="str">
        <f aca="false">PROPER(TRIM(AV411))</f>
        <v>Returned</v>
      </c>
      <c r="AB411" s="0" t="str">
        <f aca="false">IF(TRIM(AN411)="","Yes","No")</f>
        <v>No</v>
      </c>
      <c r="AC411" s="0" t="str">
        <f aca="false">IF(TRIM(AS411)="","Yes","No")</f>
        <v>No</v>
      </c>
      <c r="AD411" s="0" t="str">
        <f aca="false">IF(AT411="","Yes","No")</f>
        <v>No</v>
      </c>
      <c r="AE411" s="0" t="str">
        <f aca="false">IF(W411&lt;0,"Yes","No")</f>
        <v>No</v>
      </c>
      <c r="AF411" s="0" t="str">
        <f aca="false">IF(P411="","No",IF(OR(P411&lt;0,P411&gt;0.3),"Yes","No"))</f>
        <v>No</v>
      </c>
      <c r="AG411" s="4" t="s">
        <v>50</v>
      </c>
      <c r="AH411" s="0" t="str">
        <f aca="false">IF(AND(AA411="Completed",Z411="Paid"),"Yes","No")</f>
        <v>No</v>
      </c>
      <c r="AI411" s="0" t="str">
        <f aca="false">IF(OR(AE411="Yes",AF411="Yes",AG411="Yes"),"Invalid",IF(OR(AB411="Yes",AC411="Yes",AD411="Yes"),"Warning","Clean"))</f>
        <v>Clean</v>
      </c>
      <c r="AJ411" s="4" t="s">
        <v>725</v>
      </c>
      <c r="AK411" s="4" t="s">
        <v>678</v>
      </c>
      <c r="AL411" s="4" t="s">
        <v>53</v>
      </c>
      <c r="AM411" s="4" t="s">
        <v>54</v>
      </c>
      <c r="AN411" s="4" t="s">
        <v>69</v>
      </c>
      <c r="AO411" s="4" t="s">
        <v>221</v>
      </c>
      <c r="AP411" s="4" t="s">
        <v>222</v>
      </c>
      <c r="AQ411" s="4" t="s">
        <v>109</v>
      </c>
      <c r="AR411" s="4" t="s">
        <v>110</v>
      </c>
      <c r="AS411" s="4" t="s">
        <v>74</v>
      </c>
      <c r="AT411" s="0" t="n">
        <v>0.25</v>
      </c>
      <c r="AU411" s="4" t="s">
        <v>141</v>
      </c>
      <c r="AV411" s="4" t="s">
        <v>142</v>
      </c>
    </row>
    <row r="412" customFormat="false" ht="15" hidden="false" customHeight="false" outlineLevel="0" collapsed="false">
      <c r="A412" s="0" t="s">
        <v>1666</v>
      </c>
      <c r="B412" s="3" t="n">
        <f aca="false">IF(AJ412="","",IF(ISNUMBER(SEARCH("/",AJ412)),DATE(VALUE(RIGHT(AJ412,4)),VALUE(LEFT(AJ412,2)),VALUE(MID(AJ412,4,2))),IF(ISNUMBER(SEARCH("-",AJ412)),IF(LEN(LEFT(AJ412,FIND("-",AJ412)-1))=4,DATE(VALUE(LEFT(AJ412,4)),VALUE(MID(AJ412,6,2)),VALUE(RIGHT(AJ412,2))),DATE(VALUE(RIGHT(AJ412,4)),VALUE(MID(AJ412,4,2)),VALUE(LEFT(AJ412,2)))),DATE(VALUE(RIGHT(AJ412,4)),MATCH(MID(AJ412,4,3),{"Jan","Feb","Mar","Apr","May","Jun","Jul","Aug","Sep","Oct","Nov","Dec"},0),VALUE(LEFT(AJ412,2))))))</f>
        <v>45394</v>
      </c>
      <c r="C412" s="3" t="n">
        <f aca="false">IF(AK412="","",IF(ISNUMBER(SEARCH("/",AK412)),DATE(VALUE(RIGHT(AK412,4)),VALUE(LEFT(AK412,2)),VALUE(MID(AK412,4,2))),IF(ISNUMBER(SEARCH("-",AK412)),IF(LEN(LEFT(AK412,FIND("-",AK412)-1))=4,DATE(VALUE(LEFT(AK412,4)),VALUE(MID(AK412,6,2)),VALUE(RIGHT(AK412,2))),DATE(VALUE(RIGHT(AK412,4)),VALUE(MID(AK412,4,2)),VALUE(LEFT(AK412,2)))),DATE(VALUE(RIGHT(AK412,4)),MATCH(MID(AK412,4,3),{"Jan","Feb","Mar","Apr","May","Jun","Jul","Aug","Sep","Oct","Nov","Dec"},0),VALUE(LEFT(AK412,2))))))</f>
        <v>45402</v>
      </c>
      <c r="D412" s="4" t="s">
        <v>1667</v>
      </c>
      <c r="E412" s="0" t="str">
        <f aca="false">PROPER(TRIM(AL412))</f>
        <v>Diya Patel</v>
      </c>
      <c r="F412" s="0" t="str">
        <f aca="false">PROPER(TRIM(AM412))</f>
        <v>Consumer</v>
      </c>
      <c r="G412" s="0" t="str">
        <f aca="false">IF(TRIM(AN412)="","Unknown",PROPER(TRIM(AN412)))</f>
        <v>West</v>
      </c>
      <c r="H412" s="0" t="str">
        <f aca="false">PROPER(TRIM(AO412))</f>
        <v>Goa</v>
      </c>
      <c r="I412" s="0" t="str">
        <f aca="false">PROPER(TRIM(AP412))</f>
        <v>Panaji</v>
      </c>
      <c r="J412" s="0" t="str">
        <f aca="false">PROPER(TRIM(AQ412))</f>
        <v>Furniture</v>
      </c>
      <c r="K412" s="0" t="str">
        <f aca="false">PROPER(TRIM(AR412))</f>
        <v>Tables</v>
      </c>
      <c r="M412" s="0" t="str">
        <f aca="false">IF(TRIM(AS412)="","Unknown",PROPER(TRIM(AS412)))</f>
        <v>First Class</v>
      </c>
      <c r="N412" s="0" t="n">
        <v>9</v>
      </c>
      <c r="O412" s="0" t="n">
        <v>1302.61</v>
      </c>
      <c r="P412" s="5" t="n">
        <f aca="false">IF(AT412="","",IF(ISNUMBER(AT412),AT412,VALUE(SUBSTITUTE(AT412,"%",""))/100))</f>
        <v>0.2</v>
      </c>
      <c r="Q412" s="5" t="n">
        <f aca="false">IF(P412="",IF(AND(N412&lt;&gt;"",O412&lt;&gt;"",R412&lt;&gt;"",S412&lt;&gt;""),0,"REVIEW"),IF(OR(P412&lt;0,P412&gt;0.3),0,P412))</f>
        <v>0.2</v>
      </c>
      <c r="R412" s="0" t="n">
        <v>9378.79</v>
      </c>
      <c r="S412" s="0" t="n">
        <v>6774.48</v>
      </c>
      <c r="T412" s="6" t="n">
        <f aca="false">N412*O412*(1-Q412)</f>
        <v>9378.792</v>
      </c>
      <c r="U412" s="6" t="n">
        <f aca="false">T412-S412</f>
        <v>2604.312</v>
      </c>
      <c r="V412" s="7" t="n">
        <f aca="false">IF(T412=0,0,U412/T412)</f>
        <v>0.277680963603842</v>
      </c>
      <c r="W412" s="4" t="n">
        <f aca="false">C412-B412</f>
        <v>8</v>
      </c>
      <c r="X412" s="0" t="str">
        <f aca="false">TEXT(B412,"mmmm")</f>
        <v>April</v>
      </c>
      <c r="Y412" s="4" t="n">
        <f aca="false">YEAR(B412)</f>
        <v>2024</v>
      </c>
      <c r="Z412" s="0" t="str">
        <f aca="false">PROPER(TRIM(AU412))</f>
        <v>Paid</v>
      </c>
      <c r="AA412" s="0" t="str">
        <f aca="false">PROPER(TRIM(AV412))</f>
        <v>Completed</v>
      </c>
      <c r="AB412" s="0" t="str">
        <f aca="false">IF(TRIM(AN412)="","Yes","No")</f>
        <v>No</v>
      </c>
      <c r="AC412" s="0" t="str">
        <f aca="false">IF(TRIM(AS412)="","Yes","No")</f>
        <v>No</v>
      </c>
      <c r="AD412" s="0" t="str">
        <f aca="false">IF(AT412="","Yes","No")</f>
        <v>No</v>
      </c>
      <c r="AE412" s="0" t="str">
        <f aca="false">IF(W412&lt;0,"Yes","No")</f>
        <v>No</v>
      </c>
      <c r="AF412" s="0" t="str">
        <f aca="false">IF(P412="","No",IF(OR(P412&lt;0,P412&gt;0.3),"Yes","No"))</f>
        <v>No</v>
      </c>
      <c r="AG412" s="4" t="s">
        <v>50</v>
      </c>
      <c r="AH412" s="0" t="str">
        <f aca="false">IF(AND(AA412="Completed",Z412="Paid"),"Yes","No")</f>
        <v>Yes</v>
      </c>
      <c r="AI412" s="0" t="str">
        <f aca="false">IF(OR(AE412="Yes",AF412="Yes",AG412="Yes"),"Invalid",IF(OR(AB412="Yes",AC412="Yes",AD412="Yes"),"Warning","Clean"))</f>
        <v>Clean</v>
      </c>
      <c r="AJ412" s="4" t="s">
        <v>1668</v>
      </c>
      <c r="AK412" s="4" t="s">
        <v>1669</v>
      </c>
      <c r="AL412" s="4" t="s">
        <v>216</v>
      </c>
      <c r="AM412" s="4" t="s">
        <v>54</v>
      </c>
      <c r="AN412" s="4" t="s">
        <v>97</v>
      </c>
      <c r="AO412" s="4" t="s">
        <v>250</v>
      </c>
      <c r="AP412" s="4" t="s">
        <v>251</v>
      </c>
      <c r="AQ412" s="4" t="s">
        <v>72</v>
      </c>
      <c r="AR412" s="4" t="s">
        <v>73</v>
      </c>
      <c r="AS412" s="4" t="s">
        <v>81</v>
      </c>
      <c r="AT412" s="0" t="n">
        <v>0.2</v>
      </c>
      <c r="AU412" s="4" t="s">
        <v>61</v>
      </c>
      <c r="AV412" s="4" t="s">
        <v>62</v>
      </c>
    </row>
    <row r="413" customFormat="false" ht="15" hidden="false" customHeight="false" outlineLevel="0" collapsed="false">
      <c r="A413" s="0" t="s">
        <v>1670</v>
      </c>
      <c r="B413" s="3" t="n">
        <f aca="false">IF(AJ413="","",IF(ISNUMBER(SEARCH("/",AJ413)),DATE(VALUE(RIGHT(AJ413,4)),VALUE(LEFT(AJ413,2)),VALUE(MID(AJ413,4,2))),IF(ISNUMBER(SEARCH("-",AJ413)),IF(LEN(LEFT(AJ413,FIND("-",AJ413)-1))=4,DATE(VALUE(LEFT(AJ413,4)),VALUE(MID(AJ413,6,2)),VALUE(RIGHT(AJ413,2))),DATE(VALUE(RIGHT(AJ413,4)),VALUE(MID(AJ413,4,2)),VALUE(LEFT(AJ413,2)))),DATE(VALUE(RIGHT(AJ413,4)),MATCH(MID(AJ413,4,3),{"Jan","Feb","Mar","Apr","May","Jun","Jul","Aug","Sep","Oct","Nov","Dec"},0),VALUE(LEFT(AJ413,2))))))</f>
        <v>45892</v>
      </c>
      <c r="C413" s="3" t="n">
        <f aca="false">IF(AK413="","",IF(ISNUMBER(SEARCH("/",AK413)),DATE(VALUE(RIGHT(AK413,4)),VALUE(LEFT(AK413,2)),VALUE(MID(AK413,4,2))),IF(ISNUMBER(SEARCH("-",AK413)),IF(LEN(LEFT(AK413,FIND("-",AK413)-1))=4,DATE(VALUE(LEFT(AK413,4)),VALUE(MID(AK413,6,2)),VALUE(RIGHT(AK413,2))),DATE(VALUE(RIGHT(AK413,4)),VALUE(MID(AK413,4,2)),VALUE(LEFT(AK413,2)))),DATE(VALUE(RIGHT(AK413,4)),MATCH(MID(AK413,4,3),{"Jan","Feb","Mar","Apr","May","Jun","Jul","Aug","Sep","Oct","Nov","Dec"},0),VALUE(LEFT(AK413,2))))))</f>
        <v>45897</v>
      </c>
      <c r="D413" s="4" t="s">
        <v>1671</v>
      </c>
      <c r="E413" s="0" t="str">
        <f aca="false">PROPER(TRIM(AL413))</f>
        <v>Arjun Bose</v>
      </c>
      <c r="F413" s="0" t="str">
        <f aca="false">PROPER(TRIM(AM413))</f>
        <v>Home Office</v>
      </c>
      <c r="G413" s="0" t="str">
        <f aca="false">IF(TRIM(AN413)="","Unknown",PROPER(TRIM(AN413)))</f>
        <v>West</v>
      </c>
      <c r="H413" s="0" t="str">
        <f aca="false">PROPER(TRIM(AO413))</f>
        <v>Rajasthan</v>
      </c>
      <c r="I413" s="0" t="str">
        <f aca="false">PROPER(TRIM(AP413))</f>
        <v>Udaipur</v>
      </c>
      <c r="J413" s="0" t="str">
        <f aca="false">PROPER(TRIM(AQ413))</f>
        <v>Furniture</v>
      </c>
      <c r="K413" s="0" t="str">
        <f aca="false">PROPER(TRIM(AR413))</f>
        <v>Tables</v>
      </c>
      <c r="M413" s="0" t="str">
        <f aca="false">IF(TRIM(AS413)="","Unknown",PROPER(TRIM(AS413)))</f>
        <v>First Class</v>
      </c>
      <c r="N413" s="0" t="n">
        <v>1</v>
      </c>
      <c r="O413" s="0" t="n">
        <v>4167.81</v>
      </c>
      <c r="P413" s="5" t="n">
        <f aca="false">IF(AT413="","",IF(ISNUMBER(AT413),AT413,VALUE(SUBSTITUTE(AT413,"%",""))/100))</f>
        <v>0.2</v>
      </c>
      <c r="Q413" s="5" t="n">
        <f aca="false">IF(P413="",IF(AND(N413&lt;&gt;"",O413&lt;&gt;"",R413&lt;&gt;"",S413&lt;&gt;""),0,"REVIEW"),IF(OR(P413&lt;0,P413&gt;0.3),0,P413))</f>
        <v>0.2</v>
      </c>
      <c r="R413" s="0" t="n">
        <v>3334.25</v>
      </c>
      <c r="S413" s="0" t="n">
        <v>2768.77</v>
      </c>
      <c r="T413" s="6" t="n">
        <f aca="false">N413*O413*(1-Q413)</f>
        <v>3334.248</v>
      </c>
      <c r="U413" s="6" t="n">
        <f aca="false">T413-S413</f>
        <v>565.478000000001</v>
      </c>
      <c r="V413" s="7" t="n">
        <f aca="false">IF(T413=0,0,U413/T413)</f>
        <v>0.169596862620897</v>
      </c>
      <c r="W413" s="4" t="n">
        <f aca="false">C413-B413</f>
        <v>5</v>
      </c>
      <c r="X413" s="0" t="str">
        <f aca="false">TEXT(B413,"mmmm")</f>
        <v>August</v>
      </c>
      <c r="Y413" s="4" t="n">
        <f aca="false">YEAR(B413)</f>
        <v>2025</v>
      </c>
      <c r="Z413" s="0" t="str">
        <f aca="false">PROPER(TRIM(AU413))</f>
        <v>Failed</v>
      </c>
      <c r="AA413" s="0" t="str">
        <f aca="false">PROPER(TRIM(AV413))</f>
        <v>Returned</v>
      </c>
      <c r="AB413" s="0" t="str">
        <f aca="false">IF(TRIM(AN413)="","Yes","No")</f>
        <v>No</v>
      </c>
      <c r="AC413" s="0" t="str">
        <f aca="false">IF(TRIM(AS413)="","Yes","No")</f>
        <v>No</v>
      </c>
      <c r="AD413" s="0" t="str">
        <f aca="false">IF(AT413="","Yes","No")</f>
        <v>No</v>
      </c>
      <c r="AE413" s="0" t="str">
        <f aca="false">IF(W413&lt;0,"Yes","No")</f>
        <v>No</v>
      </c>
      <c r="AF413" s="0" t="str">
        <f aca="false">IF(P413="","No",IF(OR(P413&lt;0,P413&gt;0.3),"Yes","No"))</f>
        <v>No</v>
      </c>
      <c r="AG413" s="4" t="s">
        <v>50</v>
      </c>
      <c r="AH413" s="0" t="str">
        <f aca="false">IF(AND(AA413="Completed",Z413="Paid"),"Yes","No")</f>
        <v>No</v>
      </c>
      <c r="AI413" s="0" t="str">
        <f aca="false">IF(OR(AE413="Yes",AF413="Yes",AG413="Yes"),"Invalid",IF(OR(AB413="Yes",AC413="Yes",AD413="Yes"),"Warning","Clean"))</f>
        <v>Clean</v>
      </c>
      <c r="AJ413" s="4" t="s">
        <v>1672</v>
      </c>
      <c r="AK413" s="4" t="s">
        <v>1673</v>
      </c>
      <c r="AL413" s="4" t="s">
        <v>86</v>
      </c>
      <c r="AM413" s="4" t="s">
        <v>134</v>
      </c>
      <c r="AN413" s="4" t="s">
        <v>97</v>
      </c>
      <c r="AO413" s="4" t="s">
        <v>56</v>
      </c>
      <c r="AP413" s="4" t="s">
        <v>152</v>
      </c>
      <c r="AQ413" s="4" t="s">
        <v>72</v>
      </c>
      <c r="AR413" s="4" t="s">
        <v>73</v>
      </c>
      <c r="AS413" s="4" t="s">
        <v>81</v>
      </c>
      <c r="AT413" s="0" t="n">
        <v>0.2</v>
      </c>
      <c r="AU413" s="4" t="s">
        <v>207</v>
      </c>
      <c r="AV413" s="4" t="s">
        <v>142</v>
      </c>
    </row>
    <row r="414" customFormat="false" ht="15" hidden="false" customHeight="false" outlineLevel="0" collapsed="false">
      <c r="A414" s="0" t="s">
        <v>1674</v>
      </c>
      <c r="B414" s="3" t="n">
        <f aca="false">IF(AJ414="","",IF(ISNUMBER(SEARCH("/",AJ414)),DATE(VALUE(RIGHT(AJ414,4)),VALUE(LEFT(AJ414,2)),VALUE(MID(AJ414,4,2))),IF(ISNUMBER(SEARCH("-",AJ414)),IF(LEN(LEFT(AJ414,FIND("-",AJ414)-1))=4,DATE(VALUE(LEFT(AJ414,4)),VALUE(MID(AJ414,6,2)),VALUE(RIGHT(AJ414,2))),DATE(VALUE(RIGHT(AJ414,4)),VALUE(MID(AJ414,4,2)),VALUE(LEFT(AJ414,2)))),DATE(VALUE(RIGHT(AJ414,4)),MATCH(MID(AJ414,4,3),{"Jan","Feb","Mar","Apr","May","Jun","Jul","Aug","Sep","Oct","Nov","Dec"},0),VALUE(LEFT(AJ414,2))))))</f>
        <v>45313</v>
      </c>
      <c r="C414" s="3" t="n">
        <f aca="false">IF(AK414="","",IF(ISNUMBER(SEARCH("/",AK414)),DATE(VALUE(RIGHT(AK414,4)),VALUE(LEFT(AK414,2)),VALUE(MID(AK414,4,2))),IF(ISNUMBER(SEARCH("-",AK414)),IF(LEN(LEFT(AK414,FIND("-",AK414)-1))=4,DATE(VALUE(LEFT(AK414,4)),VALUE(MID(AK414,6,2)),VALUE(RIGHT(AK414,2))),DATE(VALUE(RIGHT(AK414,4)),VALUE(MID(AK414,4,2)),VALUE(LEFT(AK414,2)))),DATE(VALUE(RIGHT(AK414,4)),MATCH(MID(AK414,4,3),{"Jan","Feb","Mar","Apr","May","Jun","Jul","Aug","Sep","Oct","Nov","Dec"},0),VALUE(LEFT(AK414,2))))))</f>
        <v>45321</v>
      </c>
      <c r="D414" s="4" t="s">
        <v>1675</v>
      </c>
      <c r="E414" s="0" t="str">
        <f aca="false">PROPER(TRIM(AL414))</f>
        <v>Isha Nair</v>
      </c>
      <c r="F414" s="0" t="str">
        <f aca="false">PROPER(TRIM(AM414))</f>
        <v>Corporate</v>
      </c>
      <c r="G414" s="0" t="str">
        <f aca="false">IF(TRIM(AN414)="","Unknown",PROPER(TRIM(AN414)))</f>
        <v>South</v>
      </c>
      <c r="H414" s="0" t="str">
        <f aca="false">PROPER(TRIM(AO414))</f>
        <v>Karnataka</v>
      </c>
      <c r="I414" s="0" t="str">
        <f aca="false">PROPER(TRIM(AP414))</f>
        <v>Bengaluru</v>
      </c>
      <c r="J414" s="0" t="str">
        <f aca="false">PROPER(TRIM(AQ414))</f>
        <v>Furniture</v>
      </c>
      <c r="K414" s="0" t="str">
        <f aca="false">PROPER(TRIM(AR414))</f>
        <v>Chairs</v>
      </c>
      <c r="M414" s="0" t="str">
        <f aca="false">IF(TRIM(AS414)="","Unknown",PROPER(TRIM(AS414)))</f>
        <v>Same Day</v>
      </c>
      <c r="N414" s="0" t="n">
        <v>1</v>
      </c>
      <c r="O414" s="0" t="n">
        <v>2111.39</v>
      </c>
      <c r="P414" s="5" t="n">
        <f aca="false">IF(AT414="","",IF(ISNUMBER(AT414),AT414,VALUE(SUBSTITUTE(AT414,"%",""))/100))</f>
        <v>0.25</v>
      </c>
      <c r="Q414" s="5" t="n">
        <f aca="false">IF(P414="",IF(AND(N414&lt;&gt;"",O414&lt;&gt;"",R414&lt;&gt;"",S414&lt;&gt;""),0,"REVIEW"),IF(OR(P414&lt;0,P414&gt;0.3),0,P414))</f>
        <v>0.25</v>
      </c>
      <c r="R414" s="0" t="n">
        <v>1583.54</v>
      </c>
      <c r="S414" s="0" t="n">
        <v>1014.19</v>
      </c>
      <c r="T414" s="6" t="n">
        <f aca="false">N414*O414*(1-Q414)</f>
        <v>1583.5425</v>
      </c>
      <c r="U414" s="6" t="n">
        <f aca="false">T414-S414</f>
        <v>569.3525</v>
      </c>
      <c r="V414" s="7" t="n">
        <f aca="false">IF(T414=0,0,U414/T414)</f>
        <v>0.359543555035624</v>
      </c>
      <c r="W414" s="4" t="n">
        <f aca="false">C414-B414</f>
        <v>8</v>
      </c>
      <c r="X414" s="0" t="str">
        <f aca="false">TEXT(B414,"mmmm")</f>
        <v>January</v>
      </c>
      <c r="Y414" s="4" t="n">
        <f aca="false">YEAR(B414)</f>
        <v>2024</v>
      </c>
      <c r="Z414" s="0" t="str">
        <f aca="false">PROPER(TRIM(AU414))</f>
        <v>Paid</v>
      </c>
      <c r="AA414" s="0" t="str">
        <f aca="false">PROPER(TRIM(AV414))</f>
        <v>Completed</v>
      </c>
      <c r="AB414" s="0" t="str">
        <f aca="false">IF(TRIM(AN414)="","Yes","No")</f>
        <v>No</v>
      </c>
      <c r="AC414" s="0" t="str">
        <f aca="false">IF(TRIM(AS414)="","Yes","No")</f>
        <v>No</v>
      </c>
      <c r="AD414" s="0" t="str">
        <f aca="false">IF(AT414="","Yes","No")</f>
        <v>No</v>
      </c>
      <c r="AE414" s="0" t="str">
        <f aca="false">IF(W414&lt;0,"Yes","No")</f>
        <v>No</v>
      </c>
      <c r="AF414" s="0" t="str">
        <f aca="false">IF(P414="","No",IF(OR(P414&lt;0,P414&gt;0.3),"Yes","No"))</f>
        <v>No</v>
      </c>
      <c r="AG414" s="4" t="s">
        <v>50</v>
      </c>
      <c r="AH414" s="0" t="str">
        <f aca="false">IF(AND(AA414="Completed",Z414="Paid"),"Yes","No")</f>
        <v>Yes</v>
      </c>
      <c r="AI414" s="0" t="str">
        <f aca="false">IF(OR(AE414="Yes",AF414="Yes",AG414="Yes"),"Invalid",IF(OR(AB414="Yes",AC414="Yes",AD414="Yes"),"Warning","Clean"))</f>
        <v>Clean</v>
      </c>
      <c r="AJ414" s="4" t="s">
        <v>1676</v>
      </c>
      <c r="AK414" s="4" t="s">
        <v>728</v>
      </c>
      <c r="AL414" s="4" t="s">
        <v>79</v>
      </c>
      <c r="AM414" s="4" t="s">
        <v>128</v>
      </c>
      <c r="AN414" s="4" t="s">
        <v>87</v>
      </c>
      <c r="AO414" s="4" t="s">
        <v>233</v>
      </c>
      <c r="AP414" s="4" t="s">
        <v>234</v>
      </c>
      <c r="AQ414" s="4" t="s">
        <v>72</v>
      </c>
      <c r="AR414" s="4" t="s">
        <v>100</v>
      </c>
      <c r="AS414" s="4" t="s">
        <v>74</v>
      </c>
      <c r="AT414" s="0" t="n">
        <v>0.25</v>
      </c>
      <c r="AU414" s="4" t="s">
        <v>61</v>
      </c>
      <c r="AV414" s="4" t="s">
        <v>62</v>
      </c>
    </row>
    <row r="415" customFormat="false" ht="15" hidden="false" customHeight="false" outlineLevel="0" collapsed="false">
      <c r="A415" s="0" t="s">
        <v>1677</v>
      </c>
      <c r="B415" s="3" t="n">
        <f aca="false">IF(AJ415="","",IF(ISNUMBER(SEARCH("/",AJ415)),DATE(VALUE(RIGHT(AJ415,4)),VALUE(LEFT(AJ415,2)),VALUE(MID(AJ415,4,2))),IF(ISNUMBER(SEARCH("-",AJ415)),IF(LEN(LEFT(AJ415,FIND("-",AJ415)-1))=4,DATE(VALUE(LEFT(AJ415,4)),VALUE(MID(AJ415,6,2)),VALUE(RIGHT(AJ415,2))),DATE(VALUE(RIGHT(AJ415,4)),VALUE(MID(AJ415,4,2)),VALUE(LEFT(AJ415,2)))),DATE(VALUE(RIGHT(AJ415,4)),MATCH(MID(AJ415,4,3),{"Jan","Feb","Mar","Apr","May","Jun","Jul","Aug","Sep","Oct","Nov","Dec"},0),VALUE(LEFT(AJ415,2))))))</f>
        <v>45882</v>
      </c>
      <c r="C415" s="3" t="n">
        <f aca="false">IF(AK415="","",IF(ISNUMBER(SEARCH("/",AK415)),DATE(VALUE(RIGHT(AK415,4)),VALUE(LEFT(AK415,2)),VALUE(MID(AK415,4,2))),IF(ISNUMBER(SEARCH("-",AK415)),IF(LEN(LEFT(AK415,FIND("-",AK415)-1))=4,DATE(VALUE(LEFT(AK415,4)),VALUE(MID(AK415,6,2)),VALUE(RIGHT(AK415,2))),DATE(VALUE(RIGHT(AK415,4)),VALUE(MID(AK415,4,2)),VALUE(LEFT(AK415,2)))),DATE(VALUE(RIGHT(AK415,4)),MATCH(MID(AK415,4,3),{"Jan","Feb","Mar","Apr","May","Jun","Jul","Aug","Sep","Oct","Nov","Dec"},0),VALUE(LEFT(AK415,2))))))</f>
        <v>45886</v>
      </c>
      <c r="D415" s="4" t="s">
        <v>1678</v>
      </c>
      <c r="E415" s="0" t="str">
        <f aca="false">PROPER(TRIM(AL415))</f>
        <v>Neha Gupta</v>
      </c>
      <c r="F415" s="0" t="str">
        <f aca="false">PROPER(TRIM(AM415))</f>
        <v>Home Office</v>
      </c>
      <c r="G415" s="0" t="str">
        <f aca="false">IF(TRIM(AN415)="","Unknown",PROPER(TRIM(AN415)))</f>
        <v>West</v>
      </c>
      <c r="H415" s="0" t="str">
        <f aca="false">PROPER(TRIM(AO415))</f>
        <v>Madhya Pradesh</v>
      </c>
      <c r="I415" s="0" t="str">
        <f aca="false">PROPER(TRIM(AP415))</f>
        <v>Indore</v>
      </c>
      <c r="J415" s="0" t="str">
        <f aca="false">PROPER(TRIM(AQ415))</f>
        <v>Technology</v>
      </c>
      <c r="K415" s="0" t="str">
        <f aca="false">PROPER(TRIM(AR415))</f>
        <v>Accessories</v>
      </c>
      <c r="M415" s="0" t="str">
        <f aca="false">IF(TRIM(AS415)="","Unknown",PROPER(TRIM(AS415)))</f>
        <v>Second Class</v>
      </c>
      <c r="N415" s="0" t="n">
        <v>8</v>
      </c>
      <c r="O415" s="0" t="n">
        <v>1918.23</v>
      </c>
      <c r="P415" s="5" t="n">
        <f aca="false">IF(AT415="","",IF(ISNUMBER(AT415),AT415,VALUE(SUBSTITUTE(AT415,"%",""))/100))</f>
        <v>0</v>
      </c>
      <c r="Q415" s="5" t="n">
        <f aca="false">IF(P415="",IF(AND(N415&lt;&gt;"",O415&lt;&gt;"",R415&lt;&gt;"",S415&lt;&gt;""),0,"REVIEW"),IF(OR(P415&lt;0,P415&gt;0.3),0,P415))</f>
        <v>0</v>
      </c>
      <c r="R415" s="0" t="n">
        <v>15345.84</v>
      </c>
      <c r="S415" s="0" t="n">
        <v>10735.33</v>
      </c>
      <c r="T415" s="6" t="n">
        <f aca="false">N415*O415*(1-Q415)</f>
        <v>15345.84</v>
      </c>
      <c r="U415" s="6" t="n">
        <f aca="false">T415-S415</f>
        <v>4610.51</v>
      </c>
      <c r="V415" s="7" t="n">
        <f aca="false">IF(T415=0,0,U415/T415)</f>
        <v>0.300440379933585</v>
      </c>
      <c r="W415" s="4" t="n">
        <f aca="false">C415-B415</f>
        <v>4</v>
      </c>
      <c r="X415" s="0" t="str">
        <f aca="false">TEXT(B415,"mmmm")</f>
        <v>August</v>
      </c>
      <c r="Y415" s="4" t="n">
        <f aca="false">YEAR(B415)</f>
        <v>2025</v>
      </c>
      <c r="Z415" s="0" t="str">
        <f aca="false">PROPER(TRIM(AU415))</f>
        <v>Pending</v>
      </c>
      <c r="AA415" s="0" t="str">
        <f aca="false">PROPER(TRIM(AV415))</f>
        <v>Cancelled</v>
      </c>
      <c r="AB415" s="0" t="str">
        <f aca="false">IF(TRIM(AN415)="","Yes","No")</f>
        <v>No</v>
      </c>
      <c r="AC415" s="0" t="str">
        <f aca="false">IF(TRIM(AS415)="","Yes","No")</f>
        <v>No</v>
      </c>
      <c r="AD415" s="0" t="str">
        <f aca="false">IF(AT415="","Yes","No")</f>
        <v>No</v>
      </c>
      <c r="AE415" s="0" t="str">
        <f aca="false">IF(W415&lt;0,"Yes","No")</f>
        <v>No</v>
      </c>
      <c r="AF415" s="0" t="str">
        <f aca="false">IF(P415="","No",IF(OR(P415&lt;0,P415&gt;0.3),"Yes","No"))</f>
        <v>No</v>
      </c>
      <c r="AG415" s="4" t="s">
        <v>50</v>
      </c>
      <c r="AH415" s="0" t="str">
        <f aca="false">IF(AND(AA415="Completed",Z415="Paid"),"Yes","No")</f>
        <v>No</v>
      </c>
      <c r="AI415" s="0" t="str">
        <f aca="false">IF(OR(AE415="Yes",AF415="Yes",AG415="Yes"),"Invalid",IF(OR(AB415="Yes",AC415="Yes",AD415="Yes"),"Warning","Clean"))</f>
        <v>Clean</v>
      </c>
      <c r="AJ415" s="4" t="s">
        <v>243</v>
      </c>
      <c r="AK415" s="4" t="s">
        <v>1679</v>
      </c>
      <c r="AL415" s="4" t="s">
        <v>115</v>
      </c>
      <c r="AM415" s="4" t="s">
        <v>134</v>
      </c>
      <c r="AN415" s="4" t="s">
        <v>97</v>
      </c>
      <c r="AO415" s="4" t="s">
        <v>107</v>
      </c>
      <c r="AP415" s="4" t="s">
        <v>108</v>
      </c>
      <c r="AQ415" s="4" t="s">
        <v>109</v>
      </c>
      <c r="AR415" s="4" t="s">
        <v>110</v>
      </c>
      <c r="AS415" s="4" t="s">
        <v>60</v>
      </c>
      <c r="AT415" s="0" t="n">
        <v>0</v>
      </c>
      <c r="AU415" s="4" t="s">
        <v>153</v>
      </c>
      <c r="AV415" s="4" t="s">
        <v>101</v>
      </c>
    </row>
    <row r="416" customFormat="false" ht="15" hidden="false" customHeight="false" outlineLevel="0" collapsed="false">
      <c r="A416" s="0" t="s">
        <v>1680</v>
      </c>
      <c r="B416" s="3" t="n">
        <f aca="false">IF(AJ416="","",IF(ISNUMBER(SEARCH("/",AJ416)),DATE(VALUE(RIGHT(AJ416,4)),VALUE(LEFT(AJ416,2)),VALUE(MID(AJ416,4,2))),IF(ISNUMBER(SEARCH("-",AJ416)),IF(LEN(LEFT(AJ416,FIND("-",AJ416)-1))=4,DATE(VALUE(LEFT(AJ416,4)),VALUE(MID(AJ416,6,2)),VALUE(RIGHT(AJ416,2))),DATE(VALUE(RIGHT(AJ416,4)),VALUE(MID(AJ416,4,2)),VALUE(LEFT(AJ416,2)))),DATE(VALUE(RIGHT(AJ416,4)),MATCH(MID(AJ416,4,3),{"Jan","Feb","Mar","Apr","May","Jun","Jul","Aug","Sep","Oct","Nov","Dec"},0),VALUE(LEFT(AJ416,2))))))</f>
        <v>45533</v>
      </c>
      <c r="C416" s="3" t="n">
        <f aca="false">IF(AK416="","",IF(ISNUMBER(SEARCH("/",AK416)),DATE(VALUE(RIGHT(AK416,4)),VALUE(LEFT(AK416,2)),VALUE(MID(AK416,4,2))),IF(ISNUMBER(SEARCH("-",AK416)),IF(LEN(LEFT(AK416,FIND("-",AK416)-1))=4,DATE(VALUE(LEFT(AK416,4)),VALUE(MID(AK416,6,2)),VALUE(RIGHT(AK416,2))),DATE(VALUE(RIGHT(AK416,4)),VALUE(MID(AK416,4,2)),VALUE(LEFT(AK416,2)))),DATE(VALUE(RIGHT(AK416,4)),MATCH(MID(AK416,4,3),{"Jan","Feb","Mar","Apr","May","Jun","Jul","Aug","Sep","Oct","Nov","Dec"},0),VALUE(LEFT(AK416,2))))))</f>
        <v>45534</v>
      </c>
      <c r="D416" s="4" t="s">
        <v>1681</v>
      </c>
      <c r="E416" s="0" t="str">
        <f aca="false">PROPER(TRIM(AL416))</f>
        <v>Arjun Bose</v>
      </c>
      <c r="F416" s="0" t="str">
        <f aca="false">PROPER(TRIM(AM416))</f>
        <v>Home Office</v>
      </c>
      <c r="G416" s="0" t="str">
        <f aca="false">IF(TRIM(AN416)="","Unknown",PROPER(TRIM(AN416)))</f>
        <v>East</v>
      </c>
      <c r="H416" s="0" t="str">
        <f aca="false">PROPER(TRIM(AO416))</f>
        <v>Assam</v>
      </c>
      <c r="I416" s="0" t="str">
        <f aca="false">PROPER(TRIM(AP416))</f>
        <v>Guwahati</v>
      </c>
      <c r="J416" s="0" t="str">
        <f aca="false">PROPER(TRIM(AQ416))</f>
        <v>Office Supplies</v>
      </c>
      <c r="K416" s="0" t="str">
        <f aca="false">PROPER(TRIM(AR416))</f>
        <v>Storage</v>
      </c>
      <c r="M416" s="0" t="str">
        <f aca="false">IF(TRIM(AS416)="","Unknown",PROPER(TRIM(AS416)))</f>
        <v>First Class</v>
      </c>
      <c r="N416" s="0" t="n">
        <v>4</v>
      </c>
      <c r="O416" s="0" t="n">
        <v>2484.08</v>
      </c>
      <c r="P416" s="5" t="n">
        <f aca="false">IF(AT416="","",IF(ISNUMBER(AT416),AT416,VALUE(SUBSTITUTE(AT416,"%",""))/100))</f>
        <v>0.05</v>
      </c>
      <c r="Q416" s="5" t="n">
        <f aca="false">IF(P416="",IF(AND(N416&lt;&gt;"",O416&lt;&gt;"",R416&lt;&gt;"",S416&lt;&gt;""),0,"REVIEW"),IF(OR(P416&lt;0,P416&gt;0.3),0,P416))</f>
        <v>0.05</v>
      </c>
      <c r="R416" s="0" t="n">
        <v>9439.5</v>
      </c>
      <c r="S416" s="0" t="n">
        <v>5519.39</v>
      </c>
      <c r="T416" s="6" t="n">
        <f aca="false">N416*O416*(1-Q416)</f>
        <v>9439.504</v>
      </c>
      <c r="U416" s="6" t="n">
        <f aca="false">T416-S416</f>
        <v>3920.114</v>
      </c>
      <c r="V416" s="7" t="n">
        <f aca="false">IF(T416=0,0,U416/T416)</f>
        <v>0.4152881337833</v>
      </c>
      <c r="W416" s="4" t="n">
        <f aca="false">C416-B416</f>
        <v>1</v>
      </c>
      <c r="X416" s="0" t="str">
        <f aca="false">TEXT(B416,"mmmm")</f>
        <v>August</v>
      </c>
      <c r="Y416" s="4" t="n">
        <f aca="false">YEAR(B416)</f>
        <v>2024</v>
      </c>
      <c r="Z416" s="0" t="str">
        <f aca="false">PROPER(TRIM(AU416))</f>
        <v>Paid</v>
      </c>
      <c r="AA416" s="0" t="str">
        <f aca="false">PROPER(TRIM(AV416))</f>
        <v>Completed</v>
      </c>
      <c r="AB416" s="0" t="str">
        <f aca="false">IF(TRIM(AN416)="","Yes","No")</f>
        <v>No</v>
      </c>
      <c r="AC416" s="0" t="str">
        <f aca="false">IF(TRIM(AS416)="","Yes","No")</f>
        <v>No</v>
      </c>
      <c r="AD416" s="0" t="str">
        <f aca="false">IF(AT416="","Yes","No")</f>
        <v>No</v>
      </c>
      <c r="AE416" s="0" t="str">
        <f aca="false">IF(W416&lt;0,"Yes","No")</f>
        <v>No</v>
      </c>
      <c r="AF416" s="0" t="str">
        <f aca="false">IF(P416="","No",IF(OR(P416&lt;0,P416&gt;0.3),"Yes","No"))</f>
        <v>No</v>
      </c>
      <c r="AG416" s="4" t="s">
        <v>50</v>
      </c>
      <c r="AH416" s="0" t="str">
        <f aca="false">IF(AND(AA416="Completed",Z416="Paid"),"Yes","No")</f>
        <v>Yes</v>
      </c>
      <c r="AI416" s="0" t="str">
        <f aca="false">IF(OR(AE416="Yes",AF416="Yes",AG416="Yes"),"Invalid",IF(OR(AB416="Yes",AC416="Yes",AD416="Yes"),"Warning","Clean"))</f>
        <v>Clean</v>
      </c>
      <c r="AJ416" s="4" t="s">
        <v>1682</v>
      </c>
      <c r="AK416" s="4" t="s">
        <v>1683</v>
      </c>
      <c r="AL416" s="4" t="s">
        <v>86</v>
      </c>
      <c r="AM416" s="4" t="s">
        <v>134</v>
      </c>
      <c r="AN416" s="4" t="s">
        <v>69</v>
      </c>
      <c r="AO416" s="4" t="s">
        <v>221</v>
      </c>
      <c r="AP416" s="4" t="s">
        <v>222</v>
      </c>
      <c r="AQ416" s="4" t="s">
        <v>58</v>
      </c>
      <c r="AR416" s="4" t="s">
        <v>171</v>
      </c>
      <c r="AS416" s="4" t="s">
        <v>81</v>
      </c>
      <c r="AT416" s="0" t="n">
        <v>0.05</v>
      </c>
      <c r="AU416" s="4" t="s">
        <v>61</v>
      </c>
      <c r="AV416" s="4" t="s">
        <v>62</v>
      </c>
    </row>
    <row r="417" customFormat="false" ht="15" hidden="false" customHeight="false" outlineLevel="0" collapsed="false">
      <c r="A417" s="0" t="s">
        <v>1684</v>
      </c>
      <c r="B417" s="3" t="n">
        <f aca="false">IF(AJ417="","",IF(ISNUMBER(SEARCH("/",AJ417)),DATE(VALUE(RIGHT(AJ417,4)),VALUE(LEFT(AJ417,2)),VALUE(MID(AJ417,4,2))),IF(ISNUMBER(SEARCH("-",AJ417)),IF(LEN(LEFT(AJ417,FIND("-",AJ417)-1))=4,DATE(VALUE(LEFT(AJ417,4)),VALUE(MID(AJ417,6,2)),VALUE(RIGHT(AJ417,2))),DATE(VALUE(RIGHT(AJ417,4)),VALUE(MID(AJ417,4,2)),VALUE(LEFT(AJ417,2)))),DATE(VALUE(RIGHT(AJ417,4)),MATCH(MID(AJ417,4,3),{"Jan","Feb","Mar","Apr","May","Jun","Jul","Aug","Sep","Oct","Nov","Dec"},0),VALUE(LEFT(AJ417,2))))))</f>
        <v>45316</v>
      </c>
      <c r="C417" s="3" t="n">
        <f aca="false">IF(AK417="","",IF(ISNUMBER(SEARCH("/",AK417)),DATE(VALUE(RIGHT(AK417,4)),VALUE(LEFT(AK417,2)),VALUE(MID(AK417,4,2))),IF(ISNUMBER(SEARCH("-",AK417)),IF(LEN(LEFT(AK417,FIND("-",AK417)-1))=4,DATE(VALUE(LEFT(AK417,4)),VALUE(MID(AK417,6,2)),VALUE(RIGHT(AK417,2))),DATE(VALUE(RIGHT(AK417,4)),VALUE(MID(AK417,4,2)),VALUE(LEFT(AK417,2)))),DATE(VALUE(RIGHT(AK417,4)),MATCH(MID(AK417,4,3),{"Jan","Feb","Mar","Apr","May","Jun","Jul","Aug","Sep","Oct","Nov","Dec"},0),VALUE(LEFT(AK417,2))))))</f>
        <v>45318</v>
      </c>
      <c r="D417" s="4" t="s">
        <v>1685</v>
      </c>
      <c r="E417" s="0" t="str">
        <f aca="false">PROPER(TRIM(AL417))</f>
        <v>Aarav Sharma</v>
      </c>
      <c r="F417" s="0" t="str">
        <f aca="false">PROPER(TRIM(AM417))</f>
        <v>Corporate</v>
      </c>
      <c r="G417" s="0" t="str">
        <f aca="false">IF(TRIM(AN417)="","Unknown",PROPER(TRIM(AN417)))</f>
        <v>South</v>
      </c>
      <c r="H417" s="0" t="str">
        <f aca="false">PROPER(TRIM(AO417))</f>
        <v>Karnataka</v>
      </c>
      <c r="I417" s="0" t="str">
        <f aca="false">PROPER(TRIM(AP417))</f>
        <v>Bengaluru</v>
      </c>
      <c r="J417" s="0" t="str">
        <f aca="false">PROPER(TRIM(AQ417))</f>
        <v>Office Supplies</v>
      </c>
      <c r="K417" s="0" t="str">
        <f aca="false">PROPER(TRIM(AR417))</f>
        <v>Storage</v>
      </c>
      <c r="M417" s="0" t="str">
        <f aca="false">IF(TRIM(AS417)="","Unknown",PROPER(TRIM(AS417)))</f>
        <v>Same Day</v>
      </c>
      <c r="N417" s="0" t="n">
        <v>7</v>
      </c>
      <c r="O417" s="0" t="n">
        <v>1727.26</v>
      </c>
      <c r="P417" s="5" t="n">
        <f aca="false">IF(AT417="","",IF(ISNUMBER(AT417),AT417,VALUE(SUBSTITUTE(AT417,"%",""))/100))</f>
        <v>0.15</v>
      </c>
      <c r="Q417" s="5" t="n">
        <f aca="false">IF(P417="",IF(AND(N417&lt;&gt;"",O417&lt;&gt;"",R417&lt;&gt;"",S417&lt;&gt;""),0,"REVIEW"),IF(OR(P417&lt;0,P417&gt;0.3),0,P417))</f>
        <v>0.15</v>
      </c>
      <c r="R417" s="0" t="n">
        <v>10277.2</v>
      </c>
      <c r="S417" s="0" t="n">
        <v>7906.5</v>
      </c>
      <c r="T417" s="6" t="n">
        <f aca="false">N417*O417*(1-Q417)</f>
        <v>10277.197</v>
      </c>
      <c r="U417" s="6" t="n">
        <f aca="false">T417-S417</f>
        <v>2370.697</v>
      </c>
      <c r="V417" s="7" t="n">
        <f aca="false">IF(T417=0,0,U417/T417)</f>
        <v>0.230675445843842</v>
      </c>
      <c r="W417" s="4" t="n">
        <f aca="false">C417-B417</f>
        <v>2</v>
      </c>
      <c r="X417" s="0" t="str">
        <f aca="false">TEXT(B417,"mmmm")</f>
        <v>January</v>
      </c>
      <c r="Y417" s="4" t="n">
        <f aca="false">YEAR(B417)</f>
        <v>2024</v>
      </c>
      <c r="Z417" s="0" t="str">
        <f aca="false">PROPER(TRIM(AU417))</f>
        <v>Paid</v>
      </c>
      <c r="AA417" s="0" t="str">
        <f aca="false">PROPER(TRIM(AV417))</f>
        <v>Returned</v>
      </c>
      <c r="AB417" s="0" t="str">
        <f aca="false">IF(TRIM(AN417)="","Yes","No")</f>
        <v>No</v>
      </c>
      <c r="AC417" s="0" t="str">
        <f aca="false">IF(TRIM(AS417)="","Yes","No")</f>
        <v>No</v>
      </c>
      <c r="AD417" s="0" t="str">
        <f aca="false">IF(AT417="","Yes","No")</f>
        <v>No</v>
      </c>
      <c r="AE417" s="0" t="str">
        <f aca="false">IF(W417&lt;0,"Yes","No")</f>
        <v>No</v>
      </c>
      <c r="AF417" s="0" t="str">
        <f aca="false">IF(P417="","No",IF(OR(P417&lt;0,P417&gt;0.3),"Yes","No"))</f>
        <v>No</v>
      </c>
      <c r="AG417" s="4" t="s">
        <v>50</v>
      </c>
      <c r="AH417" s="0" t="str">
        <f aca="false">IF(AND(AA417="Completed",Z417="Paid"),"Yes","No")</f>
        <v>No</v>
      </c>
      <c r="AI417" s="0" t="str">
        <f aca="false">IF(OR(AE417="Yes",AF417="Yes",AG417="Yes"),"Invalid",IF(OR(AB417="Yes",AC417="Yes",AD417="Yes"),"Warning","Clean"))</f>
        <v>Clean</v>
      </c>
      <c r="AJ417" s="4" t="s">
        <v>1686</v>
      </c>
      <c r="AK417" s="4" t="s">
        <v>1649</v>
      </c>
      <c r="AL417" s="4" t="s">
        <v>176</v>
      </c>
      <c r="AM417" s="4" t="s">
        <v>128</v>
      </c>
      <c r="AN417" s="4" t="s">
        <v>87</v>
      </c>
      <c r="AO417" s="4" t="s">
        <v>233</v>
      </c>
      <c r="AP417" s="4" t="s">
        <v>234</v>
      </c>
      <c r="AQ417" s="4" t="s">
        <v>58</v>
      </c>
      <c r="AR417" s="4" t="s">
        <v>171</v>
      </c>
      <c r="AS417" s="4" t="s">
        <v>74</v>
      </c>
      <c r="AT417" s="0" t="n">
        <v>0.15</v>
      </c>
      <c r="AU417" s="4" t="s">
        <v>61</v>
      </c>
      <c r="AV417" s="4" t="s">
        <v>142</v>
      </c>
    </row>
    <row r="418" customFormat="false" ht="15" hidden="false" customHeight="false" outlineLevel="0" collapsed="false">
      <c r="A418" s="0" t="s">
        <v>1687</v>
      </c>
      <c r="B418" s="3" t="n">
        <f aca="false">IF(AJ418="","",IF(ISNUMBER(SEARCH("/",AJ418)),DATE(VALUE(RIGHT(AJ418,4)),VALUE(LEFT(AJ418,2)),VALUE(MID(AJ418,4,2))),IF(ISNUMBER(SEARCH("-",AJ418)),IF(LEN(LEFT(AJ418,FIND("-",AJ418)-1))=4,DATE(VALUE(LEFT(AJ418,4)),VALUE(MID(AJ418,6,2)),VALUE(RIGHT(AJ418,2))),DATE(VALUE(RIGHT(AJ418,4)),VALUE(MID(AJ418,4,2)),VALUE(LEFT(AJ418,2)))),DATE(VALUE(RIGHT(AJ418,4)),MATCH(MID(AJ418,4,3),{"Jan","Feb","Mar","Apr","May","Jun","Jul","Aug","Sep","Oct","Nov","Dec"},0),VALUE(LEFT(AJ418,2))))))</f>
        <v>45665</v>
      </c>
      <c r="C418" s="3" t="n">
        <f aca="false">IF(AK418="","",IF(ISNUMBER(SEARCH("/",AK418)),DATE(VALUE(RIGHT(AK418,4)),VALUE(LEFT(AK418,2)),VALUE(MID(AK418,4,2))),IF(ISNUMBER(SEARCH("-",AK418)),IF(LEN(LEFT(AK418,FIND("-",AK418)-1))=4,DATE(VALUE(LEFT(AK418,4)),VALUE(MID(AK418,6,2)),VALUE(RIGHT(AK418,2))),DATE(VALUE(RIGHT(AK418,4)),VALUE(MID(AK418,4,2)),VALUE(LEFT(AK418,2)))),DATE(VALUE(RIGHT(AK418,4)),MATCH(MID(AK418,4,3),{"Jan","Feb","Mar","Apr","May","Jun","Jul","Aug","Sep","Oct","Nov","Dec"},0),VALUE(LEFT(AK418,2))))))</f>
        <v>45673</v>
      </c>
      <c r="D418" s="4" t="s">
        <v>1688</v>
      </c>
      <c r="E418" s="0" t="str">
        <f aca="false">PROPER(TRIM(AL418))</f>
        <v>Neha Gupta</v>
      </c>
      <c r="F418" s="0" t="str">
        <f aca="false">PROPER(TRIM(AM418))</f>
        <v>Consumer</v>
      </c>
      <c r="G418" s="0" t="str">
        <f aca="false">IF(TRIM(AN418)="","Unknown",PROPER(TRIM(AN418)))</f>
        <v>South</v>
      </c>
      <c r="H418" s="0" t="str">
        <f aca="false">PROPER(TRIM(AO418))</f>
        <v>Telangana</v>
      </c>
      <c r="I418" s="0" t="str">
        <f aca="false">PROPER(TRIM(AP418))</f>
        <v>Hyderabad</v>
      </c>
      <c r="J418" s="0" t="str">
        <f aca="false">PROPER(TRIM(AQ418))</f>
        <v>Furniture</v>
      </c>
      <c r="K418" s="0" t="str">
        <f aca="false">PROPER(TRIM(AR418))</f>
        <v>Furnishings</v>
      </c>
      <c r="M418" s="0" t="str">
        <f aca="false">IF(TRIM(AS418)="","Unknown",PROPER(TRIM(AS418)))</f>
        <v>First Class</v>
      </c>
      <c r="N418" s="0" t="n">
        <v>8</v>
      </c>
      <c r="O418" s="0" t="n">
        <v>638.95</v>
      </c>
      <c r="P418" s="5" t="n">
        <f aca="false">IF(AT418="","",IF(ISNUMBER(AT418),AT418,VALUE(SUBSTITUTE(AT418,"%",""))/100))</f>
        <v>0.25</v>
      </c>
      <c r="Q418" s="5" t="n">
        <f aca="false">IF(P418="",IF(AND(N418&lt;&gt;"",O418&lt;&gt;"",R418&lt;&gt;"",S418&lt;&gt;""),0,"REVIEW"),IF(OR(P418&lt;0,P418&gt;0.3),0,P418))</f>
        <v>0.25</v>
      </c>
      <c r="R418" s="0" t="n">
        <v>3833.7</v>
      </c>
      <c r="S418" s="0" t="n">
        <v>2886.35</v>
      </c>
      <c r="T418" s="6" t="n">
        <f aca="false">N418*O418*(1-Q418)</f>
        <v>3833.7</v>
      </c>
      <c r="U418" s="6" t="n">
        <f aca="false">T418-S418</f>
        <v>947.35</v>
      </c>
      <c r="V418" s="7" t="n">
        <f aca="false">IF(T418=0,0,U418/T418)</f>
        <v>0.247111145890393</v>
      </c>
      <c r="W418" s="4" t="n">
        <f aca="false">C418-B418</f>
        <v>8</v>
      </c>
      <c r="X418" s="0" t="str">
        <f aca="false">TEXT(B418,"mmmm")</f>
        <v>January</v>
      </c>
      <c r="Y418" s="4" t="n">
        <f aca="false">YEAR(B418)</f>
        <v>2025</v>
      </c>
      <c r="Z418" s="0" t="str">
        <f aca="false">PROPER(TRIM(AU418))</f>
        <v>Paid</v>
      </c>
      <c r="AA418" s="0" t="str">
        <f aca="false">PROPER(TRIM(AV418))</f>
        <v>Completed</v>
      </c>
      <c r="AB418" s="0" t="str">
        <f aca="false">IF(TRIM(AN418)="","Yes","No")</f>
        <v>No</v>
      </c>
      <c r="AC418" s="0" t="str">
        <f aca="false">IF(TRIM(AS418)="","Yes","No")</f>
        <v>No</v>
      </c>
      <c r="AD418" s="0" t="str">
        <f aca="false">IF(AT418="","Yes","No")</f>
        <v>No</v>
      </c>
      <c r="AE418" s="0" t="str">
        <f aca="false">IF(W418&lt;0,"Yes","No")</f>
        <v>No</v>
      </c>
      <c r="AF418" s="0" t="str">
        <f aca="false">IF(P418="","No",IF(OR(P418&lt;0,P418&gt;0.3),"Yes","No"))</f>
        <v>No</v>
      </c>
      <c r="AG418" s="4" t="s">
        <v>50</v>
      </c>
      <c r="AH418" s="0" t="str">
        <f aca="false">IF(AND(AA418="Completed",Z418="Paid"),"Yes","No")</f>
        <v>Yes</v>
      </c>
      <c r="AI418" s="0" t="str">
        <f aca="false">IF(OR(AE418="Yes",AF418="Yes",AG418="Yes"),"Invalid",IF(OR(AB418="Yes",AC418="Yes",AD418="Yes"),"Warning","Clean"))</f>
        <v>Clean</v>
      </c>
      <c r="AJ418" s="4" t="s">
        <v>1689</v>
      </c>
      <c r="AK418" s="4" t="s">
        <v>1690</v>
      </c>
      <c r="AL418" s="4" t="s">
        <v>115</v>
      </c>
      <c r="AM418" s="4" t="s">
        <v>54</v>
      </c>
      <c r="AN418" s="4" t="s">
        <v>87</v>
      </c>
      <c r="AO418" s="4" t="s">
        <v>88</v>
      </c>
      <c r="AP418" s="4" t="s">
        <v>89</v>
      </c>
      <c r="AQ418" s="4" t="s">
        <v>674</v>
      </c>
      <c r="AR418" s="4" t="s">
        <v>90</v>
      </c>
      <c r="AS418" s="4" t="s">
        <v>81</v>
      </c>
      <c r="AT418" s="0" t="n">
        <v>0.25</v>
      </c>
      <c r="AU418" s="4" t="s">
        <v>61</v>
      </c>
      <c r="AV418" s="4" t="s">
        <v>62</v>
      </c>
    </row>
    <row r="419" customFormat="false" ht="15" hidden="false" customHeight="false" outlineLevel="0" collapsed="false">
      <c r="A419" s="0" t="s">
        <v>1691</v>
      </c>
      <c r="B419" s="3" t="n">
        <f aca="false">IF(AJ419="","",IF(ISNUMBER(SEARCH("/",AJ419)),DATE(VALUE(RIGHT(AJ419,4)),VALUE(LEFT(AJ419,2)),VALUE(MID(AJ419,4,2))),IF(ISNUMBER(SEARCH("-",AJ419)),IF(LEN(LEFT(AJ419,FIND("-",AJ419)-1))=4,DATE(VALUE(LEFT(AJ419,4)),VALUE(MID(AJ419,6,2)),VALUE(RIGHT(AJ419,2))),DATE(VALUE(RIGHT(AJ419,4)),VALUE(MID(AJ419,4,2)),VALUE(LEFT(AJ419,2)))),DATE(VALUE(RIGHT(AJ419,4)),MATCH(MID(AJ419,4,3),{"Jan","Feb","Mar","Apr","May","Jun","Jul","Aug","Sep","Oct","Nov","Dec"},0),VALUE(LEFT(AJ419,2))))))</f>
        <v>45686</v>
      </c>
      <c r="C419" s="3" t="n">
        <f aca="false">IF(AK419="","",IF(ISNUMBER(SEARCH("/",AK419)),DATE(VALUE(RIGHT(AK419,4)),VALUE(LEFT(AK419,2)),VALUE(MID(AK419,4,2))),IF(ISNUMBER(SEARCH("-",AK419)),IF(LEN(LEFT(AK419,FIND("-",AK419)-1))=4,DATE(VALUE(LEFT(AK419,4)),VALUE(MID(AK419,6,2)),VALUE(RIGHT(AK419,2))),DATE(VALUE(RIGHT(AK419,4)),VALUE(MID(AK419,4,2)),VALUE(LEFT(AK419,2)))),DATE(VALUE(RIGHT(AK419,4)),MATCH(MID(AK419,4,3),{"Jan","Feb","Mar","Apr","May","Jun","Jul","Aug","Sep","Oct","Nov","Dec"},0),VALUE(LEFT(AK419,2))))))</f>
        <v>45693</v>
      </c>
      <c r="D419" s="4" t="s">
        <v>1692</v>
      </c>
      <c r="E419" s="0" t="str">
        <f aca="false">PROPER(TRIM(AL419))</f>
        <v>Mira Das</v>
      </c>
      <c r="F419" s="0" t="str">
        <f aca="false">PROPER(TRIM(AM419))</f>
        <v>Consumer</v>
      </c>
      <c r="G419" s="0" t="str">
        <f aca="false">IF(TRIM(AN419)="","Unknown",PROPER(TRIM(AN419)))</f>
        <v>West</v>
      </c>
      <c r="H419" s="0" t="str">
        <f aca="false">PROPER(TRIM(AO419))</f>
        <v>Gujarat</v>
      </c>
      <c r="I419" s="0" t="str">
        <f aca="false">PROPER(TRIM(AP419))</f>
        <v>Ahmedabad</v>
      </c>
      <c r="J419" s="0" t="str">
        <f aca="false">PROPER(TRIM(AQ419))</f>
        <v>Office Supplies</v>
      </c>
      <c r="K419" s="0" t="str">
        <f aca="false">PROPER(TRIM(AR419))</f>
        <v>Art</v>
      </c>
      <c r="M419" s="0" t="str">
        <f aca="false">IF(TRIM(AS419)="","Unknown",PROPER(TRIM(AS419)))</f>
        <v>First Class</v>
      </c>
      <c r="N419" s="0" t="n">
        <v>6</v>
      </c>
      <c r="O419" s="0" t="n">
        <v>3863</v>
      </c>
      <c r="P419" s="5" t="n">
        <f aca="false">IF(AT419="","",IF(ISNUMBER(AT419),AT419,VALUE(SUBSTITUTE(AT419,"%",""))/100))</f>
        <v>0.2</v>
      </c>
      <c r="Q419" s="5" t="n">
        <f aca="false">IF(P419="",IF(AND(N419&lt;&gt;"",O419&lt;&gt;"",R419&lt;&gt;"",S419&lt;&gt;""),0,"REVIEW"),IF(OR(P419&lt;0,P419&gt;0.3),0,P419))</f>
        <v>0.2</v>
      </c>
      <c r="R419" s="0" t="n">
        <v>18542.4</v>
      </c>
      <c r="S419" s="0" t="n">
        <v>11193.75</v>
      </c>
      <c r="T419" s="6" t="n">
        <f aca="false">N419*O419*(1-Q419)</f>
        <v>18542.4</v>
      </c>
      <c r="U419" s="6" t="n">
        <f aca="false">T419-S419</f>
        <v>7348.65</v>
      </c>
      <c r="V419" s="7" t="n">
        <f aca="false">IF(T419=0,0,U419/T419)</f>
        <v>0.396316010872379</v>
      </c>
      <c r="W419" s="4" t="n">
        <f aca="false">C419-B419</f>
        <v>7</v>
      </c>
      <c r="X419" s="0" t="str">
        <f aca="false">TEXT(B419,"mmmm")</f>
        <v>January</v>
      </c>
      <c r="Y419" s="4" t="n">
        <f aca="false">YEAR(B419)</f>
        <v>2025</v>
      </c>
      <c r="Z419" s="0" t="str">
        <f aca="false">PROPER(TRIM(AU419))</f>
        <v>Paid</v>
      </c>
      <c r="AA419" s="0" t="str">
        <f aca="false">PROPER(TRIM(AV419))</f>
        <v>Completed</v>
      </c>
      <c r="AB419" s="0" t="str">
        <f aca="false">IF(TRIM(AN419)="","Yes","No")</f>
        <v>No</v>
      </c>
      <c r="AC419" s="0" t="str">
        <f aca="false">IF(TRIM(AS419)="","Yes","No")</f>
        <v>No</v>
      </c>
      <c r="AD419" s="0" t="str">
        <f aca="false">IF(AT419="","Yes","No")</f>
        <v>No</v>
      </c>
      <c r="AE419" s="0" t="str">
        <f aca="false">IF(W419&lt;0,"Yes","No")</f>
        <v>No</v>
      </c>
      <c r="AF419" s="0" t="str">
        <f aca="false">IF(P419="","No",IF(OR(P419&lt;0,P419&gt;0.3),"Yes","No"))</f>
        <v>No</v>
      </c>
      <c r="AG419" s="4" t="s">
        <v>50</v>
      </c>
      <c r="AH419" s="0" t="str">
        <f aca="false">IF(AND(AA419="Completed",Z419="Paid"),"Yes","No")</f>
        <v>Yes</v>
      </c>
      <c r="AI419" s="0" t="str">
        <f aca="false">IF(OR(AE419="Yes",AF419="Yes",AG419="Yes"),"Invalid",IF(OR(AB419="Yes",AC419="Yes",AD419="Yes"),"Warning","Clean"))</f>
        <v>Clean</v>
      </c>
      <c r="AJ419" s="4" t="s">
        <v>1486</v>
      </c>
      <c r="AK419" s="4" t="s">
        <v>1693</v>
      </c>
      <c r="AL419" s="4" t="s">
        <v>67</v>
      </c>
      <c r="AM419" s="4" t="s">
        <v>54</v>
      </c>
      <c r="AN419" s="4" t="s">
        <v>97</v>
      </c>
      <c r="AO419" s="4" t="s">
        <v>238</v>
      </c>
      <c r="AP419" s="4" t="s">
        <v>239</v>
      </c>
      <c r="AQ419" s="4" t="s">
        <v>58</v>
      </c>
      <c r="AR419" s="4" t="s">
        <v>80</v>
      </c>
      <c r="AS419" s="4" t="s">
        <v>81</v>
      </c>
      <c r="AT419" s="0" t="n">
        <v>0.2</v>
      </c>
      <c r="AU419" s="4" t="s">
        <v>61</v>
      </c>
      <c r="AV419" s="4" t="s">
        <v>62</v>
      </c>
    </row>
    <row r="420" customFormat="false" ht="15" hidden="false" customHeight="false" outlineLevel="0" collapsed="false">
      <c r="A420" s="0" t="s">
        <v>1694</v>
      </c>
      <c r="B420" s="3" t="n">
        <f aca="false">IF(AJ420="","",IF(ISNUMBER(SEARCH("/",AJ420)),DATE(VALUE(RIGHT(AJ420,4)),VALUE(LEFT(AJ420,2)),VALUE(MID(AJ420,4,2))),IF(ISNUMBER(SEARCH("-",AJ420)),IF(LEN(LEFT(AJ420,FIND("-",AJ420)-1))=4,DATE(VALUE(LEFT(AJ420,4)),VALUE(MID(AJ420,6,2)),VALUE(RIGHT(AJ420,2))),DATE(VALUE(RIGHT(AJ420,4)),VALUE(MID(AJ420,4,2)),VALUE(LEFT(AJ420,2)))),DATE(VALUE(RIGHT(AJ420,4)),MATCH(MID(AJ420,4,3),{"Jan","Feb","Mar","Apr","May","Jun","Jul","Aug","Sep","Oct","Nov","Dec"},0),VALUE(LEFT(AJ420,2))))))</f>
        <v>45605</v>
      </c>
      <c r="C420" s="3" t="n">
        <f aca="false">IF(AK420="","",IF(ISNUMBER(SEARCH("/",AK420)),DATE(VALUE(RIGHT(AK420,4)),VALUE(LEFT(AK420,2)),VALUE(MID(AK420,4,2))),IF(ISNUMBER(SEARCH("-",AK420)),IF(LEN(LEFT(AK420,FIND("-",AK420)-1))=4,DATE(VALUE(LEFT(AK420,4)),VALUE(MID(AK420,6,2)),VALUE(RIGHT(AK420,2))),DATE(VALUE(RIGHT(AK420,4)),VALUE(MID(AK420,4,2)),VALUE(LEFT(AK420,2)))),DATE(VALUE(RIGHT(AK420,4)),MATCH(MID(AK420,4,3),{"Jan","Feb","Mar","Apr","May","Jun","Jul","Aug","Sep","Oct","Nov","Dec"},0),VALUE(LEFT(AK420,2))))))</f>
        <v>45613</v>
      </c>
      <c r="D420" s="4" t="s">
        <v>1695</v>
      </c>
      <c r="E420" s="0" t="str">
        <f aca="false">PROPER(TRIM(AL420))</f>
        <v>Sneha Kapoor</v>
      </c>
      <c r="F420" s="0" t="str">
        <f aca="false">PROPER(TRIM(AM420))</f>
        <v>Corporate</v>
      </c>
      <c r="G420" s="0" t="str">
        <f aca="false">IF(TRIM(AN420)="","Unknown",PROPER(TRIM(AN420)))</f>
        <v>East</v>
      </c>
      <c r="H420" s="0" t="str">
        <f aca="false">PROPER(TRIM(AO420))</f>
        <v>Odisha</v>
      </c>
      <c r="I420" s="0" t="str">
        <f aca="false">PROPER(TRIM(AP420))</f>
        <v>Bhubaneswar</v>
      </c>
      <c r="J420" s="0" t="str">
        <f aca="false">PROPER(TRIM(AQ420))</f>
        <v>Technology</v>
      </c>
      <c r="K420" s="0" t="str">
        <f aca="false">PROPER(TRIM(AR420))</f>
        <v>Copiers</v>
      </c>
      <c r="M420" s="0" t="str">
        <f aca="false">IF(TRIM(AS420)="","Unknown",PROPER(TRIM(AS420)))</f>
        <v>Standard Class</v>
      </c>
      <c r="N420" s="0" t="n">
        <v>6</v>
      </c>
      <c r="O420" s="0" t="n">
        <v>3660.4</v>
      </c>
      <c r="P420" s="5" t="n">
        <f aca="false">IF(AT420="","",IF(ISNUMBER(AT420),AT420,VALUE(SUBSTITUTE(AT420,"%",""))/100))</f>
        <v>0</v>
      </c>
      <c r="Q420" s="5" t="n">
        <f aca="false">IF(P420="",IF(AND(N420&lt;&gt;"",O420&lt;&gt;"",R420&lt;&gt;"",S420&lt;&gt;""),0,"REVIEW"),IF(OR(P420&lt;0,P420&gt;0.3),0,P420))</f>
        <v>0</v>
      </c>
      <c r="R420" s="0" t="n">
        <v>21962.4</v>
      </c>
      <c r="S420" s="0" t="n">
        <v>15331.99</v>
      </c>
      <c r="T420" s="6" t="n">
        <f aca="false">N420*O420*(1-Q420)</f>
        <v>21962.4</v>
      </c>
      <c r="U420" s="6" t="n">
        <f aca="false">T420-S420</f>
        <v>6630.41</v>
      </c>
      <c r="V420" s="7" t="n">
        <f aca="false">IF(T420=0,0,U420/T420)</f>
        <v>0.301898244272029</v>
      </c>
      <c r="W420" s="4" t="n">
        <f aca="false">C420-B420</f>
        <v>8</v>
      </c>
      <c r="X420" s="0" t="str">
        <f aca="false">TEXT(B420,"mmmm")</f>
        <v>November</v>
      </c>
      <c r="Y420" s="4" t="n">
        <f aca="false">YEAR(B420)</f>
        <v>2024</v>
      </c>
      <c r="Z420" s="0" t="str">
        <f aca="false">PROPER(TRIM(AU420))</f>
        <v>Failed</v>
      </c>
      <c r="AA420" s="0" t="str">
        <f aca="false">PROPER(TRIM(AV420))</f>
        <v>Cancelled</v>
      </c>
      <c r="AB420" s="0" t="str">
        <f aca="false">IF(TRIM(AN420)="","Yes","No")</f>
        <v>No</v>
      </c>
      <c r="AC420" s="0" t="str">
        <f aca="false">IF(TRIM(AS420)="","Yes","No")</f>
        <v>No</v>
      </c>
      <c r="AD420" s="0" t="str">
        <f aca="false">IF(AT420="","Yes","No")</f>
        <v>No</v>
      </c>
      <c r="AE420" s="0" t="str">
        <f aca="false">IF(W420&lt;0,"Yes","No")</f>
        <v>No</v>
      </c>
      <c r="AF420" s="0" t="str">
        <f aca="false">IF(P420="","No",IF(OR(P420&lt;0,P420&gt;0.3),"Yes","No"))</f>
        <v>No</v>
      </c>
      <c r="AG420" s="4" t="s">
        <v>50</v>
      </c>
      <c r="AH420" s="0" t="str">
        <f aca="false">IF(AND(AA420="Completed",Z420="Paid"),"Yes","No")</f>
        <v>No</v>
      </c>
      <c r="AI420" s="0" t="str">
        <f aca="false">IF(OR(AE420="Yes",AF420="Yes",AG420="Yes"),"Invalid",IF(OR(AB420="Yes",AC420="Yes",AD420="Yes"),"Warning","Clean"))</f>
        <v>Clean</v>
      </c>
      <c r="AJ420" s="4" t="s">
        <v>1696</v>
      </c>
      <c r="AK420" s="4" t="s">
        <v>1697</v>
      </c>
      <c r="AL420" s="4" t="s">
        <v>181</v>
      </c>
      <c r="AM420" s="4" t="s">
        <v>128</v>
      </c>
      <c r="AN420" s="4" t="s">
        <v>69</v>
      </c>
      <c r="AO420" s="4" t="s">
        <v>70</v>
      </c>
      <c r="AP420" s="4" t="s">
        <v>71</v>
      </c>
      <c r="AQ420" s="4" t="s">
        <v>109</v>
      </c>
      <c r="AR420" s="4" t="s">
        <v>116</v>
      </c>
      <c r="AS420" s="4" t="s">
        <v>91</v>
      </c>
      <c r="AT420" s="0" t="n">
        <v>0</v>
      </c>
      <c r="AU420" s="4" t="s">
        <v>207</v>
      </c>
      <c r="AV420" s="4" t="s">
        <v>101</v>
      </c>
    </row>
    <row r="421" customFormat="false" ht="15" hidden="false" customHeight="false" outlineLevel="0" collapsed="false">
      <c r="A421" s="0" t="s">
        <v>1698</v>
      </c>
      <c r="B421" s="3" t="n">
        <f aca="false">IF(AJ421="","",IF(ISNUMBER(SEARCH("/",AJ421)),DATE(VALUE(RIGHT(AJ421,4)),VALUE(LEFT(AJ421,2)),VALUE(MID(AJ421,4,2))),IF(ISNUMBER(SEARCH("-",AJ421)),IF(LEN(LEFT(AJ421,FIND("-",AJ421)-1))=4,DATE(VALUE(LEFT(AJ421,4)),VALUE(MID(AJ421,6,2)),VALUE(RIGHT(AJ421,2))),DATE(VALUE(RIGHT(AJ421,4)),VALUE(MID(AJ421,4,2)),VALUE(LEFT(AJ421,2)))),DATE(VALUE(RIGHT(AJ421,4)),MATCH(MID(AJ421,4,3),{"Jan","Feb","Mar","Apr","May","Jun","Jul","Aug","Sep","Oct","Nov","Dec"},0),VALUE(LEFT(AJ421,2))))))</f>
        <v>45926</v>
      </c>
      <c r="C421" s="3" t="n">
        <f aca="false">IF(AK421="","",IF(ISNUMBER(SEARCH("/",AK421)),DATE(VALUE(RIGHT(AK421,4)),VALUE(LEFT(AK421,2)),VALUE(MID(AK421,4,2))),IF(ISNUMBER(SEARCH("-",AK421)),IF(LEN(LEFT(AK421,FIND("-",AK421)-1))=4,DATE(VALUE(LEFT(AK421,4)),VALUE(MID(AK421,6,2)),VALUE(RIGHT(AK421,2))),DATE(VALUE(RIGHT(AK421,4)),VALUE(MID(AK421,4,2)),VALUE(LEFT(AK421,2)))),DATE(VALUE(RIGHT(AK421,4)),MATCH(MID(AK421,4,3),{"Jan","Feb","Mar","Apr","May","Jun","Jul","Aug","Sep","Oct","Nov","Dec"},0),VALUE(LEFT(AK421,2))))))</f>
        <v>45930</v>
      </c>
      <c r="D421" s="4" t="s">
        <v>1699</v>
      </c>
      <c r="E421" s="0" t="str">
        <f aca="false">PROPER(TRIM(AL421))</f>
        <v>Sneha Kapoor</v>
      </c>
      <c r="F421" s="0" t="str">
        <f aca="false">PROPER(TRIM(AM421))</f>
        <v>Home Office</v>
      </c>
      <c r="G421" s="0" t="str">
        <f aca="false">IF(TRIM(AN421)="","Unknown",PROPER(TRIM(AN421)))</f>
        <v>North</v>
      </c>
      <c r="H421" s="0" t="str">
        <f aca="false">PROPER(TRIM(AO421))</f>
        <v>Haryana</v>
      </c>
      <c r="I421" s="0" t="str">
        <f aca="false">PROPER(TRIM(AP421))</f>
        <v>Gurugram</v>
      </c>
      <c r="J421" s="0" t="str">
        <f aca="false">PROPER(TRIM(AQ421))</f>
        <v>Technology</v>
      </c>
      <c r="K421" s="0" t="str">
        <f aca="false">PROPER(TRIM(AR421))</f>
        <v>Phones</v>
      </c>
      <c r="M421" s="0" t="str">
        <f aca="false">IF(TRIM(AS421)="","Unknown",PROPER(TRIM(AS421)))</f>
        <v>Same Day</v>
      </c>
      <c r="N421" s="0" t="n">
        <v>2</v>
      </c>
      <c r="O421" s="0" t="n">
        <v>688.83</v>
      </c>
      <c r="P421" s="5" t="n">
        <f aca="false">IF(AT421="","",IF(ISNUMBER(AT421),AT421,VALUE(SUBSTITUTE(AT421,"%",""))/100))</f>
        <v>0.05</v>
      </c>
      <c r="Q421" s="5" t="n">
        <f aca="false">IF(P421="",IF(AND(N421&lt;&gt;"",O421&lt;&gt;"",R421&lt;&gt;"",S421&lt;&gt;""),0,"REVIEW"),IF(OR(P421&lt;0,P421&gt;0.3),0,P421))</f>
        <v>0.05</v>
      </c>
      <c r="R421" s="0" t="n">
        <v>1308.78</v>
      </c>
      <c r="S421" s="0" t="n">
        <v>843</v>
      </c>
      <c r="T421" s="6" t="n">
        <f aca="false">N421*O421*(1-Q421)</f>
        <v>1308.777</v>
      </c>
      <c r="U421" s="6" t="n">
        <f aca="false">T421-S421</f>
        <v>465.777</v>
      </c>
      <c r="V421" s="7" t="n">
        <f aca="false">IF(T421=0,0,U421/T421)</f>
        <v>0.35588721378814</v>
      </c>
      <c r="W421" s="4" t="n">
        <f aca="false">C421-B421</f>
        <v>4</v>
      </c>
      <c r="X421" s="0" t="str">
        <f aca="false">TEXT(B421,"mmmm")</f>
        <v>September</v>
      </c>
      <c r="Y421" s="4" t="n">
        <f aca="false">YEAR(B421)</f>
        <v>2025</v>
      </c>
      <c r="Z421" s="0" t="str">
        <f aca="false">PROPER(TRIM(AU421))</f>
        <v>Paid</v>
      </c>
      <c r="AA421" s="0" t="str">
        <f aca="false">PROPER(TRIM(AV421))</f>
        <v>Completed</v>
      </c>
      <c r="AB421" s="0" t="str">
        <f aca="false">IF(TRIM(AN421)="","Yes","No")</f>
        <v>No</v>
      </c>
      <c r="AC421" s="0" t="str">
        <f aca="false">IF(TRIM(AS421)="","Yes","No")</f>
        <v>No</v>
      </c>
      <c r="AD421" s="0" t="str">
        <f aca="false">IF(AT421="","Yes","No")</f>
        <v>No</v>
      </c>
      <c r="AE421" s="0" t="str">
        <f aca="false">IF(W421&lt;0,"Yes","No")</f>
        <v>No</v>
      </c>
      <c r="AF421" s="0" t="str">
        <f aca="false">IF(P421="","No",IF(OR(P421&lt;0,P421&gt;0.3),"Yes","No"))</f>
        <v>No</v>
      </c>
      <c r="AG421" s="4" t="s">
        <v>50</v>
      </c>
      <c r="AH421" s="0" t="str">
        <f aca="false">IF(AND(AA421="Completed",Z421="Paid"),"Yes","No")</f>
        <v>Yes</v>
      </c>
      <c r="AI421" s="0" t="str">
        <f aca="false">IF(OR(AE421="Yes",AF421="Yes",AG421="Yes"),"Invalid",IF(OR(AB421="Yes",AC421="Yes",AD421="Yes"),"Warning","Clean"))</f>
        <v>Clean</v>
      </c>
      <c r="AJ421" s="4" t="s">
        <v>1700</v>
      </c>
      <c r="AK421" s="4" t="s">
        <v>1701</v>
      </c>
      <c r="AL421" s="4" t="s">
        <v>181</v>
      </c>
      <c r="AM421" s="4" t="s">
        <v>134</v>
      </c>
      <c r="AN421" s="4" t="s">
        <v>168</v>
      </c>
      <c r="AO421" s="4" t="s">
        <v>310</v>
      </c>
      <c r="AP421" s="4" t="s">
        <v>311</v>
      </c>
      <c r="AQ421" s="4" t="s">
        <v>109</v>
      </c>
      <c r="AR421" s="4" t="s">
        <v>227</v>
      </c>
      <c r="AS421" s="4" t="s">
        <v>74</v>
      </c>
      <c r="AT421" s="0" t="n">
        <v>0.05</v>
      </c>
      <c r="AU421" s="4" t="s">
        <v>61</v>
      </c>
      <c r="AV421" s="4" t="s">
        <v>62</v>
      </c>
    </row>
    <row r="422" customFormat="false" ht="15" hidden="false" customHeight="false" outlineLevel="0" collapsed="false">
      <c r="A422" s="0" t="s">
        <v>1702</v>
      </c>
      <c r="B422" s="3" t="n">
        <f aca="false">IF(AJ422="","",IF(ISNUMBER(SEARCH("/",AJ422)),DATE(VALUE(RIGHT(AJ422,4)),VALUE(LEFT(AJ422,2)),VALUE(MID(AJ422,4,2))),IF(ISNUMBER(SEARCH("-",AJ422)),IF(LEN(LEFT(AJ422,FIND("-",AJ422)-1))=4,DATE(VALUE(LEFT(AJ422,4)),VALUE(MID(AJ422,6,2)),VALUE(RIGHT(AJ422,2))),DATE(VALUE(RIGHT(AJ422,4)),VALUE(MID(AJ422,4,2)),VALUE(LEFT(AJ422,2)))),DATE(VALUE(RIGHT(AJ422,4)),MATCH(MID(AJ422,4,3),{"Jan","Feb","Mar","Apr","May","Jun","Jul","Aug","Sep","Oct","Nov","Dec"},0),VALUE(LEFT(AJ422,2))))))</f>
        <v>45734</v>
      </c>
      <c r="C422" s="3" t="n">
        <f aca="false">IF(AK422="","",IF(ISNUMBER(SEARCH("/",AK422)),DATE(VALUE(RIGHT(AK422,4)),VALUE(LEFT(AK422,2)),VALUE(MID(AK422,4,2))),IF(ISNUMBER(SEARCH("-",AK422)),IF(LEN(LEFT(AK422,FIND("-",AK422)-1))=4,DATE(VALUE(LEFT(AK422,4)),VALUE(MID(AK422,6,2)),VALUE(RIGHT(AK422,2))),DATE(VALUE(RIGHT(AK422,4)),VALUE(MID(AK422,4,2)),VALUE(LEFT(AK422,2)))),DATE(VALUE(RIGHT(AK422,4)),MATCH(MID(AK422,4,3),{"Jan","Feb","Mar","Apr","May","Jun","Jul","Aug","Sep","Oct","Nov","Dec"},0),VALUE(LEFT(AK422,2))))))</f>
        <v>45735</v>
      </c>
      <c r="D422" s="4" t="s">
        <v>1703</v>
      </c>
      <c r="E422" s="0" t="str">
        <f aca="false">PROPER(TRIM(AL422))</f>
        <v>Isha Nair</v>
      </c>
      <c r="F422" s="0" t="str">
        <f aca="false">PROPER(TRIM(AM422))</f>
        <v>Corporate</v>
      </c>
      <c r="G422" s="0" t="str">
        <f aca="false">IF(TRIM(AN422)="","Unknown",PROPER(TRIM(AN422)))</f>
        <v>South</v>
      </c>
      <c r="H422" s="0" t="str">
        <f aca="false">PROPER(TRIM(AO422))</f>
        <v>Tamil Nadu</v>
      </c>
      <c r="I422" s="0" t="str">
        <f aca="false">PROPER(TRIM(AP422))</f>
        <v>Chennai</v>
      </c>
      <c r="J422" s="0" t="str">
        <f aca="false">PROPER(TRIM(AQ422))</f>
        <v>Technology</v>
      </c>
      <c r="K422" s="0" t="str">
        <f aca="false">PROPER(TRIM(AR422))</f>
        <v>Machines</v>
      </c>
      <c r="M422" s="0" t="str">
        <f aca="false">IF(TRIM(AS422)="","Unknown",PROPER(TRIM(AS422)))</f>
        <v>Standard Class</v>
      </c>
      <c r="N422" s="0" t="n">
        <v>2</v>
      </c>
      <c r="O422" s="0" t="n">
        <v>1209.99</v>
      </c>
      <c r="P422" s="5" t="n">
        <f aca="false">IF(AT422="","",IF(ISNUMBER(AT422),AT422,VALUE(SUBSTITUTE(AT422,"%",""))/100))</f>
        <v>0.25</v>
      </c>
      <c r="Q422" s="5" t="n">
        <f aca="false">IF(P422="",IF(AND(N422&lt;&gt;"",O422&lt;&gt;"",R422&lt;&gt;"",S422&lt;&gt;""),0,"REVIEW"),IF(OR(P422&lt;0,P422&gt;0.3),0,P422))</f>
        <v>0.25</v>
      </c>
      <c r="R422" s="0" t="n">
        <v>1814.99</v>
      </c>
      <c r="S422" s="0" t="n">
        <v>1120.06</v>
      </c>
      <c r="T422" s="6" t="n">
        <f aca="false">N422*O422*(1-Q422)</f>
        <v>1814.985</v>
      </c>
      <c r="U422" s="6" t="n">
        <f aca="false">T422-S422</f>
        <v>694.925</v>
      </c>
      <c r="V422" s="7" t="n">
        <f aca="false">IF(T422=0,0,U422/T422)</f>
        <v>0.382881952192442</v>
      </c>
      <c r="W422" s="4" t="n">
        <f aca="false">C422-B422</f>
        <v>1</v>
      </c>
      <c r="X422" s="0" t="str">
        <f aca="false">TEXT(B422,"mmmm")</f>
        <v>March</v>
      </c>
      <c r="Y422" s="4" t="n">
        <f aca="false">YEAR(B422)</f>
        <v>2025</v>
      </c>
      <c r="Z422" s="0" t="str">
        <f aca="false">PROPER(TRIM(AU422))</f>
        <v>Pending</v>
      </c>
      <c r="AA422" s="0" t="str">
        <f aca="false">PROPER(TRIM(AV422))</f>
        <v>Cancelled</v>
      </c>
      <c r="AB422" s="0" t="str">
        <f aca="false">IF(TRIM(AN422)="","Yes","No")</f>
        <v>No</v>
      </c>
      <c r="AC422" s="0" t="str">
        <f aca="false">IF(TRIM(AS422)="","Yes","No")</f>
        <v>No</v>
      </c>
      <c r="AD422" s="0" t="str">
        <f aca="false">IF(AT422="","Yes","No")</f>
        <v>No</v>
      </c>
      <c r="AE422" s="0" t="str">
        <f aca="false">IF(W422&lt;0,"Yes","No")</f>
        <v>No</v>
      </c>
      <c r="AF422" s="0" t="str">
        <f aca="false">IF(P422="","No",IF(OR(P422&lt;0,P422&gt;0.3),"Yes","No"))</f>
        <v>No</v>
      </c>
      <c r="AG422" s="4" t="s">
        <v>50</v>
      </c>
      <c r="AH422" s="0" t="str">
        <f aca="false">IF(AND(AA422="Completed",Z422="Paid"),"Yes","No")</f>
        <v>No</v>
      </c>
      <c r="AI422" s="0" t="str">
        <f aca="false">IF(OR(AE422="Yes",AF422="Yes",AG422="Yes"),"Invalid",IF(OR(AB422="Yes",AC422="Yes",AD422="Yes"),"Warning","Clean"))</f>
        <v>Clean</v>
      </c>
      <c r="AJ422" s="4" t="s">
        <v>830</v>
      </c>
      <c r="AK422" s="4" t="s">
        <v>1704</v>
      </c>
      <c r="AL422" s="4" t="s">
        <v>79</v>
      </c>
      <c r="AM422" s="4" t="s">
        <v>128</v>
      </c>
      <c r="AN422" s="4" t="s">
        <v>87</v>
      </c>
      <c r="AO422" s="4" t="s">
        <v>323</v>
      </c>
      <c r="AP422" s="4" t="s">
        <v>324</v>
      </c>
      <c r="AQ422" s="4" t="s">
        <v>109</v>
      </c>
      <c r="AR422" s="4" t="s">
        <v>360</v>
      </c>
      <c r="AS422" s="4" t="s">
        <v>91</v>
      </c>
      <c r="AT422" s="0" t="n">
        <v>0.25</v>
      </c>
      <c r="AU422" s="4" t="s">
        <v>153</v>
      </c>
      <c r="AV422" s="4" t="s">
        <v>101</v>
      </c>
    </row>
    <row r="423" customFormat="false" ht="15" hidden="false" customHeight="false" outlineLevel="0" collapsed="false">
      <c r="A423" s="0" t="s">
        <v>1705</v>
      </c>
      <c r="B423" s="3" t="n">
        <f aca="false">IF(AJ423="","",IF(ISNUMBER(SEARCH("/",AJ423)),DATE(VALUE(RIGHT(AJ423,4)),VALUE(LEFT(AJ423,2)),VALUE(MID(AJ423,4,2))),IF(ISNUMBER(SEARCH("-",AJ423)),IF(LEN(LEFT(AJ423,FIND("-",AJ423)-1))=4,DATE(VALUE(LEFT(AJ423,4)),VALUE(MID(AJ423,6,2)),VALUE(RIGHT(AJ423,2))),DATE(VALUE(RIGHT(AJ423,4)),VALUE(MID(AJ423,4,2)),VALUE(LEFT(AJ423,2)))),DATE(VALUE(RIGHT(AJ423,4)),MATCH(MID(AJ423,4,3),{"Jan","Feb","Mar","Apr","May","Jun","Jul","Aug","Sep","Oct","Nov","Dec"},0),VALUE(LEFT(AJ423,2))))))</f>
        <v>45822</v>
      </c>
      <c r="C423" s="3" t="n">
        <f aca="false">IF(AK423="","",IF(ISNUMBER(SEARCH("/",AK423)),DATE(VALUE(RIGHT(AK423,4)),VALUE(LEFT(AK423,2)),VALUE(MID(AK423,4,2))),IF(ISNUMBER(SEARCH("-",AK423)),IF(LEN(LEFT(AK423,FIND("-",AK423)-1))=4,DATE(VALUE(LEFT(AK423,4)),VALUE(MID(AK423,6,2)),VALUE(RIGHT(AK423,2))),DATE(VALUE(RIGHT(AK423,4)),VALUE(MID(AK423,4,2)),VALUE(LEFT(AK423,2)))),DATE(VALUE(RIGHT(AK423,4)),MATCH(MID(AK423,4,3),{"Jan","Feb","Mar","Apr","May","Jun","Jul","Aug","Sep","Oct","Nov","Dec"},0),VALUE(LEFT(AK423,2))))))</f>
        <v>45827</v>
      </c>
      <c r="D423" s="4" t="s">
        <v>1706</v>
      </c>
      <c r="E423" s="0" t="str">
        <f aca="false">PROPER(TRIM(AL423))</f>
        <v>Rohan Mehta</v>
      </c>
      <c r="F423" s="0" t="str">
        <f aca="false">PROPER(TRIM(AM423))</f>
        <v>Small Business</v>
      </c>
      <c r="G423" s="0" t="str">
        <f aca="false">IF(TRIM(AN423)="","Unknown",PROPER(TRIM(AN423)))</f>
        <v>North</v>
      </c>
      <c r="H423" s="0" t="str">
        <f aca="false">PROPER(TRIM(AO423))</f>
        <v>Delhi</v>
      </c>
      <c r="I423" s="0" t="str">
        <f aca="false">PROPER(TRIM(AP423))</f>
        <v>New Delhi</v>
      </c>
      <c r="J423" s="0" t="str">
        <f aca="false">PROPER(TRIM(AQ423))</f>
        <v>Office Supplies</v>
      </c>
      <c r="K423" s="0" t="str">
        <f aca="false">PROPER(TRIM(AR423))</f>
        <v>Binders</v>
      </c>
      <c r="M423" s="0" t="str">
        <f aca="false">IF(TRIM(AS423)="","Unknown",PROPER(TRIM(AS423)))</f>
        <v>Same Day</v>
      </c>
      <c r="N423" s="0" t="n">
        <v>3</v>
      </c>
      <c r="O423" s="0" t="n">
        <v>1037.45</v>
      </c>
      <c r="P423" s="5" t="n">
        <f aca="false">IF(AT423="","",IF(ISNUMBER(AT423),AT423,VALUE(SUBSTITUTE(AT423,"%",""))/100))</f>
        <v>0.2</v>
      </c>
      <c r="Q423" s="5" t="n">
        <f aca="false">IF(P423="",IF(AND(N423&lt;&gt;"",O423&lt;&gt;"",R423&lt;&gt;"",S423&lt;&gt;""),0,"REVIEW"),IF(OR(P423&lt;0,P423&gt;0.3),0,P423))</f>
        <v>0.2</v>
      </c>
      <c r="R423" s="0" t="n">
        <v>2489.88</v>
      </c>
      <c r="S423" s="0" t="n">
        <v>1707.52</v>
      </c>
      <c r="T423" s="6" t="n">
        <f aca="false">N423*O423*(1-Q423)</f>
        <v>2489.88</v>
      </c>
      <c r="U423" s="6" t="n">
        <f aca="false">T423-S423</f>
        <v>782.360000000001</v>
      </c>
      <c r="V423" s="7" t="n">
        <f aca="false">IF(T423=0,0,U423/T423)</f>
        <v>0.314215946150015</v>
      </c>
      <c r="W423" s="4" t="n">
        <f aca="false">C423-B423</f>
        <v>5</v>
      </c>
      <c r="X423" s="0" t="str">
        <f aca="false">TEXT(B423,"mmmm")</f>
        <v>June</v>
      </c>
      <c r="Y423" s="4" t="n">
        <f aca="false">YEAR(B423)</f>
        <v>2025</v>
      </c>
      <c r="Z423" s="0" t="str">
        <f aca="false">PROPER(TRIM(AU423))</f>
        <v>Pending</v>
      </c>
      <c r="AA423" s="0" t="str">
        <f aca="false">PROPER(TRIM(AV423))</f>
        <v>Returned</v>
      </c>
      <c r="AB423" s="0" t="str">
        <f aca="false">IF(TRIM(AN423)="","Yes","No")</f>
        <v>No</v>
      </c>
      <c r="AC423" s="0" t="str">
        <f aca="false">IF(TRIM(AS423)="","Yes","No")</f>
        <v>No</v>
      </c>
      <c r="AD423" s="0" t="str">
        <f aca="false">IF(AT423="","Yes","No")</f>
        <v>No</v>
      </c>
      <c r="AE423" s="0" t="str">
        <f aca="false">IF(W423&lt;0,"Yes","No")</f>
        <v>No</v>
      </c>
      <c r="AF423" s="0" t="str">
        <f aca="false">IF(P423="","No",IF(OR(P423&lt;0,P423&gt;0.3),"Yes","No"))</f>
        <v>No</v>
      </c>
      <c r="AG423" s="4" t="s">
        <v>50</v>
      </c>
      <c r="AH423" s="0" t="str">
        <f aca="false">IF(AND(AA423="Completed",Z423="Paid"),"Yes","No")</f>
        <v>No</v>
      </c>
      <c r="AI423" s="0" t="str">
        <f aca="false">IF(OR(AE423="Yes",AF423="Yes",AG423="Yes"),"Invalid",IF(OR(AB423="Yes",AC423="Yes",AD423="Yes"),"Warning","Clean"))</f>
        <v>Clean</v>
      </c>
      <c r="AJ423" s="4" t="s">
        <v>1707</v>
      </c>
      <c r="AK423" s="4" t="s">
        <v>1708</v>
      </c>
      <c r="AL423" s="4" t="s">
        <v>191</v>
      </c>
      <c r="AM423" s="4" t="s">
        <v>68</v>
      </c>
      <c r="AN423" s="4" t="s">
        <v>168</v>
      </c>
      <c r="AO423" s="4" t="s">
        <v>461</v>
      </c>
      <c r="AP423" s="4" t="s">
        <v>462</v>
      </c>
      <c r="AQ423" s="4" t="s">
        <v>58</v>
      </c>
      <c r="AR423" s="4" t="s">
        <v>206</v>
      </c>
      <c r="AS423" s="4" t="s">
        <v>74</v>
      </c>
      <c r="AT423" s="0" t="n">
        <v>0.2</v>
      </c>
      <c r="AU423" s="4" t="s">
        <v>153</v>
      </c>
      <c r="AV423" s="4" t="s">
        <v>142</v>
      </c>
    </row>
    <row r="424" customFormat="false" ht="15" hidden="false" customHeight="false" outlineLevel="0" collapsed="false">
      <c r="A424" s="0" t="s">
        <v>1709</v>
      </c>
      <c r="B424" s="3" t="n">
        <f aca="false">IF(AJ424="","",IF(ISNUMBER(SEARCH("/",AJ424)),DATE(VALUE(RIGHT(AJ424,4)),VALUE(LEFT(AJ424,2)),VALUE(MID(AJ424,4,2))),IF(ISNUMBER(SEARCH("-",AJ424)),IF(LEN(LEFT(AJ424,FIND("-",AJ424)-1))=4,DATE(VALUE(LEFT(AJ424,4)),VALUE(MID(AJ424,6,2)),VALUE(RIGHT(AJ424,2))),DATE(VALUE(RIGHT(AJ424,4)),VALUE(MID(AJ424,4,2)),VALUE(LEFT(AJ424,2)))),DATE(VALUE(RIGHT(AJ424,4)),MATCH(MID(AJ424,4,3),{"Jan","Feb","Mar","Apr","May","Jun","Jul","Aug","Sep","Oct","Nov","Dec"},0),VALUE(LEFT(AJ424,2))))))</f>
        <v>45903</v>
      </c>
      <c r="C424" s="3" t="n">
        <f aca="false">IF(AK424="","",IF(ISNUMBER(SEARCH("/",AK424)),DATE(VALUE(RIGHT(AK424,4)),VALUE(LEFT(AK424,2)),VALUE(MID(AK424,4,2))),IF(ISNUMBER(SEARCH("-",AK424)),IF(LEN(LEFT(AK424,FIND("-",AK424)-1))=4,DATE(VALUE(LEFT(AK424,4)),VALUE(MID(AK424,6,2)),VALUE(RIGHT(AK424,2))),DATE(VALUE(RIGHT(AK424,4)),VALUE(MID(AK424,4,2)),VALUE(LEFT(AK424,2)))),DATE(VALUE(RIGHT(AK424,4)),MATCH(MID(AK424,4,3),{"Jan","Feb","Mar","Apr","May","Jun","Jul","Aug","Sep","Oct","Nov","Dec"},0),VALUE(LEFT(AK424,2))))))</f>
        <v>45906</v>
      </c>
      <c r="D424" s="4" t="s">
        <v>1710</v>
      </c>
      <c r="E424" s="0" t="str">
        <f aca="false">PROPER(TRIM(AL424))</f>
        <v>Kabir Singh</v>
      </c>
      <c r="F424" s="0" t="str">
        <f aca="false">PROPER(TRIM(AM424))</f>
        <v>Consumer</v>
      </c>
      <c r="G424" s="0" t="str">
        <f aca="false">IF(TRIM(AN424)="","Unknown",PROPER(TRIM(AN424)))</f>
        <v>West</v>
      </c>
      <c r="H424" s="0" t="str">
        <f aca="false">PROPER(TRIM(AO424))</f>
        <v>Madhya Pradesh</v>
      </c>
      <c r="I424" s="0" t="str">
        <f aca="false">PROPER(TRIM(AP424))</f>
        <v>Indore</v>
      </c>
      <c r="J424" s="0" t="str">
        <f aca="false">PROPER(TRIM(AQ424))</f>
        <v>Technology</v>
      </c>
      <c r="K424" s="0" t="str">
        <f aca="false">PROPER(TRIM(AR424))</f>
        <v>Copiers</v>
      </c>
      <c r="M424" s="0" t="str">
        <f aca="false">IF(TRIM(AS424)="","Unknown",PROPER(TRIM(AS424)))</f>
        <v>Same Day</v>
      </c>
      <c r="N424" s="0" t="n">
        <v>7</v>
      </c>
      <c r="O424" s="0" t="n">
        <v>688.85</v>
      </c>
      <c r="P424" s="5" t="n">
        <f aca="false">IF(AT424="","",IF(ISNUMBER(AT424),AT424,VALUE(SUBSTITUTE(AT424,"%",""))/100))</f>
        <v>0.15</v>
      </c>
      <c r="Q424" s="5" t="n">
        <f aca="false">IF(P424="",IF(AND(N424&lt;&gt;"",O424&lt;&gt;"",R424&lt;&gt;"",S424&lt;&gt;""),0,"REVIEW"),IF(OR(P424&lt;0,P424&gt;0.3),0,P424))</f>
        <v>0.15</v>
      </c>
      <c r="R424" s="0" t="n">
        <v>4098.66</v>
      </c>
      <c r="S424" s="0" t="n">
        <v>2678.06</v>
      </c>
      <c r="T424" s="6" t="n">
        <f aca="false">N424*O424*(1-Q424)</f>
        <v>4098.6575</v>
      </c>
      <c r="U424" s="6" t="n">
        <f aca="false">T424-S424</f>
        <v>1420.5975</v>
      </c>
      <c r="V424" s="7" t="n">
        <f aca="false">IF(T424=0,0,U424/T424)</f>
        <v>0.346600685712334</v>
      </c>
      <c r="W424" s="4" t="n">
        <f aca="false">C424-B424</f>
        <v>3</v>
      </c>
      <c r="X424" s="0" t="str">
        <f aca="false">TEXT(B424,"mmmm")</f>
        <v>September</v>
      </c>
      <c r="Y424" s="4" t="n">
        <f aca="false">YEAR(B424)</f>
        <v>2025</v>
      </c>
      <c r="Z424" s="0" t="str">
        <f aca="false">PROPER(TRIM(AU424))</f>
        <v>Paid</v>
      </c>
      <c r="AA424" s="0" t="str">
        <f aca="false">PROPER(TRIM(AV424))</f>
        <v>Completed</v>
      </c>
      <c r="AB424" s="0" t="str">
        <f aca="false">IF(TRIM(AN424)="","Yes","No")</f>
        <v>No</v>
      </c>
      <c r="AC424" s="0" t="str">
        <f aca="false">IF(TRIM(AS424)="","Yes","No")</f>
        <v>No</v>
      </c>
      <c r="AD424" s="0" t="str">
        <f aca="false">IF(AT424="","Yes","No")</f>
        <v>No</v>
      </c>
      <c r="AE424" s="0" t="str">
        <f aca="false">IF(W424&lt;0,"Yes","No")</f>
        <v>No</v>
      </c>
      <c r="AF424" s="0" t="str">
        <f aca="false">IF(P424="","No",IF(OR(P424&lt;0,P424&gt;0.3),"Yes","No"))</f>
        <v>No</v>
      </c>
      <c r="AG424" s="4" t="s">
        <v>50</v>
      </c>
      <c r="AH424" s="0" t="str">
        <f aca="false">IF(AND(AA424="Completed",Z424="Paid"),"Yes","No")</f>
        <v>Yes</v>
      </c>
      <c r="AI424" s="0" t="str">
        <f aca="false">IF(OR(AE424="Yes",AF424="Yes",AG424="Yes"),"Invalid",IF(OR(AB424="Yes",AC424="Yes",AD424="Yes"),"Warning","Clean"))</f>
        <v>Clean</v>
      </c>
      <c r="AJ424" s="4" t="s">
        <v>1711</v>
      </c>
      <c r="AK424" s="4" t="s">
        <v>1712</v>
      </c>
      <c r="AL424" s="4" t="s">
        <v>347</v>
      </c>
      <c r="AM424" s="4" t="s">
        <v>54</v>
      </c>
      <c r="AN424" s="4" t="s">
        <v>97</v>
      </c>
      <c r="AO424" s="4" t="s">
        <v>107</v>
      </c>
      <c r="AP424" s="4" t="s">
        <v>108</v>
      </c>
      <c r="AQ424" s="4" t="s">
        <v>109</v>
      </c>
      <c r="AR424" s="4" t="s">
        <v>116</v>
      </c>
      <c r="AS424" s="4" t="s">
        <v>74</v>
      </c>
      <c r="AT424" s="0" t="n">
        <v>0.15</v>
      </c>
      <c r="AU424" s="4" t="s">
        <v>61</v>
      </c>
      <c r="AV424" s="4" t="s">
        <v>62</v>
      </c>
    </row>
    <row r="425" customFormat="false" ht="15" hidden="false" customHeight="false" outlineLevel="0" collapsed="false">
      <c r="A425" s="0" t="s">
        <v>1713</v>
      </c>
      <c r="B425" s="3" t="n">
        <f aca="false">IF(AJ425="","",IF(ISNUMBER(SEARCH("/",AJ425)),DATE(VALUE(RIGHT(AJ425,4)),VALUE(LEFT(AJ425,2)),VALUE(MID(AJ425,4,2))),IF(ISNUMBER(SEARCH("-",AJ425)),IF(LEN(LEFT(AJ425,FIND("-",AJ425)-1))=4,DATE(VALUE(LEFT(AJ425,4)),VALUE(MID(AJ425,6,2)),VALUE(RIGHT(AJ425,2))),DATE(VALUE(RIGHT(AJ425,4)),VALUE(MID(AJ425,4,2)),VALUE(LEFT(AJ425,2)))),DATE(VALUE(RIGHT(AJ425,4)),MATCH(MID(AJ425,4,3),{"Jan","Feb","Mar","Apr","May","Jun","Jul","Aug","Sep","Oct","Nov","Dec"},0),VALUE(LEFT(AJ425,2))))))</f>
        <v>45342</v>
      </c>
      <c r="C425" s="3" t="n">
        <f aca="false">IF(AK425="","",IF(ISNUMBER(SEARCH("/",AK425)),DATE(VALUE(RIGHT(AK425,4)),VALUE(LEFT(AK425,2)),VALUE(MID(AK425,4,2))),IF(ISNUMBER(SEARCH("-",AK425)),IF(LEN(LEFT(AK425,FIND("-",AK425)-1))=4,DATE(VALUE(LEFT(AK425,4)),VALUE(MID(AK425,6,2)),VALUE(RIGHT(AK425,2))),DATE(VALUE(RIGHT(AK425,4)),VALUE(MID(AK425,4,2)),VALUE(LEFT(AK425,2)))),DATE(VALUE(RIGHT(AK425,4)),MATCH(MID(AK425,4,3),{"Jan","Feb","Mar","Apr","May","Jun","Jul","Aug","Sep","Oct","Nov","Dec"},0),VALUE(LEFT(AK425,2))))))</f>
        <v>45349</v>
      </c>
      <c r="D425" s="4" t="s">
        <v>1714</v>
      </c>
      <c r="E425" s="0" t="str">
        <f aca="false">PROPER(TRIM(AL425))</f>
        <v>Diya Patel</v>
      </c>
      <c r="F425" s="0" t="str">
        <f aca="false">PROPER(TRIM(AM425))</f>
        <v>Consumer</v>
      </c>
      <c r="G425" s="0" t="str">
        <f aca="false">IF(TRIM(AN425)="","Unknown",PROPER(TRIM(AN425)))</f>
        <v>South</v>
      </c>
      <c r="H425" s="0" t="str">
        <f aca="false">PROPER(TRIM(AO425))</f>
        <v>Kerala</v>
      </c>
      <c r="I425" s="0" t="str">
        <f aca="false">PROPER(TRIM(AP425))</f>
        <v>Kochi</v>
      </c>
      <c r="J425" s="0" t="str">
        <f aca="false">PROPER(TRIM(AQ425))</f>
        <v>Technology</v>
      </c>
      <c r="K425" s="0" t="str">
        <f aca="false">PROPER(TRIM(AR425))</f>
        <v>Accessories</v>
      </c>
      <c r="M425" s="0" t="str">
        <f aca="false">IF(TRIM(AS425)="","Unknown",PROPER(TRIM(AS425)))</f>
        <v>First Class</v>
      </c>
      <c r="N425" s="0" t="n">
        <v>9</v>
      </c>
      <c r="O425" s="0" t="n">
        <v>3779.31</v>
      </c>
      <c r="P425" s="5" t="n">
        <f aca="false">IF(AT425="","",IF(ISNUMBER(AT425),AT425,VALUE(SUBSTITUTE(AT425,"%",""))/100))</f>
        <v>0.2</v>
      </c>
      <c r="Q425" s="5" t="n">
        <f aca="false">IF(P425="",IF(AND(N425&lt;&gt;"",O425&lt;&gt;"",R425&lt;&gt;"",S425&lt;&gt;""),0,"REVIEW"),IF(OR(P425&lt;0,P425&gt;0.3),0,P425))</f>
        <v>0.2</v>
      </c>
      <c r="R425" s="0" t="n">
        <v>27211.03</v>
      </c>
      <c r="S425" s="0" t="n">
        <v>17940.43</v>
      </c>
      <c r="T425" s="6" t="n">
        <f aca="false">N425*O425*(1-Q425)</f>
        <v>27211.032</v>
      </c>
      <c r="U425" s="6" t="n">
        <f aca="false">T425-S425</f>
        <v>9270.602</v>
      </c>
      <c r="V425" s="7" t="n">
        <f aca="false">IF(T425=0,0,U425/T425)</f>
        <v>0.340692774901003</v>
      </c>
      <c r="W425" s="4" t="n">
        <f aca="false">C425-B425</f>
        <v>7</v>
      </c>
      <c r="X425" s="0" t="str">
        <f aca="false">TEXT(B425,"mmmm")</f>
        <v>February</v>
      </c>
      <c r="Y425" s="4" t="n">
        <f aca="false">YEAR(B425)</f>
        <v>2024</v>
      </c>
      <c r="Z425" s="0" t="str">
        <f aca="false">PROPER(TRIM(AU425))</f>
        <v>Paid</v>
      </c>
      <c r="AA425" s="0" t="str">
        <f aca="false">PROPER(TRIM(AV425))</f>
        <v>Completed</v>
      </c>
      <c r="AB425" s="0" t="str">
        <f aca="false">IF(TRIM(AN425)="","Yes","No")</f>
        <v>No</v>
      </c>
      <c r="AC425" s="0" t="str">
        <f aca="false">IF(TRIM(AS425)="","Yes","No")</f>
        <v>No</v>
      </c>
      <c r="AD425" s="0" t="str">
        <f aca="false">IF(AT425="","Yes","No")</f>
        <v>No</v>
      </c>
      <c r="AE425" s="0" t="str">
        <f aca="false">IF(W425&lt;0,"Yes","No")</f>
        <v>No</v>
      </c>
      <c r="AF425" s="0" t="str">
        <f aca="false">IF(P425="","No",IF(OR(P425&lt;0,P425&gt;0.3),"Yes","No"))</f>
        <v>No</v>
      </c>
      <c r="AG425" s="4" t="s">
        <v>497</v>
      </c>
      <c r="AH425" s="0" t="str">
        <f aca="false">IF(AND(AA425="Completed",Z425="Paid"),"Yes","No")</f>
        <v>Yes</v>
      </c>
      <c r="AI425" s="0" t="str">
        <f aca="false">IF(OR(AE425="Yes",AF425="Yes",AG425="Yes"),"Invalid",IF(OR(AB425="Yes",AC425="Yes",AD425="Yes"),"Warning","Clean"))</f>
        <v>Invalid</v>
      </c>
      <c r="AJ425" s="4" t="s">
        <v>1715</v>
      </c>
      <c r="AK425" s="4" t="s">
        <v>1716</v>
      </c>
      <c r="AL425" s="4" t="s">
        <v>216</v>
      </c>
      <c r="AM425" s="4" t="s">
        <v>54</v>
      </c>
      <c r="AN425" s="4" t="s">
        <v>87</v>
      </c>
      <c r="AO425" s="4" t="s">
        <v>244</v>
      </c>
      <c r="AP425" s="4" t="s">
        <v>245</v>
      </c>
      <c r="AQ425" s="4" t="s">
        <v>109</v>
      </c>
      <c r="AR425" s="4" t="s">
        <v>110</v>
      </c>
      <c r="AS425" s="4" t="s">
        <v>1717</v>
      </c>
      <c r="AT425" s="0" t="n">
        <v>0.2</v>
      </c>
      <c r="AU425" s="4" t="s">
        <v>61</v>
      </c>
      <c r="AV425" s="4" t="s">
        <v>62</v>
      </c>
    </row>
    <row r="426" customFormat="false" ht="15" hidden="false" customHeight="false" outlineLevel="0" collapsed="false">
      <c r="A426" s="0" t="s">
        <v>1718</v>
      </c>
      <c r="B426" s="3" t="n">
        <f aca="false">IF(AJ426="","",IF(ISNUMBER(SEARCH("/",AJ426)),DATE(VALUE(RIGHT(AJ426,4)),VALUE(LEFT(AJ426,2)),VALUE(MID(AJ426,4,2))),IF(ISNUMBER(SEARCH("-",AJ426)),IF(LEN(LEFT(AJ426,FIND("-",AJ426)-1))=4,DATE(VALUE(LEFT(AJ426,4)),VALUE(MID(AJ426,6,2)),VALUE(RIGHT(AJ426,2))),DATE(VALUE(RIGHT(AJ426,4)),VALUE(MID(AJ426,4,2)),VALUE(LEFT(AJ426,2)))),DATE(VALUE(RIGHT(AJ426,4)),MATCH(MID(AJ426,4,3),{"Jan","Feb","Mar","Apr","May","Jun","Jul","Aug","Sep","Oct","Nov","Dec"},0),VALUE(LEFT(AJ426,2))))))</f>
        <v>45469</v>
      </c>
      <c r="C426" s="3" t="n">
        <f aca="false">IF(AK426="","",IF(ISNUMBER(SEARCH("/",AK426)),DATE(VALUE(RIGHT(AK426,4)),VALUE(LEFT(AK426,2)),VALUE(MID(AK426,4,2))),IF(ISNUMBER(SEARCH("-",AK426)),IF(LEN(LEFT(AK426,FIND("-",AK426)-1))=4,DATE(VALUE(LEFT(AK426,4)),VALUE(MID(AK426,6,2)),VALUE(RIGHT(AK426,2))),DATE(VALUE(RIGHT(AK426,4)),VALUE(MID(AK426,4,2)),VALUE(LEFT(AK426,2)))),DATE(VALUE(RIGHT(AK426,4)),MATCH(MID(AK426,4,3),{"Jan","Feb","Mar","Apr","May","Jun","Jul","Aug","Sep","Oct","Nov","Dec"},0),VALUE(LEFT(AK426,2))))))</f>
        <v>45472</v>
      </c>
      <c r="D426" s="4" t="s">
        <v>1719</v>
      </c>
      <c r="E426" s="0" t="str">
        <f aca="false">PROPER(TRIM(AL426))</f>
        <v>Neha Gupta</v>
      </c>
      <c r="F426" s="0" t="str">
        <f aca="false">PROPER(TRIM(AM426))</f>
        <v>Corporate</v>
      </c>
      <c r="G426" s="0" t="str">
        <f aca="false">IF(TRIM(AN426)="","Unknown",PROPER(TRIM(AN426)))</f>
        <v>North</v>
      </c>
      <c r="H426" s="0" t="str">
        <f aca="false">PROPER(TRIM(AO426))</f>
        <v>Punjab</v>
      </c>
      <c r="I426" s="0" t="str">
        <f aca="false">PROPER(TRIM(AP426))</f>
        <v>Ludhiana</v>
      </c>
      <c r="J426" s="0" t="str">
        <f aca="false">PROPER(TRIM(AQ426))</f>
        <v>Technology</v>
      </c>
      <c r="K426" s="0" t="str">
        <f aca="false">PROPER(TRIM(AR426))</f>
        <v>Phones</v>
      </c>
      <c r="M426" s="0" t="str">
        <f aca="false">IF(TRIM(AS426)="","Unknown",PROPER(TRIM(AS426)))</f>
        <v>Standard Class</v>
      </c>
      <c r="N426" s="0" t="n">
        <v>8</v>
      </c>
      <c r="O426" s="0" t="n">
        <v>804.52</v>
      </c>
      <c r="P426" s="5" t="n">
        <f aca="false">IF(AT426="","",IF(ISNUMBER(AT426),AT426,VALUE(SUBSTITUTE(AT426,"%",""))/100))</f>
        <v>0</v>
      </c>
      <c r="Q426" s="5" t="n">
        <f aca="false">IF(P426="",IF(AND(N426&lt;&gt;"",O426&lt;&gt;"",R426&lt;&gt;"",S426&lt;&gt;""),0,"REVIEW"),IF(OR(P426&lt;0,P426&gt;0.3),0,P426))</f>
        <v>0</v>
      </c>
      <c r="R426" s="0" t="n">
        <v>6436.16</v>
      </c>
      <c r="S426" s="0" t="n">
        <v>4263.83</v>
      </c>
      <c r="T426" s="6" t="n">
        <f aca="false">N426*O426*(1-Q426)</f>
        <v>6436.16</v>
      </c>
      <c r="U426" s="6" t="n">
        <f aca="false">T426-S426</f>
        <v>2172.33</v>
      </c>
      <c r="V426" s="7" t="n">
        <f aca="false">IF(T426=0,0,U426/T426)</f>
        <v>0.337519576890568</v>
      </c>
      <c r="W426" s="4" t="n">
        <f aca="false">C426-B426</f>
        <v>3</v>
      </c>
      <c r="X426" s="0" t="str">
        <f aca="false">TEXT(B426,"mmmm")</f>
        <v>June</v>
      </c>
      <c r="Y426" s="4" t="n">
        <f aca="false">YEAR(B426)</f>
        <v>2024</v>
      </c>
      <c r="Z426" s="0" t="str">
        <f aca="false">PROPER(TRIM(AU426))</f>
        <v>Paid</v>
      </c>
      <c r="AA426" s="0" t="str">
        <f aca="false">PROPER(TRIM(AV426))</f>
        <v>Completed</v>
      </c>
      <c r="AB426" s="0" t="str">
        <f aca="false">IF(TRIM(AN426)="","Yes","No")</f>
        <v>No</v>
      </c>
      <c r="AC426" s="0" t="str">
        <f aca="false">IF(TRIM(AS426)="","Yes","No")</f>
        <v>No</v>
      </c>
      <c r="AD426" s="0" t="str">
        <f aca="false">IF(AT426="","Yes","No")</f>
        <v>No</v>
      </c>
      <c r="AE426" s="0" t="str">
        <f aca="false">IF(W426&lt;0,"Yes","No")</f>
        <v>No</v>
      </c>
      <c r="AF426" s="0" t="str">
        <f aca="false">IF(P426="","No",IF(OR(P426&lt;0,P426&gt;0.3),"Yes","No"))</f>
        <v>No</v>
      </c>
      <c r="AG426" s="4" t="s">
        <v>50</v>
      </c>
      <c r="AH426" s="0" t="str">
        <f aca="false">IF(AND(AA426="Completed",Z426="Paid"),"Yes","No")</f>
        <v>Yes</v>
      </c>
      <c r="AI426" s="0" t="str">
        <f aca="false">IF(OR(AE426="Yes",AF426="Yes",AG426="Yes"),"Invalid",IF(OR(AB426="Yes",AC426="Yes",AD426="Yes"),"Warning","Clean"))</f>
        <v>Clean</v>
      </c>
      <c r="AJ426" s="4" t="s">
        <v>1720</v>
      </c>
      <c r="AK426" s="4" t="s">
        <v>1721</v>
      </c>
      <c r="AL426" s="4" t="s">
        <v>115</v>
      </c>
      <c r="AM426" s="4" t="s">
        <v>128</v>
      </c>
      <c r="AN426" s="4" t="s">
        <v>168</v>
      </c>
      <c r="AO426" s="4" t="s">
        <v>169</v>
      </c>
      <c r="AP426" s="4" t="s">
        <v>170</v>
      </c>
      <c r="AQ426" s="4" t="s">
        <v>109</v>
      </c>
      <c r="AR426" s="4" t="s">
        <v>227</v>
      </c>
      <c r="AS426" s="4" t="s">
        <v>91</v>
      </c>
      <c r="AT426" s="0" t="n">
        <v>0</v>
      </c>
      <c r="AU426" s="4" t="s">
        <v>61</v>
      </c>
      <c r="AV426" s="4" t="s">
        <v>62</v>
      </c>
    </row>
    <row r="427" customFormat="false" ht="15" hidden="false" customHeight="false" outlineLevel="0" collapsed="false">
      <c r="A427" s="0" t="s">
        <v>1722</v>
      </c>
      <c r="B427" s="3" t="n">
        <f aca="false">IF(AJ427="","",IF(ISNUMBER(SEARCH("/",AJ427)),DATE(VALUE(RIGHT(AJ427,4)),VALUE(LEFT(AJ427,2)),VALUE(MID(AJ427,4,2))),IF(ISNUMBER(SEARCH("-",AJ427)),IF(LEN(LEFT(AJ427,FIND("-",AJ427)-1))=4,DATE(VALUE(LEFT(AJ427,4)),VALUE(MID(AJ427,6,2)),VALUE(RIGHT(AJ427,2))),DATE(VALUE(RIGHT(AJ427,4)),VALUE(MID(AJ427,4,2)),VALUE(LEFT(AJ427,2)))),DATE(VALUE(RIGHT(AJ427,4)),MATCH(MID(AJ427,4,3),{"Jan","Feb","Mar","Apr","May","Jun","Jul","Aug","Sep","Oct","Nov","Dec"},0),VALUE(LEFT(AJ427,2))))))</f>
        <v>45561</v>
      </c>
      <c r="C427" s="3" t="n">
        <f aca="false">IF(AK427="","",IF(ISNUMBER(SEARCH("/",AK427)),DATE(VALUE(RIGHT(AK427,4)),VALUE(LEFT(AK427,2)),VALUE(MID(AK427,4,2))),IF(ISNUMBER(SEARCH("-",AK427)),IF(LEN(LEFT(AK427,FIND("-",AK427)-1))=4,DATE(VALUE(LEFT(AK427,4)),VALUE(MID(AK427,6,2)),VALUE(RIGHT(AK427,2))),DATE(VALUE(RIGHT(AK427,4)),VALUE(MID(AK427,4,2)),VALUE(LEFT(AK427,2)))),DATE(VALUE(RIGHT(AK427,4)),MATCH(MID(AK427,4,3),{"Jan","Feb","Mar","Apr","May","Jun","Jul","Aug","Sep","Oct","Nov","Dec"},0),VALUE(LEFT(AK427,2))))))</f>
        <v>45562</v>
      </c>
      <c r="D427" s="4" t="s">
        <v>1723</v>
      </c>
      <c r="E427" s="0" t="str">
        <f aca="false">PROPER(TRIM(AL427))</f>
        <v>Isha Nair</v>
      </c>
      <c r="F427" s="0" t="str">
        <f aca="false">PROPER(TRIM(AM427))</f>
        <v>Home Office</v>
      </c>
      <c r="G427" s="0" t="str">
        <f aca="false">IF(TRIM(AN427)="","Unknown",PROPER(TRIM(AN427)))</f>
        <v>North</v>
      </c>
      <c r="H427" s="0" t="str">
        <f aca="false">PROPER(TRIM(AO427))</f>
        <v>Delhi</v>
      </c>
      <c r="I427" s="0" t="str">
        <f aca="false">PROPER(TRIM(AP427))</f>
        <v>New Delhi</v>
      </c>
      <c r="J427" s="0" t="str">
        <f aca="false">PROPER(TRIM(AQ427))</f>
        <v>Office Supplies</v>
      </c>
      <c r="K427" s="0" t="str">
        <f aca="false">PROPER(TRIM(AR427))</f>
        <v>Labels</v>
      </c>
      <c r="M427" s="0" t="str">
        <f aca="false">IF(TRIM(AS427)="","Unknown",PROPER(TRIM(AS427)))</f>
        <v>First Class</v>
      </c>
      <c r="N427" s="0" t="n">
        <v>2</v>
      </c>
      <c r="O427" s="0" t="n">
        <v>1065.69</v>
      </c>
      <c r="P427" s="5" t="n">
        <f aca="false">IF(AT427="","",IF(ISNUMBER(AT427),AT427,VALUE(SUBSTITUTE(AT427,"%",""))/100))</f>
        <v>0.1</v>
      </c>
      <c r="Q427" s="5" t="n">
        <f aca="false">IF(P427="",IF(AND(N427&lt;&gt;"",O427&lt;&gt;"",R427&lt;&gt;"",S427&lt;&gt;""),0,"REVIEW"),IF(OR(P427&lt;0,P427&gt;0.3),0,P427))</f>
        <v>0.1</v>
      </c>
      <c r="R427" s="0" t="n">
        <v>1918.24</v>
      </c>
      <c r="S427" s="0" t="n">
        <v>1373.52</v>
      </c>
      <c r="T427" s="6" t="n">
        <f aca="false">N427*O427*(1-Q427)</f>
        <v>1918.242</v>
      </c>
      <c r="U427" s="6" t="n">
        <f aca="false">T427-S427</f>
        <v>544.722</v>
      </c>
      <c r="V427" s="7" t="n">
        <f aca="false">IF(T427=0,0,U427/T427)</f>
        <v>0.283969384467653</v>
      </c>
      <c r="W427" s="4" t="n">
        <f aca="false">C427-B427</f>
        <v>1</v>
      </c>
      <c r="X427" s="0" t="str">
        <f aca="false">TEXT(B427,"mmmm")</f>
        <v>September</v>
      </c>
      <c r="Y427" s="4" t="n">
        <f aca="false">YEAR(B427)</f>
        <v>2024</v>
      </c>
      <c r="Z427" s="0" t="str">
        <f aca="false">PROPER(TRIM(AU427))</f>
        <v>Refunded</v>
      </c>
      <c r="AA427" s="0" t="str">
        <f aca="false">PROPER(TRIM(AV427))</f>
        <v>Cancelled</v>
      </c>
      <c r="AB427" s="0" t="str">
        <f aca="false">IF(TRIM(AN427)="","Yes","No")</f>
        <v>No</v>
      </c>
      <c r="AC427" s="0" t="str">
        <f aca="false">IF(TRIM(AS427)="","Yes","No")</f>
        <v>No</v>
      </c>
      <c r="AD427" s="0" t="str">
        <f aca="false">IF(AT427="","Yes","No")</f>
        <v>No</v>
      </c>
      <c r="AE427" s="0" t="str">
        <f aca="false">IF(W427&lt;0,"Yes","No")</f>
        <v>No</v>
      </c>
      <c r="AF427" s="0" t="str">
        <f aca="false">IF(P427="","No",IF(OR(P427&lt;0,P427&gt;0.3),"Yes","No"))</f>
        <v>No</v>
      </c>
      <c r="AG427" s="4" t="s">
        <v>50</v>
      </c>
      <c r="AH427" s="0" t="str">
        <f aca="false">IF(AND(AA427="Completed",Z427="Paid"),"Yes","No")</f>
        <v>No</v>
      </c>
      <c r="AI427" s="0" t="str">
        <f aca="false">IF(OR(AE427="Yes",AF427="Yes",AG427="Yes"),"Invalid",IF(OR(AB427="Yes",AC427="Yes",AD427="Yes"),"Warning","Clean"))</f>
        <v>Clean</v>
      </c>
      <c r="AJ427" s="4" t="s">
        <v>1724</v>
      </c>
      <c r="AK427" s="4" t="s">
        <v>1725</v>
      </c>
      <c r="AL427" s="4" t="s">
        <v>79</v>
      </c>
      <c r="AM427" s="4" t="s">
        <v>134</v>
      </c>
      <c r="AN427" s="4" t="s">
        <v>168</v>
      </c>
      <c r="AO427" s="4" t="s">
        <v>461</v>
      </c>
      <c r="AP427" s="4" t="s">
        <v>462</v>
      </c>
      <c r="AQ427" s="4" t="s">
        <v>58</v>
      </c>
      <c r="AR427" s="4" t="s">
        <v>129</v>
      </c>
      <c r="AS427" s="4" t="s">
        <v>81</v>
      </c>
      <c r="AT427" s="0" t="n">
        <v>0.1</v>
      </c>
      <c r="AU427" s="4" t="s">
        <v>141</v>
      </c>
      <c r="AV427" s="4" t="s">
        <v>101</v>
      </c>
    </row>
    <row r="428" customFormat="false" ht="15" hidden="false" customHeight="false" outlineLevel="0" collapsed="false">
      <c r="A428" s="0" t="s">
        <v>1726</v>
      </c>
      <c r="B428" s="3" t="n">
        <f aca="false">IF(AJ428="","",IF(ISNUMBER(SEARCH("/",AJ428)),DATE(VALUE(RIGHT(AJ428,4)),VALUE(LEFT(AJ428,2)),VALUE(MID(AJ428,4,2))),IF(ISNUMBER(SEARCH("-",AJ428)),IF(LEN(LEFT(AJ428,FIND("-",AJ428)-1))=4,DATE(VALUE(LEFT(AJ428,4)),VALUE(MID(AJ428,6,2)),VALUE(RIGHT(AJ428,2))),DATE(VALUE(RIGHT(AJ428,4)),VALUE(MID(AJ428,4,2)),VALUE(LEFT(AJ428,2)))),DATE(VALUE(RIGHT(AJ428,4)),MATCH(MID(AJ428,4,3),{"Jan","Feb","Mar","Apr","May","Jun","Jul","Aug","Sep","Oct","Nov","Dec"},0),VALUE(LEFT(AJ428,2))))))</f>
        <v>45473</v>
      </c>
      <c r="C428" s="3" t="n">
        <f aca="false">IF(AK428="","",IF(ISNUMBER(SEARCH("/",AK428)),DATE(VALUE(RIGHT(AK428,4)),VALUE(LEFT(AK428,2)),VALUE(MID(AK428,4,2))),IF(ISNUMBER(SEARCH("-",AK428)),IF(LEN(LEFT(AK428,FIND("-",AK428)-1))=4,DATE(VALUE(LEFT(AK428,4)),VALUE(MID(AK428,6,2)),VALUE(RIGHT(AK428,2))),DATE(VALUE(RIGHT(AK428,4)),VALUE(MID(AK428,4,2)),VALUE(LEFT(AK428,2)))),DATE(VALUE(RIGHT(AK428,4)),MATCH(MID(AK428,4,3),{"Jan","Feb","Mar","Apr","May","Jun","Jul","Aug","Sep","Oct","Nov","Dec"},0),VALUE(LEFT(AK428,2))))))</f>
        <v>45474</v>
      </c>
      <c r="D428" s="4" t="s">
        <v>1727</v>
      </c>
      <c r="E428" s="0" t="str">
        <f aca="false">PROPER(TRIM(AL428))</f>
        <v>Aditi Sen</v>
      </c>
      <c r="F428" s="0" t="str">
        <f aca="false">PROPER(TRIM(AM428))</f>
        <v>Consumer</v>
      </c>
      <c r="G428" s="0" t="str">
        <f aca="false">IF(TRIM(AN428)="","Unknown",PROPER(TRIM(AN428)))</f>
        <v>North</v>
      </c>
      <c r="H428" s="0" t="str">
        <f aca="false">PROPER(TRIM(AO428))</f>
        <v>Haryana</v>
      </c>
      <c r="I428" s="0" t="str">
        <f aca="false">PROPER(TRIM(AP428))</f>
        <v>Gurugram</v>
      </c>
      <c r="J428" s="0" t="str">
        <f aca="false">PROPER(TRIM(AQ428))</f>
        <v>Technology</v>
      </c>
      <c r="K428" s="0" t="str">
        <f aca="false">PROPER(TRIM(AR428))</f>
        <v>Copiers</v>
      </c>
      <c r="M428" s="0" t="str">
        <f aca="false">IF(TRIM(AS428)="","Unknown",PROPER(TRIM(AS428)))</f>
        <v>Same Day</v>
      </c>
      <c r="N428" s="0" t="n">
        <v>8</v>
      </c>
      <c r="O428" s="0" t="n">
        <v>3756.66</v>
      </c>
      <c r="P428" s="5" t="n">
        <f aca="false">IF(AT428="","",IF(ISNUMBER(AT428),AT428,VALUE(SUBSTITUTE(AT428,"%",""))/100))</f>
        <v>0.1</v>
      </c>
      <c r="Q428" s="5" t="n">
        <f aca="false">IF(P428="",IF(AND(N428&lt;&gt;"",O428&lt;&gt;"",R428&lt;&gt;"",S428&lt;&gt;""),0,"REVIEW"),IF(OR(P428&lt;0,P428&gt;0.3),0,P428))</f>
        <v>0.1</v>
      </c>
      <c r="R428" s="0" t="n">
        <v>27047.95</v>
      </c>
      <c r="S428" s="0" t="n">
        <v>18431.33</v>
      </c>
      <c r="T428" s="6" t="n">
        <f aca="false">N428*O428*(1-Q428)</f>
        <v>27047.952</v>
      </c>
      <c r="U428" s="6" t="n">
        <f aca="false">T428-S428</f>
        <v>8616.622</v>
      </c>
      <c r="V428" s="7" t="n">
        <f aca="false">IF(T428=0,0,U428/T428)</f>
        <v>0.318568370721746</v>
      </c>
      <c r="W428" s="4" t="n">
        <f aca="false">C428-B428</f>
        <v>1</v>
      </c>
      <c r="X428" s="0" t="str">
        <f aca="false">TEXT(B428,"mmmm")</f>
        <v>June</v>
      </c>
      <c r="Y428" s="4" t="n">
        <f aca="false">YEAR(B428)</f>
        <v>2024</v>
      </c>
      <c r="Z428" s="0" t="str">
        <f aca="false">PROPER(TRIM(AU428))</f>
        <v>Paid</v>
      </c>
      <c r="AA428" s="0" t="str">
        <f aca="false">PROPER(TRIM(AV428))</f>
        <v>Completed</v>
      </c>
      <c r="AB428" s="0" t="str">
        <f aca="false">IF(TRIM(AN428)="","Yes","No")</f>
        <v>No</v>
      </c>
      <c r="AC428" s="0" t="str">
        <f aca="false">IF(TRIM(AS428)="","Yes","No")</f>
        <v>No</v>
      </c>
      <c r="AD428" s="0" t="str">
        <f aca="false">IF(AT428="","Yes","No")</f>
        <v>No</v>
      </c>
      <c r="AE428" s="0" t="str">
        <f aca="false">IF(W428&lt;0,"Yes","No")</f>
        <v>No</v>
      </c>
      <c r="AF428" s="0" t="str">
        <f aca="false">IF(P428="","No",IF(OR(P428&lt;0,P428&gt;0.3),"Yes","No"))</f>
        <v>No</v>
      </c>
      <c r="AG428" s="4" t="s">
        <v>50</v>
      </c>
      <c r="AH428" s="0" t="str">
        <f aca="false">IF(AND(AA428="Completed",Z428="Paid"),"Yes","No")</f>
        <v>Yes</v>
      </c>
      <c r="AI428" s="0" t="str">
        <f aca="false">IF(OR(AE428="Yes",AF428="Yes",AG428="Yes"),"Invalid",IF(OR(AB428="Yes",AC428="Yes",AD428="Yes"),"Warning","Clean"))</f>
        <v>Clean</v>
      </c>
      <c r="AJ428" s="4" t="s">
        <v>1728</v>
      </c>
      <c r="AK428" s="4" t="s">
        <v>1729</v>
      </c>
      <c r="AL428" s="4" t="s">
        <v>127</v>
      </c>
      <c r="AM428" s="4" t="s">
        <v>54</v>
      </c>
      <c r="AN428" s="4" t="s">
        <v>168</v>
      </c>
      <c r="AO428" s="4" t="s">
        <v>310</v>
      </c>
      <c r="AP428" s="4" t="s">
        <v>311</v>
      </c>
      <c r="AQ428" s="4" t="s">
        <v>109</v>
      </c>
      <c r="AR428" s="4" t="s">
        <v>116</v>
      </c>
      <c r="AS428" s="4" t="s">
        <v>74</v>
      </c>
      <c r="AT428" s="0" t="n">
        <v>0.1</v>
      </c>
      <c r="AU428" s="4" t="s">
        <v>61</v>
      </c>
      <c r="AV428" s="4" t="s">
        <v>62</v>
      </c>
    </row>
    <row r="429" customFormat="false" ht="15" hidden="false" customHeight="false" outlineLevel="0" collapsed="false">
      <c r="A429" s="0" t="s">
        <v>1730</v>
      </c>
      <c r="B429" s="3" t="n">
        <f aca="false">IF(AJ429="","",IF(ISNUMBER(SEARCH("/",AJ429)),DATE(VALUE(RIGHT(AJ429,4)),VALUE(LEFT(AJ429,2)),VALUE(MID(AJ429,4,2))),IF(ISNUMBER(SEARCH("-",AJ429)),IF(LEN(LEFT(AJ429,FIND("-",AJ429)-1))=4,DATE(VALUE(LEFT(AJ429,4)),VALUE(MID(AJ429,6,2)),VALUE(RIGHT(AJ429,2))),DATE(VALUE(RIGHT(AJ429,4)),VALUE(MID(AJ429,4,2)),VALUE(LEFT(AJ429,2)))),DATE(VALUE(RIGHT(AJ429,4)),MATCH(MID(AJ429,4,3),{"Jan","Feb","Mar","Apr","May","Jun","Jul","Aug","Sep","Oct","Nov","Dec"},0),VALUE(LEFT(AJ429,2))))))</f>
        <v>45769</v>
      </c>
      <c r="C429" s="3" t="n">
        <f aca="false">IF(AK429="","",IF(ISNUMBER(SEARCH("/",AK429)),DATE(VALUE(RIGHT(AK429,4)),VALUE(LEFT(AK429,2)),VALUE(MID(AK429,4,2))),IF(ISNUMBER(SEARCH("-",AK429)),IF(LEN(LEFT(AK429,FIND("-",AK429)-1))=4,DATE(VALUE(LEFT(AK429,4)),VALUE(MID(AK429,6,2)),VALUE(RIGHT(AK429,2))),DATE(VALUE(RIGHT(AK429,4)),VALUE(MID(AK429,4,2)),VALUE(LEFT(AK429,2)))),DATE(VALUE(RIGHT(AK429,4)),MATCH(MID(AK429,4,3),{"Jan","Feb","Mar","Apr","May","Jun","Jul","Aug","Sep","Oct","Nov","Dec"},0),VALUE(LEFT(AK429,2))))))</f>
        <v>45771</v>
      </c>
      <c r="D429" s="4" t="s">
        <v>1731</v>
      </c>
      <c r="E429" s="0" t="str">
        <f aca="false">PROPER(TRIM(AL429))</f>
        <v>Isha Nair</v>
      </c>
      <c r="F429" s="0" t="str">
        <f aca="false">PROPER(TRIM(AM429))</f>
        <v>Corporate</v>
      </c>
      <c r="G429" s="0" t="str">
        <f aca="false">IF(TRIM(AN429)="","Unknown",PROPER(TRIM(AN429)))</f>
        <v>Unknown</v>
      </c>
      <c r="H429" s="0" t="str">
        <f aca="false">PROPER(TRIM(AO429))</f>
        <v>Jharkhand</v>
      </c>
      <c r="I429" s="0" t="str">
        <f aca="false">PROPER(TRIM(AP429))</f>
        <v>Ranchi</v>
      </c>
      <c r="J429" s="0" t="str">
        <f aca="false">PROPER(TRIM(AQ429))</f>
        <v>Technology</v>
      </c>
      <c r="K429" s="0" t="str">
        <f aca="false">PROPER(TRIM(AR429))</f>
        <v>Accessories</v>
      </c>
      <c r="M429" s="0" t="str">
        <f aca="false">IF(TRIM(AS429)="","Unknown",PROPER(TRIM(AS429)))</f>
        <v>Standard Class</v>
      </c>
      <c r="N429" s="0" t="n">
        <v>9</v>
      </c>
      <c r="O429" s="0" t="n">
        <v>2939.44</v>
      </c>
      <c r="P429" s="5" t="n">
        <f aca="false">IF(AT429="","",IF(ISNUMBER(AT429),AT429,VALUE(SUBSTITUTE(AT429,"%",""))/100))</f>
        <v>0</v>
      </c>
      <c r="Q429" s="5" t="n">
        <f aca="false">IF(P429="",IF(AND(N429&lt;&gt;"",O429&lt;&gt;"",R429&lt;&gt;"",S429&lt;&gt;""),0,"REVIEW"),IF(OR(P429&lt;0,P429&gt;0.3),0,P429))</f>
        <v>0</v>
      </c>
      <c r="R429" s="0" t="n">
        <v>26454.96</v>
      </c>
      <c r="S429" s="0" t="n">
        <v>17630.25</v>
      </c>
      <c r="T429" s="6" t="n">
        <f aca="false">N429*O429*(1-Q429)</f>
        <v>26454.96</v>
      </c>
      <c r="U429" s="6" t="n">
        <f aca="false">T429-S429</f>
        <v>8824.71</v>
      </c>
      <c r="V429" s="7" t="n">
        <f aca="false">IF(T429=0,0,U429/T429)</f>
        <v>0.333574875940088</v>
      </c>
      <c r="W429" s="4" t="n">
        <f aca="false">C429-B429</f>
        <v>2</v>
      </c>
      <c r="X429" s="0" t="str">
        <f aca="false">TEXT(B429,"mmmm")</f>
        <v>April</v>
      </c>
      <c r="Y429" s="4" t="n">
        <f aca="false">YEAR(B429)</f>
        <v>2025</v>
      </c>
      <c r="Z429" s="0" t="str">
        <f aca="false">PROPER(TRIM(AU429))</f>
        <v>Paid</v>
      </c>
      <c r="AA429" s="0" t="str">
        <f aca="false">PROPER(TRIM(AV429))</f>
        <v>Completed</v>
      </c>
      <c r="AB429" s="0" t="str">
        <f aca="false">IF(TRIM(AN429)="","Yes","No")</f>
        <v>Yes</v>
      </c>
      <c r="AC429" s="0" t="str">
        <f aca="false">IF(TRIM(AS429)="","Yes","No")</f>
        <v>No</v>
      </c>
      <c r="AD429" s="0" t="str">
        <f aca="false">IF(AT429="","Yes","No")</f>
        <v>No</v>
      </c>
      <c r="AE429" s="0" t="str">
        <f aca="false">IF(W429&lt;0,"Yes","No")</f>
        <v>No</v>
      </c>
      <c r="AF429" s="0" t="str">
        <f aca="false">IF(P429="","No",IF(OR(P429&lt;0,P429&gt;0.3),"Yes","No"))</f>
        <v>No</v>
      </c>
      <c r="AG429" s="4" t="s">
        <v>50</v>
      </c>
      <c r="AH429" s="0" t="str">
        <f aca="false">IF(AND(AA429="Completed",Z429="Paid"),"Yes","No")</f>
        <v>Yes</v>
      </c>
      <c r="AI429" s="0" t="str">
        <f aca="false">IF(OR(AE429="Yes",AF429="Yes",AG429="Yes"),"Invalid",IF(OR(AB429="Yes",AC429="Yes",AD429="Yes"),"Warning","Clean"))</f>
        <v>Warning</v>
      </c>
      <c r="AJ429" s="4" t="s">
        <v>1732</v>
      </c>
      <c r="AK429" s="4" t="s">
        <v>1733</v>
      </c>
      <c r="AL429" s="4" t="s">
        <v>79</v>
      </c>
      <c r="AM429" s="4" t="s">
        <v>128</v>
      </c>
      <c r="AO429" s="4" t="s">
        <v>300</v>
      </c>
      <c r="AP429" s="4" t="s">
        <v>301</v>
      </c>
      <c r="AQ429" s="4" t="s">
        <v>109</v>
      </c>
      <c r="AR429" s="4" t="s">
        <v>110</v>
      </c>
      <c r="AS429" s="4" t="s">
        <v>279</v>
      </c>
      <c r="AT429" s="0" t="n">
        <v>0</v>
      </c>
      <c r="AU429" s="4" t="s">
        <v>61</v>
      </c>
      <c r="AV429" s="4" t="s">
        <v>62</v>
      </c>
    </row>
    <row r="430" customFormat="false" ht="15" hidden="false" customHeight="false" outlineLevel="0" collapsed="false">
      <c r="A430" s="0" t="s">
        <v>1734</v>
      </c>
      <c r="B430" s="3" t="n">
        <f aca="false">IF(AJ430="","",IF(ISNUMBER(SEARCH("/",AJ430)),DATE(VALUE(RIGHT(AJ430,4)),VALUE(LEFT(AJ430,2)),VALUE(MID(AJ430,4,2))),IF(ISNUMBER(SEARCH("-",AJ430)),IF(LEN(LEFT(AJ430,FIND("-",AJ430)-1))=4,DATE(VALUE(LEFT(AJ430,4)),VALUE(MID(AJ430,6,2)),VALUE(RIGHT(AJ430,2))),DATE(VALUE(RIGHT(AJ430,4)),VALUE(MID(AJ430,4,2)),VALUE(LEFT(AJ430,2)))),DATE(VALUE(RIGHT(AJ430,4)),MATCH(MID(AJ430,4,3),{"Jan","Feb","Mar","Apr","May","Jun","Jul","Aug","Sep","Oct","Nov","Dec"},0),VALUE(LEFT(AJ430,2))))))</f>
        <v>45731</v>
      </c>
      <c r="C430" s="3" t="n">
        <f aca="false">IF(AK430="","",IF(ISNUMBER(SEARCH("/",AK430)),DATE(VALUE(RIGHT(AK430,4)),VALUE(LEFT(AK430,2)),VALUE(MID(AK430,4,2))),IF(ISNUMBER(SEARCH("-",AK430)),IF(LEN(LEFT(AK430,FIND("-",AK430)-1))=4,DATE(VALUE(LEFT(AK430,4)),VALUE(MID(AK430,6,2)),VALUE(RIGHT(AK430,2))),DATE(VALUE(RIGHT(AK430,4)),VALUE(MID(AK430,4,2)),VALUE(LEFT(AK430,2)))),DATE(VALUE(RIGHT(AK430,4)),MATCH(MID(AK430,4,3),{"Jan","Feb","Mar","Apr","May","Jun","Jul","Aug","Sep","Oct","Nov","Dec"},0),VALUE(LEFT(AK430,2))))))</f>
        <v>45738</v>
      </c>
      <c r="D430" s="4" t="s">
        <v>1735</v>
      </c>
      <c r="E430" s="0" t="str">
        <f aca="false">PROPER(TRIM(AL430))</f>
        <v>Karan Malhotra</v>
      </c>
      <c r="F430" s="0" t="str">
        <f aca="false">PROPER(TRIM(AM430))</f>
        <v>Small Business</v>
      </c>
      <c r="G430" s="0" t="str">
        <f aca="false">IF(TRIM(AN430)="","Unknown",PROPER(TRIM(AN430)))</f>
        <v>East</v>
      </c>
      <c r="H430" s="0" t="str">
        <f aca="false">PROPER(TRIM(AO430))</f>
        <v>West Bengal</v>
      </c>
      <c r="I430" s="0" t="str">
        <f aca="false">PROPER(TRIM(AP430))</f>
        <v>Kolkata</v>
      </c>
      <c r="J430" s="0" t="str">
        <f aca="false">PROPER(TRIM(AQ430))</f>
        <v>Technology</v>
      </c>
      <c r="K430" s="0" t="str">
        <f aca="false">PROPER(TRIM(AR430))</f>
        <v>Phones</v>
      </c>
      <c r="M430" s="0" t="str">
        <f aca="false">IF(TRIM(AS430)="","Unknown",PROPER(TRIM(AS430)))</f>
        <v>Same Day</v>
      </c>
      <c r="N430" s="0" t="n">
        <v>2</v>
      </c>
      <c r="O430" s="0" t="n">
        <v>1235.93</v>
      </c>
      <c r="P430" s="5" t="n">
        <f aca="false">IF(AT430="","",IF(ISNUMBER(AT430),AT430,VALUE(SUBSTITUTE(AT430,"%",""))/100))</f>
        <v>0.25</v>
      </c>
      <c r="Q430" s="5" t="n">
        <f aca="false">IF(P430="",IF(AND(N430&lt;&gt;"",O430&lt;&gt;"",R430&lt;&gt;"",S430&lt;&gt;""),0,"REVIEW"),IF(OR(P430&lt;0,P430&gt;0.3),0,P430))</f>
        <v>0.25</v>
      </c>
      <c r="R430" s="0" t="n">
        <v>1853.89</v>
      </c>
      <c r="S430" s="0" t="n">
        <v>1101.23</v>
      </c>
      <c r="T430" s="6" t="n">
        <f aca="false">N430*O430*(1-Q430)</f>
        <v>1853.895</v>
      </c>
      <c r="U430" s="6" t="n">
        <f aca="false">T430-S430</f>
        <v>752.665</v>
      </c>
      <c r="V430" s="7" t="n">
        <f aca="false">IF(T430=0,0,U430/T430)</f>
        <v>0.405991169942203</v>
      </c>
      <c r="W430" s="4" t="n">
        <f aca="false">C430-B430</f>
        <v>7</v>
      </c>
      <c r="X430" s="0" t="str">
        <f aca="false">TEXT(B430,"mmmm")</f>
        <v>March</v>
      </c>
      <c r="Y430" s="4" t="n">
        <f aca="false">YEAR(B430)</f>
        <v>2025</v>
      </c>
      <c r="Z430" s="0" t="str">
        <f aca="false">PROPER(TRIM(AU430))</f>
        <v>Pending</v>
      </c>
      <c r="AA430" s="0" t="str">
        <f aca="false">PROPER(TRIM(AV430))</f>
        <v>Cancelled</v>
      </c>
      <c r="AB430" s="0" t="str">
        <f aca="false">IF(TRIM(AN430)="","Yes","No")</f>
        <v>No</v>
      </c>
      <c r="AC430" s="0" t="str">
        <f aca="false">IF(TRIM(AS430)="","Yes","No")</f>
        <v>No</v>
      </c>
      <c r="AD430" s="0" t="str">
        <f aca="false">IF(AT430="","Yes","No")</f>
        <v>No</v>
      </c>
      <c r="AE430" s="0" t="str">
        <f aca="false">IF(W430&lt;0,"Yes","No")</f>
        <v>No</v>
      </c>
      <c r="AF430" s="0" t="str">
        <f aca="false">IF(P430="","No",IF(OR(P430&lt;0,P430&gt;0.3),"Yes","No"))</f>
        <v>No</v>
      </c>
      <c r="AG430" s="4" t="s">
        <v>50</v>
      </c>
      <c r="AH430" s="0" t="str">
        <f aca="false">IF(AND(AA430="Completed",Z430="Paid"),"Yes","No")</f>
        <v>No</v>
      </c>
      <c r="AI430" s="0" t="str">
        <f aca="false">IF(OR(AE430="Yes",AF430="Yes",AG430="Yes"),"Invalid",IF(OR(AB430="Yes",AC430="Yes",AD430="Yes"),"Warning","Clean"))</f>
        <v>Clean</v>
      </c>
      <c r="AJ430" s="4" t="s">
        <v>1736</v>
      </c>
      <c r="AK430" s="4" t="s">
        <v>1737</v>
      </c>
      <c r="AL430" s="4" t="s">
        <v>53</v>
      </c>
      <c r="AM430" s="4" t="s">
        <v>68</v>
      </c>
      <c r="AN430" s="4" t="s">
        <v>69</v>
      </c>
      <c r="AO430" s="4" t="s">
        <v>139</v>
      </c>
      <c r="AP430" s="4" t="s">
        <v>140</v>
      </c>
      <c r="AQ430" s="4" t="s">
        <v>109</v>
      </c>
      <c r="AR430" s="4" t="s">
        <v>227</v>
      </c>
      <c r="AS430" s="4" t="s">
        <v>74</v>
      </c>
      <c r="AT430" s="0" t="n">
        <v>0.25</v>
      </c>
      <c r="AU430" s="4" t="s">
        <v>153</v>
      </c>
      <c r="AV430" s="4" t="s">
        <v>101</v>
      </c>
    </row>
    <row r="431" customFormat="false" ht="15" hidden="false" customHeight="false" outlineLevel="0" collapsed="false">
      <c r="A431" s="0" t="s">
        <v>1738</v>
      </c>
      <c r="B431" s="3" t="n">
        <f aca="false">IF(AJ431="","",IF(ISNUMBER(SEARCH("/",AJ431)),DATE(VALUE(RIGHT(AJ431,4)),VALUE(LEFT(AJ431,2)),VALUE(MID(AJ431,4,2))),IF(ISNUMBER(SEARCH("-",AJ431)),IF(LEN(LEFT(AJ431,FIND("-",AJ431)-1))=4,DATE(VALUE(LEFT(AJ431,4)),VALUE(MID(AJ431,6,2)),VALUE(RIGHT(AJ431,2))),DATE(VALUE(RIGHT(AJ431,4)),VALUE(MID(AJ431,4,2)),VALUE(LEFT(AJ431,2)))),DATE(VALUE(RIGHT(AJ431,4)),MATCH(MID(AJ431,4,3),{"Jan","Feb","Mar","Apr","May","Jun","Jul","Aug","Sep","Oct","Nov","Dec"},0),VALUE(LEFT(AJ431,2))))))</f>
        <v>45717</v>
      </c>
      <c r="C431" s="3" t="n">
        <f aca="false">IF(AK431="","",IF(ISNUMBER(SEARCH("/",AK431)),DATE(VALUE(RIGHT(AK431,4)),VALUE(LEFT(AK431,2)),VALUE(MID(AK431,4,2))),IF(ISNUMBER(SEARCH("-",AK431)),IF(LEN(LEFT(AK431,FIND("-",AK431)-1))=4,DATE(VALUE(LEFT(AK431,4)),VALUE(MID(AK431,6,2)),VALUE(RIGHT(AK431,2))),DATE(VALUE(RIGHT(AK431,4)),VALUE(MID(AK431,4,2)),VALUE(LEFT(AK431,2)))),DATE(VALUE(RIGHT(AK431,4)),MATCH(MID(AK431,4,3),{"Jan","Feb","Mar","Apr","May","Jun","Jul","Aug","Sep","Oct","Nov","Dec"},0),VALUE(LEFT(AK431,2))))))</f>
        <v>45724</v>
      </c>
      <c r="D431" s="4" t="s">
        <v>1739</v>
      </c>
      <c r="E431" s="0" t="str">
        <f aca="false">PROPER(TRIM(AL431))</f>
        <v>Neha Gupta</v>
      </c>
      <c r="F431" s="0" t="str">
        <f aca="false">PROPER(TRIM(AM431))</f>
        <v>Home Office</v>
      </c>
      <c r="G431" s="0" t="str">
        <f aca="false">IF(TRIM(AN431)="","Unknown",PROPER(TRIM(AN431)))</f>
        <v>North</v>
      </c>
      <c r="H431" s="0" t="str">
        <f aca="false">PROPER(TRIM(AO431))</f>
        <v>Rajasthan</v>
      </c>
      <c r="I431" s="0" t="str">
        <f aca="false">PROPER(TRIM(AP431))</f>
        <v>Jaipur</v>
      </c>
      <c r="J431" s="0" t="str">
        <f aca="false">PROPER(TRIM(AQ431))</f>
        <v>Technology</v>
      </c>
      <c r="K431" s="0" t="str">
        <f aca="false">PROPER(TRIM(AR431))</f>
        <v>Copiers</v>
      </c>
      <c r="M431" s="0" t="str">
        <f aca="false">IF(TRIM(AS431)="","Unknown",PROPER(TRIM(AS431)))</f>
        <v>Same Day</v>
      </c>
      <c r="N431" s="0" t="n">
        <v>8</v>
      </c>
      <c r="O431" s="0" t="n">
        <v>2943.1</v>
      </c>
      <c r="P431" s="5" t="n">
        <f aca="false">IF(AT431="","",IF(ISNUMBER(AT431),AT431,VALUE(SUBSTITUTE(AT431,"%",""))/100))</f>
        <v>0.25</v>
      </c>
      <c r="Q431" s="5" t="n">
        <f aca="false">IF(P431="",IF(AND(N431&lt;&gt;"",O431&lt;&gt;"",R431&lt;&gt;"",S431&lt;&gt;""),0,"REVIEW"),IF(OR(P431&lt;0,P431&gt;0.3),0,P431))</f>
        <v>0.25</v>
      </c>
      <c r="R431" s="0" t="n">
        <v>17658.6</v>
      </c>
      <c r="S431" s="0" t="n">
        <v>13842.48</v>
      </c>
      <c r="T431" s="6" t="n">
        <f aca="false">N431*O431*(1-Q431)</f>
        <v>17658.6</v>
      </c>
      <c r="U431" s="6" t="n">
        <f aca="false">T431-S431</f>
        <v>3816.12</v>
      </c>
      <c r="V431" s="7" t="n">
        <f aca="false">IF(T431=0,0,U431/T431)</f>
        <v>0.216105467024566</v>
      </c>
      <c r="W431" s="4" t="n">
        <f aca="false">C431-B431</f>
        <v>7</v>
      </c>
      <c r="X431" s="0" t="str">
        <f aca="false">TEXT(B431,"mmmm")</f>
        <v>March</v>
      </c>
      <c r="Y431" s="4" t="n">
        <f aca="false">YEAR(B431)</f>
        <v>2025</v>
      </c>
      <c r="Z431" s="0" t="str">
        <f aca="false">PROPER(TRIM(AU431))</f>
        <v>Paid</v>
      </c>
      <c r="AA431" s="0" t="str">
        <f aca="false">PROPER(TRIM(AV431))</f>
        <v>Completed</v>
      </c>
      <c r="AB431" s="0" t="str">
        <f aca="false">IF(TRIM(AN431)="","Yes","No")</f>
        <v>No</v>
      </c>
      <c r="AC431" s="0" t="str">
        <f aca="false">IF(TRIM(AS431)="","Yes","No")</f>
        <v>No</v>
      </c>
      <c r="AD431" s="0" t="str">
        <f aca="false">IF(AT431="","Yes","No")</f>
        <v>No</v>
      </c>
      <c r="AE431" s="0" t="str">
        <f aca="false">IF(W431&lt;0,"Yes","No")</f>
        <v>No</v>
      </c>
      <c r="AF431" s="0" t="str">
        <f aca="false">IF(P431="","No",IF(OR(P431&lt;0,P431&gt;0.3),"Yes","No"))</f>
        <v>No</v>
      </c>
      <c r="AG431" s="4" t="s">
        <v>50</v>
      </c>
      <c r="AH431" s="0" t="str">
        <f aca="false">IF(AND(AA431="Completed",Z431="Paid"),"Yes","No")</f>
        <v>Yes</v>
      </c>
      <c r="AI431" s="0" t="str">
        <f aca="false">IF(OR(AE431="Yes",AF431="Yes",AG431="Yes"),"Invalid",IF(OR(AB431="Yes",AC431="Yes",AD431="Yes"),"Warning","Clean"))</f>
        <v>Clean</v>
      </c>
      <c r="AJ431" s="4" t="s">
        <v>1740</v>
      </c>
      <c r="AK431" s="4" t="s">
        <v>1741</v>
      </c>
      <c r="AL431" s="4" t="s">
        <v>115</v>
      </c>
      <c r="AM431" s="4" t="s">
        <v>134</v>
      </c>
      <c r="AN431" s="4" t="s">
        <v>168</v>
      </c>
      <c r="AO431" s="4" t="s">
        <v>56</v>
      </c>
      <c r="AP431" s="4" t="s">
        <v>57</v>
      </c>
      <c r="AQ431" s="4" t="s">
        <v>109</v>
      </c>
      <c r="AR431" s="4" t="s">
        <v>116</v>
      </c>
      <c r="AS431" s="4" t="s">
        <v>74</v>
      </c>
      <c r="AT431" s="0" t="n">
        <v>0.25</v>
      </c>
      <c r="AU431" s="4" t="s">
        <v>61</v>
      </c>
      <c r="AV431" s="4" t="s">
        <v>62</v>
      </c>
    </row>
    <row r="432" customFormat="false" ht="15" hidden="false" customHeight="false" outlineLevel="0" collapsed="false">
      <c r="A432" s="0" t="s">
        <v>1742</v>
      </c>
      <c r="B432" s="3" t="n">
        <f aca="false">IF(AJ432="","",IF(ISNUMBER(SEARCH("/",AJ432)),DATE(VALUE(RIGHT(AJ432,4)),VALUE(LEFT(AJ432,2)),VALUE(MID(AJ432,4,2))),IF(ISNUMBER(SEARCH("-",AJ432)),IF(LEN(LEFT(AJ432,FIND("-",AJ432)-1))=4,DATE(VALUE(LEFT(AJ432,4)),VALUE(MID(AJ432,6,2)),VALUE(RIGHT(AJ432,2))),DATE(VALUE(RIGHT(AJ432,4)),VALUE(MID(AJ432,4,2)),VALUE(LEFT(AJ432,2)))),DATE(VALUE(RIGHT(AJ432,4)),MATCH(MID(AJ432,4,3),{"Jan","Feb","Mar","Apr","May","Jun","Jul","Aug","Sep","Oct","Nov","Dec"},0),VALUE(LEFT(AJ432,2))))))</f>
        <v>45534</v>
      </c>
      <c r="C432" s="3" t="n">
        <f aca="false">IF(AK432="","",IF(ISNUMBER(SEARCH("/",AK432)),DATE(VALUE(RIGHT(AK432,4)),VALUE(LEFT(AK432,2)),VALUE(MID(AK432,4,2))),IF(ISNUMBER(SEARCH("-",AK432)),IF(LEN(LEFT(AK432,FIND("-",AK432)-1))=4,DATE(VALUE(LEFT(AK432,4)),VALUE(MID(AK432,6,2)),VALUE(RIGHT(AK432,2))),DATE(VALUE(RIGHT(AK432,4)),VALUE(MID(AK432,4,2)),VALUE(LEFT(AK432,2)))),DATE(VALUE(RIGHT(AK432,4)),MATCH(MID(AK432,4,3),{"Jan","Feb","Mar","Apr","May","Jun","Jul","Aug","Sep","Oct","Nov","Dec"},0),VALUE(LEFT(AK432,2))))))</f>
        <v>45537</v>
      </c>
      <c r="D432" s="4" t="s">
        <v>1743</v>
      </c>
      <c r="E432" s="0" t="str">
        <f aca="false">PROPER(TRIM(AL432))</f>
        <v>Neha Gupta</v>
      </c>
      <c r="F432" s="0" t="str">
        <f aca="false">PROPER(TRIM(AM432))</f>
        <v>Small Business</v>
      </c>
      <c r="G432" s="0" t="str">
        <f aca="false">IF(TRIM(AN432)="","Unknown",PROPER(TRIM(AN432)))</f>
        <v>North</v>
      </c>
      <c r="H432" s="0" t="str">
        <f aca="false">PROPER(TRIM(AO432))</f>
        <v>Haryana</v>
      </c>
      <c r="I432" s="0" t="str">
        <f aca="false">PROPER(TRIM(AP432))</f>
        <v>Gurugram</v>
      </c>
      <c r="J432" s="0" t="str">
        <f aca="false">PROPER(TRIM(AQ432))</f>
        <v>Office Supplies</v>
      </c>
      <c r="K432" s="0" t="str">
        <f aca="false">PROPER(TRIM(AR432))</f>
        <v>Paper</v>
      </c>
      <c r="M432" s="0" t="str">
        <f aca="false">IF(TRIM(AS432)="","Unknown",PROPER(TRIM(AS432)))</f>
        <v>Second Class</v>
      </c>
      <c r="N432" s="0" t="n">
        <v>1</v>
      </c>
      <c r="O432" s="0" t="n">
        <v>4320.84</v>
      </c>
      <c r="P432" s="5" t="n">
        <f aca="false">IF(AT432="","",IF(ISNUMBER(AT432),AT432,VALUE(SUBSTITUTE(AT432,"%",""))/100))</f>
        <v>0.15</v>
      </c>
      <c r="Q432" s="5" t="n">
        <f aca="false">IF(P432="",IF(AND(N432&lt;&gt;"",O432&lt;&gt;"",R432&lt;&gt;"",S432&lt;&gt;""),0,"REVIEW"),IF(OR(P432&lt;0,P432&gt;0.3),0,P432))</f>
        <v>0.15</v>
      </c>
      <c r="R432" s="0" t="n">
        <v>3672.71</v>
      </c>
      <c r="S432" s="0" t="n">
        <v>2714.23</v>
      </c>
      <c r="T432" s="6" t="n">
        <f aca="false">N432*O432*(1-Q432)</f>
        <v>3672.714</v>
      </c>
      <c r="U432" s="6" t="n">
        <f aca="false">T432-S432</f>
        <v>958.484</v>
      </c>
      <c r="V432" s="7" t="n">
        <f aca="false">IF(T432=0,0,U432/T432)</f>
        <v>0.260974309461613</v>
      </c>
      <c r="W432" s="4" t="n">
        <f aca="false">C432-B432</f>
        <v>3</v>
      </c>
      <c r="X432" s="0" t="str">
        <f aca="false">TEXT(B432,"mmmm")</f>
        <v>August</v>
      </c>
      <c r="Y432" s="4" t="n">
        <f aca="false">YEAR(B432)</f>
        <v>2024</v>
      </c>
      <c r="Z432" s="0" t="str">
        <f aca="false">PROPER(TRIM(AU432))</f>
        <v>Paid</v>
      </c>
      <c r="AA432" s="0" t="str">
        <f aca="false">PROPER(TRIM(AV432))</f>
        <v>Completed</v>
      </c>
      <c r="AB432" s="0" t="str">
        <f aca="false">IF(TRIM(AN432)="","Yes","No")</f>
        <v>No</v>
      </c>
      <c r="AC432" s="0" t="str">
        <f aca="false">IF(TRIM(AS432)="","Yes","No")</f>
        <v>No</v>
      </c>
      <c r="AD432" s="0" t="str">
        <f aca="false">IF(AT432="","Yes","No")</f>
        <v>No</v>
      </c>
      <c r="AE432" s="0" t="str">
        <f aca="false">IF(W432&lt;0,"Yes","No")</f>
        <v>No</v>
      </c>
      <c r="AF432" s="0" t="str">
        <f aca="false">IF(P432="","No",IF(OR(P432&lt;0,P432&gt;0.3),"Yes","No"))</f>
        <v>No</v>
      </c>
      <c r="AG432" s="4" t="s">
        <v>50</v>
      </c>
      <c r="AH432" s="0" t="str">
        <f aca="false">IF(AND(AA432="Completed",Z432="Paid"),"Yes","No")</f>
        <v>Yes</v>
      </c>
      <c r="AI432" s="0" t="str">
        <f aca="false">IF(OR(AE432="Yes",AF432="Yes",AG432="Yes"),"Invalid",IF(OR(AB432="Yes",AC432="Yes",AD432="Yes"),"Warning","Clean"))</f>
        <v>Clean</v>
      </c>
      <c r="AJ432" s="4" t="s">
        <v>1744</v>
      </c>
      <c r="AK432" s="4" t="s">
        <v>1745</v>
      </c>
      <c r="AL432" s="4" t="s">
        <v>115</v>
      </c>
      <c r="AM432" s="4" t="s">
        <v>68</v>
      </c>
      <c r="AN432" s="4" t="s">
        <v>168</v>
      </c>
      <c r="AO432" s="4" t="s">
        <v>310</v>
      </c>
      <c r="AP432" s="4" t="s">
        <v>311</v>
      </c>
      <c r="AQ432" s="4" t="s">
        <v>1746</v>
      </c>
      <c r="AR432" s="4" t="s">
        <v>59</v>
      </c>
      <c r="AS432" s="4" t="s">
        <v>60</v>
      </c>
      <c r="AT432" s="0" t="n">
        <v>0.15</v>
      </c>
      <c r="AU432" s="4" t="s">
        <v>61</v>
      </c>
      <c r="AV432" s="4" t="s">
        <v>62</v>
      </c>
    </row>
    <row r="433" customFormat="false" ht="15" hidden="false" customHeight="false" outlineLevel="0" collapsed="false">
      <c r="A433" s="0" t="s">
        <v>1747</v>
      </c>
      <c r="B433" s="3" t="n">
        <f aca="false">IF(AJ433="","",IF(ISNUMBER(SEARCH("/",AJ433)),DATE(VALUE(RIGHT(AJ433,4)),VALUE(LEFT(AJ433,2)),VALUE(MID(AJ433,4,2))),IF(ISNUMBER(SEARCH("-",AJ433)),IF(LEN(LEFT(AJ433,FIND("-",AJ433)-1))=4,DATE(VALUE(LEFT(AJ433,4)),VALUE(MID(AJ433,6,2)),VALUE(RIGHT(AJ433,2))),DATE(VALUE(RIGHT(AJ433,4)),VALUE(MID(AJ433,4,2)),VALUE(LEFT(AJ433,2)))),DATE(VALUE(RIGHT(AJ433,4)),MATCH(MID(AJ433,4,3),{"Jan","Feb","Mar","Apr","May","Jun","Jul","Aug","Sep","Oct","Nov","Dec"},0),VALUE(LEFT(AJ433,2))))))</f>
        <v>45332</v>
      </c>
      <c r="C433" s="3" t="n">
        <f aca="false">IF(AK433="","",IF(ISNUMBER(SEARCH("/",AK433)),DATE(VALUE(RIGHT(AK433,4)),VALUE(LEFT(AK433,2)),VALUE(MID(AK433,4,2))),IF(ISNUMBER(SEARCH("-",AK433)),IF(LEN(LEFT(AK433,FIND("-",AK433)-1))=4,DATE(VALUE(LEFT(AK433,4)),VALUE(MID(AK433,6,2)),VALUE(RIGHT(AK433,2))),DATE(VALUE(RIGHT(AK433,4)),VALUE(MID(AK433,4,2)),VALUE(LEFT(AK433,2)))),DATE(VALUE(RIGHT(AK433,4)),MATCH(MID(AK433,4,3),{"Jan","Feb","Mar","Apr","May","Jun","Jul","Aug","Sep","Oct","Nov","Dec"},0),VALUE(LEFT(AK433,2))))))</f>
        <v>45335</v>
      </c>
      <c r="D433" s="4" t="s">
        <v>1748</v>
      </c>
      <c r="E433" s="0" t="str">
        <f aca="false">PROPER(TRIM(AL433))</f>
        <v>Karan Malhotra</v>
      </c>
      <c r="F433" s="0" t="str">
        <f aca="false">PROPER(TRIM(AM433))</f>
        <v>Home Office</v>
      </c>
      <c r="G433" s="0" t="str">
        <f aca="false">IF(TRIM(AN433)="","Unknown",PROPER(TRIM(AN433)))</f>
        <v>West</v>
      </c>
      <c r="H433" s="0" t="str">
        <f aca="false">PROPER(TRIM(AO433))</f>
        <v>Goa</v>
      </c>
      <c r="I433" s="0" t="str">
        <f aca="false">PROPER(TRIM(AP433))</f>
        <v>Panaji</v>
      </c>
      <c r="J433" s="0" t="str">
        <f aca="false">PROPER(TRIM(AQ433))</f>
        <v>Technology</v>
      </c>
      <c r="K433" s="0" t="str">
        <f aca="false">PROPER(TRIM(AR433))</f>
        <v>Machines</v>
      </c>
      <c r="M433" s="0" t="str">
        <f aca="false">IF(TRIM(AS433)="","Unknown",PROPER(TRIM(AS433)))</f>
        <v>Same Day</v>
      </c>
      <c r="N433" s="0" t="n">
        <v>2</v>
      </c>
      <c r="O433" s="0" t="n">
        <v>4118.45</v>
      </c>
      <c r="P433" s="5" t="n">
        <f aca="false">IF(AT433="","",IF(ISNUMBER(AT433),AT433,VALUE(SUBSTITUTE(AT433,"%",""))/100))</f>
        <v>0.25</v>
      </c>
      <c r="Q433" s="5" t="n">
        <f aca="false">IF(P433="",IF(AND(N433&lt;&gt;"",O433&lt;&gt;"",R433&lt;&gt;"",S433&lt;&gt;""),0,"REVIEW"),IF(OR(P433&lt;0,P433&gt;0.3),0,P433))</f>
        <v>0.25</v>
      </c>
      <c r="R433" s="0" t="n">
        <v>6177.67</v>
      </c>
      <c r="S433" s="0" t="n">
        <v>4520.75</v>
      </c>
      <c r="T433" s="6" t="n">
        <f aca="false">N433*O433*(1-Q433)</f>
        <v>6177.675</v>
      </c>
      <c r="U433" s="6" t="n">
        <f aca="false">T433-S433</f>
        <v>1656.925</v>
      </c>
      <c r="V433" s="7" t="n">
        <f aca="false">IF(T433=0,0,U433/T433)</f>
        <v>0.268211746328513</v>
      </c>
      <c r="W433" s="4" t="n">
        <f aca="false">C433-B433</f>
        <v>3</v>
      </c>
      <c r="X433" s="0" t="str">
        <f aca="false">TEXT(B433,"mmmm")</f>
        <v>February</v>
      </c>
      <c r="Y433" s="4" t="n">
        <f aca="false">YEAR(B433)</f>
        <v>2024</v>
      </c>
      <c r="Z433" s="0" t="str">
        <f aca="false">PROPER(TRIM(AU433))</f>
        <v>Paid</v>
      </c>
      <c r="AA433" s="0" t="str">
        <f aca="false">PROPER(TRIM(AV433))</f>
        <v>Completed</v>
      </c>
      <c r="AB433" s="0" t="str">
        <f aca="false">IF(TRIM(AN433)="","Yes","No")</f>
        <v>No</v>
      </c>
      <c r="AC433" s="0" t="str">
        <f aca="false">IF(TRIM(AS433)="","Yes","No")</f>
        <v>No</v>
      </c>
      <c r="AD433" s="0" t="str">
        <f aca="false">IF(AT433="","Yes","No")</f>
        <v>No</v>
      </c>
      <c r="AE433" s="0" t="str">
        <f aca="false">IF(W433&lt;0,"Yes","No")</f>
        <v>No</v>
      </c>
      <c r="AF433" s="0" t="str">
        <f aca="false">IF(P433="","No",IF(OR(P433&lt;0,P433&gt;0.3),"Yes","No"))</f>
        <v>No</v>
      </c>
      <c r="AG433" s="4" t="s">
        <v>50</v>
      </c>
      <c r="AH433" s="0" t="str">
        <f aca="false">IF(AND(AA433="Completed",Z433="Paid"),"Yes","No")</f>
        <v>Yes</v>
      </c>
      <c r="AI433" s="0" t="str">
        <f aca="false">IF(OR(AE433="Yes",AF433="Yes",AG433="Yes"),"Invalid",IF(OR(AB433="Yes",AC433="Yes",AD433="Yes"),"Warning","Clean"))</f>
        <v>Clean</v>
      </c>
      <c r="AJ433" s="4" t="s">
        <v>1749</v>
      </c>
      <c r="AK433" s="4" t="s">
        <v>1750</v>
      </c>
      <c r="AL433" s="4" t="s">
        <v>53</v>
      </c>
      <c r="AM433" s="4" t="s">
        <v>134</v>
      </c>
      <c r="AN433" s="4" t="s">
        <v>97</v>
      </c>
      <c r="AO433" s="4" t="s">
        <v>250</v>
      </c>
      <c r="AP433" s="4" t="s">
        <v>251</v>
      </c>
      <c r="AQ433" s="4" t="s">
        <v>109</v>
      </c>
      <c r="AR433" s="4" t="s">
        <v>360</v>
      </c>
      <c r="AS433" s="4" t="s">
        <v>74</v>
      </c>
      <c r="AT433" s="0" t="n">
        <v>0.25</v>
      </c>
      <c r="AU433" s="4" t="s">
        <v>61</v>
      </c>
      <c r="AV433" s="4" t="s">
        <v>62</v>
      </c>
    </row>
    <row r="434" customFormat="false" ht="15" hidden="false" customHeight="false" outlineLevel="0" collapsed="false">
      <c r="A434" s="0" t="s">
        <v>1751</v>
      </c>
      <c r="B434" s="3" t="n">
        <f aca="false">IF(AJ434="","",IF(ISNUMBER(SEARCH("/",AJ434)),DATE(VALUE(RIGHT(AJ434,4)),VALUE(LEFT(AJ434,2)),VALUE(MID(AJ434,4,2))),IF(ISNUMBER(SEARCH("-",AJ434)),IF(LEN(LEFT(AJ434,FIND("-",AJ434)-1))=4,DATE(VALUE(LEFT(AJ434,4)),VALUE(MID(AJ434,6,2)),VALUE(RIGHT(AJ434,2))),DATE(VALUE(RIGHT(AJ434,4)),VALUE(MID(AJ434,4,2)),VALUE(LEFT(AJ434,2)))),DATE(VALUE(RIGHT(AJ434,4)),MATCH(MID(AJ434,4,3),{"Jan","Feb","Mar","Apr","May","Jun","Jul","Aug","Sep","Oct","Nov","Dec"},0),VALUE(LEFT(AJ434,2))))))</f>
        <v>45533</v>
      </c>
      <c r="C434" s="3" t="n">
        <f aca="false">IF(AK434="","",IF(ISNUMBER(SEARCH("/",AK434)),DATE(VALUE(RIGHT(AK434,4)),VALUE(LEFT(AK434,2)),VALUE(MID(AK434,4,2))),IF(ISNUMBER(SEARCH("-",AK434)),IF(LEN(LEFT(AK434,FIND("-",AK434)-1))=4,DATE(VALUE(LEFT(AK434,4)),VALUE(MID(AK434,6,2)),VALUE(RIGHT(AK434,2))),DATE(VALUE(RIGHT(AK434,4)),VALUE(MID(AK434,4,2)),VALUE(LEFT(AK434,2)))),DATE(VALUE(RIGHT(AK434,4)),MATCH(MID(AK434,4,3),{"Jan","Feb","Mar","Apr","May","Jun","Jul","Aug","Sep","Oct","Nov","Dec"},0),VALUE(LEFT(AK434,2))))))</f>
        <v>45537</v>
      </c>
      <c r="D434" s="4" t="s">
        <v>1752</v>
      </c>
      <c r="E434" s="0" t="str">
        <f aca="false">PROPER(TRIM(AL434))</f>
        <v>Priya Menon</v>
      </c>
      <c r="F434" s="0" t="str">
        <f aca="false">PROPER(TRIM(AM434))</f>
        <v>Small Business</v>
      </c>
      <c r="G434" s="0" t="str">
        <f aca="false">IF(TRIM(AN434)="","Unknown",PROPER(TRIM(AN434)))</f>
        <v>West</v>
      </c>
      <c r="H434" s="0" t="str">
        <f aca="false">PROPER(TRIM(AO434))</f>
        <v>Maharashtra</v>
      </c>
      <c r="I434" s="0" t="str">
        <f aca="false">PROPER(TRIM(AP434))</f>
        <v>Mumbai</v>
      </c>
      <c r="J434" s="0" t="str">
        <f aca="false">PROPER(TRIM(AQ434))</f>
        <v>Furniture</v>
      </c>
      <c r="K434" s="0" t="str">
        <f aca="false">PROPER(TRIM(AR434))</f>
        <v>Bookcases</v>
      </c>
      <c r="M434" s="0" t="str">
        <f aca="false">IF(TRIM(AS434)="","Unknown",PROPER(TRIM(AS434)))</f>
        <v>Standard Class</v>
      </c>
      <c r="N434" s="0" t="n">
        <v>6</v>
      </c>
      <c r="O434" s="0" t="n">
        <v>172.82</v>
      </c>
      <c r="P434" s="5" t="n">
        <f aca="false">IF(AT434="","",IF(ISNUMBER(AT434),AT434,VALUE(SUBSTITUTE(AT434,"%",""))/100))</f>
        <v>0.05</v>
      </c>
      <c r="Q434" s="5" t="n">
        <f aca="false">IF(P434="",IF(AND(N434&lt;&gt;"",O434&lt;&gt;"",R434&lt;&gt;"",S434&lt;&gt;""),0,"REVIEW"),IF(OR(P434&lt;0,P434&gt;0.3),0,P434))</f>
        <v>0.05</v>
      </c>
      <c r="R434" s="0" t="n">
        <v>985.07</v>
      </c>
      <c r="S434" s="0" t="n">
        <v>844.48</v>
      </c>
      <c r="T434" s="6" t="n">
        <f aca="false">N434*O434*(1-Q434)</f>
        <v>985.074</v>
      </c>
      <c r="U434" s="6" t="n">
        <f aca="false">T434-S434</f>
        <v>140.594</v>
      </c>
      <c r="V434" s="7" t="n">
        <f aca="false">IF(T434=0,0,U434/T434)</f>
        <v>0.142724302945769</v>
      </c>
      <c r="W434" s="4" t="n">
        <f aca="false">C434-B434</f>
        <v>4</v>
      </c>
      <c r="X434" s="0" t="str">
        <f aca="false">TEXT(B434,"mmmm")</f>
        <v>August</v>
      </c>
      <c r="Y434" s="4" t="n">
        <f aca="false">YEAR(B434)</f>
        <v>2024</v>
      </c>
      <c r="Z434" s="0" t="str">
        <f aca="false">PROPER(TRIM(AU434))</f>
        <v>Paid</v>
      </c>
      <c r="AA434" s="0" t="str">
        <f aca="false">PROPER(TRIM(AV434))</f>
        <v>Completed</v>
      </c>
      <c r="AB434" s="0" t="str">
        <f aca="false">IF(TRIM(AN434)="","Yes","No")</f>
        <v>No</v>
      </c>
      <c r="AC434" s="0" t="str">
        <f aca="false">IF(TRIM(AS434)="","Yes","No")</f>
        <v>No</v>
      </c>
      <c r="AD434" s="0" t="str">
        <f aca="false">IF(AT434="","Yes","No")</f>
        <v>No</v>
      </c>
      <c r="AE434" s="0" t="str">
        <f aca="false">IF(W434&lt;0,"Yes","No")</f>
        <v>No</v>
      </c>
      <c r="AF434" s="0" t="str">
        <f aca="false">IF(P434="","No",IF(OR(P434&lt;0,P434&gt;0.3),"Yes","No"))</f>
        <v>No</v>
      </c>
      <c r="AG434" s="4" t="s">
        <v>50</v>
      </c>
      <c r="AH434" s="0" t="str">
        <f aca="false">IF(AND(AA434="Completed",Z434="Paid"),"Yes","No")</f>
        <v>Yes</v>
      </c>
      <c r="AI434" s="0" t="str">
        <f aca="false">IF(OR(AE434="Yes",AF434="Yes",AG434="Yes"),"Invalid",IF(OR(AB434="Yes",AC434="Yes",AD434="Yes"),"Warning","Clean"))</f>
        <v>Clean</v>
      </c>
      <c r="AJ434" s="4" t="s">
        <v>1606</v>
      </c>
      <c r="AK434" s="4" t="s">
        <v>1745</v>
      </c>
      <c r="AL434" s="4" t="s">
        <v>158</v>
      </c>
      <c r="AM434" s="4" t="s">
        <v>68</v>
      </c>
      <c r="AN434" s="4" t="s">
        <v>97</v>
      </c>
      <c r="AO434" s="4" t="s">
        <v>98</v>
      </c>
      <c r="AP434" s="4" t="s">
        <v>99</v>
      </c>
      <c r="AQ434" s="4" t="s">
        <v>72</v>
      </c>
      <c r="AR434" s="4" t="s">
        <v>211</v>
      </c>
      <c r="AS434" s="4" t="s">
        <v>91</v>
      </c>
      <c r="AT434" s="0" t="n">
        <v>0.05</v>
      </c>
      <c r="AU434" s="4" t="s">
        <v>61</v>
      </c>
      <c r="AV434" s="4" t="s">
        <v>62</v>
      </c>
    </row>
    <row r="435" customFormat="false" ht="15" hidden="false" customHeight="false" outlineLevel="0" collapsed="false">
      <c r="A435" s="0" t="s">
        <v>1753</v>
      </c>
      <c r="B435" s="3" t="n">
        <f aca="false">IF(AJ435="","",IF(ISNUMBER(SEARCH("/",AJ435)),DATE(VALUE(RIGHT(AJ435,4)),VALUE(LEFT(AJ435,2)),VALUE(MID(AJ435,4,2))),IF(ISNUMBER(SEARCH("-",AJ435)),IF(LEN(LEFT(AJ435,FIND("-",AJ435)-1))=4,DATE(VALUE(LEFT(AJ435,4)),VALUE(MID(AJ435,6,2)),VALUE(RIGHT(AJ435,2))),DATE(VALUE(RIGHT(AJ435,4)),VALUE(MID(AJ435,4,2)),VALUE(LEFT(AJ435,2)))),DATE(VALUE(RIGHT(AJ435,4)),MATCH(MID(AJ435,4,3),{"Jan","Feb","Mar","Apr","May","Jun","Jul","Aug","Sep","Oct","Nov","Dec"},0),VALUE(LEFT(AJ435,2))))))</f>
        <v>45401</v>
      </c>
      <c r="C435" s="3" t="n">
        <f aca="false">IF(AK435="","",IF(ISNUMBER(SEARCH("/",AK435)),DATE(VALUE(RIGHT(AK435,4)),VALUE(LEFT(AK435,2)),VALUE(MID(AK435,4,2))),IF(ISNUMBER(SEARCH("-",AK435)),IF(LEN(LEFT(AK435,FIND("-",AK435)-1))=4,DATE(VALUE(LEFT(AK435,4)),VALUE(MID(AK435,6,2)),VALUE(RIGHT(AK435,2))),DATE(VALUE(RIGHT(AK435,4)),VALUE(MID(AK435,4,2)),VALUE(LEFT(AK435,2)))),DATE(VALUE(RIGHT(AK435,4)),MATCH(MID(AK435,4,3),{"Jan","Feb","Mar","Apr","May","Jun","Jul","Aug","Sep","Oct","Nov","Dec"},0),VALUE(LEFT(AK435,2))))))</f>
        <v>45402</v>
      </c>
      <c r="D435" s="4" t="s">
        <v>1754</v>
      </c>
      <c r="E435" s="0" t="str">
        <f aca="false">PROPER(TRIM(AL435))</f>
        <v>Priya Menon</v>
      </c>
      <c r="F435" s="0" t="str">
        <f aca="false">PROPER(TRIM(AM435))</f>
        <v>Corporate</v>
      </c>
      <c r="G435" s="0" t="str">
        <f aca="false">IF(TRIM(AN435)="","Unknown",PROPER(TRIM(AN435)))</f>
        <v>South</v>
      </c>
      <c r="H435" s="0" t="str">
        <f aca="false">PROPER(TRIM(AO435))</f>
        <v>Kerala</v>
      </c>
      <c r="I435" s="0" t="str">
        <f aca="false">PROPER(TRIM(AP435))</f>
        <v>Kochi</v>
      </c>
      <c r="J435" s="0" t="str">
        <f aca="false">PROPER(TRIM(AQ435))</f>
        <v>Office Supplies</v>
      </c>
      <c r="K435" s="0" t="str">
        <f aca="false">PROPER(TRIM(AR435))</f>
        <v>Art</v>
      </c>
      <c r="M435" s="0" t="str">
        <f aca="false">IF(TRIM(AS435)="","Unknown",PROPER(TRIM(AS435)))</f>
        <v>Second Class</v>
      </c>
      <c r="N435" s="0" t="n">
        <v>4</v>
      </c>
      <c r="O435" s="0" t="n">
        <v>1540.22</v>
      </c>
      <c r="P435" s="5" t="n">
        <f aca="false">IF(AT435="","",IF(ISNUMBER(AT435),AT435,VALUE(SUBSTITUTE(AT435,"%",""))/100))</f>
        <v>0</v>
      </c>
      <c r="Q435" s="5" t="n">
        <f aca="false">IF(P435="",IF(AND(N435&lt;&gt;"",O435&lt;&gt;"",R435&lt;&gt;"",S435&lt;&gt;""),0,"REVIEW"),IF(OR(P435&lt;0,P435&gt;0.3),0,P435))</f>
        <v>0</v>
      </c>
      <c r="R435" s="0" t="n">
        <v>6160.88</v>
      </c>
      <c r="S435" s="0" t="n">
        <v>4938.7</v>
      </c>
      <c r="T435" s="6" t="n">
        <f aca="false">N435*O435*(1-Q435)</f>
        <v>6160.88</v>
      </c>
      <c r="U435" s="6" t="n">
        <f aca="false">T435-S435</f>
        <v>1222.18</v>
      </c>
      <c r="V435" s="7" t="n">
        <f aca="false">IF(T435=0,0,U435/T435)</f>
        <v>0.198377504512342</v>
      </c>
      <c r="W435" s="4" t="n">
        <f aca="false">C435-B435</f>
        <v>1</v>
      </c>
      <c r="X435" s="0" t="str">
        <f aca="false">TEXT(B435,"mmmm")</f>
        <v>April</v>
      </c>
      <c r="Y435" s="4" t="n">
        <f aca="false">YEAR(B435)</f>
        <v>2024</v>
      </c>
      <c r="Z435" s="0" t="str">
        <f aca="false">PROPER(TRIM(AU435))</f>
        <v>Refunded</v>
      </c>
      <c r="AA435" s="0" t="str">
        <f aca="false">PROPER(TRIM(AV435))</f>
        <v>Returned</v>
      </c>
      <c r="AB435" s="0" t="str">
        <f aca="false">IF(TRIM(AN435)="","Yes","No")</f>
        <v>No</v>
      </c>
      <c r="AC435" s="0" t="str">
        <f aca="false">IF(TRIM(AS435)="","Yes","No")</f>
        <v>No</v>
      </c>
      <c r="AD435" s="0" t="str">
        <f aca="false">IF(AT435="","Yes","No")</f>
        <v>No</v>
      </c>
      <c r="AE435" s="0" t="str">
        <f aca="false">IF(W435&lt;0,"Yes","No")</f>
        <v>No</v>
      </c>
      <c r="AF435" s="0" t="str">
        <f aca="false">IF(P435="","No",IF(OR(P435&lt;0,P435&gt;0.3),"Yes","No"))</f>
        <v>No</v>
      </c>
      <c r="AG435" s="4" t="s">
        <v>50</v>
      </c>
      <c r="AH435" s="0" t="str">
        <f aca="false">IF(AND(AA435="Completed",Z435="Paid"),"Yes","No")</f>
        <v>No</v>
      </c>
      <c r="AI435" s="0" t="str">
        <f aca="false">IF(OR(AE435="Yes",AF435="Yes",AG435="Yes"),"Invalid",IF(OR(AB435="Yes",AC435="Yes",AD435="Yes"),"Warning","Clean"))</f>
        <v>Clean</v>
      </c>
      <c r="AJ435" s="4" t="s">
        <v>1755</v>
      </c>
      <c r="AK435" s="4" t="s">
        <v>1756</v>
      </c>
      <c r="AL435" s="4" t="s">
        <v>158</v>
      </c>
      <c r="AM435" s="4" t="s">
        <v>128</v>
      </c>
      <c r="AN435" s="4" t="s">
        <v>87</v>
      </c>
      <c r="AO435" s="4" t="s">
        <v>244</v>
      </c>
      <c r="AP435" s="4" t="s">
        <v>245</v>
      </c>
      <c r="AQ435" s="4" t="s">
        <v>58</v>
      </c>
      <c r="AR435" s="4" t="s">
        <v>80</v>
      </c>
      <c r="AS435" s="4" t="s">
        <v>60</v>
      </c>
      <c r="AT435" s="0" t="n">
        <v>0</v>
      </c>
      <c r="AU435" s="4" t="s">
        <v>141</v>
      </c>
      <c r="AV435" s="4" t="s">
        <v>142</v>
      </c>
    </row>
    <row r="436" customFormat="false" ht="15" hidden="false" customHeight="false" outlineLevel="0" collapsed="false">
      <c r="A436" s="0" t="s">
        <v>1757</v>
      </c>
      <c r="B436" s="3" t="n">
        <f aca="false">IF(AJ436="","",IF(ISNUMBER(SEARCH("/",AJ436)),DATE(VALUE(RIGHT(AJ436,4)),VALUE(LEFT(AJ436,2)),VALUE(MID(AJ436,4,2))),IF(ISNUMBER(SEARCH("-",AJ436)),IF(LEN(LEFT(AJ436,FIND("-",AJ436)-1))=4,DATE(VALUE(LEFT(AJ436,4)),VALUE(MID(AJ436,6,2)),VALUE(RIGHT(AJ436,2))),DATE(VALUE(RIGHT(AJ436,4)),VALUE(MID(AJ436,4,2)),VALUE(LEFT(AJ436,2)))),DATE(VALUE(RIGHT(AJ436,4)),MATCH(MID(AJ436,4,3),{"Jan","Feb","Mar","Apr","May","Jun","Jul","Aug","Sep","Oct","Nov","Dec"},0),VALUE(LEFT(AJ436,2))))))</f>
        <v>45758</v>
      </c>
      <c r="C436" s="3" t="n">
        <f aca="false">IF(AK436="","",IF(ISNUMBER(SEARCH("/",AK436)),DATE(VALUE(RIGHT(AK436,4)),VALUE(LEFT(AK436,2)),VALUE(MID(AK436,4,2))),IF(ISNUMBER(SEARCH("-",AK436)),IF(LEN(LEFT(AK436,FIND("-",AK436)-1))=4,DATE(VALUE(LEFT(AK436,4)),VALUE(MID(AK436,6,2)),VALUE(RIGHT(AK436,2))),DATE(VALUE(RIGHT(AK436,4)),VALUE(MID(AK436,4,2)),VALUE(LEFT(AK436,2)))),DATE(VALUE(RIGHT(AK436,4)),MATCH(MID(AK436,4,3),{"Jan","Feb","Mar","Apr","May","Jun","Jul","Aug","Sep","Oct","Nov","Dec"},0),VALUE(LEFT(AK436,2))))))</f>
        <v>45762</v>
      </c>
      <c r="D436" s="4" t="s">
        <v>1758</v>
      </c>
      <c r="E436" s="0" t="str">
        <f aca="false">PROPER(TRIM(AL436))</f>
        <v>Mira Das</v>
      </c>
      <c r="F436" s="0" t="str">
        <f aca="false">PROPER(TRIM(AM436))</f>
        <v>Home Office</v>
      </c>
      <c r="G436" s="0" t="str">
        <f aca="false">IF(TRIM(AN436)="","Unknown",PROPER(TRIM(AN436)))</f>
        <v>North</v>
      </c>
      <c r="H436" s="0" t="str">
        <f aca="false">PROPER(TRIM(AO436))</f>
        <v>Uttar Pradesh</v>
      </c>
      <c r="I436" s="0" t="str">
        <f aca="false">PROPER(TRIM(AP436))</f>
        <v>Noida</v>
      </c>
      <c r="J436" s="0" t="str">
        <f aca="false">PROPER(TRIM(AQ436))</f>
        <v>Technology</v>
      </c>
      <c r="K436" s="0" t="str">
        <f aca="false">PROPER(TRIM(AR436))</f>
        <v>Accessories</v>
      </c>
      <c r="M436" s="0" t="str">
        <f aca="false">IF(TRIM(AS436)="","Unknown",PROPER(TRIM(AS436)))</f>
        <v>Second Class</v>
      </c>
      <c r="N436" s="0" t="n">
        <v>5</v>
      </c>
      <c r="O436" s="0" t="n">
        <v>652.78</v>
      </c>
      <c r="P436" s="5" t="n">
        <f aca="false">IF(AT436="","",IF(ISNUMBER(AT436),AT436,VALUE(SUBSTITUTE(AT436,"%",""))/100))</f>
        <v>0</v>
      </c>
      <c r="Q436" s="5" t="n">
        <f aca="false">IF(P436="",IF(AND(N436&lt;&gt;"",O436&lt;&gt;"",R436&lt;&gt;"",S436&lt;&gt;""),0,"REVIEW"),IF(OR(P436&lt;0,P436&gt;0.3),0,P436))</f>
        <v>0</v>
      </c>
      <c r="R436" s="0" t="n">
        <v>3263.9</v>
      </c>
      <c r="S436" s="0" t="n">
        <v>2068.44</v>
      </c>
      <c r="T436" s="6" t="n">
        <f aca="false">N436*O436*(1-Q436)</f>
        <v>3263.9</v>
      </c>
      <c r="U436" s="6" t="n">
        <f aca="false">T436-S436</f>
        <v>1195.46</v>
      </c>
      <c r="V436" s="7" t="n">
        <f aca="false">IF(T436=0,0,U436/T436)</f>
        <v>0.36626734887711</v>
      </c>
      <c r="W436" s="4" t="n">
        <f aca="false">C436-B436</f>
        <v>4</v>
      </c>
      <c r="X436" s="0" t="str">
        <f aca="false">TEXT(B436,"mmmm")</f>
        <v>April</v>
      </c>
      <c r="Y436" s="4" t="n">
        <f aca="false">YEAR(B436)</f>
        <v>2025</v>
      </c>
      <c r="Z436" s="0" t="str">
        <f aca="false">PROPER(TRIM(AU436))</f>
        <v>Paid</v>
      </c>
      <c r="AA436" s="0" t="str">
        <f aca="false">PROPER(TRIM(AV436))</f>
        <v>Completed</v>
      </c>
      <c r="AB436" s="0" t="str">
        <f aca="false">IF(TRIM(AN436)="","Yes","No")</f>
        <v>No</v>
      </c>
      <c r="AC436" s="0" t="str">
        <f aca="false">IF(TRIM(AS436)="","Yes","No")</f>
        <v>No</v>
      </c>
      <c r="AD436" s="0" t="str">
        <f aca="false">IF(AT436="","Yes","No")</f>
        <v>No</v>
      </c>
      <c r="AE436" s="0" t="str">
        <f aca="false">IF(W436&lt;0,"Yes","No")</f>
        <v>No</v>
      </c>
      <c r="AF436" s="0" t="str">
        <f aca="false">IF(P436="","No",IF(OR(P436&lt;0,P436&gt;0.3),"Yes","No"))</f>
        <v>No</v>
      </c>
      <c r="AG436" s="4" t="s">
        <v>50</v>
      </c>
      <c r="AH436" s="0" t="str">
        <f aca="false">IF(AND(AA436="Completed",Z436="Paid"),"Yes","No")</f>
        <v>Yes</v>
      </c>
      <c r="AI436" s="0" t="str">
        <f aca="false">IF(OR(AE436="Yes",AF436="Yes",AG436="Yes"),"Invalid",IF(OR(AB436="Yes",AC436="Yes",AD436="Yes"),"Warning","Clean"))</f>
        <v>Clean</v>
      </c>
      <c r="AJ436" s="4" t="s">
        <v>1759</v>
      </c>
      <c r="AK436" s="4" t="s">
        <v>1760</v>
      </c>
      <c r="AL436" s="4" t="s">
        <v>67</v>
      </c>
      <c r="AM436" s="4" t="s">
        <v>134</v>
      </c>
      <c r="AN436" s="4" t="s">
        <v>168</v>
      </c>
      <c r="AO436" s="4" t="s">
        <v>186</v>
      </c>
      <c r="AP436" s="4" t="s">
        <v>187</v>
      </c>
      <c r="AQ436" s="4" t="s">
        <v>109</v>
      </c>
      <c r="AR436" s="4" t="s">
        <v>110</v>
      </c>
      <c r="AS436" s="4" t="s">
        <v>60</v>
      </c>
      <c r="AT436" s="0" t="n">
        <v>0</v>
      </c>
      <c r="AU436" s="4" t="s">
        <v>61</v>
      </c>
      <c r="AV436" s="4" t="s">
        <v>62</v>
      </c>
    </row>
    <row r="437" customFormat="false" ht="15" hidden="false" customHeight="false" outlineLevel="0" collapsed="false">
      <c r="A437" s="0" t="s">
        <v>1761</v>
      </c>
      <c r="B437" s="3" t="n">
        <f aca="false">IF(AJ437="","",IF(ISNUMBER(SEARCH("/",AJ437)),DATE(VALUE(RIGHT(AJ437,4)),VALUE(LEFT(AJ437,2)),VALUE(MID(AJ437,4,2))),IF(ISNUMBER(SEARCH("-",AJ437)),IF(LEN(LEFT(AJ437,FIND("-",AJ437)-1))=4,DATE(VALUE(LEFT(AJ437,4)),VALUE(MID(AJ437,6,2)),VALUE(RIGHT(AJ437,2))),DATE(VALUE(RIGHT(AJ437,4)),VALUE(MID(AJ437,4,2)),VALUE(LEFT(AJ437,2)))),DATE(VALUE(RIGHT(AJ437,4)),MATCH(MID(AJ437,4,3),{"Jan","Feb","Mar","Apr","May","Jun","Jul","Aug","Sep","Oct","Nov","Dec"},0),VALUE(LEFT(AJ437,2))))))</f>
        <v>45759</v>
      </c>
      <c r="C437" s="3" t="n">
        <f aca="false">IF(AK437="","",IF(ISNUMBER(SEARCH("/",AK437)),DATE(VALUE(RIGHT(AK437,4)),VALUE(LEFT(AK437,2)),VALUE(MID(AK437,4,2))),IF(ISNUMBER(SEARCH("-",AK437)),IF(LEN(LEFT(AK437,FIND("-",AK437)-1))=4,DATE(VALUE(LEFT(AK437,4)),VALUE(MID(AK437,6,2)),VALUE(RIGHT(AK437,2))),DATE(VALUE(RIGHT(AK437,4)),VALUE(MID(AK437,4,2)),VALUE(LEFT(AK437,2)))),DATE(VALUE(RIGHT(AK437,4)),MATCH(MID(AK437,4,3),{"Jan","Feb","Mar","Apr","May","Jun","Jul","Aug","Sep","Oct","Nov","Dec"},0),VALUE(LEFT(AK437,2))))))</f>
        <v>45767</v>
      </c>
      <c r="D437" s="4" t="s">
        <v>1762</v>
      </c>
      <c r="E437" s="0" t="str">
        <f aca="false">PROPER(TRIM(AL437))</f>
        <v>Kabir Singh</v>
      </c>
      <c r="F437" s="0" t="str">
        <f aca="false">PROPER(TRIM(AM437))</f>
        <v>Home Office</v>
      </c>
      <c r="G437" s="0" t="str">
        <f aca="false">IF(TRIM(AN437)="","Unknown",PROPER(TRIM(AN437)))</f>
        <v>North</v>
      </c>
      <c r="H437" s="0" t="str">
        <f aca="false">PROPER(TRIM(AO437))</f>
        <v>Delhi</v>
      </c>
      <c r="I437" s="0" t="str">
        <f aca="false">PROPER(TRIM(AP437))</f>
        <v>New Delhi</v>
      </c>
      <c r="J437" s="0" t="str">
        <f aca="false">PROPER(TRIM(AQ437))</f>
        <v>Technology</v>
      </c>
      <c r="K437" s="0" t="str">
        <f aca="false">PROPER(TRIM(AR437))</f>
        <v>Machines</v>
      </c>
      <c r="M437" s="0" t="str">
        <f aca="false">IF(TRIM(AS437)="","Unknown",PROPER(TRIM(AS437)))</f>
        <v>Standard Class</v>
      </c>
      <c r="N437" s="0" t="n">
        <v>1</v>
      </c>
      <c r="O437" s="0" t="n">
        <v>2737.71</v>
      </c>
      <c r="P437" s="5" t="n">
        <f aca="false">IF(AT437="","",IF(ISNUMBER(AT437),AT437,VALUE(SUBSTITUTE(AT437,"%",""))/100))</f>
        <v>0.15</v>
      </c>
      <c r="Q437" s="5" t="n">
        <f aca="false">IF(P437="",IF(AND(N437&lt;&gt;"",O437&lt;&gt;"",R437&lt;&gt;"",S437&lt;&gt;""),0,"REVIEW"),IF(OR(P437&lt;0,P437&gt;0.3),0,P437))</f>
        <v>0.15</v>
      </c>
      <c r="R437" s="0" t="n">
        <v>2327.05</v>
      </c>
      <c r="S437" s="0" t="n">
        <v>1919.42</v>
      </c>
      <c r="T437" s="6" t="n">
        <f aca="false">N437*O437*(1-Q437)</f>
        <v>2327.0535</v>
      </c>
      <c r="U437" s="6" t="n">
        <f aca="false">T437-S437</f>
        <v>407.6335</v>
      </c>
      <c r="V437" s="7" t="n">
        <f aca="false">IF(T437=0,0,U437/T437)</f>
        <v>0.175171520551633</v>
      </c>
      <c r="W437" s="4" t="n">
        <f aca="false">C437-B437</f>
        <v>8</v>
      </c>
      <c r="X437" s="0" t="str">
        <f aca="false">TEXT(B437,"mmmm")</f>
        <v>April</v>
      </c>
      <c r="Y437" s="4" t="n">
        <f aca="false">YEAR(B437)</f>
        <v>2025</v>
      </c>
      <c r="Z437" s="0" t="str">
        <f aca="false">PROPER(TRIM(AU437))</f>
        <v>Paid</v>
      </c>
      <c r="AA437" s="0" t="str">
        <f aca="false">PROPER(TRIM(AV437))</f>
        <v>Cancelled</v>
      </c>
      <c r="AB437" s="0" t="str">
        <f aca="false">IF(TRIM(AN437)="","Yes","No")</f>
        <v>No</v>
      </c>
      <c r="AC437" s="0" t="str">
        <f aca="false">IF(TRIM(AS437)="","Yes","No")</f>
        <v>No</v>
      </c>
      <c r="AD437" s="0" t="str">
        <f aca="false">IF(AT437="","Yes","No")</f>
        <v>No</v>
      </c>
      <c r="AE437" s="0" t="str">
        <f aca="false">IF(W437&lt;0,"Yes","No")</f>
        <v>No</v>
      </c>
      <c r="AF437" s="0" t="str">
        <f aca="false">IF(P437="","No",IF(OR(P437&lt;0,P437&gt;0.3),"Yes","No"))</f>
        <v>No</v>
      </c>
      <c r="AG437" s="4" t="s">
        <v>50</v>
      </c>
      <c r="AH437" s="0" t="str">
        <f aca="false">IF(AND(AA437="Completed",Z437="Paid"),"Yes","No")</f>
        <v>No</v>
      </c>
      <c r="AI437" s="0" t="str">
        <f aca="false">IF(OR(AE437="Yes",AF437="Yes",AG437="Yes"),"Invalid",IF(OR(AB437="Yes",AC437="Yes",AD437="Yes"),"Warning","Clean"))</f>
        <v>Clean</v>
      </c>
      <c r="AJ437" s="4" t="s">
        <v>1763</v>
      </c>
      <c r="AK437" s="4" t="s">
        <v>881</v>
      </c>
      <c r="AL437" s="4" t="s">
        <v>347</v>
      </c>
      <c r="AM437" s="4" t="s">
        <v>134</v>
      </c>
      <c r="AN437" s="4" t="s">
        <v>168</v>
      </c>
      <c r="AO437" s="4" t="s">
        <v>461</v>
      </c>
      <c r="AP437" s="4" t="s">
        <v>462</v>
      </c>
      <c r="AQ437" s="4" t="s">
        <v>109</v>
      </c>
      <c r="AR437" s="4" t="s">
        <v>360</v>
      </c>
      <c r="AS437" s="4" t="s">
        <v>91</v>
      </c>
      <c r="AT437" s="0" t="n">
        <v>0.15</v>
      </c>
      <c r="AU437" s="4" t="s">
        <v>61</v>
      </c>
      <c r="AV437" s="4" t="s">
        <v>101</v>
      </c>
    </row>
    <row r="438" customFormat="false" ht="15" hidden="false" customHeight="false" outlineLevel="0" collapsed="false">
      <c r="A438" s="0" t="s">
        <v>1764</v>
      </c>
      <c r="B438" s="3" t="n">
        <f aca="false">IF(AJ438="","",IF(ISNUMBER(SEARCH("/",AJ438)),DATE(VALUE(RIGHT(AJ438,4)),VALUE(LEFT(AJ438,2)),VALUE(MID(AJ438,4,2))),IF(ISNUMBER(SEARCH("-",AJ438)),IF(LEN(LEFT(AJ438,FIND("-",AJ438)-1))=4,DATE(VALUE(LEFT(AJ438,4)),VALUE(MID(AJ438,6,2)),VALUE(RIGHT(AJ438,2))),DATE(VALUE(RIGHT(AJ438,4)),VALUE(MID(AJ438,4,2)),VALUE(LEFT(AJ438,2)))),DATE(VALUE(RIGHT(AJ438,4)),MATCH(MID(AJ438,4,3),{"Jan","Feb","Mar","Apr","May","Jun","Jul","Aug","Sep","Oct","Nov","Dec"},0),VALUE(LEFT(AJ438,2))))))</f>
        <v>45459</v>
      </c>
      <c r="C438" s="3" t="n">
        <f aca="false">IF(AK438="","",IF(ISNUMBER(SEARCH("/",AK438)),DATE(VALUE(RIGHT(AK438,4)),VALUE(LEFT(AK438,2)),VALUE(MID(AK438,4,2))),IF(ISNUMBER(SEARCH("-",AK438)),IF(LEN(LEFT(AK438,FIND("-",AK438)-1))=4,DATE(VALUE(LEFT(AK438,4)),VALUE(MID(AK438,6,2)),VALUE(RIGHT(AK438,2))),DATE(VALUE(RIGHT(AK438,4)),VALUE(MID(AK438,4,2)),VALUE(LEFT(AK438,2)))),DATE(VALUE(RIGHT(AK438,4)),MATCH(MID(AK438,4,3),{"Jan","Feb","Mar","Apr","May","Jun","Jul","Aug","Sep","Oct","Nov","Dec"},0),VALUE(LEFT(AK438,2))))))</f>
        <v>45464</v>
      </c>
      <c r="D438" s="4" t="s">
        <v>1765</v>
      </c>
      <c r="E438" s="0" t="str">
        <f aca="false">PROPER(TRIM(AL438))</f>
        <v>Neha Gupta</v>
      </c>
      <c r="F438" s="0" t="str">
        <f aca="false">PROPER(TRIM(AM438))</f>
        <v>Consumer</v>
      </c>
      <c r="G438" s="0" t="str">
        <f aca="false">IF(TRIM(AN438)="","Unknown",PROPER(TRIM(AN438)))</f>
        <v>South</v>
      </c>
      <c r="H438" s="0" t="str">
        <f aca="false">PROPER(TRIM(AO438))</f>
        <v>Kerala</v>
      </c>
      <c r="I438" s="0" t="str">
        <f aca="false">PROPER(TRIM(AP438))</f>
        <v>Kochi</v>
      </c>
      <c r="J438" s="0" t="str">
        <f aca="false">PROPER(TRIM(AQ438))</f>
        <v>Furniture</v>
      </c>
      <c r="K438" s="0" t="str">
        <f aca="false">PROPER(TRIM(AR438))</f>
        <v>Furnishings</v>
      </c>
      <c r="M438" s="0" t="str">
        <f aca="false">IF(TRIM(AS438)="","Unknown",PROPER(TRIM(AS438)))</f>
        <v>Same Day</v>
      </c>
      <c r="N438" s="0" t="n">
        <v>6</v>
      </c>
      <c r="O438" s="0" t="n">
        <v>1156.78</v>
      </c>
      <c r="P438" s="5" t="n">
        <f aca="false">IF(AT438="","",IF(ISNUMBER(AT438),AT438,VALUE(SUBSTITUTE(AT438,"%",""))/100))</f>
        <v>0.05</v>
      </c>
      <c r="Q438" s="5" t="n">
        <f aca="false">IF(P438="",IF(AND(N438&lt;&gt;"",O438&lt;&gt;"",R438&lt;&gt;"",S438&lt;&gt;""),0,"REVIEW"),IF(OR(P438&lt;0,P438&gt;0.3),0,P438))</f>
        <v>0.05</v>
      </c>
      <c r="R438" s="0" t="n">
        <v>6593.65</v>
      </c>
      <c r="S438" s="0" t="n">
        <v>4359.39</v>
      </c>
      <c r="T438" s="6" t="n">
        <f aca="false">N438*O438*(1-Q438)</f>
        <v>6593.646</v>
      </c>
      <c r="U438" s="6" t="n">
        <f aca="false">T438-S438</f>
        <v>2234.256</v>
      </c>
      <c r="V438" s="7" t="n">
        <f aca="false">IF(T438=0,0,U438/T438)</f>
        <v>0.338849856361715</v>
      </c>
      <c r="W438" s="4" t="n">
        <f aca="false">C438-B438</f>
        <v>5</v>
      </c>
      <c r="X438" s="0" t="str">
        <f aca="false">TEXT(B438,"mmmm")</f>
        <v>June</v>
      </c>
      <c r="Y438" s="4" t="n">
        <f aca="false">YEAR(B438)</f>
        <v>2024</v>
      </c>
      <c r="Z438" s="0" t="str">
        <f aca="false">PROPER(TRIM(AU438))</f>
        <v>Paid</v>
      </c>
      <c r="AA438" s="0" t="str">
        <f aca="false">PROPER(TRIM(AV438))</f>
        <v>Returned</v>
      </c>
      <c r="AB438" s="0" t="str">
        <f aca="false">IF(TRIM(AN438)="","Yes","No")</f>
        <v>No</v>
      </c>
      <c r="AC438" s="0" t="str">
        <f aca="false">IF(TRIM(AS438)="","Yes","No")</f>
        <v>No</v>
      </c>
      <c r="AD438" s="0" t="str">
        <f aca="false">IF(AT438="","Yes","No")</f>
        <v>No</v>
      </c>
      <c r="AE438" s="0" t="str">
        <f aca="false">IF(W438&lt;0,"Yes","No")</f>
        <v>No</v>
      </c>
      <c r="AF438" s="0" t="str">
        <f aca="false">IF(P438="","No",IF(OR(P438&lt;0,P438&gt;0.3),"Yes","No"))</f>
        <v>No</v>
      </c>
      <c r="AG438" s="4" t="s">
        <v>50</v>
      </c>
      <c r="AH438" s="0" t="str">
        <f aca="false">IF(AND(AA438="Completed",Z438="Paid"),"Yes","No")</f>
        <v>No</v>
      </c>
      <c r="AI438" s="0" t="str">
        <f aca="false">IF(OR(AE438="Yes",AF438="Yes",AG438="Yes"),"Invalid",IF(OR(AB438="Yes",AC438="Yes",AD438="Yes"),"Warning","Clean"))</f>
        <v>Clean</v>
      </c>
      <c r="AJ438" s="4" t="s">
        <v>1766</v>
      </c>
      <c r="AK438" s="4" t="s">
        <v>1767</v>
      </c>
      <c r="AL438" s="4" t="s">
        <v>115</v>
      </c>
      <c r="AM438" s="4" t="s">
        <v>54</v>
      </c>
      <c r="AN438" s="4" t="s">
        <v>87</v>
      </c>
      <c r="AO438" s="4" t="s">
        <v>244</v>
      </c>
      <c r="AP438" s="4" t="s">
        <v>245</v>
      </c>
      <c r="AQ438" s="4" t="s">
        <v>72</v>
      </c>
      <c r="AR438" s="4" t="s">
        <v>90</v>
      </c>
      <c r="AS438" s="4" t="s">
        <v>74</v>
      </c>
      <c r="AT438" s="0" t="n">
        <v>0.05</v>
      </c>
      <c r="AU438" s="4" t="s">
        <v>61</v>
      </c>
      <c r="AV438" s="4" t="s">
        <v>142</v>
      </c>
    </row>
    <row r="439" customFormat="false" ht="15" hidden="false" customHeight="false" outlineLevel="0" collapsed="false">
      <c r="A439" s="0" t="s">
        <v>1768</v>
      </c>
      <c r="B439" s="3" t="n">
        <f aca="false">IF(AJ439="","",IF(ISNUMBER(SEARCH("/",AJ439)),DATE(VALUE(RIGHT(AJ439,4)),VALUE(LEFT(AJ439,2)),VALUE(MID(AJ439,4,2))),IF(ISNUMBER(SEARCH("-",AJ439)),IF(LEN(LEFT(AJ439,FIND("-",AJ439)-1))=4,DATE(VALUE(LEFT(AJ439,4)),VALUE(MID(AJ439,6,2)),VALUE(RIGHT(AJ439,2))),DATE(VALUE(RIGHT(AJ439,4)),VALUE(MID(AJ439,4,2)),VALUE(LEFT(AJ439,2)))),DATE(VALUE(RIGHT(AJ439,4)),MATCH(MID(AJ439,4,3),{"Jan","Feb","Mar","Apr","May","Jun","Jul","Aug","Sep","Oct","Nov","Dec"},0),VALUE(LEFT(AJ439,2))))))</f>
        <v>45337</v>
      </c>
      <c r="C439" s="3" t="n">
        <f aca="false">IF(AK439="","",IF(ISNUMBER(SEARCH("/",AK439)),DATE(VALUE(RIGHT(AK439,4)),VALUE(LEFT(AK439,2)),VALUE(MID(AK439,4,2))),IF(ISNUMBER(SEARCH("-",AK439)),IF(LEN(LEFT(AK439,FIND("-",AK439)-1))=4,DATE(VALUE(LEFT(AK439,4)),VALUE(MID(AK439,6,2)),VALUE(RIGHT(AK439,2))),DATE(VALUE(RIGHT(AK439,4)),VALUE(MID(AK439,4,2)),VALUE(LEFT(AK439,2)))),DATE(VALUE(RIGHT(AK439,4)),MATCH(MID(AK439,4,3),{"Jan","Feb","Mar","Apr","May","Jun","Jul","Aug","Sep","Oct","Nov","Dec"},0),VALUE(LEFT(AK439,2))))))</f>
        <v>45340</v>
      </c>
      <c r="D439" s="4" t="s">
        <v>1769</v>
      </c>
      <c r="E439" s="0" t="str">
        <f aca="false">PROPER(TRIM(AL439))</f>
        <v>Aditi Sen</v>
      </c>
      <c r="F439" s="0" t="str">
        <f aca="false">PROPER(TRIM(AM439))</f>
        <v>Small Business</v>
      </c>
      <c r="G439" s="0" t="str">
        <f aca="false">IF(TRIM(AN439)="","Unknown",PROPER(TRIM(AN439)))</f>
        <v>South</v>
      </c>
      <c r="H439" s="0" t="str">
        <f aca="false">PROPER(TRIM(AO439))</f>
        <v>Kerala</v>
      </c>
      <c r="I439" s="0" t="str">
        <f aca="false">PROPER(TRIM(AP439))</f>
        <v>Kochi</v>
      </c>
      <c r="J439" s="0" t="str">
        <f aca="false">PROPER(TRIM(AQ439))</f>
        <v>Technology</v>
      </c>
      <c r="K439" s="0" t="str">
        <f aca="false">PROPER(TRIM(AR439))</f>
        <v>Accessories</v>
      </c>
      <c r="M439" s="0" t="str">
        <f aca="false">IF(TRIM(AS439)="","Unknown",PROPER(TRIM(AS439)))</f>
        <v>Same Day</v>
      </c>
      <c r="N439" s="0" t="n">
        <v>8</v>
      </c>
      <c r="O439" s="0" t="n">
        <v>379.82</v>
      </c>
      <c r="P439" s="5" t="n">
        <f aca="false">IF(AT439="","",IF(ISNUMBER(AT439),AT439,VALUE(SUBSTITUTE(AT439,"%",""))/100))</f>
        <v>0.05</v>
      </c>
      <c r="Q439" s="5" t="n">
        <f aca="false">IF(P439="",IF(AND(N439&lt;&gt;"",O439&lt;&gt;"",R439&lt;&gt;"",S439&lt;&gt;""),0,"REVIEW"),IF(OR(P439&lt;0,P439&gt;0.3),0,P439))</f>
        <v>0.05</v>
      </c>
      <c r="R439" s="0" t="n">
        <v>2886.63</v>
      </c>
      <c r="S439" s="0" t="n">
        <v>1588.23</v>
      </c>
      <c r="T439" s="6" t="n">
        <f aca="false">N439*O439*(1-Q439)</f>
        <v>2886.632</v>
      </c>
      <c r="U439" s="6" t="n">
        <f aca="false">T439-S439</f>
        <v>1298.402</v>
      </c>
      <c r="V439" s="7" t="n">
        <f aca="false">IF(T439=0,0,U439/T439)</f>
        <v>0.44979824238074</v>
      </c>
      <c r="W439" s="4" t="n">
        <f aca="false">C439-B439</f>
        <v>3</v>
      </c>
      <c r="X439" s="0" t="str">
        <f aca="false">TEXT(B439,"mmmm")</f>
        <v>February</v>
      </c>
      <c r="Y439" s="4" t="n">
        <f aca="false">YEAR(B439)</f>
        <v>2024</v>
      </c>
      <c r="Z439" s="0" t="str">
        <f aca="false">PROPER(TRIM(AU439))</f>
        <v>Failed</v>
      </c>
      <c r="AA439" s="0" t="str">
        <f aca="false">PROPER(TRIM(AV439))</f>
        <v>Returned</v>
      </c>
      <c r="AB439" s="0" t="str">
        <f aca="false">IF(TRIM(AN439)="","Yes","No")</f>
        <v>No</v>
      </c>
      <c r="AC439" s="0" t="str">
        <f aca="false">IF(TRIM(AS439)="","Yes","No")</f>
        <v>No</v>
      </c>
      <c r="AD439" s="0" t="str">
        <f aca="false">IF(AT439="","Yes","No")</f>
        <v>No</v>
      </c>
      <c r="AE439" s="0" t="str">
        <f aca="false">IF(W439&lt;0,"Yes","No")</f>
        <v>No</v>
      </c>
      <c r="AF439" s="0" t="str">
        <f aca="false">IF(P439="","No",IF(OR(P439&lt;0,P439&gt;0.3),"Yes","No"))</f>
        <v>No</v>
      </c>
      <c r="AG439" s="4" t="s">
        <v>50</v>
      </c>
      <c r="AH439" s="0" t="str">
        <f aca="false">IF(AND(AA439="Completed",Z439="Paid"),"Yes","No")</f>
        <v>No</v>
      </c>
      <c r="AI439" s="0" t="str">
        <f aca="false">IF(OR(AE439="Yes",AF439="Yes",AG439="Yes"),"Invalid",IF(OR(AB439="Yes",AC439="Yes",AD439="Yes"),"Warning","Clean"))</f>
        <v>Clean</v>
      </c>
      <c r="AJ439" s="4" t="s">
        <v>1770</v>
      </c>
      <c r="AK439" s="4" t="s">
        <v>1771</v>
      </c>
      <c r="AL439" s="4" t="s">
        <v>127</v>
      </c>
      <c r="AM439" s="4" t="s">
        <v>68</v>
      </c>
      <c r="AN439" s="4" t="s">
        <v>87</v>
      </c>
      <c r="AO439" s="4" t="s">
        <v>244</v>
      </c>
      <c r="AP439" s="4" t="s">
        <v>245</v>
      </c>
      <c r="AQ439" s="4" t="s">
        <v>109</v>
      </c>
      <c r="AR439" s="4" t="s">
        <v>1772</v>
      </c>
      <c r="AS439" s="4" t="s">
        <v>74</v>
      </c>
      <c r="AT439" s="0" t="n">
        <v>0.05</v>
      </c>
      <c r="AU439" s="4" t="s">
        <v>207</v>
      </c>
      <c r="AV439" s="4" t="s">
        <v>142</v>
      </c>
    </row>
    <row r="440" customFormat="false" ht="15" hidden="false" customHeight="false" outlineLevel="0" collapsed="false">
      <c r="A440" s="0" t="s">
        <v>1773</v>
      </c>
      <c r="B440" s="3" t="n">
        <f aca="false">IF(AJ440="","",IF(ISNUMBER(SEARCH("/",AJ440)),DATE(VALUE(RIGHT(AJ440,4)),VALUE(LEFT(AJ440,2)),VALUE(MID(AJ440,4,2))),IF(ISNUMBER(SEARCH("-",AJ440)),IF(LEN(LEFT(AJ440,FIND("-",AJ440)-1))=4,DATE(VALUE(LEFT(AJ440,4)),VALUE(MID(AJ440,6,2)),VALUE(RIGHT(AJ440,2))),DATE(VALUE(RIGHT(AJ440,4)),VALUE(MID(AJ440,4,2)),VALUE(LEFT(AJ440,2)))),DATE(VALUE(RIGHT(AJ440,4)),MATCH(MID(AJ440,4,3),{"Jan","Feb","Mar","Apr","May","Jun","Jul","Aug","Sep","Oct","Nov","Dec"},0),VALUE(LEFT(AJ440,2))))))</f>
        <v>45784</v>
      </c>
      <c r="C440" s="3" t="n">
        <f aca="false">IF(AK440="","",IF(ISNUMBER(SEARCH("/",AK440)),DATE(VALUE(RIGHT(AK440,4)),VALUE(LEFT(AK440,2)),VALUE(MID(AK440,4,2))),IF(ISNUMBER(SEARCH("-",AK440)),IF(LEN(LEFT(AK440,FIND("-",AK440)-1))=4,DATE(VALUE(LEFT(AK440,4)),VALUE(MID(AK440,6,2)),VALUE(RIGHT(AK440,2))),DATE(VALUE(RIGHT(AK440,4)),VALUE(MID(AK440,4,2)),VALUE(LEFT(AK440,2)))),DATE(VALUE(RIGHT(AK440,4)),MATCH(MID(AK440,4,3),{"Jan","Feb","Mar","Apr","May","Jun","Jul","Aug","Sep","Oct","Nov","Dec"},0),VALUE(LEFT(AK440,2))))))</f>
        <v>45782</v>
      </c>
      <c r="D440" s="4" t="s">
        <v>1774</v>
      </c>
      <c r="E440" s="0" t="str">
        <f aca="false">PROPER(TRIM(AL440))</f>
        <v>Neha Gupta</v>
      </c>
      <c r="F440" s="0" t="str">
        <f aca="false">PROPER(TRIM(AM440))</f>
        <v>Corporate</v>
      </c>
      <c r="G440" s="0" t="str">
        <f aca="false">IF(TRIM(AN440)="","Unknown",PROPER(TRIM(AN440)))</f>
        <v>East</v>
      </c>
      <c r="H440" s="0" t="str">
        <f aca="false">PROPER(TRIM(AO440))</f>
        <v>Jharkhand</v>
      </c>
      <c r="I440" s="0" t="str">
        <f aca="false">PROPER(TRIM(AP440))</f>
        <v>Ranchi</v>
      </c>
      <c r="J440" s="0" t="str">
        <f aca="false">PROPER(TRIM(AQ440))</f>
        <v>Technology</v>
      </c>
      <c r="K440" s="0" t="str">
        <f aca="false">PROPER(TRIM(AR440))</f>
        <v>Phones</v>
      </c>
      <c r="M440" s="0" t="str">
        <f aca="false">IF(TRIM(AS440)="","Unknown",PROPER(TRIM(AS440)))</f>
        <v>Standard Class</v>
      </c>
      <c r="N440" s="0" t="n">
        <v>1</v>
      </c>
      <c r="O440" s="0" t="n">
        <v>2266.47</v>
      </c>
      <c r="P440" s="5" t="n">
        <f aca="false">IF(AT440="","",IF(ISNUMBER(AT440),AT440,VALUE(SUBSTITUTE(AT440,"%",""))/100))</f>
        <v>0.2</v>
      </c>
      <c r="Q440" s="5" t="n">
        <f aca="false">IF(P440="",IF(AND(N440&lt;&gt;"",O440&lt;&gt;"",R440&lt;&gt;"",S440&lt;&gt;""),0,"REVIEW"),IF(OR(P440&lt;0,P440&gt;0.3),0,P440))</f>
        <v>0.2</v>
      </c>
      <c r="R440" s="0" t="n">
        <v>1813.18</v>
      </c>
      <c r="S440" s="0" t="n">
        <v>1363.64</v>
      </c>
      <c r="T440" s="6" t="n">
        <f aca="false">N440*O440*(1-Q440)</f>
        <v>1813.176</v>
      </c>
      <c r="U440" s="6" t="n">
        <f aca="false">T440-S440</f>
        <v>449.536</v>
      </c>
      <c r="V440" s="7" t="n">
        <f aca="false">IF(T440=0,0,U440/T440)</f>
        <v>0.247927393700336</v>
      </c>
      <c r="W440" s="4" t="n">
        <f aca="false">C440-B440</f>
        <v>-2</v>
      </c>
      <c r="X440" s="0" t="str">
        <f aca="false">TEXT(B440,"mmmm")</f>
        <v>May</v>
      </c>
      <c r="Y440" s="4" t="n">
        <f aca="false">YEAR(B440)</f>
        <v>2025</v>
      </c>
      <c r="Z440" s="0" t="str">
        <f aca="false">PROPER(TRIM(AU440))</f>
        <v>Paid</v>
      </c>
      <c r="AA440" s="0" t="str">
        <f aca="false">PROPER(TRIM(AV440))</f>
        <v>Completed</v>
      </c>
      <c r="AB440" s="0" t="str">
        <f aca="false">IF(TRIM(AN440)="","Yes","No")</f>
        <v>No</v>
      </c>
      <c r="AC440" s="0" t="str">
        <f aca="false">IF(TRIM(AS440)="","Yes","No")</f>
        <v>No</v>
      </c>
      <c r="AD440" s="0" t="str">
        <f aca="false">IF(AT440="","Yes","No")</f>
        <v>No</v>
      </c>
      <c r="AE440" s="0" t="str">
        <f aca="false">IF(W440&lt;0,"Yes","No")</f>
        <v>Yes</v>
      </c>
      <c r="AF440" s="0" t="str">
        <f aca="false">IF(P440="","No",IF(OR(P440&lt;0,P440&gt;0.3),"Yes","No"))</f>
        <v>No</v>
      </c>
      <c r="AG440" s="4" t="s">
        <v>50</v>
      </c>
      <c r="AH440" s="0" t="str">
        <f aca="false">IF(AND(AA440="Completed",Z440="Paid"),"Yes","No")</f>
        <v>Yes</v>
      </c>
      <c r="AI440" s="0" t="str">
        <f aca="false">IF(OR(AE440="Yes",AF440="Yes",AG440="Yes"),"Invalid",IF(OR(AB440="Yes",AC440="Yes",AD440="Yes"),"Warning","Clean"))</f>
        <v>Invalid</v>
      </c>
      <c r="AJ440" s="4" t="s">
        <v>877</v>
      </c>
      <c r="AK440" s="4" t="s">
        <v>1775</v>
      </c>
      <c r="AL440" s="4" t="s">
        <v>115</v>
      </c>
      <c r="AM440" s="4" t="s">
        <v>128</v>
      </c>
      <c r="AN440" s="4" t="s">
        <v>69</v>
      </c>
      <c r="AO440" s="4" t="s">
        <v>300</v>
      </c>
      <c r="AP440" s="4" t="s">
        <v>301</v>
      </c>
      <c r="AQ440" s="4" t="s">
        <v>109</v>
      </c>
      <c r="AR440" s="4" t="s">
        <v>227</v>
      </c>
      <c r="AS440" s="4" t="s">
        <v>91</v>
      </c>
      <c r="AT440" s="0" t="n">
        <v>0.2</v>
      </c>
      <c r="AU440" s="4" t="s">
        <v>61</v>
      </c>
      <c r="AV440" s="4" t="s">
        <v>62</v>
      </c>
    </row>
    <row r="441" customFormat="false" ht="15" hidden="false" customHeight="false" outlineLevel="0" collapsed="false">
      <c r="A441" s="0" t="s">
        <v>1776</v>
      </c>
      <c r="B441" s="3" t="n">
        <f aca="false">IF(AJ441="","",IF(ISNUMBER(SEARCH("/",AJ441)),DATE(VALUE(RIGHT(AJ441,4)),VALUE(LEFT(AJ441,2)),VALUE(MID(AJ441,4,2))),IF(ISNUMBER(SEARCH("-",AJ441)),IF(LEN(LEFT(AJ441,FIND("-",AJ441)-1))=4,DATE(VALUE(LEFT(AJ441,4)),VALUE(MID(AJ441,6,2)),VALUE(RIGHT(AJ441,2))),DATE(VALUE(RIGHT(AJ441,4)),VALUE(MID(AJ441,4,2)),VALUE(LEFT(AJ441,2)))),DATE(VALUE(RIGHT(AJ441,4)),MATCH(MID(AJ441,4,3),{"Jan","Feb","Mar","Apr","May","Jun","Jul","Aug","Sep","Oct","Nov","Dec"},0),VALUE(LEFT(AJ441,2))))))</f>
        <v>45838</v>
      </c>
      <c r="C441" s="3" t="n">
        <f aca="false">IF(AK441="","",IF(ISNUMBER(SEARCH("/",AK441)),DATE(VALUE(RIGHT(AK441,4)),VALUE(LEFT(AK441,2)),VALUE(MID(AK441,4,2))),IF(ISNUMBER(SEARCH("-",AK441)),IF(LEN(LEFT(AK441,FIND("-",AK441)-1))=4,DATE(VALUE(LEFT(AK441,4)),VALUE(MID(AK441,6,2)),VALUE(RIGHT(AK441,2))),DATE(VALUE(RIGHT(AK441,4)),VALUE(MID(AK441,4,2)),VALUE(LEFT(AK441,2)))),DATE(VALUE(RIGHT(AK441,4)),MATCH(MID(AK441,4,3),{"Jan","Feb","Mar","Apr","May","Jun","Jul","Aug","Sep","Oct","Nov","Dec"},0),VALUE(LEFT(AK441,2))))))</f>
        <v>45841</v>
      </c>
      <c r="D441" s="4" t="s">
        <v>1777</v>
      </c>
      <c r="E441" s="0" t="str">
        <f aca="false">PROPER(TRIM(AL441))</f>
        <v>Aarav Sharma</v>
      </c>
      <c r="F441" s="0" t="str">
        <f aca="false">PROPER(TRIM(AM441))</f>
        <v>Home Office</v>
      </c>
      <c r="G441" s="0" t="str">
        <f aca="false">IF(TRIM(AN441)="","Unknown",PROPER(TRIM(AN441)))</f>
        <v>West</v>
      </c>
      <c r="H441" s="0" t="str">
        <f aca="false">PROPER(TRIM(AO441))</f>
        <v>Goa</v>
      </c>
      <c r="I441" s="0" t="str">
        <f aca="false">PROPER(TRIM(AP441))</f>
        <v>Panaji</v>
      </c>
      <c r="J441" s="0" t="str">
        <f aca="false">PROPER(TRIM(AQ441))</f>
        <v>Office Supplies</v>
      </c>
      <c r="K441" s="0" t="str">
        <f aca="false">PROPER(TRIM(AR441))</f>
        <v>Storage</v>
      </c>
      <c r="M441" s="0" t="str">
        <f aca="false">IF(TRIM(AS441)="","Unknown",PROPER(TRIM(AS441)))</f>
        <v>Same Day</v>
      </c>
      <c r="N441" s="0" t="n">
        <v>5</v>
      </c>
      <c r="O441" s="0" t="n">
        <v>665.25</v>
      </c>
      <c r="P441" s="5" t="n">
        <f aca="false">IF(AT441="","",IF(ISNUMBER(AT441),AT441,VALUE(SUBSTITUTE(AT441,"%",""))/100))</f>
        <v>0</v>
      </c>
      <c r="Q441" s="5" t="n">
        <f aca="false">IF(P441="",IF(AND(N441&lt;&gt;"",O441&lt;&gt;"",R441&lt;&gt;"",S441&lt;&gt;""),0,"REVIEW"),IF(OR(P441&lt;0,P441&gt;0.3),0,P441))</f>
        <v>0</v>
      </c>
      <c r="R441" s="0" t="n">
        <v>3326.25</v>
      </c>
      <c r="S441" s="0" t="n">
        <v>2689.36</v>
      </c>
      <c r="T441" s="6" t="n">
        <f aca="false">N441*O441*(1-Q441)</f>
        <v>3326.25</v>
      </c>
      <c r="U441" s="6" t="n">
        <f aca="false">T441-S441</f>
        <v>636.89</v>
      </c>
      <c r="V441" s="7" t="n">
        <f aca="false">IF(T441=0,0,U441/T441)</f>
        <v>0.191473881999248</v>
      </c>
      <c r="W441" s="4" t="n">
        <f aca="false">C441-B441</f>
        <v>3</v>
      </c>
      <c r="X441" s="0" t="str">
        <f aca="false">TEXT(B441,"mmmm")</f>
        <v>June</v>
      </c>
      <c r="Y441" s="4" t="n">
        <f aca="false">YEAR(B441)</f>
        <v>2025</v>
      </c>
      <c r="Z441" s="0" t="str">
        <f aca="false">PROPER(TRIM(AU441))</f>
        <v>Refunded</v>
      </c>
      <c r="AA441" s="0" t="str">
        <f aca="false">PROPER(TRIM(AV441))</f>
        <v>Returned</v>
      </c>
      <c r="AB441" s="0" t="str">
        <f aca="false">IF(TRIM(AN441)="","Yes","No")</f>
        <v>No</v>
      </c>
      <c r="AC441" s="0" t="str">
        <f aca="false">IF(TRIM(AS441)="","Yes","No")</f>
        <v>No</v>
      </c>
      <c r="AD441" s="0" t="str">
        <f aca="false">IF(AT441="","Yes","No")</f>
        <v>No</v>
      </c>
      <c r="AE441" s="0" t="str">
        <f aca="false">IF(W441&lt;0,"Yes","No")</f>
        <v>No</v>
      </c>
      <c r="AF441" s="0" t="str">
        <f aca="false">IF(P441="","No",IF(OR(P441&lt;0,P441&gt;0.3),"Yes","No"))</f>
        <v>No</v>
      </c>
      <c r="AG441" s="4" t="s">
        <v>50</v>
      </c>
      <c r="AH441" s="0" t="str">
        <f aca="false">IF(AND(AA441="Completed",Z441="Paid"),"Yes","No")</f>
        <v>No</v>
      </c>
      <c r="AI441" s="0" t="str">
        <f aca="false">IF(OR(AE441="Yes",AF441="Yes",AG441="Yes"),"Invalid",IF(OR(AB441="Yes",AC441="Yes",AD441="Yes"),"Warning","Clean"))</f>
        <v>Clean</v>
      </c>
      <c r="AJ441" s="4" t="s">
        <v>1778</v>
      </c>
      <c r="AK441" s="4" t="s">
        <v>1779</v>
      </c>
      <c r="AL441" s="4" t="s">
        <v>176</v>
      </c>
      <c r="AM441" s="4" t="s">
        <v>134</v>
      </c>
      <c r="AN441" s="4" t="s">
        <v>97</v>
      </c>
      <c r="AO441" s="4" t="s">
        <v>250</v>
      </c>
      <c r="AP441" s="4" t="s">
        <v>251</v>
      </c>
      <c r="AQ441" s="4" t="s">
        <v>58</v>
      </c>
      <c r="AR441" s="4" t="s">
        <v>171</v>
      </c>
      <c r="AS441" s="4" t="s">
        <v>74</v>
      </c>
      <c r="AT441" s="0" t="n">
        <v>0</v>
      </c>
      <c r="AU441" s="4" t="s">
        <v>141</v>
      </c>
      <c r="AV441" s="4" t="s">
        <v>142</v>
      </c>
    </row>
    <row r="442" customFormat="false" ht="15" hidden="false" customHeight="false" outlineLevel="0" collapsed="false">
      <c r="A442" s="0" t="s">
        <v>1780</v>
      </c>
      <c r="B442" s="3" t="n">
        <f aca="false">IF(AJ442="","",IF(ISNUMBER(SEARCH("/",AJ442)),DATE(VALUE(RIGHT(AJ442,4)),VALUE(LEFT(AJ442,2)),VALUE(MID(AJ442,4,2))),IF(ISNUMBER(SEARCH("-",AJ442)),IF(LEN(LEFT(AJ442,FIND("-",AJ442)-1))=4,DATE(VALUE(LEFT(AJ442,4)),VALUE(MID(AJ442,6,2)),VALUE(RIGHT(AJ442,2))),DATE(VALUE(RIGHT(AJ442,4)),VALUE(MID(AJ442,4,2)),VALUE(LEFT(AJ442,2)))),DATE(VALUE(RIGHT(AJ442,4)),MATCH(MID(AJ442,4,3),{"Jan","Feb","Mar","Apr","May","Jun","Jul","Aug","Sep","Oct","Nov","Dec"},0),VALUE(LEFT(AJ442,2))))))</f>
        <v>45384</v>
      </c>
      <c r="C442" s="3" t="n">
        <f aca="false">IF(AK442="","",IF(ISNUMBER(SEARCH("/",AK442)),DATE(VALUE(RIGHT(AK442,4)),VALUE(LEFT(AK442,2)),VALUE(MID(AK442,4,2))),IF(ISNUMBER(SEARCH("-",AK442)),IF(LEN(LEFT(AK442,FIND("-",AK442)-1))=4,DATE(VALUE(LEFT(AK442,4)),VALUE(MID(AK442,6,2)),VALUE(RIGHT(AK442,2))),DATE(VALUE(RIGHT(AK442,4)),VALUE(MID(AK442,4,2)),VALUE(LEFT(AK442,2)))),DATE(VALUE(RIGHT(AK442,4)),MATCH(MID(AK442,4,3),{"Jan","Feb","Mar","Apr","May","Jun","Jul","Aug","Sep","Oct","Nov","Dec"},0),VALUE(LEFT(AK442,2))))))</f>
        <v>45390</v>
      </c>
      <c r="D442" s="4" t="s">
        <v>353</v>
      </c>
      <c r="E442" s="0" t="str">
        <f aca="false">PROPER(TRIM(AL442))</f>
        <v>Vikram Iyer</v>
      </c>
      <c r="F442" s="0" t="str">
        <f aca="false">PROPER(TRIM(AM442))</f>
        <v>Corporate</v>
      </c>
      <c r="G442" s="0" t="str">
        <f aca="false">IF(TRIM(AN442)="","Unknown",PROPER(TRIM(AN442)))</f>
        <v>East</v>
      </c>
      <c r="H442" s="0" t="str">
        <f aca="false">PROPER(TRIM(AO442))</f>
        <v>Odisha</v>
      </c>
      <c r="I442" s="0" t="str">
        <f aca="false">PROPER(TRIM(AP442))</f>
        <v>Bhubaneswar</v>
      </c>
      <c r="J442" s="0" t="str">
        <f aca="false">PROPER(TRIM(AQ442))</f>
        <v>Technology</v>
      </c>
      <c r="K442" s="0" t="str">
        <f aca="false">PROPER(TRIM(AR442))</f>
        <v>Machines</v>
      </c>
      <c r="M442" s="0" t="str">
        <f aca="false">IF(TRIM(AS442)="","Unknown",PROPER(TRIM(AS442)))</f>
        <v>Second Class</v>
      </c>
      <c r="N442" s="0" t="n">
        <v>6</v>
      </c>
      <c r="O442" s="0" t="n">
        <v>3722.84</v>
      </c>
      <c r="P442" s="5" t="n">
        <f aca="false">IF(AT442="","",IF(ISNUMBER(AT442),AT442,VALUE(SUBSTITUTE(AT442,"%",""))/100))</f>
        <v>0.2</v>
      </c>
      <c r="Q442" s="5" t="n">
        <f aca="false">IF(P442="",IF(AND(N442&lt;&gt;"",O442&lt;&gt;"",R442&lt;&gt;"",S442&lt;&gt;""),0,"REVIEW"),IF(OR(P442&lt;0,P442&gt;0.3),0,P442))</f>
        <v>0.2</v>
      </c>
      <c r="R442" s="0" t="n">
        <v>17869.63</v>
      </c>
      <c r="S442" s="0" t="n">
        <v>12163.8</v>
      </c>
      <c r="T442" s="6" t="n">
        <f aca="false">N442*O442*(1-Q442)</f>
        <v>17869.632</v>
      </c>
      <c r="U442" s="6" t="n">
        <f aca="false">T442-S442</f>
        <v>5705.832</v>
      </c>
      <c r="V442" s="7" t="n">
        <f aca="false">IF(T442=0,0,U442/T442)</f>
        <v>0.319303273844699</v>
      </c>
      <c r="W442" s="4" t="n">
        <f aca="false">C442-B442</f>
        <v>6</v>
      </c>
      <c r="X442" s="0" t="str">
        <f aca="false">TEXT(B442,"mmmm")</f>
        <v>April</v>
      </c>
      <c r="Y442" s="4" t="n">
        <f aca="false">YEAR(B442)</f>
        <v>2024</v>
      </c>
      <c r="Z442" s="0" t="str">
        <f aca="false">PROPER(TRIM(AU442))</f>
        <v>Paid</v>
      </c>
      <c r="AA442" s="0" t="str">
        <f aca="false">PROPER(TRIM(AV442))</f>
        <v>Completed</v>
      </c>
      <c r="AB442" s="0" t="str">
        <f aca="false">IF(TRIM(AN442)="","Yes","No")</f>
        <v>No</v>
      </c>
      <c r="AC442" s="0" t="str">
        <f aca="false">IF(TRIM(AS442)="","Yes","No")</f>
        <v>No</v>
      </c>
      <c r="AD442" s="0" t="str">
        <f aca="false">IF(AT442="","Yes","No")</f>
        <v>No</v>
      </c>
      <c r="AE442" s="0" t="str">
        <f aca="false">IF(W442&lt;0,"Yes","No")</f>
        <v>No</v>
      </c>
      <c r="AF442" s="0" t="str">
        <f aca="false">IF(P442="","No",IF(OR(P442&lt;0,P442&gt;0.3),"Yes","No"))</f>
        <v>No</v>
      </c>
      <c r="AG442" s="4" t="s">
        <v>50</v>
      </c>
      <c r="AH442" s="0" t="str">
        <f aca="false">IF(AND(AA442="Completed",Z442="Paid"),"Yes","No")</f>
        <v>Yes</v>
      </c>
      <c r="AI442" s="0" t="str">
        <f aca="false">IF(OR(AE442="Yes",AF442="Yes",AG442="Yes"),"Invalid",IF(OR(AB442="Yes",AC442="Yes",AD442="Yes"),"Warning","Clean"))</f>
        <v>Clean</v>
      </c>
      <c r="AJ442" s="4" t="s">
        <v>1781</v>
      </c>
      <c r="AK442" s="4" t="s">
        <v>1782</v>
      </c>
      <c r="AL442" s="4" t="s">
        <v>106</v>
      </c>
      <c r="AM442" s="4" t="s">
        <v>128</v>
      </c>
      <c r="AN442" s="4" t="s">
        <v>69</v>
      </c>
      <c r="AO442" s="4" t="s">
        <v>70</v>
      </c>
      <c r="AP442" s="4" t="s">
        <v>71</v>
      </c>
      <c r="AQ442" s="4" t="s">
        <v>109</v>
      </c>
      <c r="AR442" s="4" t="s">
        <v>360</v>
      </c>
      <c r="AS442" s="4" t="s">
        <v>60</v>
      </c>
      <c r="AT442" s="0" t="n">
        <v>0.2</v>
      </c>
      <c r="AU442" s="4" t="s">
        <v>61</v>
      </c>
      <c r="AV442" s="4" t="s">
        <v>62</v>
      </c>
    </row>
    <row r="443" customFormat="false" ht="15" hidden="false" customHeight="false" outlineLevel="0" collapsed="false">
      <c r="A443" s="0" t="s">
        <v>1783</v>
      </c>
      <c r="B443" s="3" t="n">
        <f aca="false">IF(AJ443="","",IF(ISNUMBER(SEARCH("/",AJ443)),DATE(VALUE(RIGHT(AJ443,4)),VALUE(LEFT(AJ443,2)),VALUE(MID(AJ443,4,2))),IF(ISNUMBER(SEARCH("-",AJ443)),IF(LEN(LEFT(AJ443,FIND("-",AJ443)-1))=4,DATE(VALUE(LEFT(AJ443,4)),VALUE(MID(AJ443,6,2)),VALUE(RIGHT(AJ443,2))),DATE(VALUE(RIGHT(AJ443,4)),VALUE(MID(AJ443,4,2)),VALUE(LEFT(AJ443,2)))),DATE(VALUE(RIGHT(AJ443,4)),MATCH(MID(AJ443,4,3),{"Jan","Feb","Mar","Apr","May","Jun","Jul","Aug","Sep","Oct","Nov","Dec"},0),VALUE(LEFT(AJ443,2))))))</f>
        <v>45568</v>
      </c>
      <c r="C443" s="3" t="n">
        <f aca="false">IF(AK443="","",IF(ISNUMBER(SEARCH("/",AK443)),DATE(VALUE(RIGHT(AK443,4)),VALUE(LEFT(AK443,2)),VALUE(MID(AK443,4,2))),IF(ISNUMBER(SEARCH("-",AK443)),IF(LEN(LEFT(AK443,FIND("-",AK443)-1))=4,DATE(VALUE(LEFT(AK443,4)),VALUE(MID(AK443,6,2)),VALUE(RIGHT(AK443,2))),DATE(VALUE(RIGHT(AK443,4)),VALUE(MID(AK443,4,2)),VALUE(LEFT(AK443,2)))),DATE(VALUE(RIGHT(AK443,4)),MATCH(MID(AK443,4,3),{"Jan","Feb","Mar","Apr","May","Jun","Jul","Aug","Sep","Oct","Nov","Dec"},0),VALUE(LEFT(AK443,2))))))</f>
        <v>45568</v>
      </c>
      <c r="D443" s="4" t="s">
        <v>1784</v>
      </c>
      <c r="E443" s="0" t="str">
        <f aca="false">PROPER(TRIM(AL443))</f>
        <v>Karan Malhotra</v>
      </c>
      <c r="F443" s="0" t="str">
        <f aca="false">PROPER(TRIM(AM443))</f>
        <v>Consumer</v>
      </c>
      <c r="G443" s="0" t="str">
        <f aca="false">IF(TRIM(AN443)="","Unknown",PROPER(TRIM(AN443)))</f>
        <v>East</v>
      </c>
      <c r="H443" s="0" t="str">
        <f aca="false">PROPER(TRIM(AO443))</f>
        <v>Bihar</v>
      </c>
      <c r="I443" s="0" t="str">
        <f aca="false">PROPER(TRIM(AP443))</f>
        <v>Patna</v>
      </c>
      <c r="J443" s="0" t="str">
        <f aca="false">PROPER(TRIM(AQ443))</f>
        <v>Furniture</v>
      </c>
      <c r="K443" s="0" t="str">
        <f aca="false">PROPER(TRIM(AR443))</f>
        <v>Bookcases</v>
      </c>
      <c r="M443" s="0" t="str">
        <f aca="false">IF(TRIM(AS443)="","Unknown",PROPER(TRIM(AS443)))</f>
        <v>Standard Class</v>
      </c>
      <c r="N443" s="0" t="n">
        <v>6</v>
      </c>
      <c r="O443" s="0" t="n">
        <v>4217.49</v>
      </c>
      <c r="P443" s="5" t="n">
        <f aca="false">IF(AT443="","",IF(ISNUMBER(AT443),AT443,VALUE(SUBSTITUTE(AT443,"%",""))/100))</f>
        <v>0</v>
      </c>
      <c r="Q443" s="5" t="n">
        <f aca="false">IF(P443="",IF(AND(N443&lt;&gt;"",O443&lt;&gt;"",R443&lt;&gt;"",S443&lt;&gt;""),0,"REVIEW"),IF(OR(P443&lt;0,P443&gt;0.3),0,P443))</f>
        <v>0</v>
      </c>
      <c r="R443" s="0" t="n">
        <v>25304.94</v>
      </c>
      <c r="S443" s="0" t="n">
        <v>20771.95</v>
      </c>
      <c r="T443" s="6" t="n">
        <f aca="false">N443*O443*(1-Q443)</f>
        <v>25304.94</v>
      </c>
      <c r="U443" s="6" t="n">
        <f aca="false">T443-S443</f>
        <v>4532.99</v>
      </c>
      <c r="V443" s="7" t="n">
        <f aca="false">IF(T443=0,0,U443/T443)</f>
        <v>0.179134587950021</v>
      </c>
      <c r="W443" s="4" t="n">
        <f aca="false">C443-B443</f>
        <v>0</v>
      </c>
      <c r="X443" s="0" t="str">
        <f aca="false">TEXT(B443,"mmmm")</f>
        <v>October</v>
      </c>
      <c r="Y443" s="4" t="n">
        <f aca="false">YEAR(B443)</f>
        <v>2024</v>
      </c>
      <c r="Z443" s="0" t="str">
        <f aca="false">PROPER(TRIM(AU443))</f>
        <v>Paid</v>
      </c>
      <c r="AA443" s="0" t="str">
        <f aca="false">PROPER(TRIM(AV443))</f>
        <v>Cancelled</v>
      </c>
      <c r="AB443" s="0" t="str">
        <f aca="false">IF(TRIM(AN443)="","Yes","No")</f>
        <v>No</v>
      </c>
      <c r="AC443" s="0" t="str">
        <f aca="false">IF(TRIM(AS443)="","Yes","No")</f>
        <v>No</v>
      </c>
      <c r="AD443" s="0" t="str">
        <f aca="false">IF(AT443="","Yes","No")</f>
        <v>No</v>
      </c>
      <c r="AE443" s="0" t="str">
        <f aca="false">IF(W443&lt;0,"Yes","No")</f>
        <v>No</v>
      </c>
      <c r="AF443" s="0" t="str">
        <f aca="false">IF(P443="","No",IF(OR(P443&lt;0,P443&gt;0.3),"Yes","No"))</f>
        <v>No</v>
      </c>
      <c r="AG443" s="4" t="s">
        <v>50</v>
      </c>
      <c r="AH443" s="0" t="str">
        <f aca="false">IF(AND(AA443="Completed",Z443="Paid"),"Yes","No")</f>
        <v>No</v>
      </c>
      <c r="AI443" s="0" t="str">
        <f aca="false">IF(OR(AE443="Yes",AF443="Yes",AG443="Yes"),"Invalid",IF(OR(AB443="Yes",AC443="Yes",AD443="Yes"),"Warning","Clean"))</f>
        <v>Clean</v>
      </c>
      <c r="AJ443" s="4" t="s">
        <v>1785</v>
      </c>
      <c r="AK443" s="4" t="s">
        <v>477</v>
      </c>
      <c r="AL443" s="4" t="s">
        <v>53</v>
      </c>
      <c r="AM443" s="4" t="s">
        <v>54</v>
      </c>
      <c r="AN443" s="4" t="s">
        <v>69</v>
      </c>
      <c r="AO443" s="4" t="s">
        <v>196</v>
      </c>
      <c r="AP443" s="4" t="s">
        <v>197</v>
      </c>
      <c r="AQ443" s="4" t="s">
        <v>72</v>
      </c>
      <c r="AR443" s="4" t="s">
        <v>211</v>
      </c>
      <c r="AS443" s="4" t="s">
        <v>91</v>
      </c>
      <c r="AT443" s="0" t="n">
        <v>0</v>
      </c>
      <c r="AU443" s="4" t="s">
        <v>61</v>
      </c>
      <c r="AV443" s="4" t="s">
        <v>101</v>
      </c>
    </row>
    <row r="444" customFormat="false" ht="15" hidden="false" customHeight="false" outlineLevel="0" collapsed="false">
      <c r="A444" s="0" t="s">
        <v>1786</v>
      </c>
      <c r="B444" s="3" t="n">
        <f aca="false">IF(AJ444="","",IF(ISNUMBER(SEARCH("/",AJ444)),DATE(VALUE(RIGHT(AJ444,4)),VALUE(LEFT(AJ444,2)),VALUE(MID(AJ444,4,2))),IF(ISNUMBER(SEARCH("-",AJ444)),IF(LEN(LEFT(AJ444,FIND("-",AJ444)-1))=4,DATE(VALUE(LEFT(AJ444,4)),VALUE(MID(AJ444,6,2)),VALUE(RIGHT(AJ444,2))),DATE(VALUE(RIGHT(AJ444,4)),VALUE(MID(AJ444,4,2)),VALUE(LEFT(AJ444,2)))),DATE(VALUE(RIGHT(AJ444,4)),MATCH(MID(AJ444,4,3),{"Jan","Feb","Mar","Apr","May","Jun","Jul","Aug","Sep","Oct","Nov","Dec"},0),VALUE(LEFT(AJ444,2))))))</f>
        <v>45669</v>
      </c>
      <c r="C444" s="3" t="n">
        <f aca="false">IF(AK444="","",IF(ISNUMBER(SEARCH("/",AK444)),DATE(VALUE(RIGHT(AK444,4)),VALUE(LEFT(AK444,2)),VALUE(MID(AK444,4,2))),IF(ISNUMBER(SEARCH("-",AK444)),IF(LEN(LEFT(AK444,FIND("-",AK444)-1))=4,DATE(VALUE(LEFT(AK444,4)),VALUE(MID(AK444,6,2)),VALUE(RIGHT(AK444,2))),DATE(VALUE(RIGHT(AK444,4)),VALUE(MID(AK444,4,2)),VALUE(LEFT(AK444,2)))),DATE(VALUE(RIGHT(AK444,4)),MATCH(MID(AK444,4,3),{"Jan","Feb","Mar","Apr","May","Jun","Jul","Aug","Sep","Oct","Nov","Dec"},0),VALUE(LEFT(AK444,2))))))</f>
        <v>45676</v>
      </c>
      <c r="D444" s="4" t="s">
        <v>1787</v>
      </c>
      <c r="E444" s="0" t="str">
        <f aca="false">PROPER(TRIM(AL444))</f>
        <v>Aarav Sharma</v>
      </c>
      <c r="F444" s="0" t="str">
        <f aca="false">PROPER(TRIM(AM444))</f>
        <v>Consumer</v>
      </c>
      <c r="G444" s="0" t="str">
        <f aca="false">IF(TRIM(AN444)="","Unknown",PROPER(TRIM(AN444)))</f>
        <v>East</v>
      </c>
      <c r="H444" s="0" t="str">
        <f aca="false">PROPER(TRIM(AO444))</f>
        <v>Jharkhand</v>
      </c>
      <c r="I444" s="0" t="str">
        <f aca="false">PROPER(TRIM(AP444))</f>
        <v>Ranchi</v>
      </c>
      <c r="J444" s="0" t="str">
        <f aca="false">PROPER(TRIM(AQ444))</f>
        <v>Furniture</v>
      </c>
      <c r="K444" s="0" t="str">
        <f aca="false">PROPER(TRIM(AR444))</f>
        <v>Tables</v>
      </c>
      <c r="M444" s="0" t="str">
        <f aca="false">IF(TRIM(AS444)="","Unknown",PROPER(TRIM(AS444)))</f>
        <v>First Class</v>
      </c>
      <c r="N444" s="0" t="n">
        <v>1</v>
      </c>
      <c r="O444" s="0" t="n">
        <v>1842.31</v>
      </c>
      <c r="P444" s="5" t="n">
        <f aca="false">IF(AT444="","",IF(ISNUMBER(AT444),AT444,VALUE(SUBSTITUTE(AT444,"%",""))/100))</f>
        <v>0</v>
      </c>
      <c r="Q444" s="5" t="n">
        <f aca="false">IF(P444="",IF(AND(N444&lt;&gt;"",O444&lt;&gt;"",R444&lt;&gt;"",S444&lt;&gt;""),0,"REVIEW"),IF(OR(P444&lt;0,P444&gt;0.3),0,P444))</f>
        <v>0</v>
      </c>
      <c r="R444" s="0" t="n">
        <v>1842.31</v>
      </c>
      <c r="S444" s="0" t="n">
        <v>1019.17</v>
      </c>
      <c r="T444" s="6" t="n">
        <f aca="false">N444*O444*(1-Q444)</f>
        <v>1842.31</v>
      </c>
      <c r="U444" s="6" t="n">
        <f aca="false">T444-S444</f>
        <v>823.14</v>
      </c>
      <c r="V444" s="7" t="n">
        <f aca="false">IF(T444=0,0,U444/T444)</f>
        <v>0.446797770190685</v>
      </c>
      <c r="W444" s="4" t="n">
        <f aca="false">C444-B444</f>
        <v>7</v>
      </c>
      <c r="X444" s="0" t="str">
        <f aca="false">TEXT(B444,"mmmm")</f>
        <v>January</v>
      </c>
      <c r="Y444" s="4" t="n">
        <f aca="false">YEAR(B444)</f>
        <v>2025</v>
      </c>
      <c r="Z444" s="0" t="str">
        <f aca="false">PROPER(TRIM(AU444))</f>
        <v>Paid</v>
      </c>
      <c r="AA444" s="0" t="str">
        <f aca="false">PROPER(TRIM(AV444))</f>
        <v>Completed</v>
      </c>
      <c r="AB444" s="0" t="str">
        <f aca="false">IF(TRIM(AN444)="","Yes","No")</f>
        <v>No</v>
      </c>
      <c r="AC444" s="0" t="str">
        <f aca="false">IF(TRIM(AS444)="","Yes","No")</f>
        <v>No</v>
      </c>
      <c r="AD444" s="0" t="str">
        <f aca="false">IF(AT444="","Yes","No")</f>
        <v>No</v>
      </c>
      <c r="AE444" s="0" t="str">
        <f aca="false">IF(W444&lt;0,"Yes","No")</f>
        <v>No</v>
      </c>
      <c r="AF444" s="0" t="str">
        <f aca="false">IF(P444="","No",IF(OR(P444&lt;0,P444&gt;0.3),"Yes","No"))</f>
        <v>No</v>
      </c>
      <c r="AG444" s="4" t="s">
        <v>50</v>
      </c>
      <c r="AH444" s="0" t="str">
        <f aca="false">IF(AND(AA444="Completed",Z444="Paid"),"Yes","No")</f>
        <v>Yes</v>
      </c>
      <c r="AI444" s="0" t="str">
        <f aca="false">IF(OR(AE444="Yes",AF444="Yes",AG444="Yes"),"Invalid",IF(OR(AB444="Yes",AC444="Yes",AD444="Yes"),"Warning","Clean"))</f>
        <v>Clean</v>
      </c>
      <c r="AJ444" s="4" t="s">
        <v>1788</v>
      </c>
      <c r="AK444" s="4" t="s">
        <v>1789</v>
      </c>
      <c r="AL444" s="4" t="s">
        <v>176</v>
      </c>
      <c r="AM444" s="4" t="s">
        <v>54</v>
      </c>
      <c r="AN444" s="4" t="s">
        <v>69</v>
      </c>
      <c r="AO444" s="4" t="s">
        <v>300</v>
      </c>
      <c r="AP444" s="4" t="s">
        <v>301</v>
      </c>
      <c r="AQ444" s="4" t="s">
        <v>72</v>
      </c>
      <c r="AR444" s="4" t="s">
        <v>73</v>
      </c>
      <c r="AS444" s="4" t="s">
        <v>81</v>
      </c>
      <c r="AT444" s="0" t="n">
        <v>0</v>
      </c>
      <c r="AU444" s="4" t="s">
        <v>61</v>
      </c>
      <c r="AV444" s="4" t="s">
        <v>62</v>
      </c>
    </row>
    <row r="445" customFormat="false" ht="15" hidden="false" customHeight="false" outlineLevel="0" collapsed="false">
      <c r="A445" s="0" t="s">
        <v>1790</v>
      </c>
      <c r="B445" s="3" t="n">
        <f aca="false">IF(AJ445="","",IF(ISNUMBER(SEARCH("/",AJ445)),DATE(VALUE(RIGHT(AJ445,4)),VALUE(LEFT(AJ445,2)),VALUE(MID(AJ445,4,2))),IF(ISNUMBER(SEARCH("-",AJ445)),IF(LEN(LEFT(AJ445,FIND("-",AJ445)-1))=4,DATE(VALUE(LEFT(AJ445,4)),VALUE(MID(AJ445,6,2)),VALUE(RIGHT(AJ445,2))),DATE(VALUE(RIGHT(AJ445,4)),VALUE(MID(AJ445,4,2)),VALUE(LEFT(AJ445,2)))),DATE(VALUE(RIGHT(AJ445,4)),MATCH(MID(AJ445,4,3),{"Jan","Feb","Mar","Apr","May","Jun","Jul","Aug","Sep","Oct","Nov","Dec"},0),VALUE(LEFT(AJ445,2))))))</f>
        <v>45386</v>
      </c>
      <c r="C445" s="3" t="n">
        <f aca="false">IF(AK445="","",IF(ISNUMBER(SEARCH("/",AK445)),DATE(VALUE(RIGHT(AK445,4)),VALUE(LEFT(AK445,2)),VALUE(MID(AK445,4,2))),IF(ISNUMBER(SEARCH("-",AK445)),IF(LEN(LEFT(AK445,FIND("-",AK445)-1))=4,DATE(VALUE(LEFT(AK445,4)),VALUE(MID(AK445,6,2)),VALUE(RIGHT(AK445,2))),DATE(VALUE(RIGHT(AK445,4)),VALUE(MID(AK445,4,2)),VALUE(LEFT(AK445,2)))),DATE(VALUE(RIGHT(AK445,4)),MATCH(MID(AK445,4,3),{"Jan","Feb","Mar","Apr","May","Jun","Jul","Aug","Sep","Oct","Nov","Dec"},0),VALUE(LEFT(AK445,2))))))</f>
        <v>45389</v>
      </c>
      <c r="D445" s="4" t="s">
        <v>1791</v>
      </c>
      <c r="E445" s="0" t="str">
        <f aca="false">PROPER(TRIM(AL445))</f>
        <v>Rohan Mehta</v>
      </c>
      <c r="F445" s="0" t="str">
        <f aca="false">PROPER(TRIM(AM445))</f>
        <v>Home Office</v>
      </c>
      <c r="G445" s="0" t="str">
        <f aca="false">IF(TRIM(AN445)="","Unknown",PROPER(TRIM(AN445)))</f>
        <v>East</v>
      </c>
      <c r="H445" s="0" t="str">
        <f aca="false">PROPER(TRIM(AO445))</f>
        <v>Odisha</v>
      </c>
      <c r="I445" s="0" t="str">
        <f aca="false">PROPER(TRIM(AP445))</f>
        <v>Bhubaneswar</v>
      </c>
      <c r="J445" s="0" t="str">
        <f aca="false">PROPER(TRIM(AQ445))</f>
        <v>Furniture</v>
      </c>
      <c r="K445" s="0" t="str">
        <f aca="false">PROPER(TRIM(AR445))</f>
        <v>Furnishings</v>
      </c>
      <c r="M445" s="0" t="str">
        <f aca="false">IF(TRIM(AS445)="","Unknown",PROPER(TRIM(AS445)))</f>
        <v>First Class</v>
      </c>
      <c r="N445" s="0" t="n">
        <v>1</v>
      </c>
      <c r="O445" s="0" t="n">
        <v>3683.75</v>
      </c>
      <c r="P445" s="5" t="n">
        <f aca="false">IF(AT445="","",IF(ISNUMBER(AT445),AT445,VALUE(SUBSTITUTE(AT445,"%",""))/100))</f>
        <v>0.1</v>
      </c>
      <c r="Q445" s="5" t="n">
        <f aca="false">IF(P445="",IF(AND(N445&lt;&gt;"",O445&lt;&gt;"",R445&lt;&gt;"",S445&lt;&gt;""),0,"REVIEW"),IF(OR(P445&lt;0,P445&gt;0.3),0,P445))</f>
        <v>0.1</v>
      </c>
      <c r="R445" s="0" t="n">
        <v>3315.38</v>
      </c>
      <c r="S445" s="0" t="n">
        <v>2347.68</v>
      </c>
      <c r="T445" s="6" t="n">
        <f aca="false">N445*O445*(1-Q445)</f>
        <v>3315.375</v>
      </c>
      <c r="U445" s="6" t="n">
        <f aca="false">T445-S445</f>
        <v>967.695</v>
      </c>
      <c r="V445" s="7" t="n">
        <f aca="false">IF(T445=0,0,U445/T445)</f>
        <v>0.291881008935641</v>
      </c>
      <c r="W445" s="4" t="n">
        <f aca="false">C445-B445</f>
        <v>3</v>
      </c>
      <c r="X445" s="0" t="str">
        <f aca="false">TEXT(B445,"mmmm")</f>
        <v>April</v>
      </c>
      <c r="Y445" s="4" t="n">
        <f aca="false">YEAR(B445)</f>
        <v>2024</v>
      </c>
      <c r="Z445" s="0" t="str">
        <f aca="false">PROPER(TRIM(AU445))</f>
        <v>Paid</v>
      </c>
      <c r="AA445" s="0" t="str">
        <f aca="false">PROPER(TRIM(AV445))</f>
        <v>Completed</v>
      </c>
      <c r="AB445" s="0" t="str">
        <f aca="false">IF(TRIM(AN445)="","Yes","No")</f>
        <v>No</v>
      </c>
      <c r="AC445" s="0" t="str">
        <f aca="false">IF(TRIM(AS445)="","Yes","No")</f>
        <v>No</v>
      </c>
      <c r="AD445" s="0" t="str">
        <f aca="false">IF(AT445="","Yes","No")</f>
        <v>No</v>
      </c>
      <c r="AE445" s="0" t="str">
        <f aca="false">IF(W445&lt;0,"Yes","No")</f>
        <v>No</v>
      </c>
      <c r="AF445" s="0" t="str">
        <f aca="false">IF(P445="","No",IF(OR(P445&lt;0,P445&gt;0.3),"Yes","No"))</f>
        <v>No</v>
      </c>
      <c r="AG445" s="4" t="s">
        <v>50</v>
      </c>
      <c r="AH445" s="0" t="str">
        <f aca="false">IF(AND(AA445="Completed",Z445="Paid"),"Yes","No")</f>
        <v>Yes</v>
      </c>
      <c r="AI445" s="0" t="str">
        <f aca="false">IF(OR(AE445="Yes",AF445="Yes",AG445="Yes"),"Invalid",IF(OR(AB445="Yes",AC445="Yes",AD445="Yes"),"Warning","Clean"))</f>
        <v>Clean</v>
      </c>
      <c r="AJ445" s="4" t="s">
        <v>1792</v>
      </c>
      <c r="AK445" s="4" t="s">
        <v>1563</v>
      </c>
      <c r="AL445" s="4" t="s">
        <v>191</v>
      </c>
      <c r="AM445" s="4" t="s">
        <v>134</v>
      </c>
      <c r="AN445" s="4" t="s">
        <v>69</v>
      </c>
      <c r="AO445" s="4" t="s">
        <v>70</v>
      </c>
      <c r="AP445" s="4" t="s">
        <v>71</v>
      </c>
      <c r="AQ445" s="4" t="s">
        <v>72</v>
      </c>
      <c r="AR445" s="4" t="s">
        <v>90</v>
      </c>
      <c r="AS445" s="4" t="s">
        <v>81</v>
      </c>
      <c r="AT445" s="0" t="n">
        <v>0.1</v>
      </c>
      <c r="AU445" s="4" t="s">
        <v>61</v>
      </c>
      <c r="AV445" s="4" t="s">
        <v>62</v>
      </c>
    </row>
    <row r="446" customFormat="false" ht="15" hidden="false" customHeight="false" outlineLevel="0" collapsed="false">
      <c r="A446" s="0" t="s">
        <v>1793</v>
      </c>
      <c r="B446" s="3" t="n">
        <f aca="false">IF(AJ446="","",IF(ISNUMBER(SEARCH("/",AJ446)),DATE(VALUE(RIGHT(AJ446,4)),VALUE(LEFT(AJ446,2)),VALUE(MID(AJ446,4,2))),IF(ISNUMBER(SEARCH("-",AJ446)),IF(LEN(LEFT(AJ446,FIND("-",AJ446)-1))=4,DATE(VALUE(LEFT(AJ446,4)),VALUE(MID(AJ446,6,2)),VALUE(RIGHT(AJ446,2))),DATE(VALUE(RIGHT(AJ446,4)),VALUE(MID(AJ446,4,2)),VALUE(LEFT(AJ446,2)))),DATE(VALUE(RIGHT(AJ446,4)),MATCH(MID(AJ446,4,3),{"Jan","Feb","Mar","Apr","May","Jun","Jul","Aug","Sep","Oct","Nov","Dec"},0),VALUE(LEFT(AJ446,2))))))</f>
        <v>45881</v>
      </c>
      <c r="C446" s="3" t="n">
        <f aca="false">IF(AK446="","",IF(ISNUMBER(SEARCH("/",AK446)),DATE(VALUE(RIGHT(AK446,4)),VALUE(LEFT(AK446,2)),VALUE(MID(AK446,4,2))),IF(ISNUMBER(SEARCH("-",AK446)),IF(LEN(LEFT(AK446,FIND("-",AK446)-1))=4,DATE(VALUE(LEFT(AK446,4)),VALUE(MID(AK446,6,2)),VALUE(RIGHT(AK446,2))),DATE(VALUE(RIGHT(AK446,4)),VALUE(MID(AK446,4,2)),VALUE(LEFT(AK446,2)))),DATE(VALUE(RIGHT(AK446,4)),MATCH(MID(AK446,4,3),{"Jan","Feb","Mar","Apr","May","Jun","Jul","Aug","Sep","Oct","Nov","Dec"},0),VALUE(LEFT(AK446,2))))))</f>
        <v>45885</v>
      </c>
      <c r="D446" s="4" t="s">
        <v>1794</v>
      </c>
      <c r="E446" s="0" t="str">
        <f aca="false">PROPER(TRIM(AL446))</f>
        <v>Ananya Rao</v>
      </c>
      <c r="F446" s="0" t="str">
        <f aca="false">PROPER(TRIM(AM446))</f>
        <v>Consumer</v>
      </c>
      <c r="G446" s="0" t="str">
        <f aca="false">IF(TRIM(AN446)="","Unknown",PROPER(TRIM(AN446)))</f>
        <v>East</v>
      </c>
      <c r="H446" s="0" t="str">
        <f aca="false">PROPER(TRIM(AO446))</f>
        <v>Assam</v>
      </c>
      <c r="I446" s="0" t="str">
        <f aca="false">PROPER(TRIM(AP446))</f>
        <v>Guwahati</v>
      </c>
      <c r="J446" s="0" t="str">
        <f aca="false">PROPER(TRIM(AQ446))</f>
        <v>Technology</v>
      </c>
      <c r="K446" s="0" t="str">
        <f aca="false">PROPER(TRIM(AR446))</f>
        <v>Accessories</v>
      </c>
      <c r="M446" s="0" t="str">
        <f aca="false">IF(TRIM(AS446)="","Unknown",PROPER(TRIM(AS446)))</f>
        <v>Same Day</v>
      </c>
      <c r="N446" s="0" t="n">
        <v>9</v>
      </c>
      <c r="O446" s="0" t="n">
        <v>2379.24</v>
      </c>
      <c r="P446" s="5" t="n">
        <f aca="false">IF(AT446="","",IF(ISNUMBER(AT446),AT446,VALUE(SUBSTITUTE(AT446,"%",""))/100))</f>
        <v>0.05</v>
      </c>
      <c r="Q446" s="5" t="n">
        <f aca="false">IF(P446="",IF(AND(N446&lt;&gt;"",O446&lt;&gt;"",R446&lt;&gt;"",S446&lt;&gt;""),0,"REVIEW"),IF(OR(P446&lt;0,P446&gt;0.3),0,P446))</f>
        <v>0.05</v>
      </c>
      <c r="R446" s="0" t="n">
        <v>20342.5</v>
      </c>
      <c r="S446" s="0" t="n">
        <v>12407.51</v>
      </c>
      <c r="T446" s="6" t="n">
        <f aca="false">N446*O446*(1-Q446)</f>
        <v>20342.502</v>
      </c>
      <c r="U446" s="6" t="n">
        <f aca="false">T446-S446</f>
        <v>7934.992</v>
      </c>
      <c r="V446" s="7" t="n">
        <f aca="false">IF(T446=0,0,U446/T446)</f>
        <v>0.390069618771575</v>
      </c>
      <c r="W446" s="4" t="n">
        <f aca="false">C446-B446</f>
        <v>4</v>
      </c>
      <c r="X446" s="0" t="str">
        <f aca="false">TEXT(B446,"mmmm")</f>
        <v>August</v>
      </c>
      <c r="Y446" s="4" t="n">
        <f aca="false">YEAR(B446)</f>
        <v>2025</v>
      </c>
      <c r="Z446" s="0" t="str">
        <f aca="false">PROPER(TRIM(AU446))</f>
        <v>Paid</v>
      </c>
      <c r="AA446" s="0" t="str">
        <f aca="false">PROPER(TRIM(AV446))</f>
        <v>Completed</v>
      </c>
      <c r="AB446" s="0" t="str">
        <f aca="false">IF(TRIM(AN446)="","Yes","No")</f>
        <v>No</v>
      </c>
      <c r="AC446" s="0" t="str">
        <f aca="false">IF(TRIM(AS446)="","Yes","No")</f>
        <v>No</v>
      </c>
      <c r="AD446" s="0" t="str">
        <f aca="false">IF(AT446="","Yes","No")</f>
        <v>No</v>
      </c>
      <c r="AE446" s="0" t="str">
        <f aca="false">IF(W446&lt;0,"Yes","No")</f>
        <v>No</v>
      </c>
      <c r="AF446" s="0" t="str">
        <f aca="false">IF(P446="","No",IF(OR(P446&lt;0,P446&gt;0.3),"Yes","No"))</f>
        <v>No</v>
      </c>
      <c r="AG446" s="4" t="s">
        <v>50</v>
      </c>
      <c r="AH446" s="0" t="str">
        <f aca="false">IF(AND(AA446="Completed",Z446="Paid"),"Yes","No")</f>
        <v>Yes</v>
      </c>
      <c r="AI446" s="0" t="str">
        <f aca="false">IF(OR(AE446="Yes",AF446="Yes",AG446="Yes"),"Invalid",IF(OR(AB446="Yes",AC446="Yes",AD446="Yes"),"Warning","Clean"))</f>
        <v>Clean</v>
      </c>
      <c r="AJ446" s="4" t="s">
        <v>1795</v>
      </c>
      <c r="AK446" s="4" t="s">
        <v>1535</v>
      </c>
      <c r="AL446" s="4" t="s">
        <v>96</v>
      </c>
      <c r="AM446" s="4" t="s">
        <v>54</v>
      </c>
      <c r="AN446" s="4" t="s">
        <v>69</v>
      </c>
      <c r="AO446" s="4" t="s">
        <v>221</v>
      </c>
      <c r="AP446" s="4" t="s">
        <v>222</v>
      </c>
      <c r="AQ446" s="4" t="s">
        <v>109</v>
      </c>
      <c r="AR446" s="4" t="s">
        <v>110</v>
      </c>
      <c r="AS446" s="4" t="s">
        <v>74</v>
      </c>
      <c r="AT446" s="0" t="n">
        <v>0.05</v>
      </c>
      <c r="AU446" s="4" t="s">
        <v>61</v>
      </c>
      <c r="AV446" s="4" t="s">
        <v>62</v>
      </c>
    </row>
    <row r="447" customFormat="false" ht="15" hidden="false" customHeight="false" outlineLevel="0" collapsed="false">
      <c r="A447" s="0" t="s">
        <v>1796</v>
      </c>
      <c r="B447" s="3" t="n">
        <f aca="false">IF(AJ447="","",IF(ISNUMBER(SEARCH("/",AJ447)),DATE(VALUE(RIGHT(AJ447,4)),VALUE(LEFT(AJ447,2)),VALUE(MID(AJ447,4,2))),IF(ISNUMBER(SEARCH("-",AJ447)),IF(LEN(LEFT(AJ447,FIND("-",AJ447)-1))=4,DATE(VALUE(LEFT(AJ447,4)),VALUE(MID(AJ447,6,2)),VALUE(RIGHT(AJ447,2))),DATE(VALUE(RIGHT(AJ447,4)),VALUE(MID(AJ447,4,2)),VALUE(LEFT(AJ447,2)))),DATE(VALUE(RIGHT(AJ447,4)),MATCH(MID(AJ447,4,3),{"Jan","Feb","Mar","Apr","May","Jun","Jul","Aug","Sep","Oct","Nov","Dec"},0),VALUE(LEFT(AJ447,2))))))</f>
        <v>45421</v>
      </c>
      <c r="C447" s="3" t="n">
        <f aca="false">IF(AK447="","",IF(ISNUMBER(SEARCH("/",AK447)),DATE(VALUE(RIGHT(AK447,4)),VALUE(LEFT(AK447,2)),VALUE(MID(AK447,4,2))),IF(ISNUMBER(SEARCH("-",AK447)),IF(LEN(LEFT(AK447,FIND("-",AK447)-1))=4,DATE(VALUE(LEFT(AK447,4)),VALUE(MID(AK447,6,2)),VALUE(RIGHT(AK447,2))),DATE(VALUE(RIGHT(AK447,4)),VALUE(MID(AK447,4,2)),VALUE(LEFT(AK447,2)))),DATE(VALUE(RIGHT(AK447,4)),MATCH(MID(AK447,4,3),{"Jan","Feb","Mar","Apr","May","Jun","Jul","Aug","Sep","Oct","Nov","Dec"},0),VALUE(LEFT(AK447,2))))))</f>
        <v>45417</v>
      </c>
      <c r="D447" s="4" t="s">
        <v>1797</v>
      </c>
      <c r="E447" s="0" t="str">
        <f aca="false">PROPER(TRIM(AL447))</f>
        <v>Arjun Bose</v>
      </c>
      <c r="F447" s="0" t="str">
        <f aca="false">PROPER(TRIM(AM447))</f>
        <v>Consumer</v>
      </c>
      <c r="G447" s="0" t="str">
        <f aca="false">IF(TRIM(AN447)="","Unknown",PROPER(TRIM(AN447)))</f>
        <v>East</v>
      </c>
      <c r="H447" s="0" t="str">
        <f aca="false">PROPER(TRIM(AO447))</f>
        <v>Assam</v>
      </c>
      <c r="I447" s="0" t="str">
        <f aca="false">PROPER(TRIM(AP447))</f>
        <v>Guwahati</v>
      </c>
      <c r="J447" s="0" t="str">
        <f aca="false">PROPER(TRIM(AQ447))</f>
        <v>Furniture</v>
      </c>
      <c r="K447" s="0" t="str">
        <f aca="false">PROPER(TRIM(AR447))</f>
        <v>Bookcases</v>
      </c>
      <c r="M447" s="0" t="str">
        <f aca="false">IF(TRIM(AS447)="","Unknown",PROPER(TRIM(AS447)))</f>
        <v>Same Day</v>
      </c>
      <c r="N447" s="0" t="n">
        <v>2</v>
      </c>
      <c r="O447" s="0" t="n">
        <v>2111.23</v>
      </c>
      <c r="P447" s="5" t="n">
        <f aca="false">IF(AT447="","",IF(ISNUMBER(AT447),AT447,VALUE(SUBSTITUTE(AT447,"%",""))/100))</f>
        <v>0.2</v>
      </c>
      <c r="Q447" s="5" t="n">
        <f aca="false">IF(P447="",IF(AND(N447&lt;&gt;"",O447&lt;&gt;"",R447&lt;&gt;"",S447&lt;&gt;""),0,"REVIEW"),IF(OR(P447&lt;0,P447&gt;0.3),0,P447))</f>
        <v>0.2</v>
      </c>
      <c r="R447" s="0" t="n">
        <v>3377.97</v>
      </c>
      <c r="S447" s="0" t="n">
        <v>2496.29</v>
      </c>
      <c r="T447" s="6" t="n">
        <f aca="false">N447*O447*(1-Q447)</f>
        <v>3377.968</v>
      </c>
      <c r="U447" s="6" t="n">
        <f aca="false">T447-S447</f>
        <v>881.678</v>
      </c>
      <c r="V447" s="7" t="n">
        <f aca="false">IF(T447=0,0,U447/T447)</f>
        <v>0.26100839321154</v>
      </c>
      <c r="W447" s="4" t="n">
        <f aca="false">C447-B447</f>
        <v>-4</v>
      </c>
      <c r="X447" s="0" t="str">
        <f aca="false">TEXT(B447,"mmmm")</f>
        <v>May</v>
      </c>
      <c r="Y447" s="4" t="n">
        <f aca="false">YEAR(B447)</f>
        <v>2024</v>
      </c>
      <c r="Z447" s="0" t="str">
        <f aca="false">PROPER(TRIM(AU447))</f>
        <v>Paid</v>
      </c>
      <c r="AA447" s="0" t="str">
        <f aca="false">PROPER(TRIM(AV447))</f>
        <v>Completed</v>
      </c>
      <c r="AB447" s="0" t="str">
        <f aca="false">IF(TRIM(AN447)="","Yes","No")</f>
        <v>No</v>
      </c>
      <c r="AC447" s="0" t="str">
        <f aca="false">IF(TRIM(AS447)="","Yes","No")</f>
        <v>No</v>
      </c>
      <c r="AD447" s="0" t="str">
        <f aca="false">IF(AT447="","Yes","No")</f>
        <v>No</v>
      </c>
      <c r="AE447" s="0" t="str">
        <f aca="false">IF(W447&lt;0,"Yes","No")</f>
        <v>Yes</v>
      </c>
      <c r="AF447" s="0" t="str">
        <f aca="false">IF(P447="","No",IF(OR(P447&lt;0,P447&gt;0.3),"Yes","No"))</f>
        <v>No</v>
      </c>
      <c r="AG447" s="4" t="s">
        <v>50</v>
      </c>
      <c r="AH447" s="0" t="str">
        <f aca="false">IF(AND(AA447="Completed",Z447="Paid"),"Yes","No")</f>
        <v>Yes</v>
      </c>
      <c r="AI447" s="0" t="str">
        <f aca="false">IF(OR(AE447="Yes",AF447="Yes",AG447="Yes"),"Invalid",IF(OR(AB447="Yes",AC447="Yes",AD447="Yes"),"Warning","Clean"))</f>
        <v>Invalid</v>
      </c>
      <c r="AJ447" s="4" t="s">
        <v>1798</v>
      </c>
      <c r="AK447" s="4" t="s">
        <v>1799</v>
      </c>
      <c r="AL447" s="4" t="s">
        <v>86</v>
      </c>
      <c r="AM447" s="4" t="s">
        <v>54</v>
      </c>
      <c r="AN447" s="4" t="s">
        <v>69</v>
      </c>
      <c r="AO447" s="4" t="s">
        <v>221</v>
      </c>
      <c r="AP447" s="4" t="s">
        <v>222</v>
      </c>
      <c r="AQ447" s="4" t="s">
        <v>72</v>
      </c>
      <c r="AR447" s="4" t="s">
        <v>211</v>
      </c>
      <c r="AS447" s="4" t="s">
        <v>74</v>
      </c>
      <c r="AT447" s="0" t="n">
        <v>0.2</v>
      </c>
      <c r="AU447" s="4" t="s">
        <v>61</v>
      </c>
      <c r="AV447" s="4" t="s">
        <v>62</v>
      </c>
    </row>
    <row r="448" customFormat="false" ht="15" hidden="false" customHeight="false" outlineLevel="0" collapsed="false">
      <c r="A448" s="0" t="s">
        <v>1800</v>
      </c>
      <c r="B448" s="3" t="n">
        <f aca="false">IF(AJ448="","",IF(ISNUMBER(SEARCH("/",AJ448)),DATE(VALUE(RIGHT(AJ448,4)),VALUE(LEFT(AJ448,2)),VALUE(MID(AJ448,4,2))),IF(ISNUMBER(SEARCH("-",AJ448)),IF(LEN(LEFT(AJ448,FIND("-",AJ448)-1))=4,DATE(VALUE(LEFT(AJ448,4)),VALUE(MID(AJ448,6,2)),VALUE(RIGHT(AJ448,2))),DATE(VALUE(RIGHT(AJ448,4)),VALUE(MID(AJ448,4,2)),VALUE(LEFT(AJ448,2)))),DATE(VALUE(RIGHT(AJ448,4)),MATCH(MID(AJ448,4,3),{"Jan","Feb","Mar","Apr","May","Jun","Jul","Aug","Sep","Oct","Nov","Dec"},0),VALUE(LEFT(AJ448,2))))))</f>
        <v>45918</v>
      </c>
      <c r="C448" s="3" t="n">
        <f aca="false">IF(AK448="","",IF(ISNUMBER(SEARCH("/",AK448)),DATE(VALUE(RIGHT(AK448,4)),VALUE(LEFT(AK448,2)),VALUE(MID(AK448,4,2))),IF(ISNUMBER(SEARCH("-",AK448)),IF(LEN(LEFT(AK448,FIND("-",AK448)-1))=4,DATE(VALUE(LEFT(AK448,4)),VALUE(MID(AK448,6,2)),VALUE(RIGHT(AK448,2))),DATE(VALUE(RIGHT(AK448,4)),VALUE(MID(AK448,4,2)),VALUE(LEFT(AK448,2)))),DATE(VALUE(RIGHT(AK448,4)),MATCH(MID(AK448,4,3),{"Jan","Feb","Mar","Apr","May","Jun","Jul","Aug","Sep","Oct","Nov","Dec"},0),VALUE(LEFT(AK448,2))))))</f>
        <v>45919</v>
      </c>
      <c r="D448" s="4" t="s">
        <v>1801</v>
      </c>
      <c r="E448" s="0" t="str">
        <f aca="false">PROPER(TRIM(AL448))</f>
        <v>Sneha Kapoor</v>
      </c>
      <c r="F448" s="0" t="str">
        <f aca="false">PROPER(TRIM(AM448))</f>
        <v>Home Office</v>
      </c>
      <c r="G448" s="0" t="str">
        <f aca="false">IF(TRIM(AN448)="","Unknown",PROPER(TRIM(AN448)))</f>
        <v>South</v>
      </c>
      <c r="H448" s="0" t="str">
        <f aca="false">PROPER(TRIM(AO448))</f>
        <v>Andhra Pradesh</v>
      </c>
      <c r="I448" s="0" t="str">
        <f aca="false">PROPER(TRIM(AP448))</f>
        <v>Vijayawada</v>
      </c>
      <c r="J448" s="0" t="str">
        <f aca="false">PROPER(TRIM(AQ448))</f>
        <v>Office Supplies</v>
      </c>
      <c r="K448" s="0" t="str">
        <f aca="false">PROPER(TRIM(AR448))</f>
        <v>Storage</v>
      </c>
      <c r="M448" s="0" t="str">
        <f aca="false">IF(TRIM(AS448)="","Unknown",PROPER(TRIM(AS448)))</f>
        <v>Same Day</v>
      </c>
      <c r="N448" s="0" t="n">
        <v>8</v>
      </c>
      <c r="O448" s="0" t="n">
        <v>4242.51</v>
      </c>
      <c r="P448" s="5" t="n">
        <f aca="false">IF(AT448="","",IF(ISNUMBER(AT448),AT448,VALUE(SUBSTITUTE(AT448,"%",""))/100))</f>
        <v>0</v>
      </c>
      <c r="Q448" s="5" t="n">
        <f aca="false">IF(P448="",IF(AND(N448&lt;&gt;"",O448&lt;&gt;"",R448&lt;&gt;"",S448&lt;&gt;""),0,"REVIEW"),IF(OR(P448&lt;0,P448&gt;0.3),0,P448))</f>
        <v>0</v>
      </c>
      <c r="R448" s="0" t="n">
        <v>33940.08</v>
      </c>
      <c r="S448" s="0" t="n">
        <v>23754.19</v>
      </c>
      <c r="T448" s="6" t="n">
        <f aca="false">N448*O448*(1-Q448)</f>
        <v>33940.08</v>
      </c>
      <c r="U448" s="6" t="n">
        <f aca="false">T448-S448</f>
        <v>10185.89</v>
      </c>
      <c r="V448" s="7" t="n">
        <f aca="false">IF(T448=0,0,U448/T448)</f>
        <v>0.30011390662603</v>
      </c>
      <c r="W448" s="4" t="n">
        <f aca="false">C448-B448</f>
        <v>1</v>
      </c>
      <c r="X448" s="0" t="str">
        <f aca="false">TEXT(B448,"mmmm")</f>
        <v>September</v>
      </c>
      <c r="Y448" s="4" t="n">
        <f aca="false">YEAR(B448)</f>
        <v>2025</v>
      </c>
      <c r="Z448" s="0" t="str">
        <f aca="false">PROPER(TRIM(AU448))</f>
        <v>Paid</v>
      </c>
      <c r="AA448" s="0" t="str">
        <f aca="false">PROPER(TRIM(AV448))</f>
        <v>Completed</v>
      </c>
      <c r="AB448" s="0" t="str">
        <f aca="false">IF(TRIM(AN448)="","Yes","No")</f>
        <v>No</v>
      </c>
      <c r="AC448" s="0" t="str">
        <f aca="false">IF(TRIM(AS448)="","Yes","No")</f>
        <v>No</v>
      </c>
      <c r="AD448" s="0" t="str">
        <f aca="false">IF(AT448="","Yes","No")</f>
        <v>No</v>
      </c>
      <c r="AE448" s="0" t="str">
        <f aca="false">IF(W448&lt;0,"Yes","No")</f>
        <v>No</v>
      </c>
      <c r="AF448" s="0" t="str">
        <f aca="false">IF(P448="","No",IF(OR(P448&lt;0,P448&gt;0.3),"Yes","No"))</f>
        <v>No</v>
      </c>
      <c r="AG448" s="4" t="s">
        <v>50</v>
      </c>
      <c r="AH448" s="0" t="str">
        <f aca="false">IF(AND(AA448="Completed",Z448="Paid"),"Yes","No")</f>
        <v>Yes</v>
      </c>
      <c r="AI448" s="0" t="str">
        <f aca="false">IF(OR(AE448="Yes",AF448="Yes",AG448="Yes"),"Invalid",IF(OR(AB448="Yes",AC448="Yes",AD448="Yes"),"Warning","Clean"))</f>
        <v>Clean</v>
      </c>
      <c r="AJ448" s="4" t="s">
        <v>1802</v>
      </c>
      <c r="AK448" s="4" t="s">
        <v>1803</v>
      </c>
      <c r="AL448" s="4" t="s">
        <v>181</v>
      </c>
      <c r="AM448" s="4" t="s">
        <v>134</v>
      </c>
      <c r="AN448" s="4" t="s">
        <v>87</v>
      </c>
      <c r="AO448" s="4" t="s">
        <v>121</v>
      </c>
      <c r="AP448" s="4" t="s">
        <v>122</v>
      </c>
      <c r="AQ448" s="4" t="s">
        <v>58</v>
      </c>
      <c r="AR448" s="4" t="s">
        <v>171</v>
      </c>
      <c r="AS448" s="4" t="s">
        <v>74</v>
      </c>
      <c r="AT448" s="0" t="n">
        <v>0</v>
      </c>
      <c r="AU448" s="4" t="s">
        <v>61</v>
      </c>
      <c r="AV448" s="4" t="s">
        <v>62</v>
      </c>
    </row>
    <row r="449" customFormat="false" ht="15" hidden="false" customHeight="false" outlineLevel="0" collapsed="false">
      <c r="A449" s="0" t="s">
        <v>1804</v>
      </c>
      <c r="B449" s="3" t="n">
        <f aca="false">IF(AJ449="","",IF(ISNUMBER(SEARCH("/",AJ449)),DATE(VALUE(RIGHT(AJ449,4)),VALUE(LEFT(AJ449,2)),VALUE(MID(AJ449,4,2))),IF(ISNUMBER(SEARCH("-",AJ449)),IF(LEN(LEFT(AJ449,FIND("-",AJ449)-1))=4,DATE(VALUE(LEFT(AJ449,4)),VALUE(MID(AJ449,6,2)),VALUE(RIGHT(AJ449,2))),DATE(VALUE(RIGHT(AJ449,4)),VALUE(MID(AJ449,4,2)),VALUE(LEFT(AJ449,2)))),DATE(VALUE(RIGHT(AJ449,4)),MATCH(MID(AJ449,4,3),{"Jan","Feb","Mar","Apr","May","Jun","Jul","Aug","Sep","Oct","Nov","Dec"},0),VALUE(LEFT(AJ449,2))))))</f>
        <v>45879</v>
      </c>
      <c r="C449" s="3" t="n">
        <f aca="false">IF(AK449="","",IF(ISNUMBER(SEARCH("/",AK449)),DATE(VALUE(RIGHT(AK449,4)),VALUE(LEFT(AK449,2)),VALUE(MID(AK449,4,2))),IF(ISNUMBER(SEARCH("-",AK449)),IF(LEN(LEFT(AK449,FIND("-",AK449)-1))=4,DATE(VALUE(LEFT(AK449,4)),VALUE(MID(AK449,6,2)),VALUE(RIGHT(AK449,2))),DATE(VALUE(RIGHT(AK449,4)),VALUE(MID(AK449,4,2)),VALUE(LEFT(AK449,2)))),DATE(VALUE(RIGHT(AK449,4)),MATCH(MID(AK449,4,3),{"Jan","Feb","Mar","Apr","May","Jun","Jul","Aug","Sep","Oct","Nov","Dec"},0),VALUE(LEFT(AK449,2))))))</f>
        <v>45879</v>
      </c>
      <c r="D449" s="4" t="s">
        <v>1805</v>
      </c>
      <c r="E449" s="0" t="str">
        <f aca="false">PROPER(TRIM(AL449))</f>
        <v>Rohan Mehta</v>
      </c>
      <c r="F449" s="0" t="str">
        <f aca="false">PROPER(TRIM(AM449))</f>
        <v>Home Office</v>
      </c>
      <c r="G449" s="0" t="str">
        <f aca="false">IF(TRIM(AN449)="","Unknown",PROPER(TRIM(AN449)))</f>
        <v>South</v>
      </c>
      <c r="H449" s="0" t="str">
        <f aca="false">PROPER(TRIM(AO449))</f>
        <v>Telangana</v>
      </c>
      <c r="I449" s="0" t="str">
        <f aca="false">PROPER(TRIM(AP449))</f>
        <v>Hyderabad</v>
      </c>
      <c r="J449" s="0" t="str">
        <f aca="false">PROPER(TRIM(AQ449))</f>
        <v>Furniture</v>
      </c>
      <c r="K449" s="0" t="str">
        <f aca="false">PROPER(TRIM(AR449))</f>
        <v>Bookcases</v>
      </c>
      <c r="M449" s="0" t="str">
        <f aca="false">IF(TRIM(AS449)="","Unknown",PROPER(TRIM(AS449)))</f>
        <v>Standard Class</v>
      </c>
      <c r="N449" s="0" t="n">
        <v>6</v>
      </c>
      <c r="O449" s="0" t="n">
        <v>4288.7</v>
      </c>
      <c r="P449" s="5" t="n">
        <f aca="false">IF(AT449="","",IF(ISNUMBER(AT449),AT449,VALUE(SUBSTITUTE(AT449,"%",""))/100))</f>
        <v>0.15</v>
      </c>
      <c r="Q449" s="5" t="n">
        <f aca="false">IF(P449="",IF(AND(N449&lt;&gt;"",O449&lt;&gt;"",R449&lt;&gt;"",S449&lt;&gt;""),0,"REVIEW"),IF(OR(P449&lt;0,P449&gt;0.3),0,P449))</f>
        <v>0.15</v>
      </c>
      <c r="R449" s="0" t="n">
        <v>21872.37</v>
      </c>
      <c r="S449" s="0" t="n">
        <v>13829.5</v>
      </c>
      <c r="T449" s="6" t="n">
        <f aca="false">N449*O449*(1-Q449)</f>
        <v>21872.37</v>
      </c>
      <c r="U449" s="6" t="n">
        <f aca="false">T449-S449</f>
        <v>8042.87</v>
      </c>
      <c r="V449" s="7" t="n">
        <f aca="false">IF(T449=0,0,U449/T449)</f>
        <v>0.367718267384833</v>
      </c>
      <c r="W449" s="4" t="n">
        <f aca="false">C449-B449</f>
        <v>0</v>
      </c>
      <c r="X449" s="0" t="str">
        <f aca="false">TEXT(B449,"mmmm")</f>
        <v>August</v>
      </c>
      <c r="Y449" s="4" t="n">
        <f aca="false">YEAR(B449)</f>
        <v>2025</v>
      </c>
      <c r="Z449" s="0" t="str">
        <f aca="false">PROPER(TRIM(AU449))</f>
        <v>Pending</v>
      </c>
      <c r="AA449" s="0" t="str">
        <f aca="false">PROPER(TRIM(AV449))</f>
        <v>Returned</v>
      </c>
      <c r="AB449" s="0" t="str">
        <f aca="false">IF(TRIM(AN449)="","Yes","No")</f>
        <v>No</v>
      </c>
      <c r="AC449" s="0" t="str">
        <f aca="false">IF(TRIM(AS449)="","Yes","No")</f>
        <v>No</v>
      </c>
      <c r="AD449" s="0" t="str">
        <f aca="false">IF(AT449="","Yes","No")</f>
        <v>No</v>
      </c>
      <c r="AE449" s="0" t="str">
        <f aca="false">IF(W449&lt;0,"Yes","No")</f>
        <v>No</v>
      </c>
      <c r="AF449" s="0" t="str">
        <f aca="false">IF(P449="","No",IF(OR(P449&lt;0,P449&gt;0.3),"Yes","No"))</f>
        <v>No</v>
      </c>
      <c r="AG449" s="4" t="s">
        <v>50</v>
      </c>
      <c r="AH449" s="0" t="str">
        <f aca="false">IF(AND(AA449="Completed",Z449="Paid"),"Yes","No")</f>
        <v>No</v>
      </c>
      <c r="AI449" s="0" t="str">
        <f aca="false">IF(OR(AE449="Yes",AF449="Yes",AG449="Yes"),"Invalid",IF(OR(AB449="Yes",AC449="Yes",AD449="Yes"),"Warning","Clean"))</f>
        <v>Clean</v>
      </c>
      <c r="AJ449" s="4" t="s">
        <v>815</v>
      </c>
      <c r="AK449" s="4" t="s">
        <v>1806</v>
      </c>
      <c r="AL449" s="4" t="s">
        <v>191</v>
      </c>
      <c r="AM449" s="4" t="s">
        <v>134</v>
      </c>
      <c r="AN449" s="4" t="s">
        <v>87</v>
      </c>
      <c r="AO449" s="4" t="s">
        <v>88</v>
      </c>
      <c r="AP449" s="4" t="s">
        <v>89</v>
      </c>
      <c r="AQ449" s="4" t="s">
        <v>72</v>
      </c>
      <c r="AR449" s="4" t="s">
        <v>211</v>
      </c>
      <c r="AS449" s="4" t="s">
        <v>91</v>
      </c>
      <c r="AT449" s="0" t="n">
        <v>0.15</v>
      </c>
      <c r="AU449" s="4" t="s">
        <v>153</v>
      </c>
      <c r="AV449" s="4" t="s">
        <v>142</v>
      </c>
    </row>
    <row r="450" customFormat="false" ht="15" hidden="false" customHeight="false" outlineLevel="0" collapsed="false">
      <c r="A450" s="0" t="s">
        <v>1807</v>
      </c>
      <c r="B450" s="3" t="n">
        <f aca="false">IF(AJ450="","",IF(ISNUMBER(SEARCH("/",AJ450)),DATE(VALUE(RIGHT(AJ450,4)),VALUE(LEFT(AJ450,2)),VALUE(MID(AJ450,4,2))),IF(ISNUMBER(SEARCH("-",AJ450)),IF(LEN(LEFT(AJ450,FIND("-",AJ450)-1))=4,DATE(VALUE(LEFT(AJ450,4)),VALUE(MID(AJ450,6,2)),VALUE(RIGHT(AJ450,2))),DATE(VALUE(RIGHT(AJ450,4)),VALUE(MID(AJ450,4,2)),VALUE(LEFT(AJ450,2)))),DATE(VALUE(RIGHT(AJ450,4)),MATCH(MID(AJ450,4,3),{"Jan","Feb","Mar","Apr","May","Jun","Jul","Aug","Sep","Oct","Nov","Dec"},0),VALUE(LEFT(AJ450,2))))))</f>
        <v>45306</v>
      </c>
      <c r="C450" s="3" t="n">
        <f aca="false">IF(AK450="","",IF(ISNUMBER(SEARCH("/",AK450)),DATE(VALUE(RIGHT(AK450,4)),VALUE(LEFT(AK450,2)),VALUE(MID(AK450,4,2))),IF(ISNUMBER(SEARCH("-",AK450)),IF(LEN(LEFT(AK450,FIND("-",AK450)-1))=4,DATE(VALUE(LEFT(AK450,4)),VALUE(MID(AK450,6,2)),VALUE(RIGHT(AK450,2))),DATE(VALUE(RIGHT(AK450,4)),VALUE(MID(AK450,4,2)),VALUE(LEFT(AK450,2)))),DATE(VALUE(RIGHT(AK450,4)),MATCH(MID(AK450,4,3),{"Jan","Feb","Mar","Apr","May","Jun","Jul","Aug","Sep","Oct","Nov","Dec"},0),VALUE(LEFT(AK450,2))))))</f>
        <v>45309</v>
      </c>
      <c r="D450" s="4" t="s">
        <v>1808</v>
      </c>
      <c r="E450" s="0" t="str">
        <f aca="false">PROPER(TRIM(AL450))</f>
        <v>Mira Das</v>
      </c>
      <c r="F450" s="0" t="str">
        <f aca="false">PROPER(TRIM(AM450))</f>
        <v>Small Business</v>
      </c>
      <c r="G450" s="0" t="str">
        <f aca="false">IF(TRIM(AN450)="","Unknown",PROPER(TRIM(AN450)))</f>
        <v>South</v>
      </c>
      <c r="H450" s="0" t="str">
        <f aca="false">PROPER(TRIM(AO450))</f>
        <v>Andhra Pradesh</v>
      </c>
      <c r="I450" s="0" t="str">
        <f aca="false">PROPER(TRIM(AP450))</f>
        <v>Vijayawada</v>
      </c>
      <c r="J450" s="0" t="str">
        <f aca="false">PROPER(TRIM(AQ450))</f>
        <v>Furniture</v>
      </c>
      <c r="K450" s="0" t="str">
        <f aca="false">PROPER(TRIM(AR450))</f>
        <v>Chairs</v>
      </c>
      <c r="M450" s="0" t="str">
        <f aca="false">IF(TRIM(AS450)="","Unknown",PROPER(TRIM(AS450)))</f>
        <v>First Class</v>
      </c>
      <c r="N450" s="0" t="n">
        <v>2</v>
      </c>
      <c r="O450" s="0" t="n">
        <v>201.21</v>
      </c>
      <c r="P450" s="5" t="n">
        <f aca="false">IF(AT450="","",IF(ISNUMBER(AT450),AT450,VALUE(SUBSTITUTE(AT450,"%",""))/100))</f>
        <v>0.15</v>
      </c>
      <c r="Q450" s="5" t="n">
        <f aca="false">IF(P450="",IF(AND(N450&lt;&gt;"",O450&lt;&gt;"",R450&lt;&gt;"",S450&lt;&gt;""),0,"REVIEW"),IF(OR(P450&lt;0,P450&gt;0.3),0,P450))</f>
        <v>0.15</v>
      </c>
      <c r="R450" s="0" t="n">
        <v>342.06</v>
      </c>
      <c r="S450" s="0" t="n">
        <v>244.57</v>
      </c>
      <c r="T450" s="6" t="n">
        <f aca="false">N450*O450*(1-Q450)</f>
        <v>342.057</v>
      </c>
      <c r="U450" s="6" t="n">
        <f aca="false">T450-S450</f>
        <v>97.487</v>
      </c>
      <c r="V450" s="7" t="n">
        <f aca="false">IF(T450=0,0,U450/T450)</f>
        <v>0.285002207234467</v>
      </c>
      <c r="W450" s="4" t="n">
        <f aca="false">C450-B450</f>
        <v>3</v>
      </c>
      <c r="X450" s="0" t="str">
        <f aca="false">TEXT(B450,"mmmm")</f>
        <v>January</v>
      </c>
      <c r="Y450" s="4" t="n">
        <f aca="false">YEAR(B450)</f>
        <v>2024</v>
      </c>
      <c r="Z450" s="0" t="str">
        <f aca="false">PROPER(TRIM(AU450))</f>
        <v>Paid</v>
      </c>
      <c r="AA450" s="0" t="str">
        <f aca="false">PROPER(TRIM(AV450))</f>
        <v>Completed</v>
      </c>
      <c r="AB450" s="0" t="str">
        <f aca="false">IF(TRIM(AN450)="","Yes","No")</f>
        <v>No</v>
      </c>
      <c r="AC450" s="0" t="str">
        <f aca="false">IF(TRIM(AS450)="","Yes","No")</f>
        <v>No</v>
      </c>
      <c r="AD450" s="0" t="str">
        <f aca="false">IF(AT450="","Yes","No")</f>
        <v>No</v>
      </c>
      <c r="AE450" s="0" t="str">
        <f aca="false">IF(W450&lt;0,"Yes","No")</f>
        <v>No</v>
      </c>
      <c r="AF450" s="0" t="str">
        <f aca="false">IF(P450="","No",IF(OR(P450&lt;0,P450&gt;0.3),"Yes","No"))</f>
        <v>No</v>
      </c>
      <c r="AG450" s="4" t="s">
        <v>50</v>
      </c>
      <c r="AH450" s="0" t="str">
        <f aca="false">IF(AND(AA450="Completed",Z450="Paid"),"Yes","No")</f>
        <v>Yes</v>
      </c>
      <c r="AI450" s="0" t="str">
        <f aca="false">IF(OR(AE450="Yes",AF450="Yes",AG450="Yes"),"Invalid",IF(OR(AB450="Yes",AC450="Yes",AD450="Yes"),"Warning","Clean"))</f>
        <v>Clean</v>
      </c>
      <c r="AJ450" s="4" t="s">
        <v>1809</v>
      </c>
      <c r="AK450" s="4" t="s">
        <v>314</v>
      </c>
      <c r="AL450" s="4" t="s">
        <v>67</v>
      </c>
      <c r="AM450" s="4" t="s">
        <v>68</v>
      </c>
      <c r="AN450" s="4" t="s">
        <v>87</v>
      </c>
      <c r="AO450" s="4" t="s">
        <v>121</v>
      </c>
      <c r="AP450" s="4" t="s">
        <v>122</v>
      </c>
      <c r="AQ450" s="4" t="s">
        <v>72</v>
      </c>
      <c r="AR450" s="4" t="s">
        <v>100</v>
      </c>
      <c r="AS450" s="4" t="s">
        <v>81</v>
      </c>
      <c r="AT450" s="0" t="n">
        <v>0.15</v>
      </c>
      <c r="AU450" s="4" t="s">
        <v>61</v>
      </c>
      <c r="AV450" s="4" t="s">
        <v>62</v>
      </c>
    </row>
    <row r="451" customFormat="false" ht="15" hidden="false" customHeight="false" outlineLevel="0" collapsed="false">
      <c r="A451" s="0" t="s">
        <v>1810</v>
      </c>
      <c r="B451" s="3" t="n">
        <f aca="false">IF(AJ451="","",IF(ISNUMBER(SEARCH("/",AJ451)),DATE(VALUE(RIGHT(AJ451,4)),VALUE(LEFT(AJ451,2)),VALUE(MID(AJ451,4,2))),IF(ISNUMBER(SEARCH("-",AJ451)),IF(LEN(LEFT(AJ451,FIND("-",AJ451)-1))=4,DATE(VALUE(LEFT(AJ451,4)),VALUE(MID(AJ451,6,2)),VALUE(RIGHT(AJ451,2))),DATE(VALUE(RIGHT(AJ451,4)),VALUE(MID(AJ451,4,2)),VALUE(LEFT(AJ451,2)))),DATE(VALUE(RIGHT(AJ451,4)),MATCH(MID(AJ451,4,3),{"Jan","Feb","Mar","Apr","May","Jun","Jul","Aug","Sep","Oct","Nov","Dec"},0),VALUE(LEFT(AJ451,2))))))</f>
        <v>45449</v>
      </c>
      <c r="C451" s="3" t="n">
        <f aca="false">IF(AK451="","",IF(ISNUMBER(SEARCH("/",AK451)),DATE(VALUE(RIGHT(AK451,4)),VALUE(LEFT(AK451,2)),VALUE(MID(AK451,4,2))),IF(ISNUMBER(SEARCH("-",AK451)),IF(LEN(LEFT(AK451,FIND("-",AK451)-1))=4,DATE(VALUE(LEFT(AK451,4)),VALUE(MID(AK451,6,2)),VALUE(RIGHT(AK451,2))),DATE(VALUE(RIGHT(AK451,4)),VALUE(MID(AK451,4,2)),VALUE(LEFT(AK451,2)))),DATE(VALUE(RIGHT(AK451,4)),MATCH(MID(AK451,4,3),{"Jan","Feb","Mar","Apr","May","Jun","Jul","Aug","Sep","Oct","Nov","Dec"},0),VALUE(LEFT(AK451,2))))))</f>
        <v>45456</v>
      </c>
      <c r="D451" s="4" t="s">
        <v>1678</v>
      </c>
      <c r="E451" s="0" t="str">
        <f aca="false">PROPER(TRIM(AL451))</f>
        <v>Aditi Sen</v>
      </c>
      <c r="F451" s="0" t="str">
        <f aca="false">PROPER(TRIM(AM451))</f>
        <v>Corporate</v>
      </c>
      <c r="G451" s="0" t="str">
        <f aca="false">IF(TRIM(AN451)="","Unknown",PROPER(TRIM(AN451)))</f>
        <v>East</v>
      </c>
      <c r="H451" s="0" t="str">
        <f aca="false">PROPER(TRIM(AO451))</f>
        <v>Assam</v>
      </c>
      <c r="I451" s="0" t="str">
        <f aca="false">PROPER(TRIM(AP451))</f>
        <v>Guwahati</v>
      </c>
      <c r="J451" s="0" t="str">
        <f aca="false">PROPER(TRIM(AQ451))</f>
        <v>Technology</v>
      </c>
      <c r="K451" s="0" t="str">
        <f aca="false">PROPER(TRIM(AR451))</f>
        <v>Machines</v>
      </c>
      <c r="M451" s="0" t="str">
        <f aca="false">IF(TRIM(AS451)="","Unknown",PROPER(TRIM(AS451)))</f>
        <v>Second Class</v>
      </c>
      <c r="N451" s="0" t="n">
        <v>6</v>
      </c>
      <c r="O451" s="0" t="n">
        <v>3270.36</v>
      </c>
      <c r="P451" s="5" t="n">
        <f aca="false">IF(AT451="","",IF(ISNUMBER(AT451),AT451,VALUE(SUBSTITUTE(AT451,"%",""))/100))</f>
        <v>0</v>
      </c>
      <c r="Q451" s="5" t="n">
        <f aca="false">IF(P451="",IF(AND(N451&lt;&gt;"",O451&lt;&gt;"",R451&lt;&gt;"",S451&lt;&gt;""),0,"REVIEW"),IF(OR(P451&lt;0,P451&gt;0.3),0,P451))</f>
        <v>0</v>
      </c>
      <c r="R451" s="0" t="n">
        <v>19622.16</v>
      </c>
      <c r="S451" s="0" t="n">
        <v>14271.27</v>
      </c>
      <c r="T451" s="6" t="n">
        <f aca="false">N451*O451*(1-Q451)</f>
        <v>19622.16</v>
      </c>
      <c r="U451" s="6" t="n">
        <f aca="false">T451-S451</f>
        <v>5350.89</v>
      </c>
      <c r="V451" s="7" t="n">
        <f aca="false">IF(T451=0,0,U451/T451)</f>
        <v>0.272696278085593</v>
      </c>
      <c r="W451" s="4" t="n">
        <f aca="false">C451-B451</f>
        <v>7</v>
      </c>
      <c r="X451" s="0" t="str">
        <f aca="false">TEXT(B451,"mmmm")</f>
        <v>June</v>
      </c>
      <c r="Y451" s="4" t="n">
        <f aca="false">YEAR(B451)</f>
        <v>2024</v>
      </c>
      <c r="Z451" s="0" t="str">
        <f aca="false">PROPER(TRIM(AU451))</f>
        <v>Paid</v>
      </c>
      <c r="AA451" s="0" t="str">
        <f aca="false">PROPER(TRIM(AV451))</f>
        <v>Completed</v>
      </c>
      <c r="AB451" s="0" t="str">
        <f aca="false">IF(TRIM(AN451)="","Yes","No")</f>
        <v>No</v>
      </c>
      <c r="AC451" s="0" t="str">
        <f aca="false">IF(TRIM(AS451)="","Yes","No")</f>
        <v>No</v>
      </c>
      <c r="AD451" s="0" t="str">
        <f aca="false">IF(AT451="","Yes","No")</f>
        <v>No</v>
      </c>
      <c r="AE451" s="0" t="str">
        <f aca="false">IF(W451&lt;0,"Yes","No")</f>
        <v>No</v>
      </c>
      <c r="AF451" s="0" t="str">
        <f aca="false">IF(P451="","No",IF(OR(P451&lt;0,P451&gt;0.3),"Yes","No"))</f>
        <v>No</v>
      </c>
      <c r="AG451" s="4" t="s">
        <v>50</v>
      </c>
      <c r="AH451" s="0" t="str">
        <f aca="false">IF(AND(AA451="Completed",Z451="Paid"),"Yes","No")</f>
        <v>Yes</v>
      </c>
      <c r="AI451" s="0" t="str">
        <f aca="false">IF(OR(AE451="Yes",AF451="Yes",AG451="Yes"),"Invalid",IF(OR(AB451="Yes",AC451="Yes",AD451="Yes"),"Warning","Clean"))</f>
        <v>Clean</v>
      </c>
      <c r="AJ451" s="4" t="s">
        <v>1811</v>
      </c>
      <c r="AK451" s="4" t="s">
        <v>1812</v>
      </c>
      <c r="AL451" s="4" t="s">
        <v>127</v>
      </c>
      <c r="AM451" s="4" t="s">
        <v>128</v>
      </c>
      <c r="AN451" s="4" t="s">
        <v>69</v>
      </c>
      <c r="AO451" s="4" t="s">
        <v>221</v>
      </c>
      <c r="AP451" s="4" t="s">
        <v>222</v>
      </c>
      <c r="AQ451" s="4" t="s">
        <v>109</v>
      </c>
      <c r="AR451" s="4" t="s">
        <v>360</v>
      </c>
      <c r="AS451" s="4" t="s">
        <v>60</v>
      </c>
      <c r="AT451" s="0" t="n">
        <v>0</v>
      </c>
      <c r="AU451" s="4" t="s">
        <v>61</v>
      </c>
      <c r="AV451" s="4" t="s">
        <v>62</v>
      </c>
    </row>
    <row r="452" customFormat="false" ht="15" hidden="false" customHeight="false" outlineLevel="0" collapsed="false">
      <c r="A452" s="0" t="s">
        <v>1813</v>
      </c>
      <c r="B452" s="3" t="n">
        <f aca="false">IF(AJ452="","",IF(ISNUMBER(SEARCH("/",AJ452)),DATE(VALUE(RIGHT(AJ452,4)),VALUE(LEFT(AJ452,2)),VALUE(MID(AJ452,4,2))),IF(ISNUMBER(SEARCH("-",AJ452)),IF(LEN(LEFT(AJ452,FIND("-",AJ452)-1))=4,DATE(VALUE(LEFT(AJ452,4)),VALUE(MID(AJ452,6,2)),VALUE(RIGHT(AJ452,2))),DATE(VALUE(RIGHT(AJ452,4)),VALUE(MID(AJ452,4,2)),VALUE(LEFT(AJ452,2)))),DATE(VALUE(RIGHT(AJ452,4)),MATCH(MID(AJ452,4,3),{"Jan","Feb","Mar","Apr","May","Jun","Jul","Aug","Sep","Oct","Nov","Dec"},0),VALUE(LEFT(AJ452,2))))))</f>
        <v>45820</v>
      </c>
      <c r="C452" s="3" t="n">
        <f aca="false">IF(AK452="","",IF(ISNUMBER(SEARCH("/",AK452)),DATE(VALUE(RIGHT(AK452,4)),VALUE(LEFT(AK452,2)),VALUE(MID(AK452,4,2))),IF(ISNUMBER(SEARCH("-",AK452)),IF(LEN(LEFT(AK452,FIND("-",AK452)-1))=4,DATE(VALUE(LEFT(AK452,4)),VALUE(MID(AK452,6,2)),VALUE(RIGHT(AK452,2))),DATE(VALUE(RIGHT(AK452,4)),VALUE(MID(AK452,4,2)),VALUE(LEFT(AK452,2)))),DATE(VALUE(RIGHT(AK452,4)),MATCH(MID(AK452,4,3),{"Jan","Feb","Mar","Apr","May","Jun","Jul","Aug","Sep","Oct","Nov","Dec"},0),VALUE(LEFT(AK452,2))))))</f>
        <v>45827</v>
      </c>
      <c r="D452" s="4" t="s">
        <v>1814</v>
      </c>
      <c r="E452" s="0" t="str">
        <f aca="false">PROPER(TRIM(AL452))</f>
        <v>Ananya Rao</v>
      </c>
      <c r="F452" s="0" t="str">
        <f aca="false">PROPER(TRIM(AM452))</f>
        <v>Corporate</v>
      </c>
      <c r="G452" s="0" t="str">
        <f aca="false">IF(TRIM(AN452)="","Unknown",PROPER(TRIM(AN452)))</f>
        <v>North</v>
      </c>
      <c r="H452" s="0" t="str">
        <f aca="false">PROPER(TRIM(AO452))</f>
        <v>Delhi</v>
      </c>
      <c r="I452" s="0" t="str">
        <f aca="false">PROPER(TRIM(AP452))</f>
        <v>New Delhi</v>
      </c>
      <c r="J452" s="0" t="str">
        <f aca="false">PROPER(TRIM(AQ452))</f>
        <v>Furniture</v>
      </c>
      <c r="K452" s="0" t="str">
        <f aca="false">PROPER(TRIM(AR452))</f>
        <v>Chairs</v>
      </c>
      <c r="M452" s="0" t="str">
        <f aca="false">IF(TRIM(AS452)="","Unknown",PROPER(TRIM(AS452)))</f>
        <v>Standard Class</v>
      </c>
      <c r="N452" s="0" t="n">
        <v>9</v>
      </c>
      <c r="O452" s="0" t="n">
        <v>2278.57</v>
      </c>
      <c r="P452" s="5" t="n">
        <f aca="false">IF(AT452="","",IF(ISNUMBER(AT452),AT452,VALUE(SUBSTITUTE(AT452,"%",""))/100))</f>
        <v>0.25</v>
      </c>
      <c r="Q452" s="5" t="n">
        <f aca="false">IF(P452="",IF(AND(N452&lt;&gt;"",O452&lt;&gt;"",R452&lt;&gt;"",S452&lt;&gt;""),0,"REVIEW"),IF(OR(P452&lt;0,P452&gt;0.3),0,P452))</f>
        <v>0.25</v>
      </c>
      <c r="R452" s="0" t="n">
        <v>15380.35</v>
      </c>
      <c r="S452" s="0" t="n">
        <v>9907.37</v>
      </c>
      <c r="T452" s="6" t="n">
        <f aca="false">N452*O452*(1-Q452)</f>
        <v>15380.3475</v>
      </c>
      <c r="U452" s="6" t="n">
        <f aca="false">T452-S452</f>
        <v>5472.9775</v>
      </c>
      <c r="V452" s="7" t="n">
        <f aca="false">IF(T452=0,0,U452/T452)</f>
        <v>0.355842252588896</v>
      </c>
      <c r="W452" s="4" t="n">
        <f aca="false">C452-B452</f>
        <v>7</v>
      </c>
      <c r="X452" s="0" t="str">
        <f aca="false">TEXT(B452,"mmmm")</f>
        <v>June</v>
      </c>
      <c r="Y452" s="4" t="n">
        <f aca="false">YEAR(B452)</f>
        <v>2025</v>
      </c>
      <c r="Z452" s="0" t="str">
        <f aca="false">PROPER(TRIM(AU452))</f>
        <v>Paid</v>
      </c>
      <c r="AA452" s="0" t="str">
        <f aca="false">PROPER(TRIM(AV452))</f>
        <v>Completed</v>
      </c>
      <c r="AB452" s="0" t="str">
        <f aca="false">IF(TRIM(AN452)="","Yes","No")</f>
        <v>No</v>
      </c>
      <c r="AC452" s="0" t="str">
        <f aca="false">IF(TRIM(AS452)="","Yes","No")</f>
        <v>No</v>
      </c>
      <c r="AD452" s="0" t="str">
        <f aca="false">IF(AT452="","Yes","No")</f>
        <v>No</v>
      </c>
      <c r="AE452" s="0" t="str">
        <f aca="false">IF(W452&lt;0,"Yes","No")</f>
        <v>No</v>
      </c>
      <c r="AF452" s="0" t="str">
        <f aca="false">IF(P452="","No",IF(OR(P452&lt;0,P452&gt;0.3),"Yes","No"))</f>
        <v>No</v>
      </c>
      <c r="AG452" s="4" t="s">
        <v>50</v>
      </c>
      <c r="AH452" s="0" t="str">
        <f aca="false">IF(AND(AA452="Completed",Z452="Paid"),"Yes","No")</f>
        <v>Yes</v>
      </c>
      <c r="AI452" s="0" t="str">
        <f aca="false">IF(OR(AE452="Yes",AF452="Yes",AG452="Yes"),"Invalid",IF(OR(AB452="Yes",AC452="Yes",AD452="Yes"),"Warning","Clean"))</f>
        <v>Clean</v>
      </c>
      <c r="AJ452" s="4" t="s">
        <v>1815</v>
      </c>
      <c r="AK452" s="4" t="s">
        <v>1317</v>
      </c>
      <c r="AL452" s="4" t="s">
        <v>96</v>
      </c>
      <c r="AM452" s="4" t="s">
        <v>128</v>
      </c>
      <c r="AN452" s="4" t="s">
        <v>168</v>
      </c>
      <c r="AO452" s="4" t="s">
        <v>461</v>
      </c>
      <c r="AP452" s="4" t="s">
        <v>462</v>
      </c>
      <c r="AQ452" s="4" t="s">
        <v>72</v>
      </c>
      <c r="AR452" s="4" t="s">
        <v>100</v>
      </c>
      <c r="AS452" s="4" t="s">
        <v>91</v>
      </c>
      <c r="AT452" s="0" t="n">
        <v>0.25</v>
      </c>
      <c r="AU452" s="4" t="s">
        <v>61</v>
      </c>
      <c r="AV452" s="4" t="s">
        <v>62</v>
      </c>
    </row>
    <row r="453" customFormat="false" ht="15" hidden="false" customHeight="false" outlineLevel="0" collapsed="false">
      <c r="A453" s="0" t="s">
        <v>1816</v>
      </c>
      <c r="B453" s="3" t="n">
        <f aca="false">IF(AJ453="","",IF(ISNUMBER(SEARCH("/",AJ453)),DATE(VALUE(RIGHT(AJ453,4)),VALUE(LEFT(AJ453,2)),VALUE(MID(AJ453,4,2))),IF(ISNUMBER(SEARCH("-",AJ453)),IF(LEN(LEFT(AJ453,FIND("-",AJ453)-1))=4,DATE(VALUE(LEFT(AJ453,4)),VALUE(MID(AJ453,6,2)),VALUE(RIGHT(AJ453,2))),DATE(VALUE(RIGHT(AJ453,4)),VALUE(MID(AJ453,4,2)),VALUE(LEFT(AJ453,2)))),DATE(VALUE(RIGHT(AJ453,4)),MATCH(MID(AJ453,4,3),{"Jan","Feb","Mar","Apr","May","Jun","Jul","Aug","Sep","Oct","Nov","Dec"},0),VALUE(LEFT(AJ453,2))))))</f>
        <v>45375</v>
      </c>
      <c r="C453" s="3" t="n">
        <f aca="false">IF(AK453="","",IF(ISNUMBER(SEARCH("/",AK453)),DATE(VALUE(RIGHT(AK453,4)),VALUE(LEFT(AK453,2)),VALUE(MID(AK453,4,2))),IF(ISNUMBER(SEARCH("-",AK453)),IF(LEN(LEFT(AK453,FIND("-",AK453)-1))=4,DATE(VALUE(LEFT(AK453,4)),VALUE(MID(AK453,6,2)),VALUE(RIGHT(AK453,2))),DATE(VALUE(RIGHT(AK453,4)),VALUE(MID(AK453,4,2)),VALUE(LEFT(AK453,2)))),DATE(VALUE(RIGHT(AK453,4)),MATCH(MID(AK453,4,3),{"Jan","Feb","Mar","Apr","May","Jun","Jul","Aug","Sep","Oct","Nov","Dec"},0),VALUE(LEFT(AK453,2))))))</f>
        <v>45377</v>
      </c>
      <c r="D453" s="4" t="s">
        <v>1817</v>
      </c>
      <c r="E453" s="0" t="str">
        <f aca="false">PROPER(TRIM(AL453))</f>
        <v>Rohan Mehta</v>
      </c>
      <c r="F453" s="0" t="str">
        <f aca="false">PROPER(TRIM(AM453))</f>
        <v>Small Business</v>
      </c>
      <c r="G453" s="0" t="str">
        <f aca="false">IF(TRIM(AN453)="","Unknown",PROPER(TRIM(AN453)))</f>
        <v>North</v>
      </c>
      <c r="H453" s="0" t="str">
        <f aca="false">PROPER(TRIM(AO453))</f>
        <v>Haryana</v>
      </c>
      <c r="I453" s="0" t="str">
        <f aca="false">PROPER(TRIM(AP453))</f>
        <v>Gurugram</v>
      </c>
      <c r="J453" s="0" t="str">
        <f aca="false">PROPER(TRIM(AQ453))</f>
        <v>Office Supplies</v>
      </c>
      <c r="K453" s="0" t="str">
        <f aca="false">PROPER(TRIM(AR453))</f>
        <v>Paper</v>
      </c>
      <c r="M453" s="0" t="str">
        <f aca="false">IF(TRIM(AS453)="","Unknown",PROPER(TRIM(AS453)))</f>
        <v>Second Class</v>
      </c>
      <c r="N453" s="0" t="n">
        <v>8</v>
      </c>
      <c r="O453" s="0" t="n">
        <v>1917.64</v>
      </c>
      <c r="P453" s="5" t="n">
        <f aca="false">IF(AT453="","",IF(ISNUMBER(AT453),AT453,VALUE(SUBSTITUTE(AT453,"%",""))/100))</f>
        <v>0.15</v>
      </c>
      <c r="Q453" s="5" t="n">
        <f aca="false">IF(P453="",IF(AND(N453&lt;&gt;"",O453&lt;&gt;"",R453&lt;&gt;"",S453&lt;&gt;""),0,"REVIEW"),IF(OR(P453&lt;0,P453&gt;0.3),0,P453))</f>
        <v>0.15</v>
      </c>
      <c r="R453" s="0" t="n">
        <v>13039.95</v>
      </c>
      <c r="S453" s="0" t="n">
        <v>11127.82</v>
      </c>
      <c r="T453" s="6" t="n">
        <f aca="false">N453*O453*(1-Q453)</f>
        <v>13039.952</v>
      </c>
      <c r="U453" s="6" t="n">
        <f aca="false">T453-S453</f>
        <v>1912.132</v>
      </c>
      <c r="V453" s="7" t="n">
        <f aca="false">IF(T453=0,0,U453/T453)</f>
        <v>0.14663642933655</v>
      </c>
      <c r="W453" s="4" t="n">
        <f aca="false">C453-B453</f>
        <v>2</v>
      </c>
      <c r="X453" s="0" t="str">
        <f aca="false">TEXT(B453,"mmmm")</f>
        <v>March</v>
      </c>
      <c r="Y453" s="4" t="n">
        <f aca="false">YEAR(B453)</f>
        <v>2024</v>
      </c>
      <c r="Z453" s="0" t="str">
        <f aca="false">PROPER(TRIM(AU453))</f>
        <v>Paid</v>
      </c>
      <c r="AA453" s="0" t="str">
        <f aca="false">PROPER(TRIM(AV453))</f>
        <v>Cancelled</v>
      </c>
      <c r="AB453" s="0" t="str">
        <f aca="false">IF(TRIM(AN453)="","Yes","No")</f>
        <v>No</v>
      </c>
      <c r="AC453" s="0" t="str">
        <f aca="false">IF(TRIM(AS453)="","Yes","No")</f>
        <v>No</v>
      </c>
      <c r="AD453" s="0" t="str">
        <f aca="false">IF(AT453="","Yes","No")</f>
        <v>No</v>
      </c>
      <c r="AE453" s="0" t="str">
        <f aca="false">IF(W453&lt;0,"Yes","No")</f>
        <v>No</v>
      </c>
      <c r="AF453" s="0" t="str">
        <f aca="false">IF(P453="","No",IF(OR(P453&lt;0,P453&gt;0.3),"Yes","No"))</f>
        <v>No</v>
      </c>
      <c r="AG453" s="4" t="s">
        <v>50</v>
      </c>
      <c r="AH453" s="0" t="str">
        <f aca="false">IF(AND(AA453="Completed",Z453="Paid"),"Yes","No")</f>
        <v>No</v>
      </c>
      <c r="AI453" s="0" t="str">
        <f aca="false">IF(OR(AE453="Yes",AF453="Yes",AG453="Yes"),"Invalid",IF(OR(AB453="Yes",AC453="Yes",AD453="Yes"),"Warning","Clean"))</f>
        <v>Clean</v>
      </c>
      <c r="AJ453" s="4" t="s">
        <v>1818</v>
      </c>
      <c r="AK453" s="4" t="s">
        <v>1819</v>
      </c>
      <c r="AL453" s="4" t="s">
        <v>191</v>
      </c>
      <c r="AM453" s="4" t="s">
        <v>68</v>
      </c>
      <c r="AN453" s="4" t="s">
        <v>168</v>
      </c>
      <c r="AO453" s="4" t="s">
        <v>310</v>
      </c>
      <c r="AP453" s="4" t="s">
        <v>311</v>
      </c>
      <c r="AQ453" s="4" t="s">
        <v>58</v>
      </c>
      <c r="AR453" s="4" t="s">
        <v>59</v>
      </c>
      <c r="AS453" s="4" t="s">
        <v>60</v>
      </c>
      <c r="AT453" s="0" t="n">
        <v>0.15</v>
      </c>
      <c r="AU453" s="4" t="s">
        <v>61</v>
      </c>
      <c r="AV453" s="4" t="s">
        <v>101</v>
      </c>
    </row>
    <row r="454" customFormat="false" ht="15" hidden="false" customHeight="false" outlineLevel="0" collapsed="false">
      <c r="A454" s="0" t="s">
        <v>1820</v>
      </c>
      <c r="B454" s="3" t="n">
        <f aca="false">IF(AJ454="","",IF(ISNUMBER(SEARCH("/",AJ454)),DATE(VALUE(RIGHT(AJ454,4)),VALUE(LEFT(AJ454,2)),VALUE(MID(AJ454,4,2))),IF(ISNUMBER(SEARCH("-",AJ454)),IF(LEN(LEFT(AJ454,FIND("-",AJ454)-1))=4,DATE(VALUE(LEFT(AJ454,4)),VALUE(MID(AJ454,6,2)),VALUE(RIGHT(AJ454,2))),DATE(VALUE(RIGHT(AJ454,4)),VALUE(MID(AJ454,4,2)),VALUE(LEFT(AJ454,2)))),DATE(VALUE(RIGHT(AJ454,4)),MATCH(MID(AJ454,4,3),{"Jan","Feb","Mar","Apr","May","Jun","Jul","Aug","Sep","Oct","Nov","Dec"},0),VALUE(LEFT(AJ454,2))))))</f>
        <v>45422</v>
      </c>
      <c r="C454" s="3" t="n">
        <f aca="false">IF(AK454="","",IF(ISNUMBER(SEARCH("/",AK454)),DATE(VALUE(RIGHT(AK454,4)),VALUE(LEFT(AK454,2)),VALUE(MID(AK454,4,2))),IF(ISNUMBER(SEARCH("-",AK454)),IF(LEN(LEFT(AK454,FIND("-",AK454)-1))=4,DATE(VALUE(LEFT(AK454,4)),VALUE(MID(AK454,6,2)),VALUE(RIGHT(AK454,2))),DATE(VALUE(RIGHT(AK454,4)),VALUE(MID(AK454,4,2)),VALUE(LEFT(AK454,2)))),DATE(VALUE(RIGHT(AK454,4)),MATCH(MID(AK454,4,3),{"Jan","Feb","Mar","Apr","May","Jun","Jul","Aug","Sep","Oct","Nov","Dec"},0),VALUE(LEFT(AK454,2))))))</f>
        <v>45428</v>
      </c>
      <c r="D454" s="4" t="s">
        <v>1821</v>
      </c>
      <c r="E454" s="0" t="str">
        <f aca="false">PROPER(TRIM(AL454))</f>
        <v>Diya Patel</v>
      </c>
      <c r="F454" s="0" t="str">
        <f aca="false">PROPER(TRIM(AM454))</f>
        <v>Home Office</v>
      </c>
      <c r="G454" s="0" t="str">
        <f aca="false">IF(TRIM(AN454)="","Unknown",PROPER(TRIM(AN454)))</f>
        <v>East</v>
      </c>
      <c r="H454" s="0" t="str">
        <f aca="false">PROPER(TRIM(AO454))</f>
        <v>Jharkhand</v>
      </c>
      <c r="I454" s="0" t="str">
        <f aca="false">PROPER(TRIM(AP454))</f>
        <v>Ranchi</v>
      </c>
      <c r="J454" s="0" t="str">
        <f aca="false">PROPER(TRIM(AQ454))</f>
        <v>Technology</v>
      </c>
      <c r="K454" s="0" t="str">
        <f aca="false">PROPER(TRIM(AR454))</f>
        <v>Accessories</v>
      </c>
      <c r="M454" s="0" t="str">
        <f aca="false">IF(TRIM(AS454)="","Unknown",PROPER(TRIM(AS454)))</f>
        <v>Second Class</v>
      </c>
      <c r="N454" s="0" t="n">
        <v>6</v>
      </c>
      <c r="O454" s="0" t="n">
        <v>2013.33</v>
      </c>
      <c r="P454" s="5" t="n">
        <f aca="false">IF(AT454="","",IF(ISNUMBER(AT454),AT454,VALUE(SUBSTITUTE(AT454,"%",""))/100))</f>
        <v>0.2</v>
      </c>
      <c r="Q454" s="5" t="n">
        <f aca="false">IF(P454="",IF(AND(N454&lt;&gt;"",O454&lt;&gt;"",R454&lt;&gt;"",S454&lt;&gt;""),0,"REVIEW"),IF(OR(P454&lt;0,P454&gt;0.3),0,P454))</f>
        <v>0.2</v>
      </c>
      <c r="R454" s="0" t="n">
        <v>9663.98</v>
      </c>
      <c r="S454" s="0" t="n">
        <v>5628.93</v>
      </c>
      <c r="T454" s="6" t="n">
        <f aca="false">N454*O454*(1-Q454)</f>
        <v>9663.984</v>
      </c>
      <c r="U454" s="6" t="n">
        <f aca="false">T454-S454</f>
        <v>4035.054</v>
      </c>
      <c r="V454" s="7" t="n">
        <f aca="false">IF(T454=0,0,U454/T454)</f>
        <v>0.417535252541809</v>
      </c>
      <c r="W454" s="4" t="n">
        <f aca="false">C454-B454</f>
        <v>6</v>
      </c>
      <c r="X454" s="0" t="str">
        <f aca="false">TEXT(B454,"mmmm")</f>
        <v>May</v>
      </c>
      <c r="Y454" s="4" t="n">
        <f aca="false">YEAR(B454)</f>
        <v>2024</v>
      </c>
      <c r="Z454" s="0" t="str">
        <f aca="false">PROPER(TRIM(AU454))</f>
        <v>Paid</v>
      </c>
      <c r="AA454" s="0" t="str">
        <f aca="false">PROPER(TRIM(AV454))</f>
        <v>Completed</v>
      </c>
      <c r="AB454" s="0" t="str">
        <f aca="false">IF(TRIM(AN454)="","Yes","No")</f>
        <v>No</v>
      </c>
      <c r="AC454" s="0" t="str">
        <f aca="false">IF(TRIM(AS454)="","Yes","No")</f>
        <v>No</v>
      </c>
      <c r="AD454" s="0" t="str">
        <f aca="false">IF(AT454="","Yes","No")</f>
        <v>No</v>
      </c>
      <c r="AE454" s="0" t="str">
        <f aca="false">IF(W454&lt;0,"Yes","No")</f>
        <v>No</v>
      </c>
      <c r="AF454" s="0" t="str">
        <f aca="false">IF(P454="","No",IF(OR(P454&lt;0,P454&gt;0.3),"Yes","No"))</f>
        <v>No</v>
      </c>
      <c r="AG454" s="4" t="s">
        <v>50</v>
      </c>
      <c r="AH454" s="0" t="str">
        <f aca="false">IF(AND(AA454="Completed",Z454="Paid"),"Yes","No")</f>
        <v>Yes</v>
      </c>
      <c r="AI454" s="0" t="str">
        <f aca="false">IF(OR(AE454="Yes",AF454="Yes",AG454="Yes"),"Invalid",IF(OR(AB454="Yes",AC454="Yes",AD454="Yes"),"Warning","Clean"))</f>
        <v>Clean</v>
      </c>
      <c r="AJ454" s="4" t="s">
        <v>1822</v>
      </c>
      <c r="AK454" s="4" t="s">
        <v>1157</v>
      </c>
      <c r="AL454" s="4" t="s">
        <v>216</v>
      </c>
      <c r="AM454" s="4" t="s">
        <v>134</v>
      </c>
      <c r="AN454" s="4" t="s">
        <v>69</v>
      </c>
      <c r="AO454" s="4" t="s">
        <v>300</v>
      </c>
      <c r="AP454" s="4" t="s">
        <v>301</v>
      </c>
      <c r="AQ454" s="4" t="s">
        <v>109</v>
      </c>
      <c r="AR454" s="4" t="s">
        <v>110</v>
      </c>
      <c r="AS454" s="4" t="s">
        <v>60</v>
      </c>
      <c r="AT454" s="0" t="n">
        <v>0.2</v>
      </c>
      <c r="AU454" s="4" t="s">
        <v>61</v>
      </c>
      <c r="AV454" s="4" t="s">
        <v>62</v>
      </c>
    </row>
    <row r="455" customFormat="false" ht="15" hidden="false" customHeight="false" outlineLevel="0" collapsed="false">
      <c r="A455" s="0" t="s">
        <v>1823</v>
      </c>
      <c r="B455" s="3" t="n">
        <f aca="false">IF(AJ455="","",IF(ISNUMBER(SEARCH("/",AJ455)),DATE(VALUE(RIGHT(AJ455,4)),VALUE(LEFT(AJ455,2)),VALUE(MID(AJ455,4,2))),IF(ISNUMBER(SEARCH("-",AJ455)),IF(LEN(LEFT(AJ455,FIND("-",AJ455)-1))=4,DATE(VALUE(LEFT(AJ455,4)),VALUE(MID(AJ455,6,2)),VALUE(RIGHT(AJ455,2))),DATE(VALUE(RIGHT(AJ455,4)),VALUE(MID(AJ455,4,2)),VALUE(LEFT(AJ455,2)))),DATE(VALUE(RIGHT(AJ455,4)),MATCH(MID(AJ455,4,3),{"Jan","Feb","Mar","Apr","May","Jun","Jul","Aug","Sep","Oct","Nov","Dec"},0),VALUE(LEFT(AJ455,2))))))</f>
        <v>45780</v>
      </c>
      <c r="C455" s="3" t="n">
        <f aca="false">IF(AK455="","",IF(ISNUMBER(SEARCH("/",AK455)),DATE(VALUE(RIGHT(AK455,4)),VALUE(LEFT(AK455,2)),VALUE(MID(AK455,4,2))),IF(ISNUMBER(SEARCH("-",AK455)),IF(LEN(LEFT(AK455,FIND("-",AK455)-1))=4,DATE(VALUE(LEFT(AK455,4)),VALUE(MID(AK455,6,2)),VALUE(RIGHT(AK455,2))),DATE(VALUE(RIGHT(AK455,4)),VALUE(MID(AK455,4,2)),VALUE(LEFT(AK455,2)))),DATE(VALUE(RIGHT(AK455,4)),MATCH(MID(AK455,4,3),{"Jan","Feb","Mar","Apr","May","Jun","Jul","Aug","Sep","Oct","Nov","Dec"},0),VALUE(LEFT(AK455,2))))))</f>
        <v>45788</v>
      </c>
      <c r="D455" s="4" t="s">
        <v>1824</v>
      </c>
      <c r="E455" s="0" t="str">
        <f aca="false">PROPER(TRIM(AL455))</f>
        <v>Rohan Mehta</v>
      </c>
      <c r="F455" s="0" t="str">
        <f aca="false">PROPER(TRIM(AM455))</f>
        <v>Small Business</v>
      </c>
      <c r="G455" s="0" t="str">
        <f aca="false">IF(TRIM(AN455)="","Unknown",PROPER(TRIM(AN455)))</f>
        <v>West</v>
      </c>
      <c r="H455" s="0" t="str">
        <f aca="false">PROPER(TRIM(AO455))</f>
        <v>Madhya Pradesh</v>
      </c>
      <c r="I455" s="0" t="str">
        <f aca="false">PROPER(TRIM(AP455))</f>
        <v>Indore</v>
      </c>
      <c r="J455" s="0" t="str">
        <f aca="false">PROPER(TRIM(AQ455))</f>
        <v>Office Supplies</v>
      </c>
      <c r="K455" s="0" t="str">
        <f aca="false">PROPER(TRIM(AR455))</f>
        <v>Labels</v>
      </c>
      <c r="M455" s="0" t="str">
        <f aca="false">IF(TRIM(AS455)="","Unknown",PROPER(TRIM(AS455)))</f>
        <v>Same Day</v>
      </c>
      <c r="N455" s="0" t="n">
        <v>5</v>
      </c>
      <c r="O455" s="0" t="n">
        <v>1483.52</v>
      </c>
      <c r="P455" s="5" t="n">
        <f aca="false">IF(AT455="","",IF(ISNUMBER(AT455),AT455,VALUE(SUBSTITUTE(AT455,"%",""))/100))</f>
        <v>0</v>
      </c>
      <c r="Q455" s="5" t="n">
        <f aca="false">IF(P455="",IF(AND(N455&lt;&gt;"",O455&lt;&gt;"",R455&lt;&gt;"",S455&lt;&gt;""),0,"REVIEW"),IF(OR(P455&lt;0,P455&gt;0.3),0,P455))</f>
        <v>0</v>
      </c>
      <c r="R455" s="0" t="n">
        <v>7417.6</v>
      </c>
      <c r="S455" s="0" t="n">
        <v>4955.86</v>
      </c>
      <c r="T455" s="6" t="n">
        <f aca="false">N455*O455*(1-Q455)</f>
        <v>7417.6</v>
      </c>
      <c r="U455" s="6" t="n">
        <f aca="false">T455-S455</f>
        <v>2461.74</v>
      </c>
      <c r="V455" s="7" t="n">
        <f aca="false">IF(T455=0,0,U455/T455)</f>
        <v>0.331878235547886</v>
      </c>
      <c r="W455" s="4" t="n">
        <f aca="false">C455-B455</f>
        <v>8</v>
      </c>
      <c r="X455" s="0" t="str">
        <f aca="false">TEXT(B455,"mmmm")</f>
        <v>May</v>
      </c>
      <c r="Y455" s="4" t="n">
        <f aca="false">YEAR(B455)</f>
        <v>2025</v>
      </c>
      <c r="Z455" s="0" t="str">
        <f aca="false">PROPER(TRIM(AU455))</f>
        <v>Paid</v>
      </c>
      <c r="AA455" s="0" t="str">
        <f aca="false">PROPER(TRIM(AV455))</f>
        <v>Completed</v>
      </c>
      <c r="AB455" s="0" t="str">
        <f aca="false">IF(TRIM(AN455)="","Yes","No")</f>
        <v>No</v>
      </c>
      <c r="AC455" s="0" t="str">
        <f aca="false">IF(TRIM(AS455)="","Yes","No")</f>
        <v>No</v>
      </c>
      <c r="AD455" s="0" t="str">
        <f aca="false">IF(AT455="","Yes","No")</f>
        <v>No</v>
      </c>
      <c r="AE455" s="0" t="str">
        <f aca="false">IF(W455&lt;0,"Yes","No")</f>
        <v>No</v>
      </c>
      <c r="AF455" s="0" t="str">
        <f aca="false">IF(P455="","No",IF(OR(P455&lt;0,P455&gt;0.3),"Yes","No"))</f>
        <v>No</v>
      </c>
      <c r="AG455" s="4" t="s">
        <v>50</v>
      </c>
      <c r="AH455" s="0" t="str">
        <f aca="false">IF(AND(AA455="Completed",Z455="Paid"),"Yes","No")</f>
        <v>Yes</v>
      </c>
      <c r="AI455" s="0" t="str">
        <f aca="false">IF(OR(AE455="Yes",AF455="Yes",AG455="Yes"),"Invalid",IF(OR(AB455="Yes",AC455="Yes",AD455="Yes"),"Warning","Clean"))</f>
        <v>Clean</v>
      </c>
      <c r="AJ455" s="4" t="s">
        <v>1825</v>
      </c>
      <c r="AK455" s="4" t="s">
        <v>1826</v>
      </c>
      <c r="AL455" s="4" t="s">
        <v>191</v>
      </c>
      <c r="AM455" s="4" t="s">
        <v>423</v>
      </c>
      <c r="AN455" s="4" t="s">
        <v>97</v>
      </c>
      <c r="AO455" s="4" t="s">
        <v>107</v>
      </c>
      <c r="AP455" s="4" t="s">
        <v>108</v>
      </c>
      <c r="AQ455" s="4" t="s">
        <v>58</v>
      </c>
      <c r="AR455" s="4" t="s">
        <v>129</v>
      </c>
      <c r="AS455" s="4" t="s">
        <v>74</v>
      </c>
      <c r="AT455" s="0" t="n">
        <v>0</v>
      </c>
      <c r="AU455" s="4" t="s">
        <v>61</v>
      </c>
      <c r="AV455" s="4" t="s">
        <v>62</v>
      </c>
    </row>
    <row r="456" customFormat="false" ht="15" hidden="false" customHeight="false" outlineLevel="0" collapsed="false">
      <c r="A456" s="0" t="s">
        <v>1827</v>
      </c>
      <c r="B456" s="3" t="n">
        <f aca="false">IF(AJ456="","",IF(ISNUMBER(SEARCH("/",AJ456)),DATE(VALUE(RIGHT(AJ456,4)),VALUE(LEFT(AJ456,2)),VALUE(MID(AJ456,4,2))),IF(ISNUMBER(SEARCH("-",AJ456)),IF(LEN(LEFT(AJ456,FIND("-",AJ456)-1))=4,DATE(VALUE(LEFT(AJ456,4)),VALUE(MID(AJ456,6,2)),VALUE(RIGHT(AJ456,2))),DATE(VALUE(RIGHT(AJ456,4)),VALUE(MID(AJ456,4,2)),VALUE(LEFT(AJ456,2)))),DATE(VALUE(RIGHT(AJ456,4)),MATCH(MID(AJ456,4,3),{"Jan","Feb","Mar","Apr","May","Jun","Jul","Aug","Sep","Oct","Nov","Dec"},0),VALUE(LEFT(AJ456,2))))))</f>
        <v>45739</v>
      </c>
      <c r="C456" s="3" t="n">
        <f aca="false">IF(AK456="","",IF(ISNUMBER(SEARCH("/",AK456)),DATE(VALUE(RIGHT(AK456,4)),VALUE(LEFT(AK456,2)),VALUE(MID(AK456,4,2))),IF(ISNUMBER(SEARCH("-",AK456)),IF(LEN(LEFT(AK456,FIND("-",AK456)-1))=4,DATE(VALUE(LEFT(AK456,4)),VALUE(MID(AK456,6,2)),VALUE(RIGHT(AK456,2))),DATE(VALUE(RIGHT(AK456,4)),VALUE(MID(AK456,4,2)),VALUE(LEFT(AK456,2)))),DATE(VALUE(RIGHT(AK456,4)),MATCH(MID(AK456,4,3),{"Jan","Feb","Mar","Apr","May","Jun","Jul","Aug","Sep","Oct","Nov","Dec"},0),VALUE(LEFT(AK456,2))))))</f>
        <v>45744</v>
      </c>
      <c r="D456" s="4" t="s">
        <v>1828</v>
      </c>
      <c r="E456" s="0" t="str">
        <f aca="false">PROPER(TRIM(AL456))</f>
        <v>Vikram Iyer</v>
      </c>
      <c r="F456" s="0" t="str">
        <f aca="false">PROPER(TRIM(AM456))</f>
        <v>Small Business</v>
      </c>
      <c r="G456" s="0" t="str">
        <f aca="false">IF(TRIM(AN456)="","Unknown",PROPER(TRIM(AN456)))</f>
        <v>North</v>
      </c>
      <c r="H456" s="0" t="str">
        <f aca="false">PROPER(TRIM(AO456))</f>
        <v>Rajasthan</v>
      </c>
      <c r="I456" s="0" t="str">
        <f aca="false">PROPER(TRIM(AP456))</f>
        <v>Jaipur</v>
      </c>
      <c r="J456" s="0" t="str">
        <f aca="false">PROPER(TRIM(AQ456))</f>
        <v>Furniture</v>
      </c>
      <c r="K456" s="0" t="str">
        <f aca="false">PROPER(TRIM(AR456))</f>
        <v>Furnishings</v>
      </c>
      <c r="M456" s="0" t="str">
        <f aca="false">IF(TRIM(AS456)="","Unknown",PROPER(TRIM(AS456)))</f>
        <v>Standard Class</v>
      </c>
      <c r="N456" s="0" t="n">
        <v>9</v>
      </c>
      <c r="O456" s="0" t="n">
        <v>3298</v>
      </c>
      <c r="P456" s="5" t="n">
        <f aca="false">IF(AT456="","",IF(ISNUMBER(AT456),AT456,VALUE(SUBSTITUTE(AT456,"%",""))/100))</f>
        <v>0.15</v>
      </c>
      <c r="Q456" s="5" t="n">
        <f aca="false">IF(P456="",IF(AND(N456&lt;&gt;"",O456&lt;&gt;"",R456&lt;&gt;"",S456&lt;&gt;""),0,"REVIEW"),IF(OR(P456&lt;0,P456&gt;0.3),0,P456))</f>
        <v>0.15</v>
      </c>
      <c r="R456" s="0" t="n">
        <v>25229.7</v>
      </c>
      <c r="S456" s="0" t="n">
        <v>20170.43</v>
      </c>
      <c r="T456" s="6" t="n">
        <f aca="false">N456*O456*(1-Q456)</f>
        <v>25229.7</v>
      </c>
      <c r="U456" s="6" t="n">
        <f aca="false">T456-S456</f>
        <v>5059.27</v>
      </c>
      <c r="V456" s="7" t="n">
        <f aca="false">IF(T456=0,0,U456/T456)</f>
        <v>0.200528345560986</v>
      </c>
      <c r="W456" s="4" t="n">
        <f aca="false">C456-B456</f>
        <v>5</v>
      </c>
      <c r="X456" s="0" t="str">
        <f aca="false">TEXT(B456,"mmmm")</f>
        <v>March</v>
      </c>
      <c r="Y456" s="4" t="n">
        <f aca="false">YEAR(B456)</f>
        <v>2025</v>
      </c>
      <c r="Z456" s="0" t="str">
        <f aca="false">PROPER(TRIM(AU456))</f>
        <v>Paid</v>
      </c>
      <c r="AA456" s="0" t="str">
        <f aca="false">PROPER(TRIM(AV456))</f>
        <v>Completed</v>
      </c>
      <c r="AB456" s="0" t="str">
        <f aca="false">IF(TRIM(AN456)="","Yes","No")</f>
        <v>No</v>
      </c>
      <c r="AC456" s="0" t="str">
        <f aca="false">IF(TRIM(AS456)="","Yes","No")</f>
        <v>No</v>
      </c>
      <c r="AD456" s="0" t="str">
        <f aca="false">IF(AT456="","Yes","No")</f>
        <v>No</v>
      </c>
      <c r="AE456" s="0" t="str">
        <f aca="false">IF(W456&lt;0,"Yes","No")</f>
        <v>No</v>
      </c>
      <c r="AF456" s="0" t="str">
        <f aca="false">IF(P456="","No",IF(OR(P456&lt;0,P456&gt;0.3),"Yes","No"))</f>
        <v>No</v>
      </c>
      <c r="AG456" s="4" t="s">
        <v>50</v>
      </c>
      <c r="AH456" s="0" t="str">
        <f aca="false">IF(AND(AA456="Completed",Z456="Paid"),"Yes","No")</f>
        <v>Yes</v>
      </c>
      <c r="AI456" s="0" t="str">
        <f aca="false">IF(OR(AE456="Yes",AF456="Yes",AG456="Yes"),"Invalid",IF(OR(AB456="Yes",AC456="Yes",AD456="Yes"),"Warning","Clean"))</f>
        <v>Clean</v>
      </c>
      <c r="AJ456" s="4" t="s">
        <v>1829</v>
      </c>
      <c r="AK456" s="4" t="s">
        <v>1830</v>
      </c>
      <c r="AL456" s="4" t="s">
        <v>106</v>
      </c>
      <c r="AM456" s="4" t="s">
        <v>68</v>
      </c>
      <c r="AN456" s="4" t="s">
        <v>168</v>
      </c>
      <c r="AO456" s="4" t="s">
        <v>56</v>
      </c>
      <c r="AP456" s="4" t="s">
        <v>57</v>
      </c>
      <c r="AQ456" s="4" t="s">
        <v>72</v>
      </c>
      <c r="AR456" s="4" t="s">
        <v>90</v>
      </c>
      <c r="AS456" s="4" t="s">
        <v>91</v>
      </c>
      <c r="AT456" s="0" t="n">
        <v>0.15</v>
      </c>
      <c r="AU456" s="4" t="s">
        <v>61</v>
      </c>
      <c r="AV456" s="4" t="s">
        <v>62</v>
      </c>
    </row>
    <row r="457" customFormat="false" ht="15" hidden="false" customHeight="false" outlineLevel="0" collapsed="false">
      <c r="A457" s="0" t="s">
        <v>1831</v>
      </c>
      <c r="B457" s="3" t="n">
        <f aca="false">IF(AJ457="","",IF(ISNUMBER(SEARCH("/",AJ457)),DATE(VALUE(RIGHT(AJ457,4)),VALUE(LEFT(AJ457,2)),VALUE(MID(AJ457,4,2))),IF(ISNUMBER(SEARCH("-",AJ457)),IF(LEN(LEFT(AJ457,FIND("-",AJ457)-1))=4,DATE(VALUE(LEFT(AJ457,4)),VALUE(MID(AJ457,6,2)),VALUE(RIGHT(AJ457,2))),DATE(VALUE(RIGHT(AJ457,4)),VALUE(MID(AJ457,4,2)),VALUE(LEFT(AJ457,2)))),DATE(VALUE(RIGHT(AJ457,4)),MATCH(MID(AJ457,4,3),{"Jan","Feb","Mar","Apr","May","Jun","Jul","Aug","Sep","Oct","Nov","Dec"},0),VALUE(LEFT(AJ457,2))))))</f>
        <v>45491</v>
      </c>
      <c r="C457" s="3" t="n">
        <f aca="false">IF(AK457="","",IF(ISNUMBER(SEARCH("/",AK457)),DATE(VALUE(RIGHT(AK457,4)),VALUE(LEFT(AK457,2)),VALUE(MID(AK457,4,2))),IF(ISNUMBER(SEARCH("-",AK457)),IF(LEN(LEFT(AK457,FIND("-",AK457)-1))=4,DATE(VALUE(LEFT(AK457,4)),VALUE(MID(AK457,6,2)),VALUE(RIGHT(AK457,2))),DATE(VALUE(RIGHT(AK457,4)),VALUE(MID(AK457,4,2)),VALUE(LEFT(AK457,2)))),DATE(VALUE(RIGHT(AK457,4)),MATCH(MID(AK457,4,3),{"Jan","Feb","Mar","Apr","May","Jun","Jul","Aug","Sep","Oct","Nov","Dec"},0),VALUE(LEFT(AK457,2))))))</f>
        <v>45495</v>
      </c>
      <c r="D457" s="4" t="s">
        <v>1832</v>
      </c>
      <c r="E457" s="0" t="str">
        <f aca="false">PROPER(TRIM(AL457))</f>
        <v>Neha Gupta</v>
      </c>
      <c r="F457" s="0" t="str">
        <f aca="false">PROPER(TRIM(AM457))</f>
        <v>Small Business</v>
      </c>
      <c r="G457" s="0" t="str">
        <f aca="false">IF(TRIM(AN457)="","Unknown",PROPER(TRIM(AN457)))</f>
        <v>South</v>
      </c>
      <c r="H457" s="0" t="str">
        <f aca="false">PROPER(TRIM(AO457))</f>
        <v>Telangana</v>
      </c>
      <c r="I457" s="0" t="str">
        <f aca="false">PROPER(TRIM(AP457))</f>
        <v>Hyderabad</v>
      </c>
      <c r="J457" s="0" t="str">
        <f aca="false">PROPER(TRIM(AQ457))</f>
        <v>Office Supplies</v>
      </c>
      <c r="K457" s="0" t="str">
        <f aca="false">PROPER(TRIM(AR457))</f>
        <v>Art</v>
      </c>
      <c r="M457" s="0" t="str">
        <f aca="false">IF(TRIM(AS457)="","Unknown",PROPER(TRIM(AS457)))</f>
        <v>Standard Class</v>
      </c>
      <c r="N457" s="0" t="n">
        <v>4</v>
      </c>
      <c r="O457" s="0" t="n">
        <v>808.77</v>
      </c>
      <c r="P457" s="5" t="n">
        <f aca="false">IF(AT457="","",IF(ISNUMBER(AT457),AT457,VALUE(SUBSTITUTE(AT457,"%",""))/100))</f>
        <v>0</v>
      </c>
      <c r="Q457" s="5" t="n">
        <f aca="false">IF(P457="",IF(AND(N457&lt;&gt;"",O457&lt;&gt;"",R457&lt;&gt;"",S457&lt;&gt;""),0,"REVIEW"),IF(OR(P457&lt;0,P457&gt;0.3),0,P457))</f>
        <v>0</v>
      </c>
      <c r="R457" s="0" t="n">
        <v>3235.08</v>
      </c>
      <c r="S457" s="0" t="n">
        <v>1848.6</v>
      </c>
      <c r="T457" s="6" t="n">
        <f aca="false">N457*O457*(1-Q457)</f>
        <v>3235.08</v>
      </c>
      <c r="U457" s="6" t="n">
        <f aca="false">T457-S457</f>
        <v>1386.48</v>
      </c>
      <c r="V457" s="7" t="n">
        <f aca="false">IF(T457=0,0,U457/T457)</f>
        <v>0.428576727623428</v>
      </c>
      <c r="W457" s="4" t="n">
        <f aca="false">C457-B457</f>
        <v>4</v>
      </c>
      <c r="X457" s="0" t="str">
        <f aca="false">TEXT(B457,"mmmm")</f>
        <v>July</v>
      </c>
      <c r="Y457" s="4" t="n">
        <f aca="false">YEAR(B457)</f>
        <v>2024</v>
      </c>
      <c r="Z457" s="0" t="str">
        <f aca="false">PROPER(TRIM(AU457))</f>
        <v>Paid</v>
      </c>
      <c r="AA457" s="0" t="str">
        <f aca="false">PROPER(TRIM(AV457))</f>
        <v>Completed</v>
      </c>
      <c r="AB457" s="0" t="str">
        <f aca="false">IF(TRIM(AN457)="","Yes","No")</f>
        <v>No</v>
      </c>
      <c r="AC457" s="0" t="str">
        <f aca="false">IF(TRIM(AS457)="","Yes","No")</f>
        <v>No</v>
      </c>
      <c r="AD457" s="0" t="str">
        <f aca="false">IF(AT457="","Yes","No")</f>
        <v>No</v>
      </c>
      <c r="AE457" s="0" t="str">
        <f aca="false">IF(W457&lt;0,"Yes","No")</f>
        <v>No</v>
      </c>
      <c r="AF457" s="0" t="str">
        <f aca="false">IF(P457="","No",IF(OR(P457&lt;0,P457&gt;0.3),"Yes","No"))</f>
        <v>No</v>
      </c>
      <c r="AG457" s="4" t="s">
        <v>50</v>
      </c>
      <c r="AH457" s="0" t="str">
        <f aca="false">IF(AND(AA457="Completed",Z457="Paid"),"Yes","No")</f>
        <v>Yes</v>
      </c>
      <c r="AI457" s="0" t="str">
        <f aca="false">IF(OR(AE457="Yes",AF457="Yes",AG457="Yes"),"Invalid",IF(OR(AB457="Yes",AC457="Yes",AD457="Yes"),"Warning","Clean"))</f>
        <v>Clean</v>
      </c>
      <c r="AJ457" s="4" t="s">
        <v>1833</v>
      </c>
      <c r="AK457" s="4" t="s">
        <v>1834</v>
      </c>
      <c r="AL457" s="4" t="s">
        <v>115</v>
      </c>
      <c r="AM457" s="4" t="s">
        <v>68</v>
      </c>
      <c r="AN457" s="4" t="s">
        <v>87</v>
      </c>
      <c r="AO457" s="4" t="s">
        <v>88</v>
      </c>
      <c r="AP457" s="4" t="s">
        <v>89</v>
      </c>
      <c r="AQ457" s="4" t="s">
        <v>58</v>
      </c>
      <c r="AR457" s="4" t="s">
        <v>80</v>
      </c>
      <c r="AS457" s="4" t="s">
        <v>91</v>
      </c>
      <c r="AT457" s="0" t="n">
        <v>0</v>
      </c>
      <c r="AU457" s="4" t="s">
        <v>61</v>
      </c>
      <c r="AV457" s="4" t="s">
        <v>62</v>
      </c>
    </row>
    <row r="458" customFormat="false" ht="15" hidden="false" customHeight="false" outlineLevel="0" collapsed="false">
      <c r="A458" s="0" t="s">
        <v>1835</v>
      </c>
      <c r="B458" s="3" t="n">
        <f aca="false">IF(AJ458="","",IF(ISNUMBER(SEARCH("/",AJ458)),DATE(VALUE(RIGHT(AJ458,4)),VALUE(LEFT(AJ458,2)),VALUE(MID(AJ458,4,2))),IF(ISNUMBER(SEARCH("-",AJ458)),IF(LEN(LEFT(AJ458,FIND("-",AJ458)-1))=4,DATE(VALUE(LEFT(AJ458,4)),VALUE(MID(AJ458,6,2)),VALUE(RIGHT(AJ458,2))),DATE(VALUE(RIGHT(AJ458,4)),VALUE(MID(AJ458,4,2)),VALUE(LEFT(AJ458,2)))),DATE(VALUE(RIGHT(AJ458,4)),MATCH(MID(AJ458,4,3),{"Jan","Feb","Mar","Apr","May","Jun","Jul","Aug","Sep","Oct","Nov","Dec"},0),VALUE(LEFT(AJ458,2))))))</f>
        <v>45342</v>
      </c>
      <c r="C458" s="3" t="n">
        <f aca="false">IF(AK458="","",IF(ISNUMBER(SEARCH("/",AK458)),DATE(VALUE(RIGHT(AK458,4)),VALUE(LEFT(AK458,2)),VALUE(MID(AK458,4,2))),IF(ISNUMBER(SEARCH("-",AK458)),IF(LEN(LEFT(AK458,FIND("-",AK458)-1))=4,DATE(VALUE(LEFT(AK458,4)),VALUE(MID(AK458,6,2)),VALUE(RIGHT(AK458,2))),DATE(VALUE(RIGHT(AK458,4)),VALUE(MID(AK458,4,2)),VALUE(LEFT(AK458,2)))),DATE(VALUE(RIGHT(AK458,4)),MATCH(MID(AK458,4,3),{"Jan","Feb","Mar","Apr","May","Jun","Jul","Aug","Sep","Oct","Nov","Dec"},0),VALUE(LEFT(AK458,2))))))</f>
        <v>45342</v>
      </c>
      <c r="D458" s="4" t="s">
        <v>1836</v>
      </c>
      <c r="E458" s="0" t="str">
        <f aca="false">PROPER(TRIM(AL458))</f>
        <v>Neha Gupta</v>
      </c>
      <c r="F458" s="0" t="str">
        <f aca="false">PROPER(TRIM(AM458))</f>
        <v>Corporate</v>
      </c>
      <c r="G458" s="0" t="str">
        <f aca="false">IF(TRIM(AN458)="","Unknown",PROPER(TRIM(AN458)))</f>
        <v>North</v>
      </c>
      <c r="H458" s="0" t="str">
        <f aca="false">PROPER(TRIM(AO458))</f>
        <v>Uttar Pradesh</v>
      </c>
      <c r="I458" s="0" t="str">
        <f aca="false">PROPER(TRIM(AP458))</f>
        <v>Noida</v>
      </c>
      <c r="J458" s="0" t="str">
        <f aca="false">PROPER(TRIM(AQ458))</f>
        <v>Technology</v>
      </c>
      <c r="K458" s="0" t="str">
        <f aca="false">PROPER(TRIM(AR458))</f>
        <v>Accessories</v>
      </c>
      <c r="M458" s="0" t="str">
        <f aca="false">IF(TRIM(AS458)="","Unknown",PROPER(TRIM(AS458)))</f>
        <v>Same Day</v>
      </c>
      <c r="N458" s="0" t="n">
        <v>5</v>
      </c>
      <c r="O458" s="0" t="n">
        <v>2604.91</v>
      </c>
      <c r="P458" s="5" t="n">
        <f aca="false">IF(AT458="","",IF(ISNUMBER(AT458),AT458,VALUE(SUBSTITUTE(AT458,"%",""))/100))</f>
        <v>0.15</v>
      </c>
      <c r="Q458" s="5" t="n">
        <f aca="false">IF(P458="",IF(AND(N458&lt;&gt;"",O458&lt;&gt;"",R458&lt;&gt;"",S458&lt;&gt;""),0,"REVIEW"),IF(OR(P458&lt;0,P458&gt;0.3),0,P458))</f>
        <v>0.15</v>
      </c>
      <c r="R458" s="0" t="n">
        <v>11070.87</v>
      </c>
      <c r="S458" s="0" t="n">
        <v>6623.61</v>
      </c>
      <c r="T458" s="6" t="n">
        <f aca="false">N458*O458*(1-Q458)</f>
        <v>11070.8675</v>
      </c>
      <c r="U458" s="6" t="n">
        <f aca="false">T458-S458</f>
        <v>4447.2575</v>
      </c>
      <c r="V458" s="7" t="n">
        <f aca="false">IF(T458=0,0,U458/T458)</f>
        <v>0.401708131724998</v>
      </c>
      <c r="W458" s="4" t="n">
        <f aca="false">C458-B458</f>
        <v>0</v>
      </c>
      <c r="X458" s="0" t="str">
        <f aca="false">TEXT(B458,"mmmm")</f>
        <v>February</v>
      </c>
      <c r="Y458" s="4" t="n">
        <f aca="false">YEAR(B458)</f>
        <v>2024</v>
      </c>
      <c r="Z458" s="0" t="str">
        <f aca="false">PROPER(TRIM(AU458))</f>
        <v>Paid</v>
      </c>
      <c r="AA458" s="0" t="str">
        <f aca="false">PROPER(TRIM(AV458))</f>
        <v>Returned</v>
      </c>
      <c r="AB458" s="0" t="str">
        <f aca="false">IF(TRIM(AN458)="","Yes","No")</f>
        <v>No</v>
      </c>
      <c r="AC458" s="0" t="str">
        <f aca="false">IF(TRIM(AS458)="","Yes","No")</f>
        <v>No</v>
      </c>
      <c r="AD458" s="0" t="str">
        <f aca="false">IF(AT458="","Yes","No")</f>
        <v>No</v>
      </c>
      <c r="AE458" s="0" t="str">
        <f aca="false">IF(W458&lt;0,"Yes","No")</f>
        <v>No</v>
      </c>
      <c r="AF458" s="0" t="str">
        <f aca="false">IF(P458="","No",IF(OR(P458&lt;0,P458&gt;0.3),"Yes","No"))</f>
        <v>No</v>
      </c>
      <c r="AG458" s="4" t="s">
        <v>50</v>
      </c>
      <c r="AH458" s="0" t="str">
        <f aca="false">IF(AND(AA458="Completed",Z458="Paid"),"Yes","No")</f>
        <v>No</v>
      </c>
      <c r="AI458" s="0" t="str">
        <f aca="false">IF(OR(AE458="Yes",AF458="Yes",AG458="Yes"),"Invalid",IF(OR(AB458="Yes",AC458="Yes",AD458="Yes"),"Warning","Clean"))</f>
        <v>Clean</v>
      </c>
      <c r="AJ458" s="4" t="s">
        <v>1715</v>
      </c>
      <c r="AK458" s="4" t="s">
        <v>1715</v>
      </c>
      <c r="AL458" s="4" t="s">
        <v>115</v>
      </c>
      <c r="AM458" s="4" t="s">
        <v>128</v>
      </c>
      <c r="AN458" s="4" t="s">
        <v>168</v>
      </c>
      <c r="AO458" s="4" t="s">
        <v>186</v>
      </c>
      <c r="AP458" s="4" t="s">
        <v>187</v>
      </c>
      <c r="AQ458" s="4" t="s">
        <v>109</v>
      </c>
      <c r="AR458" s="4" t="s">
        <v>110</v>
      </c>
      <c r="AS458" s="4" t="s">
        <v>74</v>
      </c>
      <c r="AT458" s="0" t="n">
        <v>0.15</v>
      </c>
      <c r="AU458" s="4" t="s">
        <v>61</v>
      </c>
      <c r="AV458" s="4" t="s">
        <v>142</v>
      </c>
    </row>
    <row r="459" customFormat="false" ht="15" hidden="false" customHeight="false" outlineLevel="0" collapsed="false">
      <c r="A459" s="0" t="s">
        <v>1837</v>
      </c>
      <c r="B459" s="3" t="n">
        <f aca="false">IF(AJ459="","",IF(ISNUMBER(SEARCH("/",AJ459)),DATE(VALUE(RIGHT(AJ459,4)),VALUE(LEFT(AJ459,2)),VALUE(MID(AJ459,4,2))),IF(ISNUMBER(SEARCH("-",AJ459)),IF(LEN(LEFT(AJ459,FIND("-",AJ459)-1))=4,DATE(VALUE(LEFT(AJ459,4)),VALUE(MID(AJ459,6,2)),VALUE(RIGHT(AJ459,2))),DATE(VALUE(RIGHT(AJ459,4)),VALUE(MID(AJ459,4,2)),VALUE(LEFT(AJ459,2)))),DATE(VALUE(RIGHT(AJ459,4)),MATCH(MID(AJ459,4,3),{"Jan","Feb","Mar","Apr","May","Jun","Jul","Aug","Sep","Oct","Nov","Dec"},0),VALUE(LEFT(AJ459,2))))))</f>
        <v>45416</v>
      </c>
      <c r="C459" s="3" t="n">
        <f aca="false">IF(AK459="","",IF(ISNUMBER(SEARCH("/",AK459)),DATE(VALUE(RIGHT(AK459,4)),VALUE(LEFT(AK459,2)),VALUE(MID(AK459,4,2))),IF(ISNUMBER(SEARCH("-",AK459)),IF(LEN(LEFT(AK459,FIND("-",AK459)-1))=4,DATE(VALUE(LEFT(AK459,4)),VALUE(MID(AK459,6,2)),VALUE(RIGHT(AK459,2))),DATE(VALUE(RIGHT(AK459,4)),VALUE(MID(AK459,4,2)),VALUE(LEFT(AK459,2)))),DATE(VALUE(RIGHT(AK459,4)),MATCH(MID(AK459,4,3),{"Jan","Feb","Mar","Apr","May","Jun","Jul","Aug","Sep","Oct","Nov","Dec"},0),VALUE(LEFT(AK459,2))))))</f>
        <v>45416</v>
      </c>
      <c r="D459" s="4" t="s">
        <v>1838</v>
      </c>
      <c r="E459" s="0" t="str">
        <f aca="false">PROPER(TRIM(AL459))</f>
        <v>Mira Das</v>
      </c>
      <c r="F459" s="0" t="str">
        <f aca="false">PROPER(TRIM(AM459))</f>
        <v>Small Business</v>
      </c>
      <c r="G459" s="0" t="str">
        <f aca="false">IF(TRIM(AN459)="","Unknown",PROPER(TRIM(AN459)))</f>
        <v>West</v>
      </c>
      <c r="H459" s="0" t="str">
        <f aca="false">PROPER(TRIM(AO459))</f>
        <v>Goa</v>
      </c>
      <c r="I459" s="0" t="str">
        <f aca="false">PROPER(TRIM(AP459))</f>
        <v>Panaji</v>
      </c>
      <c r="J459" s="0" t="str">
        <f aca="false">PROPER(TRIM(AQ459))</f>
        <v>Furniture</v>
      </c>
      <c r="K459" s="0" t="str">
        <f aca="false">PROPER(TRIM(AR459))</f>
        <v>Tables</v>
      </c>
      <c r="M459" s="0" t="str">
        <f aca="false">IF(TRIM(AS459)="","Unknown",PROPER(TRIM(AS459)))</f>
        <v>Standard Class</v>
      </c>
      <c r="N459" s="0" t="n">
        <v>7</v>
      </c>
      <c r="O459" s="0" t="n">
        <v>2851.51</v>
      </c>
      <c r="P459" s="5" t="n">
        <f aca="false">IF(AT459="","",IF(ISNUMBER(AT459),AT459,VALUE(SUBSTITUTE(AT459,"%",""))/100))</f>
        <v>0</v>
      </c>
      <c r="Q459" s="5" t="n">
        <f aca="false">IF(P459="",IF(AND(N459&lt;&gt;"",O459&lt;&gt;"",R459&lt;&gt;"",S459&lt;&gt;""),0,"REVIEW"),IF(OR(P459&lt;0,P459&gt;0.3),0,P459))</f>
        <v>0</v>
      </c>
      <c r="R459" s="0" t="n">
        <v>19960.57</v>
      </c>
      <c r="S459" s="0" t="n">
        <v>16603.6</v>
      </c>
      <c r="T459" s="6" t="n">
        <f aca="false">N459*O459*(1-Q459)</f>
        <v>19960.57</v>
      </c>
      <c r="U459" s="6" t="n">
        <f aca="false">T459-S459</f>
        <v>3356.97</v>
      </c>
      <c r="V459" s="7" t="n">
        <f aca="false">IF(T459=0,0,U459/T459)</f>
        <v>0.168180067002095</v>
      </c>
      <c r="W459" s="4" t="n">
        <f aca="false">C459-B459</f>
        <v>0</v>
      </c>
      <c r="X459" s="0" t="str">
        <f aca="false">TEXT(B459,"mmmm")</f>
        <v>May</v>
      </c>
      <c r="Y459" s="4" t="n">
        <f aca="false">YEAR(B459)</f>
        <v>2024</v>
      </c>
      <c r="Z459" s="0" t="str">
        <f aca="false">PROPER(TRIM(AU459))</f>
        <v>Paid</v>
      </c>
      <c r="AA459" s="0" t="str">
        <f aca="false">PROPER(TRIM(AV459))</f>
        <v>Completed</v>
      </c>
      <c r="AB459" s="0" t="str">
        <f aca="false">IF(TRIM(AN459)="","Yes","No")</f>
        <v>No</v>
      </c>
      <c r="AC459" s="0" t="str">
        <f aca="false">IF(TRIM(AS459)="","Yes","No")</f>
        <v>No</v>
      </c>
      <c r="AD459" s="0" t="str">
        <f aca="false">IF(AT459="","Yes","No")</f>
        <v>No</v>
      </c>
      <c r="AE459" s="0" t="str">
        <f aca="false">IF(W459&lt;0,"Yes","No")</f>
        <v>No</v>
      </c>
      <c r="AF459" s="0" t="str">
        <f aca="false">IF(P459="","No",IF(OR(P459&lt;0,P459&gt;0.3),"Yes","No"))</f>
        <v>No</v>
      </c>
      <c r="AG459" s="4" t="s">
        <v>50</v>
      </c>
      <c r="AH459" s="0" t="str">
        <f aca="false">IF(AND(AA459="Completed",Z459="Paid"),"Yes","No")</f>
        <v>Yes</v>
      </c>
      <c r="AI459" s="0" t="str">
        <f aca="false">IF(OR(AE459="Yes",AF459="Yes",AG459="Yes"),"Invalid",IF(OR(AB459="Yes",AC459="Yes",AD459="Yes"),"Warning","Clean"))</f>
        <v>Clean</v>
      </c>
      <c r="AJ459" s="4" t="s">
        <v>1839</v>
      </c>
      <c r="AK459" s="4" t="s">
        <v>1840</v>
      </c>
      <c r="AL459" s="4" t="s">
        <v>67</v>
      </c>
      <c r="AM459" s="4" t="s">
        <v>68</v>
      </c>
      <c r="AN459" s="4" t="s">
        <v>97</v>
      </c>
      <c r="AO459" s="4" t="s">
        <v>250</v>
      </c>
      <c r="AP459" s="4" t="s">
        <v>251</v>
      </c>
      <c r="AQ459" s="4" t="s">
        <v>72</v>
      </c>
      <c r="AR459" s="4" t="s">
        <v>73</v>
      </c>
      <c r="AS459" s="4" t="s">
        <v>91</v>
      </c>
      <c r="AT459" s="0" t="n">
        <v>0</v>
      </c>
      <c r="AU459" s="4" t="s">
        <v>61</v>
      </c>
      <c r="AV459" s="4" t="s">
        <v>62</v>
      </c>
    </row>
    <row r="460" customFormat="false" ht="15" hidden="false" customHeight="false" outlineLevel="0" collapsed="false">
      <c r="A460" s="0" t="s">
        <v>1841</v>
      </c>
      <c r="B460" s="3" t="n">
        <f aca="false">IF(AJ460="","",IF(ISNUMBER(SEARCH("/",AJ460)),DATE(VALUE(RIGHT(AJ460,4)),VALUE(LEFT(AJ460,2)),VALUE(MID(AJ460,4,2))),IF(ISNUMBER(SEARCH("-",AJ460)),IF(LEN(LEFT(AJ460,FIND("-",AJ460)-1))=4,DATE(VALUE(LEFT(AJ460,4)),VALUE(MID(AJ460,6,2)),VALUE(RIGHT(AJ460,2))),DATE(VALUE(RIGHT(AJ460,4)),VALUE(MID(AJ460,4,2)),VALUE(LEFT(AJ460,2)))),DATE(VALUE(RIGHT(AJ460,4)),MATCH(MID(AJ460,4,3),{"Jan","Feb","Mar","Apr","May","Jun","Jul","Aug","Sep","Oct","Nov","Dec"},0),VALUE(LEFT(AJ460,2))))))</f>
        <v>45332</v>
      </c>
      <c r="C460" s="3" t="n">
        <f aca="false">IF(AK460="","",IF(ISNUMBER(SEARCH("/",AK460)),DATE(VALUE(RIGHT(AK460,4)),VALUE(LEFT(AK460,2)),VALUE(MID(AK460,4,2))),IF(ISNUMBER(SEARCH("-",AK460)),IF(LEN(LEFT(AK460,FIND("-",AK460)-1))=4,DATE(VALUE(LEFT(AK460,4)),VALUE(MID(AK460,6,2)),VALUE(RIGHT(AK460,2))),DATE(VALUE(RIGHT(AK460,4)),VALUE(MID(AK460,4,2)),VALUE(LEFT(AK460,2)))),DATE(VALUE(RIGHT(AK460,4)),MATCH(MID(AK460,4,3),{"Jan","Feb","Mar","Apr","May","Jun","Jul","Aug","Sep","Oct","Nov","Dec"},0),VALUE(LEFT(AK460,2))))))</f>
        <v>45333</v>
      </c>
      <c r="D460" s="4" t="s">
        <v>1842</v>
      </c>
      <c r="E460" s="0" t="str">
        <f aca="false">PROPER(TRIM(AL460))</f>
        <v>Karan Malhotra</v>
      </c>
      <c r="F460" s="0" t="str">
        <f aca="false">PROPER(TRIM(AM460))</f>
        <v>Corporate</v>
      </c>
      <c r="G460" s="0" t="str">
        <f aca="false">IF(TRIM(AN460)="","Unknown",PROPER(TRIM(AN460)))</f>
        <v>North</v>
      </c>
      <c r="H460" s="0" t="str">
        <f aca="false">PROPER(TRIM(AO460))</f>
        <v>Rajasthan</v>
      </c>
      <c r="I460" s="0" t="str">
        <f aca="false">PROPER(TRIM(AP460))</f>
        <v>Jaipur</v>
      </c>
      <c r="J460" s="0" t="str">
        <f aca="false">PROPER(TRIM(AQ460))</f>
        <v>Technology</v>
      </c>
      <c r="K460" s="0" t="str">
        <f aca="false">PROPER(TRIM(AR460))</f>
        <v>Phones</v>
      </c>
      <c r="M460" s="0" t="str">
        <f aca="false">IF(TRIM(AS460)="","Unknown",PROPER(TRIM(AS460)))</f>
        <v>Second Class</v>
      </c>
      <c r="N460" s="0" t="n">
        <v>3</v>
      </c>
      <c r="O460" s="0" t="n">
        <v>3183.72</v>
      </c>
      <c r="P460" s="5" t="n">
        <f aca="false">IF(AT460="","",IF(ISNUMBER(AT460),AT460,VALUE(SUBSTITUTE(AT460,"%",""))/100))</f>
        <v>0.1</v>
      </c>
      <c r="Q460" s="5" t="n">
        <f aca="false">IF(P460="",IF(AND(N460&lt;&gt;"",O460&lt;&gt;"",R460&lt;&gt;"",S460&lt;&gt;""),0,"REVIEW"),IF(OR(P460&lt;0,P460&gt;0.3),0,P460))</f>
        <v>0.1</v>
      </c>
      <c r="R460" s="0" t="n">
        <v>8596.04</v>
      </c>
      <c r="S460" s="0" t="n">
        <v>5378.16</v>
      </c>
      <c r="T460" s="6" t="n">
        <f aca="false">N460*O460*(1-Q460)</f>
        <v>8596.044</v>
      </c>
      <c r="U460" s="6" t="n">
        <f aca="false">T460-S460</f>
        <v>3217.884</v>
      </c>
      <c r="V460" s="7" t="n">
        <f aca="false">IF(T460=0,0,U460/T460)</f>
        <v>0.37434475672763</v>
      </c>
      <c r="W460" s="4" t="n">
        <f aca="false">C460-B460</f>
        <v>1</v>
      </c>
      <c r="X460" s="0" t="str">
        <f aca="false">TEXT(B460,"mmmm")</f>
        <v>February</v>
      </c>
      <c r="Y460" s="4" t="n">
        <f aca="false">YEAR(B460)</f>
        <v>2024</v>
      </c>
      <c r="Z460" s="0" t="str">
        <f aca="false">PROPER(TRIM(AU460))</f>
        <v>Paid</v>
      </c>
      <c r="AA460" s="0" t="str">
        <f aca="false">PROPER(TRIM(AV460))</f>
        <v>Completed</v>
      </c>
      <c r="AB460" s="0" t="str">
        <f aca="false">IF(TRIM(AN460)="","Yes","No")</f>
        <v>No</v>
      </c>
      <c r="AC460" s="0" t="str">
        <f aca="false">IF(TRIM(AS460)="","Yes","No")</f>
        <v>No</v>
      </c>
      <c r="AD460" s="0" t="str">
        <f aca="false">IF(AT460="","Yes","No")</f>
        <v>No</v>
      </c>
      <c r="AE460" s="0" t="str">
        <f aca="false">IF(W460&lt;0,"Yes","No")</f>
        <v>No</v>
      </c>
      <c r="AF460" s="0" t="str">
        <f aca="false">IF(P460="","No",IF(OR(P460&lt;0,P460&gt;0.3),"Yes","No"))</f>
        <v>No</v>
      </c>
      <c r="AG460" s="4" t="s">
        <v>50</v>
      </c>
      <c r="AH460" s="0" t="str">
        <f aca="false">IF(AND(AA460="Completed",Z460="Paid"),"Yes","No")</f>
        <v>Yes</v>
      </c>
      <c r="AI460" s="0" t="str">
        <f aca="false">IF(OR(AE460="Yes",AF460="Yes",AG460="Yes"),"Invalid",IF(OR(AB460="Yes",AC460="Yes",AD460="Yes"),"Warning","Clean"))</f>
        <v>Clean</v>
      </c>
      <c r="AJ460" s="4" t="s">
        <v>1843</v>
      </c>
      <c r="AK460" s="4" t="s">
        <v>748</v>
      </c>
      <c r="AL460" s="4" t="s">
        <v>53</v>
      </c>
      <c r="AM460" s="4" t="s">
        <v>128</v>
      </c>
      <c r="AN460" s="4" t="s">
        <v>168</v>
      </c>
      <c r="AO460" s="4" t="s">
        <v>56</v>
      </c>
      <c r="AP460" s="4" t="s">
        <v>57</v>
      </c>
      <c r="AQ460" s="4" t="s">
        <v>109</v>
      </c>
      <c r="AR460" s="4" t="s">
        <v>227</v>
      </c>
      <c r="AS460" s="4" t="s">
        <v>60</v>
      </c>
      <c r="AT460" s="0" t="n">
        <v>0.1</v>
      </c>
      <c r="AU460" s="4" t="s">
        <v>61</v>
      </c>
      <c r="AV460" s="4" t="s">
        <v>62</v>
      </c>
    </row>
    <row r="461" customFormat="false" ht="15" hidden="false" customHeight="false" outlineLevel="0" collapsed="false">
      <c r="A461" s="0" t="s">
        <v>1844</v>
      </c>
      <c r="B461" s="3" t="n">
        <f aca="false">IF(AJ461="","",IF(ISNUMBER(SEARCH("/",AJ461)),DATE(VALUE(RIGHT(AJ461,4)),VALUE(LEFT(AJ461,2)),VALUE(MID(AJ461,4,2))),IF(ISNUMBER(SEARCH("-",AJ461)),IF(LEN(LEFT(AJ461,FIND("-",AJ461)-1))=4,DATE(VALUE(LEFT(AJ461,4)),VALUE(MID(AJ461,6,2)),VALUE(RIGHT(AJ461,2))),DATE(VALUE(RIGHT(AJ461,4)),VALUE(MID(AJ461,4,2)),VALUE(LEFT(AJ461,2)))),DATE(VALUE(RIGHT(AJ461,4)),MATCH(MID(AJ461,4,3),{"Jan","Feb","Mar","Apr","May","Jun","Jul","Aug","Sep","Oct","Nov","Dec"},0),VALUE(LEFT(AJ461,2))))))</f>
        <v>45379</v>
      </c>
      <c r="C461" s="3" t="n">
        <f aca="false">IF(AK461="","",IF(ISNUMBER(SEARCH("/",AK461)),DATE(VALUE(RIGHT(AK461,4)),VALUE(LEFT(AK461,2)),VALUE(MID(AK461,4,2))),IF(ISNUMBER(SEARCH("-",AK461)),IF(LEN(LEFT(AK461,FIND("-",AK461)-1))=4,DATE(VALUE(LEFT(AK461,4)),VALUE(MID(AK461,6,2)),VALUE(RIGHT(AK461,2))),DATE(VALUE(RIGHT(AK461,4)),VALUE(MID(AK461,4,2)),VALUE(LEFT(AK461,2)))),DATE(VALUE(RIGHT(AK461,4)),MATCH(MID(AK461,4,3),{"Jan","Feb","Mar","Apr","May","Jun","Jul","Aug","Sep","Oct","Nov","Dec"},0),VALUE(LEFT(AK461,2))))))</f>
        <v>45386</v>
      </c>
      <c r="D461" s="4" t="s">
        <v>1845</v>
      </c>
      <c r="E461" s="0" t="str">
        <f aca="false">PROPER(TRIM(AL461))</f>
        <v>Ananya Rao</v>
      </c>
      <c r="F461" s="0" t="str">
        <f aca="false">PROPER(TRIM(AM461))</f>
        <v>Home Office</v>
      </c>
      <c r="G461" s="0" t="str">
        <f aca="false">IF(TRIM(AN461)="","Unknown",PROPER(TRIM(AN461)))</f>
        <v>West</v>
      </c>
      <c r="H461" s="0" t="str">
        <f aca="false">PROPER(TRIM(AO461))</f>
        <v>Goa</v>
      </c>
      <c r="I461" s="0" t="str">
        <f aca="false">PROPER(TRIM(AP461))</f>
        <v>Panaji</v>
      </c>
      <c r="J461" s="0" t="str">
        <f aca="false">PROPER(TRIM(AQ461))</f>
        <v>Office Supplies</v>
      </c>
      <c r="K461" s="0" t="str">
        <f aca="false">PROPER(TRIM(AR461))</f>
        <v>Paper</v>
      </c>
      <c r="M461" s="0" t="str">
        <f aca="false">IF(TRIM(AS461)="","Unknown",PROPER(TRIM(AS461)))</f>
        <v>First Class</v>
      </c>
      <c r="N461" s="0" t="n">
        <v>3</v>
      </c>
      <c r="O461" s="0" t="n">
        <v>1150.92</v>
      </c>
      <c r="P461" s="5" t="n">
        <f aca="false">IF(AT461="","",IF(ISNUMBER(AT461),AT461,VALUE(SUBSTITUTE(AT461,"%",""))/100))</f>
        <v>0</v>
      </c>
      <c r="Q461" s="5" t="n">
        <f aca="false">IF(P461="",IF(AND(N461&lt;&gt;"",O461&lt;&gt;"",R461&lt;&gt;"",S461&lt;&gt;""),0,"REVIEW"),IF(OR(P461&lt;0,P461&gt;0.3),0,P461))</f>
        <v>0</v>
      </c>
      <c r="R461" s="0" t="n">
        <v>3452.76</v>
      </c>
      <c r="S461" s="0" t="n">
        <v>2077.96</v>
      </c>
      <c r="T461" s="6" t="n">
        <f aca="false">N461*O461*(1-Q461)</f>
        <v>3452.76</v>
      </c>
      <c r="U461" s="6" t="n">
        <f aca="false">T461-S461</f>
        <v>1374.8</v>
      </c>
      <c r="V461" s="7" t="n">
        <f aca="false">IF(T461=0,0,U461/T461)</f>
        <v>0.398174214251787</v>
      </c>
      <c r="W461" s="4" t="n">
        <f aca="false">C461-B461</f>
        <v>7</v>
      </c>
      <c r="X461" s="0" t="str">
        <f aca="false">TEXT(B461,"mmmm")</f>
        <v>March</v>
      </c>
      <c r="Y461" s="4" t="n">
        <f aca="false">YEAR(B461)</f>
        <v>2024</v>
      </c>
      <c r="Z461" s="0" t="str">
        <f aca="false">PROPER(TRIM(AU461))</f>
        <v>Paid</v>
      </c>
      <c r="AA461" s="0" t="str">
        <f aca="false">PROPER(TRIM(AV461))</f>
        <v>Completed</v>
      </c>
      <c r="AB461" s="0" t="str">
        <f aca="false">IF(TRIM(AN461)="","Yes","No")</f>
        <v>No</v>
      </c>
      <c r="AC461" s="0" t="str">
        <f aca="false">IF(TRIM(AS461)="","Yes","No")</f>
        <v>No</v>
      </c>
      <c r="AD461" s="0" t="str">
        <f aca="false">IF(AT461="","Yes","No")</f>
        <v>No</v>
      </c>
      <c r="AE461" s="0" t="str">
        <f aca="false">IF(W461&lt;0,"Yes","No")</f>
        <v>No</v>
      </c>
      <c r="AF461" s="0" t="str">
        <f aca="false">IF(P461="","No",IF(OR(P461&lt;0,P461&gt;0.3),"Yes","No"))</f>
        <v>No</v>
      </c>
      <c r="AG461" s="4" t="s">
        <v>50</v>
      </c>
      <c r="AH461" s="0" t="str">
        <f aca="false">IF(AND(AA461="Completed",Z461="Paid"),"Yes","No")</f>
        <v>Yes</v>
      </c>
      <c r="AI461" s="0" t="str">
        <f aca="false">IF(OR(AE461="Yes",AF461="Yes",AG461="Yes"),"Invalid",IF(OR(AB461="Yes",AC461="Yes",AD461="Yes"),"Warning","Clean"))</f>
        <v>Clean</v>
      </c>
      <c r="AJ461" s="4" t="s">
        <v>1846</v>
      </c>
      <c r="AK461" s="4" t="s">
        <v>1792</v>
      </c>
      <c r="AL461" s="4" t="s">
        <v>96</v>
      </c>
      <c r="AM461" s="4" t="s">
        <v>134</v>
      </c>
      <c r="AN461" s="4" t="s">
        <v>97</v>
      </c>
      <c r="AO461" s="4" t="s">
        <v>250</v>
      </c>
      <c r="AP461" s="4" t="s">
        <v>251</v>
      </c>
      <c r="AQ461" s="4" t="s">
        <v>58</v>
      </c>
      <c r="AR461" s="4" t="s">
        <v>59</v>
      </c>
      <c r="AS461" s="4" t="s">
        <v>81</v>
      </c>
      <c r="AT461" s="0" t="n">
        <v>0</v>
      </c>
      <c r="AU461" s="4" t="s">
        <v>61</v>
      </c>
      <c r="AV461" s="4" t="s">
        <v>62</v>
      </c>
    </row>
    <row r="462" customFormat="false" ht="15" hidden="false" customHeight="false" outlineLevel="0" collapsed="false">
      <c r="A462" s="0" t="s">
        <v>1847</v>
      </c>
      <c r="B462" s="3" t="n">
        <f aca="false">IF(AJ462="","",IF(ISNUMBER(SEARCH("/",AJ462)),DATE(VALUE(RIGHT(AJ462,4)),VALUE(LEFT(AJ462,2)),VALUE(MID(AJ462,4,2))),IF(ISNUMBER(SEARCH("-",AJ462)),IF(LEN(LEFT(AJ462,FIND("-",AJ462)-1))=4,DATE(VALUE(LEFT(AJ462,4)),VALUE(MID(AJ462,6,2)),VALUE(RIGHT(AJ462,2))),DATE(VALUE(RIGHT(AJ462,4)),VALUE(MID(AJ462,4,2)),VALUE(LEFT(AJ462,2)))),DATE(VALUE(RIGHT(AJ462,4)),MATCH(MID(AJ462,4,3),{"Jan","Feb","Mar","Apr","May","Jun","Jul","Aug","Sep","Oct","Nov","Dec"},0),VALUE(LEFT(AJ462,2))))))</f>
        <v>45930</v>
      </c>
      <c r="C462" s="3" t="n">
        <f aca="false">IF(AK462="","",IF(ISNUMBER(SEARCH("/",AK462)),DATE(VALUE(RIGHT(AK462,4)),VALUE(LEFT(AK462,2)),VALUE(MID(AK462,4,2))),IF(ISNUMBER(SEARCH("-",AK462)),IF(LEN(LEFT(AK462,FIND("-",AK462)-1))=4,DATE(VALUE(LEFT(AK462,4)),VALUE(MID(AK462,6,2)),VALUE(RIGHT(AK462,2))),DATE(VALUE(RIGHT(AK462,4)),VALUE(MID(AK462,4,2)),VALUE(LEFT(AK462,2)))),DATE(VALUE(RIGHT(AK462,4)),MATCH(MID(AK462,4,3),{"Jan","Feb","Mar","Apr","May","Jun","Jul","Aug","Sep","Oct","Nov","Dec"},0),VALUE(LEFT(AK462,2))))))</f>
        <v>45936</v>
      </c>
      <c r="D462" s="4" t="s">
        <v>1848</v>
      </c>
      <c r="E462" s="0" t="str">
        <f aca="false">PROPER(TRIM(AL462))</f>
        <v>Aarav Sharma</v>
      </c>
      <c r="F462" s="0" t="str">
        <f aca="false">PROPER(TRIM(AM462))</f>
        <v>Corporate</v>
      </c>
      <c r="G462" s="0" t="str">
        <f aca="false">IF(TRIM(AN462)="","Unknown",PROPER(TRIM(AN462)))</f>
        <v>Unknown</v>
      </c>
      <c r="H462" s="0" t="str">
        <f aca="false">PROPER(TRIM(AO462))</f>
        <v>Rajasthan</v>
      </c>
      <c r="I462" s="0" t="str">
        <f aca="false">PROPER(TRIM(AP462))</f>
        <v>Jaipur</v>
      </c>
      <c r="J462" s="0" t="str">
        <f aca="false">PROPER(TRIM(AQ462))</f>
        <v>Technology</v>
      </c>
      <c r="K462" s="0" t="str">
        <f aca="false">PROPER(TRIM(AR462))</f>
        <v>Copiers</v>
      </c>
      <c r="M462" s="0" t="str">
        <f aca="false">IF(TRIM(AS462)="","Unknown",PROPER(TRIM(AS462)))</f>
        <v>Second Class</v>
      </c>
      <c r="N462" s="0" t="n">
        <v>9</v>
      </c>
      <c r="O462" s="0" t="n">
        <v>1359.88</v>
      </c>
      <c r="P462" s="5" t="n">
        <f aca="false">IF(AT462="","",IF(ISNUMBER(AT462),AT462,VALUE(SUBSTITUTE(AT462,"%",""))/100))</f>
        <v>0.05</v>
      </c>
      <c r="Q462" s="5" t="n">
        <f aca="false">IF(P462="",IF(AND(N462&lt;&gt;"",O462&lt;&gt;"",R462&lt;&gt;"",S462&lt;&gt;""),0,"REVIEW"),IF(OR(P462&lt;0,P462&gt;0.3),0,P462))</f>
        <v>0.05</v>
      </c>
      <c r="R462" s="0" t="n">
        <v>11626.97</v>
      </c>
      <c r="S462" s="0" t="n">
        <v>7394.07</v>
      </c>
      <c r="T462" s="6" t="n">
        <f aca="false">N462*O462*(1-Q462)</f>
        <v>11626.974</v>
      </c>
      <c r="U462" s="6" t="n">
        <f aca="false">T462-S462</f>
        <v>4232.904</v>
      </c>
      <c r="V462" s="7" t="n">
        <f aca="false">IF(T462=0,0,U462/T462)</f>
        <v>0.364058954634284</v>
      </c>
      <c r="W462" s="4" t="n">
        <f aca="false">C462-B462</f>
        <v>6</v>
      </c>
      <c r="X462" s="0" t="str">
        <f aca="false">TEXT(B462,"mmmm")</f>
        <v>September</v>
      </c>
      <c r="Y462" s="4" t="n">
        <f aca="false">YEAR(B462)</f>
        <v>2025</v>
      </c>
      <c r="Z462" s="0" t="str">
        <f aca="false">PROPER(TRIM(AU462))</f>
        <v>Paid</v>
      </c>
      <c r="AA462" s="0" t="str">
        <f aca="false">PROPER(TRIM(AV462))</f>
        <v>Completed</v>
      </c>
      <c r="AB462" s="0" t="str">
        <f aca="false">IF(TRIM(AN462)="","Yes","No")</f>
        <v>Yes</v>
      </c>
      <c r="AC462" s="0" t="str">
        <f aca="false">IF(TRIM(AS462)="","Yes","No")</f>
        <v>No</v>
      </c>
      <c r="AD462" s="0" t="str">
        <f aca="false">IF(AT462="","Yes","No")</f>
        <v>No</v>
      </c>
      <c r="AE462" s="0" t="str">
        <f aca="false">IF(W462&lt;0,"Yes","No")</f>
        <v>No</v>
      </c>
      <c r="AF462" s="0" t="str">
        <f aca="false">IF(P462="","No",IF(OR(P462&lt;0,P462&gt;0.3),"Yes","No"))</f>
        <v>No</v>
      </c>
      <c r="AG462" s="4" t="s">
        <v>50</v>
      </c>
      <c r="AH462" s="0" t="str">
        <f aca="false">IF(AND(AA462="Completed",Z462="Paid"),"Yes","No")</f>
        <v>Yes</v>
      </c>
      <c r="AI462" s="0" t="str">
        <f aca="false">IF(OR(AE462="Yes",AF462="Yes",AG462="Yes"),"Invalid",IF(OR(AB462="Yes",AC462="Yes",AD462="Yes"),"Warning","Clean"))</f>
        <v>Warning</v>
      </c>
      <c r="AJ462" s="4" t="s">
        <v>1849</v>
      </c>
      <c r="AK462" s="4" t="s">
        <v>1850</v>
      </c>
      <c r="AL462" s="4" t="s">
        <v>176</v>
      </c>
      <c r="AM462" s="4" t="s">
        <v>128</v>
      </c>
      <c r="AO462" s="4" t="s">
        <v>56</v>
      </c>
      <c r="AP462" s="4" t="s">
        <v>57</v>
      </c>
      <c r="AQ462" s="4" t="s">
        <v>109</v>
      </c>
      <c r="AR462" s="4" t="s">
        <v>116</v>
      </c>
      <c r="AS462" s="4" t="s">
        <v>60</v>
      </c>
      <c r="AT462" s="0" t="n">
        <v>0.05</v>
      </c>
      <c r="AU462" s="4" t="s">
        <v>61</v>
      </c>
      <c r="AV462" s="4" t="s">
        <v>62</v>
      </c>
    </row>
    <row r="463" customFormat="false" ht="15" hidden="false" customHeight="false" outlineLevel="0" collapsed="false">
      <c r="A463" s="0" t="s">
        <v>1851</v>
      </c>
      <c r="B463" s="3" t="n">
        <f aca="false">IF(AJ463="","",IF(ISNUMBER(SEARCH("/",AJ463)),DATE(VALUE(RIGHT(AJ463,4)),VALUE(LEFT(AJ463,2)),VALUE(MID(AJ463,4,2))),IF(ISNUMBER(SEARCH("-",AJ463)),IF(LEN(LEFT(AJ463,FIND("-",AJ463)-1))=4,DATE(VALUE(LEFT(AJ463,4)),VALUE(MID(AJ463,6,2)),VALUE(RIGHT(AJ463,2))),DATE(VALUE(RIGHT(AJ463,4)),VALUE(MID(AJ463,4,2)),VALUE(LEFT(AJ463,2)))),DATE(VALUE(RIGHT(AJ463,4)),MATCH(MID(AJ463,4,3),{"Jan","Feb","Mar","Apr","May","Jun","Jul","Aug","Sep","Oct","Nov","Dec"},0),VALUE(LEFT(AJ463,2))))))</f>
        <v>45802</v>
      </c>
      <c r="C463" s="3" t="n">
        <f aca="false">IF(AK463="","",IF(ISNUMBER(SEARCH("/",AK463)),DATE(VALUE(RIGHT(AK463,4)),VALUE(LEFT(AK463,2)),VALUE(MID(AK463,4,2))),IF(ISNUMBER(SEARCH("-",AK463)),IF(LEN(LEFT(AK463,FIND("-",AK463)-1))=4,DATE(VALUE(LEFT(AK463,4)),VALUE(MID(AK463,6,2)),VALUE(RIGHT(AK463,2))),DATE(VALUE(RIGHT(AK463,4)),VALUE(MID(AK463,4,2)),VALUE(LEFT(AK463,2)))),DATE(VALUE(RIGHT(AK463,4)),MATCH(MID(AK463,4,3),{"Jan","Feb","Mar","Apr","May","Jun","Jul","Aug","Sep","Oct","Nov","Dec"},0),VALUE(LEFT(AK463,2))))))</f>
        <v>45803</v>
      </c>
      <c r="D463" s="4" t="s">
        <v>1852</v>
      </c>
      <c r="E463" s="0" t="str">
        <f aca="false">PROPER(TRIM(AL463))</f>
        <v>Neha Gupta</v>
      </c>
      <c r="F463" s="0" t="str">
        <f aca="false">PROPER(TRIM(AM463))</f>
        <v>Corporate</v>
      </c>
      <c r="G463" s="0" t="str">
        <f aca="false">IF(TRIM(AN463)="","Unknown",PROPER(TRIM(AN463)))</f>
        <v>South</v>
      </c>
      <c r="H463" s="0" t="str">
        <f aca="false">PROPER(TRIM(AO463))</f>
        <v>Andhra Pradesh</v>
      </c>
      <c r="I463" s="0" t="str">
        <f aca="false">PROPER(TRIM(AP463))</f>
        <v>Vijayawada</v>
      </c>
      <c r="J463" s="0" t="str">
        <f aca="false">PROPER(TRIM(AQ463))</f>
        <v>Office Supplies</v>
      </c>
      <c r="K463" s="0" t="str">
        <f aca="false">PROPER(TRIM(AR463))</f>
        <v>Paper</v>
      </c>
      <c r="M463" s="0" t="str">
        <f aca="false">IF(TRIM(AS463)="","Unknown",PROPER(TRIM(AS463)))</f>
        <v>Standard Class</v>
      </c>
      <c r="N463" s="0" t="n">
        <v>3</v>
      </c>
      <c r="O463" s="0" t="n">
        <v>3378.15</v>
      </c>
      <c r="P463" s="5" t="n">
        <f aca="false">IF(AT463="","",IF(ISNUMBER(AT463),AT463,VALUE(SUBSTITUTE(AT463,"%",""))/100))</f>
        <v>0.15</v>
      </c>
      <c r="Q463" s="5" t="n">
        <f aca="false">IF(P463="",IF(AND(N463&lt;&gt;"",O463&lt;&gt;"",R463&lt;&gt;"",S463&lt;&gt;""),0,"REVIEW"),IF(OR(P463&lt;0,P463&gt;0.3),0,P463))</f>
        <v>0.15</v>
      </c>
      <c r="R463" s="0" t="n">
        <v>8614.28</v>
      </c>
      <c r="S463" s="0" t="n">
        <v>7052.08</v>
      </c>
      <c r="T463" s="6" t="n">
        <f aca="false">N463*O463*(1-Q463)</f>
        <v>8614.2825</v>
      </c>
      <c r="U463" s="6" t="n">
        <f aca="false">T463-S463</f>
        <v>1562.2025</v>
      </c>
      <c r="V463" s="7" t="n">
        <f aca="false">IF(T463=0,0,U463/T463)</f>
        <v>0.181350274964862</v>
      </c>
      <c r="W463" s="4" t="n">
        <f aca="false">C463-B463</f>
        <v>1</v>
      </c>
      <c r="X463" s="0" t="str">
        <f aca="false">TEXT(B463,"mmmm")</f>
        <v>May</v>
      </c>
      <c r="Y463" s="4" t="n">
        <f aca="false">YEAR(B463)</f>
        <v>2025</v>
      </c>
      <c r="Z463" s="0" t="str">
        <f aca="false">PROPER(TRIM(AU463))</f>
        <v>Paid</v>
      </c>
      <c r="AA463" s="0" t="str">
        <f aca="false">PROPER(TRIM(AV463))</f>
        <v>Completed</v>
      </c>
      <c r="AB463" s="0" t="str">
        <f aca="false">IF(TRIM(AN463)="","Yes","No")</f>
        <v>No</v>
      </c>
      <c r="AC463" s="0" t="str">
        <f aca="false">IF(TRIM(AS463)="","Yes","No")</f>
        <v>No</v>
      </c>
      <c r="AD463" s="0" t="str">
        <f aca="false">IF(AT463="","Yes","No")</f>
        <v>No</v>
      </c>
      <c r="AE463" s="0" t="str">
        <f aca="false">IF(W463&lt;0,"Yes","No")</f>
        <v>No</v>
      </c>
      <c r="AF463" s="0" t="str">
        <f aca="false">IF(P463="","No",IF(OR(P463&lt;0,P463&gt;0.3),"Yes","No"))</f>
        <v>No</v>
      </c>
      <c r="AG463" s="4" t="s">
        <v>50</v>
      </c>
      <c r="AH463" s="0" t="str">
        <f aca="false">IF(AND(AA463="Completed",Z463="Paid"),"Yes","No")</f>
        <v>Yes</v>
      </c>
      <c r="AI463" s="0" t="str">
        <f aca="false">IF(OR(AE463="Yes",AF463="Yes",AG463="Yes"),"Invalid",IF(OR(AB463="Yes",AC463="Yes",AD463="Yes"),"Warning","Clean"))</f>
        <v>Clean</v>
      </c>
      <c r="AJ463" s="4" t="s">
        <v>1853</v>
      </c>
      <c r="AK463" s="4" t="s">
        <v>1274</v>
      </c>
      <c r="AL463" s="4" t="s">
        <v>115</v>
      </c>
      <c r="AM463" s="4" t="s">
        <v>128</v>
      </c>
      <c r="AN463" s="4" t="s">
        <v>87</v>
      </c>
      <c r="AO463" s="4" t="s">
        <v>121</v>
      </c>
      <c r="AP463" s="4" t="s">
        <v>122</v>
      </c>
      <c r="AQ463" s="4" t="s">
        <v>58</v>
      </c>
      <c r="AR463" s="4" t="s">
        <v>59</v>
      </c>
      <c r="AS463" s="4" t="s">
        <v>91</v>
      </c>
      <c r="AT463" s="0" t="n">
        <v>0.15</v>
      </c>
      <c r="AU463" s="4" t="s">
        <v>61</v>
      </c>
      <c r="AV463" s="4" t="s">
        <v>62</v>
      </c>
    </row>
    <row r="464" customFormat="false" ht="15" hidden="false" customHeight="false" outlineLevel="0" collapsed="false">
      <c r="A464" s="0" t="s">
        <v>1854</v>
      </c>
      <c r="B464" s="3" t="n">
        <f aca="false">IF(AJ464="","",IF(ISNUMBER(SEARCH("/",AJ464)),DATE(VALUE(RIGHT(AJ464,4)),VALUE(LEFT(AJ464,2)),VALUE(MID(AJ464,4,2))),IF(ISNUMBER(SEARCH("-",AJ464)),IF(LEN(LEFT(AJ464,FIND("-",AJ464)-1))=4,DATE(VALUE(LEFT(AJ464,4)),VALUE(MID(AJ464,6,2)),VALUE(RIGHT(AJ464,2))),DATE(VALUE(RIGHT(AJ464,4)),VALUE(MID(AJ464,4,2)),VALUE(LEFT(AJ464,2)))),DATE(VALUE(RIGHT(AJ464,4)),MATCH(MID(AJ464,4,3),{"Jan","Feb","Mar","Apr","May","Jun","Jul","Aug","Sep","Oct","Nov","Dec"},0),VALUE(LEFT(AJ464,2))))))</f>
        <v>45558</v>
      </c>
      <c r="C464" s="3" t="n">
        <f aca="false">IF(AK464="","",IF(ISNUMBER(SEARCH("/",AK464)),DATE(VALUE(RIGHT(AK464,4)),VALUE(LEFT(AK464,2)),VALUE(MID(AK464,4,2))),IF(ISNUMBER(SEARCH("-",AK464)),IF(LEN(LEFT(AK464,FIND("-",AK464)-1))=4,DATE(VALUE(LEFT(AK464,4)),VALUE(MID(AK464,6,2)),VALUE(RIGHT(AK464,2))),DATE(VALUE(RIGHT(AK464,4)),VALUE(MID(AK464,4,2)),VALUE(LEFT(AK464,2)))),DATE(VALUE(RIGHT(AK464,4)),MATCH(MID(AK464,4,3),{"Jan","Feb","Mar","Apr","May","Jun","Jul","Aug","Sep","Oct","Nov","Dec"},0),VALUE(LEFT(AK464,2))))))</f>
        <v>45560</v>
      </c>
      <c r="D464" s="4" t="s">
        <v>1855</v>
      </c>
      <c r="E464" s="0" t="str">
        <f aca="false">PROPER(TRIM(AL464))</f>
        <v>Aarav Sharma</v>
      </c>
      <c r="F464" s="0" t="str">
        <f aca="false">PROPER(TRIM(AM464))</f>
        <v>Home Office</v>
      </c>
      <c r="G464" s="0" t="str">
        <f aca="false">IF(TRIM(AN464)="","Unknown",PROPER(TRIM(AN464)))</f>
        <v>North</v>
      </c>
      <c r="H464" s="0" t="str">
        <f aca="false">PROPER(TRIM(AO464))</f>
        <v>Delhi</v>
      </c>
      <c r="I464" s="0" t="str">
        <f aca="false">PROPER(TRIM(AP464))</f>
        <v>New Delhi</v>
      </c>
      <c r="J464" s="0" t="str">
        <f aca="false">PROPER(TRIM(AQ464))</f>
        <v>Office Supplies</v>
      </c>
      <c r="K464" s="0" t="str">
        <f aca="false">PROPER(TRIM(AR464))</f>
        <v>Binders</v>
      </c>
      <c r="M464" s="0" t="str">
        <f aca="false">IF(TRIM(AS464)="","Unknown",PROPER(TRIM(AS464)))</f>
        <v>First Class</v>
      </c>
      <c r="N464" s="0" t="n">
        <v>2</v>
      </c>
      <c r="O464" s="0" t="n">
        <v>1275.14</v>
      </c>
      <c r="P464" s="5" t="n">
        <f aca="false">IF(AT464="","",IF(ISNUMBER(AT464),AT464,VALUE(SUBSTITUTE(AT464,"%",""))/100))</f>
        <v>0.2</v>
      </c>
      <c r="Q464" s="5" t="n">
        <f aca="false">IF(P464="",IF(AND(N464&lt;&gt;"",O464&lt;&gt;"",R464&lt;&gt;"",S464&lt;&gt;""),0,"REVIEW"),IF(OR(P464&lt;0,P464&gt;0.3),0,P464))</f>
        <v>0.2</v>
      </c>
      <c r="R464" s="0" t="n">
        <v>2040.22</v>
      </c>
      <c r="S464" s="0" t="n">
        <v>1395.71</v>
      </c>
      <c r="T464" s="6" t="n">
        <f aca="false">N464*O464*(1-Q464)</f>
        <v>2040.224</v>
      </c>
      <c r="U464" s="6" t="n">
        <f aca="false">T464-S464</f>
        <v>644.514</v>
      </c>
      <c r="V464" s="7" t="n">
        <f aca="false">IF(T464=0,0,U464/T464)</f>
        <v>0.315903547845727</v>
      </c>
      <c r="W464" s="4" t="n">
        <f aca="false">C464-B464</f>
        <v>2</v>
      </c>
      <c r="X464" s="0" t="str">
        <f aca="false">TEXT(B464,"mmmm")</f>
        <v>September</v>
      </c>
      <c r="Y464" s="4" t="n">
        <f aca="false">YEAR(B464)</f>
        <v>2024</v>
      </c>
      <c r="Z464" s="0" t="str">
        <f aca="false">PROPER(TRIM(AU464))</f>
        <v>Paid</v>
      </c>
      <c r="AA464" s="0" t="str">
        <f aca="false">PROPER(TRIM(AV464))</f>
        <v>Completed</v>
      </c>
      <c r="AB464" s="0" t="str">
        <f aca="false">IF(TRIM(AN464)="","Yes","No")</f>
        <v>No</v>
      </c>
      <c r="AC464" s="0" t="str">
        <f aca="false">IF(TRIM(AS464)="","Yes","No")</f>
        <v>No</v>
      </c>
      <c r="AD464" s="0" t="str">
        <f aca="false">IF(AT464="","Yes","No")</f>
        <v>No</v>
      </c>
      <c r="AE464" s="0" t="str">
        <f aca="false">IF(W464&lt;0,"Yes","No")</f>
        <v>No</v>
      </c>
      <c r="AF464" s="0" t="str">
        <f aca="false">IF(P464="","No",IF(OR(P464&lt;0,P464&gt;0.3),"Yes","No"))</f>
        <v>No</v>
      </c>
      <c r="AG464" s="4" t="s">
        <v>50</v>
      </c>
      <c r="AH464" s="0" t="str">
        <f aca="false">IF(AND(AA464="Completed",Z464="Paid"),"Yes","No")</f>
        <v>Yes</v>
      </c>
      <c r="AI464" s="0" t="str">
        <f aca="false">IF(OR(AE464="Yes",AF464="Yes",AG464="Yes"),"Invalid",IF(OR(AB464="Yes",AC464="Yes",AD464="Yes"),"Warning","Clean"))</f>
        <v>Clean</v>
      </c>
      <c r="AJ464" s="4" t="s">
        <v>1653</v>
      </c>
      <c r="AK464" s="4" t="s">
        <v>1856</v>
      </c>
      <c r="AL464" s="4" t="s">
        <v>176</v>
      </c>
      <c r="AM464" s="4" t="s">
        <v>134</v>
      </c>
      <c r="AN464" s="4" t="s">
        <v>168</v>
      </c>
      <c r="AO464" s="4" t="s">
        <v>461</v>
      </c>
      <c r="AP464" s="4" t="s">
        <v>462</v>
      </c>
      <c r="AQ464" s="4" t="s">
        <v>58</v>
      </c>
      <c r="AR464" s="4" t="s">
        <v>206</v>
      </c>
      <c r="AS464" s="4" t="s">
        <v>81</v>
      </c>
      <c r="AT464" s="0" t="n">
        <v>0.2</v>
      </c>
      <c r="AU464" s="4" t="s">
        <v>61</v>
      </c>
      <c r="AV464" s="4" t="s">
        <v>62</v>
      </c>
    </row>
    <row r="465" customFormat="false" ht="15" hidden="false" customHeight="false" outlineLevel="0" collapsed="false">
      <c r="A465" s="0" t="s">
        <v>1857</v>
      </c>
      <c r="B465" s="3" t="n">
        <f aca="false">IF(AJ465="","",IF(ISNUMBER(SEARCH("/",AJ465)),DATE(VALUE(RIGHT(AJ465,4)),VALUE(LEFT(AJ465,2)),VALUE(MID(AJ465,4,2))),IF(ISNUMBER(SEARCH("-",AJ465)),IF(LEN(LEFT(AJ465,FIND("-",AJ465)-1))=4,DATE(VALUE(LEFT(AJ465,4)),VALUE(MID(AJ465,6,2)),VALUE(RIGHT(AJ465,2))),DATE(VALUE(RIGHT(AJ465,4)),VALUE(MID(AJ465,4,2)),VALUE(LEFT(AJ465,2)))),DATE(VALUE(RIGHT(AJ465,4)),MATCH(MID(AJ465,4,3),{"Jan","Feb","Mar","Apr","May","Jun","Jul","Aug","Sep","Oct","Nov","Dec"},0),VALUE(LEFT(AJ465,2))))))</f>
        <v>45695</v>
      </c>
      <c r="C465" s="3" t="n">
        <f aca="false">IF(AK465="","",IF(ISNUMBER(SEARCH("/",AK465)),DATE(VALUE(RIGHT(AK465,4)),VALUE(LEFT(AK465,2)),VALUE(MID(AK465,4,2))),IF(ISNUMBER(SEARCH("-",AK465)),IF(LEN(LEFT(AK465,FIND("-",AK465)-1))=4,DATE(VALUE(LEFT(AK465,4)),VALUE(MID(AK465,6,2)),VALUE(RIGHT(AK465,2))),DATE(VALUE(RIGHT(AK465,4)),VALUE(MID(AK465,4,2)),VALUE(LEFT(AK465,2)))),DATE(VALUE(RIGHT(AK465,4)),MATCH(MID(AK465,4,3),{"Jan","Feb","Mar","Apr","May","Jun","Jul","Aug","Sep","Oct","Nov","Dec"},0),VALUE(LEFT(AK465,2))))))</f>
        <v>45696</v>
      </c>
      <c r="D465" s="4" t="s">
        <v>1858</v>
      </c>
      <c r="E465" s="0" t="str">
        <f aca="false">PROPER(TRIM(AL465))</f>
        <v>Arjun Bose</v>
      </c>
      <c r="F465" s="0" t="str">
        <f aca="false">PROPER(TRIM(AM465))</f>
        <v>Corporate</v>
      </c>
      <c r="G465" s="0" t="str">
        <f aca="false">IF(TRIM(AN465)="","Unknown",PROPER(TRIM(AN465)))</f>
        <v>West</v>
      </c>
      <c r="H465" s="0" t="str">
        <f aca="false">PROPER(TRIM(AO465))</f>
        <v>Madhya Pradesh</v>
      </c>
      <c r="I465" s="0" t="str">
        <f aca="false">PROPER(TRIM(AP465))</f>
        <v>Indore</v>
      </c>
      <c r="J465" s="0" t="str">
        <f aca="false">PROPER(TRIM(AQ465))</f>
        <v>Technology</v>
      </c>
      <c r="K465" s="0" t="str">
        <f aca="false">PROPER(TRIM(AR465))</f>
        <v>Phones</v>
      </c>
      <c r="M465" s="0" t="str">
        <f aca="false">IF(TRIM(AS465)="","Unknown",PROPER(TRIM(AS465)))</f>
        <v>Standard Class</v>
      </c>
      <c r="N465" s="0" t="n">
        <v>4</v>
      </c>
      <c r="O465" s="0" t="n">
        <v>889.5</v>
      </c>
      <c r="P465" s="5" t="n">
        <f aca="false">IF(AT465="","",IF(ISNUMBER(AT465),AT465,VALUE(SUBSTITUTE(AT465,"%",""))/100))</f>
        <v>0.2</v>
      </c>
      <c r="Q465" s="5" t="n">
        <f aca="false">IF(P465="",IF(AND(N465&lt;&gt;"",O465&lt;&gt;"",R465&lt;&gt;"",S465&lt;&gt;""),0,"REVIEW"),IF(OR(P465&lt;0,P465&gt;0.3),0,P465))</f>
        <v>0.2</v>
      </c>
      <c r="R465" s="0" t="n">
        <v>2846.4</v>
      </c>
      <c r="S465" s="0" t="n">
        <v>2132.37</v>
      </c>
      <c r="T465" s="6" t="n">
        <f aca="false">N465*O465*(1-Q465)</f>
        <v>2846.4</v>
      </c>
      <c r="U465" s="6" t="n">
        <f aca="false">T465-S465</f>
        <v>714.03</v>
      </c>
      <c r="V465" s="7" t="n">
        <f aca="false">IF(T465=0,0,U465/T465)</f>
        <v>0.25085370994941</v>
      </c>
      <c r="W465" s="4" t="n">
        <f aca="false">C465-B465</f>
        <v>1</v>
      </c>
      <c r="X465" s="0" t="str">
        <f aca="false">TEXT(B465,"mmmm")</f>
        <v>February</v>
      </c>
      <c r="Y465" s="4" t="n">
        <f aca="false">YEAR(B465)</f>
        <v>2025</v>
      </c>
      <c r="Z465" s="0" t="str">
        <f aca="false">PROPER(TRIM(AU465))</f>
        <v>Paid</v>
      </c>
      <c r="AA465" s="0" t="str">
        <f aca="false">PROPER(TRIM(AV465))</f>
        <v>Completed</v>
      </c>
      <c r="AB465" s="0" t="str">
        <f aca="false">IF(TRIM(AN465)="","Yes","No")</f>
        <v>No</v>
      </c>
      <c r="AC465" s="0" t="str">
        <f aca="false">IF(TRIM(AS465)="","Yes","No")</f>
        <v>No</v>
      </c>
      <c r="AD465" s="0" t="str">
        <f aca="false">IF(AT465="","Yes","No")</f>
        <v>No</v>
      </c>
      <c r="AE465" s="0" t="str">
        <f aca="false">IF(W465&lt;0,"Yes","No")</f>
        <v>No</v>
      </c>
      <c r="AF465" s="0" t="str">
        <f aca="false">IF(P465="","No",IF(OR(P465&lt;0,P465&gt;0.3),"Yes","No"))</f>
        <v>No</v>
      </c>
      <c r="AG465" s="4" t="s">
        <v>50</v>
      </c>
      <c r="AH465" s="0" t="str">
        <f aca="false">IF(AND(AA465="Completed",Z465="Paid"),"Yes","No")</f>
        <v>Yes</v>
      </c>
      <c r="AI465" s="0" t="str">
        <f aca="false">IF(OR(AE465="Yes",AF465="Yes",AG465="Yes"),"Invalid",IF(OR(AB465="Yes",AC465="Yes",AD465="Yes"),"Warning","Clean"))</f>
        <v>Clean</v>
      </c>
      <c r="AJ465" s="4" t="s">
        <v>408</v>
      </c>
      <c r="AK465" s="4" t="s">
        <v>1859</v>
      </c>
      <c r="AL465" s="4" t="s">
        <v>86</v>
      </c>
      <c r="AM465" s="4" t="s">
        <v>128</v>
      </c>
      <c r="AN465" s="4" t="s">
        <v>97</v>
      </c>
      <c r="AO465" s="4" t="s">
        <v>107</v>
      </c>
      <c r="AP465" s="4" t="s">
        <v>108</v>
      </c>
      <c r="AQ465" s="4" t="s">
        <v>109</v>
      </c>
      <c r="AR465" s="4" t="s">
        <v>227</v>
      </c>
      <c r="AS465" s="4" t="s">
        <v>91</v>
      </c>
      <c r="AT465" s="0" t="n">
        <v>0.2</v>
      </c>
      <c r="AU465" s="4" t="s">
        <v>61</v>
      </c>
      <c r="AV465" s="4" t="s">
        <v>62</v>
      </c>
    </row>
    <row r="466" customFormat="false" ht="15" hidden="false" customHeight="false" outlineLevel="0" collapsed="false">
      <c r="A466" s="0" t="s">
        <v>1860</v>
      </c>
      <c r="B466" s="3" t="n">
        <f aca="false">IF(AJ466="","",IF(ISNUMBER(SEARCH("/",AJ466)),DATE(VALUE(RIGHT(AJ466,4)),VALUE(LEFT(AJ466,2)),VALUE(MID(AJ466,4,2))),IF(ISNUMBER(SEARCH("-",AJ466)),IF(LEN(LEFT(AJ466,FIND("-",AJ466)-1))=4,DATE(VALUE(LEFT(AJ466,4)),VALUE(MID(AJ466,6,2)),VALUE(RIGHT(AJ466,2))),DATE(VALUE(RIGHT(AJ466,4)),VALUE(MID(AJ466,4,2)),VALUE(LEFT(AJ466,2)))),DATE(VALUE(RIGHT(AJ466,4)),MATCH(MID(AJ466,4,3),{"Jan","Feb","Mar","Apr","May","Jun","Jul","Aug","Sep","Oct","Nov","Dec"},0),VALUE(LEFT(AJ466,2))))))</f>
        <v>45727</v>
      </c>
      <c r="C466" s="3" t="n">
        <f aca="false">IF(AK466="","",IF(ISNUMBER(SEARCH("/",AK466)),DATE(VALUE(RIGHT(AK466,4)),VALUE(LEFT(AK466,2)),VALUE(MID(AK466,4,2))),IF(ISNUMBER(SEARCH("-",AK466)),IF(LEN(LEFT(AK466,FIND("-",AK466)-1))=4,DATE(VALUE(LEFT(AK466,4)),VALUE(MID(AK466,6,2)),VALUE(RIGHT(AK466,2))),DATE(VALUE(RIGHT(AK466,4)),VALUE(MID(AK466,4,2)),VALUE(LEFT(AK466,2)))),DATE(VALUE(RIGHT(AK466,4)),MATCH(MID(AK466,4,3),{"Jan","Feb","Mar","Apr","May","Jun","Jul","Aug","Sep","Oct","Nov","Dec"},0),VALUE(LEFT(AK466,2))))))</f>
        <v>45731</v>
      </c>
      <c r="D466" s="4" t="s">
        <v>1861</v>
      </c>
      <c r="E466" s="0" t="str">
        <f aca="false">PROPER(TRIM(AL466))</f>
        <v>Arjun Bose</v>
      </c>
      <c r="F466" s="0" t="str">
        <f aca="false">PROPER(TRIM(AM466))</f>
        <v>Corporate</v>
      </c>
      <c r="G466" s="0" t="str">
        <f aca="false">IF(TRIM(AN466)="","Unknown",PROPER(TRIM(AN466)))</f>
        <v>East</v>
      </c>
      <c r="H466" s="0" t="str">
        <f aca="false">PROPER(TRIM(AO466))</f>
        <v>Bihar</v>
      </c>
      <c r="I466" s="0" t="str">
        <f aca="false">PROPER(TRIM(AP466))</f>
        <v>Patna</v>
      </c>
      <c r="J466" s="0" t="str">
        <f aca="false">PROPER(TRIM(AQ466))</f>
        <v>Office Supplies</v>
      </c>
      <c r="K466" s="0" t="str">
        <f aca="false">PROPER(TRIM(AR466))</f>
        <v>Paper</v>
      </c>
      <c r="M466" s="0" t="str">
        <f aca="false">IF(TRIM(AS466)="","Unknown",PROPER(TRIM(AS466)))</f>
        <v>Same Day</v>
      </c>
      <c r="N466" s="0" t="n">
        <v>3</v>
      </c>
      <c r="O466" s="0" t="n">
        <v>3625.08</v>
      </c>
      <c r="P466" s="5" t="n">
        <f aca="false">IF(AT466="","",IF(ISNUMBER(AT466),AT466,VALUE(SUBSTITUTE(AT466,"%",""))/100))</f>
        <v>0.05</v>
      </c>
      <c r="Q466" s="5" t="n">
        <f aca="false">IF(P466="",IF(AND(N466&lt;&gt;"",O466&lt;&gt;"",R466&lt;&gt;"",S466&lt;&gt;""),0,"REVIEW"),IF(OR(P466&lt;0,P466&gt;0.3),0,P466))</f>
        <v>0.05</v>
      </c>
      <c r="R466" s="0" t="n">
        <v>10331.48</v>
      </c>
      <c r="S466" s="0" t="n">
        <v>7131.91</v>
      </c>
      <c r="T466" s="6" t="n">
        <f aca="false">N466*O466*(1-Q466)</f>
        <v>10331.478</v>
      </c>
      <c r="U466" s="6" t="n">
        <f aca="false">T466-S466</f>
        <v>3199.568</v>
      </c>
      <c r="V466" s="7" t="n">
        <f aca="false">IF(T466=0,0,U466/T466)</f>
        <v>0.309691217461819</v>
      </c>
      <c r="W466" s="4" t="n">
        <f aca="false">C466-B466</f>
        <v>4</v>
      </c>
      <c r="X466" s="0" t="str">
        <f aca="false">TEXT(B466,"mmmm")</f>
        <v>March</v>
      </c>
      <c r="Y466" s="4" t="n">
        <f aca="false">YEAR(B466)</f>
        <v>2025</v>
      </c>
      <c r="Z466" s="0" t="str">
        <f aca="false">PROPER(TRIM(AU466))</f>
        <v>Pending</v>
      </c>
      <c r="AA466" s="0" t="str">
        <f aca="false">PROPER(TRIM(AV466))</f>
        <v>Cancelled</v>
      </c>
      <c r="AB466" s="0" t="str">
        <f aca="false">IF(TRIM(AN466)="","Yes","No")</f>
        <v>No</v>
      </c>
      <c r="AC466" s="0" t="str">
        <f aca="false">IF(TRIM(AS466)="","Yes","No")</f>
        <v>No</v>
      </c>
      <c r="AD466" s="0" t="str">
        <f aca="false">IF(AT466="","Yes","No")</f>
        <v>No</v>
      </c>
      <c r="AE466" s="0" t="str">
        <f aca="false">IF(W466&lt;0,"Yes","No")</f>
        <v>No</v>
      </c>
      <c r="AF466" s="0" t="str">
        <f aca="false">IF(P466="","No",IF(OR(P466&lt;0,P466&gt;0.3),"Yes","No"))</f>
        <v>No</v>
      </c>
      <c r="AG466" s="4" t="s">
        <v>50</v>
      </c>
      <c r="AH466" s="0" t="str">
        <f aca="false">IF(AND(AA466="Completed",Z466="Paid"),"Yes","No")</f>
        <v>No</v>
      </c>
      <c r="AI466" s="0" t="str">
        <f aca="false">IF(OR(AE466="Yes",AF466="Yes",AG466="Yes"),"Invalid",IF(OR(AB466="Yes",AC466="Yes",AD466="Yes"),"Warning","Clean"))</f>
        <v>Clean</v>
      </c>
      <c r="AJ466" s="4" t="s">
        <v>1862</v>
      </c>
      <c r="AK466" s="4" t="s">
        <v>1863</v>
      </c>
      <c r="AL466" s="4" t="s">
        <v>86</v>
      </c>
      <c r="AM466" s="4" t="s">
        <v>128</v>
      </c>
      <c r="AN466" s="4" t="s">
        <v>69</v>
      </c>
      <c r="AO466" s="4" t="s">
        <v>196</v>
      </c>
      <c r="AP466" s="4" t="s">
        <v>197</v>
      </c>
      <c r="AQ466" s="4" t="s">
        <v>58</v>
      </c>
      <c r="AR466" s="4" t="s">
        <v>59</v>
      </c>
      <c r="AS466" s="4" t="s">
        <v>74</v>
      </c>
      <c r="AT466" s="0" t="n">
        <v>0.05</v>
      </c>
      <c r="AU466" s="4" t="s">
        <v>153</v>
      </c>
      <c r="AV466" s="4" t="s">
        <v>101</v>
      </c>
    </row>
    <row r="467" customFormat="false" ht="15" hidden="false" customHeight="false" outlineLevel="0" collapsed="false">
      <c r="A467" s="0" t="s">
        <v>1864</v>
      </c>
      <c r="B467" s="3" t="n">
        <f aca="false">IF(AJ467="","",IF(ISNUMBER(SEARCH("/",AJ467)),DATE(VALUE(RIGHT(AJ467,4)),VALUE(LEFT(AJ467,2)),VALUE(MID(AJ467,4,2))),IF(ISNUMBER(SEARCH("-",AJ467)),IF(LEN(LEFT(AJ467,FIND("-",AJ467)-1))=4,DATE(VALUE(LEFT(AJ467,4)),VALUE(MID(AJ467,6,2)),VALUE(RIGHT(AJ467,2))),DATE(VALUE(RIGHT(AJ467,4)),VALUE(MID(AJ467,4,2)),VALUE(LEFT(AJ467,2)))),DATE(VALUE(RIGHT(AJ467,4)),MATCH(MID(AJ467,4,3),{"Jan","Feb","Mar","Apr","May","Jun","Jul","Aug","Sep","Oct","Nov","Dec"},0),VALUE(LEFT(AJ467,2))))))</f>
        <v>45320</v>
      </c>
      <c r="C467" s="3" t="n">
        <f aca="false">IF(AK467="","",IF(ISNUMBER(SEARCH("/",AK467)),DATE(VALUE(RIGHT(AK467,4)),VALUE(LEFT(AK467,2)),VALUE(MID(AK467,4,2))),IF(ISNUMBER(SEARCH("-",AK467)),IF(LEN(LEFT(AK467,FIND("-",AK467)-1))=4,DATE(VALUE(LEFT(AK467,4)),VALUE(MID(AK467,6,2)),VALUE(RIGHT(AK467,2))),DATE(VALUE(RIGHT(AK467,4)),VALUE(MID(AK467,4,2)),VALUE(LEFT(AK467,2)))),DATE(VALUE(RIGHT(AK467,4)),MATCH(MID(AK467,4,3),{"Jan","Feb","Mar","Apr","May","Jun","Jul","Aug","Sep","Oct","Nov","Dec"},0),VALUE(LEFT(AK467,2))))))</f>
        <v>45328</v>
      </c>
      <c r="D467" s="4" t="s">
        <v>1865</v>
      </c>
      <c r="E467" s="0" t="str">
        <f aca="false">PROPER(TRIM(AL467))</f>
        <v>Aarav Sharma</v>
      </c>
      <c r="F467" s="0" t="str">
        <f aca="false">PROPER(TRIM(AM467))</f>
        <v>Small Business</v>
      </c>
      <c r="G467" s="0" t="str">
        <f aca="false">IF(TRIM(AN467)="","Unknown",PROPER(TRIM(AN467)))</f>
        <v>West</v>
      </c>
      <c r="H467" s="0" t="str">
        <f aca="false">PROPER(TRIM(AO467))</f>
        <v>Madhya Pradesh</v>
      </c>
      <c r="I467" s="0" t="str">
        <f aca="false">PROPER(TRIM(AP467))</f>
        <v>Indore</v>
      </c>
      <c r="J467" s="0" t="str">
        <f aca="false">PROPER(TRIM(AQ467))</f>
        <v>Office Supplies</v>
      </c>
      <c r="K467" s="0" t="str">
        <f aca="false">PROPER(TRIM(AR467))</f>
        <v>Labels</v>
      </c>
      <c r="M467" s="0" t="str">
        <f aca="false">IF(TRIM(AS467)="","Unknown",PROPER(TRIM(AS467)))</f>
        <v>Standard Class</v>
      </c>
      <c r="N467" s="0" t="n">
        <v>2</v>
      </c>
      <c r="O467" s="0" t="n">
        <v>1258.9</v>
      </c>
      <c r="P467" s="5" t="n">
        <f aca="false">IF(AT467="","",IF(ISNUMBER(AT467),AT467,VALUE(SUBSTITUTE(AT467,"%",""))/100))</f>
        <v>0</v>
      </c>
      <c r="Q467" s="5" t="n">
        <f aca="false">IF(P467="",IF(AND(N467&lt;&gt;"",O467&lt;&gt;"",R467&lt;&gt;"",S467&lt;&gt;""),0,"REVIEW"),IF(OR(P467&lt;0,P467&gt;0.3),0,P467))</f>
        <v>0</v>
      </c>
      <c r="R467" s="0" t="n">
        <v>2517.8</v>
      </c>
      <c r="S467" s="0" t="n">
        <v>1478.54</v>
      </c>
      <c r="T467" s="6" t="n">
        <f aca="false">N467*O467*(1-Q467)</f>
        <v>2517.8</v>
      </c>
      <c r="U467" s="6" t="n">
        <f aca="false">T467-S467</f>
        <v>1039.26</v>
      </c>
      <c r="V467" s="7" t="n">
        <f aca="false">IF(T467=0,0,U467/T467)</f>
        <v>0.412765112399714</v>
      </c>
      <c r="W467" s="4" t="n">
        <f aca="false">C467-B467</f>
        <v>8</v>
      </c>
      <c r="X467" s="0" t="str">
        <f aca="false">TEXT(B467,"mmmm")</f>
        <v>January</v>
      </c>
      <c r="Y467" s="4" t="n">
        <f aca="false">YEAR(B467)</f>
        <v>2024</v>
      </c>
      <c r="Z467" s="0" t="str">
        <f aca="false">PROPER(TRIM(AU467))</f>
        <v>Paid</v>
      </c>
      <c r="AA467" s="0" t="str">
        <f aca="false">PROPER(TRIM(AV467))</f>
        <v>Completed</v>
      </c>
      <c r="AB467" s="0" t="str">
        <f aca="false">IF(TRIM(AN467)="","Yes","No")</f>
        <v>No</v>
      </c>
      <c r="AC467" s="0" t="str">
        <f aca="false">IF(TRIM(AS467)="","Yes","No")</f>
        <v>No</v>
      </c>
      <c r="AD467" s="0" t="str">
        <f aca="false">IF(AT467="","Yes","No")</f>
        <v>No</v>
      </c>
      <c r="AE467" s="0" t="str">
        <f aca="false">IF(W467&lt;0,"Yes","No")</f>
        <v>No</v>
      </c>
      <c r="AF467" s="0" t="str">
        <f aca="false">IF(P467="","No",IF(OR(P467&lt;0,P467&gt;0.3),"Yes","No"))</f>
        <v>No</v>
      </c>
      <c r="AG467" s="4" t="s">
        <v>50</v>
      </c>
      <c r="AH467" s="0" t="str">
        <f aca="false">IF(AND(AA467="Completed",Z467="Paid"),"Yes","No")</f>
        <v>Yes</v>
      </c>
      <c r="AI467" s="0" t="str">
        <f aca="false">IF(OR(AE467="Yes",AF467="Yes",AG467="Yes"),"Invalid",IF(OR(AB467="Yes",AC467="Yes",AD467="Yes"),"Warning","Clean"))</f>
        <v>Clean</v>
      </c>
      <c r="AJ467" s="4" t="s">
        <v>1866</v>
      </c>
      <c r="AK467" s="4" t="s">
        <v>1867</v>
      </c>
      <c r="AL467" s="4" t="s">
        <v>176</v>
      </c>
      <c r="AM467" s="4" t="s">
        <v>68</v>
      </c>
      <c r="AN467" s="4" t="s">
        <v>97</v>
      </c>
      <c r="AO467" s="4" t="s">
        <v>107</v>
      </c>
      <c r="AP467" s="4" t="s">
        <v>108</v>
      </c>
      <c r="AQ467" s="4" t="s">
        <v>58</v>
      </c>
      <c r="AR467" s="4" t="s">
        <v>129</v>
      </c>
      <c r="AS467" s="4" t="s">
        <v>91</v>
      </c>
      <c r="AT467" s="0" t="n">
        <v>0</v>
      </c>
      <c r="AU467" s="4" t="s">
        <v>61</v>
      </c>
      <c r="AV467" s="4" t="s">
        <v>62</v>
      </c>
    </row>
    <row r="468" customFormat="false" ht="15" hidden="false" customHeight="false" outlineLevel="0" collapsed="false">
      <c r="A468" s="0" t="s">
        <v>1868</v>
      </c>
      <c r="B468" s="3" t="n">
        <f aca="false">IF(AJ468="","",IF(ISNUMBER(SEARCH("/",AJ468)),DATE(VALUE(RIGHT(AJ468,4)),VALUE(LEFT(AJ468,2)),VALUE(MID(AJ468,4,2))),IF(ISNUMBER(SEARCH("-",AJ468)),IF(LEN(LEFT(AJ468,FIND("-",AJ468)-1))=4,DATE(VALUE(LEFT(AJ468,4)),VALUE(MID(AJ468,6,2)),VALUE(RIGHT(AJ468,2))),DATE(VALUE(RIGHT(AJ468,4)),VALUE(MID(AJ468,4,2)),VALUE(LEFT(AJ468,2)))),DATE(VALUE(RIGHT(AJ468,4)),MATCH(MID(AJ468,4,3),{"Jan","Feb","Mar","Apr","May","Jun","Jul","Aug","Sep","Oct","Nov","Dec"},0),VALUE(LEFT(AJ468,2))))))</f>
        <v>45295</v>
      </c>
      <c r="C468" s="3" t="n">
        <f aca="false">IF(AK468="","",IF(ISNUMBER(SEARCH("/",AK468)),DATE(VALUE(RIGHT(AK468,4)),VALUE(LEFT(AK468,2)),VALUE(MID(AK468,4,2))),IF(ISNUMBER(SEARCH("-",AK468)),IF(LEN(LEFT(AK468,FIND("-",AK468)-1))=4,DATE(VALUE(LEFT(AK468,4)),VALUE(MID(AK468,6,2)),VALUE(RIGHT(AK468,2))),DATE(VALUE(RIGHT(AK468,4)),VALUE(MID(AK468,4,2)),VALUE(LEFT(AK468,2)))),DATE(VALUE(RIGHT(AK468,4)),MATCH(MID(AK468,4,3),{"Jan","Feb","Mar","Apr","May","Jun","Jul","Aug","Sep","Oct","Nov","Dec"},0),VALUE(LEFT(AK468,2))))))</f>
        <v>45299</v>
      </c>
      <c r="D468" s="4" t="s">
        <v>1869</v>
      </c>
      <c r="E468" s="0" t="str">
        <f aca="false">PROPER(TRIM(AL468))</f>
        <v>Mira Das</v>
      </c>
      <c r="F468" s="0" t="str">
        <f aca="false">PROPER(TRIM(AM468))</f>
        <v>Small Business</v>
      </c>
      <c r="G468" s="0" t="str">
        <f aca="false">IF(TRIM(AN468)="","Unknown",PROPER(TRIM(AN468)))</f>
        <v>East</v>
      </c>
      <c r="H468" s="0" t="str">
        <f aca="false">PROPER(TRIM(AO468))</f>
        <v>Bihar</v>
      </c>
      <c r="I468" s="0" t="str">
        <f aca="false">PROPER(TRIM(AP468))</f>
        <v>Patna</v>
      </c>
      <c r="J468" s="0" t="str">
        <f aca="false">PROPER(TRIM(AQ468))</f>
        <v>Technology</v>
      </c>
      <c r="K468" s="0" t="str">
        <f aca="false">PROPER(TRIM(AR468))</f>
        <v>Accessories</v>
      </c>
      <c r="M468" s="0" t="str">
        <f aca="false">IF(TRIM(AS468)="","Unknown",PROPER(TRIM(AS468)))</f>
        <v>Same Day</v>
      </c>
      <c r="N468" s="0" t="n">
        <v>9</v>
      </c>
      <c r="O468" s="0" t="n">
        <v>1591.96</v>
      </c>
      <c r="P468" s="5" t="n">
        <f aca="false">IF(AT468="","",IF(ISNUMBER(AT468),AT468,VALUE(SUBSTITUTE(AT468,"%",""))/100))</f>
        <v>0.2</v>
      </c>
      <c r="Q468" s="5" t="n">
        <f aca="false">IF(P468="",IF(AND(N468&lt;&gt;"",O468&lt;&gt;"",R468&lt;&gt;"",S468&lt;&gt;""),0,"REVIEW"),IF(OR(P468&lt;0,P468&gt;0.3),0,P468))</f>
        <v>0.2</v>
      </c>
      <c r="R468" s="0" t="n">
        <v>11462.11</v>
      </c>
      <c r="S468" s="0" t="n">
        <v>7105.48</v>
      </c>
      <c r="T468" s="6" t="n">
        <f aca="false">N468*O468*(1-Q468)</f>
        <v>11462.112</v>
      </c>
      <c r="U468" s="6" t="n">
        <f aca="false">T468-S468</f>
        <v>4356.632</v>
      </c>
      <c r="V468" s="7" t="n">
        <f aca="false">IF(T468=0,0,U468/T468)</f>
        <v>0.380089812418514</v>
      </c>
      <c r="W468" s="4" t="n">
        <f aca="false">C468-B468</f>
        <v>4</v>
      </c>
      <c r="X468" s="0" t="str">
        <f aca="false">TEXT(B468,"mmmm")</f>
        <v>January</v>
      </c>
      <c r="Y468" s="4" t="n">
        <f aca="false">YEAR(B468)</f>
        <v>2024</v>
      </c>
      <c r="Z468" s="0" t="str">
        <f aca="false">PROPER(TRIM(AU468))</f>
        <v>Paid</v>
      </c>
      <c r="AA468" s="0" t="str">
        <f aca="false">PROPER(TRIM(AV468))</f>
        <v>Completed</v>
      </c>
      <c r="AB468" s="0" t="str">
        <f aca="false">IF(TRIM(AN468)="","Yes","No")</f>
        <v>No</v>
      </c>
      <c r="AC468" s="0" t="str">
        <f aca="false">IF(TRIM(AS468)="","Yes","No")</f>
        <v>No</v>
      </c>
      <c r="AD468" s="0" t="str">
        <f aca="false">IF(AT468="","Yes","No")</f>
        <v>No</v>
      </c>
      <c r="AE468" s="0" t="str">
        <f aca="false">IF(W468&lt;0,"Yes","No")</f>
        <v>No</v>
      </c>
      <c r="AF468" s="0" t="str">
        <f aca="false">IF(P468="","No",IF(OR(P468&lt;0,P468&gt;0.3),"Yes","No"))</f>
        <v>No</v>
      </c>
      <c r="AG468" s="4" t="s">
        <v>50</v>
      </c>
      <c r="AH468" s="0" t="str">
        <f aca="false">IF(AND(AA468="Completed",Z468="Paid"),"Yes","No")</f>
        <v>Yes</v>
      </c>
      <c r="AI468" s="0" t="str">
        <f aca="false">IF(OR(AE468="Yes",AF468="Yes",AG468="Yes"),"Invalid",IF(OR(AB468="Yes",AC468="Yes",AD468="Yes"),"Warning","Clean"))</f>
        <v>Clean</v>
      </c>
      <c r="AJ468" s="4" t="s">
        <v>1870</v>
      </c>
      <c r="AK468" s="4" t="s">
        <v>1871</v>
      </c>
      <c r="AL468" s="4" t="s">
        <v>67</v>
      </c>
      <c r="AM468" s="4" t="s">
        <v>68</v>
      </c>
      <c r="AN468" s="4" t="s">
        <v>69</v>
      </c>
      <c r="AO468" s="4" t="s">
        <v>196</v>
      </c>
      <c r="AP468" s="4" t="s">
        <v>197</v>
      </c>
      <c r="AQ468" s="4" t="s">
        <v>109</v>
      </c>
      <c r="AR468" s="4" t="s">
        <v>110</v>
      </c>
      <c r="AS468" s="4" t="s">
        <v>74</v>
      </c>
      <c r="AT468" s="0" t="n">
        <v>0.2</v>
      </c>
      <c r="AU468" s="4" t="s">
        <v>61</v>
      </c>
      <c r="AV468" s="4" t="s">
        <v>62</v>
      </c>
    </row>
    <row r="469" customFormat="false" ht="15" hidden="false" customHeight="false" outlineLevel="0" collapsed="false">
      <c r="A469" s="0" t="s">
        <v>1872</v>
      </c>
      <c r="B469" s="3" t="n">
        <f aca="false">IF(AJ469="","",IF(ISNUMBER(SEARCH("/",AJ469)),DATE(VALUE(RIGHT(AJ469,4)),VALUE(LEFT(AJ469,2)),VALUE(MID(AJ469,4,2))),IF(ISNUMBER(SEARCH("-",AJ469)),IF(LEN(LEFT(AJ469,FIND("-",AJ469)-1))=4,DATE(VALUE(LEFT(AJ469,4)),VALUE(MID(AJ469,6,2)),VALUE(RIGHT(AJ469,2))),DATE(VALUE(RIGHT(AJ469,4)),VALUE(MID(AJ469,4,2)),VALUE(LEFT(AJ469,2)))),DATE(VALUE(RIGHT(AJ469,4)),MATCH(MID(AJ469,4,3),{"Jan","Feb","Mar","Apr","May","Jun","Jul","Aug","Sep","Oct","Nov","Dec"},0),VALUE(LEFT(AJ469,2))))))</f>
        <v>45524</v>
      </c>
      <c r="C469" s="3" t="n">
        <f aca="false">IF(AK469="","",IF(ISNUMBER(SEARCH("/",AK469)),DATE(VALUE(RIGHT(AK469,4)),VALUE(LEFT(AK469,2)),VALUE(MID(AK469,4,2))),IF(ISNUMBER(SEARCH("-",AK469)),IF(LEN(LEFT(AK469,FIND("-",AK469)-1))=4,DATE(VALUE(LEFT(AK469,4)),VALUE(MID(AK469,6,2)),VALUE(RIGHT(AK469,2))),DATE(VALUE(RIGHT(AK469,4)),VALUE(MID(AK469,4,2)),VALUE(LEFT(AK469,2)))),DATE(VALUE(RIGHT(AK469,4)),MATCH(MID(AK469,4,3),{"Jan","Feb","Mar","Apr","May","Jun","Jul","Aug","Sep","Oct","Nov","Dec"},0),VALUE(LEFT(AK469,2))))))</f>
        <v>45525</v>
      </c>
      <c r="D469" s="4" t="s">
        <v>1873</v>
      </c>
      <c r="E469" s="0" t="str">
        <f aca="false">PROPER(TRIM(AL469))</f>
        <v>Aditi Sen</v>
      </c>
      <c r="F469" s="0" t="str">
        <f aca="false">PROPER(TRIM(AM469))</f>
        <v>Corporate</v>
      </c>
      <c r="G469" s="0" t="str">
        <f aca="false">IF(TRIM(AN469)="","Unknown",PROPER(TRIM(AN469)))</f>
        <v>East</v>
      </c>
      <c r="H469" s="0" t="str">
        <f aca="false">PROPER(TRIM(AO469))</f>
        <v>Odisha</v>
      </c>
      <c r="I469" s="0" t="str">
        <f aca="false">PROPER(TRIM(AP469))</f>
        <v>Bhubaneswar</v>
      </c>
      <c r="J469" s="0" t="str">
        <f aca="false">PROPER(TRIM(AQ469))</f>
        <v>Technology</v>
      </c>
      <c r="K469" s="0" t="str">
        <f aca="false">PROPER(TRIM(AR469))</f>
        <v>Copiers</v>
      </c>
      <c r="M469" s="0" t="str">
        <f aca="false">IF(TRIM(AS469)="","Unknown",PROPER(TRIM(AS469)))</f>
        <v>First Class</v>
      </c>
      <c r="N469" s="0" t="n">
        <v>5</v>
      </c>
      <c r="O469" s="0" t="n">
        <v>4288.33</v>
      </c>
      <c r="P469" s="5" t="n">
        <f aca="false">IF(AT469="","",IF(ISNUMBER(AT469),AT469,VALUE(SUBSTITUTE(AT469,"%",""))/100))</f>
        <v>0.1</v>
      </c>
      <c r="Q469" s="5" t="n">
        <f aca="false">IF(P469="",IF(AND(N469&lt;&gt;"",O469&lt;&gt;"",R469&lt;&gt;"",S469&lt;&gt;""),0,"REVIEW"),IF(OR(P469&lt;0,P469&gt;0.3),0,P469))</f>
        <v>0.1</v>
      </c>
      <c r="R469" s="0" t="n">
        <v>19297.49</v>
      </c>
      <c r="S469" s="0" t="n">
        <v>15451.66</v>
      </c>
      <c r="T469" s="6" t="n">
        <f aca="false">N469*O469*(1-Q469)</f>
        <v>19297.485</v>
      </c>
      <c r="U469" s="6" t="n">
        <f aca="false">T469-S469</f>
        <v>3845.825</v>
      </c>
      <c r="V469" s="7" t="n">
        <f aca="false">IF(T469=0,0,U469/T469)</f>
        <v>0.199291513894168</v>
      </c>
      <c r="W469" s="4" t="n">
        <f aca="false">C469-B469</f>
        <v>1</v>
      </c>
      <c r="X469" s="0" t="str">
        <f aca="false">TEXT(B469,"mmmm")</f>
        <v>August</v>
      </c>
      <c r="Y469" s="4" t="n">
        <f aca="false">YEAR(B469)</f>
        <v>2024</v>
      </c>
      <c r="Z469" s="0" t="str">
        <f aca="false">PROPER(TRIM(AU469))</f>
        <v>Refunded</v>
      </c>
      <c r="AA469" s="0" t="str">
        <f aca="false">PROPER(TRIM(AV469))</f>
        <v>Cancelled</v>
      </c>
      <c r="AB469" s="0" t="str">
        <f aca="false">IF(TRIM(AN469)="","Yes","No")</f>
        <v>No</v>
      </c>
      <c r="AC469" s="0" t="str">
        <f aca="false">IF(TRIM(AS469)="","Yes","No")</f>
        <v>No</v>
      </c>
      <c r="AD469" s="0" t="str">
        <f aca="false">IF(AT469="","Yes","No")</f>
        <v>No</v>
      </c>
      <c r="AE469" s="0" t="str">
        <f aca="false">IF(W469&lt;0,"Yes","No")</f>
        <v>No</v>
      </c>
      <c r="AF469" s="0" t="str">
        <f aca="false">IF(P469="","No",IF(OR(P469&lt;0,P469&gt;0.3),"Yes","No"))</f>
        <v>No</v>
      </c>
      <c r="AG469" s="4" t="s">
        <v>50</v>
      </c>
      <c r="AH469" s="0" t="str">
        <f aca="false">IF(AND(AA469="Completed",Z469="Paid"),"Yes","No")</f>
        <v>No</v>
      </c>
      <c r="AI469" s="0" t="str">
        <f aca="false">IF(OR(AE469="Yes",AF469="Yes",AG469="Yes"),"Invalid",IF(OR(AB469="Yes",AC469="Yes",AD469="Yes"),"Warning","Clean"))</f>
        <v>Clean</v>
      </c>
      <c r="AJ469" s="4" t="s">
        <v>1874</v>
      </c>
      <c r="AK469" s="4" t="s">
        <v>1355</v>
      </c>
      <c r="AL469" s="4" t="s">
        <v>127</v>
      </c>
      <c r="AM469" s="4" t="s">
        <v>128</v>
      </c>
      <c r="AN469" s="4" t="s">
        <v>69</v>
      </c>
      <c r="AO469" s="4" t="s">
        <v>70</v>
      </c>
      <c r="AP469" s="4" t="s">
        <v>71</v>
      </c>
      <c r="AQ469" s="4" t="s">
        <v>109</v>
      </c>
      <c r="AR469" s="4" t="s">
        <v>116</v>
      </c>
      <c r="AS469" s="4" t="s">
        <v>81</v>
      </c>
      <c r="AT469" s="0" t="n">
        <v>0.1</v>
      </c>
      <c r="AU469" s="4" t="s">
        <v>141</v>
      </c>
      <c r="AV469" s="4" t="s">
        <v>101</v>
      </c>
    </row>
    <row r="470" customFormat="false" ht="15" hidden="false" customHeight="false" outlineLevel="0" collapsed="false">
      <c r="A470" s="0" t="s">
        <v>1875</v>
      </c>
      <c r="B470" s="3" t="n">
        <f aca="false">IF(AJ470="","",IF(ISNUMBER(SEARCH("/",AJ470)),DATE(VALUE(RIGHT(AJ470,4)),VALUE(LEFT(AJ470,2)),VALUE(MID(AJ470,4,2))),IF(ISNUMBER(SEARCH("-",AJ470)),IF(LEN(LEFT(AJ470,FIND("-",AJ470)-1))=4,DATE(VALUE(LEFT(AJ470,4)),VALUE(MID(AJ470,6,2)),VALUE(RIGHT(AJ470,2))),DATE(VALUE(RIGHT(AJ470,4)),VALUE(MID(AJ470,4,2)),VALUE(LEFT(AJ470,2)))),DATE(VALUE(RIGHT(AJ470,4)),MATCH(MID(AJ470,4,3),{"Jan","Feb","Mar","Apr","May","Jun","Jul","Aug","Sep","Oct","Nov","Dec"},0),VALUE(LEFT(AJ470,2))))))</f>
        <v>45666</v>
      </c>
      <c r="C470" s="3" t="n">
        <f aca="false">IF(AK470="","",IF(ISNUMBER(SEARCH("/",AK470)),DATE(VALUE(RIGHT(AK470,4)),VALUE(LEFT(AK470,2)),VALUE(MID(AK470,4,2))),IF(ISNUMBER(SEARCH("-",AK470)),IF(LEN(LEFT(AK470,FIND("-",AK470)-1))=4,DATE(VALUE(LEFT(AK470,4)),VALUE(MID(AK470,6,2)),VALUE(RIGHT(AK470,2))),DATE(VALUE(RIGHT(AK470,4)),VALUE(MID(AK470,4,2)),VALUE(LEFT(AK470,2)))),DATE(VALUE(RIGHT(AK470,4)),MATCH(MID(AK470,4,3),{"Jan","Feb","Mar","Apr","May","Jun","Jul","Aug","Sep","Oct","Nov","Dec"},0),VALUE(LEFT(AK470,2))))))</f>
        <v>45664</v>
      </c>
      <c r="D470" s="4" t="s">
        <v>1876</v>
      </c>
      <c r="E470" s="0" t="str">
        <f aca="false">PROPER(TRIM(AL470))</f>
        <v>Aarav Sharma</v>
      </c>
      <c r="F470" s="0" t="str">
        <f aca="false">PROPER(TRIM(AM470))</f>
        <v>Home Office</v>
      </c>
      <c r="G470" s="0" t="str">
        <f aca="false">IF(TRIM(AN470)="","Unknown",PROPER(TRIM(AN470)))</f>
        <v>East</v>
      </c>
      <c r="H470" s="0" t="str">
        <f aca="false">PROPER(TRIM(AO470))</f>
        <v>West Bengal</v>
      </c>
      <c r="I470" s="0" t="str">
        <f aca="false">PROPER(TRIM(AP470))</f>
        <v>Kolkata</v>
      </c>
      <c r="J470" s="0" t="str">
        <f aca="false">PROPER(TRIM(AQ470))</f>
        <v>Office Supplies</v>
      </c>
      <c r="K470" s="0" t="str">
        <f aca="false">PROPER(TRIM(AR470))</f>
        <v>Binders</v>
      </c>
      <c r="M470" s="0" t="str">
        <f aca="false">IF(TRIM(AS470)="","Unknown",PROPER(TRIM(AS470)))</f>
        <v>Second Class</v>
      </c>
      <c r="N470" s="0" t="n">
        <v>3</v>
      </c>
      <c r="O470" s="0" t="n">
        <v>2188.33</v>
      </c>
      <c r="P470" s="5" t="n">
        <f aca="false">IF(AT470="","",IF(ISNUMBER(AT470),AT470,VALUE(SUBSTITUTE(AT470,"%",""))/100))</f>
        <v>0</v>
      </c>
      <c r="Q470" s="5" t="n">
        <f aca="false">IF(P470="",IF(AND(N470&lt;&gt;"",O470&lt;&gt;"",R470&lt;&gt;"",S470&lt;&gt;""),0,"REVIEW"),IF(OR(P470&lt;0,P470&gt;0.3),0,P470))</f>
        <v>0</v>
      </c>
      <c r="R470" s="0" t="n">
        <v>6564.99</v>
      </c>
      <c r="S470" s="0" t="n">
        <v>5407.24</v>
      </c>
      <c r="T470" s="6" t="n">
        <f aca="false">N470*O470*(1-Q470)</f>
        <v>6564.99</v>
      </c>
      <c r="U470" s="6" t="n">
        <f aca="false">T470-S470</f>
        <v>1157.75</v>
      </c>
      <c r="V470" s="7" t="n">
        <f aca="false">IF(T470=0,0,U470/T470)</f>
        <v>0.176352134580555</v>
      </c>
      <c r="W470" s="4" t="n">
        <f aca="false">C470-B470</f>
        <v>-2</v>
      </c>
      <c r="X470" s="0" t="str">
        <f aca="false">TEXT(B470,"mmmm")</f>
        <v>January</v>
      </c>
      <c r="Y470" s="4" t="n">
        <f aca="false">YEAR(B470)</f>
        <v>2025</v>
      </c>
      <c r="Z470" s="0" t="str">
        <f aca="false">PROPER(TRIM(AU470))</f>
        <v>Paid</v>
      </c>
      <c r="AA470" s="0" t="str">
        <f aca="false">PROPER(TRIM(AV470))</f>
        <v>Completed</v>
      </c>
      <c r="AB470" s="0" t="str">
        <f aca="false">IF(TRIM(AN470)="","Yes","No")</f>
        <v>No</v>
      </c>
      <c r="AC470" s="0" t="str">
        <f aca="false">IF(TRIM(AS470)="","Yes","No")</f>
        <v>No</v>
      </c>
      <c r="AD470" s="0" t="str">
        <f aca="false">IF(AT470="","Yes","No")</f>
        <v>No</v>
      </c>
      <c r="AE470" s="0" t="str">
        <f aca="false">IF(W470&lt;0,"Yes","No")</f>
        <v>Yes</v>
      </c>
      <c r="AF470" s="0" t="str">
        <f aca="false">IF(P470="","No",IF(OR(P470&lt;0,P470&gt;0.3),"Yes","No"))</f>
        <v>No</v>
      </c>
      <c r="AG470" s="4" t="s">
        <v>50</v>
      </c>
      <c r="AH470" s="0" t="str">
        <f aca="false">IF(AND(AA470="Completed",Z470="Paid"),"Yes","No")</f>
        <v>Yes</v>
      </c>
      <c r="AI470" s="0" t="str">
        <f aca="false">IF(OR(AE470="Yes",AF470="Yes",AG470="Yes"),"Invalid",IF(OR(AB470="Yes",AC470="Yes",AD470="Yes"),"Warning","Clean"))</f>
        <v>Invalid</v>
      </c>
      <c r="AJ470" s="4" t="s">
        <v>1877</v>
      </c>
      <c r="AK470" s="4" t="s">
        <v>1878</v>
      </c>
      <c r="AL470" s="4" t="s">
        <v>176</v>
      </c>
      <c r="AM470" s="4" t="s">
        <v>134</v>
      </c>
      <c r="AN470" s="4" t="s">
        <v>69</v>
      </c>
      <c r="AO470" s="4" t="s">
        <v>139</v>
      </c>
      <c r="AP470" s="4" t="s">
        <v>140</v>
      </c>
      <c r="AQ470" s="4" t="s">
        <v>58</v>
      </c>
      <c r="AR470" s="4" t="s">
        <v>206</v>
      </c>
      <c r="AS470" s="4" t="s">
        <v>60</v>
      </c>
      <c r="AT470" s="0" t="n">
        <v>0</v>
      </c>
      <c r="AU470" s="4" t="s">
        <v>61</v>
      </c>
      <c r="AV470" s="4" t="s">
        <v>62</v>
      </c>
    </row>
    <row r="471" customFormat="false" ht="15" hidden="false" customHeight="false" outlineLevel="0" collapsed="false">
      <c r="A471" s="0" t="s">
        <v>1879</v>
      </c>
      <c r="B471" s="3" t="n">
        <f aca="false">IF(AJ471="","",IF(ISNUMBER(SEARCH("/",AJ471)),DATE(VALUE(RIGHT(AJ471,4)),VALUE(LEFT(AJ471,2)),VALUE(MID(AJ471,4,2))),IF(ISNUMBER(SEARCH("-",AJ471)),IF(LEN(LEFT(AJ471,FIND("-",AJ471)-1))=4,DATE(VALUE(LEFT(AJ471,4)),VALUE(MID(AJ471,6,2)),VALUE(RIGHT(AJ471,2))),DATE(VALUE(RIGHT(AJ471,4)),VALUE(MID(AJ471,4,2)),VALUE(LEFT(AJ471,2)))),DATE(VALUE(RIGHT(AJ471,4)),MATCH(MID(AJ471,4,3),{"Jan","Feb","Mar","Apr","May","Jun","Jul","Aug","Sep","Oct","Nov","Dec"},0),VALUE(LEFT(AJ471,2))))))</f>
        <v>45310</v>
      </c>
      <c r="C471" s="3" t="n">
        <f aca="false">IF(AK471="","",IF(ISNUMBER(SEARCH("/",AK471)),DATE(VALUE(RIGHT(AK471,4)),VALUE(LEFT(AK471,2)),VALUE(MID(AK471,4,2))),IF(ISNUMBER(SEARCH("-",AK471)),IF(LEN(LEFT(AK471,FIND("-",AK471)-1))=4,DATE(VALUE(LEFT(AK471,4)),VALUE(MID(AK471,6,2)),VALUE(RIGHT(AK471,2))),DATE(VALUE(RIGHT(AK471,4)),VALUE(MID(AK471,4,2)),VALUE(LEFT(AK471,2)))),DATE(VALUE(RIGHT(AK471,4)),MATCH(MID(AK471,4,3),{"Jan","Feb","Mar","Apr","May","Jun","Jul","Aug","Sep","Oct","Nov","Dec"},0),VALUE(LEFT(AK471,2))))))</f>
        <v>45316</v>
      </c>
      <c r="D471" s="4" t="s">
        <v>1880</v>
      </c>
      <c r="E471" s="0" t="str">
        <f aca="false">PROPER(TRIM(AL471))</f>
        <v>Aditi Sen</v>
      </c>
      <c r="F471" s="0" t="str">
        <f aca="false">PROPER(TRIM(AM471))</f>
        <v>Corporate</v>
      </c>
      <c r="G471" s="0" t="str">
        <f aca="false">IF(TRIM(AN471)="","Unknown",PROPER(TRIM(AN471)))</f>
        <v>West</v>
      </c>
      <c r="H471" s="0" t="str">
        <f aca="false">PROPER(TRIM(AO471))</f>
        <v>Goa</v>
      </c>
      <c r="I471" s="0" t="str">
        <f aca="false">PROPER(TRIM(AP471))</f>
        <v>Panaji</v>
      </c>
      <c r="J471" s="0" t="str">
        <f aca="false">PROPER(TRIM(AQ471))</f>
        <v>Technology</v>
      </c>
      <c r="K471" s="0" t="str">
        <f aca="false">PROPER(TRIM(AR471))</f>
        <v>Copiers</v>
      </c>
      <c r="M471" s="0" t="str">
        <f aca="false">IF(TRIM(AS471)="","Unknown",PROPER(TRIM(AS471)))</f>
        <v>First Class</v>
      </c>
      <c r="N471" s="0" t="n">
        <v>3</v>
      </c>
      <c r="O471" s="0" t="n">
        <v>1041.66</v>
      </c>
      <c r="P471" s="5" t="n">
        <f aca="false">IF(AT471="","",IF(ISNUMBER(AT471),AT471,VALUE(SUBSTITUTE(AT471,"%",""))/100))</f>
        <v>0.1</v>
      </c>
      <c r="Q471" s="5" t="n">
        <f aca="false">IF(P471="",IF(AND(N471&lt;&gt;"",O471&lt;&gt;"",R471&lt;&gt;"",S471&lt;&gt;""),0,"REVIEW"),IF(OR(P471&lt;0,P471&gt;0.3),0,P471))</f>
        <v>0.1</v>
      </c>
      <c r="R471" s="0" t="n">
        <v>2812.48</v>
      </c>
      <c r="S471" s="0" t="n">
        <v>2282.12</v>
      </c>
      <c r="T471" s="6" t="n">
        <f aca="false">N471*O471*(1-Q471)</f>
        <v>2812.482</v>
      </c>
      <c r="U471" s="6" t="n">
        <f aca="false">T471-S471</f>
        <v>530.362000000001</v>
      </c>
      <c r="V471" s="7" t="n">
        <f aca="false">IF(T471=0,0,U471/T471)</f>
        <v>0.188574362431475</v>
      </c>
      <c r="W471" s="4" t="n">
        <f aca="false">C471-B471</f>
        <v>6</v>
      </c>
      <c r="X471" s="0" t="str">
        <f aca="false">TEXT(B471,"mmmm")</f>
        <v>January</v>
      </c>
      <c r="Y471" s="4" t="n">
        <f aca="false">YEAR(B471)</f>
        <v>2024</v>
      </c>
      <c r="Z471" s="0" t="str">
        <f aca="false">PROPER(TRIM(AU471))</f>
        <v>Paid</v>
      </c>
      <c r="AA471" s="0" t="str">
        <f aca="false">PROPER(TRIM(AV471))</f>
        <v>Completed</v>
      </c>
      <c r="AB471" s="0" t="str">
        <f aca="false">IF(TRIM(AN471)="","Yes","No")</f>
        <v>No</v>
      </c>
      <c r="AC471" s="0" t="str">
        <f aca="false">IF(TRIM(AS471)="","Yes","No")</f>
        <v>No</v>
      </c>
      <c r="AD471" s="0" t="str">
        <f aca="false">IF(AT471="","Yes","No")</f>
        <v>No</v>
      </c>
      <c r="AE471" s="0" t="str">
        <f aca="false">IF(W471&lt;0,"Yes","No")</f>
        <v>No</v>
      </c>
      <c r="AF471" s="0" t="str">
        <f aca="false">IF(P471="","No",IF(OR(P471&lt;0,P471&gt;0.3),"Yes","No"))</f>
        <v>No</v>
      </c>
      <c r="AG471" s="4" t="s">
        <v>50</v>
      </c>
      <c r="AH471" s="0" t="str">
        <f aca="false">IF(AND(AA471="Completed",Z471="Paid"),"Yes","No")</f>
        <v>Yes</v>
      </c>
      <c r="AI471" s="0" t="str">
        <f aca="false">IF(OR(AE471="Yes",AF471="Yes",AG471="Yes"),"Invalid",IF(OR(AB471="Yes",AC471="Yes",AD471="Yes"),"Warning","Clean"))</f>
        <v>Clean</v>
      </c>
      <c r="AJ471" s="4" t="s">
        <v>1881</v>
      </c>
      <c r="AK471" s="4" t="s">
        <v>1686</v>
      </c>
      <c r="AL471" s="4" t="s">
        <v>127</v>
      </c>
      <c r="AM471" s="4" t="s">
        <v>128</v>
      </c>
      <c r="AN471" s="4" t="s">
        <v>97</v>
      </c>
      <c r="AO471" s="4" t="s">
        <v>250</v>
      </c>
      <c r="AP471" s="4" t="s">
        <v>251</v>
      </c>
      <c r="AQ471" s="4" t="s">
        <v>109</v>
      </c>
      <c r="AR471" s="4" t="s">
        <v>116</v>
      </c>
      <c r="AS471" s="4" t="s">
        <v>81</v>
      </c>
      <c r="AT471" s="0" t="n">
        <v>0.1</v>
      </c>
      <c r="AU471" s="4" t="s">
        <v>61</v>
      </c>
      <c r="AV471" s="4" t="s">
        <v>62</v>
      </c>
    </row>
    <row r="472" customFormat="false" ht="15" hidden="false" customHeight="false" outlineLevel="0" collapsed="false">
      <c r="A472" s="0" t="s">
        <v>1882</v>
      </c>
      <c r="B472" s="3" t="n">
        <f aca="false">IF(AJ472="","",IF(ISNUMBER(SEARCH("/",AJ472)),DATE(VALUE(RIGHT(AJ472,4)),VALUE(LEFT(AJ472,2)),VALUE(MID(AJ472,4,2))),IF(ISNUMBER(SEARCH("-",AJ472)),IF(LEN(LEFT(AJ472,FIND("-",AJ472)-1))=4,DATE(VALUE(LEFT(AJ472,4)),VALUE(MID(AJ472,6,2)),VALUE(RIGHT(AJ472,2))),DATE(VALUE(RIGHT(AJ472,4)),VALUE(MID(AJ472,4,2)),VALUE(LEFT(AJ472,2)))),DATE(VALUE(RIGHT(AJ472,4)),MATCH(MID(AJ472,4,3),{"Jan","Feb","Mar","Apr","May","Jun","Jul","Aug","Sep","Oct","Nov","Dec"},0),VALUE(LEFT(AJ472,2))))))</f>
        <v>45501</v>
      </c>
      <c r="C472" s="3" t="n">
        <f aca="false">IF(AK472="","",IF(ISNUMBER(SEARCH("/",AK472)),DATE(VALUE(RIGHT(AK472,4)),VALUE(LEFT(AK472,2)),VALUE(MID(AK472,4,2))),IF(ISNUMBER(SEARCH("-",AK472)),IF(LEN(LEFT(AK472,FIND("-",AK472)-1))=4,DATE(VALUE(LEFT(AK472,4)),VALUE(MID(AK472,6,2)),VALUE(RIGHT(AK472,2))),DATE(VALUE(RIGHT(AK472,4)),VALUE(MID(AK472,4,2)),VALUE(LEFT(AK472,2)))),DATE(VALUE(RIGHT(AK472,4)),MATCH(MID(AK472,4,3),{"Jan","Feb","Mar","Apr","May","Jun","Jul","Aug","Sep","Oct","Nov","Dec"},0),VALUE(LEFT(AK472,2))))))</f>
        <v>45504</v>
      </c>
      <c r="D472" s="4" t="s">
        <v>1883</v>
      </c>
      <c r="E472" s="0" t="str">
        <f aca="false">PROPER(TRIM(AL472))</f>
        <v>Aditi Sen</v>
      </c>
      <c r="F472" s="0" t="str">
        <f aca="false">PROPER(TRIM(AM472))</f>
        <v>Consumer</v>
      </c>
      <c r="G472" s="0" t="str">
        <f aca="false">IF(TRIM(AN472)="","Unknown",PROPER(TRIM(AN472)))</f>
        <v>North</v>
      </c>
      <c r="H472" s="0" t="str">
        <f aca="false">PROPER(TRIM(AO472))</f>
        <v>Rajasthan</v>
      </c>
      <c r="I472" s="0" t="str">
        <f aca="false">PROPER(TRIM(AP472))</f>
        <v>Jaipur</v>
      </c>
      <c r="J472" s="0" t="str">
        <f aca="false">PROPER(TRIM(AQ472))</f>
        <v>Furniture</v>
      </c>
      <c r="K472" s="0" t="str">
        <f aca="false">PROPER(TRIM(AR472))</f>
        <v>Tables</v>
      </c>
      <c r="M472" s="0" t="str">
        <f aca="false">IF(TRIM(AS472)="","Unknown",PROPER(TRIM(AS472)))</f>
        <v>Same Day</v>
      </c>
      <c r="N472" s="0" t="n">
        <v>2</v>
      </c>
      <c r="O472" s="0" t="n">
        <v>4424.78</v>
      </c>
      <c r="P472" s="5" t="n">
        <f aca="false">IF(AT472="","",IF(ISNUMBER(AT472),AT472,VALUE(SUBSTITUTE(AT472,"%",""))/100))</f>
        <v>0.2</v>
      </c>
      <c r="Q472" s="5" t="n">
        <f aca="false">IF(P472="",IF(AND(N472&lt;&gt;"",O472&lt;&gt;"",R472&lt;&gt;"",S472&lt;&gt;""),0,"REVIEW"),IF(OR(P472&lt;0,P472&gt;0.3),0,P472))</f>
        <v>0.2</v>
      </c>
      <c r="R472" s="0" t="n">
        <v>7079.65</v>
      </c>
      <c r="S472" s="0" t="n">
        <v>4465.91</v>
      </c>
      <c r="T472" s="6" t="n">
        <f aca="false">N472*O472*(1-Q472)</f>
        <v>7079.648</v>
      </c>
      <c r="U472" s="6" t="n">
        <f aca="false">T472-S472</f>
        <v>2613.738</v>
      </c>
      <c r="V472" s="7" t="n">
        <f aca="false">IF(T472=0,0,U472/T472)</f>
        <v>0.369190389126691</v>
      </c>
      <c r="W472" s="4" t="n">
        <f aca="false">C472-B472</f>
        <v>3</v>
      </c>
      <c r="X472" s="0" t="str">
        <f aca="false">TEXT(B472,"mmmm")</f>
        <v>July</v>
      </c>
      <c r="Y472" s="4" t="n">
        <f aca="false">YEAR(B472)</f>
        <v>2024</v>
      </c>
      <c r="Z472" s="0" t="str">
        <f aca="false">PROPER(TRIM(AU472))</f>
        <v>Paid</v>
      </c>
      <c r="AA472" s="0" t="str">
        <f aca="false">PROPER(TRIM(AV472))</f>
        <v>Completed</v>
      </c>
      <c r="AB472" s="0" t="str">
        <f aca="false">IF(TRIM(AN472)="","Yes","No")</f>
        <v>No</v>
      </c>
      <c r="AC472" s="0" t="str">
        <f aca="false">IF(TRIM(AS472)="","Yes","No")</f>
        <v>No</v>
      </c>
      <c r="AD472" s="0" t="str">
        <f aca="false">IF(AT472="","Yes","No")</f>
        <v>No</v>
      </c>
      <c r="AE472" s="0" t="str">
        <f aca="false">IF(W472&lt;0,"Yes","No")</f>
        <v>No</v>
      </c>
      <c r="AF472" s="0" t="str">
        <f aca="false">IF(P472="","No",IF(OR(P472&lt;0,P472&gt;0.3),"Yes","No"))</f>
        <v>No</v>
      </c>
      <c r="AG472" s="4" t="s">
        <v>50</v>
      </c>
      <c r="AH472" s="0" t="str">
        <f aca="false">IF(AND(AA472="Completed",Z472="Paid"),"Yes","No")</f>
        <v>Yes</v>
      </c>
      <c r="AI472" s="0" t="str">
        <f aca="false">IF(OR(AE472="Yes",AF472="Yes",AG472="Yes"),"Invalid",IF(OR(AB472="Yes",AC472="Yes",AD472="Yes"),"Warning","Clean"))</f>
        <v>Clean</v>
      </c>
      <c r="AJ472" s="4" t="s">
        <v>1884</v>
      </c>
      <c r="AK472" s="4" t="s">
        <v>1330</v>
      </c>
      <c r="AL472" s="4" t="s">
        <v>127</v>
      </c>
      <c r="AM472" s="4" t="s">
        <v>54</v>
      </c>
      <c r="AN472" s="4" t="s">
        <v>168</v>
      </c>
      <c r="AO472" s="4" t="s">
        <v>56</v>
      </c>
      <c r="AP472" s="4" t="s">
        <v>57</v>
      </c>
      <c r="AQ472" s="4" t="s">
        <v>72</v>
      </c>
      <c r="AR472" s="4" t="s">
        <v>73</v>
      </c>
      <c r="AS472" s="4" t="s">
        <v>74</v>
      </c>
      <c r="AT472" s="0" t="n">
        <v>0.2</v>
      </c>
      <c r="AU472" s="4" t="s">
        <v>61</v>
      </c>
      <c r="AV472" s="4" t="s">
        <v>62</v>
      </c>
    </row>
    <row r="473" customFormat="false" ht="15" hidden="false" customHeight="false" outlineLevel="0" collapsed="false">
      <c r="A473" s="0" t="s">
        <v>1885</v>
      </c>
      <c r="B473" s="3" t="n">
        <f aca="false">IF(AJ473="","",IF(ISNUMBER(SEARCH("/",AJ473)),DATE(VALUE(RIGHT(AJ473,4)),VALUE(LEFT(AJ473,2)),VALUE(MID(AJ473,4,2))),IF(ISNUMBER(SEARCH("-",AJ473)),IF(LEN(LEFT(AJ473,FIND("-",AJ473)-1))=4,DATE(VALUE(LEFT(AJ473,4)),VALUE(MID(AJ473,6,2)),VALUE(RIGHT(AJ473,2))),DATE(VALUE(RIGHT(AJ473,4)),VALUE(MID(AJ473,4,2)),VALUE(LEFT(AJ473,2)))),DATE(VALUE(RIGHT(AJ473,4)),MATCH(MID(AJ473,4,3),{"Jan","Feb","Mar","Apr","May","Jun","Jul","Aug","Sep","Oct","Nov","Dec"},0),VALUE(LEFT(AJ473,2))))))</f>
        <v>45333</v>
      </c>
      <c r="C473" s="3" t="n">
        <f aca="false">IF(AK473="","",IF(ISNUMBER(SEARCH("/",AK473)),DATE(VALUE(RIGHT(AK473,4)),VALUE(LEFT(AK473,2)),VALUE(MID(AK473,4,2))),IF(ISNUMBER(SEARCH("-",AK473)),IF(LEN(LEFT(AK473,FIND("-",AK473)-1))=4,DATE(VALUE(LEFT(AK473,4)),VALUE(MID(AK473,6,2)),VALUE(RIGHT(AK473,2))),DATE(VALUE(RIGHT(AK473,4)),VALUE(MID(AK473,4,2)),VALUE(LEFT(AK473,2)))),DATE(VALUE(RIGHT(AK473,4)),MATCH(MID(AK473,4,3),{"Jan","Feb","Mar","Apr","May","Jun","Jul","Aug","Sep","Oct","Nov","Dec"},0),VALUE(LEFT(AK473,2))))))</f>
        <v>45337</v>
      </c>
      <c r="D473" s="4" t="s">
        <v>1886</v>
      </c>
      <c r="E473" s="0" t="str">
        <f aca="false">PROPER(TRIM(AL473))</f>
        <v>Kabir Singh</v>
      </c>
      <c r="F473" s="0" t="str">
        <f aca="false">PROPER(TRIM(AM473))</f>
        <v>Consumer</v>
      </c>
      <c r="G473" s="0" t="str">
        <f aca="false">IF(TRIM(AN473)="","Unknown",PROPER(TRIM(AN473)))</f>
        <v>South</v>
      </c>
      <c r="H473" s="0" t="str">
        <f aca="false">PROPER(TRIM(AO473))</f>
        <v>Telangana</v>
      </c>
      <c r="I473" s="0" t="str">
        <f aca="false">PROPER(TRIM(AP473))</f>
        <v>Hyderabad</v>
      </c>
      <c r="J473" s="0" t="str">
        <f aca="false">PROPER(TRIM(AQ473))</f>
        <v>Office Supplies</v>
      </c>
      <c r="K473" s="0" t="str">
        <f aca="false">PROPER(TRIM(AR473))</f>
        <v>Binders</v>
      </c>
      <c r="M473" s="0" t="str">
        <f aca="false">IF(TRIM(AS473)="","Unknown",PROPER(TRIM(AS473)))</f>
        <v>Standard Class</v>
      </c>
      <c r="N473" s="0" t="n">
        <v>3</v>
      </c>
      <c r="O473" s="0" t="n">
        <v>3019.14</v>
      </c>
      <c r="P473" s="5" t="n">
        <f aca="false">IF(AT473="","",IF(ISNUMBER(AT473),AT473,VALUE(SUBSTITUTE(AT473,"%",""))/100))</f>
        <v>0.25</v>
      </c>
      <c r="Q473" s="5" t="n">
        <f aca="false">IF(P473="",IF(AND(N473&lt;&gt;"",O473&lt;&gt;"",R473&lt;&gt;"",S473&lt;&gt;""),0,"REVIEW"),IF(OR(P473&lt;0,P473&gt;0.3),0,P473))</f>
        <v>0.25</v>
      </c>
      <c r="R473" s="0" t="n">
        <v>6793.07</v>
      </c>
      <c r="S473" s="0" t="n">
        <v>4985.22</v>
      </c>
      <c r="T473" s="6" t="n">
        <f aca="false">N473*O473*(1-Q473)</f>
        <v>6793.065</v>
      </c>
      <c r="U473" s="6" t="n">
        <f aca="false">T473-S473</f>
        <v>1807.845</v>
      </c>
      <c r="V473" s="7" t="n">
        <f aca="false">IF(T473=0,0,U473/T473)</f>
        <v>0.266130973279367</v>
      </c>
      <c r="W473" s="4" t="n">
        <f aca="false">C473-B473</f>
        <v>4</v>
      </c>
      <c r="X473" s="0" t="str">
        <f aca="false">TEXT(B473,"mmmm")</f>
        <v>February</v>
      </c>
      <c r="Y473" s="4" t="n">
        <f aca="false">YEAR(B473)</f>
        <v>2024</v>
      </c>
      <c r="Z473" s="0" t="str">
        <f aca="false">PROPER(TRIM(AU473))</f>
        <v>Paid</v>
      </c>
      <c r="AA473" s="0" t="str">
        <f aca="false">PROPER(TRIM(AV473))</f>
        <v>Completed</v>
      </c>
      <c r="AB473" s="0" t="str">
        <f aca="false">IF(TRIM(AN473)="","Yes","No")</f>
        <v>No</v>
      </c>
      <c r="AC473" s="0" t="str">
        <f aca="false">IF(TRIM(AS473)="","Yes","No")</f>
        <v>No</v>
      </c>
      <c r="AD473" s="0" t="str">
        <f aca="false">IF(AT473="","Yes","No")</f>
        <v>No</v>
      </c>
      <c r="AE473" s="0" t="str">
        <f aca="false">IF(W473&lt;0,"Yes","No")</f>
        <v>No</v>
      </c>
      <c r="AF473" s="0" t="str">
        <f aca="false">IF(P473="","No",IF(OR(P473&lt;0,P473&gt;0.3),"Yes","No"))</f>
        <v>No</v>
      </c>
      <c r="AG473" s="4" t="s">
        <v>50</v>
      </c>
      <c r="AH473" s="0" t="str">
        <f aca="false">IF(AND(AA473="Completed",Z473="Paid"),"Yes","No")</f>
        <v>Yes</v>
      </c>
      <c r="AI473" s="0" t="str">
        <f aca="false">IF(OR(AE473="Yes",AF473="Yes",AG473="Yes"),"Invalid",IF(OR(AB473="Yes",AC473="Yes",AD473="Yes"),"Warning","Clean"))</f>
        <v>Clean</v>
      </c>
      <c r="AJ473" s="4" t="s">
        <v>1887</v>
      </c>
      <c r="AK473" s="4" t="s">
        <v>1888</v>
      </c>
      <c r="AL473" s="4" t="s">
        <v>347</v>
      </c>
      <c r="AM473" s="4" t="s">
        <v>54</v>
      </c>
      <c r="AN473" s="4" t="s">
        <v>87</v>
      </c>
      <c r="AO473" s="4" t="s">
        <v>88</v>
      </c>
      <c r="AP473" s="4" t="s">
        <v>89</v>
      </c>
      <c r="AQ473" s="4" t="s">
        <v>58</v>
      </c>
      <c r="AR473" s="4" t="s">
        <v>206</v>
      </c>
      <c r="AS473" s="4" t="s">
        <v>91</v>
      </c>
      <c r="AT473" s="0" t="n">
        <v>0.25</v>
      </c>
      <c r="AU473" s="4" t="s">
        <v>61</v>
      </c>
      <c r="AV473" s="4" t="s">
        <v>62</v>
      </c>
    </row>
    <row r="474" customFormat="false" ht="15" hidden="false" customHeight="false" outlineLevel="0" collapsed="false">
      <c r="A474" s="0" t="s">
        <v>1889</v>
      </c>
      <c r="B474" s="3" t="n">
        <f aca="false">IF(AJ474="","",IF(ISNUMBER(SEARCH("/",AJ474)),DATE(VALUE(RIGHT(AJ474,4)),VALUE(LEFT(AJ474,2)),VALUE(MID(AJ474,4,2))),IF(ISNUMBER(SEARCH("-",AJ474)),IF(LEN(LEFT(AJ474,FIND("-",AJ474)-1))=4,DATE(VALUE(LEFT(AJ474,4)),VALUE(MID(AJ474,6,2)),VALUE(RIGHT(AJ474,2))),DATE(VALUE(RIGHT(AJ474,4)),VALUE(MID(AJ474,4,2)),VALUE(LEFT(AJ474,2)))),DATE(VALUE(RIGHT(AJ474,4)),MATCH(MID(AJ474,4,3),{"Jan","Feb","Mar","Apr","May","Jun","Jul","Aug","Sep","Oct","Nov","Dec"},0),VALUE(LEFT(AJ474,2))))))</f>
        <v>45353</v>
      </c>
      <c r="C474" s="3" t="n">
        <f aca="false">IF(AK474="","",IF(ISNUMBER(SEARCH("/",AK474)),DATE(VALUE(RIGHT(AK474,4)),VALUE(LEFT(AK474,2)),VALUE(MID(AK474,4,2))),IF(ISNUMBER(SEARCH("-",AK474)),IF(LEN(LEFT(AK474,FIND("-",AK474)-1))=4,DATE(VALUE(LEFT(AK474,4)),VALUE(MID(AK474,6,2)),VALUE(RIGHT(AK474,2))),DATE(VALUE(RIGHT(AK474,4)),VALUE(MID(AK474,4,2)),VALUE(LEFT(AK474,2)))),DATE(VALUE(RIGHT(AK474,4)),MATCH(MID(AK474,4,3),{"Jan","Feb","Mar","Apr","May","Jun","Jul","Aug","Sep","Oct","Nov","Dec"},0),VALUE(LEFT(AK474,2))))))</f>
        <v>45358</v>
      </c>
      <c r="D474" s="4" t="s">
        <v>1890</v>
      </c>
      <c r="E474" s="0" t="str">
        <f aca="false">PROPER(TRIM(AL474))</f>
        <v>Rohan Mehta</v>
      </c>
      <c r="F474" s="0" t="str">
        <f aca="false">PROPER(TRIM(AM474))</f>
        <v>Corporate</v>
      </c>
      <c r="G474" s="0" t="str">
        <f aca="false">IF(TRIM(AN474)="","Unknown",PROPER(TRIM(AN474)))</f>
        <v>East</v>
      </c>
      <c r="H474" s="0" t="str">
        <f aca="false">PROPER(TRIM(AO474))</f>
        <v>Odisha</v>
      </c>
      <c r="I474" s="0" t="str">
        <f aca="false">PROPER(TRIM(AP474))</f>
        <v>Bhubaneswar</v>
      </c>
      <c r="J474" s="0" t="str">
        <f aca="false">PROPER(TRIM(AQ474))</f>
        <v>Office Supplies</v>
      </c>
      <c r="K474" s="0" t="str">
        <f aca="false">PROPER(TRIM(AR474))</f>
        <v>Storage</v>
      </c>
      <c r="M474" s="0" t="str">
        <f aca="false">IF(TRIM(AS474)="","Unknown",PROPER(TRIM(AS474)))</f>
        <v>Standard Class</v>
      </c>
      <c r="N474" s="0" t="n">
        <v>7</v>
      </c>
      <c r="O474" s="0" t="n">
        <v>263.46</v>
      </c>
      <c r="P474" s="5" t="n">
        <f aca="false">IF(AT474="","",IF(ISNUMBER(AT474),AT474,VALUE(SUBSTITUTE(AT474,"%",""))/100))</f>
        <v>0</v>
      </c>
      <c r="Q474" s="5" t="n">
        <f aca="false">IF(P474="",IF(AND(N474&lt;&gt;"",O474&lt;&gt;"",R474&lt;&gt;"",S474&lt;&gt;""),0,"REVIEW"),IF(OR(P474&lt;0,P474&gt;0.3),0,P474))</f>
        <v>0</v>
      </c>
      <c r="R474" s="0" t="n">
        <v>1844.22</v>
      </c>
      <c r="S474" s="0" t="n">
        <v>1094.21</v>
      </c>
      <c r="T474" s="6" t="n">
        <f aca="false">N474*O474*(1-Q474)</f>
        <v>1844.22</v>
      </c>
      <c r="U474" s="6" t="n">
        <f aca="false">T474-S474</f>
        <v>750.01</v>
      </c>
      <c r="V474" s="7" t="n">
        <f aca="false">IF(T474=0,0,U474/T474)</f>
        <v>0.40668141544935</v>
      </c>
      <c r="W474" s="4" t="n">
        <f aca="false">C474-B474</f>
        <v>5</v>
      </c>
      <c r="X474" s="0" t="str">
        <f aca="false">TEXT(B474,"mmmm")</f>
        <v>March</v>
      </c>
      <c r="Y474" s="4" t="n">
        <f aca="false">YEAR(B474)</f>
        <v>2024</v>
      </c>
      <c r="Z474" s="0" t="str">
        <f aca="false">PROPER(TRIM(AU474))</f>
        <v>Paid</v>
      </c>
      <c r="AA474" s="0" t="str">
        <f aca="false">PROPER(TRIM(AV474))</f>
        <v>Completed</v>
      </c>
      <c r="AB474" s="0" t="str">
        <f aca="false">IF(TRIM(AN474)="","Yes","No")</f>
        <v>No</v>
      </c>
      <c r="AC474" s="0" t="str">
        <f aca="false">IF(TRIM(AS474)="","Yes","No")</f>
        <v>No</v>
      </c>
      <c r="AD474" s="0" t="str">
        <f aca="false">IF(AT474="","Yes","No")</f>
        <v>No</v>
      </c>
      <c r="AE474" s="0" t="str">
        <f aca="false">IF(W474&lt;0,"Yes","No")</f>
        <v>No</v>
      </c>
      <c r="AF474" s="0" t="str">
        <f aca="false">IF(P474="","No",IF(OR(P474&lt;0,P474&gt;0.3),"Yes","No"))</f>
        <v>No</v>
      </c>
      <c r="AG474" s="4" t="s">
        <v>50</v>
      </c>
      <c r="AH474" s="0" t="str">
        <f aca="false">IF(AND(AA474="Completed",Z474="Paid"),"Yes","No")</f>
        <v>Yes</v>
      </c>
      <c r="AI474" s="0" t="str">
        <f aca="false">IF(OR(AE474="Yes",AF474="Yes",AG474="Yes"),"Invalid",IF(OR(AB474="Yes",AC474="Yes",AD474="Yes"),"Warning","Clean"))</f>
        <v>Clean</v>
      </c>
      <c r="AJ474" s="4" t="s">
        <v>1891</v>
      </c>
      <c r="AK474" s="4" t="s">
        <v>1261</v>
      </c>
      <c r="AL474" s="4" t="s">
        <v>191</v>
      </c>
      <c r="AM474" s="4" t="s">
        <v>128</v>
      </c>
      <c r="AN474" s="4" t="s">
        <v>69</v>
      </c>
      <c r="AO474" s="4" t="s">
        <v>70</v>
      </c>
      <c r="AP474" s="4" t="s">
        <v>71</v>
      </c>
      <c r="AQ474" s="4" t="s">
        <v>58</v>
      </c>
      <c r="AR474" s="4" t="s">
        <v>171</v>
      </c>
      <c r="AS474" s="4" t="s">
        <v>91</v>
      </c>
      <c r="AT474" s="0" t="n">
        <v>0</v>
      </c>
      <c r="AU474" s="4" t="s">
        <v>61</v>
      </c>
      <c r="AV474" s="4" t="s">
        <v>62</v>
      </c>
    </row>
    <row r="475" customFormat="false" ht="15" hidden="false" customHeight="false" outlineLevel="0" collapsed="false">
      <c r="A475" s="0" t="s">
        <v>1892</v>
      </c>
      <c r="B475" s="3" t="n">
        <f aca="false">IF(AJ475="","",IF(ISNUMBER(SEARCH("/",AJ475)),DATE(VALUE(RIGHT(AJ475,4)),VALUE(LEFT(AJ475,2)),VALUE(MID(AJ475,4,2))),IF(ISNUMBER(SEARCH("-",AJ475)),IF(LEN(LEFT(AJ475,FIND("-",AJ475)-1))=4,DATE(VALUE(LEFT(AJ475,4)),VALUE(MID(AJ475,6,2)),VALUE(RIGHT(AJ475,2))),DATE(VALUE(RIGHT(AJ475,4)),VALUE(MID(AJ475,4,2)),VALUE(LEFT(AJ475,2)))),DATE(VALUE(RIGHT(AJ475,4)),MATCH(MID(AJ475,4,3),{"Jan","Feb","Mar","Apr","May","Jun","Jul","Aug","Sep","Oct","Nov","Dec"},0),VALUE(LEFT(AJ475,2))))))</f>
        <v>45609</v>
      </c>
      <c r="C475" s="3" t="n">
        <f aca="false">IF(AK475="","",IF(ISNUMBER(SEARCH("/",AK475)),DATE(VALUE(RIGHT(AK475,4)),VALUE(LEFT(AK475,2)),VALUE(MID(AK475,4,2))),IF(ISNUMBER(SEARCH("-",AK475)),IF(LEN(LEFT(AK475,FIND("-",AK475)-1))=4,DATE(VALUE(LEFT(AK475,4)),VALUE(MID(AK475,6,2)),VALUE(RIGHT(AK475,2))),DATE(VALUE(RIGHT(AK475,4)),VALUE(MID(AK475,4,2)),VALUE(LEFT(AK475,2)))),DATE(VALUE(RIGHT(AK475,4)),MATCH(MID(AK475,4,3),{"Jan","Feb","Mar","Apr","May","Jun","Jul","Aug","Sep","Oct","Nov","Dec"},0),VALUE(LEFT(AK475,2))))))</f>
        <v>45609</v>
      </c>
      <c r="D475" s="4" t="s">
        <v>1893</v>
      </c>
      <c r="E475" s="0" t="str">
        <f aca="false">PROPER(TRIM(AL475))</f>
        <v>Priya Menon</v>
      </c>
      <c r="F475" s="0" t="str">
        <f aca="false">PROPER(TRIM(AM475))</f>
        <v>Consumer</v>
      </c>
      <c r="G475" s="0" t="str">
        <f aca="false">IF(TRIM(AN475)="","Unknown",PROPER(TRIM(AN475)))</f>
        <v>West</v>
      </c>
      <c r="H475" s="0" t="str">
        <f aca="false">PROPER(TRIM(AO475))</f>
        <v>Goa</v>
      </c>
      <c r="I475" s="0" t="str">
        <f aca="false">PROPER(TRIM(AP475))</f>
        <v>Panaji</v>
      </c>
      <c r="J475" s="0" t="str">
        <f aca="false">PROPER(TRIM(AQ475))</f>
        <v>Technology</v>
      </c>
      <c r="K475" s="0" t="str">
        <f aca="false">PROPER(TRIM(AR475))</f>
        <v>Copiers</v>
      </c>
      <c r="M475" s="0" t="str">
        <f aca="false">IF(TRIM(AS475)="","Unknown",PROPER(TRIM(AS475)))</f>
        <v>Standard Class</v>
      </c>
      <c r="N475" s="0" t="n">
        <v>6</v>
      </c>
      <c r="O475" s="0" t="n">
        <v>191.45</v>
      </c>
      <c r="P475" s="5" t="n">
        <f aca="false">IF(AT475="","",IF(ISNUMBER(AT475),AT475,VALUE(SUBSTITUTE(AT475,"%",""))/100))</f>
        <v>0.2</v>
      </c>
      <c r="Q475" s="5" t="n">
        <f aca="false">IF(P475="",IF(AND(N475&lt;&gt;"",O475&lt;&gt;"",R475&lt;&gt;"",S475&lt;&gt;""),0,"REVIEW"),IF(OR(P475&lt;0,P475&gt;0.3),0,P475))</f>
        <v>0.2</v>
      </c>
      <c r="R475" s="0" t="n">
        <v>918.96</v>
      </c>
      <c r="S475" s="0" t="n">
        <v>554.18</v>
      </c>
      <c r="T475" s="6" t="n">
        <f aca="false">N475*O475*(1-Q475)</f>
        <v>918.96</v>
      </c>
      <c r="U475" s="6" t="n">
        <f aca="false">T475-S475</f>
        <v>364.78</v>
      </c>
      <c r="V475" s="7" t="n">
        <f aca="false">IF(T475=0,0,U475/T475)</f>
        <v>0.396948724645251</v>
      </c>
      <c r="W475" s="4" t="n">
        <f aca="false">C475-B475</f>
        <v>0</v>
      </c>
      <c r="X475" s="0" t="str">
        <f aca="false">TEXT(B475,"mmmm")</f>
        <v>November</v>
      </c>
      <c r="Y475" s="4" t="n">
        <f aca="false">YEAR(B475)</f>
        <v>2024</v>
      </c>
      <c r="Z475" s="0" t="str">
        <f aca="false">PROPER(TRIM(AU475))</f>
        <v>Paid</v>
      </c>
      <c r="AA475" s="0" t="str">
        <f aca="false">PROPER(TRIM(AV475))</f>
        <v>Completed</v>
      </c>
      <c r="AB475" s="0" t="str">
        <f aca="false">IF(TRIM(AN475)="","Yes","No")</f>
        <v>No</v>
      </c>
      <c r="AC475" s="0" t="str">
        <f aca="false">IF(TRIM(AS475)="","Yes","No")</f>
        <v>No</v>
      </c>
      <c r="AD475" s="0" t="str">
        <f aca="false">IF(AT475="","Yes","No")</f>
        <v>No</v>
      </c>
      <c r="AE475" s="0" t="str">
        <f aca="false">IF(W475&lt;0,"Yes","No")</f>
        <v>No</v>
      </c>
      <c r="AF475" s="0" t="str">
        <f aca="false">IF(P475="","No",IF(OR(P475&lt;0,P475&gt;0.3),"Yes","No"))</f>
        <v>No</v>
      </c>
      <c r="AG475" s="4" t="s">
        <v>50</v>
      </c>
      <c r="AH475" s="0" t="str">
        <f aca="false">IF(AND(AA475="Completed",Z475="Paid"),"Yes","No")</f>
        <v>Yes</v>
      </c>
      <c r="AI475" s="0" t="str">
        <f aca="false">IF(OR(AE475="Yes",AF475="Yes",AG475="Yes"),"Invalid",IF(OR(AB475="Yes",AC475="Yes",AD475="Yes"),"Warning","Clean"))</f>
        <v>Clean</v>
      </c>
      <c r="AJ475" s="4" t="s">
        <v>1894</v>
      </c>
      <c r="AK475" s="4" t="s">
        <v>411</v>
      </c>
      <c r="AL475" s="4" t="s">
        <v>158</v>
      </c>
      <c r="AM475" s="4" t="s">
        <v>54</v>
      </c>
      <c r="AN475" s="4" t="s">
        <v>97</v>
      </c>
      <c r="AO475" s="4" t="s">
        <v>250</v>
      </c>
      <c r="AP475" s="4" t="s">
        <v>251</v>
      </c>
      <c r="AQ475" s="4" t="s">
        <v>109</v>
      </c>
      <c r="AR475" s="4" t="s">
        <v>116</v>
      </c>
      <c r="AS475" s="4" t="s">
        <v>91</v>
      </c>
      <c r="AT475" s="0" t="n">
        <v>0.2</v>
      </c>
      <c r="AU475" s="4" t="s">
        <v>61</v>
      </c>
      <c r="AV475" s="4" t="s">
        <v>62</v>
      </c>
    </row>
    <row r="476" customFormat="false" ht="15" hidden="false" customHeight="false" outlineLevel="0" collapsed="false">
      <c r="A476" s="0" t="s">
        <v>1895</v>
      </c>
      <c r="B476" s="3" t="n">
        <f aca="false">IF(AJ476="","",IF(ISNUMBER(SEARCH("/",AJ476)),DATE(VALUE(RIGHT(AJ476,4)),VALUE(LEFT(AJ476,2)),VALUE(MID(AJ476,4,2))),IF(ISNUMBER(SEARCH("-",AJ476)),IF(LEN(LEFT(AJ476,FIND("-",AJ476)-1))=4,DATE(VALUE(LEFT(AJ476,4)),VALUE(MID(AJ476,6,2)),VALUE(RIGHT(AJ476,2))),DATE(VALUE(RIGHT(AJ476,4)),VALUE(MID(AJ476,4,2)),VALUE(LEFT(AJ476,2)))),DATE(VALUE(RIGHT(AJ476,4)),MATCH(MID(AJ476,4,3),{"Jan","Feb","Mar","Apr","May","Jun","Jul","Aug","Sep","Oct","Nov","Dec"},0),VALUE(LEFT(AJ476,2))))))</f>
        <v>45446</v>
      </c>
      <c r="C476" s="3" t="n">
        <f aca="false">IF(AK476="","",IF(ISNUMBER(SEARCH("/",AK476)),DATE(VALUE(RIGHT(AK476,4)),VALUE(LEFT(AK476,2)),VALUE(MID(AK476,4,2))),IF(ISNUMBER(SEARCH("-",AK476)),IF(LEN(LEFT(AK476,FIND("-",AK476)-1))=4,DATE(VALUE(LEFT(AK476,4)),VALUE(MID(AK476,6,2)),VALUE(RIGHT(AK476,2))),DATE(VALUE(RIGHT(AK476,4)),VALUE(MID(AK476,4,2)),VALUE(LEFT(AK476,2)))),DATE(VALUE(RIGHT(AK476,4)),MATCH(MID(AK476,4,3),{"Jan","Feb","Mar","Apr","May","Jun","Jul","Aug","Sep","Oct","Nov","Dec"},0),VALUE(LEFT(AK476,2))))))</f>
        <v>45453</v>
      </c>
      <c r="D476" s="4" t="s">
        <v>1896</v>
      </c>
      <c r="E476" s="0" t="str">
        <f aca="false">PROPER(TRIM(AL476))</f>
        <v>Diya Patel</v>
      </c>
      <c r="F476" s="0" t="str">
        <f aca="false">PROPER(TRIM(AM476))</f>
        <v>Corporate</v>
      </c>
      <c r="G476" s="0" t="str">
        <f aca="false">IF(TRIM(AN476)="","Unknown",PROPER(TRIM(AN476)))</f>
        <v>North</v>
      </c>
      <c r="H476" s="0" t="str">
        <f aca="false">PROPER(TRIM(AO476))</f>
        <v>Punjab</v>
      </c>
      <c r="I476" s="0" t="str">
        <f aca="false">PROPER(TRIM(AP476))</f>
        <v>Ludhiana</v>
      </c>
      <c r="J476" s="0" t="str">
        <f aca="false">PROPER(TRIM(AQ476))</f>
        <v>Furniture</v>
      </c>
      <c r="K476" s="0" t="str">
        <f aca="false">PROPER(TRIM(AR476))</f>
        <v>Furnishings</v>
      </c>
      <c r="M476" s="0" t="str">
        <f aca="false">IF(TRIM(AS476)="","Unknown",PROPER(TRIM(AS476)))</f>
        <v>Standard Class</v>
      </c>
      <c r="N476" s="0" t="n">
        <v>3</v>
      </c>
      <c r="O476" s="0" t="n">
        <v>1633.57</v>
      </c>
      <c r="P476" s="5" t="n">
        <f aca="false">IF(AT476="","",IF(ISNUMBER(AT476),AT476,VALUE(SUBSTITUTE(AT476,"%",""))/100))</f>
        <v>0</v>
      </c>
      <c r="Q476" s="5" t="n">
        <f aca="false">IF(P476="",IF(AND(N476&lt;&gt;"",O476&lt;&gt;"",R476&lt;&gt;"",S476&lt;&gt;""),0,"REVIEW"),IF(OR(P476&lt;0,P476&gt;0.3),0,P476))</f>
        <v>0</v>
      </c>
      <c r="R476" s="0" t="n">
        <v>4900.71</v>
      </c>
      <c r="S476" s="0" t="n">
        <v>2713.9</v>
      </c>
      <c r="T476" s="6" t="n">
        <f aca="false">N476*O476*(1-Q476)</f>
        <v>4900.71</v>
      </c>
      <c r="U476" s="6" t="n">
        <f aca="false">T476-S476</f>
        <v>2186.81</v>
      </c>
      <c r="V476" s="7" t="n">
        <f aca="false">IF(T476=0,0,U476/T476)</f>
        <v>0.446223098285759</v>
      </c>
      <c r="W476" s="4" t="n">
        <f aca="false">C476-B476</f>
        <v>7</v>
      </c>
      <c r="X476" s="0" t="str">
        <f aca="false">TEXT(B476,"mmmm")</f>
        <v>June</v>
      </c>
      <c r="Y476" s="4" t="n">
        <f aca="false">YEAR(B476)</f>
        <v>2024</v>
      </c>
      <c r="Z476" s="0" t="str">
        <f aca="false">PROPER(TRIM(AU476))</f>
        <v>Paid</v>
      </c>
      <c r="AA476" s="0" t="str">
        <f aca="false">PROPER(TRIM(AV476))</f>
        <v>Completed</v>
      </c>
      <c r="AB476" s="0" t="str">
        <f aca="false">IF(TRIM(AN476)="","Yes","No")</f>
        <v>No</v>
      </c>
      <c r="AC476" s="0" t="str">
        <f aca="false">IF(TRIM(AS476)="","Yes","No")</f>
        <v>No</v>
      </c>
      <c r="AD476" s="0" t="str">
        <f aca="false">IF(AT476="","Yes","No")</f>
        <v>No</v>
      </c>
      <c r="AE476" s="0" t="str">
        <f aca="false">IF(W476&lt;0,"Yes","No")</f>
        <v>No</v>
      </c>
      <c r="AF476" s="0" t="str">
        <f aca="false">IF(P476="","No",IF(OR(P476&lt;0,P476&gt;0.3),"Yes","No"))</f>
        <v>No</v>
      </c>
      <c r="AG476" s="4" t="s">
        <v>50</v>
      </c>
      <c r="AH476" s="0" t="str">
        <f aca="false">IF(AND(AA476="Completed",Z476="Paid"),"Yes","No")</f>
        <v>Yes</v>
      </c>
      <c r="AI476" s="0" t="str">
        <f aca="false">IF(OR(AE476="Yes",AF476="Yes",AG476="Yes"),"Invalid",IF(OR(AB476="Yes",AC476="Yes",AD476="Yes"),"Warning","Clean"))</f>
        <v>Clean</v>
      </c>
      <c r="AJ476" s="4" t="s">
        <v>1036</v>
      </c>
      <c r="AK476" s="4" t="s">
        <v>1897</v>
      </c>
      <c r="AL476" s="4" t="s">
        <v>216</v>
      </c>
      <c r="AM476" s="4" t="s">
        <v>128</v>
      </c>
      <c r="AN476" s="4" t="s">
        <v>168</v>
      </c>
      <c r="AO476" s="4" t="s">
        <v>169</v>
      </c>
      <c r="AP476" s="4" t="s">
        <v>170</v>
      </c>
      <c r="AQ476" s="4" t="s">
        <v>72</v>
      </c>
      <c r="AR476" s="4" t="s">
        <v>90</v>
      </c>
      <c r="AS476" s="4" t="s">
        <v>91</v>
      </c>
      <c r="AT476" s="0" t="n">
        <v>0</v>
      </c>
      <c r="AU476" s="4" t="s">
        <v>61</v>
      </c>
      <c r="AV476" s="4" t="s">
        <v>62</v>
      </c>
    </row>
    <row r="477" customFormat="false" ht="15" hidden="false" customHeight="false" outlineLevel="0" collapsed="false">
      <c r="A477" s="0" t="s">
        <v>1898</v>
      </c>
      <c r="B477" s="3" t="n">
        <f aca="false">IF(AJ477="","",IF(ISNUMBER(SEARCH("/",AJ477)),DATE(VALUE(RIGHT(AJ477,4)),VALUE(LEFT(AJ477,2)),VALUE(MID(AJ477,4,2))),IF(ISNUMBER(SEARCH("-",AJ477)),IF(LEN(LEFT(AJ477,FIND("-",AJ477)-1))=4,DATE(VALUE(LEFT(AJ477,4)),VALUE(MID(AJ477,6,2)),VALUE(RIGHT(AJ477,2))),DATE(VALUE(RIGHT(AJ477,4)),VALUE(MID(AJ477,4,2)),VALUE(LEFT(AJ477,2)))),DATE(VALUE(RIGHT(AJ477,4)),MATCH(MID(AJ477,4,3),{"Jan","Feb","Mar","Apr","May","Jun","Jul","Aug","Sep","Oct","Nov","Dec"},0),VALUE(LEFT(AJ477,2))))))</f>
        <v>45717</v>
      </c>
      <c r="C477" s="3" t="n">
        <f aca="false">IF(AK477="","",IF(ISNUMBER(SEARCH("/",AK477)),DATE(VALUE(RIGHT(AK477,4)),VALUE(LEFT(AK477,2)),VALUE(MID(AK477,4,2))),IF(ISNUMBER(SEARCH("-",AK477)),IF(LEN(LEFT(AK477,FIND("-",AK477)-1))=4,DATE(VALUE(LEFT(AK477,4)),VALUE(MID(AK477,6,2)),VALUE(RIGHT(AK477,2))),DATE(VALUE(RIGHT(AK477,4)),VALUE(MID(AK477,4,2)),VALUE(LEFT(AK477,2)))),DATE(VALUE(RIGHT(AK477,4)),MATCH(MID(AK477,4,3),{"Jan","Feb","Mar","Apr","May","Jun","Jul","Aug","Sep","Oct","Nov","Dec"},0),VALUE(LEFT(AK477,2))))))</f>
        <v>45724</v>
      </c>
      <c r="D477" s="4" t="s">
        <v>1899</v>
      </c>
      <c r="E477" s="0" t="str">
        <f aca="false">PROPER(TRIM(AL477))</f>
        <v>Vikram Iyer</v>
      </c>
      <c r="F477" s="0" t="str">
        <f aca="false">PROPER(TRIM(AM477))</f>
        <v>Consumer</v>
      </c>
      <c r="G477" s="0" t="str">
        <f aca="false">IF(TRIM(AN477)="","Unknown",PROPER(TRIM(AN477)))</f>
        <v>East</v>
      </c>
      <c r="H477" s="0" t="str">
        <f aca="false">PROPER(TRIM(AO477))</f>
        <v>West Bengal</v>
      </c>
      <c r="I477" s="0" t="str">
        <f aca="false">PROPER(TRIM(AP477))</f>
        <v>Kolkata</v>
      </c>
      <c r="J477" s="0" t="str">
        <f aca="false">PROPER(TRIM(AQ477))</f>
        <v>Furniture</v>
      </c>
      <c r="K477" s="0" t="str">
        <f aca="false">PROPER(TRIM(AR477))</f>
        <v>Chairs</v>
      </c>
      <c r="M477" s="0" t="str">
        <f aca="false">IF(TRIM(AS477)="","Unknown",PROPER(TRIM(AS477)))</f>
        <v>Same Day</v>
      </c>
      <c r="N477" s="0" t="n">
        <v>8</v>
      </c>
      <c r="O477" s="0" t="n">
        <v>3378.82</v>
      </c>
      <c r="P477" s="5" t="n">
        <f aca="false">IF(AT477="","",IF(ISNUMBER(AT477),AT477,VALUE(SUBSTITUTE(AT477,"%",""))/100))</f>
        <v>0.25</v>
      </c>
      <c r="Q477" s="5" t="n">
        <f aca="false">IF(P477="",IF(AND(N477&lt;&gt;"",O477&lt;&gt;"",R477&lt;&gt;"",S477&lt;&gt;""),0,"REVIEW"),IF(OR(P477&lt;0,P477&gt;0.3),0,P477))</f>
        <v>0.25</v>
      </c>
      <c r="R477" s="0" t="n">
        <v>20272.92</v>
      </c>
      <c r="S477" s="0" t="n">
        <v>15873.38</v>
      </c>
      <c r="T477" s="6" t="n">
        <f aca="false">N477*O477*(1-Q477)</f>
        <v>20272.92</v>
      </c>
      <c r="U477" s="6" t="n">
        <f aca="false">T477-S477</f>
        <v>4399.54</v>
      </c>
      <c r="V477" s="7" t="n">
        <f aca="false">IF(T477=0,0,U477/T477)</f>
        <v>0.217015605053441</v>
      </c>
      <c r="W477" s="4" t="n">
        <f aca="false">C477-B477</f>
        <v>7</v>
      </c>
      <c r="X477" s="0" t="str">
        <f aca="false">TEXT(B477,"mmmm")</f>
        <v>March</v>
      </c>
      <c r="Y477" s="4" t="n">
        <f aca="false">YEAR(B477)</f>
        <v>2025</v>
      </c>
      <c r="Z477" s="0" t="str">
        <f aca="false">PROPER(TRIM(AU477))</f>
        <v>Pending</v>
      </c>
      <c r="AA477" s="0" t="str">
        <f aca="false">PROPER(TRIM(AV477))</f>
        <v>Returned</v>
      </c>
      <c r="AB477" s="0" t="str">
        <f aca="false">IF(TRIM(AN477)="","Yes","No")</f>
        <v>No</v>
      </c>
      <c r="AC477" s="0" t="str">
        <f aca="false">IF(TRIM(AS477)="","Yes","No")</f>
        <v>No</v>
      </c>
      <c r="AD477" s="0" t="str">
        <f aca="false">IF(AT477="","Yes","No")</f>
        <v>No</v>
      </c>
      <c r="AE477" s="0" t="str">
        <f aca="false">IF(W477&lt;0,"Yes","No")</f>
        <v>No</v>
      </c>
      <c r="AF477" s="0" t="str">
        <f aca="false">IF(P477="","No",IF(OR(P477&lt;0,P477&gt;0.3),"Yes","No"))</f>
        <v>No</v>
      </c>
      <c r="AG477" s="4" t="s">
        <v>50</v>
      </c>
      <c r="AH477" s="0" t="str">
        <f aca="false">IF(AND(AA477="Completed",Z477="Paid"),"Yes","No")</f>
        <v>No</v>
      </c>
      <c r="AI477" s="0" t="str">
        <f aca="false">IF(OR(AE477="Yes",AF477="Yes",AG477="Yes"),"Invalid",IF(OR(AB477="Yes",AC477="Yes",AD477="Yes"),"Warning","Clean"))</f>
        <v>Clean</v>
      </c>
      <c r="AJ477" s="4" t="s">
        <v>1900</v>
      </c>
      <c r="AK477" s="4" t="s">
        <v>1901</v>
      </c>
      <c r="AL477" s="4" t="s">
        <v>106</v>
      </c>
      <c r="AM477" s="4" t="s">
        <v>54</v>
      </c>
      <c r="AN477" s="4" t="s">
        <v>69</v>
      </c>
      <c r="AO477" s="4" t="s">
        <v>139</v>
      </c>
      <c r="AP477" s="4" t="s">
        <v>140</v>
      </c>
      <c r="AQ477" s="4" t="s">
        <v>72</v>
      </c>
      <c r="AR477" s="4" t="s">
        <v>100</v>
      </c>
      <c r="AS477" s="4" t="s">
        <v>74</v>
      </c>
      <c r="AT477" s="0" t="n">
        <v>0.25</v>
      </c>
      <c r="AU477" s="4" t="s">
        <v>153</v>
      </c>
      <c r="AV477" s="4" t="s">
        <v>142</v>
      </c>
    </row>
    <row r="478" customFormat="false" ht="15" hidden="false" customHeight="false" outlineLevel="0" collapsed="false">
      <c r="A478" s="0" t="s">
        <v>1902</v>
      </c>
      <c r="B478" s="3" t="n">
        <f aca="false">IF(AJ478="","",IF(ISNUMBER(SEARCH("/",AJ478)),DATE(VALUE(RIGHT(AJ478,4)),VALUE(LEFT(AJ478,2)),VALUE(MID(AJ478,4,2))),IF(ISNUMBER(SEARCH("-",AJ478)),IF(LEN(LEFT(AJ478,FIND("-",AJ478)-1))=4,DATE(VALUE(LEFT(AJ478,4)),VALUE(MID(AJ478,6,2)),VALUE(RIGHT(AJ478,2))),DATE(VALUE(RIGHT(AJ478,4)),VALUE(MID(AJ478,4,2)),VALUE(LEFT(AJ478,2)))),DATE(VALUE(RIGHT(AJ478,4)),MATCH(MID(AJ478,4,3),{"Jan","Feb","Mar","Apr","May","Jun","Jul","Aug","Sep","Oct","Nov","Dec"},0),VALUE(LEFT(AJ478,2))))))</f>
        <v>45419</v>
      </c>
      <c r="C478" s="3" t="n">
        <f aca="false">IF(AK478="","",IF(ISNUMBER(SEARCH("/",AK478)),DATE(VALUE(RIGHT(AK478,4)),VALUE(LEFT(AK478,2)),VALUE(MID(AK478,4,2))),IF(ISNUMBER(SEARCH("-",AK478)),IF(LEN(LEFT(AK478,FIND("-",AK478)-1))=4,DATE(VALUE(LEFT(AK478,4)),VALUE(MID(AK478,6,2)),VALUE(RIGHT(AK478,2))),DATE(VALUE(RIGHT(AK478,4)),VALUE(MID(AK478,4,2)),VALUE(LEFT(AK478,2)))),DATE(VALUE(RIGHT(AK478,4)),MATCH(MID(AK478,4,3),{"Jan","Feb","Mar","Apr","May","Jun","Jul","Aug","Sep","Oct","Nov","Dec"},0),VALUE(LEFT(AK478,2))))))</f>
        <v>45426</v>
      </c>
      <c r="D478" s="4" t="s">
        <v>1903</v>
      </c>
      <c r="E478" s="0" t="str">
        <f aca="false">PROPER(TRIM(AL478))</f>
        <v>Sneha Kapoor</v>
      </c>
      <c r="F478" s="0" t="str">
        <f aca="false">PROPER(TRIM(AM478))</f>
        <v>Small Business</v>
      </c>
      <c r="G478" s="0" t="str">
        <f aca="false">IF(TRIM(AN478)="","Unknown",PROPER(TRIM(AN478)))</f>
        <v>North</v>
      </c>
      <c r="H478" s="0" t="str">
        <f aca="false">PROPER(TRIM(AO478))</f>
        <v>Rajasthan</v>
      </c>
      <c r="I478" s="0" t="str">
        <f aca="false">PROPER(TRIM(AP478))</f>
        <v>Jaipur</v>
      </c>
      <c r="J478" s="0" t="str">
        <f aca="false">PROPER(TRIM(AQ478))</f>
        <v>Office Supplies</v>
      </c>
      <c r="K478" s="0" t="str">
        <f aca="false">PROPER(TRIM(AR478))</f>
        <v>Storage</v>
      </c>
      <c r="M478" s="0" t="str">
        <f aca="false">IF(TRIM(AS478)="","Unknown",PROPER(TRIM(AS478)))</f>
        <v>First Class</v>
      </c>
      <c r="N478" s="0" t="n">
        <v>3</v>
      </c>
      <c r="O478" s="0" t="n">
        <v>383.58</v>
      </c>
      <c r="P478" s="5" t="n">
        <f aca="false">IF(AT478="","",IF(ISNUMBER(AT478),AT478,VALUE(SUBSTITUTE(AT478,"%",""))/100))</f>
        <v>0.1</v>
      </c>
      <c r="Q478" s="5" t="n">
        <f aca="false">IF(P478="",IF(AND(N478&lt;&gt;"",O478&lt;&gt;"",R478&lt;&gt;"",S478&lt;&gt;""),0,"REVIEW"),IF(OR(P478&lt;0,P478&gt;0.3),0,P478))</f>
        <v>0.1</v>
      </c>
      <c r="R478" s="0" t="n">
        <v>1035.67</v>
      </c>
      <c r="S478" s="0" t="n">
        <v>595.42</v>
      </c>
      <c r="T478" s="6" t="n">
        <f aca="false">N478*O478*(1-Q478)</f>
        <v>1035.666</v>
      </c>
      <c r="U478" s="6" t="n">
        <f aca="false">T478-S478</f>
        <v>440.246</v>
      </c>
      <c r="V478" s="7" t="n">
        <f aca="false">IF(T478=0,0,U478/T478)</f>
        <v>0.425084921200464</v>
      </c>
      <c r="W478" s="4" t="n">
        <f aca="false">C478-B478</f>
        <v>7</v>
      </c>
      <c r="X478" s="0" t="str">
        <f aca="false">TEXT(B478,"mmmm")</f>
        <v>May</v>
      </c>
      <c r="Y478" s="4" t="n">
        <f aca="false">YEAR(B478)</f>
        <v>2024</v>
      </c>
      <c r="Z478" s="0" t="str">
        <f aca="false">PROPER(TRIM(AU478))</f>
        <v>Paid</v>
      </c>
      <c r="AA478" s="0" t="str">
        <f aca="false">PROPER(TRIM(AV478))</f>
        <v>Completed</v>
      </c>
      <c r="AB478" s="0" t="str">
        <f aca="false">IF(TRIM(AN478)="","Yes","No")</f>
        <v>No</v>
      </c>
      <c r="AC478" s="0" t="str">
        <f aca="false">IF(TRIM(AS478)="","Yes","No")</f>
        <v>No</v>
      </c>
      <c r="AD478" s="0" t="str">
        <f aca="false">IF(AT478="","Yes","No")</f>
        <v>No</v>
      </c>
      <c r="AE478" s="0" t="str">
        <f aca="false">IF(W478&lt;0,"Yes","No")</f>
        <v>No</v>
      </c>
      <c r="AF478" s="0" t="str">
        <f aca="false">IF(P478="","No",IF(OR(P478&lt;0,P478&gt;0.3),"Yes","No"))</f>
        <v>No</v>
      </c>
      <c r="AG478" s="4" t="s">
        <v>50</v>
      </c>
      <c r="AH478" s="0" t="str">
        <f aca="false">IF(AND(AA478="Completed",Z478="Paid"),"Yes","No")</f>
        <v>Yes</v>
      </c>
      <c r="AI478" s="0" t="str">
        <f aca="false">IF(OR(AE478="Yes",AF478="Yes",AG478="Yes"),"Invalid",IF(OR(AB478="Yes",AC478="Yes",AD478="Yes"),"Warning","Clean"))</f>
        <v>Clean</v>
      </c>
      <c r="AJ478" s="4" t="s">
        <v>1904</v>
      </c>
      <c r="AK478" s="4" t="s">
        <v>1905</v>
      </c>
      <c r="AL478" s="4" t="s">
        <v>181</v>
      </c>
      <c r="AM478" s="4" t="s">
        <v>68</v>
      </c>
      <c r="AN478" s="4" t="s">
        <v>168</v>
      </c>
      <c r="AO478" s="4" t="s">
        <v>56</v>
      </c>
      <c r="AP478" s="4" t="s">
        <v>57</v>
      </c>
      <c r="AQ478" s="4" t="s">
        <v>58</v>
      </c>
      <c r="AR478" s="4" t="s">
        <v>171</v>
      </c>
      <c r="AS478" s="4" t="s">
        <v>81</v>
      </c>
      <c r="AT478" s="0" t="n">
        <v>0.1</v>
      </c>
      <c r="AU478" s="4" t="s">
        <v>61</v>
      </c>
      <c r="AV478" s="4" t="s">
        <v>62</v>
      </c>
    </row>
    <row r="479" customFormat="false" ht="15" hidden="false" customHeight="false" outlineLevel="0" collapsed="false">
      <c r="A479" s="0" t="s">
        <v>1906</v>
      </c>
      <c r="B479" s="3" t="n">
        <f aca="false">IF(AJ479="","",IF(ISNUMBER(SEARCH("/",AJ479)),DATE(VALUE(RIGHT(AJ479,4)),VALUE(LEFT(AJ479,2)),VALUE(MID(AJ479,4,2))),IF(ISNUMBER(SEARCH("-",AJ479)),IF(LEN(LEFT(AJ479,FIND("-",AJ479)-1))=4,DATE(VALUE(LEFT(AJ479,4)),VALUE(MID(AJ479,6,2)),VALUE(RIGHT(AJ479,2))),DATE(VALUE(RIGHT(AJ479,4)),VALUE(MID(AJ479,4,2)),VALUE(LEFT(AJ479,2)))),DATE(VALUE(RIGHT(AJ479,4)),MATCH(MID(AJ479,4,3),{"Jan","Feb","Mar","Apr","May","Jun","Jul","Aug","Sep","Oct","Nov","Dec"},0),VALUE(LEFT(AJ479,2))))))</f>
        <v>45892</v>
      </c>
      <c r="C479" s="3" t="n">
        <f aca="false">IF(AK479="","",IF(ISNUMBER(SEARCH("/",AK479)),DATE(VALUE(RIGHT(AK479,4)),VALUE(LEFT(AK479,2)),VALUE(MID(AK479,4,2))),IF(ISNUMBER(SEARCH("-",AK479)),IF(LEN(LEFT(AK479,FIND("-",AK479)-1))=4,DATE(VALUE(LEFT(AK479,4)),VALUE(MID(AK479,6,2)),VALUE(RIGHT(AK479,2))),DATE(VALUE(RIGHT(AK479,4)),VALUE(MID(AK479,4,2)),VALUE(LEFT(AK479,2)))),DATE(VALUE(RIGHT(AK479,4)),MATCH(MID(AK479,4,3),{"Jan","Feb","Mar","Apr","May","Jun","Jul","Aug","Sep","Oct","Nov","Dec"},0),VALUE(LEFT(AK479,2))))))</f>
        <v>45897</v>
      </c>
      <c r="D479" s="4" t="s">
        <v>1907</v>
      </c>
      <c r="E479" s="0" t="str">
        <f aca="false">PROPER(TRIM(AL479))</f>
        <v>Vikram Iyer</v>
      </c>
      <c r="F479" s="0" t="str">
        <f aca="false">PROPER(TRIM(AM479))</f>
        <v>Corporate</v>
      </c>
      <c r="G479" s="0" t="str">
        <f aca="false">IF(TRIM(AN479)="","Unknown",PROPER(TRIM(AN479)))</f>
        <v>West</v>
      </c>
      <c r="H479" s="0" t="str">
        <f aca="false">PROPER(TRIM(AO479))</f>
        <v>Gujarat</v>
      </c>
      <c r="I479" s="0" t="str">
        <f aca="false">PROPER(TRIM(AP479))</f>
        <v>Ahmedabad</v>
      </c>
      <c r="J479" s="0" t="str">
        <f aca="false">PROPER(TRIM(AQ479))</f>
        <v>Furniture</v>
      </c>
      <c r="K479" s="0" t="str">
        <f aca="false">PROPER(TRIM(AR479))</f>
        <v>Chairs</v>
      </c>
      <c r="M479" s="0" t="str">
        <f aca="false">IF(TRIM(AS479)="","Unknown",PROPER(TRIM(AS479)))</f>
        <v>Standard Class</v>
      </c>
      <c r="N479" s="0" t="n">
        <v>6</v>
      </c>
      <c r="O479" s="0" t="n">
        <v>2193.23</v>
      </c>
      <c r="P479" s="5" t="n">
        <f aca="false">IF(AT479="","",IF(ISNUMBER(AT479),AT479,VALUE(SUBSTITUTE(AT479,"%",""))/100))</f>
        <v>0.1</v>
      </c>
      <c r="Q479" s="5" t="n">
        <f aca="false">IF(P479="",IF(AND(N479&lt;&gt;"",O479&lt;&gt;"",R479&lt;&gt;"",S479&lt;&gt;""),0,"REVIEW"),IF(OR(P479&lt;0,P479&gt;0.3),0,P479))</f>
        <v>0.1</v>
      </c>
      <c r="R479" s="0" t="n">
        <v>11843.44</v>
      </c>
      <c r="S479" s="0" t="n">
        <v>9356.88</v>
      </c>
      <c r="T479" s="6" t="n">
        <f aca="false">N479*O479*(1-Q479)</f>
        <v>11843.442</v>
      </c>
      <c r="U479" s="6" t="n">
        <f aca="false">T479-S479</f>
        <v>2486.562</v>
      </c>
      <c r="V479" s="7" t="n">
        <f aca="false">IF(T479=0,0,U479/T479)</f>
        <v>0.20995264721185</v>
      </c>
      <c r="W479" s="4" t="n">
        <f aca="false">C479-B479</f>
        <v>5</v>
      </c>
      <c r="X479" s="0" t="str">
        <f aca="false">TEXT(B479,"mmmm")</f>
        <v>August</v>
      </c>
      <c r="Y479" s="4" t="n">
        <f aca="false">YEAR(B479)</f>
        <v>2025</v>
      </c>
      <c r="Z479" s="0" t="str">
        <f aca="false">PROPER(TRIM(AU479))</f>
        <v>Paid</v>
      </c>
      <c r="AA479" s="0" t="str">
        <f aca="false">PROPER(TRIM(AV479))</f>
        <v>Cancelled</v>
      </c>
      <c r="AB479" s="0" t="str">
        <f aca="false">IF(TRIM(AN479)="","Yes","No")</f>
        <v>No</v>
      </c>
      <c r="AC479" s="0" t="str">
        <f aca="false">IF(TRIM(AS479)="","Yes","No")</f>
        <v>No</v>
      </c>
      <c r="AD479" s="0" t="str">
        <f aca="false">IF(AT479="","Yes","No")</f>
        <v>No</v>
      </c>
      <c r="AE479" s="0" t="str">
        <f aca="false">IF(W479&lt;0,"Yes","No")</f>
        <v>No</v>
      </c>
      <c r="AF479" s="0" t="str">
        <f aca="false">IF(P479="","No",IF(OR(P479&lt;0,P479&gt;0.3),"Yes","No"))</f>
        <v>No</v>
      </c>
      <c r="AG479" s="4" t="s">
        <v>50</v>
      </c>
      <c r="AH479" s="0" t="str">
        <f aca="false">IF(AND(AA479="Completed",Z479="Paid"),"Yes","No")</f>
        <v>No</v>
      </c>
      <c r="AI479" s="0" t="str">
        <f aca="false">IF(OR(AE479="Yes",AF479="Yes",AG479="Yes"),"Invalid",IF(OR(AB479="Yes",AC479="Yes",AD479="Yes"),"Warning","Clean"))</f>
        <v>Clean</v>
      </c>
      <c r="AJ479" s="4" t="s">
        <v>1908</v>
      </c>
      <c r="AK479" s="4" t="s">
        <v>1909</v>
      </c>
      <c r="AL479" s="4" t="s">
        <v>106</v>
      </c>
      <c r="AM479" s="4" t="s">
        <v>128</v>
      </c>
      <c r="AN479" s="4" t="s">
        <v>97</v>
      </c>
      <c r="AO479" s="4" t="s">
        <v>238</v>
      </c>
      <c r="AP479" s="4" t="s">
        <v>239</v>
      </c>
      <c r="AQ479" s="4" t="s">
        <v>72</v>
      </c>
      <c r="AR479" s="4" t="s">
        <v>100</v>
      </c>
      <c r="AS479" s="4" t="s">
        <v>91</v>
      </c>
      <c r="AT479" s="0" t="n">
        <v>0.1</v>
      </c>
      <c r="AU479" s="4" t="s">
        <v>61</v>
      </c>
      <c r="AV479" s="4" t="s">
        <v>101</v>
      </c>
    </row>
    <row r="480" customFormat="false" ht="15" hidden="false" customHeight="false" outlineLevel="0" collapsed="false">
      <c r="A480" s="0" t="s">
        <v>1910</v>
      </c>
      <c r="B480" s="3" t="n">
        <f aca="false">IF(AJ480="","",IF(ISNUMBER(SEARCH("/",AJ480)),DATE(VALUE(RIGHT(AJ480,4)),VALUE(LEFT(AJ480,2)),VALUE(MID(AJ480,4,2))),IF(ISNUMBER(SEARCH("-",AJ480)),IF(LEN(LEFT(AJ480,FIND("-",AJ480)-1))=4,DATE(VALUE(LEFT(AJ480,4)),VALUE(MID(AJ480,6,2)),VALUE(RIGHT(AJ480,2))),DATE(VALUE(RIGHT(AJ480,4)),VALUE(MID(AJ480,4,2)),VALUE(LEFT(AJ480,2)))),DATE(VALUE(RIGHT(AJ480,4)),MATCH(MID(AJ480,4,3),{"Jan","Feb","Mar","Apr","May","Jun","Jul","Aug","Sep","Oct","Nov","Dec"},0),VALUE(LEFT(AJ480,2))))))</f>
        <v>45452</v>
      </c>
      <c r="C480" s="3" t="n">
        <f aca="false">IF(AK480="","",IF(ISNUMBER(SEARCH("/",AK480)),DATE(VALUE(RIGHT(AK480,4)),VALUE(LEFT(AK480,2)),VALUE(MID(AK480,4,2))),IF(ISNUMBER(SEARCH("-",AK480)),IF(LEN(LEFT(AK480,FIND("-",AK480)-1))=4,DATE(VALUE(LEFT(AK480,4)),VALUE(MID(AK480,6,2)),VALUE(RIGHT(AK480,2))),DATE(VALUE(RIGHT(AK480,4)),VALUE(MID(AK480,4,2)),VALUE(LEFT(AK480,2)))),DATE(VALUE(RIGHT(AK480,4)),MATCH(MID(AK480,4,3),{"Jan","Feb","Mar","Apr","May","Jun","Jul","Aug","Sep","Oct","Nov","Dec"},0),VALUE(LEFT(AK480,2))))))</f>
        <v>45456</v>
      </c>
      <c r="D480" s="4" t="s">
        <v>1911</v>
      </c>
      <c r="E480" s="0" t="str">
        <f aca="false">PROPER(TRIM(AL480))</f>
        <v>Mira Das</v>
      </c>
      <c r="F480" s="0" t="str">
        <f aca="false">PROPER(TRIM(AM480))</f>
        <v>Home Office</v>
      </c>
      <c r="G480" s="0" t="str">
        <f aca="false">IF(TRIM(AN480)="","Unknown",PROPER(TRIM(AN480)))</f>
        <v>Unknown</v>
      </c>
      <c r="H480" s="0" t="str">
        <f aca="false">PROPER(TRIM(AO480))</f>
        <v>Uttar Pradesh</v>
      </c>
      <c r="I480" s="0" t="str">
        <f aca="false">PROPER(TRIM(AP480))</f>
        <v>Noida</v>
      </c>
      <c r="J480" s="0" t="str">
        <f aca="false">PROPER(TRIM(AQ480))</f>
        <v>Technology</v>
      </c>
      <c r="K480" s="0" t="str">
        <f aca="false">PROPER(TRIM(AR480))</f>
        <v>Machines</v>
      </c>
      <c r="M480" s="0" t="str">
        <f aca="false">IF(TRIM(AS480)="","Unknown",PROPER(TRIM(AS480)))</f>
        <v>Same Day</v>
      </c>
      <c r="N480" s="0" t="n">
        <v>7</v>
      </c>
      <c r="O480" s="0" t="n">
        <v>4079.71</v>
      </c>
      <c r="P480" s="5" t="n">
        <f aca="false">IF(AT480="","",IF(ISNUMBER(AT480),AT480,VALUE(SUBSTITUTE(AT480,"%",""))/100))</f>
        <v>0.1</v>
      </c>
      <c r="Q480" s="5" t="n">
        <f aca="false">IF(P480="",IF(AND(N480&lt;&gt;"",O480&lt;&gt;"",R480&lt;&gt;"",S480&lt;&gt;""),0,"REVIEW"),IF(OR(P480&lt;0,P480&gt;0.3),0,P480))</f>
        <v>0.1</v>
      </c>
      <c r="R480" s="0" t="n">
        <v>25702.17</v>
      </c>
      <c r="S480" s="0" t="n">
        <v>14571.48</v>
      </c>
      <c r="T480" s="6" t="n">
        <f aca="false">N480*O480*(1-Q480)</f>
        <v>25702.173</v>
      </c>
      <c r="U480" s="6" t="n">
        <f aca="false">T480-S480</f>
        <v>11130.693</v>
      </c>
      <c r="V480" s="7" t="n">
        <f aca="false">IF(T480=0,0,U480/T480)</f>
        <v>0.433064278261609</v>
      </c>
      <c r="W480" s="4" t="n">
        <f aca="false">C480-B480</f>
        <v>4</v>
      </c>
      <c r="X480" s="0" t="str">
        <f aca="false">TEXT(B480,"mmmm")</f>
        <v>June</v>
      </c>
      <c r="Y480" s="4" t="n">
        <f aca="false">YEAR(B480)</f>
        <v>2024</v>
      </c>
      <c r="Z480" s="0" t="str">
        <f aca="false">PROPER(TRIM(AU480))</f>
        <v>Refunded</v>
      </c>
      <c r="AA480" s="0" t="str">
        <f aca="false">PROPER(TRIM(AV480))</f>
        <v>Returned</v>
      </c>
      <c r="AB480" s="0" t="str">
        <f aca="false">IF(TRIM(AN480)="","Yes","No")</f>
        <v>Yes</v>
      </c>
      <c r="AC480" s="0" t="str">
        <f aca="false">IF(TRIM(AS480)="","Yes","No")</f>
        <v>No</v>
      </c>
      <c r="AD480" s="0" t="str">
        <f aca="false">IF(AT480="","Yes","No")</f>
        <v>No</v>
      </c>
      <c r="AE480" s="0" t="str">
        <f aca="false">IF(W480&lt;0,"Yes","No")</f>
        <v>No</v>
      </c>
      <c r="AF480" s="0" t="str">
        <f aca="false">IF(P480="","No",IF(OR(P480&lt;0,P480&gt;0.3),"Yes","No"))</f>
        <v>No</v>
      </c>
      <c r="AG480" s="4" t="s">
        <v>50</v>
      </c>
      <c r="AH480" s="0" t="str">
        <f aca="false">IF(AND(AA480="Completed",Z480="Paid"),"Yes","No")</f>
        <v>No</v>
      </c>
      <c r="AI480" s="0" t="str">
        <f aca="false">IF(OR(AE480="Yes",AF480="Yes",AG480="Yes"),"Invalid",IF(OR(AB480="Yes",AC480="Yes",AD480="Yes"),"Warning","Clean"))</f>
        <v>Warning</v>
      </c>
      <c r="AJ480" s="4" t="s">
        <v>1912</v>
      </c>
      <c r="AK480" s="4" t="s">
        <v>1913</v>
      </c>
      <c r="AL480" s="4" t="s">
        <v>67</v>
      </c>
      <c r="AM480" s="4" t="s">
        <v>134</v>
      </c>
      <c r="AO480" s="4" t="s">
        <v>186</v>
      </c>
      <c r="AP480" s="4" t="s">
        <v>187</v>
      </c>
      <c r="AQ480" s="4" t="s">
        <v>109</v>
      </c>
      <c r="AR480" s="4" t="s">
        <v>360</v>
      </c>
      <c r="AS480" s="4" t="s">
        <v>74</v>
      </c>
      <c r="AT480" s="0" t="n">
        <v>0.1</v>
      </c>
      <c r="AU480" s="4" t="s">
        <v>141</v>
      </c>
      <c r="AV480" s="4" t="s">
        <v>142</v>
      </c>
    </row>
    <row r="481" customFormat="false" ht="15" hidden="false" customHeight="false" outlineLevel="0" collapsed="false">
      <c r="A481" s="0" t="s">
        <v>1914</v>
      </c>
      <c r="B481" s="3" t="n">
        <f aca="false">IF(AJ481="","",IF(ISNUMBER(SEARCH("/",AJ481)),DATE(VALUE(RIGHT(AJ481,4)),VALUE(LEFT(AJ481,2)),VALUE(MID(AJ481,4,2))),IF(ISNUMBER(SEARCH("-",AJ481)),IF(LEN(LEFT(AJ481,FIND("-",AJ481)-1))=4,DATE(VALUE(LEFT(AJ481,4)),VALUE(MID(AJ481,6,2)),VALUE(RIGHT(AJ481,2))),DATE(VALUE(RIGHT(AJ481,4)),VALUE(MID(AJ481,4,2)),VALUE(LEFT(AJ481,2)))),DATE(VALUE(RIGHT(AJ481,4)),MATCH(MID(AJ481,4,3),{"Jan","Feb","Mar","Apr","May","Jun","Jul","Aug","Sep","Oct","Nov","Dec"},0),VALUE(LEFT(AJ481,2))))))</f>
        <v>45345</v>
      </c>
      <c r="C481" s="3" t="n">
        <f aca="false">IF(AK481="","",IF(ISNUMBER(SEARCH("/",AK481)),DATE(VALUE(RIGHT(AK481,4)),VALUE(LEFT(AK481,2)),VALUE(MID(AK481,4,2))),IF(ISNUMBER(SEARCH("-",AK481)),IF(LEN(LEFT(AK481,FIND("-",AK481)-1))=4,DATE(VALUE(LEFT(AK481,4)),VALUE(MID(AK481,6,2)),VALUE(RIGHT(AK481,2))),DATE(VALUE(RIGHT(AK481,4)),VALUE(MID(AK481,4,2)),VALUE(LEFT(AK481,2)))),DATE(VALUE(RIGHT(AK481,4)),MATCH(MID(AK481,4,3),{"Jan","Feb","Mar","Apr","May","Jun","Jul","Aug","Sep","Oct","Nov","Dec"},0),VALUE(LEFT(AK481,2))))))</f>
        <v>45342</v>
      </c>
      <c r="D481" s="4" t="s">
        <v>1915</v>
      </c>
      <c r="E481" s="0" t="str">
        <f aca="false">PROPER(TRIM(AL481))</f>
        <v>Arjun Bose</v>
      </c>
      <c r="F481" s="0" t="str">
        <f aca="false">PROPER(TRIM(AM481))</f>
        <v>Corporate</v>
      </c>
      <c r="G481" s="0" t="str">
        <f aca="false">IF(TRIM(AN481)="","Unknown",PROPER(TRIM(AN481)))</f>
        <v>East</v>
      </c>
      <c r="H481" s="0" t="str">
        <f aca="false">PROPER(TRIM(AO481))</f>
        <v>Odisha</v>
      </c>
      <c r="I481" s="0" t="str">
        <f aca="false">PROPER(TRIM(AP481))</f>
        <v>Bhubaneswar</v>
      </c>
      <c r="J481" s="0" t="str">
        <f aca="false">PROPER(TRIM(AQ481))</f>
        <v>Furniture</v>
      </c>
      <c r="K481" s="0" t="str">
        <f aca="false">PROPER(TRIM(AR481))</f>
        <v>Chairs</v>
      </c>
      <c r="M481" s="0" t="str">
        <f aca="false">IF(TRIM(AS481)="","Unknown",PROPER(TRIM(AS481)))</f>
        <v>Second Class</v>
      </c>
      <c r="N481" s="0" t="n">
        <v>1</v>
      </c>
      <c r="O481" s="0" t="n">
        <v>2202.55</v>
      </c>
      <c r="P481" s="5" t="str">
        <f aca="false">IF(AT481="","",IF(ISNUMBER(AT481),AT481,VALUE(SUBSTITUTE(AT481,"%",""))/100))</f>
        <v/>
      </c>
      <c r="Q481" s="5" t="n">
        <f aca="false">IF(P481="",IF(AND(N481&lt;&gt;"",O481&lt;&gt;"",R481&lt;&gt;"",S481&lt;&gt;""),0,"REVIEW"),IF(OR(P481&lt;0,P481&gt;0.3),0,P481))</f>
        <v>0</v>
      </c>
      <c r="R481" s="0" t="n">
        <v>1651.91</v>
      </c>
      <c r="S481" s="0" t="n">
        <v>1034.57</v>
      </c>
      <c r="T481" s="6" t="n">
        <f aca="false">N481*O481*(1-Q481)</f>
        <v>2202.55</v>
      </c>
      <c r="U481" s="6" t="n">
        <f aca="false">T481-S481</f>
        <v>1167.98</v>
      </c>
      <c r="V481" s="7" t="n">
        <f aca="false">IF(T481=0,0,U481/T481)</f>
        <v>0.53028535107035</v>
      </c>
      <c r="W481" s="4" t="n">
        <f aca="false">C481-B481</f>
        <v>-3</v>
      </c>
      <c r="X481" s="0" t="str">
        <f aca="false">TEXT(B481,"mmmm")</f>
        <v>February</v>
      </c>
      <c r="Y481" s="4" t="n">
        <f aca="false">YEAR(B481)</f>
        <v>2024</v>
      </c>
      <c r="Z481" s="0" t="str">
        <f aca="false">PROPER(TRIM(AU481))</f>
        <v>Paid</v>
      </c>
      <c r="AA481" s="0" t="str">
        <f aca="false">PROPER(TRIM(AV481))</f>
        <v>Completed</v>
      </c>
      <c r="AB481" s="0" t="str">
        <f aca="false">IF(TRIM(AN481)="","Yes","No")</f>
        <v>No</v>
      </c>
      <c r="AC481" s="0" t="str">
        <f aca="false">IF(TRIM(AS481)="","Yes","No")</f>
        <v>No</v>
      </c>
      <c r="AD481" s="0" t="str">
        <f aca="false">IF(AT481="","Yes","No")</f>
        <v>Yes</v>
      </c>
      <c r="AE481" s="0" t="str">
        <f aca="false">IF(W481&lt;0,"Yes","No")</f>
        <v>Yes</v>
      </c>
      <c r="AF481" s="0" t="str">
        <f aca="false">IF(P481="","No",IF(OR(P481&lt;0,P481&gt;0.3),"Yes","No"))</f>
        <v>No</v>
      </c>
      <c r="AG481" s="4" t="s">
        <v>50</v>
      </c>
      <c r="AH481" s="0" t="str">
        <f aca="false">IF(AND(AA481="Completed",Z481="Paid"),"Yes","No")</f>
        <v>Yes</v>
      </c>
      <c r="AI481" s="0" t="str">
        <f aca="false">IF(OR(AE481="Yes",AF481="Yes",AG481="Yes"),"Invalid",IF(OR(AB481="Yes",AC481="Yes",AD481="Yes"),"Warning","Clean"))</f>
        <v>Invalid</v>
      </c>
      <c r="AJ481" s="4" t="s">
        <v>1916</v>
      </c>
      <c r="AK481" s="4" t="s">
        <v>1715</v>
      </c>
      <c r="AL481" s="4" t="s">
        <v>86</v>
      </c>
      <c r="AM481" s="4" t="s">
        <v>128</v>
      </c>
      <c r="AN481" s="4" t="s">
        <v>69</v>
      </c>
      <c r="AO481" s="4" t="s">
        <v>70</v>
      </c>
      <c r="AP481" s="4" t="s">
        <v>71</v>
      </c>
      <c r="AQ481" s="4" t="s">
        <v>72</v>
      </c>
      <c r="AR481" s="4" t="s">
        <v>100</v>
      </c>
      <c r="AS481" s="4" t="s">
        <v>60</v>
      </c>
      <c r="AU481" s="4" t="s">
        <v>61</v>
      </c>
      <c r="AV481" s="4" t="s">
        <v>62</v>
      </c>
    </row>
    <row r="482" customFormat="false" ht="15" hidden="false" customHeight="false" outlineLevel="0" collapsed="false">
      <c r="A482" s="0" t="s">
        <v>1917</v>
      </c>
      <c r="B482" s="3" t="n">
        <f aca="false">IF(AJ482="","",IF(ISNUMBER(SEARCH("/",AJ482)),DATE(VALUE(RIGHT(AJ482,4)),VALUE(LEFT(AJ482,2)),VALUE(MID(AJ482,4,2))),IF(ISNUMBER(SEARCH("-",AJ482)),IF(LEN(LEFT(AJ482,FIND("-",AJ482)-1))=4,DATE(VALUE(LEFT(AJ482,4)),VALUE(MID(AJ482,6,2)),VALUE(RIGHT(AJ482,2))),DATE(VALUE(RIGHT(AJ482,4)),VALUE(MID(AJ482,4,2)),VALUE(LEFT(AJ482,2)))),DATE(VALUE(RIGHT(AJ482,4)),MATCH(MID(AJ482,4,3),{"Jan","Feb","Mar","Apr","May","Jun","Jul","Aug","Sep","Oct","Nov","Dec"},0),VALUE(LEFT(AJ482,2))))))</f>
        <v>45662</v>
      </c>
      <c r="C482" s="3" t="n">
        <f aca="false">IF(AK482="","",IF(ISNUMBER(SEARCH("/",AK482)),DATE(VALUE(RIGHT(AK482,4)),VALUE(LEFT(AK482,2)),VALUE(MID(AK482,4,2))),IF(ISNUMBER(SEARCH("-",AK482)),IF(LEN(LEFT(AK482,FIND("-",AK482)-1))=4,DATE(VALUE(LEFT(AK482,4)),VALUE(MID(AK482,6,2)),VALUE(RIGHT(AK482,2))),DATE(VALUE(RIGHT(AK482,4)),VALUE(MID(AK482,4,2)),VALUE(LEFT(AK482,2)))),DATE(VALUE(RIGHT(AK482,4)),MATCH(MID(AK482,4,3),{"Jan","Feb","Mar","Apr","May","Jun","Jul","Aug","Sep","Oct","Nov","Dec"},0),VALUE(LEFT(AK482,2))))))</f>
        <v>45666</v>
      </c>
      <c r="D482" s="4" t="s">
        <v>1918</v>
      </c>
      <c r="E482" s="0" t="str">
        <f aca="false">PROPER(TRIM(AL482))</f>
        <v>Neha Gupta</v>
      </c>
      <c r="F482" s="0" t="str">
        <f aca="false">PROPER(TRIM(AM482))</f>
        <v>Small Business</v>
      </c>
      <c r="G482" s="0" t="str">
        <f aca="false">IF(TRIM(AN482)="","Unknown",PROPER(TRIM(AN482)))</f>
        <v>South</v>
      </c>
      <c r="H482" s="0" t="str">
        <f aca="false">PROPER(TRIM(AO482))</f>
        <v>Tamil Nadu</v>
      </c>
      <c r="I482" s="0" t="str">
        <f aca="false">PROPER(TRIM(AP482))</f>
        <v>Chennai</v>
      </c>
      <c r="J482" s="0" t="str">
        <f aca="false">PROPER(TRIM(AQ482))</f>
        <v>Office Supplies</v>
      </c>
      <c r="K482" s="0" t="str">
        <f aca="false">PROPER(TRIM(AR482))</f>
        <v>Storage</v>
      </c>
      <c r="M482" s="0" t="str">
        <f aca="false">IF(TRIM(AS482)="","Unknown",PROPER(TRIM(AS482)))</f>
        <v>Unknown</v>
      </c>
      <c r="N482" s="0" t="n">
        <v>5</v>
      </c>
      <c r="O482" s="0" t="n">
        <v>905.16</v>
      </c>
      <c r="P482" s="5" t="n">
        <f aca="false">IF(AT482="","",IF(ISNUMBER(AT482),AT482,VALUE(SUBSTITUTE(AT482,"%",""))/100))</f>
        <v>0</v>
      </c>
      <c r="Q482" s="5" t="n">
        <f aca="false">IF(P482="",IF(AND(N482&lt;&gt;"",O482&lt;&gt;"",R482&lt;&gt;"",S482&lt;&gt;""),0,"REVIEW"),IF(OR(P482&lt;0,P482&gt;0.3),0,P482))</f>
        <v>0</v>
      </c>
      <c r="R482" s="0" t="n">
        <v>4525.8</v>
      </c>
      <c r="S482" s="0" t="n">
        <v>2714.51</v>
      </c>
      <c r="T482" s="6" t="n">
        <f aca="false">N482*O482*(1-Q482)</f>
        <v>4525.8</v>
      </c>
      <c r="U482" s="6" t="n">
        <f aca="false">T482-S482</f>
        <v>1811.29</v>
      </c>
      <c r="V482" s="7" t="n">
        <f aca="false">IF(T482=0,0,U482/T482)</f>
        <v>0.400214326748862</v>
      </c>
      <c r="W482" s="4" t="n">
        <f aca="false">C482-B482</f>
        <v>4</v>
      </c>
      <c r="X482" s="0" t="str">
        <f aca="false">TEXT(B482,"mmmm")</f>
        <v>January</v>
      </c>
      <c r="Y482" s="4" t="n">
        <f aca="false">YEAR(B482)</f>
        <v>2025</v>
      </c>
      <c r="Z482" s="0" t="str">
        <f aca="false">PROPER(TRIM(AU482))</f>
        <v>Paid</v>
      </c>
      <c r="AA482" s="0" t="str">
        <f aca="false">PROPER(TRIM(AV482))</f>
        <v>Completed</v>
      </c>
      <c r="AB482" s="0" t="str">
        <f aca="false">IF(TRIM(AN482)="","Yes","No")</f>
        <v>No</v>
      </c>
      <c r="AC482" s="0" t="str">
        <f aca="false">IF(TRIM(AS482)="","Yes","No")</f>
        <v>Yes</v>
      </c>
      <c r="AD482" s="0" t="str">
        <f aca="false">IF(AT482="","Yes","No")</f>
        <v>No</v>
      </c>
      <c r="AE482" s="0" t="str">
        <f aca="false">IF(W482&lt;0,"Yes","No")</f>
        <v>No</v>
      </c>
      <c r="AF482" s="0" t="str">
        <f aca="false">IF(P482="","No",IF(OR(P482&lt;0,P482&gt;0.3),"Yes","No"))</f>
        <v>No</v>
      </c>
      <c r="AG482" s="4" t="s">
        <v>50</v>
      </c>
      <c r="AH482" s="0" t="str">
        <f aca="false">IF(AND(AA482="Completed",Z482="Paid"),"Yes","No")</f>
        <v>Yes</v>
      </c>
      <c r="AI482" s="0" t="str">
        <f aca="false">IF(OR(AE482="Yes",AF482="Yes",AG482="Yes"),"Invalid",IF(OR(AB482="Yes",AC482="Yes",AD482="Yes"),"Warning","Clean"))</f>
        <v>Warning</v>
      </c>
      <c r="AJ482" s="4" t="s">
        <v>363</v>
      </c>
      <c r="AK482" s="4" t="s">
        <v>1877</v>
      </c>
      <c r="AL482" s="4" t="s">
        <v>115</v>
      </c>
      <c r="AM482" s="4" t="s">
        <v>68</v>
      </c>
      <c r="AN482" s="4" t="s">
        <v>87</v>
      </c>
      <c r="AO482" s="4" t="s">
        <v>323</v>
      </c>
      <c r="AP482" s="4" t="s">
        <v>324</v>
      </c>
      <c r="AQ482" s="4" t="s">
        <v>58</v>
      </c>
      <c r="AR482" s="4" t="s">
        <v>171</v>
      </c>
      <c r="AT482" s="0" t="n">
        <v>0</v>
      </c>
      <c r="AU482" s="4" t="s">
        <v>61</v>
      </c>
      <c r="AV482" s="4" t="s">
        <v>62</v>
      </c>
    </row>
    <row r="483" customFormat="false" ht="15" hidden="false" customHeight="false" outlineLevel="0" collapsed="false">
      <c r="A483" s="0" t="s">
        <v>1919</v>
      </c>
      <c r="B483" s="3" t="n">
        <f aca="false">IF(AJ483="","",IF(ISNUMBER(SEARCH("/",AJ483)),DATE(VALUE(RIGHT(AJ483,4)),VALUE(LEFT(AJ483,2)),VALUE(MID(AJ483,4,2))),IF(ISNUMBER(SEARCH("-",AJ483)),IF(LEN(LEFT(AJ483,FIND("-",AJ483)-1))=4,DATE(VALUE(LEFT(AJ483,4)),VALUE(MID(AJ483,6,2)),VALUE(RIGHT(AJ483,2))),DATE(VALUE(RIGHT(AJ483,4)),VALUE(MID(AJ483,4,2)),VALUE(LEFT(AJ483,2)))),DATE(VALUE(RIGHT(AJ483,4)),MATCH(MID(AJ483,4,3),{"Jan","Feb","Mar","Apr","May","Jun","Jul","Aug","Sep","Oct","Nov","Dec"},0),VALUE(LEFT(AJ483,2))))))</f>
        <v>45813</v>
      </c>
      <c r="C483" s="3" t="n">
        <f aca="false">IF(AK483="","",IF(ISNUMBER(SEARCH("/",AK483)),DATE(VALUE(RIGHT(AK483,4)),VALUE(LEFT(AK483,2)),VALUE(MID(AK483,4,2))),IF(ISNUMBER(SEARCH("-",AK483)),IF(LEN(LEFT(AK483,FIND("-",AK483)-1))=4,DATE(VALUE(LEFT(AK483,4)),VALUE(MID(AK483,6,2)),VALUE(RIGHT(AK483,2))),DATE(VALUE(RIGHT(AK483,4)),VALUE(MID(AK483,4,2)),VALUE(LEFT(AK483,2)))),DATE(VALUE(RIGHT(AK483,4)),MATCH(MID(AK483,4,3),{"Jan","Feb","Mar","Apr","May","Jun","Jul","Aug","Sep","Oct","Nov","Dec"},0),VALUE(LEFT(AK483,2))))))</f>
        <v>45821</v>
      </c>
      <c r="D483" s="4" t="s">
        <v>1920</v>
      </c>
      <c r="E483" s="0" t="str">
        <f aca="false">PROPER(TRIM(AL483))</f>
        <v>Isha Nair</v>
      </c>
      <c r="F483" s="0" t="str">
        <f aca="false">PROPER(TRIM(AM483))</f>
        <v>Consumer</v>
      </c>
      <c r="G483" s="0" t="str">
        <f aca="false">IF(TRIM(AN483)="","Unknown",PROPER(TRIM(AN483)))</f>
        <v>North</v>
      </c>
      <c r="H483" s="0" t="str">
        <f aca="false">PROPER(TRIM(AO483))</f>
        <v>Uttar Pradesh</v>
      </c>
      <c r="I483" s="0" t="str">
        <f aca="false">PROPER(TRIM(AP483))</f>
        <v>Noida</v>
      </c>
      <c r="J483" s="0" t="str">
        <f aca="false">PROPER(TRIM(AQ483))</f>
        <v>Technology</v>
      </c>
      <c r="K483" s="0" t="str">
        <f aca="false">PROPER(TRIM(AR483))</f>
        <v>Machines</v>
      </c>
      <c r="M483" s="0" t="str">
        <f aca="false">IF(TRIM(AS483)="","Unknown",PROPER(TRIM(AS483)))</f>
        <v>Same Day</v>
      </c>
      <c r="N483" s="0" t="n">
        <v>4</v>
      </c>
      <c r="O483" s="0" t="n">
        <v>2793.88</v>
      </c>
      <c r="P483" s="5" t="n">
        <f aca="false">IF(AT483="","",IF(ISNUMBER(AT483),AT483,VALUE(SUBSTITUTE(AT483,"%",""))/100))</f>
        <v>0.85</v>
      </c>
      <c r="Q483" s="5" t="n">
        <f aca="false">IF(P483="",IF(AND(N483&lt;&gt;"",O483&lt;&gt;"",R483&lt;&gt;"",S483&lt;&gt;""),0,"REVIEW"),IF(OR(P483&lt;0,P483&gt;0.3),0,P483))</f>
        <v>0</v>
      </c>
      <c r="R483" s="0" t="n">
        <v>10616.74</v>
      </c>
      <c r="S483" s="0" t="n">
        <v>6353.59</v>
      </c>
      <c r="T483" s="6" t="n">
        <f aca="false">N483*O483*(1-Q483)</f>
        <v>11175.52</v>
      </c>
      <c r="U483" s="6" t="n">
        <f aca="false">T483-S483</f>
        <v>4821.93</v>
      </c>
      <c r="V483" s="7" t="n">
        <f aca="false">IF(T483=0,0,U483/T483)</f>
        <v>0.431472539980243</v>
      </c>
      <c r="W483" s="4" t="n">
        <f aca="false">C483-B483</f>
        <v>8</v>
      </c>
      <c r="X483" s="0" t="str">
        <f aca="false">TEXT(B483,"mmmm")</f>
        <v>June</v>
      </c>
      <c r="Y483" s="4" t="n">
        <f aca="false">YEAR(B483)</f>
        <v>2025</v>
      </c>
      <c r="Z483" s="0" t="str">
        <f aca="false">PROPER(TRIM(AU483))</f>
        <v>Paid</v>
      </c>
      <c r="AA483" s="0" t="str">
        <f aca="false">PROPER(TRIM(AV483))</f>
        <v>Completed</v>
      </c>
      <c r="AB483" s="0" t="str">
        <f aca="false">IF(TRIM(AN483)="","Yes","No")</f>
        <v>No</v>
      </c>
      <c r="AC483" s="0" t="str">
        <f aca="false">IF(TRIM(AS483)="","Yes","No")</f>
        <v>No</v>
      </c>
      <c r="AD483" s="0" t="str">
        <f aca="false">IF(AT483="","Yes","No")</f>
        <v>No</v>
      </c>
      <c r="AE483" s="0" t="str">
        <f aca="false">IF(W483&lt;0,"Yes","No")</f>
        <v>No</v>
      </c>
      <c r="AF483" s="0" t="str">
        <f aca="false">IF(P483="","No",IF(OR(P483&lt;0,P483&gt;0.3),"Yes","No"))</f>
        <v>Yes</v>
      </c>
      <c r="AG483" s="4" t="s">
        <v>50</v>
      </c>
      <c r="AH483" s="0" t="str">
        <f aca="false">IF(AND(AA483="Completed",Z483="Paid"),"Yes","No")</f>
        <v>Yes</v>
      </c>
      <c r="AI483" s="0" t="str">
        <f aca="false">IF(OR(AE483="Yes",AF483="Yes",AG483="Yes"),"Invalid",IF(OR(AB483="Yes",AC483="Yes",AD483="Yes"),"Warning","Clean"))</f>
        <v>Invalid</v>
      </c>
      <c r="AJ483" s="4" t="s">
        <v>1921</v>
      </c>
      <c r="AK483" s="4" t="s">
        <v>1922</v>
      </c>
      <c r="AL483" s="4" t="s">
        <v>79</v>
      </c>
      <c r="AM483" s="4" t="s">
        <v>54</v>
      </c>
      <c r="AN483" s="4" t="s">
        <v>168</v>
      </c>
      <c r="AO483" s="4" t="s">
        <v>186</v>
      </c>
      <c r="AP483" s="4" t="s">
        <v>187</v>
      </c>
      <c r="AQ483" s="4" t="s">
        <v>109</v>
      </c>
      <c r="AR483" s="4" t="s">
        <v>360</v>
      </c>
      <c r="AS483" s="4" t="s">
        <v>74</v>
      </c>
      <c r="AT483" s="4" t="s">
        <v>995</v>
      </c>
      <c r="AU483" s="4" t="s">
        <v>61</v>
      </c>
      <c r="AV483" s="4" t="s">
        <v>62</v>
      </c>
    </row>
    <row r="484" customFormat="false" ht="15" hidden="false" customHeight="false" outlineLevel="0" collapsed="false">
      <c r="A484" s="0" t="s">
        <v>1923</v>
      </c>
      <c r="B484" s="3" t="n">
        <f aca="false">IF(AJ484="","",IF(ISNUMBER(SEARCH("/",AJ484)),DATE(VALUE(RIGHT(AJ484,4)),VALUE(LEFT(AJ484,2)),VALUE(MID(AJ484,4,2))),IF(ISNUMBER(SEARCH("-",AJ484)),IF(LEN(LEFT(AJ484,FIND("-",AJ484)-1))=4,DATE(VALUE(LEFT(AJ484,4)),VALUE(MID(AJ484,6,2)),VALUE(RIGHT(AJ484,2))),DATE(VALUE(RIGHT(AJ484,4)),VALUE(MID(AJ484,4,2)),VALUE(LEFT(AJ484,2)))),DATE(VALUE(RIGHT(AJ484,4)),MATCH(MID(AJ484,4,3),{"Jan","Feb","Mar","Apr","May","Jun","Jul","Aug","Sep","Oct","Nov","Dec"},0),VALUE(LEFT(AJ484,2))))))</f>
        <v>45495</v>
      </c>
      <c r="C484" s="3" t="n">
        <f aca="false">IF(AK484="","",IF(ISNUMBER(SEARCH("/",AK484)),DATE(VALUE(RIGHT(AK484,4)),VALUE(LEFT(AK484,2)),VALUE(MID(AK484,4,2))),IF(ISNUMBER(SEARCH("-",AK484)),IF(LEN(LEFT(AK484,FIND("-",AK484)-1))=4,DATE(VALUE(LEFT(AK484,4)),VALUE(MID(AK484,6,2)),VALUE(RIGHT(AK484,2))),DATE(VALUE(RIGHT(AK484,4)),VALUE(MID(AK484,4,2)),VALUE(LEFT(AK484,2)))),DATE(VALUE(RIGHT(AK484,4)),MATCH(MID(AK484,4,3),{"Jan","Feb","Mar","Apr","May","Jun","Jul","Aug","Sep","Oct","Nov","Dec"},0),VALUE(LEFT(AK484,2))))))</f>
        <v>45495</v>
      </c>
      <c r="D484" s="4" t="s">
        <v>1924</v>
      </c>
      <c r="E484" s="0" t="str">
        <f aca="false">PROPER(TRIM(AL484))</f>
        <v>Priya Menon</v>
      </c>
      <c r="F484" s="0" t="str">
        <f aca="false">PROPER(TRIM(AM484))</f>
        <v>Consumer</v>
      </c>
      <c r="G484" s="0" t="str">
        <f aca="false">IF(TRIM(AN484)="","Unknown",PROPER(TRIM(AN484)))</f>
        <v>South</v>
      </c>
      <c r="H484" s="0" t="str">
        <f aca="false">PROPER(TRIM(AO484))</f>
        <v>Karnataka</v>
      </c>
      <c r="I484" s="0" t="str">
        <f aca="false">PROPER(TRIM(AP484))</f>
        <v>Bengaluru</v>
      </c>
      <c r="J484" s="0" t="str">
        <f aca="false">PROPER(TRIM(AQ484))</f>
        <v>Technology</v>
      </c>
      <c r="K484" s="0" t="str">
        <f aca="false">PROPER(TRIM(AR484))</f>
        <v>Accessories</v>
      </c>
      <c r="M484" s="0" t="str">
        <f aca="false">IF(TRIM(AS484)="","Unknown",PROPER(TRIM(AS484)))</f>
        <v>Second Class</v>
      </c>
      <c r="N484" s="0" t="n">
        <v>3</v>
      </c>
      <c r="O484" s="0" t="n">
        <v>1286.22</v>
      </c>
      <c r="P484" s="5" t="n">
        <f aca="false">IF(AT484="","",IF(ISNUMBER(AT484),AT484,VALUE(SUBSTITUTE(AT484,"%",""))/100))</f>
        <v>0.25</v>
      </c>
      <c r="Q484" s="5" t="n">
        <f aca="false">IF(P484="",IF(AND(N484&lt;&gt;"",O484&lt;&gt;"",R484&lt;&gt;"",S484&lt;&gt;""),0,"REVIEW"),IF(OR(P484&lt;0,P484&gt;0.3),0,P484))</f>
        <v>0.25</v>
      </c>
      <c r="R484" s="0" t="n">
        <v>2893.99</v>
      </c>
      <c r="S484" s="0" t="n">
        <v>1856.03</v>
      </c>
      <c r="T484" s="6" t="n">
        <f aca="false">N484*O484*(1-Q484)</f>
        <v>2893.995</v>
      </c>
      <c r="U484" s="6" t="n">
        <f aca="false">T484-S484</f>
        <v>1037.965</v>
      </c>
      <c r="V484" s="7" t="n">
        <f aca="false">IF(T484=0,0,U484/T484)</f>
        <v>0.358661642470011</v>
      </c>
      <c r="W484" s="4" t="n">
        <f aca="false">C484-B484</f>
        <v>0</v>
      </c>
      <c r="X484" s="0" t="str">
        <f aca="false">TEXT(B484,"mmmm")</f>
        <v>July</v>
      </c>
      <c r="Y484" s="4" t="n">
        <f aca="false">YEAR(B484)</f>
        <v>2024</v>
      </c>
      <c r="Z484" s="0" t="str">
        <f aca="false">PROPER(TRIM(AU484))</f>
        <v>Paid</v>
      </c>
      <c r="AA484" s="0" t="str">
        <f aca="false">PROPER(TRIM(AV484))</f>
        <v>Completed</v>
      </c>
      <c r="AB484" s="0" t="str">
        <f aca="false">IF(TRIM(AN484)="","Yes","No")</f>
        <v>No</v>
      </c>
      <c r="AC484" s="0" t="str">
        <f aca="false">IF(TRIM(AS484)="","Yes","No")</f>
        <v>No</v>
      </c>
      <c r="AD484" s="0" t="str">
        <f aca="false">IF(AT484="","Yes","No")</f>
        <v>No</v>
      </c>
      <c r="AE484" s="0" t="str">
        <f aca="false">IF(W484&lt;0,"Yes","No")</f>
        <v>No</v>
      </c>
      <c r="AF484" s="0" t="str">
        <f aca="false">IF(P484="","No",IF(OR(P484&lt;0,P484&gt;0.3),"Yes","No"))</f>
        <v>No</v>
      </c>
      <c r="AG484" s="4" t="s">
        <v>50</v>
      </c>
      <c r="AH484" s="0" t="str">
        <f aca="false">IF(AND(AA484="Completed",Z484="Paid"),"Yes","No")</f>
        <v>Yes</v>
      </c>
      <c r="AI484" s="0" t="str">
        <f aca="false">IF(OR(AE484="Yes",AF484="Yes",AG484="Yes"),"Invalid",IF(OR(AB484="Yes",AC484="Yes",AD484="Yes"),"Warning","Clean"))</f>
        <v>Clean</v>
      </c>
      <c r="AJ484" s="4" t="s">
        <v>262</v>
      </c>
      <c r="AK484" s="4" t="s">
        <v>262</v>
      </c>
      <c r="AL484" s="4" t="s">
        <v>158</v>
      </c>
      <c r="AM484" s="4" t="s">
        <v>54</v>
      </c>
      <c r="AN484" s="4" t="s">
        <v>87</v>
      </c>
      <c r="AO484" s="4" t="s">
        <v>233</v>
      </c>
      <c r="AP484" s="4" t="s">
        <v>234</v>
      </c>
      <c r="AQ484" s="4" t="s">
        <v>109</v>
      </c>
      <c r="AR484" s="4" t="s">
        <v>110</v>
      </c>
      <c r="AS484" s="4" t="s">
        <v>60</v>
      </c>
      <c r="AT484" s="0" t="n">
        <v>0.25</v>
      </c>
      <c r="AU484" s="4" t="s">
        <v>61</v>
      </c>
      <c r="AV484" s="4" t="s">
        <v>62</v>
      </c>
    </row>
    <row r="485" customFormat="false" ht="15" hidden="false" customHeight="false" outlineLevel="0" collapsed="false">
      <c r="A485" s="0" t="s">
        <v>1925</v>
      </c>
      <c r="B485" s="3" t="n">
        <f aca="false">IF(AJ485="","",IF(ISNUMBER(SEARCH("/",AJ485)),DATE(VALUE(RIGHT(AJ485,4)),VALUE(LEFT(AJ485,2)),VALUE(MID(AJ485,4,2))),IF(ISNUMBER(SEARCH("-",AJ485)),IF(LEN(LEFT(AJ485,FIND("-",AJ485)-1))=4,DATE(VALUE(LEFT(AJ485,4)),VALUE(MID(AJ485,6,2)),VALUE(RIGHT(AJ485,2))),DATE(VALUE(RIGHT(AJ485,4)),VALUE(MID(AJ485,4,2)),VALUE(LEFT(AJ485,2)))),DATE(VALUE(RIGHT(AJ485,4)),MATCH(MID(AJ485,4,3),{"Jan","Feb","Mar","Apr","May","Jun","Jul","Aug","Sep","Oct","Nov","Dec"},0),VALUE(LEFT(AJ485,2))))))</f>
        <v>45651</v>
      </c>
      <c r="C485" s="3" t="n">
        <f aca="false">IF(AK485="","",IF(ISNUMBER(SEARCH("/",AK485)),DATE(VALUE(RIGHT(AK485,4)),VALUE(LEFT(AK485,2)),VALUE(MID(AK485,4,2))),IF(ISNUMBER(SEARCH("-",AK485)),IF(LEN(LEFT(AK485,FIND("-",AK485)-1))=4,DATE(VALUE(LEFT(AK485,4)),VALUE(MID(AK485,6,2)),VALUE(RIGHT(AK485,2))),DATE(VALUE(RIGHT(AK485,4)),VALUE(MID(AK485,4,2)),VALUE(LEFT(AK485,2)))),DATE(VALUE(RIGHT(AK485,4)),MATCH(MID(AK485,4,3),{"Jan","Feb","Mar","Apr","May","Jun","Jul","Aug","Sep","Oct","Nov","Dec"},0),VALUE(LEFT(AK485,2))))))</f>
        <v>45651</v>
      </c>
      <c r="D485" s="4" t="s">
        <v>1926</v>
      </c>
      <c r="E485" s="0" t="str">
        <f aca="false">PROPER(TRIM(AL485))</f>
        <v>Mira Das</v>
      </c>
      <c r="F485" s="0" t="str">
        <f aca="false">PROPER(TRIM(AM485))</f>
        <v>Corporate</v>
      </c>
      <c r="G485" s="0" t="str">
        <f aca="false">IF(TRIM(AN485)="","Unknown",PROPER(TRIM(AN485)))</f>
        <v>East</v>
      </c>
      <c r="H485" s="0" t="str">
        <f aca="false">PROPER(TRIM(AO485))</f>
        <v>Bihar</v>
      </c>
      <c r="I485" s="0" t="str">
        <f aca="false">PROPER(TRIM(AP485))</f>
        <v>Patna</v>
      </c>
      <c r="J485" s="0" t="str">
        <f aca="false">PROPER(TRIM(AQ485))</f>
        <v>Technology</v>
      </c>
      <c r="K485" s="0" t="str">
        <f aca="false">PROPER(TRIM(AR485))</f>
        <v>Copiers</v>
      </c>
      <c r="M485" s="0" t="str">
        <f aca="false">IF(TRIM(AS485)="","Unknown",PROPER(TRIM(AS485)))</f>
        <v>Standard Class</v>
      </c>
      <c r="N485" s="0" t="n">
        <v>1</v>
      </c>
      <c r="O485" s="0" t="n">
        <v>829.66</v>
      </c>
      <c r="P485" s="5" t="n">
        <f aca="false">IF(AT485="","",IF(ISNUMBER(AT485),AT485,VALUE(SUBSTITUTE(AT485,"%",""))/100))</f>
        <v>0.15</v>
      </c>
      <c r="Q485" s="5" t="n">
        <f aca="false">IF(P485="",IF(AND(N485&lt;&gt;"",O485&lt;&gt;"",R485&lt;&gt;"",S485&lt;&gt;""),0,"REVIEW"),IF(OR(P485&lt;0,P485&gt;0.3),0,P485))</f>
        <v>0.15</v>
      </c>
      <c r="R485" s="0" t="n">
        <v>705.21</v>
      </c>
      <c r="S485" s="0" t="n">
        <v>438.32</v>
      </c>
      <c r="T485" s="6" t="n">
        <f aca="false">N485*O485*(1-Q485)</f>
        <v>705.211</v>
      </c>
      <c r="U485" s="6" t="n">
        <f aca="false">T485-S485</f>
        <v>266.891</v>
      </c>
      <c r="V485" s="7" t="n">
        <f aca="false">IF(T485=0,0,U485/T485)</f>
        <v>0.378455526076593</v>
      </c>
      <c r="W485" s="4" t="n">
        <f aca="false">C485-B485</f>
        <v>0</v>
      </c>
      <c r="X485" s="0" t="str">
        <f aca="false">TEXT(B485,"mmmm")</f>
        <v>December</v>
      </c>
      <c r="Y485" s="4" t="n">
        <f aca="false">YEAR(B485)</f>
        <v>2024</v>
      </c>
      <c r="Z485" s="0" t="str">
        <f aca="false">PROPER(TRIM(AU485))</f>
        <v>Paid</v>
      </c>
      <c r="AA485" s="0" t="str">
        <f aca="false">PROPER(TRIM(AV485))</f>
        <v>Completed</v>
      </c>
      <c r="AB485" s="0" t="str">
        <f aca="false">IF(TRIM(AN485)="","Yes","No")</f>
        <v>No</v>
      </c>
      <c r="AC485" s="0" t="str">
        <f aca="false">IF(TRIM(AS485)="","Yes","No")</f>
        <v>No</v>
      </c>
      <c r="AD485" s="0" t="str">
        <f aca="false">IF(AT485="","Yes","No")</f>
        <v>No</v>
      </c>
      <c r="AE485" s="0" t="str">
        <f aca="false">IF(W485&lt;0,"Yes","No")</f>
        <v>No</v>
      </c>
      <c r="AF485" s="0" t="str">
        <f aca="false">IF(P485="","No",IF(OR(P485&lt;0,P485&gt;0.3),"Yes","No"))</f>
        <v>No</v>
      </c>
      <c r="AG485" s="4" t="s">
        <v>50</v>
      </c>
      <c r="AH485" s="0" t="str">
        <f aca="false">IF(AND(AA485="Completed",Z485="Paid"),"Yes","No")</f>
        <v>Yes</v>
      </c>
      <c r="AI485" s="0" t="str">
        <f aca="false">IF(OR(AE485="Yes",AF485="Yes",AG485="Yes"),"Invalid",IF(OR(AB485="Yes",AC485="Yes",AD485="Yes"),"Warning","Clean"))</f>
        <v>Clean</v>
      </c>
      <c r="AJ485" s="4" t="s">
        <v>1181</v>
      </c>
      <c r="AK485" s="4" t="s">
        <v>1927</v>
      </c>
      <c r="AL485" s="4" t="s">
        <v>67</v>
      </c>
      <c r="AM485" s="4" t="s">
        <v>128</v>
      </c>
      <c r="AN485" s="4" t="s">
        <v>69</v>
      </c>
      <c r="AO485" s="4" t="s">
        <v>196</v>
      </c>
      <c r="AP485" s="4" t="s">
        <v>197</v>
      </c>
      <c r="AQ485" s="4" t="s">
        <v>109</v>
      </c>
      <c r="AR485" s="4" t="s">
        <v>116</v>
      </c>
      <c r="AS485" s="4" t="s">
        <v>91</v>
      </c>
      <c r="AT485" s="0" t="n">
        <v>0.15</v>
      </c>
      <c r="AU485" s="4" t="s">
        <v>61</v>
      </c>
      <c r="AV485" s="4" t="s">
        <v>62</v>
      </c>
    </row>
    <row r="486" customFormat="false" ht="15" hidden="false" customHeight="false" outlineLevel="0" collapsed="false">
      <c r="A486" s="0" t="s">
        <v>1928</v>
      </c>
      <c r="B486" s="3" t="n">
        <f aca="false">IF(AJ486="","",IF(ISNUMBER(SEARCH("/",AJ486)),DATE(VALUE(RIGHT(AJ486,4)),VALUE(LEFT(AJ486,2)),VALUE(MID(AJ486,4,2))),IF(ISNUMBER(SEARCH("-",AJ486)),IF(LEN(LEFT(AJ486,FIND("-",AJ486)-1))=4,DATE(VALUE(LEFT(AJ486,4)),VALUE(MID(AJ486,6,2)),VALUE(RIGHT(AJ486,2))),DATE(VALUE(RIGHT(AJ486,4)),VALUE(MID(AJ486,4,2)),VALUE(LEFT(AJ486,2)))),DATE(VALUE(RIGHT(AJ486,4)),MATCH(MID(AJ486,4,3),{"Jan","Feb","Mar","Apr","May","Jun","Jul","Aug","Sep","Oct","Nov","Dec"},0),VALUE(LEFT(AJ486,2))))))</f>
        <v>45654</v>
      </c>
      <c r="C486" s="3" t="n">
        <f aca="false">IF(AK486="","",IF(ISNUMBER(SEARCH("/",AK486)),DATE(VALUE(RIGHT(AK486,4)),VALUE(LEFT(AK486,2)),VALUE(MID(AK486,4,2))),IF(ISNUMBER(SEARCH("-",AK486)),IF(LEN(LEFT(AK486,FIND("-",AK486)-1))=4,DATE(VALUE(LEFT(AK486,4)),VALUE(MID(AK486,6,2)),VALUE(RIGHT(AK486,2))),DATE(VALUE(RIGHT(AK486,4)),VALUE(MID(AK486,4,2)),VALUE(LEFT(AK486,2)))),DATE(VALUE(RIGHT(AK486,4)),MATCH(MID(AK486,4,3),{"Jan","Feb","Mar","Apr","May","Jun","Jul","Aug","Sep","Oct","Nov","Dec"},0),VALUE(LEFT(AK486,2))))))</f>
        <v>45657</v>
      </c>
      <c r="D486" s="4" t="s">
        <v>1929</v>
      </c>
      <c r="E486" s="0" t="str">
        <f aca="false">PROPER(TRIM(AL486))</f>
        <v>Mira Das</v>
      </c>
      <c r="F486" s="0" t="str">
        <f aca="false">PROPER(TRIM(AM486))</f>
        <v>Small Business</v>
      </c>
      <c r="G486" s="0" t="str">
        <f aca="false">IF(TRIM(AN486)="","Unknown",PROPER(TRIM(AN486)))</f>
        <v>South</v>
      </c>
      <c r="H486" s="0" t="str">
        <f aca="false">PROPER(TRIM(AO486))</f>
        <v>Andhra Pradesh</v>
      </c>
      <c r="I486" s="0" t="str">
        <f aca="false">PROPER(TRIM(AP486))</f>
        <v>Vijayawada</v>
      </c>
      <c r="J486" s="0" t="str">
        <f aca="false">PROPER(TRIM(AQ486))</f>
        <v>Furniture</v>
      </c>
      <c r="K486" s="0" t="str">
        <f aca="false">PROPER(TRIM(AR486))</f>
        <v>Furnishings</v>
      </c>
      <c r="M486" s="0" t="str">
        <f aca="false">IF(TRIM(AS486)="","Unknown",PROPER(TRIM(AS486)))</f>
        <v>First Class</v>
      </c>
      <c r="N486" s="0" t="n">
        <v>6</v>
      </c>
      <c r="O486" s="0" t="n">
        <v>3641.22</v>
      </c>
      <c r="P486" s="5" t="n">
        <f aca="false">IF(AT486="","",IF(ISNUMBER(AT486),AT486,VALUE(SUBSTITUTE(AT486,"%",""))/100))</f>
        <v>0.25</v>
      </c>
      <c r="Q486" s="5" t="n">
        <f aca="false">IF(P486="",IF(AND(N486&lt;&gt;"",O486&lt;&gt;"",R486&lt;&gt;"",S486&lt;&gt;""),0,"REVIEW"),IF(OR(P486&lt;0,P486&gt;0.3),0,P486))</f>
        <v>0.25</v>
      </c>
      <c r="R486" s="0" t="n">
        <v>16385.49</v>
      </c>
      <c r="S486" s="0" t="n">
        <v>13679.24</v>
      </c>
      <c r="T486" s="6" t="n">
        <f aca="false">N486*O486*(1-Q486)</f>
        <v>16385.49</v>
      </c>
      <c r="U486" s="6" t="n">
        <f aca="false">T486-S486</f>
        <v>2706.25</v>
      </c>
      <c r="V486" s="7" t="n">
        <f aca="false">IF(T486=0,0,U486/T486)</f>
        <v>0.165161371432896</v>
      </c>
      <c r="W486" s="4" t="n">
        <f aca="false">C486-B486</f>
        <v>3</v>
      </c>
      <c r="X486" s="0" t="str">
        <f aca="false">TEXT(B486,"mmmm")</f>
        <v>December</v>
      </c>
      <c r="Y486" s="4" t="n">
        <f aca="false">YEAR(B486)</f>
        <v>2024</v>
      </c>
      <c r="Z486" s="0" t="str">
        <f aca="false">PROPER(TRIM(AU486))</f>
        <v>Paid</v>
      </c>
      <c r="AA486" s="0" t="str">
        <f aca="false">PROPER(TRIM(AV486))</f>
        <v>Completed</v>
      </c>
      <c r="AB486" s="0" t="str">
        <f aca="false">IF(TRIM(AN486)="","Yes","No")</f>
        <v>No</v>
      </c>
      <c r="AC486" s="0" t="str">
        <f aca="false">IF(TRIM(AS486)="","Yes","No")</f>
        <v>No</v>
      </c>
      <c r="AD486" s="0" t="str">
        <f aca="false">IF(AT486="","Yes","No")</f>
        <v>No</v>
      </c>
      <c r="AE486" s="0" t="str">
        <f aca="false">IF(W486&lt;0,"Yes","No")</f>
        <v>No</v>
      </c>
      <c r="AF486" s="0" t="str">
        <f aca="false">IF(P486="","No",IF(OR(P486&lt;0,P486&gt;0.3),"Yes","No"))</f>
        <v>No</v>
      </c>
      <c r="AG486" s="4" t="s">
        <v>50</v>
      </c>
      <c r="AH486" s="0" t="str">
        <f aca="false">IF(AND(AA486="Completed",Z486="Paid"),"Yes","No")</f>
        <v>Yes</v>
      </c>
      <c r="AI486" s="0" t="str">
        <f aca="false">IF(OR(AE486="Yes",AF486="Yes",AG486="Yes"),"Invalid",IF(OR(AB486="Yes",AC486="Yes",AD486="Yes"),"Warning","Clean"))</f>
        <v>Clean</v>
      </c>
      <c r="AJ486" s="4" t="s">
        <v>1930</v>
      </c>
      <c r="AK486" s="4" t="s">
        <v>1931</v>
      </c>
      <c r="AL486" s="4" t="s">
        <v>67</v>
      </c>
      <c r="AM486" s="4" t="s">
        <v>68</v>
      </c>
      <c r="AN486" s="4" t="s">
        <v>87</v>
      </c>
      <c r="AO486" s="4" t="s">
        <v>121</v>
      </c>
      <c r="AP486" s="4" t="s">
        <v>122</v>
      </c>
      <c r="AQ486" s="4" t="s">
        <v>72</v>
      </c>
      <c r="AR486" s="4" t="s">
        <v>90</v>
      </c>
      <c r="AS486" s="4" t="s">
        <v>81</v>
      </c>
      <c r="AT486" s="0" t="n">
        <v>0.25</v>
      </c>
      <c r="AU486" s="4" t="s">
        <v>61</v>
      </c>
      <c r="AV486" s="4" t="s">
        <v>62</v>
      </c>
    </row>
    <row r="487" customFormat="false" ht="15" hidden="false" customHeight="false" outlineLevel="0" collapsed="false">
      <c r="A487" s="0" t="s">
        <v>1932</v>
      </c>
      <c r="B487" s="3" t="n">
        <f aca="false">IF(AJ487="","",IF(ISNUMBER(SEARCH("/",AJ487)),DATE(VALUE(RIGHT(AJ487,4)),VALUE(LEFT(AJ487,2)),VALUE(MID(AJ487,4,2))),IF(ISNUMBER(SEARCH("-",AJ487)),IF(LEN(LEFT(AJ487,FIND("-",AJ487)-1))=4,DATE(VALUE(LEFT(AJ487,4)),VALUE(MID(AJ487,6,2)),VALUE(RIGHT(AJ487,2))),DATE(VALUE(RIGHT(AJ487,4)),VALUE(MID(AJ487,4,2)),VALUE(LEFT(AJ487,2)))),DATE(VALUE(RIGHT(AJ487,4)),MATCH(MID(AJ487,4,3),{"Jan","Feb","Mar","Apr","May","Jun","Jul","Aug","Sep","Oct","Nov","Dec"},0),VALUE(LEFT(AJ487,2))))))</f>
        <v>45679</v>
      </c>
      <c r="C487" s="3" t="n">
        <f aca="false">IF(AK487="","",IF(ISNUMBER(SEARCH("/",AK487)),DATE(VALUE(RIGHT(AK487,4)),VALUE(LEFT(AK487,2)),VALUE(MID(AK487,4,2))),IF(ISNUMBER(SEARCH("-",AK487)),IF(LEN(LEFT(AK487,FIND("-",AK487)-1))=4,DATE(VALUE(LEFT(AK487,4)),VALUE(MID(AK487,6,2)),VALUE(RIGHT(AK487,2))),DATE(VALUE(RIGHT(AK487,4)),VALUE(MID(AK487,4,2)),VALUE(LEFT(AK487,2)))),DATE(VALUE(RIGHT(AK487,4)),MATCH(MID(AK487,4,3),{"Jan","Feb","Mar","Apr","May","Jun","Jul","Aug","Sep","Oct","Nov","Dec"},0),VALUE(LEFT(AK487,2))))))</f>
        <v>45680</v>
      </c>
      <c r="D487" s="4" t="s">
        <v>1933</v>
      </c>
      <c r="E487" s="0" t="str">
        <f aca="false">PROPER(TRIM(AL487))</f>
        <v>Rahul Verma</v>
      </c>
      <c r="F487" s="0" t="str">
        <f aca="false">PROPER(TRIM(AM487))</f>
        <v>Corporate</v>
      </c>
      <c r="G487" s="0" t="str">
        <f aca="false">IF(TRIM(AN487)="","Unknown",PROPER(TRIM(AN487)))</f>
        <v>West</v>
      </c>
      <c r="H487" s="0" t="str">
        <f aca="false">PROPER(TRIM(AO487))</f>
        <v>Goa</v>
      </c>
      <c r="I487" s="0" t="str">
        <f aca="false">PROPER(TRIM(AP487))</f>
        <v>Panaji</v>
      </c>
      <c r="J487" s="0" t="str">
        <f aca="false">PROPER(TRIM(AQ487))</f>
        <v>Furniture</v>
      </c>
      <c r="K487" s="0" t="str">
        <f aca="false">PROPER(TRIM(AR487))</f>
        <v>Bookcases</v>
      </c>
      <c r="M487" s="0" t="str">
        <f aca="false">IF(TRIM(AS487)="","Unknown",PROPER(TRIM(AS487)))</f>
        <v>Standard Class</v>
      </c>
      <c r="N487" s="0" t="n">
        <v>4</v>
      </c>
      <c r="O487" s="0" t="n">
        <v>2555.19</v>
      </c>
      <c r="P487" s="5" t="n">
        <f aca="false">IF(AT487="","",IF(ISNUMBER(AT487),AT487,VALUE(SUBSTITUTE(AT487,"%",""))/100))</f>
        <v>0.25</v>
      </c>
      <c r="Q487" s="5" t="n">
        <f aca="false">IF(P487="",IF(AND(N487&lt;&gt;"",O487&lt;&gt;"",R487&lt;&gt;"",S487&lt;&gt;""),0,"REVIEW"),IF(OR(P487&lt;0,P487&gt;0.3),0,P487))</f>
        <v>0.25</v>
      </c>
      <c r="R487" s="0" t="n">
        <v>7665.57</v>
      </c>
      <c r="S487" s="0" t="n">
        <v>5595.6</v>
      </c>
      <c r="T487" s="6" t="n">
        <f aca="false">N487*O487*(1-Q487)</f>
        <v>7665.57</v>
      </c>
      <c r="U487" s="6" t="n">
        <f aca="false">T487-S487</f>
        <v>2069.97</v>
      </c>
      <c r="V487" s="7" t="n">
        <f aca="false">IF(T487=0,0,U487/T487)</f>
        <v>0.270034713661215</v>
      </c>
      <c r="W487" s="4" t="n">
        <f aca="false">C487-B487</f>
        <v>1</v>
      </c>
      <c r="X487" s="0" t="str">
        <f aca="false">TEXT(B487,"mmmm")</f>
        <v>January</v>
      </c>
      <c r="Y487" s="4" t="n">
        <f aca="false">YEAR(B487)</f>
        <v>2025</v>
      </c>
      <c r="Z487" s="0" t="str">
        <f aca="false">PROPER(TRIM(AU487))</f>
        <v>Paid</v>
      </c>
      <c r="AA487" s="0" t="str">
        <f aca="false">PROPER(TRIM(AV487))</f>
        <v>Completed</v>
      </c>
      <c r="AB487" s="0" t="str">
        <f aca="false">IF(TRIM(AN487)="","Yes","No")</f>
        <v>No</v>
      </c>
      <c r="AC487" s="0" t="str">
        <f aca="false">IF(TRIM(AS487)="","Yes","No")</f>
        <v>No</v>
      </c>
      <c r="AD487" s="0" t="str">
        <f aca="false">IF(AT487="","Yes","No")</f>
        <v>No</v>
      </c>
      <c r="AE487" s="0" t="str">
        <f aca="false">IF(W487&lt;0,"Yes","No")</f>
        <v>No</v>
      </c>
      <c r="AF487" s="0" t="str">
        <f aca="false">IF(P487="","No",IF(OR(P487&lt;0,P487&gt;0.3),"Yes","No"))</f>
        <v>No</v>
      </c>
      <c r="AG487" s="4" t="s">
        <v>50</v>
      </c>
      <c r="AH487" s="0" t="str">
        <f aca="false">IF(AND(AA487="Completed",Z487="Paid"),"Yes","No")</f>
        <v>Yes</v>
      </c>
      <c r="AI487" s="0" t="str">
        <f aca="false">IF(OR(AE487="Yes",AF487="Yes",AG487="Yes"),"Invalid",IF(OR(AB487="Yes",AC487="Yes",AD487="Yes"),"Warning","Clean"))</f>
        <v>Clean</v>
      </c>
      <c r="AJ487" s="4" t="s">
        <v>1520</v>
      </c>
      <c r="AK487" s="4" t="s">
        <v>195</v>
      </c>
      <c r="AL487" s="4" t="s">
        <v>163</v>
      </c>
      <c r="AM487" s="4" t="s">
        <v>128</v>
      </c>
      <c r="AN487" s="4" t="s">
        <v>97</v>
      </c>
      <c r="AO487" s="4" t="s">
        <v>250</v>
      </c>
      <c r="AP487" s="4" t="s">
        <v>251</v>
      </c>
      <c r="AQ487" s="4" t="s">
        <v>72</v>
      </c>
      <c r="AR487" s="4" t="s">
        <v>211</v>
      </c>
      <c r="AS487" s="4" t="s">
        <v>91</v>
      </c>
      <c r="AT487" s="0" t="n">
        <v>0.25</v>
      </c>
      <c r="AU487" s="4" t="s">
        <v>61</v>
      </c>
      <c r="AV487" s="4" t="s">
        <v>62</v>
      </c>
    </row>
    <row r="488" customFormat="false" ht="15" hidden="false" customHeight="false" outlineLevel="0" collapsed="false">
      <c r="A488" s="0" t="s">
        <v>1934</v>
      </c>
      <c r="B488" s="3" t="n">
        <f aca="false">IF(AJ488="","",IF(ISNUMBER(SEARCH("/",AJ488)),DATE(VALUE(RIGHT(AJ488,4)),VALUE(LEFT(AJ488,2)),VALUE(MID(AJ488,4,2))),IF(ISNUMBER(SEARCH("-",AJ488)),IF(LEN(LEFT(AJ488,FIND("-",AJ488)-1))=4,DATE(VALUE(LEFT(AJ488,4)),VALUE(MID(AJ488,6,2)),VALUE(RIGHT(AJ488,2))),DATE(VALUE(RIGHT(AJ488,4)),VALUE(MID(AJ488,4,2)),VALUE(LEFT(AJ488,2)))),DATE(VALUE(RIGHT(AJ488,4)),MATCH(MID(AJ488,4,3),{"Jan","Feb","Mar","Apr","May","Jun","Jul","Aug","Sep","Oct","Nov","Dec"},0),VALUE(LEFT(AJ488,2))))))</f>
        <v>45830</v>
      </c>
      <c r="C488" s="3" t="n">
        <f aca="false">IF(AK488="","",IF(ISNUMBER(SEARCH("/",AK488)),DATE(VALUE(RIGHT(AK488,4)),VALUE(LEFT(AK488,2)),VALUE(MID(AK488,4,2))),IF(ISNUMBER(SEARCH("-",AK488)),IF(LEN(LEFT(AK488,FIND("-",AK488)-1))=4,DATE(VALUE(LEFT(AK488,4)),VALUE(MID(AK488,6,2)),VALUE(RIGHT(AK488,2))),DATE(VALUE(RIGHT(AK488,4)),VALUE(MID(AK488,4,2)),VALUE(LEFT(AK488,2)))),DATE(VALUE(RIGHT(AK488,4)),MATCH(MID(AK488,4,3),{"Jan","Feb","Mar","Apr","May","Jun","Jul","Aug","Sep","Oct","Nov","Dec"},0),VALUE(LEFT(AK488,2))))))</f>
        <v>45834</v>
      </c>
      <c r="D488" s="4" t="s">
        <v>1935</v>
      </c>
      <c r="E488" s="0" t="str">
        <f aca="false">PROPER(TRIM(AL488))</f>
        <v>Rahul Verma</v>
      </c>
      <c r="F488" s="0" t="str">
        <f aca="false">PROPER(TRIM(AM488))</f>
        <v>Corporate</v>
      </c>
      <c r="G488" s="0" t="str">
        <f aca="false">IF(TRIM(AN488)="","Unknown",PROPER(TRIM(AN488)))</f>
        <v>West</v>
      </c>
      <c r="H488" s="0" t="str">
        <f aca="false">PROPER(TRIM(AO488))</f>
        <v>Goa</v>
      </c>
      <c r="I488" s="0" t="str">
        <f aca="false">PROPER(TRIM(AP488))</f>
        <v>Panaji</v>
      </c>
      <c r="J488" s="0" t="str">
        <f aca="false">PROPER(TRIM(AQ488))</f>
        <v>Furniture</v>
      </c>
      <c r="K488" s="0" t="str">
        <f aca="false">PROPER(TRIM(AR488))</f>
        <v>Tables</v>
      </c>
      <c r="M488" s="0" t="str">
        <f aca="false">IF(TRIM(AS488)="","Unknown",PROPER(TRIM(AS488)))</f>
        <v>Standard Class</v>
      </c>
      <c r="N488" s="0" t="n">
        <v>3</v>
      </c>
      <c r="O488" s="0" t="n">
        <v>1946.18</v>
      </c>
      <c r="P488" s="5" t="n">
        <f aca="false">IF(AT488="","",IF(ISNUMBER(AT488),AT488,VALUE(SUBSTITUTE(AT488,"%",""))/100))</f>
        <v>0.2</v>
      </c>
      <c r="Q488" s="5" t="n">
        <f aca="false">IF(P488="",IF(AND(N488&lt;&gt;"",O488&lt;&gt;"",R488&lt;&gt;"",S488&lt;&gt;""),0,"REVIEW"),IF(OR(P488&lt;0,P488&gt;0.3),0,P488))</f>
        <v>0.2</v>
      </c>
      <c r="R488" s="0" t="n">
        <v>4670.83</v>
      </c>
      <c r="S488" s="0" t="n">
        <v>3166.49</v>
      </c>
      <c r="T488" s="6" t="n">
        <f aca="false">N488*O488*(1-Q488)</f>
        <v>4670.832</v>
      </c>
      <c r="U488" s="6" t="n">
        <f aca="false">T488-S488</f>
        <v>1504.342</v>
      </c>
      <c r="V488" s="7" t="n">
        <f aca="false">IF(T488=0,0,U488/T488)</f>
        <v>0.322071528156012</v>
      </c>
      <c r="W488" s="4" t="n">
        <f aca="false">C488-B488</f>
        <v>4</v>
      </c>
      <c r="X488" s="0" t="str">
        <f aca="false">TEXT(B488,"mmmm")</f>
        <v>June</v>
      </c>
      <c r="Y488" s="4" t="n">
        <f aca="false">YEAR(B488)</f>
        <v>2025</v>
      </c>
      <c r="Z488" s="0" t="str">
        <f aca="false">PROPER(TRIM(AU488))</f>
        <v>Paid</v>
      </c>
      <c r="AA488" s="0" t="str">
        <f aca="false">PROPER(TRIM(AV488))</f>
        <v>Completed</v>
      </c>
      <c r="AB488" s="0" t="str">
        <f aca="false">IF(TRIM(AN488)="","Yes","No")</f>
        <v>No</v>
      </c>
      <c r="AC488" s="0" t="str">
        <f aca="false">IF(TRIM(AS488)="","Yes","No")</f>
        <v>No</v>
      </c>
      <c r="AD488" s="0" t="str">
        <f aca="false">IF(AT488="","Yes","No")</f>
        <v>No</v>
      </c>
      <c r="AE488" s="0" t="str">
        <f aca="false">IF(W488&lt;0,"Yes","No")</f>
        <v>No</v>
      </c>
      <c r="AF488" s="0" t="str">
        <f aca="false">IF(P488="","No",IF(OR(P488&lt;0,P488&gt;0.3),"Yes","No"))</f>
        <v>No</v>
      </c>
      <c r="AG488" s="4" t="s">
        <v>50</v>
      </c>
      <c r="AH488" s="0" t="str">
        <f aca="false">IF(AND(AA488="Completed",Z488="Paid"),"Yes","No")</f>
        <v>Yes</v>
      </c>
      <c r="AI488" s="0" t="str">
        <f aca="false">IF(OR(AE488="Yes",AF488="Yes",AG488="Yes"),"Invalid",IF(OR(AB488="Yes",AC488="Yes",AD488="Yes"),"Warning","Clean"))</f>
        <v>Clean</v>
      </c>
      <c r="AJ488" s="4" t="s">
        <v>1936</v>
      </c>
      <c r="AK488" s="4" t="s">
        <v>1937</v>
      </c>
      <c r="AL488" s="4" t="s">
        <v>163</v>
      </c>
      <c r="AM488" s="4" t="s">
        <v>128</v>
      </c>
      <c r="AN488" s="4" t="s">
        <v>97</v>
      </c>
      <c r="AO488" s="4" t="s">
        <v>250</v>
      </c>
      <c r="AP488" s="4" t="s">
        <v>251</v>
      </c>
      <c r="AQ488" s="4" t="s">
        <v>72</v>
      </c>
      <c r="AR488" s="4" t="s">
        <v>73</v>
      </c>
      <c r="AS488" s="4" t="s">
        <v>91</v>
      </c>
      <c r="AT488" s="0" t="n">
        <v>0.2</v>
      </c>
      <c r="AU488" s="4" t="s">
        <v>61</v>
      </c>
      <c r="AV488" s="4" t="s">
        <v>62</v>
      </c>
    </row>
    <row r="489" customFormat="false" ht="15" hidden="false" customHeight="false" outlineLevel="0" collapsed="false">
      <c r="A489" s="0" t="s">
        <v>1938</v>
      </c>
      <c r="B489" s="3" t="n">
        <f aca="false">IF(AJ489="","",IF(ISNUMBER(SEARCH("/",AJ489)),DATE(VALUE(RIGHT(AJ489,4)),VALUE(LEFT(AJ489,2)),VALUE(MID(AJ489,4,2))),IF(ISNUMBER(SEARCH("-",AJ489)),IF(LEN(LEFT(AJ489,FIND("-",AJ489)-1))=4,DATE(VALUE(LEFT(AJ489,4)),VALUE(MID(AJ489,6,2)),VALUE(RIGHT(AJ489,2))),DATE(VALUE(RIGHT(AJ489,4)),VALUE(MID(AJ489,4,2)),VALUE(LEFT(AJ489,2)))),DATE(VALUE(RIGHT(AJ489,4)),MATCH(MID(AJ489,4,3),{"Jan","Feb","Mar","Apr","May","Jun","Jul","Aug","Sep","Oct","Nov","Dec"},0),VALUE(LEFT(AJ489,2))))))</f>
        <v>45818</v>
      </c>
      <c r="C489" s="3" t="n">
        <f aca="false">IF(AK489="","",IF(ISNUMBER(SEARCH("/",AK489)),DATE(VALUE(RIGHT(AK489,4)),VALUE(LEFT(AK489,2)),VALUE(MID(AK489,4,2))),IF(ISNUMBER(SEARCH("-",AK489)),IF(LEN(LEFT(AK489,FIND("-",AK489)-1))=4,DATE(VALUE(LEFT(AK489,4)),VALUE(MID(AK489,6,2)),VALUE(RIGHT(AK489,2))),DATE(VALUE(RIGHT(AK489,4)),VALUE(MID(AK489,4,2)),VALUE(LEFT(AK489,2)))),DATE(VALUE(RIGHT(AK489,4)),MATCH(MID(AK489,4,3),{"Jan","Feb","Mar","Apr","May","Jun","Jul","Aug","Sep","Oct","Nov","Dec"},0),VALUE(LEFT(AK489,2))))))</f>
        <v>45825</v>
      </c>
      <c r="D489" s="4" t="s">
        <v>1939</v>
      </c>
      <c r="E489" s="0" t="str">
        <f aca="false">PROPER(TRIM(AL489))</f>
        <v>Rahul Verma</v>
      </c>
      <c r="F489" s="0" t="str">
        <f aca="false">PROPER(TRIM(AM489))</f>
        <v>Corporate</v>
      </c>
      <c r="G489" s="0" t="str">
        <f aca="false">IF(TRIM(AN489)="","Unknown",PROPER(TRIM(AN489)))</f>
        <v>South</v>
      </c>
      <c r="H489" s="0" t="str">
        <f aca="false">PROPER(TRIM(AO489))</f>
        <v>Telangana</v>
      </c>
      <c r="I489" s="0" t="str">
        <f aca="false">PROPER(TRIM(AP489))</f>
        <v>Hyderabad</v>
      </c>
      <c r="J489" s="0" t="str">
        <f aca="false">PROPER(TRIM(AQ489))</f>
        <v>Furniture</v>
      </c>
      <c r="K489" s="0" t="str">
        <f aca="false">PROPER(TRIM(AR489))</f>
        <v>Furnishings</v>
      </c>
      <c r="M489" s="0" t="str">
        <f aca="false">IF(TRIM(AS489)="","Unknown",PROPER(TRIM(AS489)))</f>
        <v>Standard Class</v>
      </c>
      <c r="N489" s="0" t="n">
        <v>5</v>
      </c>
      <c r="O489" s="0" t="n">
        <v>1231.1</v>
      </c>
      <c r="P489" s="5" t="n">
        <f aca="false">IF(AT489="","",IF(ISNUMBER(AT489),AT489,VALUE(SUBSTITUTE(AT489,"%",""))/100))</f>
        <v>0</v>
      </c>
      <c r="Q489" s="5" t="n">
        <f aca="false">IF(P489="",IF(AND(N489&lt;&gt;"",O489&lt;&gt;"",R489&lt;&gt;"",S489&lt;&gt;""),0,"REVIEW"),IF(OR(P489&lt;0,P489&gt;0.3),0,P489))</f>
        <v>0</v>
      </c>
      <c r="R489" s="0" t="n">
        <v>6155.5</v>
      </c>
      <c r="S489" s="0" t="n">
        <v>4282.09</v>
      </c>
      <c r="T489" s="6" t="n">
        <f aca="false">N489*O489*(1-Q489)</f>
        <v>6155.5</v>
      </c>
      <c r="U489" s="6" t="n">
        <f aca="false">T489-S489</f>
        <v>1873.41</v>
      </c>
      <c r="V489" s="7" t="n">
        <f aca="false">IF(T489=0,0,U489/T489)</f>
        <v>0.304347331654618</v>
      </c>
      <c r="W489" s="4" t="n">
        <f aca="false">C489-B489</f>
        <v>7</v>
      </c>
      <c r="X489" s="0" t="str">
        <f aca="false">TEXT(B489,"mmmm")</f>
        <v>June</v>
      </c>
      <c r="Y489" s="4" t="n">
        <f aca="false">YEAR(B489)</f>
        <v>2025</v>
      </c>
      <c r="Z489" s="0" t="str">
        <f aca="false">PROPER(TRIM(AU489))</f>
        <v>Refunded</v>
      </c>
      <c r="AA489" s="0" t="str">
        <f aca="false">PROPER(TRIM(AV489))</f>
        <v>Returned</v>
      </c>
      <c r="AB489" s="0" t="str">
        <f aca="false">IF(TRIM(AN489)="","Yes","No")</f>
        <v>No</v>
      </c>
      <c r="AC489" s="0" t="str">
        <f aca="false">IF(TRIM(AS489)="","Yes","No")</f>
        <v>No</v>
      </c>
      <c r="AD489" s="0" t="str">
        <f aca="false">IF(AT489="","Yes","No")</f>
        <v>No</v>
      </c>
      <c r="AE489" s="0" t="str">
        <f aca="false">IF(W489&lt;0,"Yes","No")</f>
        <v>No</v>
      </c>
      <c r="AF489" s="0" t="str">
        <f aca="false">IF(P489="","No",IF(OR(P489&lt;0,P489&gt;0.3),"Yes","No"))</f>
        <v>No</v>
      </c>
      <c r="AG489" s="4" t="s">
        <v>50</v>
      </c>
      <c r="AH489" s="0" t="str">
        <f aca="false">IF(AND(AA489="Completed",Z489="Paid"),"Yes","No")</f>
        <v>No</v>
      </c>
      <c r="AI489" s="0" t="str">
        <f aca="false">IF(OR(AE489="Yes",AF489="Yes",AG489="Yes"),"Invalid",IF(OR(AB489="Yes",AC489="Yes",AD489="Yes"),"Warning","Clean"))</f>
        <v>Clean</v>
      </c>
      <c r="AJ489" s="4" t="s">
        <v>1620</v>
      </c>
      <c r="AK489" s="4" t="s">
        <v>1940</v>
      </c>
      <c r="AL489" s="4" t="s">
        <v>163</v>
      </c>
      <c r="AM489" s="4" t="s">
        <v>128</v>
      </c>
      <c r="AN489" s="4" t="s">
        <v>87</v>
      </c>
      <c r="AO489" s="4" t="s">
        <v>88</v>
      </c>
      <c r="AP489" s="4" t="s">
        <v>89</v>
      </c>
      <c r="AQ489" s="4" t="s">
        <v>72</v>
      </c>
      <c r="AR489" s="4" t="s">
        <v>90</v>
      </c>
      <c r="AS489" s="4" t="s">
        <v>91</v>
      </c>
      <c r="AT489" s="0" t="n">
        <v>0</v>
      </c>
      <c r="AU489" s="4" t="s">
        <v>141</v>
      </c>
      <c r="AV489" s="4" t="s">
        <v>142</v>
      </c>
    </row>
    <row r="490" customFormat="false" ht="15" hidden="false" customHeight="false" outlineLevel="0" collapsed="false">
      <c r="A490" s="0" t="s">
        <v>1941</v>
      </c>
      <c r="B490" s="3" t="n">
        <f aca="false">IF(AJ490="","",IF(ISNUMBER(SEARCH("/",AJ490)),DATE(VALUE(RIGHT(AJ490,4)),VALUE(LEFT(AJ490,2)),VALUE(MID(AJ490,4,2))),IF(ISNUMBER(SEARCH("-",AJ490)),IF(LEN(LEFT(AJ490,FIND("-",AJ490)-1))=4,DATE(VALUE(LEFT(AJ490,4)),VALUE(MID(AJ490,6,2)),VALUE(RIGHT(AJ490,2))),DATE(VALUE(RIGHT(AJ490,4)),VALUE(MID(AJ490,4,2)),VALUE(LEFT(AJ490,2)))),DATE(VALUE(RIGHT(AJ490,4)),MATCH(MID(AJ490,4,3),{"Jan","Feb","Mar","Apr","May","Jun","Jul","Aug","Sep","Oct","Nov","Dec"},0),VALUE(LEFT(AJ490,2))))))</f>
        <v>45579</v>
      </c>
      <c r="C490" s="3" t="n">
        <f aca="false">IF(AK490="","",IF(ISNUMBER(SEARCH("/",AK490)),DATE(VALUE(RIGHT(AK490,4)),VALUE(LEFT(AK490,2)),VALUE(MID(AK490,4,2))),IF(ISNUMBER(SEARCH("-",AK490)),IF(LEN(LEFT(AK490,FIND("-",AK490)-1))=4,DATE(VALUE(LEFT(AK490,4)),VALUE(MID(AK490,6,2)),VALUE(RIGHT(AK490,2))),DATE(VALUE(RIGHT(AK490,4)),VALUE(MID(AK490,4,2)),VALUE(LEFT(AK490,2)))),DATE(VALUE(RIGHT(AK490,4)),MATCH(MID(AK490,4,3),{"Jan","Feb","Mar","Apr","May","Jun","Jul","Aug","Sep","Oct","Nov","Dec"},0),VALUE(LEFT(AK490,2))))))</f>
        <v>45585</v>
      </c>
      <c r="D490" s="4" t="s">
        <v>1942</v>
      </c>
      <c r="E490" s="0" t="str">
        <f aca="false">PROPER(TRIM(AL490))</f>
        <v>Aditi Sen</v>
      </c>
      <c r="F490" s="0" t="str">
        <f aca="false">PROPER(TRIM(AM490))</f>
        <v>Small Business</v>
      </c>
      <c r="G490" s="0" t="str">
        <f aca="false">IF(TRIM(AN490)="","Unknown",PROPER(TRIM(AN490)))</f>
        <v>North</v>
      </c>
      <c r="H490" s="0" t="str">
        <f aca="false">PROPER(TRIM(AO490))</f>
        <v>Rajasthan</v>
      </c>
      <c r="I490" s="0" t="str">
        <f aca="false">PROPER(TRIM(AP490))</f>
        <v>Jaipur</v>
      </c>
      <c r="J490" s="0" t="str">
        <f aca="false">PROPER(TRIM(AQ490))</f>
        <v>Furniture</v>
      </c>
      <c r="K490" s="0" t="str">
        <f aca="false">PROPER(TRIM(AR490))</f>
        <v>Tables</v>
      </c>
      <c r="M490" s="0" t="str">
        <f aca="false">IF(TRIM(AS490)="","Unknown",PROPER(TRIM(AS490)))</f>
        <v>Same Day</v>
      </c>
      <c r="N490" s="0" t="n">
        <v>7</v>
      </c>
      <c r="O490" s="0" t="n">
        <v>1547.6</v>
      </c>
      <c r="P490" s="5" t="n">
        <f aca="false">IF(AT490="","",IF(ISNUMBER(AT490),AT490,VALUE(SUBSTITUTE(AT490,"%",""))/100))</f>
        <v>0.2</v>
      </c>
      <c r="Q490" s="5" t="n">
        <f aca="false">IF(P490="",IF(AND(N490&lt;&gt;"",O490&lt;&gt;"",R490&lt;&gt;"",S490&lt;&gt;""),0,"REVIEW"),IF(OR(P490&lt;0,P490&gt;0.3),0,P490))</f>
        <v>0.2</v>
      </c>
      <c r="R490" s="0" t="n">
        <v>8666.56</v>
      </c>
      <c r="S490" s="0" t="n">
        <v>5967.44</v>
      </c>
      <c r="T490" s="6" t="n">
        <f aca="false">N490*O490*(1-Q490)</f>
        <v>8666.56</v>
      </c>
      <c r="U490" s="6" t="n">
        <f aca="false">T490-S490</f>
        <v>2699.12</v>
      </c>
      <c r="V490" s="7" t="n">
        <f aca="false">IF(T490=0,0,U490/T490)</f>
        <v>0.311440756193922</v>
      </c>
      <c r="W490" s="4" t="n">
        <f aca="false">C490-B490</f>
        <v>6</v>
      </c>
      <c r="X490" s="0" t="str">
        <f aca="false">TEXT(B490,"mmmm")</f>
        <v>October</v>
      </c>
      <c r="Y490" s="4" t="n">
        <f aca="false">YEAR(B490)</f>
        <v>2024</v>
      </c>
      <c r="Z490" s="0" t="str">
        <f aca="false">PROPER(TRIM(AU490))</f>
        <v>Paid</v>
      </c>
      <c r="AA490" s="0" t="str">
        <f aca="false">PROPER(TRIM(AV490))</f>
        <v>Completed</v>
      </c>
      <c r="AB490" s="0" t="str">
        <f aca="false">IF(TRIM(AN490)="","Yes","No")</f>
        <v>No</v>
      </c>
      <c r="AC490" s="0" t="str">
        <f aca="false">IF(TRIM(AS490)="","Yes","No")</f>
        <v>No</v>
      </c>
      <c r="AD490" s="0" t="str">
        <f aca="false">IF(AT490="","Yes","No")</f>
        <v>No</v>
      </c>
      <c r="AE490" s="0" t="str">
        <f aca="false">IF(W490&lt;0,"Yes","No")</f>
        <v>No</v>
      </c>
      <c r="AF490" s="0" t="str">
        <f aca="false">IF(P490="","No",IF(OR(P490&lt;0,P490&gt;0.3),"Yes","No"))</f>
        <v>No</v>
      </c>
      <c r="AG490" s="4" t="s">
        <v>50</v>
      </c>
      <c r="AH490" s="0" t="str">
        <f aca="false">IF(AND(AA490="Completed",Z490="Paid"),"Yes","No")</f>
        <v>Yes</v>
      </c>
      <c r="AI490" s="0" t="str">
        <f aca="false">IF(OR(AE490="Yes",AF490="Yes",AG490="Yes"),"Invalid",IF(OR(AB490="Yes",AC490="Yes",AD490="Yes"),"Warning","Clean"))</f>
        <v>Clean</v>
      </c>
      <c r="AJ490" s="4" t="s">
        <v>1943</v>
      </c>
      <c r="AK490" s="4" t="s">
        <v>1944</v>
      </c>
      <c r="AL490" s="4" t="s">
        <v>127</v>
      </c>
      <c r="AM490" s="4" t="s">
        <v>68</v>
      </c>
      <c r="AN490" s="4" t="s">
        <v>1945</v>
      </c>
      <c r="AO490" s="4" t="s">
        <v>56</v>
      </c>
      <c r="AP490" s="4" t="s">
        <v>57</v>
      </c>
      <c r="AQ490" s="4" t="s">
        <v>72</v>
      </c>
      <c r="AR490" s="4" t="s">
        <v>73</v>
      </c>
      <c r="AS490" s="4" t="s">
        <v>74</v>
      </c>
      <c r="AT490" s="0" t="n">
        <v>0.2</v>
      </c>
      <c r="AU490" s="4" t="s">
        <v>61</v>
      </c>
      <c r="AV490" s="4" t="s">
        <v>62</v>
      </c>
    </row>
    <row r="491" customFormat="false" ht="15" hidden="false" customHeight="false" outlineLevel="0" collapsed="false">
      <c r="A491" s="0" t="s">
        <v>1946</v>
      </c>
      <c r="B491" s="3" t="n">
        <f aca="false">IF(AJ491="","",IF(ISNUMBER(SEARCH("/",AJ491)),DATE(VALUE(RIGHT(AJ491,4)),VALUE(LEFT(AJ491,2)),VALUE(MID(AJ491,4,2))),IF(ISNUMBER(SEARCH("-",AJ491)),IF(LEN(LEFT(AJ491,FIND("-",AJ491)-1))=4,DATE(VALUE(LEFT(AJ491,4)),VALUE(MID(AJ491,6,2)),VALUE(RIGHT(AJ491,2))),DATE(VALUE(RIGHT(AJ491,4)),VALUE(MID(AJ491,4,2)),VALUE(LEFT(AJ491,2)))),DATE(VALUE(RIGHT(AJ491,4)),MATCH(MID(AJ491,4,3),{"Jan","Feb","Mar","Apr","May","Jun","Jul","Aug","Sep","Oct","Nov","Dec"},0),VALUE(LEFT(AJ491,2))))))</f>
        <v>45329</v>
      </c>
      <c r="C491" s="3" t="n">
        <f aca="false">IF(AK491="","",IF(ISNUMBER(SEARCH("/",AK491)),DATE(VALUE(RIGHT(AK491,4)),VALUE(LEFT(AK491,2)),VALUE(MID(AK491,4,2))),IF(ISNUMBER(SEARCH("-",AK491)),IF(LEN(LEFT(AK491,FIND("-",AK491)-1))=4,DATE(VALUE(LEFT(AK491,4)),VALUE(MID(AK491,6,2)),VALUE(RIGHT(AK491,2))),DATE(VALUE(RIGHT(AK491,4)),VALUE(MID(AK491,4,2)),VALUE(LEFT(AK491,2)))),DATE(VALUE(RIGHT(AK491,4)),MATCH(MID(AK491,4,3),{"Jan","Feb","Mar","Apr","May","Jun","Jul","Aug","Sep","Oct","Nov","Dec"},0),VALUE(LEFT(AK491,2))))))</f>
        <v>45334</v>
      </c>
      <c r="D491" s="4" t="s">
        <v>1947</v>
      </c>
      <c r="E491" s="0" t="str">
        <f aca="false">PROPER(TRIM(AL491))</f>
        <v>Arjun Bose</v>
      </c>
      <c r="F491" s="0" t="str">
        <f aca="false">PROPER(TRIM(AM491))</f>
        <v>Home Office</v>
      </c>
      <c r="G491" s="0" t="str">
        <f aca="false">IF(TRIM(AN491)="","Unknown",PROPER(TRIM(AN491)))</f>
        <v>East</v>
      </c>
      <c r="H491" s="0" t="str">
        <f aca="false">PROPER(TRIM(AO491))</f>
        <v>West Bengal</v>
      </c>
      <c r="I491" s="0" t="str">
        <f aca="false">PROPER(TRIM(AP491))</f>
        <v>Kolkata</v>
      </c>
      <c r="J491" s="0" t="str">
        <f aca="false">PROPER(TRIM(AQ491))</f>
        <v>Technology</v>
      </c>
      <c r="K491" s="0" t="str">
        <f aca="false">PROPER(TRIM(AR491))</f>
        <v>Accessories</v>
      </c>
      <c r="M491" s="0" t="str">
        <f aca="false">IF(TRIM(AS491)="","Unknown",PROPER(TRIM(AS491)))</f>
        <v>Second Class</v>
      </c>
      <c r="N491" s="0" t="n">
        <v>1</v>
      </c>
      <c r="O491" s="0" t="n">
        <v>452.19</v>
      </c>
      <c r="P491" s="5" t="n">
        <f aca="false">IF(AT491="","",IF(ISNUMBER(AT491),AT491,VALUE(SUBSTITUTE(AT491,"%",""))/100))</f>
        <v>0.2</v>
      </c>
      <c r="Q491" s="5" t="n">
        <f aca="false">IF(P491="",IF(AND(N491&lt;&gt;"",O491&lt;&gt;"",R491&lt;&gt;"",S491&lt;&gt;""),0,"REVIEW"),IF(OR(P491&lt;0,P491&gt;0.3),0,P491))</f>
        <v>0.2</v>
      </c>
      <c r="R491" s="0" t="n">
        <v>361.75</v>
      </c>
      <c r="S491" s="0" t="n">
        <v>262.53</v>
      </c>
      <c r="T491" s="6" t="n">
        <f aca="false">N491*O491*(1-Q491)</f>
        <v>361.752</v>
      </c>
      <c r="U491" s="6" t="n">
        <f aca="false">T491-S491</f>
        <v>99.222</v>
      </c>
      <c r="V491" s="7" t="n">
        <f aca="false">IF(T491=0,0,U491/T491)</f>
        <v>0.27428182843495</v>
      </c>
      <c r="W491" s="4" t="n">
        <f aca="false">C491-B491</f>
        <v>5</v>
      </c>
      <c r="X491" s="0" t="str">
        <f aca="false">TEXT(B491,"mmmm")</f>
        <v>February</v>
      </c>
      <c r="Y491" s="4" t="n">
        <f aca="false">YEAR(B491)</f>
        <v>2024</v>
      </c>
      <c r="Z491" s="0" t="str">
        <f aca="false">PROPER(TRIM(AU491))</f>
        <v>Paid</v>
      </c>
      <c r="AA491" s="0" t="str">
        <f aca="false">PROPER(TRIM(AV491))</f>
        <v>Completed</v>
      </c>
      <c r="AB491" s="0" t="str">
        <f aca="false">IF(TRIM(AN491)="","Yes","No")</f>
        <v>No</v>
      </c>
      <c r="AC491" s="0" t="str">
        <f aca="false">IF(TRIM(AS491)="","Yes","No")</f>
        <v>No</v>
      </c>
      <c r="AD491" s="0" t="str">
        <f aca="false">IF(AT491="","Yes","No")</f>
        <v>No</v>
      </c>
      <c r="AE491" s="0" t="str">
        <f aca="false">IF(W491&lt;0,"Yes","No")</f>
        <v>No</v>
      </c>
      <c r="AF491" s="0" t="str">
        <f aca="false">IF(P491="","No",IF(OR(P491&lt;0,P491&gt;0.3),"Yes","No"))</f>
        <v>No</v>
      </c>
      <c r="AG491" s="4" t="s">
        <v>50</v>
      </c>
      <c r="AH491" s="0" t="str">
        <f aca="false">IF(AND(AA491="Completed",Z491="Paid"),"Yes","No")</f>
        <v>Yes</v>
      </c>
      <c r="AI491" s="0" t="str">
        <f aca="false">IF(OR(AE491="Yes",AF491="Yes",AG491="Yes"),"Invalid",IF(OR(AB491="Yes",AC491="Yes",AD491="Yes"),"Warning","Clean"))</f>
        <v>Clean</v>
      </c>
      <c r="AJ491" s="4" t="s">
        <v>367</v>
      </c>
      <c r="AK491" s="4" t="s">
        <v>1948</v>
      </c>
      <c r="AL491" s="4" t="s">
        <v>86</v>
      </c>
      <c r="AM491" s="4" t="s">
        <v>134</v>
      </c>
      <c r="AN491" s="4" t="s">
        <v>69</v>
      </c>
      <c r="AO491" s="4" t="s">
        <v>139</v>
      </c>
      <c r="AP491" s="4" t="s">
        <v>140</v>
      </c>
      <c r="AQ491" s="4" t="s">
        <v>109</v>
      </c>
      <c r="AR491" s="4" t="s">
        <v>110</v>
      </c>
      <c r="AS491" s="4" t="s">
        <v>60</v>
      </c>
      <c r="AT491" s="0" t="n">
        <v>0.2</v>
      </c>
      <c r="AU491" s="4" t="s">
        <v>61</v>
      </c>
      <c r="AV491" s="4" t="s">
        <v>62</v>
      </c>
    </row>
    <row r="492" customFormat="false" ht="15" hidden="false" customHeight="false" outlineLevel="0" collapsed="false">
      <c r="A492" s="0" t="s">
        <v>1949</v>
      </c>
      <c r="B492" s="3" t="n">
        <f aca="false">IF(AJ492="","",IF(ISNUMBER(SEARCH("/",AJ492)),DATE(VALUE(RIGHT(AJ492,4)),VALUE(LEFT(AJ492,2)),VALUE(MID(AJ492,4,2))),IF(ISNUMBER(SEARCH("-",AJ492)),IF(LEN(LEFT(AJ492,FIND("-",AJ492)-1))=4,DATE(VALUE(LEFT(AJ492,4)),VALUE(MID(AJ492,6,2)),VALUE(RIGHT(AJ492,2))),DATE(VALUE(RIGHT(AJ492,4)),VALUE(MID(AJ492,4,2)),VALUE(LEFT(AJ492,2)))),DATE(VALUE(RIGHT(AJ492,4)),MATCH(MID(AJ492,4,3),{"Jan","Feb","Mar","Apr","May","Jun","Jul","Aug","Sep","Oct","Nov","Dec"},0),VALUE(LEFT(AJ492,2))))))</f>
        <v>45551</v>
      </c>
      <c r="C492" s="3" t="n">
        <f aca="false">IF(AK492="","",IF(ISNUMBER(SEARCH("/",AK492)),DATE(VALUE(RIGHT(AK492,4)),VALUE(LEFT(AK492,2)),VALUE(MID(AK492,4,2))),IF(ISNUMBER(SEARCH("-",AK492)),IF(LEN(LEFT(AK492,FIND("-",AK492)-1))=4,DATE(VALUE(LEFT(AK492,4)),VALUE(MID(AK492,6,2)),VALUE(RIGHT(AK492,2))),DATE(VALUE(RIGHT(AK492,4)),VALUE(MID(AK492,4,2)),VALUE(LEFT(AK492,2)))),DATE(VALUE(RIGHT(AK492,4)),MATCH(MID(AK492,4,3),{"Jan","Feb","Mar","Apr","May","Jun","Jul","Aug","Sep","Oct","Nov","Dec"},0),VALUE(LEFT(AK492,2))))))</f>
        <v>45554</v>
      </c>
      <c r="D492" s="4" t="s">
        <v>1950</v>
      </c>
      <c r="E492" s="0" t="str">
        <f aca="false">PROPER(TRIM(AL492))</f>
        <v>Aditi Sen</v>
      </c>
      <c r="F492" s="0" t="str">
        <f aca="false">PROPER(TRIM(AM492))</f>
        <v>Consumer</v>
      </c>
      <c r="G492" s="0" t="str">
        <f aca="false">IF(TRIM(AN492)="","Unknown",PROPER(TRIM(AN492)))</f>
        <v>West</v>
      </c>
      <c r="H492" s="0" t="str">
        <f aca="false">PROPER(TRIM(AO492))</f>
        <v>Rajasthan</v>
      </c>
      <c r="I492" s="0" t="str">
        <f aca="false">PROPER(TRIM(AP492))</f>
        <v>Udaipur</v>
      </c>
      <c r="J492" s="0" t="str">
        <f aca="false">PROPER(TRIM(AQ492))</f>
        <v>Office Supplies</v>
      </c>
      <c r="K492" s="0" t="str">
        <f aca="false">PROPER(TRIM(AR492))</f>
        <v>Binders</v>
      </c>
      <c r="M492" s="0" t="str">
        <f aca="false">IF(TRIM(AS492)="","Unknown",PROPER(TRIM(AS492)))</f>
        <v>First Class</v>
      </c>
      <c r="N492" s="0" t="n">
        <v>7</v>
      </c>
      <c r="O492" s="0" t="n">
        <v>406.42</v>
      </c>
      <c r="P492" s="5" t="n">
        <f aca="false">IF(AT492="","",IF(ISNUMBER(AT492),AT492,VALUE(SUBSTITUTE(AT492,"%",""))/100))</f>
        <v>0.15</v>
      </c>
      <c r="Q492" s="5" t="n">
        <f aca="false">IF(P492="",IF(AND(N492&lt;&gt;"",O492&lt;&gt;"",R492&lt;&gt;"",S492&lt;&gt;""),0,"REVIEW"),IF(OR(P492&lt;0,P492&gt;0.3),0,P492))</f>
        <v>0.15</v>
      </c>
      <c r="R492" s="0" t="n">
        <v>2418.2</v>
      </c>
      <c r="S492" s="0" t="n">
        <v>1613.82</v>
      </c>
      <c r="T492" s="6" t="n">
        <f aca="false">N492*O492*(1-Q492)</f>
        <v>2418.199</v>
      </c>
      <c r="U492" s="6" t="n">
        <f aca="false">T492-S492</f>
        <v>804.379</v>
      </c>
      <c r="V492" s="7" t="n">
        <f aca="false">IF(T492=0,0,U492/T492)</f>
        <v>0.332635568867575</v>
      </c>
      <c r="W492" s="4" t="n">
        <f aca="false">C492-B492</f>
        <v>3</v>
      </c>
      <c r="X492" s="0" t="str">
        <f aca="false">TEXT(B492,"mmmm")</f>
        <v>September</v>
      </c>
      <c r="Y492" s="4" t="n">
        <f aca="false">YEAR(B492)</f>
        <v>2024</v>
      </c>
      <c r="Z492" s="0" t="str">
        <f aca="false">PROPER(TRIM(AU492))</f>
        <v>Paid</v>
      </c>
      <c r="AA492" s="0" t="str">
        <f aca="false">PROPER(TRIM(AV492))</f>
        <v>Completed</v>
      </c>
      <c r="AB492" s="0" t="str">
        <f aca="false">IF(TRIM(AN492)="","Yes","No")</f>
        <v>No</v>
      </c>
      <c r="AC492" s="0" t="str">
        <f aca="false">IF(TRIM(AS492)="","Yes","No")</f>
        <v>No</v>
      </c>
      <c r="AD492" s="0" t="str">
        <f aca="false">IF(AT492="","Yes","No")</f>
        <v>No</v>
      </c>
      <c r="AE492" s="0" t="str">
        <f aca="false">IF(W492&lt;0,"Yes","No")</f>
        <v>No</v>
      </c>
      <c r="AF492" s="0" t="str">
        <f aca="false">IF(P492="","No",IF(OR(P492&lt;0,P492&gt;0.3),"Yes","No"))</f>
        <v>No</v>
      </c>
      <c r="AG492" s="4" t="s">
        <v>50</v>
      </c>
      <c r="AH492" s="0" t="str">
        <f aca="false">IF(AND(AA492="Completed",Z492="Paid"),"Yes","No")</f>
        <v>Yes</v>
      </c>
      <c r="AI492" s="0" t="str">
        <f aca="false">IF(OR(AE492="Yes",AF492="Yes",AG492="Yes"),"Invalid",IF(OR(AB492="Yes",AC492="Yes",AD492="Yes"),"Warning","Clean"))</f>
        <v>Clean</v>
      </c>
      <c r="AJ492" s="4" t="s">
        <v>1951</v>
      </c>
      <c r="AK492" s="4" t="s">
        <v>1559</v>
      </c>
      <c r="AL492" s="4" t="s">
        <v>127</v>
      </c>
      <c r="AM492" s="4" t="s">
        <v>54</v>
      </c>
      <c r="AN492" s="4" t="s">
        <v>97</v>
      </c>
      <c r="AO492" s="4" t="s">
        <v>56</v>
      </c>
      <c r="AP492" s="4" t="s">
        <v>152</v>
      </c>
      <c r="AQ492" s="4" t="s">
        <v>58</v>
      </c>
      <c r="AR492" s="4" t="s">
        <v>206</v>
      </c>
      <c r="AS492" s="4" t="s">
        <v>81</v>
      </c>
      <c r="AT492" s="0" t="n">
        <v>0.15</v>
      </c>
      <c r="AU492" s="4" t="s">
        <v>61</v>
      </c>
      <c r="AV492" s="4" t="s">
        <v>62</v>
      </c>
    </row>
    <row r="493" customFormat="false" ht="15" hidden="false" customHeight="false" outlineLevel="0" collapsed="false">
      <c r="A493" s="0" t="s">
        <v>1952</v>
      </c>
      <c r="B493" s="3" t="n">
        <f aca="false">IF(AJ493="","",IF(ISNUMBER(SEARCH("/",AJ493)),DATE(VALUE(RIGHT(AJ493,4)),VALUE(LEFT(AJ493,2)),VALUE(MID(AJ493,4,2))),IF(ISNUMBER(SEARCH("-",AJ493)),IF(LEN(LEFT(AJ493,FIND("-",AJ493)-1))=4,DATE(VALUE(LEFT(AJ493,4)),VALUE(MID(AJ493,6,2)),VALUE(RIGHT(AJ493,2))),DATE(VALUE(RIGHT(AJ493,4)),VALUE(MID(AJ493,4,2)),VALUE(LEFT(AJ493,2)))),DATE(VALUE(RIGHT(AJ493,4)),MATCH(MID(AJ493,4,3),{"Jan","Feb","Mar","Apr","May","Jun","Jul","Aug","Sep","Oct","Nov","Dec"},0),VALUE(LEFT(AJ493,2))))))</f>
        <v>45776</v>
      </c>
      <c r="C493" s="3" t="n">
        <f aca="false">IF(AK493="","",IF(ISNUMBER(SEARCH("/",AK493)),DATE(VALUE(RIGHT(AK493,4)),VALUE(LEFT(AK493,2)),VALUE(MID(AK493,4,2))),IF(ISNUMBER(SEARCH("-",AK493)),IF(LEN(LEFT(AK493,FIND("-",AK493)-1))=4,DATE(VALUE(LEFT(AK493,4)),VALUE(MID(AK493,6,2)),VALUE(RIGHT(AK493,2))),DATE(VALUE(RIGHT(AK493,4)),VALUE(MID(AK493,4,2)),VALUE(LEFT(AK493,2)))),DATE(VALUE(RIGHT(AK493,4)),MATCH(MID(AK493,4,3),{"Jan","Feb","Mar","Apr","May","Jun","Jul","Aug","Sep","Oct","Nov","Dec"},0),VALUE(LEFT(AK493,2))))))</f>
        <v>45777</v>
      </c>
      <c r="D493" s="4" t="s">
        <v>1953</v>
      </c>
      <c r="E493" s="0" t="str">
        <f aca="false">PROPER(TRIM(AL493))</f>
        <v>Mira Das</v>
      </c>
      <c r="F493" s="0" t="str">
        <f aca="false">PROPER(TRIM(AM493))</f>
        <v>Corporate</v>
      </c>
      <c r="G493" s="0" t="str">
        <f aca="false">IF(TRIM(AN493)="","Unknown",PROPER(TRIM(AN493)))</f>
        <v>South</v>
      </c>
      <c r="H493" s="0" t="str">
        <f aca="false">PROPER(TRIM(AO493))</f>
        <v>Kerala</v>
      </c>
      <c r="I493" s="0" t="str">
        <f aca="false">PROPER(TRIM(AP493))</f>
        <v>Kochi</v>
      </c>
      <c r="J493" s="0" t="str">
        <f aca="false">PROPER(TRIM(AQ493))</f>
        <v>Technology</v>
      </c>
      <c r="K493" s="0" t="str">
        <f aca="false">PROPER(TRIM(AR493))</f>
        <v>Accessories</v>
      </c>
      <c r="M493" s="0" t="str">
        <f aca="false">IF(TRIM(AS493)="","Unknown",PROPER(TRIM(AS493)))</f>
        <v>Standard Class</v>
      </c>
      <c r="N493" s="0" t="n">
        <v>4</v>
      </c>
      <c r="O493" s="0" t="n">
        <v>606.58</v>
      </c>
      <c r="P493" s="5" t="n">
        <f aca="false">IF(AT493="","",IF(ISNUMBER(AT493),AT493,VALUE(SUBSTITUTE(AT493,"%",""))/100))</f>
        <v>0.2</v>
      </c>
      <c r="Q493" s="5" t="n">
        <f aca="false">IF(P493="",IF(AND(N493&lt;&gt;"",O493&lt;&gt;"",R493&lt;&gt;"",S493&lt;&gt;""),0,"REVIEW"),IF(OR(P493&lt;0,P493&gt;0.3),0,P493))</f>
        <v>0.2</v>
      </c>
      <c r="R493" s="0" t="n">
        <v>1941.06</v>
      </c>
      <c r="S493" s="0" t="n">
        <v>1207.42</v>
      </c>
      <c r="T493" s="6" t="n">
        <f aca="false">N493*O493*(1-Q493)</f>
        <v>1941.056</v>
      </c>
      <c r="U493" s="6" t="n">
        <f aca="false">T493-S493</f>
        <v>733.636</v>
      </c>
      <c r="V493" s="7" t="n">
        <f aca="false">IF(T493=0,0,U493/T493)</f>
        <v>0.377957153219691</v>
      </c>
      <c r="W493" s="4" t="n">
        <f aca="false">C493-B493</f>
        <v>1</v>
      </c>
      <c r="X493" s="0" t="str">
        <f aca="false">TEXT(B493,"mmmm")</f>
        <v>April</v>
      </c>
      <c r="Y493" s="4" t="n">
        <f aca="false">YEAR(B493)</f>
        <v>2025</v>
      </c>
      <c r="Z493" s="0" t="str">
        <f aca="false">PROPER(TRIM(AU493))</f>
        <v>Paid</v>
      </c>
      <c r="AA493" s="0" t="str">
        <f aca="false">PROPER(TRIM(AV493))</f>
        <v>Completed</v>
      </c>
      <c r="AB493" s="0" t="str">
        <f aca="false">IF(TRIM(AN493)="","Yes","No")</f>
        <v>No</v>
      </c>
      <c r="AC493" s="0" t="str">
        <f aca="false">IF(TRIM(AS493)="","Yes","No")</f>
        <v>No</v>
      </c>
      <c r="AD493" s="0" t="str">
        <f aca="false">IF(AT493="","Yes","No")</f>
        <v>No</v>
      </c>
      <c r="AE493" s="0" t="str">
        <f aca="false">IF(W493&lt;0,"Yes","No")</f>
        <v>No</v>
      </c>
      <c r="AF493" s="0" t="str">
        <f aca="false">IF(P493="","No",IF(OR(P493&lt;0,P493&gt;0.3),"Yes","No"))</f>
        <v>No</v>
      </c>
      <c r="AG493" s="4" t="s">
        <v>50</v>
      </c>
      <c r="AH493" s="0" t="str">
        <f aca="false">IF(AND(AA493="Completed",Z493="Paid"),"Yes","No")</f>
        <v>Yes</v>
      </c>
      <c r="AI493" s="0" t="str">
        <f aca="false">IF(OR(AE493="Yes",AF493="Yes",AG493="Yes"),"Invalid",IF(OR(AB493="Yes",AC493="Yes",AD493="Yes"),"Warning","Clean"))</f>
        <v>Clean</v>
      </c>
      <c r="AJ493" s="4" t="s">
        <v>1629</v>
      </c>
      <c r="AK493" s="4" t="s">
        <v>1954</v>
      </c>
      <c r="AL493" s="4" t="s">
        <v>67</v>
      </c>
      <c r="AM493" s="4" t="s">
        <v>128</v>
      </c>
      <c r="AN493" s="4" t="s">
        <v>87</v>
      </c>
      <c r="AO493" s="4" t="s">
        <v>244</v>
      </c>
      <c r="AP493" s="4" t="s">
        <v>245</v>
      </c>
      <c r="AQ493" s="4" t="s">
        <v>109</v>
      </c>
      <c r="AR493" s="4" t="s">
        <v>110</v>
      </c>
      <c r="AS493" s="4" t="s">
        <v>91</v>
      </c>
      <c r="AT493" s="0" t="n">
        <v>0.2</v>
      </c>
      <c r="AU493" s="4" t="s">
        <v>61</v>
      </c>
      <c r="AV493" s="4" t="s">
        <v>62</v>
      </c>
    </row>
    <row r="494" customFormat="false" ht="15" hidden="false" customHeight="false" outlineLevel="0" collapsed="false">
      <c r="A494" s="0" t="s">
        <v>1955</v>
      </c>
      <c r="B494" s="3" t="n">
        <f aca="false">IF(AJ494="","",IF(ISNUMBER(SEARCH("/",AJ494)),DATE(VALUE(RIGHT(AJ494,4)),VALUE(LEFT(AJ494,2)),VALUE(MID(AJ494,4,2))),IF(ISNUMBER(SEARCH("-",AJ494)),IF(LEN(LEFT(AJ494,FIND("-",AJ494)-1))=4,DATE(VALUE(LEFT(AJ494,4)),VALUE(MID(AJ494,6,2)),VALUE(RIGHT(AJ494,2))),DATE(VALUE(RIGHT(AJ494,4)),VALUE(MID(AJ494,4,2)),VALUE(LEFT(AJ494,2)))),DATE(VALUE(RIGHT(AJ494,4)),MATCH(MID(AJ494,4,3),{"Jan","Feb","Mar","Apr","May","Jun","Jul","Aug","Sep","Oct","Nov","Dec"},0),VALUE(LEFT(AJ494,2))))))</f>
        <v>45836</v>
      </c>
      <c r="C494" s="3" t="n">
        <f aca="false">IF(AK494="","",IF(ISNUMBER(SEARCH("/",AK494)),DATE(VALUE(RIGHT(AK494,4)),VALUE(LEFT(AK494,2)),VALUE(MID(AK494,4,2))),IF(ISNUMBER(SEARCH("-",AK494)),IF(LEN(LEFT(AK494,FIND("-",AK494)-1))=4,DATE(VALUE(LEFT(AK494,4)),VALUE(MID(AK494,6,2)),VALUE(RIGHT(AK494,2))),DATE(VALUE(RIGHT(AK494,4)),VALUE(MID(AK494,4,2)),VALUE(LEFT(AK494,2)))),DATE(VALUE(RIGHT(AK494,4)),MATCH(MID(AK494,4,3),{"Jan","Feb","Mar","Apr","May","Jun","Jul","Aug","Sep","Oct","Nov","Dec"},0),VALUE(LEFT(AK494,2))))))</f>
        <v>45840</v>
      </c>
      <c r="D494" s="4" t="s">
        <v>1956</v>
      </c>
      <c r="E494" s="0" t="str">
        <f aca="false">PROPER(TRIM(AL494))</f>
        <v>Ananya Rao</v>
      </c>
      <c r="F494" s="0" t="str">
        <f aca="false">PROPER(TRIM(AM494))</f>
        <v>Corporate</v>
      </c>
      <c r="G494" s="0" t="str">
        <f aca="false">IF(TRIM(AN494)="","Unknown",PROPER(TRIM(AN494)))</f>
        <v>South</v>
      </c>
      <c r="H494" s="0" t="str">
        <f aca="false">PROPER(TRIM(AO494))</f>
        <v>Andhra Pradesh</v>
      </c>
      <c r="I494" s="0" t="str">
        <f aca="false">PROPER(TRIM(AP494))</f>
        <v>Vijayawada</v>
      </c>
      <c r="J494" s="0" t="str">
        <f aca="false">PROPER(TRIM(AQ494))</f>
        <v>Office Supplies</v>
      </c>
      <c r="K494" s="0" t="str">
        <f aca="false">PROPER(TRIM(AR494))</f>
        <v>Storage</v>
      </c>
      <c r="M494" s="0" t="str">
        <f aca="false">IF(TRIM(AS494)="","Unknown",PROPER(TRIM(AS494)))</f>
        <v>Second Class</v>
      </c>
      <c r="N494" s="0" t="n">
        <v>2</v>
      </c>
      <c r="O494" s="0" t="n">
        <v>2725.44</v>
      </c>
      <c r="P494" s="5" t="n">
        <f aca="false">IF(AT494="","",IF(ISNUMBER(AT494),AT494,VALUE(SUBSTITUTE(AT494,"%",""))/100))</f>
        <v>0.25</v>
      </c>
      <c r="Q494" s="5" t="n">
        <f aca="false">IF(P494="",IF(AND(N494&lt;&gt;"",O494&lt;&gt;"",R494&lt;&gt;"",S494&lt;&gt;""),0,"REVIEW"),IF(OR(P494&lt;0,P494&gt;0.3),0,P494))</f>
        <v>0.25</v>
      </c>
      <c r="R494" s="0" t="n">
        <v>4088.16</v>
      </c>
      <c r="S494" s="0" t="n">
        <v>3205.68</v>
      </c>
      <c r="T494" s="6" t="n">
        <f aca="false">N494*O494*(1-Q494)</f>
        <v>4088.16</v>
      </c>
      <c r="U494" s="6" t="n">
        <f aca="false">T494-S494</f>
        <v>882.48</v>
      </c>
      <c r="V494" s="7" t="n">
        <f aca="false">IF(T494=0,0,U494/T494)</f>
        <v>0.215862392861336</v>
      </c>
      <c r="W494" s="4" t="n">
        <f aca="false">C494-B494</f>
        <v>4</v>
      </c>
      <c r="X494" s="0" t="str">
        <f aca="false">TEXT(B494,"mmmm")</f>
        <v>June</v>
      </c>
      <c r="Y494" s="4" t="n">
        <f aca="false">YEAR(B494)</f>
        <v>2025</v>
      </c>
      <c r="Z494" s="0" t="str">
        <f aca="false">PROPER(TRIM(AU494))</f>
        <v>Paid</v>
      </c>
      <c r="AA494" s="0" t="str">
        <f aca="false">PROPER(TRIM(AV494))</f>
        <v>Completed</v>
      </c>
      <c r="AB494" s="0" t="str">
        <f aca="false">IF(TRIM(AN494)="","Yes","No")</f>
        <v>No</v>
      </c>
      <c r="AC494" s="0" t="str">
        <f aca="false">IF(TRIM(AS494)="","Yes","No")</f>
        <v>No</v>
      </c>
      <c r="AD494" s="0" t="str">
        <f aca="false">IF(AT494="","Yes","No")</f>
        <v>No</v>
      </c>
      <c r="AE494" s="0" t="str">
        <f aca="false">IF(W494&lt;0,"Yes","No")</f>
        <v>No</v>
      </c>
      <c r="AF494" s="0" t="str">
        <f aca="false">IF(P494="","No",IF(OR(P494&lt;0,P494&gt;0.3),"Yes","No"))</f>
        <v>No</v>
      </c>
      <c r="AG494" s="4" t="s">
        <v>50</v>
      </c>
      <c r="AH494" s="0" t="str">
        <f aca="false">IF(AND(AA494="Completed",Z494="Paid"),"Yes","No")</f>
        <v>Yes</v>
      </c>
      <c r="AI494" s="0" t="str">
        <f aca="false">IF(OR(AE494="Yes",AF494="Yes",AG494="Yes"),"Invalid",IF(OR(AB494="Yes",AC494="Yes",AD494="Yes"),"Warning","Clean"))</f>
        <v>Clean</v>
      </c>
      <c r="AJ494" s="4" t="s">
        <v>1957</v>
      </c>
      <c r="AK494" s="4" t="s">
        <v>1958</v>
      </c>
      <c r="AL494" s="4" t="s">
        <v>96</v>
      </c>
      <c r="AM494" s="4" t="s">
        <v>128</v>
      </c>
      <c r="AN494" s="4" t="s">
        <v>87</v>
      </c>
      <c r="AO494" s="4" t="s">
        <v>121</v>
      </c>
      <c r="AP494" s="4" t="s">
        <v>122</v>
      </c>
      <c r="AQ494" s="4" t="s">
        <v>58</v>
      </c>
      <c r="AR494" s="4" t="s">
        <v>171</v>
      </c>
      <c r="AS494" s="4" t="s">
        <v>60</v>
      </c>
      <c r="AT494" s="0" t="n">
        <v>0.25</v>
      </c>
      <c r="AU494" s="4" t="s">
        <v>61</v>
      </c>
      <c r="AV494" s="4" t="s">
        <v>62</v>
      </c>
    </row>
    <row r="495" customFormat="false" ht="15" hidden="false" customHeight="false" outlineLevel="0" collapsed="false">
      <c r="A495" s="0" t="s">
        <v>1959</v>
      </c>
      <c r="B495" s="3" t="n">
        <f aca="false">IF(AJ495="","",IF(ISNUMBER(SEARCH("/",AJ495)),DATE(VALUE(RIGHT(AJ495,4)),VALUE(LEFT(AJ495,2)),VALUE(MID(AJ495,4,2))),IF(ISNUMBER(SEARCH("-",AJ495)),IF(LEN(LEFT(AJ495,FIND("-",AJ495)-1))=4,DATE(VALUE(LEFT(AJ495,4)),VALUE(MID(AJ495,6,2)),VALUE(RIGHT(AJ495,2))),DATE(VALUE(RIGHT(AJ495,4)),VALUE(MID(AJ495,4,2)),VALUE(LEFT(AJ495,2)))),DATE(VALUE(RIGHT(AJ495,4)),MATCH(MID(AJ495,4,3),{"Jan","Feb","Mar","Apr","May","Jun","Jul","Aug","Sep","Oct","Nov","Dec"},0),VALUE(LEFT(AJ495,2))))))</f>
        <v>45701</v>
      </c>
      <c r="C495" s="3" t="n">
        <f aca="false">IF(AK495="","",IF(ISNUMBER(SEARCH("/",AK495)),DATE(VALUE(RIGHT(AK495,4)),VALUE(LEFT(AK495,2)),VALUE(MID(AK495,4,2))),IF(ISNUMBER(SEARCH("-",AK495)),IF(LEN(LEFT(AK495,FIND("-",AK495)-1))=4,DATE(VALUE(LEFT(AK495,4)),VALUE(MID(AK495,6,2)),VALUE(RIGHT(AK495,2))),DATE(VALUE(RIGHT(AK495,4)),VALUE(MID(AK495,4,2)),VALUE(LEFT(AK495,2)))),DATE(VALUE(RIGHT(AK495,4)),MATCH(MID(AK495,4,3),{"Jan","Feb","Mar","Apr","May","Jun","Jul","Aug","Sep","Oct","Nov","Dec"},0),VALUE(LEFT(AK495,2))))))</f>
        <v>45701</v>
      </c>
      <c r="D495" s="4" t="s">
        <v>1960</v>
      </c>
      <c r="E495" s="0" t="str">
        <f aca="false">PROPER(TRIM(AL495))</f>
        <v>Kabir Singh</v>
      </c>
      <c r="F495" s="0" t="str">
        <f aca="false">PROPER(TRIM(AM495))</f>
        <v>Corporate</v>
      </c>
      <c r="G495" s="0" t="str">
        <f aca="false">IF(TRIM(AN495)="","Unknown",PROPER(TRIM(AN495)))</f>
        <v>East</v>
      </c>
      <c r="H495" s="0" t="str">
        <f aca="false">PROPER(TRIM(AO495))</f>
        <v>Odisha</v>
      </c>
      <c r="I495" s="0" t="str">
        <f aca="false">PROPER(TRIM(AP495))</f>
        <v>Bhubaneswar</v>
      </c>
      <c r="J495" s="0" t="str">
        <f aca="false">PROPER(TRIM(AQ495))</f>
        <v>Office Supplies</v>
      </c>
      <c r="K495" s="0" t="str">
        <f aca="false">PROPER(TRIM(AR495))</f>
        <v>Paper</v>
      </c>
      <c r="M495" s="0" t="str">
        <f aca="false">IF(TRIM(AS495)="","Unknown",PROPER(TRIM(AS495)))</f>
        <v>Second Class</v>
      </c>
      <c r="N495" s="0" t="n">
        <v>7</v>
      </c>
      <c r="O495" s="0" t="n">
        <v>2296.7</v>
      </c>
      <c r="P495" s="5" t="n">
        <f aca="false">IF(AT495="","",IF(ISNUMBER(AT495),AT495,VALUE(SUBSTITUTE(AT495,"%",""))/100))</f>
        <v>0.05</v>
      </c>
      <c r="Q495" s="5" t="n">
        <f aca="false">IF(P495="",IF(AND(N495&lt;&gt;"",O495&lt;&gt;"",R495&lt;&gt;"",S495&lt;&gt;""),0,"REVIEW"),IF(OR(P495&lt;0,P495&gt;0.3),0,P495))</f>
        <v>0.05</v>
      </c>
      <c r="R495" s="0" t="n">
        <v>15273.05</v>
      </c>
      <c r="S495" s="0" t="n">
        <v>11088.76</v>
      </c>
      <c r="T495" s="6" t="n">
        <f aca="false">N495*O495*(1-Q495)</f>
        <v>15273.055</v>
      </c>
      <c r="U495" s="6" t="n">
        <f aca="false">T495-S495</f>
        <v>4184.295</v>
      </c>
      <c r="V495" s="7" t="n">
        <f aca="false">IF(T495=0,0,U495/T495)</f>
        <v>0.273965817578736</v>
      </c>
      <c r="W495" s="4" t="n">
        <f aca="false">C495-B495</f>
        <v>0</v>
      </c>
      <c r="X495" s="0" t="str">
        <f aca="false">TEXT(B495,"mmmm")</f>
        <v>February</v>
      </c>
      <c r="Y495" s="4" t="n">
        <f aca="false">YEAR(B495)</f>
        <v>2025</v>
      </c>
      <c r="Z495" s="0" t="str">
        <f aca="false">PROPER(TRIM(AU495))</f>
        <v>Paid</v>
      </c>
      <c r="AA495" s="0" t="str">
        <f aca="false">PROPER(TRIM(AV495))</f>
        <v>Completed</v>
      </c>
      <c r="AB495" s="0" t="str">
        <f aca="false">IF(TRIM(AN495)="","Yes","No")</f>
        <v>No</v>
      </c>
      <c r="AC495" s="0" t="str">
        <f aca="false">IF(TRIM(AS495)="","Yes","No")</f>
        <v>No</v>
      </c>
      <c r="AD495" s="0" t="str">
        <f aca="false">IF(AT495="","Yes","No")</f>
        <v>No</v>
      </c>
      <c r="AE495" s="0" t="str">
        <f aca="false">IF(W495&lt;0,"Yes","No")</f>
        <v>No</v>
      </c>
      <c r="AF495" s="0" t="str">
        <f aca="false">IF(P495="","No",IF(OR(P495&lt;0,P495&gt;0.3),"Yes","No"))</f>
        <v>No</v>
      </c>
      <c r="AG495" s="4" t="s">
        <v>50</v>
      </c>
      <c r="AH495" s="0" t="str">
        <f aca="false">IF(AND(AA495="Completed",Z495="Paid"),"Yes","No")</f>
        <v>Yes</v>
      </c>
      <c r="AI495" s="0" t="str">
        <f aca="false">IF(OR(AE495="Yes",AF495="Yes",AG495="Yes"),"Invalid",IF(OR(AB495="Yes",AC495="Yes",AD495="Yes"),"Warning","Clean"))</f>
        <v>Clean</v>
      </c>
      <c r="AJ495" s="4" t="s">
        <v>1189</v>
      </c>
      <c r="AK495" s="4" t="s">
        <v>1961</v>
      </c>
      <c r="AL495" s="4" t="s">
        <v>347</v>
      </c>
      <c r="AM495" s="4" t="s">
        <v>128</v>
      </c>
      <c r="AN495" s="4" t="s">
        <v>69</v>
      </c>
      <c r="AO495" s="4" t="s">
        <v>70</v>
      </c>
      <c r="AP495" s="4" t="s">
        <v>71</v>
      </c>
      <c r="AQ495" s="4" t="s">
        <v>58</v>
      </c>
      <c r="AR495" s="4" t="s">
        <v>59</v>
      </c>
      <c r="AS495" s="4" t="s">
        <v>60</v>
      </c>
      <c r="AT495" s="0" t="n">
        <v>0.05</v>
      </c>
      <c r="AU495" s="4" t="s">
        <v>61</v>
      </c>
      <c r="AV495" s="4" t="s">
        <v>1962</v>
      </c>
    </row>
    <row r="496" customFormat="false" ht="15" hidden="false" customHeight="false" outlineLevel="0" collapsed="false">
      <c r="A496" s="0" t="s">
        <v>1963</v>
      </c>
      <c r="B496" s="3" t="n">
        <f aca="false">IF(AJ496="","",IF(ISNUMBER(SEARCH("/",AJ496)),DATE(VALUE(RIGHT(AJ496,4)),VALUE(LEFT(AJ496,2)),VALUE(MID(AJ496,4,2))),IF(ISNUMBER(SEARCH("-",AJ496)),IF(LEN(LEFT(AJ496,FIND("-",AJ496)-1))=4,DATE(VALUE(LEFT(AJ496,4)),VALUE(MID(AJ496,6,2)),VALUE(RIGHT(AJ496,2))),DATE(VALUE(RIGHT(AJ496,4)),VALUE(MID(AJ496,4,2)),VALUE(LEFT(AJ496,2)))),DATE(VALUE(RIGHT(AJ496,4)),MATCH(MID(AJ496,4,3),{"Jan","Feb","Mar","Apr","May","Jun","Jul","Aug","Sep","Oct","Nov","Dec"},0),VALUE(LEFT(AJ496,2))))))</f>
        <v>45610</v>
      </c>
      <c r="C496" s="3" t="n">
        <f aca="false">IF(AK496="","",IF(ISNUMBER(SEARCH("/",AK496)),DATE(VALUE(RIGHT(AK496,4)),VALUE(LEFT(AK496,2)),VALUE(MID(AK496,4,2))),IF(ISNUMBER(SEARCH("-",AK496)),IF(LEN(LEFT(AK496,FIND("-",AK496)-1))=4,DATE(VALUE(LEFT(AK496,4)),VALUE(MID(AK496,6,2)),VALUE(RIGHT(AK496,2))),DATE(VALUE(RIGHT(AK496,4)),VALUE(MID(AK496,4,2)),VALUE(LEFT(AK496,2)))),DATE(VALUE(RIGHT(AK496,4)),MATCH(MID(AK496,4,3),{"Jan","Feb","Mar","Apr","May","Jun","Jul","Aug","Sep","Oct","Nov","Dec"},0),VALUE(LEFT(AK496,2))))))</f>
        <v>45618</v>
      </c>
      <c r="D496" s="4" t="s">
        <v>1964</v>
      </c>
      <c r="E496" s="0" t="str">
        <f aca="false">PROPER(TRIM(AL496))</f>
        <v>Isha Nair</v>
      </c>
      <c r="F496" s="0" t="str">
        <f aca="false">PROPER(TRIM(AM496))</f>
        <v>Consumer</v>
      </c>
      <c r="G496" s="0" t="str">
        <f aca="false">IF(TRIM(AN496)="","Unknown",PROPER(TRIM(AN496)))</f>
        <v>West</v>
      </c>
      <c r="H496" s="0" t="str">
        <f aca="false">PROPER(TRIM(AO496))</f>
        <v>Madhya Pradesh</v>
      </c>
      <c r="I496" s="0" t="str">
        <f aca="false">PROPER(TRIM(AP496))</f>
        <v>Indore</v>
      </c>
      <c r="J496" s="0" t="str">
        <f aca="false">PROPER(TRIM(AQ496))</f>
        <v>Technology</v>
      </c>
      <c r="K496" s="0" t="str">
        <f aca="false">PROPER(TRIM(AR496))</f>
        <v>Phones</v>
      </c>
      <c r="M496" s="0" t="str">
        <f aca="false">IF(TRIM(AS496)="","Unknown",PROPER(TRIM(AS496)))</f>
        <v>Standard Class</v>
      </c>
      <c r="N496" s="0" t="n">
        <v>3</v>
      </c>
      <c r="O496" s="0" t="n">
        <v>671.68</v>
      </c>
      <c r="P496" s="5" t="n">
        <f aca="false">IF(AT496="","",IF(ISNUMBER(AT496),AT496,VALUE(SUBSTITUTE(AT496,"%",""))/100))</f>
        <v>-0.13</v>
      </c>
      <c r="Q496" s="5" t="n">
        <f aca="false">IF(P496="",IF(AND(N496&lt;&gt;"",O496&lt;&gt;"",R496&lt;&gt;"",S496&lt;&gt;""),0,"REVIEW"),IF(OR(P496&lt;0,P496&gt;0.3),0,P496))</f>
        <v>0</v>
      </c>
      <c r="R496" s="0" t="n">
        <v>1712.78</v>
      </c>
      <c r="S496" s="0" t="n">
        <v>1569.38</v>
      </c>
      <c r="T496" s="6" t="n">
        <f aca="false">N496*O496*(1-Q496)</f>
        <v>2015.04</v>
      </c>
      <c r="U496" s="6" t="n">
        <f aca="false">T496-S496</f>
        <v>445.66</v>
      </c>
      <c r="V496" s="7" t="n">
        <f aca="false">IF(T496=0,0,U496/T496)</f>
        <v>0.221166825472447</v>
      </c>
      <c r="W496" s="4" t="n">
        <f aca="false">C496-B496</f>
        <v>8</v>
      </c>
      <c r="X496" s="0" t="str">
        <f aca="false">TEXT(B496,"mmmm")</f>
        <v>November</v>
      </c>
      <c r="Y496" s="4" t="n">
        <f aca="false">YEAR(B496)</f>
        <v>2024</v>
      </c>
      <c r="Z496" s="0" t="str">
        <f aca="false">PROPER(TRIM(AU496))</f>
        <v>Failed</v>
      </c>
      <c r="AA496" s="0" t="str">
        <f aca="false">PROPER(TRIM(AV496))</f>
        <v>Cancelled</v>
      </c>
      <c r="AB496" s="0" t="str">
        <f aca="false">IF(TRIM(AN496)="","Yes","No")</f>
        <v>No</v>
      </c>
      <c r="AC496" s="0" t="str">
        <f aca="false">IF(TRIM(AS496)="","Yes","No")</f>
        <v>No</v>
      </c>
      <c r="AD496" s="0" t="str">
        <f aca="false">IF(AT496="","Yes","No")</f>
        <v>No</v>
      </c>
      <c r="AE496" s="0" t="str">
        <f aca="false">IF(W496&lt;0,"Yes","No")</f>
        <v>No</v>
      </c>
      <c r="AF496" s="0" t="str">
        <f aca="false">IF(P496="","No",IF(OR(P496&lt;0,P496&gt;0.3),"Yes","No"))</f>
        <v>Yes</v>
      </c>
      <c r="AG496" s="4" t="s">
        <v>50</v>
      </c>
      <c r="AH496" s="0" t="str">
        <f aca="false">IF(AND(AA496="Completed",Z496="Paid"),"Yes","No")</f>
        <v>No</v>
      </c>
      <c r="AI496" s="0" t="str">
        <f aca="false">IF(OR(AE496="Yes",AF496="Yes",AG496="Yes"),"Invalid",IF(OR(AB496="Yes",AC496="Yes",AD496="Yes"),"Warning","Clean"))</f>
        <v>Invalid</v>
      </c>
      <c r="AJ496" s="4" t="s">
        <v>1965</v>
      </c>
      <c r="AK496" s="4" t="s">
        <v>1966</v>
      </c>
      <c r="AL496" s="4" t="s">
        <v>79</v>
      </c>
      <c r="AM496" s="4" t="s">
        <v>54</v>
      </c>
      <c r="AN496" s="4" t="s">
        <v>97</v>
      </c>
      <c r="AO496" s="4" t="s">
        <v>107</v>
      </c>
      <c r="AP496" s="4" t="s">
        <v>108</v>
      </c>
      <c r="AQ496" s="4" t="s">
        <v>109</v>
      </c>
      <c r="AR496" s="4" t="s">
        <v>227</v>
      </c>
      <c r="AS496" s="4" t="s">
        <v>91</v>
      </c>
      <c r="AT496" s="0" t="n">
        <v>-0.13</v>
      </c>
      <c r="AU496" s="4" t="s">
        <v>207</v>
      </c>
      <c r="AV496" s="4" t="s">
        <v>101</v>
      </c>
    </row>
    <row r="497" customFormat="false" ht="15" hidden="false" customHeight="false" outlineLevel="0" collapsed="false">
      <c r="A497" s="0" t="s">
        <v>1967</v>
      </c>
      <c r="B497" s="3" t="n">
        <f aca="false">IF(AJ497="","",IF(ISNUMBER(SEARCH("/",AJ497)),DATE(VALUE(RIGHT(AJ497,4)),VALUE(LEFT(AJ497,2)),VALUE(MID(AJ497,4,2))),IF(ISNUMBER(SEARCH("-",AJ497)),IF(LEN(LEFT(AJ497,FIND("-",AJ497)-1))=4,DATE(VALUE(LEFT(AJ497,4)),VALUE(MID(AJ497,6,2)),VALUE(RIGHT(AJ497,2))),DATE(VALUE(RIGHT(AJ497,4)),VALUE(MID(AJ497,4,2)),VALUE(LEFT(AJ497,2)))),DATE(VALUE(RIGHT(AJ497,4)),MATCH(MID(AJ497,4,3),{"Jan","Feb","Mar","Apr","May","Jun","Jul","Aug","Sep","Oct","Nov","Dec"},0),VALUE(LEFT(AJ497,2))))))</f>
        <v>45421</v>
      </c>
      <c r="C497" s="3" t="n">
        <f aca="false">IF(AK497="","",IF(ISNUMBER(SEARCH("/",AK497)),DATE(VALUE(RIGHT(AK497,4)),VALUE(LEFT(AK497,2)),VALUE(MID(AK497,4,2))),IF(ISNUMBER(SEARCH("-",AK497)),IF(LEN(LEFT(AK497,FIND("-",AK497)-1))=4,DATE(VALUE(LEFT(AK497,4)),VALUE(MID(AK497,6,2)),VALUE(RIGHT(AK497,2))),DATE(VALUE(RIGHT(AK497,4)),VALUE(MID(AK497,4,2)),VALUE(LEFT(AK497,2)))),DATE(VALUE(RIGHT(AK497,4)),MATCH(MID(AK497,4,3),{"Jan","Feb","Mar","Apr","May","Jun","Jul","Aug","Sep","Oct","Nov","Dec"},0),VALUE(LEFT(AK497,2))))))</f>
        <v>45427</v>
      </c>
      <c r="D497" s="4" t="s">
        <v>1968</v>
      </c>
      <c r="E497" s="0" t="str">
        <f aca="false">PROPER(TRIM(AL497))</f>
        <v>Mira Das</v>
      </c>
      <c r="F497" s="0" t="str">
        <f aca="false">PROPER(TRIM(AM497))</f>
        <v>Small Business</v>
      </c>
      <c r="G497" s="0" t="str">
        <f aca="false">IF(TRIM(AN497)="","Unknown",PROPER(TRIM(AN497)))</f>
        <v>East</v>
      </c>
      <c r="H497" s="0" t="str">
        <f aca="false">PROPER(TRIM(AO497))</f>
        <v>Assam</v>
      </c>
      <c r="I497" s="0" t="str">
        <f aca="false">PROPER(TRIM(AP497))</f>
        <v>Guwahati</v>
      </c>
      <c r="J497" s="0" t="str">
        <f aca="false">PROPER(TRIM(AQ497))</f>
        <v>Technology</v>
      </c>
      <c r="K497" s="0" t="str">
        <f aca="false">PROPER(TRIM(AR497))</f>
        <v>Phones</v>
      </c>
      <c r="M497" s="0" t="str">
        <f aca="false">IF(TRIM(AS497)="","Unknown",PROPER(TRIM(AS497)))</f>
        <v>Second Class</v>
      </c>
      <c r="N497" s="0" t="n">
        <v>4</v>
      </c>
      <c r="O497" s="0" t="n">
        <v>995.98</v>
      </c>
      <c r="P497" s="5" t="n">
        <f aca="false">IF(AT497="","",IF(ISNUMBER(AT497),AT497,VALUE(SUBSTITUTE(AT497,"%",""))/100))</f>
        <v>0.05</v>
      </c>
      <c r="Q497" s="5" t="n">
        <f aca="false">IF(P497="",IF(AND(N497&lt;&gt;"",O497&lt;&gt;"",R497&lt;&gt;"",S497&lt;&gt;""),0,"REVIEW"),IF(OR(P497&lt;0,P497&gt;0.3),0,P497))</f>
        <v>0.05</v>
      </c>
      <c r="R497" s="0" t="n">
        <v>3784.72</v>
      </c>
      <c r="S497" s="0" t="n">
        <v>2419.24</v>
      </c>
      <c r="T497" s="6" t="n">
        <f aca="false">N497*O497*(1-Q497)</f>
        <v>3784.724</v>
      </c>
      <c r="U497" s="6" t="n">
        <f aca="false">T497-S497</f>
        <v>1365.484</v>
      </c>
      <c r="V497" s="7" t="n">
        <f aca="false">IF(T497=0,0,U497/T497)</f>
        <v>0.360788263556339</v>
      </c>
      <c r="W497" s="4" t="n">
        <f aca="false">C497-B497</f>
        <v>6</v>
      </c>
      <c r="X497" s="0" t="str">
        <f aca="false">TEXT(B497,"mmmm")</f>
        <v>May</v>
      </c>
      <c r="Y497" s="4" t="n">
        <f aca="false">YEAR(B497)</f>
        <v>2024</v>
      </c>
      <c r="Z497" s="0" t="str">
        <f aca="false">PROPER(TRIM(AU497))</f>
        <v>Refunded</v>
      </c>
      <c r="AA497" s="0" t="str">
        <f aca="false">PROPER(TRIM(AV497))</f>
        <v>Returned</v>
      </c>
      <c r="AB497" s="0" t="str">
        <f aca="false">IF(TRIM(AN497)="","Yes","No")</f>
        <v>No</v>
      </c>
      <c r="AC497" s="0" t="str">
        <f aca="false">IF(TRIM(AS497)="","Yes","No")</f>
        <v>No</v>
      </c>
      <c r="AD497" s="0" t="str">
        <f aca="false">IF(AT497="","Yes","No")</f>
        <v>No</v>
      </c>
      <c r="AE497" s="0" t="str">
        <f aca="false">IF(W497&lt;0,"Yes","No")</f>
        <v>No</v>
      </c>
      <c r="AF497" s="0" t="str">
        <f aca="false">IF(P497="","No",IF(OR(P497&lt;0,P497&gt;0.3),"Yes","No"))</f>
        <v>No</v>
      </c>
      <c r="AG497" s="4" t="s">
        <v>50</v>
      </c>
      <c r="AH497" s="0" t="str">
        <f aca="false">IF(AND(AA497="Completed",Z497="Paid"),"Yes","No")</f>
        <v>No</v>
      </c>
      <c r="AI497" s="0" t="str">
        <f aca="false">IF(OR(AE497="Yes",AF497="Yes",AG497="Yes"),"Invalid",IF(OR(AB497="Yes",AC497="Yes",AD497="Yes"),"Warning","Clean"))</f>
        <v>Clean</v>
      </c>
      <c r="AJ497" s="4" t="s">
        <v>1798</v>
      </c>
      <c r="AK497" s="4" t="s">
        <v>1969</v>
      </c>
      <c r="AL497" s="4" t="s">
        <v>67</v>
      </c>
      <c r="AM497" s="4" t="s">
        <v>68</v>
      </c>
      <c r="AN497" s="4" t="s">
        <v>69</v>
      </c>
      <c r="AO497" s="4" t="s">
        <v>221</v>
      </c>
      <c r="AP497" s="4" t="s">
        <v>222</v>
      </c>
      <c r="AQ497" s="4" t="s">
        <v>109</v>
      </c>
      <c r="AR497" s="4" t="s">
        <v>227</v>
      </c>
      <c r="AS497" s="4" t="s">
        <v>60</v>
      </c>
      <c r="AT497" s="0" t="n">
        <v>0.05</v>
      </c>
      <c r="AU497" s="4" t="s">
        <v>141</v>
      </c>
      <c r="AV497" s="4" t="s">
        <v>142</v>
      </c>
    </row>
    <row r="498" customFormat="false" ht="15" hidden="false" customHeight="false" outlineLevel="0" collapsed="false">
      <c r="A498" s="0" t="s">
        <v>1970</v>
      </c>
      <c r="B498" s="3" t="n">
        <f aca="false">IF(AJ498="","",IF(ISNUMBER(SEARCH("/",AJ498)),DATE(VALUE(RIGHT(AJ498,4)),VALUE(LEFT(AJ498,2)),VALUE(MID(AJ498,4,2))),IF(ISNUMBER(SEARCH("-",AJ498)),IF(LEN(LEFT(AJ498,FIND("-",AJ498)-1))=4,DATE(VALUE(LEFT(AJ498,4)),VALUE(MID(AJ498,6,2)),VALUE(RIGHT(AJ498,2))),DATE(VALUE(RIGHT(AJ498,4)),VALUE(MID(AJ498,4,2)),VALUE(LEFT(AJ498,2)))),DATE(VALUE(RIGHT(AJ498,4)),MATCH(MID(AJ498,4,3),{"Jan","Feb","Mar","Apr","May","Jun","Jul","Aug","Sep","Oct","Nov","Dec"},0),VALUE(LEFT(AJ498,2))))))</f>
        <v>45842</v>
      </c>
      <c r="C498" s="3" t="n">
        <f aca="false">IF(AK498="","",IF(ISNUMBER(SEARCH("/",AK498)),DATE(VALUE(RIGHT(AK498,4)),VALUE(LEFT(AK498,2)),VALUE(MID(AK498,4,2))),IF(ISNUMBER(SEARCH("-",AK498)),IF(LEN(LEFT(AK498,FIND("-",AK498)-1))=4,DATE(VALUE(LEFT(AK498,4)),VALUE(MID(AK498,6,2)),VALUE(RIGHT(AK498,2))),DATE(VALUE(RIGHT(AK498,4)),VALUE(MID(AK498,4,2)),VALUE(LEFT(AK498,2)))),DATE(VALUE(RIGHT(AK498,4)),MATCH(MID(AK498,4,3),{"Jan","Feb","Mar","Apr","May","Jun","Jul","Aug","Sep","Oct","Nov","Dec"},0),VALUE(LEFT(AK498,2))))))</f>
        <v>45844</v>
      </c>
      <c r="D498" s="4" t="s">
        <v>1971</v>
      </c>
      <c r="E498" s="0" t="str">
        <f aca="false">PROPER(TRIM(AL498))</f>
        <v>Kabir Singh</v>
      </c>
      <c r="F498" s="0" t="str">
        <f aca="false">PROPER(TRIM(AM498))</f>
        <v>Small Business</v>
      </c>
      <c r="G498" s="0" t="str">
        <f aca="false">IF(TRIM(AN498)="","Unknown",PROPER(TRIM(AN498)))</f>
        <v>East</v>
      </c>
      <c r="H498" s="0" t="str">
        <f aca="false">PROPER(TRIM(AO498))</f>
        <v>Jharkhand</v>
      </c>
      <c r="I498" s="0" t="str">
        <f aca="false">PROPER(TRIM(AP498))</f>
        <v>Ranchi</v>
      </c>
      <c r="J498" s="0" t="str">
        <f aca="false">PROPER(TRIM(AQ498))</f>
        <v>Furniture</v>
      </c>
      <c r="K498" s="0" t="str">
        <f aca="false">PROPER(TRIM(AR498))</f>
        <v>Chairs</v>
      </c>
      <c r="M498" s="0" t="str">
        <f aca="false">IF(TRIM(AS498)="","Unknown",PROPER(TRIM(AS498)))</f>
        <v>Second Class</v>
      </c>
      <c r="N498" s="0" t="n">
        <v>2</v>
      </c>
      <c r="O498" s="0" t="n">
        <v>3686.42</v>
      </c>
      <c r="P498" s="5" t="n">
        <f aca="false">IF(AT498="","",IF(ISNUMBER(AT498),AT498,VALUE(SUBSTITUTE(AT498,"%",""))/100))</f>
        <v>0.1</v>
      </c>
      <c r="Q498" s="5" t="n">
        <f aca="false">IF(P498="",IF(AND(N498&lt;&gt;"",O498&lt;&gt;"",R498&lt;&gt;"",S498&lt;&gt;""),0,"REVIEW"),IF(OR(P498&lt;0,P498&gt;0.3),0,P498))</f>
        <v>0.1</v>
      </c>
      <c r="R498" s="0" t="n">
        <v>6635.56</v>
      </c>
      <c r="S498" s="0" t="n">
        <v>3652.91</v>
      </c>
      <c r="T498" s="6" t="n">
        <f aca="false">N498*O498*(1-Q498)</f>
        <v>6635.556</v>
      </c>
      <c r="U498" s="6" t="n">
        <f aca="false">T498-S498</f>
        <v>2982.646</v>
      </c>
      <c r="V498" s="7" t="n">
        <f aca="false">IF(T498=0,0,U498/T498)</f>
        <v>0.449494511085431</v>
      </c>
      <c r="W498" s="4" t="n">
        <f aca="false">C498-B498</f>
        <v>2</v>
      </c>
      <c r="X498" s="0" t="str">
        <f aca="false">TEXT(B498,"mmmm")</f>
        <v>July</v>
      </c>
      <c r="Y498" s="4" t="n">
        <f aca="false">YEAR(B498)</f>
        <v>2025</v>
      </c>
      <c r="Z498" s="0" t="str">
        <f aca="false">PROPER(TRIM(AU498))</f>
        <v>Paid</v>
      </c>
      <c r="AA498" s="0" t="str">
        <f aca="false">PROPER(TRIM(AV498))</f>
        <v>Completed</v>
      </c>
      <c r="AB498" s="0" t="str">
        <f aca="false">IF(TRIM(AN498)="","Yes","No")</f>
        <v>No</v>
      </c>
      <c r="AC498" s="0" t="str">
        <f aca="false">IF(TRIM(AS498)="","Yes","No")</f>
        <v>No</v>
      </c>
      <c r="AD498" s="0" t="str">
        <f aca="false">IF(AT498="","Yes","No")</f>
        <v>No</v>
      </c>
      <c r="AE498" s="0" t="str">
        <f aca="false">IF(W498&lt;0,"Yes","No")</f>
        <v>No</v>
      </c>
      <c r="AF498" s="0" t="str">
        <f aca="false">IF(P498="","No",IF(OR(P498&lt;0,P498&gt;0.3),"Yes","No"))</f>
        <v>No</v>
      </c>
      <c r="AG498" s="4" t="s">
        <v>50</v>
      </c>
      <c r="AH498" s="0" t="str">
        <f aca="false">IF(AND(AA498="Completed",Z498="Paid"),"Yes","No")</f>
        <v>Yes</v>
      </c>
      <c r="AI498" s="0" t="str">
        <f aca="false">IF(OR(AE498="Yes",AF498="Yes",AG498="Yes"),"Invalid",IF(OR(AB498="Yes",AC498="Yes",AD498="Yes"),"Warning","Clean"))</f>
        <v>Clean</v>
      </c>
      <c r="AJ498" s="4" t="s">
        <v>1972</v>
      </c>
      <c r="AK498" s="4" t="s">
        <v>1973</v>
      </c>
      <c r="AL498" s="4" t="s">
        <v>347</v>
      </c>
      <c r="AM498" s="4" t="s">
        <v>68</v>
      </c>
      <c r="AN498" s="4" t="s">
        <v>69</v>
      </c>
      <c r="AO498" s="4" t="s">
        <v>300</v>
      </c>
      <c r="AP498" s="4" t="s">
        <v>301</v>
      </c>
      <c r="AQ498" s="4" t="s">
        <v>72</v>
      </c>
      <c r="AR498" s="4" t="s">
        <v>100</v>
      </c>
      <c r="AS498" s="4" t="s">
        <v>60</v>
      </c>
      <c r="AT498" s="0" t="n">
        <v>0.1</v>
      </c>
      <c r="AU498" s="4" t="s">
        <v>61</v>
      </c>
      <c r="AV498" s="4" t="s">
        <v>62</v>
      </c>
    </row>
    <row r="499" customFormat="false" ht="15" hidden="false" customHeight="false" outlineLevel="0" collapsed="false">
      <c r="A499" s="0" t="s">
        <v>1974</v>
      </c>
      <c r="B499" s="3" t="n">
        <f aca="false">IF(AJ499="","",IF(ISNUMBER(SEARCH("/",AJ499)),DATE(VALUE(RIGHT(AJ499,4)),VALUE(LEFT(AJ499,2)),VALUE(MID(AJ499,4,2))),IF(ISNUMBER(SEARCH("-",AJ499)),IF(LEN(LEFT(AJ499,FIND("-",AJ499)-1))=4,DATE(VALUE(LEFT(AJ499,4)),VALUE(MID(AJ499,6,2)),VALUE(RIGHT(AJ499,2))),DATE(VALUE(RIGHT(AJ499,4)),VALUE(MID(AJ499,4,2)),VALUE(LEFT(AJ499,2)))),DATE(VALUE(RIGHT(AJ499,4)),MATCH(MID(AJ499,4,3),{"Jan","Feb","Mar","Apr","May","Jun","Jul","Aug","Sep","Oct","Nov","Dec"},0),VALUE(LEFT(AJ499,2))))))</f>
        <v>45533</v>
      </c>
      <c r="C499" s="3" t="n">
        <f aca="false">IF(AK499="","",IF(ISNUMBER(SEARCH("/",AK499)),DATE(VALUE(RIGHT(AK499,4)),VALUE(LEFT(AK499,2)),VALUE(MID(AK499,4,2))),IF(ISNUMBER(SEARCH("-",AK499)),IF(LEN(LEFT(AK499,FIND("-",AK499)-1))=4,DATE(VALUE(LEFT(AK499,4)),VALUE(MID(AK499,6,2)),VALUE(RIGHT(AK499,2))),DATE(VALUE(RIGHT(AK499,4)),VALUE(MID(AK499,4,2)),VALUE(LEFT(AK499,2)))),DATE(VALUE(RIGHT(AK499,4)),MATCH(MID(AK499,4,3),{"Jan","Feb","Mar","Apr","May","Jun","Jul","Aug","Sep","Oct","Nov","Dec"},0),VALUE(LEFT(AK499,2))))))</f>
        <v>45533</v>
      </c>
      <c r="D499" s="4" t="s">
        <v>1975</v>
      </c>
      <c r="E499" s="0" t="str">
        <f aca="false">PROPER(TRIM(AL499))</f>
        <v>Sneha Kapoor</v>
      </c>
      <c r="F499" s="0" t="str">
        <f aca="false">PROPER(TRIM(AM499))</f>
        <v>Small Business</v>
      </c>
      <c r="G499" s="0" t="str">
        <f aca="false">IF(TRIM(AN499)="","Unknown",PROPER(TRIM(AN499)))</f>
        <v>North</v>
      </c>
      <c r="H499" s="0" t="str">
        <f aca="false">PROPER(TRIM(AO499))</f>
        <v>Uttar Pradesh</v>
      </c>
      <c r="I499" s="0" t="str">
        <f aca="false">PROPER(TRIM(AP499))</f>
        <v>Noida</v>
      </c>
      <c r="J499" s="0" t="str">
        <f aca="false">PROPER(TRIM(AQ499))</f>
        <v>Technology</v>
      </c>
      <c r="K499" s="0" t="str">
        <f aca="false">PROPER(TRIM(AR499))</f>
        <v>Accessories</v>
      </c>
      <c r="M499" s="0" t="str">
        <f aca="false">IF(TRIM(AS499)="","Unknown",PROPER(TRIM(AS499)))</f>
        <v>Second Class</v>
      </c>
      <c r="N499" s="0" t="n">
        <v>1</v>
      </c>
      <c r="O499" s="0" t="n">
        <v>3106.88</v>
      </c>
      <c r="P499" s="5" t="n">
        <f aca="false">IF(AT499="","",IF(ISNUMBER(AT499),AT499,VALUE(SUBSTITUTE(AT499,"%",""))/100))</f>
        <v>0.2</v>
      </c>
      <c r="Q499" s="5" t="n">
        <f aca="false">IF(P499="",IF(AND(N499&lt;&gt;"",O499&lt;&gt;"",R499&lt;&gt;"",S499&lt;&gt;""),0,"REVIEW"),IF(OR(P499&lt;0,P499&gt;0.3),0,P499))</f>
        <v>0.2</v>
      </c>
      <c r="R499" s="0" t="n">
        <v>2485.5</v>
      </c>
      <c r="S499" s="0" t="n">
        <v>2028.43</v>
      </c>
      <c r="T499" s="6" t="n">
        <f aca="false">N499*O499*(1-Q499)</f>
        <v>2485.504</v>
      </c>
      <c r="U499" s="6" t="n">
        <f aca="false">T499-S499</f>
        <v>457.074</v>
      </c>
      <c r="V499" s="7" t="n">
        <f aca="false">IF(T499=0,0,U499/T499)</f>
        <v>0.183895901998146</v>
      </c>
      <c r="W499" s="4" t="n">
        <f aca="false">C499-B499</f>
        <v>0</v>
      </c>
      <c r="X499" s="0" t="str">
        <f aca="false">TEXT(B499,"mmmm")</f>
        <v>August</v>
      </c>
      <c r="Y499" s="4" t="n">
        <f aca="false">YEAR(B499)</f>
        <v>2024</v>
      </c>
      <c r="Z499" s="0" t="str">
        <f aca="false">PROPER(TRIM(AU499))</f>
        <v>Paid</v>
      </c>
      <c r="AA499" s="0" t="str">
        <f aca="false">PROPER(TRIM(AV499))</f>
        <v>Cancelled</v>
      </c>
      <c r="AB499" s="0" t="str">
        <f aca="false">IF(TRIM(AN499)="","Yes","No")</f>
        <v>No</v>
      </c>
      <c r="AC499" s="0" t="str">
        <f aca="false">IF(TRIM(AS499)="","Yes","No")</f>
        <v>No</v>
      </c>
      <c r="AD499" s="0" t="str">
        <f aca="false">IF(AT499="","Yes","No")</f>
        <v>No</v>
      </c>
      <c r="AE499" s="0" t="str">
        <f aca="false">IF(W499&lt;0,"Yes","No")</f>
        <v>No</v>
      </c>
      <c r="AF499" s="0" t="str">
        <f aca="false">IF(P499="","No",IF(OR(P499&lt;0,P499&gt;0.3),"Yes","No"))</f>
        <v>No</v>
      </c>
      <c r="AG499" s="4" t="s">
        <v>50</v>
      </c>
      <c r="AH499" s="0" t="str">
        <f aca="false">IF(AND(AA499="Completed",Z499="Paid"),"Yes","No")</f>
        <v>No</v>
      </c>
      <c r="AI499" s="0" t="str">
        <f aca="false">IF(OR(AE499="Yes",AF499="Yes",AG499="Yes"),"Invalid",IF(OR(AB499="Yes",AC499="Yes",AD499="Yes"),"Warning","Clean"))</f>
        <v>Clean</v>
      </c>
      <c r="AJ499" s="4" t="s">
        <v>1976</v>
      </c>
      <c r="AK499" s="4" t="s">
        <v>1976</v>
      </c>
      <c r="AL499" s="4" t="s">
        <v>181</v>
      </c>
      <c r="AM499" s="4" t="s">
        <v>68</v>
      </c>
      <c r="AN499" s="4" t="s">
        <v>629</v>
      </c>
      <c r="AO499" s="4" t="s">
        <v>186</v>
      </c>
      <c r="AP499" s="4" t="s">
        <v>187</v>
      </c>
      <c r="AQ499" s="4" t="s">
        <v>109</v>
      </c>
      <c r="AR499" s="4" t="s">
        <v>110</v>
      </c>
      <c r="AS499" s="4" t="s">
        <v>60</v>
      </c>
      <c r="AT499" s="0" t="n">
        <v>0.2</v>
      </c>
      <c r="AU499" s="4" t="s">
        <v>61</v>
      </c>
      <c r="AV499" s="4" t="s">
        <v>101</v>
      </c>
    </row>
    <row r="500" customFormat="false" ht="15" hidden="false" customHeight="false" outlineLevel="0" collapsed="false">
      <c r="A500" s="0" t="s">
        <v>1977</v>
      </c>
      <c r="B500" s="3" t="n">
        <f aca="false">IF(AJ500="","",IF(ISNUMBER(SEARCH("/",AJ500)),DATE(VALUE(RIGHT(AJ500,4)),VALUE(LEFT(AJ500,2)),VALUE(MID(AJ500,4,2))),IF(ISNUMBER(SEARCH("-",AJ500)),IF(LEN(LEFT(AJ500,FIND("-",AJ500)-1))=4,DATE(VALUE(LEFT(AJ500,4)),VALUE(MID(AJ500,6,2)),VALUE(RIGHT(AJ500,2))),DATE(VALUE(RIGHT(AJ500,4)),VALUE(MID(AJ500,4,2)),VALUE(LEFT(AJ500,2)))),DATE(VALUE(RIGHT(AJ500,4)),MATCH(MID(AJ500,4,3),{"Jan","Feb","Mar","Apr","May","Jun","Jul","Aug","Sep","Oct","Nov","Dec"},0),VALUE(LEFT(AJ500,2))))))</f>
        <v>45907</v>
      </c>
      <c r="C500" s="3" t="n">
        <f aca="false">IF(AK500="","",IF(ISNUMBER(SEARCH("/",AK500)),DATE(VALUE(RIGHT(AK500,4)),VALUE(LEFT(AK500,2)),VALUE(MID(AK500,4,2))),IF(ISNUMBER(SEARCH("-",AK500)),IF(LEN(LEFT(AK500,FIND("-",AK500)-1))=4,DATE(VALUE(LEFT(AK500,4)),VALUE(MID(AK500,6,2)),VALUE(RIGHT(AK500,2))),DATE(VALUE(RIGHT(AK500,4)),VALUE(MID(AK500,4,2)),VALUE(LEFT(AK500,2)))),DATE(VALUE(RIGHT(AK500,4)),MATCH(MID(AK500,4,3),{"Jan","Feb","Mar","Apr","May","Jun","Jul","Aug","Sep","Oct","Nov","Dec"},0),VALUE(LEFT(AK500,2))))))</f>
        <v>45910</v>
      </c>
      <c r="D500" s="4" t="s">
        <v>1978</v>
      </c>
      <c r="E500" s="0" t="str">
        <f aca="false">PROPER(TRIM(AL500))</f>
        <v>Karan Malhotra</v>
      </c>
      <c r="F500" s="0" t="str">
        <f aca="false">PROPER(TRIM(AM500))</f>
        <v>Consumer</v>
      </c>
      <c r="G500" s="0" t="str">
        <f aca="false">IF(TRIM(AN500)="","Unknown",PROPER(TRIM(AN500)))</f>
        <v>North</v>
      </c>
      <c r="H500" s="0" t="str">
        <f aca="false">PROPER(TRIM(AO500))</f>
        <v>Punjab</v>
      </c>
      <c r="I500" s="0" t="str">
        <f aca="false">PROPER(TRIM(AP500))</f>
        <v>Ludhiana</v>
      </c>
      <c r="J500" s="0" t="str">
        <f aca="false">PROPER(TRIM(AQ500))</f>
        <v>Furniture</v>
      </c>
      <c r="K500" s="0" t="str">
        <f aca="false">PROPER(TRIM(AR500))</f>
        <v>Chairs</v>
      </c>
      <c r="M500" s="0" t="str">
        <f aca="false">IF(TRIM(AS500)="","Unknown",PROPER(TRIM(AS500)))</f>
        <v>Same Day</v>
      </c>
      <c r="N500" s="0" t="n">
        <v>2</v>
      </c>
      <c r="O500" s="0" t="n">
        <v>447.55</v>
      </c>
      <c r="P500" s="5" t="n">
        <f aca="false">IF(AT500="","",IF(ISNUMBER(AT500),AT500,VALUE(SUBSTITUTE(AT500,"%",""))/100))</f>
        <v>0.05</v>
      </c>
      <c r="Q500" s="5" t="n">
        <f aca="false">IF(P500="",IF(AND(N500&lt;&gt;"",O500&lt;&gt;"",R500&lt;&gt;"",S500&lt;&gt;""),0,"REVIEW"),IF(OR(P500&lt;0,P500&gt;0.3),0,P500))</f>
        <v>0.05</v>
      </c>
      <c r="R500" s="0" t="n">
        <v>850.35</v>
      </c>
      <c r="S500" s="0" t="n">
        <v>600.98</v>
      </c>
      <c r="T500" s="6" t="n">
        <f aca="false">N500*O500*(1-Q500)</f>
        <v>850.345</v>
      </c>
      <c r="U500" s="6" t="n">
        <f aca="false">T500-S500</f>
        <v>249.365</v>
      </c>
      <c r="V500" s="7" t="n">
        <f aca="false">IF(T500=0,0,U500/T500)</f>
        <v>0.293251562601062</v>
      </c>
      <c r="W500" s="4" t="n">
        <f aca="false">C500-B500</f>
        <v>3</v>
      </c>
      <c r="X500" s="0" t="str">
        <f aca="false">TEXT(B500,"mmmm")</f>
        <v>September</v>
      </c>
      <c r="Y500" s="4" t="n">
        <f aca="false">YEAR(B500)</f>
        <v>2025</v>
      </c>
      <c r="Z500" s="0" t="str">
        <f aca="false">PROPER(TRIM(AU500))</f>
        <v>Refunded</v>
      </c>
      <c r="AA500" s="0" t="str">
        <f aca="false">PROPER(TRIM(AV500))</f>
        <v>Cancelled</v>
      </c>
      <c r="AB500" s="0" t="str">
        <f aca="false">IF(TRIM(AN500)="","Yes","No")</f>
        <v>No</v>
      </c>
      <c r="AC500" s="0" t="str">
        <f aca="false">IF(TRIM(AS500)="","Yes","No")</f>
        <v>No</v>
      </c>
      <c r="AD500" s="0" t="str">
        <f aca="false">IF(AT500="","Yes","No")</f>
        <v>No</v>
      </c>
      <c r="AE500" s="0" t="str">
        <f aca="false">IF(W500&lt;0,"Yes","No")</f>
        <v>No</v>
      </c>
      <c r="AF500" s="0" t="str">
        <f aca="false">IF(P500="","No",IF(OR(P500&lt;0,P500&gt;0.3),"Yes","No"))</f>
        <v>No</v>
      </c>
      <c r="AG500" s="4" t="s">
        <v>50</v>
      </c>
      <c r="AH500" s="0" t="str">
        <f aca="false">IF(AND(AA500="Completed",Z500="Paid"),"Yes","No")</f>
        <v>No</v>
      </c>
      <c r="AI500" s="0" t="str">
        <f aca="false">IF(OR(AE500="Yes",AF500="Yes",AG500="Yes"),"Invalid",IF(OR(AB500="Yes",AC500="Yes",AD500="Yes"),"Warning","Clean"))</f>
        <v>Clean</v>
      </c>
      <c r="AJ500" s="4" t="s">
        <v>1979</v>
      </c>
      <c r="AK500" s="4" t="s">
        <v>1980</v>
      </c>
      <c r="AL500" s="4" t="s">
        <v>53</v>
      </c>
      <c r="AM500" s="4" t="s">
        <v>54</v>
      </c>
      <c r="AN500" s="4" t="s">
        <v>168</v>
      </c>
      <c r="AO500" s="4" t="s">
        <v>169</v>
      </c>
      <c r="AP500" s="4" t="s">
        <v>170</v>
      </c>
      <c r="AQ500" s="4" t="s">
        <v>72</v>
      </c>
      <c r="AR500" s="4" t="s">
        <v>100</v>
      </c>
      <c r="AS500" s="4" t="s">
        <v>74</v>
      </c>
      <c r="AT500" s="0" t="n">
        <v>0.05</v>
      </c>
      <c r="AU500" s="4" t="s">
        <v>141</v>
      </c>
      <c r="AV500" s="4" t="s">
        <v>1981</v>
      </c>
    </row>
    <row r="501" customFormat="false" ht="15" hidden="false" customHeight="false" outlineLevel="0" collapsed="false">
      <c r="A501" s="0" t="s">
        <v>1982</v>
      </c>
      <c r="B501" s="3" t="n">
        <f aca="false">IF(AJ501="","",IF(ISNUMBER(SEARCH("/",AJ501)),DATE(VALUE(RIGHT(AJ501,4)),VALUE(LEFT(AJ501,2)),VALUE(MID(AJ501,4,2))),IF(ISNUMBER(SEARCH("-",AJ501)),IF(LEN(LEFT(AJ501,FIND("-",AJ501)-1))=4,DATE(VALUE(LEFT(AJ501,4)),VALUE(MID(AJ501,6,2)),VALUE(RIGHT(AJ501,2))),DATE(VALUE(RIGHT(AJ501,4)),VALUE(MID(AJ501,4,2)),VALUE(LEFT(AJ501,2)))),DATE(VALUE(RIGHT(AJ501,4)),MATCH(MID(AJ501,4,3),{"Jan","Feb","Mar","Apr","May","Jun","Jul","Aug","Sep","Oct","Nov","Dec"},0),VALUE(LEFT(AJ501,2))))))</f>
        <v>45648</v>
      </c>
      <c r="C501" s="3" t="n">
        <f aca="false">IF(AK501="","",IF(ISNUMBER(SEARCH("/",AK501)),DATE(VALUE(RIGHT(AK501,4)),VALUE(LEFT(AK501,2)),VALUE(MID(AK501,4,2))),IF(ISNUMBER(SEARCH("-",AK501)),IF(LEN(LEFT(AK501,FIND("-",AK501)-1))=4,DATE(VALUE(LEFT(AK501,4)),VALUE(MID(AK501,6,2)),VALUE(RIGHT(AK501,2))),DATE(VALUE(RIGHT(AK501,4)),VALUE(MID(AK501,4,2)),VALUE(LEFT(AK501,2)))),DATE(VALUE(RIGHT(AK501,4)),MATCH(MID(AK501,4,3),{"Jan","Feb","Mar","Apr","May","Jun","Jul","Aug","Sep","Oct","Nov","Dec"},0),VALUE(LEFT(AK501,2))))))</f>
        <v>45652</v>
      </c>
      <c r="D501" s="4" t="s">
        <v>1983</v>
      </c>
      <c r="E501" s="0" t="str">
        <f aca="false">PROPER(TRIM(AL501))</f>
        <v>Rahul Verma</v>
      </c>
      <c r="F501" s="0" t="str">
        <f aca="false">PROPER(TRIM(AM501))</f>
        <v>Home Office</v>
      </c>
      <c r="G501" s="0" t="str">
        <f aca="false">IF(TRIM(AN501)="","Unknown",PROPER(TRIM(AN501)))</f>
        <v>North</v>
      </c>
      <c r="H501" s="0" t="str">
        <f aca="false">PROPER(TRIM(AO501))</f>
        <v>Uttar Pradesh</v>
      </c>
      <c r="I501" s="0" t="str">
        <f aca="false">PROPER(TRIM(AP501))</f>
        <v>Noida</v>
      </c>
      <c r="J501" s="0" t="str">
        <f aca="false">PROPER(TRIM(AQ501))</f>
        <v>Furniture</v>
      </c>
      <c r="K501" s="0" t="str">
        <f aca="false">PROPER(TRIM(AR501))</f>
        <v>Chairs</v>
      </c>
      <c r="M501" s="0" t="str">
        <f aca="false">IF(TRIM(AS501)="","Unknown",PROPER(TRIM(AS501)))</f>
        <v>Standard Class</v>
      </c>
      <c r="N501" s="0" t="n">
        <v>9</v>
      </c>
      <c r="O501" s="0" t="n">
        <v>1110.87</v>
      </c>
      <c r="P501" s="5" t="str">
        <f aca="false">IF(AT501="","",IF(ISNUMBER(AT501),AT501,VALUE(SUBSTITUTE(AT501,"%",""))/100))</f>
        <v/>
      </c>
      <c r="Q501" s="5" t="n">
        <f aca="false">IF(P501="",IF(AND(N501&lt;&gt;"",O501&lt;&gt;"",R501&lt;&gt;"",S501&lt;&gt;""),0,"REVIEW"),IF(OR(P501&lt;0,P501&gt;0.3),0,P501))</f>
        <v>0</v>
      </c>
      <c r="R501" s="0" t="n">
        <v>7498.37</v>
      </c>
      <c r="S501" s="0" t="n">
        <v>6059.07</v>
      </c>
      <c r="T501" s="6" t="n">
        <f aca="false">N501*O501*(1-Q501)</f>
        <v>9997.83</v>
      </c>
      <c r="U501" s="6" t="n">
        <f aca="false">T501-S501</f>
        <v>3938.76</v>
      </c>
      <c r="V501" s="7" t="n">
        <f aca="false">IF(T501=0,0,U501/T501)</f>
        <v>0.393961489643253</v>
      </c>
      <c r="W501" s="4" t="n">
        <f aca="false">C501-B501</f>
        <v>4</v>
      </c>
      <c r="X501" s="0" t="str">
        <f aca="false">TEXT(B501,"mmmm")</f>
        <v>December</v>
      </c>
      <c r="Y501" s="4" t="n">
        <f aca="false">YEAR(B501)</f>
        <v>2024</v>
      </c>
      <c r="Z501" s="0" t="str">
        <f aca="false">PROPER(TRIM(AU501))</f>
        <v>Paid</v>
      </c>
      <c r="AA501" s="0" t="str">
        <f aca="false">PROPER(TRIM(AV501))</f>
        <v>Cancelled</v>
      </c>
      <c r="AB501" s="0" t="str">
        <f aca="false">IF(TRIM(AN501)="","Yes","No")</f>
        <v>No</v>
      </c>
      <c r="AC501" s="0" t="str">
        <f aca="false">IF(TRIM(AS501)="","Yes","No")</f>
        <v>No</v>
      </c>
      <c r="AD501" s="0" t="str">
        <f aca="false">IF(AT501="","Yes","No")</f>
        <v>Yes</v>
      </c>
      <c r="AE501" s="0" t="str">
        <f aca="false">IF(W501&lt;0,"Yes","No")</f>
        <v>No</v>
      </c>
      <c r="AF501" s="0" t="str">
        <f aca="false">IF(P501="","No",IF(OR(P501&lt;0,P501&gt;0.3),"Yes","No"))</f>
        <v>No</v>
      </c>
      <c r="AG501" s="4" t="s">
        <v>50</v>
      </c>
      <c r="AH501" s="0" t="str">
        <f aca="false">IF(AND(AA501="Completed",Z501="Paid"),"Yes","No")</f>
        <v>No</v>
      </c>
      <c r="AI501" s="0" t="str">
        <f aca="false">IF(OR(AE501="Yes",AF501="Yes",AG501="Yes"),"Invalid",IF(OR(AB501="Yes",AC501="Yes",AD501="Yes"),"Warning","Clean"))</f>
        <v>Warning</v>
      </c>
      <c r="AJ501" s="4" t="s">
        <v>1984</v>
      </c>
      <c r="AK501" s="4" t="s">
        <v>1213</v>
      </c>
      <c r="AL501" s="4" t="s">
        <v>163</v>
      </c>
      <c r="AM501" s="4" t="s">
        <v>134</v>
      </c>
      <c r="AN501" s="4" t="s">
        <v>168</v>
      </c>
      <c r="AO501" s="4" t="s">
        <v>186</v>
      </c>
      <c r="AP501" s="4" t="s">
        <v>187</v>
      </c>
      <c r="AQ501" s="4" t="s">
        <v>72</v>
      </c>
      <c r="AR501" s="4" t="s">
        <v>100</v>
      </c>
      <c r="AS501" s="4" t="s">
        <v>91</v>
      </c>
      <c r="AU501" s="4" t="s">
        <v>61</v>
      </c>
      <c r="AV501" s="4" t="s">
        <v>101</v>
      </c>
    </row>
    <row r="502" customFormat="false" ht="15" hidden="false" customHeight="false" outlineLevel="0" collapsed="false">
      <c r="A502" s="0" t="s">
        <v>1985</v>
      </c>
      <c r="B502" s="3" t="n">
        <f aca="false">IF(AJ502="","",IF(ISNUMBER(SEARCH("/",AJ502)),DATE(VALUE(RIGHT(AJ502,4)),VALUE(LEFT(AJ502,2)),VALUE(MID(AJ502,4,2))),IF(ISNUMBER(SEARCH("-",AJ502)),IF(LEN(LEFT(AJ502,FIND("-",AJ502)-1))=4,DATE(VALUE(LEFT(AJ502,4)),VALUE(MID(AJ502,6,2)),VALUE(RIGHT(AJ502,2))),DATE(VALUE(RIGHT(AJ502,4)),VALUE(MID(AJ502,4,2)),VALUE(LEFT(AJ502,2)))),DATE(VALUE(RIGHT(AJ502,4)),MATCH(MID(AJ502,4,3),{"Jan","Feb","Mar","Apr","May","Jun","Jul","Aug","Sep","Oct","Nov","Dec"},0),VALUE(LEFT(AJ502,2))))))</f>
        <v>45429</v>
      </c>
      <c r="C502" s="3" t="n">
        <f aca="false">IF(AK502="","",IF(ISNUMBER(SEARCH("/",AK502)),DATE(VALUE(RIGHT(AK502,4)),VALUE(LEFT(AK502,2)),VALUE(MID(AK502,4,2))),IF(ISNUMBER(SEARCH("-",AK502)),IF(LEN(LEFT(AK502,FIND("-",AK502)-1))=4,DATE(VALUE(LEFT(AK502,4)),VALUE(MID(AK502,6,2)),VALUE(RIGHT(AK502,2))),DATE(VALUE(RIGHT(AK502,4)),VALUE(MID(AK502,4,2)),VALUE(LEFT(AK502,2)))),DATE(VALUE(RIGHT(AK502,4)),MATCH(MID(AK502,4,3),{"Jan","Feb","Mar","Apr","May","Jun","Jul","Aug","Sep","Oct","Nov","Dec"},0),VALUE(LEFT(AK502,2))))))</f>
        <v>45434</v>
      </c>
      <c r="D502" s="4" t="s">
        <v>1986</v>
      </c>
      <c r="E502" s="0" t="str">
        <f aca="false">PROPER(TRIM(AL502))</f>
        <v>Sneha Kapoor</v>
      </c>
      <c r="F502" s="0" t="str">
        <f aca="false">PROPER(TRIM(AM502))</f>
        <v>Consumer</v>
      </c>
      <c r="G502" s="0" t="str">
        <f aca="false">IF(TRIM(AN502)="","Unknown",PROPER(TRIM(AN502)))</f>
        <v>South</v>
      </c>
      <c r="H502" s="0" t="str">
        <f aca="false">PROPER(TRIM(AO502))</f>
        <v>Kerala</v>
      </c>
      <c r="I502" s="0" t="str">
        <f aca="false">PROPER(TRIM(AP502))</f>
        <v>Kochi</v>
      </c>
      <c r="J502" s="0" t="str">
        <f aca="false">PROPER(TRIM(AQ502))</f>
        <v>Technology</v>
      </c>
      <c r="K502" s="0" t="str">
        <f aca="false">PROPER(TRIM(AR502))</f>
        <v>Phones</v>
      </c>
      <c r="M502" s="0" t="str">
        <f aca="false">IF(TRIM(AS502)="","Unknown",PROPER(TRIM(AS502)))</f>
        <v>Same Day</v>
      </c>
      <c r="N502" s="0" t="n">
        <v>9</v>
      </c>
      <c r="O502" s="0" t="n">
        <v>3795.99</v>
      </c>
      <c r="P502" s="5" t="n">
        <f aca="false">IF(AT502="","",IF(ISNUMBER(AT502),AT502,VALUE(SUBSTITUTE(AT502,"%",""))/100))</f>
        <v>0.85</v>
      </c>
      <c r="Q502" s="5" t="n">
        <f aca="false">IF(P502="",IF(AND(N502&lt;&gt;"",O502&lt;&gt;"",R502&lt;&gt;"",S502&lt;&gt;""),0,"REVIEW"),IF(OR(P502&lt;0,P502&gt;0.3),0,P502))</f>
        <v>0</v>
      </c>
      <c r="R502" s="0" t="n">
        <v>34163.91</v>
      </c>
      <c r="S502" s="0" t="n">
        <v>28577.15</v>
      </c>
      <c r="T502" s="6" t="n">
        <f aca="false">N502*O502*(1-Q502)</f>
        <v>34163.91</v>
      </c>
      <c r="U502" s="6" t="n">
        <f aca="false">T502-S502</f>
        <v>5586.76</v>
      </c>
      <c r="V502" s="7" t="n">
        <f aca="false">IF(T502=0,0,U502/T502)</f>
        <v>0.16352812075667</v>
      </c>
      <c r="W502" s="4" t="n">
        <f aca="false">C502-B502</f>
        <v>5</v>
      </c>
      <c r="X502" s="0" t="str">
        <f aca="false">TEXT(B502,"mmmm")</f>
        <v>May</v>
      </c>
      <c r="Y502" s="4" t="n">
        <f aca="false">YEAR(B502)</f>
        <v>2024</v>
      </c>
      <c r="Z502" s="0" t="str">
        <f aca="false">PROPER(TRIM(AU502))</f>
        <v>Paid</v>
      </c>
      <c r="AA502" s="0" t="str">
        <f aca="false">PROPER(TRIM(AV502))</f>
        <v>Completed</v>
      </c>
      <c r="AB502" s="0" t="str">
        <f aca="false">IF(TRIM(AN502)="","Yes","No")</f>
        <v>No</v>
      </c>
      <c r="AC502" s="0" t="str">
        <f aca="false">IF(TRIM(AS502)="","Yes","No")</f>
        <v>No</v>
      </c>
      <c r="AD502" s="0" t="str">
        <f aca="false">IF(AT502="","Yes","No")</f>
        <v>No</v>
      </c>
      <c r="AE502" s="0" t="str">
        <f aca="false">IF(W502&lt;0,"Yes","No")</f>
        <v>No</v>
      </c>
      <c r="AF502" s="0" t="str">
        <f aca="false">IF(P502="","No",IF(OR(P502&lt;0,P502&gt;0.3),"Yes","No"))</f>
        <v>Yes</v>
      </c>
      <c r="AG502" s="4" t="s">
        <v>50</v>
      </c>
      <c r="AH502" s="0" t="str">
        <f aca="false">IF(AND(AA502="Completed",Z502="Paid"),"Yes","No")</f>
        <v>Yes</v>
      </c>
      <c r="AI502" s="0" t="str">
        <f aca="false">IF(OR(AE502="Yes",AF502="Yes",AG502="Yes"),"Invalid",IF(OR(AB502="Yes",AC502="Yes",AD502="Yes"),"Warning","Clean"))</f>
        <v>Invalid</v>
      </c>
      <c r="AJ502" s="4" t="s">
        <v>962</v>
      </c>
      <c r="AK502" s="4" t="s">
        <v>1987</v>
      </c>
      <c r="AL502" s="4" t="s">
        <v>181</v>
      </c>
      <c r="AM502" s="4" t="s">
        <v>54</v>
      </c>
      <c r="AN502" s="4" t="s">
        <v>87</v>
      </c>
      <c r="AO502" s="4" t="s">
        <v>244</v>
      </c>
      <c r="AP502" s="4" t="s">
        <v>245</v>
      </c>
      <c r="AQ502" s="4" t="s">
        <v>109</v>
      </c>
      <c r="AR502" s="4" t="s">
        <v>227</v>
      </c>
      <c r="AS502" s="4" t="s">
        <v>74</v>
      </c>
      <c r="AT502" s="4" t="s">
        <v>995</v>
      </c>
      <c r="AU502" s="4" t="s">
        <v>61</v>
      </c>
      <c r="AV502" s="4" t="s">
        <v>62</v>
      </c>
    </row>
    <row r="503" customFormat="false" ht="15" hidden="false" customHeight="false" outlineLevel="0" collapsed="false">
      <c r="A503" s="0" t="s">
        <v>1988</v>
      </c>
      <c r="B503" s="3" t="n">
        <f aca="false">IF(AJ503="","",IF(ISNUMBER(SEARCH("/",AJ503)),DATE(VALUE(RIGHT(AJ503,4)),VALUE(LEFT(AJ503,2)),VALUE(MID(AJ503,4,2))),IF(ISNUMBER(SEARCH("-",AJ503)),IF(LEN(LEFT(AJ503,FIND("-",AJ503)-1))=4,DATE(VALUE(LEFT(AJ503,4)),VALUE(MID(AJ503,6,2)),VALUE(RIGHT(AJ503,2))),DATE(VALUE(RIGHT(AJ503,4)),VALUE(MID(AJ503,4,2)),VALUE(LEFT(AJ503,2)))),DATE(VALUE(RIGHT(AJ503,4)),MATCH(MID(AJ503,4,3),{"Jan","Feb","Mar","Apr","May","Jun","Jul","Aug","Sep","Oct","Nov","Dec"},0),VALUE(LEFT(AJ503,2))))))</f>
        <v>45515</v>
      </c>
      <c r="C503" s="3" t="n">
        <f aca="false">IF(AK503="","",IF(ISNUMBER(SEARCH("/",AK503)),DATE(VALUE(RIGHT(AK503,4)),VALUE(LEFT(AK503,2)),VALUE(MID(AK503,4,2))),IF(ISNUMBER(SEARCH("-",AK503)),IF(LEN(LEFT(AK503,FIND("-",AK503)-1))=4,DATE(VALUE(LEFT(AK503,4)),VALUE(MID(AK503,6,2)),VALUE(RIGHT(AK503,2))),DATE(VALUE(RIGHT(AK503,4)),VALUE(MID(AK503,4,2)),VALUE(LEFT(AK503,2)))),DATE(VALUE(RIGHT(AK503,4)),MATCH(MID(AK503,4,3),{"Jan","Feb","Mar","Apr","May","Jun","Jul","Aug","Sep","Oct","Nov","Dec"},0),VALUE(LEFT(AK503,2))))))</f>
        <v>45521</v>
      </c>
      <c r="D503" s="4" t="s">
        <v>1047</v>
      </c>
      <c r="E503" s="0" t="str">
        <f aca="false">PROPER(TRIM(AL503))</f>
        <v>Neha Gupta</v>
      </c>
      <c r="F503" s="0" t="str">
        <f aca="false">PROPER(TRIM(AM503))</f>
        <v>Consumer</v>
      </c>
      <c r="G503" s="0" t="str">
        <f aca="false">IF(TRIM(AN503)="","Unknown",PROPER(TRIM(AN503)))</f>
        <v>East</v>
      </c>
      <c r="H503" s="0" t="str">
        <f aca="false">PROPER(TRIM(AO503))</f>
        <v>Jharkhand</v>
      </c>
      <c r="I503" s="0" t="str">
        <f aca="false">PROPER(TRIM(AP503))</f>
        <v>Ranchi</v>
      </c>
      <c r="J503" s="0" t="str">
        <f aca="false">PROPER(TRIM(AQ503))</f>
        <v>Office Supplies</v>
      </c>
      <c r="K503" s="0" t="str">
        <f aca="false">PROPER(TRIM(AR503))</f>
        <v>Art</v>
      </c>
      <c r="M503" s="0" t="str">
        <f aca="false">IF(TRIM(AS503)="","Unknown",PROPER(TRIM(AS503)))</f>
        <v>Second Class</v>
      </c>
      <c r="N503" s="0" t="n">
        <v>6</v>
      </c>
      <c r="O503" s="0" t="n">
        <v>3497.54</v>
      </c>
      <c r="P503" s="5" t="n">
        <f aca="false">IF(AT503="","",IF(ISNUMBER(AT503),AT503,VALUE(SUBSTITUTE(AT503,"%",""))/100))</f>
        <v>0.15</v>
      </c>
      <c r="Q503" s="5" t="n">
        <f aca="false">IF(P503="",IF(AND(N503&lt;&gt;"",O503&lt;&gt;"",R503&lt;&gt;"",S503&lt;&gt;""),0,"REVIEW"),IF(OR(P503&lt;0,P503&gt;0.3),0,P503))</f>
        <v>0.15</v>
      </c>
      <c r="R503" s="0" t="n">
        <v>17837.45</v>
      </c>
      <c r="S503" s="0" t="n">
        <v>13627.02</v>
      </c>
      <c r="T503" s="6" t="n">
        <f aca="false">N503*O503*(1-Q503)</f>
        <v>17837.454</v>
      </c>
      <c r="U503" s="6" t="n">
        <f aca="false">T503-S503</f>
        <v>4210.434</v>
      </c>
      <c r="V503" s="7" t="n">
        <f aca="false">IF(T503=0,0,U503/T503)</f>
        <v>0.236044561067964</v>
      </c>
      <c r="W503" s="4" t="n">
        <f aca="false">C503-B503</f>
        <v>6</v>
      </c>
      <c r="X503" s="0" t="str">
        <f aca="false">TEXT(B503,"mmmm")</f>
        <v>August</v>
      </c>
      <c r="Y503" s="4" t="n">
        <f aca="false">YEAR(B503)</f>
        <v>2024</v>
      </c>
      <c r="Z503" s="0" t="str">
        <f aca="false">PROPER(TRIM(AU503))</f>
        <v>Paid</v>
      </c>
      <c r="AA503" s="0" t="str">
        <f aca="false">PROPER(TRIM(AV503))</f>
        <v>Completed</v>
      </c>
      <c r="AB503" s="0" t="str">
        <f aca="false">IF(TRIM(AN503)="","Yes","No")</f>
        <v>No</v>
      </c>
      <c r="AC503" s="0" t="str">
        <f aca="false">IF(TRIM(AS503)="","Yes","No")</f>
        <v>No</v>
      </c>
      <c r="AD503" s="0" t="str">
        <f aca="false">IF(AT503="","Yes","No")</f>
        <v>No</v>
      </c>
      <c r="AE503" s="0" t="str">
        <f aca="false">IF(W503&lt;0,"Yes","No")</f>
        <v>No</v>
      </c>
      <c r="AF503" s="0" t="str">
        <f aca="false">IF(P503="","No",IF(OR(P503&lt;0,P503&gt;0.3),"Yes","No"))</f>
        <v>No</v>
      </c>
      <c r="AG503" s="4" t="s">
        <v>50</v>
      </c>
      <c r="AH503" s="0" t="str">
        <f aca="false">IF(AND(AA503="Completed",Z503="Paid"),"Yes","No")</f>
        <v>Yes</v>
      </c>
      <c r="AI503" s="0" t="str">
        <f aca="false">IF(OR(AE503="Yes",AF503="Yes",AG503="Yes"),"Invalid",IF(OR(AB503="Yes",AC503="Yes",AD503="Yes"),"Warning","Clean"))</f>
        <v>Clean</v>
      </c>
      <c r="AJ503" s="4" t="s">
        <v>1989</v>
      </c>
      <c r="AK503" s="4" t="s">
        <v>1990</v>
      </c>
      <c r="AL503" s="4" t="s">
        <v>115</v>
      </c>
      <c r="AM503" s="4" t="s">
        <v>54</v>
      </c>
      <c r="AN503" s="4" t="s">
        <v>69</v>
      </c>
      <c r="AO503" s="4" t="s">
        <v>300</v>
      </c>
      <c r="AP503" s="4" t="s">
        <v>301</v>
      </c>
      <c r="AQ503" s="4" t="s">
        <v>58</v>
      </c>
      <c r="AR503" s="4" t="s">
        <v>80</v>
      </c>
      <c r="AS503" s="4" t="s">
        <v>60</v>
      </c>
      <c r="AT503" s="0" t="n">
        <v>0.15</v>
      </c>
      <c r="AU503" s="4" t="s">
        <v>61</v>
      </c>
      <c r="AV503" s="4" t="s">
        <v>62</v>
      </c>
    </row>
    <row r="504" customFormat="false" ht="15" hidden="false" customHeight="false" outlineLevel="0" collapsed="false">
      <c r="A504" s="0" t="s">
        <v>1991</v>
      </c>
      <c r="B504" s="3" t="n">
        <f aca="false">IF(AJ504="","",IF(ISNUMBER(SEARCH("/",AJ504)),DATE(VALUE(RIGHT(AJ504,4)),VALUE(LEFT(AJ504,2)),VALUE(MID(AJ504,4,2))),IF(ISNUMBER(SEARCH("-",AJ504)),IF(LEN(LEFT(AJ504,FIND("-",AJ504)-1))=4,DATE(VALUE(LEFT(AJ504,4)),VALUE(MID(AJ504,6,2)),VALUE(RIGHT(AJ504,2))),DATE(VALUE(RIGHT(AJ504,4)),VALUE(MID(AJ504,4,2)),VALUE(LEFT(AJ504,2)))),DATE(VALUE(RIGHT(AJ504,4)),MATCH(MID(AJ504,4,3),{"Jan","Feb","Mar","Apr","May","Jun","Jul","Aug","Sep","Oct","Nov","Dec"},0),VALUE(LEFT(AJ504,2))))))</f>
        <v>45383</v>
      </c>
      <c r="C504" s="3" t="n">
        <f aca="false">IF(AK504="","",IF(ISNUMBER(SEARCH("/",AK504)),DATE(VALUE(RIGHT(AK504,4)),VALUE(LEFT(AK504,2)),VALUE(MID(AK504,4,2))),IF(ISNUMBER(SEARCH("-",AK504)),IF(LEN(LEFT(AK504,FIND("-",AK504)-1))=4,DATE(VALUE(LEFT(AK504,4)),VALUE(MID(AK504,6,2)),VALUE(RIGHT(AK504,2))),DATE(VALUE(RIGHT(AK504,4)),VALUE(MID(AK504,4,2)),VALUE(LEFT(AK504,2)))),DATE(VALUE(RIGHT(AK504,4)),MATCH(MID(AK504,4,3),{"Jan","Feb","Mar","Apr","May","Jun","Jul","Aug","Sep","Oct","Nov","Dec"},0),VALUE(LEFT(AK504,2))))))</f>
        <v>45391</v>
      </c>
      <c r="D504" s="4" t="s">
        <v>1992</v>
      </c>
      <c r="E504" s="0" t="str">
        <f aca="false">PROPER(TRIM(AL504))</f>
        <v>Priya Menon</v>
      </c>
      <c r="F504" s="0" t="str">
        <f aca="false">PROPER(TRIM(AM504))</f>
        <v>Small Business</v>
      </c>
      <c r="G504" s="0" t="str">
        <f aca="false">IF(TRIM(AN504)="","Unknown",PROPER(TRIM(AN504)))</f>
        <v>East</v>
      </c>
      <c r="H504" s="0" t="str">
        <f aca="false">PROPER(TRIM(AO504))</f>
        <v>Odisha</v>
      </c>
      <c r="I504" s="0" t="str">
        <f aca="false">PROPER(TRIM(AP504))</f>
        <v>Bhubaneswar</v>
      </c>
      <c r="J504" s="0" t="str">
        <f aca="false">PROPER(TRIM(AQ504))</f>
        <v>Technology</v>
      </c>
      <c r="K504" s="0" t="str">
        <f aca="false">PROPER(TRIM(AR504))</f>
        <v>Copiers</v>
      </c>
      <c r="M504" s="0" t="str">
        <f aca="false">IF(TRIM(AS504)="","Unknown",PROPER(TRIM(AS504)))</f>
        <v>Second Class</v>
      </c>
      <c r="N504" s="0" t="n">
        <v>6</v>
      </c>
      <c r="O504" s="0" t="n">
        <v>826.93</v>
      </c>
      <c r="P504" s="5" t="n">
        <f aca="false">IF(AT504="","",IF(ISNUMBER(AT504),AT504,VALUE(SUBSTITUTE(AT504,"%",""))/100))</f>
        <v>0.1</v>
      </c>
      <c r="Q504" s="5" t="n">
        <f aca="false">IF(P504="",IF(AND(N504&lt;&gt;"",O504&lt;&gt;"",R504&lt;&gt;"",S504&lt;&gt;""),0,"REVIEW"),IF(OR(P504&lt;0,P504&gt;0.3),0,P504))</f>
        <v>0.1</v>
      </c>
      <c r="R504" s="0" t="n">
        <v>4465.42</v>
      </c>
      <c r="S504" s="0" t="n">
        <v>3377.1</v>
      </c>
      <c r="T504" s="6" t="n">
        <f aca="false">N504*O504*(1-Q504)</f>
        <v>4465.422</v>
      </c>
      <c r="U504" s="6" t="n">
        <f aca="false">T504-S504</f>
        <v>1088.322</v>
      </c>
      <c r="V504" s="7" t="n">
        <f aca="false">IF(T504=0,0,U504/T504)</f>
        <v>0.243722093902883</v>
      </c>
      <c r="W504" s="4" t="n">
        <f aca="false">C504-B504</f>
        <v>8</v>
      </c>
      <c r="X504" s="0" t="str">
        <f aca="false">TEXT(B504,"mmmm")</f>
        <v>April</v>
      </c>
      <c r="Y504" s="4" t="n">
        <f aca="false">YEAR(B504)</f>
        <v>2024</v>
      </c>
      <c r="Z504" s="0" t="str">
        <f aca="false">PROPER(TRIM(AU504))</f>
        <v>Paid</v>
      </c>
      <c r="AA504" s="0" t="str">
        <f aca="false">PROPER(TRIM(AV504))</f>
        <v>Completed</v>
      </c>
      <c r="AB504" s="0" t="str">
        <f aca="false">IF(TRIM(AN504)="","Yes","No")</f>
        <v>No</v>
      </c>
      <c r="AC504" s="0" t="str">
        <f aca="false">IF(TRIM(AS504)="","Yes","No")</f>
        <v>No</v>
      </c>
      <c r="AD504" s="0" t="str">
        <f aca="false">IF(AT504="","Yes","No")</f>
        <v>No</v>
      </c>
      <c r="AE504" s="0" t="str">
        <f aca="false">IF(W504&lt;0,"Yes","No")</f>
        <v>No</v>
      </c>
      <c r="AF504" s="0" t="str">
        <f aca="false">IF(P504="","No",IF(OR(P504&lt;0,P504&gt;0.3),"Yes","No"))</f>
        <v>No</v>
      </c>
      <c r="AG504" s="4" t="s">
        <v>50</v>
      </c>
      <c r="AH504" s="0" t="str">
        <f aca="false">IF(AND(AA504="Completed",Z504="Paid"),"Yes","No")</f>
        <v>Yes</v>
      </c>
      <c r="AI504" s="0" t="str">
        <f aca="false">IF(OR(AE504="Yes",AF504="Yes",AG504="Yes"),"Invalid",IF(OR(AB504="Yes",AC504="Yes",AD504="Yes"),"Warning","Clean"))</f>
        <v>Clean</v>
      </c>
      <c r="AJ504" s="4" t="s">
        <v>1993</v>
      </c>
      <c r="AK504" s="4" t="s">
        <v>1994</v>
      </c>
      <c r="AL504" s="4" t="s">
        <v>158</v>
      </c>
      <c r="AM504" s="4" t="s">
        <v>68</v>
      </c>
      <c r="AN504" s="4" t="s">
        <v>1995</v>
      </c>
      <c r="AO504" s="4" t="s">
        <v>70</v>
      </c>
      <c r="AP504" s="4" t="s">
        <v>71</v>
      </c>
      <c r="AQ504" s="4" t="s">
        <v>109</v>
      </c>
      <c r="AR504" s="4" t="s">
        <v>116</v>
      </c>
      <c r="AS504" s="4" t="s">
        <v>60</v>
      </c>
      <c r="AT504" s="0" t="n">
        <v>0.1</v>
      </c>
      <c r="AU504" s="4" t="s">
        <v>61</v>
      </c>
      <c r="AV504" s="4" t="s">
        <v>62</v>
      </c>
    </row>
    <row r="505" customFormat="false" ht="15" hidden="false" customHeight="false" outlineLevel="0" collapsed="false">
      <c r="A505" s="0" t="s">
        <v>1996</v>
      </c>
      <c r="B505" s="3" t="n">
        <f aca="false">IF(AJ505="","",IF(ISNUMBER(SEARCH("/",AJ505)),DATE(VALUE(RIGHT(AJ505,4)),VALUE(LEFT(AJ505,2)),VALUE(MID(AJ505,4,2))),IF(ISNUMBER(SEARCH("-",AJ505)),IF(LEN(LEFT(AJ505,FIND("-",AJ505)-1))=4,DATE(VALUE(LEFT(AJ505,4)),VALUE(MID(AJ505,6,2)),VALUE(RIGHT(AJ505,2))),DATE(VALUE(RIGHT(AJ505,4)),VALUE(MID(AJ505,4,2)),VALUE(LEFT(AJ505,2)))),DATE(VALUE(RIGHT(AJ505,4)),MATCH(MID(AJ505,4,3),{"Jan","Feb","Mar","Apr","May","Jun","Jul","Aug","Sep","Oct","Nov","Dec"},0),VALUE(LEFT(AJ505,2))))))</f>
        <v>45563</v>
      </c>
      <c r="C505" s="3" t="n">
        <f aca="false">IF(AK505="","",IF(ISNUMBER(SEARCH("/",AK505)),DATE(VALUE(RIGHT(AK505,4)),VALUE(LEFT(AK505,2)),VALUE(MID(AK505,4,2))),IF(ISNUMBER(SEARCH("-",AK505)),IF(LEN(LEFT(AK505,FIND("-",AK505)-1))=4,DATE(VALUE(LEFT(AK505,4)),VALUE(MID(AK505,6,2)),VALUE(RIGHT(AK505,2))),DATE(VALUE(RIGHT(AK505,4)),VALUE(MID(AK505,4,2)),VALUE(LEFT(AK505,2)))),DATE(VALUE(RIGHT(AK505,4)),MATCH(MID(AK505,4,3),{"Jan","Feb","Mar","Apr","May","Jun","Jul","Aug","Sep","Oct","Nov","Dec"},0),VALUE(LEFT(AK505,2))))))</f>
        <v>45570</v>
      </c>
      <c r="D505" s="4" t="s">
        <v>1997</v>
      </c>
      <c r="E505" s="0" t="str">
        <f aca="false">PROPER(TRIM(AL505))</f>
        <v>Aarav Sharma</v>
      </c>
      <c r="F505" s="0" t="str">
        <f aca="false">PROPER(TRIM(AM505))</f>
        <v>Consumer</v>
      </c>
      <c r="G505" s="0" t="str">
        <f aca="false">IF(TRIM(AN505)="","Unknown",PROPER(TRIM(AN505)))</f>
        <v>South</v>
      </c>
      <c r="H505" s="0" t="str">
        <f aca="false">PROPER(TRIM(AO505))</f>
        <v>Tamil Nadu</v>
      </c>
      <c r="I505" s="0" t="str">
        <f aca="false">PROPER(TRIM(AP505))</f>
        <v>Chennai</v>
      </c>
      <c r="J505" s="0" t="str">
        <f aca="false">PROPER(TRIM(AQ505))</f>
        <v>Technology</v>
      </c>
      <c r="K505" s="0" t="str">
        <f aca="false">PROPER(TRIM(AR505))</f>
        <v>Phones</v>
      </c>
      <c r="M505" s="0" t="str">
        <f aca="false">IF(TRIM(AS505)="","Unknown",PROPER(TRIM(AS505)))</f>
        <v>Standard Class</v>
      </c>
      <c r="N505" s="0" t="n">
        <v>7</v>
      </c>
      <c r="O505" s="0" t="n">
        <v>1681.6</v>
      </c>
      <c r="P505" s="5" t="n">
        <f aca="false">IF(AT505="","",IF(ISNUMBER(AT505),AT505,VALUE(SUBSTITUTE(AT505,"%",""))/100))</f>
        <v>0.1</v>
      </c>
      <c r="Q505" s="5" t="n">
        <f aca="false">IF(P505="",IF(AND(N505&lt;&gt;"",O505&lt;&gt;"",R505&lt;&gt;"",S505&lt;&gt;""),0,"REVIEW"),IF(OR(P505&lt;0,P505&gt;0.3),0,P505))</f>
        <v>0.1</v>
      </c>
      <c r="R505" s="0" t="n">
        <v>10594.08</v>
      </c>
      <c r="S505" s="0" t="n">
        <v>7160.31</v>
      </c>
      <c r="T505" s="6" t="n">
        <f aca="false">N505*O505*(1-Q505)</f>
        <v>10594.08</v>
      </c>
      <c r="U505" s="6" t="n">
        <f aca="false">T505-S505</f>
        <v>3433.77</v>
      </c>
      <c r="V505" s="7" t="n">
        <f aca="false">IF(T505=0,0,U505/T505)</f>
        <v>0.324121584885143</v>
      </c>
      <c r="W505" s="4" t="n">
        <f aca="false">C505-B505</f>
        <v>7</v>
      </c>
      <c r="X505" s="0" t="str">
        <f aca="false">TEXT(B505,"mmmm")</f>
        <v>September</v>
      </c>
      <c r="Y505" s="4" t="n">
        <f aca="false">YEAR(B505)</f>
        <v>2024</v>
      </c>
      <c r="Z505" s="0" t="str">
        <f aca="false">PROPER(TRIM(AU505))</f>
        <v>Paid</v>
      </c>
      <c r="AA505" s="0" t="str">
        <f aca="false">PROPER(TRIM(AV505))</f>
        <v>Completed</v>
      </c>
      <c r="AB505" s="0" t="str">
        <f aca="false">IF(TRIM(AN505)="","Yes","No")</f>
        <v>No</v>
      </c>
      <c r="AC505" s="0" t="str">
        <f aca="false">IF(TRIM(AS505)="","Yes","No")</f>
        <v>No</v>
      </c>
      <c r="AD505" s="0" t="str">
        <f aca="false">IF(AT505="","Yes","No")</f>
        <v>No</v>
      </c>
      <c r="AE505" s="0" t="str">
        <f aca="false">IF(W505&lt;0,"Yes","No")</f>
        <v>No</v>
      </c>
      <c r="AF505" s="0" t="str">
        <f aca="false">IF(P505="","No",IF(OR(P505&lt;0,P505&gt;0.3),"Yes","No"))</f>
        <v>No</v>
      </c>
      <c r="AG505" s="4" t="s">
        <v>50</v>
      </c>
      <c r="AH505" s="0" t="str">
        <f aca="false">IF(AND(AA505="Completed",Z505="Paid"),"Yes","No")</f>
        <v>Yes</v>
      </c>
      <c r="AI505" s="0" t="str">
        <f aca="false">IF(OR(AE505="Yes",AF505="Yes",AG505="Yes"),"Invalid",IF(OR(AB505="Yes",AC505="Yes",AD505="Yes"),"Warning","Clean"))</f>
        <v>Clean</v>
      </c>
      <c r="AJ505" s="4" t="s">
        <v>1998</v>
      </c>
      <c r="AK505" s="4" t="s">
        <v>1999</v>
      </c>
      <c r="AL505" s="4" t="s">
        <v>176</v>
      </c>
      <c r="AM505" s="4" t="s">
        <v>54</v>
      </c>
      <c r="AN505" s="4" t="s">
        <v>87</v>
      </c>
      <c r="AO505" s="4" t="s">
        <v>323</v>
      </c>
      <c r="AP505" s="4" t="s">
        <v>324</v>
      </c>
      <c r="AQ505" s="4" t="s">
        <v>109</v>
      </c>
      <c r="AR505" s="4" t="s">
        <v>227</v>
      </c>
      <c r="AS505" s="4" t="s">
        <v>91</v>
      </c>
      <c r="AT505" s="0" t="n">
        <v>0.1</v>
      </c>
      <c r="AU505" s="4" t="s">
        <v>61</v>
      </c>
      <c r="AV505" s="4" t="s">
        <v>62</v>
      </c>
    </row>
    <row r="506" customFormat="false" ht="15" hidden="false" customHeight="false" outlineLevel="0" collapsed="false">
      <c r="A506" s="0" t="s">
        <v>2000</v>
      </c>
      <c r="B506" s="3" t="n">
        <f aca="false">IF(AJ506="","",IF(ISNUMBER(SEARCH("/",AJ506)),DATE(VALUE(RIGHT(AJ506,4)),VALUE(LEFT(AJ506,2)),VALUE(MID(AJ506,4,2))),IF(ISNUMBER(SEARCH("-",AJ506)),IF(LEN(LEFT(AJ506,FIND("-",AJ506)-1))=4,DATE(VALUE(LEFT(AJ506,4)),VALUE(MID(AJ506,6,2)),VALUE(RIGHT(AJ506,2))),DATE(VALUE(RIGHT(AJ506,4)),VALUE(MID(AJ506,4,2)),VALUE(LEFT(AJ506,2)))),DATE(VALUE(RIGHT(AJ506,4)),MATCH(MID(AJ506,4,3),{"Jan","Feb","Mar","Apr","May","Jun","Jul","Aug","Sep","Oct","Nov","Dec"},0),VALUE(LEFT(AJ506,2))))))</f>
        <v>45700</v>
      </c>
      <c r="C506" s="3" t="n">
        <f aca="false">IF(AK506="","",IF(ISNUMBER(SEARCH("/",AK506)),DATE(VALUE(RIGHT(AK506,4)),VALUE(LEFT(AK506,2)),VALUE(MID(AK506,4,2))),IF(ISNUMBER(SEARCH("-",AK506)),IF(LEN(LEFT(AK506,FIND("-",AK506)-1))=4,DATE(VALUE(LEFT(AK506,4)),VALUE(MID(AK506,6,2)),VALUE(RIGHT(AK506,2))),DATE(VALUE(RIGHT(AK506,4)),VALUE(MID(AK506,4,2)),VALUE(LEFT(AK506,2)))),DATE(VALUE(RIGHT(AK506,4)),MATCH(MID(AK506,4,3),{"Jan","Feb","Mar","Apr","May","Jun","Jul","Aug","Sep","Oct","Nov","Dec"},0),VALUE(LEFT(AK506,2))))))</f>
        <v>45705</v>
      </c>
      <c r="D506" s="4" t="s">
        <v>2001</v>
      </c>
      <c r="E506" s="0" t="str">
        <f aca="false">PROPER(TRIM(AL506))</f>
        <v>Arjun Bose</v>
      </c>
      <c r="F506" s="0" t="str">
        <f aca="false">PROPER(TRIM(AM506))</f>
        <v>Corporate</v>
      </c>
      <c r="G506" s="0" t="str">
        <f aca="false">IF(TRIM(AN506)="","Unknown",PROPER(TRIM(AN506)))</f>
        <v>West</v>
      </c>
      <c r="H506" s="0" t="str">
        <f aca="false">PROPER(TRIM(AO506))</f>
        <v>Gujarat</v>
      </c>
      <c r="I506" s="0" t="str">
        <f aca="false">PROPER(TRIM(AP506))</f>
        <v>Ahmedabad</v>
      </c>
      <c r="J506" s="0" t="str">
        <f aca="false">PROPER(TRIM(AQ506))</f>
        <v>Office Supplies</v>
      </c>
      <c r="K506" s="0" t="str">
        <f aca="false">PROPER(TRIM(AR506))</f>
        <v>Art</v>
      </c>
      <c r="M506" s="0" t="str">
        <f aca="false">IF(TRIM(AS506)="","Unknown",PROPER(TRIM(AS506)))</f>
        <v>Standard Class</v>
      </c>
      <c r="N506" s="0" t="n">
        <v>4</v>
      </c>
      <c r="O506" s="0" t="n">
        <v>4328.12</v>
      </c>
      <c r="P506" s="5" t="n">
        <f aca="false">IF(AT506="","",IF(ISNUMBER(AT506),AT506,VALUE(SUBSTITUTE(AT506,"%",""))/100))</f>
        <v>0</v>
      </c>
      <c r="Q506" s="5" t="n">
        <f aca="false">IF(P506="",IF(AND(N506&lt;&gt;"",O506&lt;&gt;"",R506&lt;&gt;"",S506&lt;&gt;""),0,"REVIEW"),IF(OR(P506&lt;0,P506&gt;0.3),0,P506))</f>
        <v>0</v>
      </c>
      <c r="R506" s="0" t="n">
        <v>17312.48</v>
      </c>
      <c r="S506" s="0" t="n">
        <v>14424.22</v>
      </c>
      <c r="T506" s="6" t="n">
        <f aca="false">N506*O506*(1-Q506)</f>
        <v>17312.48</v>
      </c>
      <c r="U506" s="6" t="n">
        <f aca="false">T506-S506</f>
        <v>2888.26</v>
      </c>
      <c r="V506" s="7" t="n">
        <f aca="false">IF(T506=0,0,U506/T506)</f>
        <v>0.166831095256139</v>
      </c>
      <c r="W506" s="4" t="n">
        <f aca="false">C506-B506</f>
        <v>5</v>
      </c>
      <c r="X506" s="0" t="str">
        <f aca="false">TEXT(B506,"mmmm")</f>
        <v>February</v>
      </c>
      <c r="Y506" s="4" t="n">
        <f aca="false">YEAR(B506)</f>
        <v>2025</v>
      </c>
      <c r="Z506" s="0" t="str">
        <f aca="false">PROPER(TRIM(AU506))</f>
        <v>Paid</v>
      </c>
      <c r="AA506" s="0" t="str">
        <f aca="false">PROPER(TRIM(AV506))</f>
        <v>Completed</v>
      </c>
      <c r="AB506" s="0" t="str">
        <f aca="false">IF(TRIM(AN506)="","Yes","No")</f>
        <v>No</v>
      </c>
      <c r="AC506" s="0" t="str">
        <f aca="false">IF(TRIM(AS506)="","Yes","No")</f>
        <v>No</v>
      </c>
      <c r="AD506" s="0" t="str">
        <f aca="false">IF(AT506="","Yes","No")</f>
        <v>No</v>
      </c>
      <c r="AE506" s="0" t="str">
        <f aca="false">IF(W506&lt;0,"Yes","No")</f>
        <v>No</v>
      </c>
      <c r="AF506" s="0" t="str">
        <f aca="false">IF(P506="","No",IF(OR(P506&lt;0,P506&gt;0.3),"Yes","No"))</f>
        <v>No</v>
      </c>
      <c r="AG506" s="4" t="s">
        <v>50</v>
      </c>
      <c r="AH506" s="0" t="str">
        <f aca="false">IF(AND(AA506="Completed",Z506="Paid"),"Yes","No")</f>
        <v>Yes</v>
      </c>
      <c r="AI506" s="0" t="str">
        <f aca="false">IF(OR(AE506="Yes",AF506="Yes",AG506="Yes"),"Invalid",IF(OR(AB506="Yes",AC506="Yes",AD506="Yes"),"Warning","Clean"))</f>
        <v>Clean</v>
      </c>
      <c r="AJ506" s="4" t="s">
        <v>2002</v>
      </c>
      <c r="AK506" s="4" t="s">
        <v>2003</v>
      </c>
      <c r="AL506" s="4" t="s">
        <v>86</v>
      </c>
      <c r="AM506" s="4" t="s">
        <v>128</v>
      </c>
      <c r="AN506" s="4" t="s">
        <v>97</v>
      </c>
      <c r="AO506" s="4" t="s">
        <v>238</v>
      </c>
      <c r="AP506" s="4" t="s">
        <v>239</v>
      </c>
      <c r="AQ506" s="4" t="s">
        <v>58</v>
      </c>
      <c r="AR506" s="4" t="s">
        <v>80</v>
      </c>
      <c r="AS506" s="4" t="s">
        <v>91</v>
      </c>
      <c r="AT506" s="0" t="n">
        <v>0</v>
      </c>
      <c r="AU506" s="4" t="s">
        <v>61</v>
      </c>
      <c r="AV506" s="4" t="s">
        <v>62</v>
      </c>
    </row>
    <row r="507" customFormat="false" ht="15" hidden="false" customHeight="false" outlineLevel="0" collapsed="false">
      <c r="A507" s="0" t="s">
        <v>2004</v>
      </c>
      <c r="B507" s="3" t="n">
        <f aca="false">IF(AJ507="","",IF(ISNUMBER(SEARCH("/",AJ507)),DATE(VALUE(RIGHT(AJ507,4)),VALUE(LEFT(AJ507,2)),VALUE(MID(AJ507,4,2))),IF(ISNUMBER(SEARCH("-",AJ507)),IF(LEN(LEFT(AJ507,FIND("-",AJ507)-1))=4,DATE(VALUE(LEFT(AJ507,4)),VALUE(MID(AJ507,6,2)),VALUE(RIGHT(AJ507,2))),DATE(VALUE(RIGHT(AJ507,4)),VALUE(MID(AJ507,4,2)),VALUE(LEFT(AJ507,2)))),DATE(VALUE(RIGHT(AJ507,4)),MATCH(MID(AJ507,4,3),{"Jan","Feb","Mar","Apr","May","Jun","Jul","Aug","Sep","Oct","Nov","Dec"},0),VALUE(LEFT(AJ507,2))))))</f>
        <v>45605</v>
      </c>
      <c r="C507" s="3" t="n">
        <f aca="false">IF(AK507="","",IF(ISNUMBER(SEARCH("/",AK507)),DATE(VALUE(RIGHT(AK507,4)),VALUE(LEFT(AK507,2)),VALUE(MID(AK507,4,2))),IF(ISNUMBER(SEARCH("-",AK507)),IF(LEN(LEFT(AK507,FIND("-",AK507)-1))=4,DATE(VALUE(LEFT(AK507,4)),VALUE(MID(AK507,6,2)),VALUE(RIGHT(AK507,2))),DATE(VALUE(RIGHT(AK507,4)),VALUE(MID(AK507,4,2)),VALUE(LEFT(AK507,2)))),DATE(VALUE(RIGHT(AK507,4)),MATCH(MID(AK507,4,3),{"Jan","Feb","Mar","Apr","May","Jun","Jul","Aug","Sep","Oct","Nov","Dec"},0),VALUE(LEFT(AK507,2))))))</f>
        <v>45610</v>
      </c>
      <c r="D507" s="4" t="s">
        <v>2005</v>
      </c>
      <c r="E507" s="0" t="str">
        <f aca="false">PROPER(TRIM(AL507))</f>
        <v>Neha Gupta</v>
      </c>
      <c r="F507" s="0" t="str">
        <f aca="false">PROPER(TRIM(AM507))</f>
        <v>Corporate</v>
      </c>
      <c r="G507" s="0" t="str">
        <f aca="false">IF(TRIM(AN507)="","Unknown",PROPER(TRIM(AN507)))</f>
        <v>West</v>
      </c>
      <c r="H507" s="0" t="str">
        <f aca="false">PROPER(TRIM(AO507))</f>
        <v>Madhya Pradesh</v>
      </c>
      <c r="I507" s="0" t="str">
        <f aca="false">PROPER(TRIM(AP507))</f>
        <v>Indore</v>
      </c>
      <c r="J507" s="0" t="str">
        <f aca="false">PROPER(TRIM(AQ507))</f>
        <v>Office Supplies</v>
      </c>
      <c r="K507" s="0" t="str">
        <f aca="false">PROPER(TRIM(AR507))</f>
        <v>Art</v>
      </c>
      <c r="M507" s="0" t="str">
        <f aca="false">IF(TRIM(AS507)="","Unknown",PROPER(TRIM(AS507)))</f>
        <v>First Class</v>
      </c>
      <c r="N507" s="0" t="n">
        <v>9</v>
      </c>
      <c r="O507" s="0" t="n">
        <v>2438.29</v>
      </c>
      <c r="P507" s="5" t="n">
        <f aca="false">IF(AT507="","",IF(ISNUMBER(AT507),AT507,VALUE(SUBSTITUTE(AT507,"%",""))/100))</f>
        <v>0.2</v>
      </c>
      <c r="Q507" s="5" t="n">
        <f aca="false">IF(P507="",IF(AND(N507&lt;&gt;"",O507&lt;&gt;"",R507&lt;&gt;"",S507&lt;&gt;""),0,"REVIEW"),IF(OR(P507&lt;0,P507&gt;0.3),0,P507))</f>
        <v>0.2</v>
      </c>
      <c r="R507" s="0" t="n">
        <v>17555.69</v>
      </c>
      <c r="S507" s="0" t="n">
        <v>13293.2</v>
      </c>
      <c r="T507" s="6" t="n">
        <f aca="false">N507*O507*(1-Q507)</f>
        <v>17555.688</v>
      </c>
      <c r="U507" s="6" t="n">
        <f aca="false">T507-S507</f>
        <v>4262.488</v>
      </c>
      <c r="V507" s="7" t="n">
        <f aca="false">IF(T507=0,0,U507/T507)</f>
        <v>0.242798117624328</v>
      </c>
      <c r="W507" s="4" t="n">
        <f aca="false">C507-B507</f>
        <v>5</v>
      </c>
      <c r="X507" s="0" t="str">
        <f aca="false">TEXT(B507,"mmmm")</f>
        <v>November</v>
      </c>
      <c r="Y507" s="4" t="n">
        <f aca="false">YEAR(B507)</f>
        <v>2024</v>
      </c>
      <c r="Z507" s="0" t="str">
        <f aca="false">PROPER(TRIM(AU507))</f>
        <v>Paid</v>
      </c>
      <c r="AA507" s="0" t="str">
        <f aca="false">PROPER(TRIM(AV507))</f>
        <v>Cancelled</v>
      </c>
      <c r="AB507" s="0" t="str">
        <f aca="false">IF(TRIM(AN507)="","Yes","No")</f>
        <v>No</v>
      </c>
      <c r="AC507" s="0" t="str">
        <f aca="false">IF(TRIM(AS507)="","Yes","No")</f>
        <v>No</v>
      </c>
      <c r="AD507" s="0" t="str">
        <f aca="false">IF(AT507="","Yes","No")</f>
        <v>No</v>
      </c>
      <c r="AE507" s="0" t="str">
        <f aca="false">IF(W507&lt;0,"Yes","No")</f>
        <v>No</v>
      </c>
      <c r="AF507" s="0" t="str">
        <f aca="false">IF(P507="","No",IF(OR(P507&lt;0,P507&gt;0.3),"Yes","No"))</f>
        <v>No</v>
      </c>
      <c r="AG507" s="4" t="s">
        <v>50</v>
      </c>
      <c r="AH507" s="0" t="str">
        <f aca="false">IF(AND(AA507="Completed",Z507="Paid"),"Yes","No")</f>
        <v>No</v>
      </c>
      <c r="AI507" s="0" t="str">
        <f aca="false">IF(OR(AE507="Yes",AF507="Yes",AG507="Yes"),"Invalid",IF(OR(AB507="Yes",AC507="Yes",AD507="Yes"),"Warning","Clean"))</f>
        <v>Clean</v>
      </c>
      <c r="AJ507" s="4" t="s">
        <v>2006</v>
      </c>
      <c r="AK507" s="4" t="s">
        <v>1161</v>
      </c>
      <c r="AL507" s="4" t="s">
        <v>115</v>
      </c>
      <c r="AM507" s="4" t="s">
        <v>128</v>
      </c>
      <c r="AN507" s="4" t="s">
        <v>97</v>
      </c>
      <c r="AO507" s="4" t="s">
        <v>107</v>
      </c>
      <c r="AP507" s="4" t="s">
        <v>108</v>
      </c>
      <c r="AQ507" s="4" t="s">
        <v>58</v>
      </c>
      <c r="AR507" s="4" t="s">
        <v>80</v>
      </c>
      <c r="AS507" s="4" t="s">
        <v>81</v>
      </c>
      <c r="AT507" s="0" t="n">
        <v>0.2</v>
      </c>
      <c r="AU507" s="4" t="s">
        <v>61</v>
      </c>
      <c r="AV507" s="4" t="s">
        <v>101</v>
      </c>
    </row>
    <row r="508" customFormat="false" ht="15" hidden="false" customHeight="false" outlineLevel="0" collapsed="false">
      <c r="A508" s="0" t="s">
        <v>2007</v>
      </c>
      <c r="B508" s="3" t="n">
        <f aca="false">IF(AJ508="","",IF(ISNUMBER(SEARCH("/",AJ508)),DATE(VALUE(RIGHT(AJ508,4)),VALUE(LEFT(AJ508,2)),VALUE(MID(AJ508,4,2))),IF(ISNUMBER(SEARCH("-",AJ508)),IF(LEN(LEFT(AJ508,FIND("-",AJ508)-1))=4,DATE(VALUE(LEFT(AJ508,4)),VALUE(MID(AJ508,6,2)),VALUE(RIGHT(AJ508,2))),DATE(VALUE(RIGHT(AJ508,4)),VALUE(MID(AJ508,4,2)),VALUE(LEFT(AJ508,2)))),DATE(VALUE(RIGHT(AJ508,4)),MATCH(MID(AJ508,4,3),{"Jan","Feb","Mar","Apr","May","Jun","Jul","Aug","Sep","Oct","Nov","Dec"},0),VALUE(LEFT(AJ508,2))))))</f>
        <v>45641</v>
      </c>
      <c r="C508" s="3" t="n">
        <f aca="false">IF(AK508="","",IF(ISNUMBER(SEARCH("/",AK508)),DATE(VALUE(RIGHT(AK508,4)),VALUE(LEFT(AK508,2)),VALUE(MID(AK508,4,2))),IF(ISNUMBER(SEARCH("-",AK508)),IF(LEN(LEFT(AK508,FIND("-",AK508)-1))=4,DATE(VALUE(LEFT(AK508,4)),VALUE(MID(AK508,6,2)),VALUE(RIGHT(AK508,2))),DATE(VALUE(RIGHT(AK508,4)),VALUE(MID(AK508,4,2)),VALUE(LEFT(AK508,2)))),DATE(VALUE(RIGHT(AK508,4)),MATCH(MID(AK508,4,3),{"Jan","Feb","Mar","Apr","May","Jun","Jul","Aug","Sep","Oct","Nov","Dec"},0),VALUE(LEFT(AK508,2))))))</f>
        <v>45641</v>
      </c>
      <c r="D508" s="4" t="s">
        <v>2008</v>
      </c>
      <c r="E508" s="0" t="str">
        <f aca="false">PROPER(TRIM(AL508))</f>
        <v>Aarav Sharma</v>
      </c>
      <c r="F508" s="0" t="str">
        <f aca="false">PROPER(TRIM(AM508))</f>
        <v>Small Business</v>
      </c>
      <c r="G508" s="0" t="str">
        <f aca="false">IF(TRIM(AN508)="","Unknown",PROPER(TRIM(AN508)))</f>
        <v>North</v>
      </c>
      <c r="H508" s="0" t="str">
        <f aca="false">PROPER(TRIM(AO508))</f>
        <v>Punjab</v>
      </c>
      <c r="I508" s="0" t="str">
        <f aca="false">PROPER(TRIM(AP508))</f>
        <v>Ludhiana</v>
      </c>
      <c r="J508" s="0" t="str">
        <f aca="false">PROPER(TRIM(AQ508))</f>
        <v>Furniture</v>
      </c>
      <c r="K508" s="0" t="str">
        <f aca="false">PROPER(TRIM(AR508))</f>
        <v>Furnishings</v>
      </c>
      <c r="M508" s="0" t="str">
        <f aca="false">IF(TRIM(AS508)="","Unknown",PROPER(TRIM(AS508)))</f>
        <v>First Class</v>
      </c>
      <c r="N508" s="0" t="n">
        <v>2</v>
      </c>
      <c r="O508" s="0" t="n">
        <v>669.8</v>
      </c>
      <c r="P508" s="5" t="n">
        <f aca="false">IF(AT508="","",IF(ISNUMBER(AT508),AT508,VALUE(SUBSTITUTE(AT508,"%",""))/100))</f>
        <v>0.1</v>
      </c>
      <c r="Q508" s="5" t="n">
        <f aca="false">IF(P508="",IF(AND(N508&lt;&gt;"",O508&lt;&gt;"",R508&lt;&gt;"",S508&lt;&gt;""),0,"REVIEW"),IF(OR(P508&lt;0,P508&gt;0.3),0,P508))</f>
        <v>0.1</v>
      </c>
      <c r="R508" s="0" t="n">
        <v>1205.64</v>
      </c>
      <c r="S508" s="0" t="n">
        <v>842.07</v>
      </c>
      <c r="T508" s="6" t="n">
        <f aca="false">N508*O508*(1-Q508)</f>
        <v>1205.64</v>
      </c>
      <c r="U508" s="6" t="n">
        <f aca="false">T508-S508</f>
        <v>363.57</v>
      </c>
      <c r="V508" s="7" t="n">
        <f aca="false">IF(T508=0,0,U508/T508)</f>
        <v>0.301557678909127</v>
      </c>
      <c r="W508" s="4" t="n">
        <f aca="false">C508-B508</f>
        <v>0</v>
      </c>
      <c r="X508" s="0" t="str">
        <f aca="false">TEXT(B508,"mmmm")</f>
        <v>December</v>
      </c>
      <c r="Y508" s="4" t="n">
        <f aca="false">YEAR(B508)</f>
        <v>2024</v>
      </c>
      <c r="Z508" s="0" t="str">
        <f aca="false">PROPER(TRIM(AU508))</f>
        <v>Refunded</v>
      </c>
      <c r="AA508" s="0" t="str">
        <f aca="false">PROPER(TRIM(AV508))</f>
        <v>Returned</v>
      </c>
      <c r="AB508" s="0" t="str">
        <f aca="false">IF(TRIM(AN508)="","Yes","No")</f>
        <v>No</v>
      </c>
      <c r="AC508" s="0" t="str">
        <f aca="false">IF(TRIM(AS508)="","Yes","No")</f>
        <v>No</v>
      </c>
      <c r="AD508" s="0" t="str">
        <f aca="false">IF(AT508="","Yes","No")</f>
        <v>No</v>
      </c>
      <c r="AE508" s="0" t="str">
        <f aca="false">IF(W508&lt;0,"Yes","No")</f>
        <v>No</v>
      </c>
      <c r="AF508" s="0" t="str">
        <f aca="false">IF(P508="","No",IF(OR(P508&lt;0,P508&gt;0.3),"Yes","No"))</f>
        <v>No</v>
      </c>
      <c r="AG508" s="4" t="s">
        <v>50</v>
      </c>
      <c r="AH508" s="0" t="str">
        <f aca="false">IF(AND(AA508="Completed",Z508="Paid"),"Yes","No")</f>
        <v>No</v>
      </c>
      <c r="AI508" s="0" t="str">
        <f aca="false">IF(OR(AE508="Yes",AF508="Yes",AG508="Yes"),"Invalid",IF(OR(AB508="Yes",AC508="Yes",AD508="Yes"),"Warning","Clean"))</f>
        <v>Clean</v>
      </c>
      <c r="AJ508" s="4" t="s">
        <v>2009</v>
      </c>
      <c r="AK508" s="4" t="s">
        <v>2010</v>
      </c>
      <c r="AL508" s="4" t="s">
        <v>176</v>
      </c>
      <c r="AM508" s="4" t="s">
        <v>68</v>
      </c>
      <c r="AN508" s="4" t="s">
        <v>168</v>
      </c>
      <c r="AO508" s="4" t="s">
        <v>169</v>
      </c>
      <c r="AP508" s="4" t="s">
        <v>170</v>
      </c>
      <c r="AQ508" s="4" t="s">
        <v>72</v>
      </c>
      <c r="AR508" s="4" t="s">
        <v>90</v>
      </c>
      <c r="AS508" s="4" t="s">
        <v>81</v>
      </c>
      <c r="AT508" s="0" t="n">
        <v>0.1</v>
      </c>
      <c r="AU508" s="4" t="s">
        <v>141</v>
      </c>
      <c r="AV508" s="4" t="s">
        <v>142</v>
      </c>
    </row>
    <row r="509" customFormat="false" ht="15" hidden="false" customHeight="false" outlineLevel="0" collapsed="false">
      <c r="A509" s="0" t="s">
        <v>2011</v>
      </c>
      <c r="B509" s="3" t="n">
        <f aca="false">IF(AJ509="","",IF(ISNUMBER(SEARCH("/",AJ509)),DATE(VALUE(RIGHT(AJ509,4)),VALUE(LEFT(AJ509,2)),VALUE(MID(AJ509,4,2))),IF(ISNUMBER(SEARCH("-",AJ509)),IF(LEN(LEFT(AJ509,FIND("-",AJ509)-1))=4,DATE(VALUE(LEFT(AJ509,4)),VALUE(MID(AJ509,6,2)),VALUE(RIGHT(AJ509,2))),DATE(VALUE(RIGHT(AJ509,4)),VALUE(MID(AJ509,4,2)),VALUE(LEFT(AJ509,2)))),DATE(VALUE(RIGHT(AJ509,4)),MATCH(MID(AJ509,4,3),{"Jan","Feb","Mar","Apr","May","Jun","Jul","Aug","Sep","Oct","Nov","Dec"},0),VALUE(LEFT(AJ509,2))))))</f>
        <v>45762</v>
      </c>
      <c r="C509" s="3" t="n">
        <f aca="false">IF(AK509="","",IF(ISNUMBER(SEARCH("/",AK509)),DATE(VALUE(RIGHT(AK509,4)),VALUE(LEFT(AK509,2)),VALUE(MID(AK509,4,2))),IF(ISNUMBER(SEARCH("-",AK509)),IF(LEN(LEFT(AK509,FIND("-",AK509)-1))=4,DATE(VALUE(LEFT(AK509,4)),VALUE(MID(AK509,6,2)),VALUE(RIGHT(AK509,2))),DATE(VALUE(RIGHT(AK509,4)),VALUE(MID(AK509,4,2)),VALUE(LEFT(AK509,2)))),DATE(VALUE(RIGHT(AK509,4)),MATCH(MID(AK509,4,3),{"Jan","Feb","Mar","Apr","May","Jun","Jul","Aug","Sep","Oct","Nov","Dec"},0),VALUE(LEFT(AK509,2))))))</f>
        <v>45769</v>
      </c>
      <c r="D509" s="4" t="s">
        <v>2012</v>
      </c>
      <c r="E509" s="0" t="str">
        <f aca="false">PROPER(TRIM(AL509))</f>
        <v>Isha Nair</v>
      </c>
      <c r="F509" s="0" t="str">
        <f aca="false">PROPER(TRIM(AM509))</f>
        <v>Small Business</v>
      </c>
      <c r="G509" s="0" t="str">
        <f aca="false">IF(TRIM(AN509)="","Unknown",PROPER(TRIM(AN509)))</f>
        <v>North</v>
      </c>
      <c r="H509" s="0" t="str">
        <f aca="false">PROPER(TRIM(AO509))</f>
        <v>Haryana</v>
      </c>
      <c r="I509" s="0" t="str">
        <f aca="false">PROPER(TRIM(AP509))</f>
        <v>Gurugram</v>
      </c>
      <c r="J509" s="0" t="str">
        <f aca="false">PROPER(TRIM(AQ509))</f>
        <v>Office Supplies</v>
      </c>
      <c r="K509" s="0" t="str">
        <f aca="false">PROPER(TRIM(AR509))</f>
        <v>Binders</v>
      </c>
      <c r="M509" s="0" t="str">
        <f aca="false">IF(TRIM(AS509)="","Unknown",PROPER(TRIM(AS509)))</f>
        <v>Same Day</v>
      </c>
      <c r="N509" s="0" t="n">
        <v>4</v>
      </c>
      <c r="O509" s="0" t="n">
        <v>2990.42</v>
      </c>
      <c r="P509" s="5" t="n">
        <f aca="false">IF(AT509="","",IF(ISNUMBER(AT509),AT509,VALUE(SUBSTITUTE(AT509,"%",""))/100))</f>
        <v>0.25</v>
      </c>
      <c r="Q509" s="5" t="n">
        <f aca="false">IF(P509="",IF(AND(N509&lt;&gt;"",O509&lt;&gt;"",R509&lt;&gt;"",S509&lt;&gt;""),0,"REVIEW"),IF(OR(P509&lt;0,P509&gt;0.3),0,P509))</f>
        <v>0.25</v>
      </c>
      <c r="R509" s="0" t="n">
        <v>8971.26</v>
      </c>
      <c r="S509" s="0" t="n">
        <v>6814.35</v>
      </c>
      <c r="T509" s="6" t="n">
        <f aca="false">N509*O509*(1-Q509)</f>
        <v>8971.26</v>
      </c>
      <c r="U509" s="6" t="n">
        <f aca="false">T509-S509</f>
        <v>2156.91</v>
      </c>
      <c r="V509" s="7" t="n">
        <f aca="false">IF(T509=0,0,U509/T509)</f>
        <v>0.240424421987547</v>
      </c>
      <c r="W509" s="4" t="n">
        <f aca="false">C509-B509</f>
        <v>7</v>
      </c>
      <c r="X509" s="0" t="str">
        <f aca="false">TEXT(B509,"mmmm")</f>
        <v>April</v>
      </c>
      <c r="Y509" s="4" t="n">
        <f aca="false">YEAR(B509)</f>
        <v>2025</v>
      </c>
      <c r="Z509" s="0" t="str">
        <f aca="false">PROPER(TRIM(AU509))</f>
        <v>Paid</v>
      </c>
      <c r="AA509" s="0" t="str">
        <f aca="false">PROPER(TRIM(AV509))</f>
        <v>Completed</v>
      </c>
      <c r="AB509" s="0" t="str">
        <f aca="false">IF(TRIM(AN509)="","Yes","No")</f>
        <v>No</v>
      </c>
      <c r="AC509" s="0" t="str">
        <f aca="false">IF(TRIM(AS509)="","Yes","No")</f>
        <v>No</v>
      </c>
      <c r="AD509" s="0" t="str">
        <f aca="false">IF(AT509="","Yes","No")</f>
        <v>No</v>
      </c>
      <c r="AE509" s="0" t="str">
        <f aca="false">IF(W509&lt;0,"Yes","No")</f>
        <v>No</v>
      </c>
      <c r="AF509" s="0" t="str">
        <f aca="false">IF(P509="","No",IF(OR(P509&lt;0,P509&gt;0.3),"Yes","No"))</f>
        <v>No</v>
      </c>
      <c r="AG509" s="4" t="s">
        <v>50</v>
      </c>
      <c r="AH509" s="0" t="str">
        <f aca="false">IF(AND(AA509="Completed",Z509="Paid"),"Yes","No")</f>
        <v>Yes</v>
      </c>
      <c r="AI509" s="0" t="str">
        <f aca="false">IF(OR(AE509="Yes",AF509="Yes",AG509="Yes"),"Invalid",IF(OR(AB509="Yes",AC509="Yes",AD509="Yes"),"Warning","Clean"))</f>
        <v>Clean</v>
      </c>
      <c r="AJ509" s="4" t="s">
        <v>1760</v>
      </c>
      <c r="AK509" s="4" t="s">
        <v>1732</v>
      </c>
      <c r="AL509" s="4" t="s">
        <v>79</v>
      </c>
      <c r="AM509" s="4" t="s">
        <v>68</v>
      </c>
      <c r="AN509" s="4" t="s">
        <v>168</v>
      </c>
      <c r="AO509" s="4" t="s">
        <v>310</v>
      </c>
      <c r="AP509" s="4" t="s">
        <v>311</v>
      </c>
      <c r="AQ509" s="4" t="s">
        <v>58</v>
      </c>
      <c r="AR509" s="4" t="s">
        <v>206</v>
      </c>
      <c r="AS509" s="4" t="s">
        <v>74</v>
      </c>
      <c r="AT509" s="0" t="n">
        <v>0.25</v>
      </c>
      <c r="AU509" s="4" t="s">
        <v>61</v>
      </c>
      <c r="AV509" s="4" t="s">
        <v>62</v>
      </c>
    </row>
    <row r="510" customFormat="false" ht="15" hidden="false" customHeight="false" outlineLevel="0" collapsed="false">
      <c r="A510" s="0" t="s">
        <v>2013</v>
      </c>
      <c r="B510" s="3" t="n">
        <f aca="false">IF(AJ510="","",IF(ISNUMBER(SEARCH("/",AJ510)),DATE(VALUE(RIGHT(AJ510,4)),VALUE(LEFT(AJ510,2)),VALUE(MID(AJ510,4,2))),IF(ISNUMBER(SEARCH("-",AJ510)),IF(LEN(LEFT(AJ510,FIND("-",AJ510)-1))=4,DATE(VALUE(LEFT(AJ510,4)),VALUE(MID(AJ510,6,2)),VALUE(RIGHT(AJ510,2))),DATE(VALUE(RIGHT(AJ510,4)),VALUE(MID(AJ510,4,2)),VALUE(LEFT(AJ510,2)))),DATE(VALUE(RIGHT(AJ510,4)),MATCH(MID(AJ510,4,3),{"Jan","Feb","Mar","Apr","May","Jun","Jul","Aug","Sep","Oct","Nov","Dec"},0),VALUE(LEFT(AJ510,2))))))</f>
        <v>45382</v>
      </c>
      <c r="C510" s="3" t="n">
        <f aca="false">IF(AK510="","",IF(ISNUMBER(SEARCH("/",AK510)),DATE(VALUE(RIGHT(AK510,4)),VALUE(LEFT(AK510,2)),VALUE(MID(AK510,4,2))),IF(ISNUMBER(SEARCH("-",AK510)),IF(LEN(LEFT(AK510,FIND("-",AK510)-1))=4,DATE(VALUE(LEFT(AK510,4)),VALUE(MID(AK510,6,2)),VALUE(RIGHT(AK510,2))),DATE(VALUE(RIGHT(AK510,4)),VALUE(MID(AK510,4,2)),VALUE(LEFT(AK510,2)))),DATE(VALUE(RIGHT(AK510,4)),MATCH(MID(AK510,4,3),{"Jan","Feb","Mar","Apr","May","Jun","Jul","Aug","Sep","Oct","Nov","Dec"},0),VALUE(LEFT(AK510,2))))))</f>
        <v>45389</v>
      </c>
      <c r="D510" s="4" t="s">
        <v>2014</v>
      </c>
      <c r="E510" s="0" t="str">
        <f aca="false">PROPER(TRIM(AL510))</f>
        <v>Isha Nair</v>
      </c>
      <c r="F510" s="0" t="str">
        <f aca="false">PROPER(TRIM(AM510))</f>
        <v>Small Business</v>
      </c>
      <c r="G510" s="0" t="str">
        <f aca="false">IF(TRIM(AN510)="","Unknown",PROPER(TRIM(AN510)))</f>
        <v>North</v>
      </c>
      <c r="H510" s="0" t="str">
        <f aca="false">PROPER(TRIM(AO510))</f>
        <v>Haryana</v>
      </c>
      <c r="I510" s="0" t="str">
        <f aca="false">PROPER(TRIM(AP510))</f>
        <v>Gurugram</v>
      </c>
      <c r="J510" s="0" t="str">
        <f aca="false">PROPER(TRIM(AQ510))</f>
        <v>Technology</v>
      </c>
      <c r="K510" s="0" t="str">
        <f aca="false">PROPER(TRIM(AR510))</f>
        <v>Machines</v>
      </c>
      <c r="M510" s="0" t="str">
        <f aca="false">IF(TRIM(AS510)="","Unknown",PROPER(TRIM(AS510)))</f>
        <v>Second Class</v>
      </c>
      <c r="N510" s="0" t="n">
        <v>4</v>
      </c>
      <c r="O510" s="0" t="n">
        <v>1831</v>
      </c>
      <c r="P510" s="5" t="n">
        <f aca="false">IF(AT510="","",IF(ISNUMBER(AT510),AT510,VALUE(SUBSTITUTE(AT510,"%",""))/100))</f>
        <v>0</v>
      </c>
      <c r="Q510" s="5" t="n">
        <f aca="false">IF(P510="",IF(AND(N510&lt;&gt;"",O510&lt;&gt;"",R510&lt;&gt;"",S510&lt;&gt;""),0,"REVIEW"),IF(OR(P510&lt;0,P510&gt;0.3),0,P510))</f>
        <v>0</v>
      </c>
      <c r="R510" s="0" t="n">
        <v>7324</v>
      </c>
      <c r="S510" s="0" t="n">
        <v>4179.63</v>
      </c>
      <c r="T510" s="6" t="n">
        <f aca="false">N510*O510*(1-Q510)</f>
        <v>7324</v>
      </c>
      <c r="U510" s="6" t="n">
        <f aca="false">T510-S510</f>
        <v>3144.37</v>
      </c>
      <c r="V510" s="7" t="n">
        <f aca="false">IF(T510=0,0,U510/T510)</f>
        <v>0.429324139814309</v>
      </c>
      <c r="W510" s="4" t="n">
        <f aca="false">C510-B510</f>
        <v>7</v>
      </c>
      <c r="X510" s="0" t="str">
        <f aca="false">TEXT(B510,"mmmm")</f>
        <v>March</v>
      </c>
      <c r="Y510" s="4" t="n">
        <f aca="false">YEAR(B510)</f>
        <v>2024</v>
      </c>
      <c r="Z510" s="0" t="str">
        <f aca="false">PROPER(TRIM(AU510))</f>
        <v>Paid</v>
      </c>
      <c r="AA510" s="0" t="str">
        <f aca="false">PROPER(TRIM(AV510))</f>
        <v>Completed</v>
      </c>
      <c r="AB510" s="0" t="str">
        <f aca="false">IF(TRIM(AN510)="","Yes","No")</f>
        <v>No</v>
      </c>
      <c r="AC510" s="0" t="str">
        <f aca="false">IF(TRIM(AS510)="","Yes","No")</f>
        <v>No</v>
      </c>
      <c r="AD510" s="0" t="str">
        <f aca="false">IF(AT510="","Yes","No")</f>
        <v>No</v>
      </c>
      <c r="AE510" s="0" t="str">
        <f aca="false">IF(W510&lt;0,"Yes","No")</f>
        <v>No</v>
      </c>
      <c r="AF510" s="0" t="str">
        <f aca="false">IF(P510="","No",IF(OR(P510&lt;0,P510&gt;0.3),"Yes","No"))</f>
        <v>No</v>
      </c>
      <c r="AG510" s="4" t="s">
        <v>50</v>
      </c>
      <c r="AH510" s="0" t="str">
        <f aca="false">IF(AND(AA510="Completed",Z510="Paid"),"Yes","No")</f>
        <v>Yes</v>
      </c>
      <c r="AI510" s="0" t="str">
        <f aca="false">IF(OR(AE510="Yes",AF510="Yes",AG510="Yes"),"Invalid",IF(OR(AB510="Yes",AC510="Yes",AD510="Yes"),"Warning","Clean"))</f>
        <v>Clean</v>
      </c>
      <c r="AJ510" s="4" t="s">
        <v>2015</v>
      </c>
      <c r="AK510" s="4" t="s">
        <v>1192</v>
      </c>
      <c r="AL510" s="4" t="s">
        <v>79</v>
      </c>
      <c r="AM510" s="4" t="s">
        <v>68</v>
      </c>
      <c r="AN510" s="4" t="s">
        <v>168</v>
      </c>
      <c r="AO510" s="4" t="s">
        <v>310</v>
      </c>
      <c r="AP510" s="4" t="s">
        <v>311</v>
      </c>
      <c r="AQ510" s="4" t="s">
        <v>109</v>
      </c>
      <c r="AR510" s="4" t="s">
        <v>360</v>
      </c>
      <c r="AS510" s="4" t="s">
        <v>60</v>
      </c>
      <c r="AT510" s="0" t="n">
        <v>0</v>
      </c>
      <c r="AU510" s="4" t="s">
        <v>61</v>
      </c>
      <c r="AV510" s="4" t="s">
        <v>62</v>
      </c>
    </row>
    <row r="511" customFormat="false" ht="15" hidden="false" customHeight="false" outlineLevel="0" collapsed="false">
      <c r="A511" s="0" t="s">
        <v>2016</v>
      </c>
      <c r="B511" s="3" t="n">
        <f aca="false">IF(AJ511="","",IF(ISNUMBER(SEARCH("/",AJ511)),DATE(VALUE(RIGHT(AJ511,4)),VALUE(LEFT(AJ511,2)),VALUE(MID(AJ511,4,2))),IF(ISNUMBER(SEARCH("-",AJ511)),IF(LEN(LEFT(AJ511,FIND("-",AJ511)-1))=4,DATE(VALUE(LEFT(AJ511,4)),VALUE(MID(AJ511,6,2)),VALUE(RIGHT(AJ511,2))),DATE(VALUE(RIGHT(AJ511,4)),VALUE(MID(AJ511,4,2)),VALUE(LEFT(AJ511,2)))),DATE(VALUE(RIGHT(AJ511,4)),MATCH(MID(AJ511,4,3),{"Jan","Feb","Mar","Apr","May","Jun","Jul","Aug","Sep","Oct","Nov","Dec"},0),VALUE(LEFT(AJ511,2))))))</f>
        <v>45789</v>
      </c>
      <c r="C511" s="3" t="n">
        <f aca="false">IF(AK511="","",IF(ISNUMBER(SEARCH("/",AK511)),DATE(VALUE(RIGHT(AK511,4)),VALUE(LEFT(AK511,2)),VALUE(MID(AK511,4,2))),IF(ISNUMBER(SEARCH("-",AK511)),IF(LEN(LEFT(AK511,FIND("-",AK511)-1))=4,DATE(VALUE(LEFT(AK511,4)),VALUE(MID(AK511,6,2)),VALUE(RIGHT(AK511,2))),DATE(VALUE(RIGHT(AK511,4)),VALUE(MID(AK511,4,2)),VALUE(LEFT(AK511,2)))),DATE(VALUE(RIGHT(AK511,4)),MATCH(MID(AK511,4,3),{"Jan","Feb","Mar","Apr","May","Jun","Jul","Aug","Sep","Oct","Nov","Dec"},0),VALUE(LEFT(AK511,2))))))</f>
        <v>45791</v>
      </c>
      <c r="D511" s="4" t="s">
        <v>2017</v>
      </c>
      <c r="E511" s="0" t="str">
        <f aca="false">PROPER(TRIM(AL511))</f>
        <v>Neha Gupta</v>
      </c>
      <c r="F511" s="0" t="str">
        <f aca="false">PROPER(TRIM(AM511))</f>
        <v>Consumer</v>
      </c>
      <c r="G511" s="0" t="str">
        <f aca="false">IF(TRIM(AN511)="","Unknown",PROPER(TRIM(AN511)))</f>
        <v>West</v>
      </c>
      <c r="H511" s="0" t="str">
        <f aca="false">PROPER(TRIM(AO511))</f>
        <v>Gujarat</v>
      </c>
      <c r="I511" s="0" t="str">
        <f aca="false">PROPER(TRIM(AP511))</f>
        <v>Ahmedabad</v>
      </c>
      <c r="J511" s="0" t="str">
        <f aca="false">PROPER(TRIM(AQ511))</f>
        <v>Technology</v>
      </c>
      <c r="K511" s="0" t="str">
        <f aca="false">PROPER(TRIM(AR511))</f>
        <v>Machines</v>
      </c>
      <c r="M511" s="0" t="str">
        <f aca="false">IF(TRIM(AS511)="","Unknown",PROPER(TRIM(AS511)))</f>
        <v>Same Day</v>
      </c>
      <c r="N511" s="0" t="n">
        <v>8</v>
      </c>
      <c r="O511" s="0" t="n">
        <v>3631.44</v>
      </c>
      <c r="P511" s="5" t="n">
        <f aca="false">IF(AT511="","",IF(ISNUMBER(AT511),AT511,VALUE(SUBSTITUTE(AT511,"%",""))/100))</f>
        <v>0.2</v>
      </c>
      <c r="Q511" s="5" t="n">
        <f aca="false">IF(P511="",IF(AND(N511&lt;&gt;"",O511&lt;&gt;"",R511&lt;&gt;"",S511&lt;&gt;""),0,"REVIEW"),IF(OR(P511&lt;0,P511&gt;0.3),0,P511))</f>
        <v>0.2</v>
      </c>
      <c r="R511" s="0" t="n">
        <v>23241.22</v>
      </c>
      <c r="S511" s="0" t="n">
        <v>17220.9</v>
      </c>
      <c r="T511" s="6" t="n">
        <f aca="false">N511*O511*(1-Q511)</f>
        <v>23241.216</v>
      </c>
      <c r="U511" s="6" t="n">
        <f aca="false">T511-S511</f>
        <v>6020.316</v>
      </c>
      <c r="V511" s="7" t="n">
        <f aca="false">IF(T511=0,0,U511/T511)</f>
        <v>0.25903618812372</v>
      </c>
      <c r="W511" s="4" t="n">
        <f aca="false">C511-B511</f>
        <v>2</v>
      </c>
      <c r="X511" s="0" t="str">
        <f aca="false">TEXT(B511,"mmmm")</f>
        <v>May</v>
      </c>
      <c r="Y511" s="4" t="n">
        <f aca="false">YEAR(B511)</f>
        <v>2025</v>
      </c>
      <c r="Z511" s="0" t="str">
        <f aca="false">PROPER(TRIM(AU511))</f>
        <v>Paid</v>
      </c>
      <c r="AA511" s="0" t="str">
        <f aca="false">PROPER(TRIM(AV511))</f>
        <v>Completed</v>
      </c>
      <c r="AB511" s="0" t="str">
        <f aca="false">IF(TRIM(AN511)="","Yes","No")</f>
        <v>No</v>
      </c>
      <c r="AC511" s="0" t="str">
        <f aca="false">IF(TRIM(AS511)="","Yes","No")</f>
        <v>No</v>
      </c>
      <c r="AD511" s="0" t="str">
        <f aca="false">IF(AT511="","Yes","No")</f>
        <v>No</v>
      </c>
      <c r="AE511" s="0" t="str">
        <f aca="false">IF(W511&lt;0,"Yes","No")</f>
        <v>No</v>
      </c>
      <c r="AF511" s="0" t="str">
        <f aca="false">IF(P511="","No",IF(OR(P511&lt;0,P511&gt;0.3),"Yes","No"))</f>
        <v>No</v>
      </c>
      <c r="AG511" s="4" t="s">
        <v>50</v>
      </c>
      <c r="AH511" s="0" t="str">
        <f aca="false">IF(AND(AA511="Completed",Z511="Paid"),"Yes","No")</f>
        <v>Yes</v>
      </c>
      <c r="AI511" s="0" t="str">
        <f aca="false">IF(OR(AE511="Yes",AF511="Yes",AG511="Yes"),"Invalid",IF(OR(AB511="Yes",AC511="Yes",AD511="Yes"),"Warning","Clean"))</f>
        <v>Clean</v>
      </c>
      <c r="AJ511" s="4" t="s">
        <v>2018</v>
      </c>
      <c r="AK511" s="4" t="s">
        <v>2019</v>
      </c>
      <c r="AL511" s="4" t="s">
        <v>115</v>
      </c>
      <c r="AM511" s="4" t="s">
        <v>54</v>
      </c>
      <c r="AN511" s="4" t="s">
        <v>97</v>
      </c>
      <c r="AO511" s="4" t="s">
        <v>238</v>
      </c>
      <c r="AP511" s="4" t="s">
        <v>239</v>
      </c>
      <c r="AQ511" s="4" t="s">
        <v>109</v>
      </c>
      <c r="AR511" s="4" t="s">
        <v>360</v>
      </c>
      <c r="AS511" s="4" t="s">
        <v>74</v>
      </c>
      <c r="AT511" s="0" t="n">
        <v>0.2</v>
      </c>
      <c r="AU511" s="4" t="s">
        <v>61</v>
      </c>
      <c r="AV511" s="4" t="s">
        <v>62</v>
      </c>
    </row>
    <row r="512" customFormat="false" ht="15" hidden="false" customHeight="false" outlineLevel="0" collapsed="false">
      <c r="A512" s="0" t="s">
        <v>2020</v>
      </c>
      <c r="B512" s="3" t="n">
        <f aca="false">IF(AJ512="","",IF(ISNUMBER(SEARCH("/",AJ512)),DATE(VALUE(RIGHT(AJ512,4)),VALUE(LEFT(AJ512,2)),VALUE(MID(AJ512,4,2))),IF(ISNUMBER(SEARCH("-",AJ512)),IF(LEN(LEFT(AJ512,FIND("-",AJ512)-1))=4,DATE(VALUE(LEFT(AJ512,4)),VALUE(MID(AJ512,6,2)),VALUE(RIGHT(AJ512,2))),DATE(VALUE(RIGHT(AJ512,4)),VALUE(MID(AJ512,4,2)),VALUE(LEFT(AJ512,2)))),DATE(VALUE(RIGHT(AJ512,4)),MATCH(MID(AJ512,4,3),{"Jan","Feb","Mar","Apr","May","Jun","Jul","Aug","Sep","Oct","Nov","Dec"},0),VALUE(LEFT(AJ512,2))))))</f>
        <v>45583</v>
      </c>
      <c r="C512" s="3" t="n">
        <f aca="false">IF(AK512="","",IF(ISNUMBER(SEARCH("/",AK512)),DATE(VALUE(RIGHT(AK512,4)),VALUE(LEFT(AK512,2)),VALUE(MID(AK512,4,2))),IF(ISNUMBER(SEARCH("-",AK512)),IF(LEN(LEFT(AK512,FIND("-",AK512)-1))=4,DATE(VALUE(LEFT(AK512,4)),VALUE(MID(AK512,6,2)),VALUE(RIGHT(AK512,2))),DATE(VALUE(RIGHT(AK512,4)),VALUE(MID(AK512,4,2)),VALUE(LEFT(AK512,2)))),DATE(VALUE(RIGHT(AK512,4)),MATCH(MID(AK512,4,3),{"Jan","Feb","Mar","Apr","May","Jun","Jul","Aug","Sep","Oct","Nov","Dec"},0),VALUE(LEFT(AK512,2))))))</f>
        <v>45586</v>
      </c>
      <c r="D512" s="4" t="s">
        <v>2021</v>
      </c>
      <c r="E512" s="0" t="str">
        <f aca="false">PROPER(TRIM(AL512))</f>
        <v>Aarav Sharma</v>
      </c>
      <c r="F512" s="0" t="str">
        <f aca="false">PROPER(TRIM(AM512))</f>
        <v>Consumer</v>
      </c>
      <c r="G512" s="0" t="str">
        <f aca="false">IF(TRIM(AN512)="","Unknown",PROPER(TRIM(AN512)))</f>
        <v>South</v>
      </c>
      <c r="H512" s="0" t="str">
        <f aca="false">PROPER(TRIM(AO512))</f>
        <v>Karnataka</v>
      </c>
      <c r="I512" s="0" t="str">
        <f aca="false">PROPER(TRIM(AP512))</f>
        <v>Bengaluru</v>
      </c>
      <c r="J512" s="0" t="str">
        <f aca="false">PROPER(TRIM(AQ512))</f>
        <v>Office Supplies</v>
      </c>
      <c r="K512" s="0" t="str">
        <f aca="false">PROPER(TRIM(AR512))</f>
        <v>Storage</v>
      </c>
      <c r="M512" s="0" t="str">
        <f aca="false">IF(TRIM(AS512)="","Unknown",PROPER(TRIM(AS512)))</f>
        <v>Second Class</v>
      </c>
      <c r="N512" s="0" t="n">
        <v>2</v>
      </c>
      <c r="O512" s="0" t="n">
        <v>4238.51</v>
      </c>
      <c r="P512" s="5" t="n">
        <f aca="false">IF(AT512="","",IF(ISNUMBER(AT512),AT512,VALUE(SUBSTITUTE(AT512,"%",""))/100))</f>
        <v>0</v>
      </c>
      <c r="Q512" s="5" t="n">
        <f aca="false">IF(P512="",IF(AND(N512&lt;&gt;"",O512&lt;&gt;"",R512&lt;&gt;"",S512&lt;&gt;""),0,"REVIEW"),IF(OR(P512&lt;0,P512&gt;0.3),0,P512))</f>
        <v>0</v>
      </c>
      <c r="R512" s="0" t="n">
        <v>8477.02</v>
      </c>
      <c r="S512" s="0" t="n">
        <v>6884.96</v>
      </c>
      <c r="T512" s="6" t="n">
        <f aca="false">N512*O512*(1-Q512)</f>
        <v>8477.02</v>
      </c>
      <c r="U512" s="6" t="n">
        <f aca="false">T512-S512</f>
        <v>1592.06</v>
      </c>
      <c r="V512" s="7" t="n">
        <f aca="false">IF(T512=0,0,U512/T512)</f>
        <v>0.187808923418843</v>
      </c>
      <c r="W512" s="4" t="n">
        <f aca="false">C512-B512</f>
        <v>3</v>
      </c>
      <c r="X512" s="0" t="str">
        <f aca="false">TEXT(B512,"mmmm")</f>
        <v>October</v>
      </c>
      <c r="Y512" s="4" t="n">
        <f aca="false">YEAR(B512)</f>
        <v>2024</v>
      </c>
      <c r="Z512" s="0" t="str">
        <f aca="false">PROPER(TRIM(AU512))</f>
        <v>Paid</v>
      </c>
      <c r="AA512" s="0" t="str">
        <f aca="false">PROPER(TRIM(AV512))</f>
        <v>Completed</v>
      </c>
      <c r="AB512" s="0" t="str">
        <f aca="false">IF(TRIM(AN512)="","Yes","No")</f>
        <v>No</v>
      </c>
      <c r="AC512" s="0" t="str">
        <f aca="false">IF(TRIM(AS512)="","Yes","No")</f>
        <v>No</v>
      </c>
      <c r="AD512" s="0" t="str">
        <f aca="false">IF(AT512="","Yes","No")</f>
        <v>No</v>
      </c>
      <c r="AE512" s="0" t="str">
        <f aca="false">IF(W512&lt;0,"Yes","No")</f>
        <v>No</v>
      </c>
      <c r="AF512" s="0" t="str">
        <f aca="false">IF(P512="","No",IF(OR(P512&lt;0,P512&gt;0.3),"Yes","No"))</f>
        <v>No</v>
      </c>
      <c r="AG512" s="4" t="s">
        <v>50</v>
      </c>
      <c r="AH512" s="0" t="str">
        <f aca="false">IF(AND(AA512="Completed",Z512="Paid"),"Yes","No")</f>
        <v>Yes</v>
      </c>
      <c r="AI512" s="0" t="str">
        <f aca="false">IF(OR(AE512="Yes",AF512="Yes",AG512="Yes"),"Invalid",IF(OR(AB512="Yes",AC512="Yes",AD512="Yes"),"Warning","Clean"))</f>
        <v>Clean</v>
      </c>
      <c r="AJ512" s="4" t="s">
        <v>573</v>
      </c>
      <c r="AK512" s="4" t="s">
        <v>2022</v>
      </c>
      <c r="AL512" s="4" t="s">
        <v>2023</v>
      </c>
      <c r="AM512" s="4" t="s">
        <v>54</v>
      </c>
      <c r="AN512" s="4" t="s">
        <v>87</v>
      </c>
      <c r="AO512" s="4" t="s">
        <v>233</v>
      </c>
      <c r="AP512" s="4" t="s">
        <v>234</v>
      </c>
      <c r="AQ512" s="4" t="s">
        <v>58</v>
      </c>
      <c r="AR512" s="4" t="s">
        <v>171</v>
      </c>
      <c r="AS512" s="4" t="s">
        <v>60</v>
      </c>
      <c r="AT512" s="0" t="n">
        <v>0</v>
      </c>
      <c r="AU512" s="4" t="s">
        <v>61</v>
      </c>
      <c r="AV512" s="4" t="s">
        <v>62</v>
      </c>
    </row>
    <row r="513" customFormat="false" ht="15" hidden="false" customHeight="false" outlineLevel="0" collapsed="false">
      <c r="A513" s="0" t="s">
        <v>2024</v>
      </c>
      <c r="B513" s="3" t="n">
        <f aca="false">IF(AJ513="","",IF(ISNUMBER(SEARCH("/",AJ513)),DATE(VALUE(RIGHT(AJ513,4)),VALUE(LEFT(AJ513,2)),VALUE(MID(AJ513,4,2))),IF(ISNUMBER(SEARCH("-",AJ513)),IF(LEN(LEFT(AJ513,FIND("-",AJ513)-1))=4,DATE(VALUE(LEFT(AJ513,4)),VALUE(MID(AJ513,6,2)),VALUE(RIGHT(AJ513,2))),DATE(VALUE(RIGHT(AJ513,4)),VALUE(MID(AJ513,4,2)),VALUE(LEFT(AJ513,2)))),DATE(VALUE(RIGHT(AJ513,4)),MATCH(MID(AJ513,4,3),{"Jan","Feb","Mar","Apr","May","Jun","Jul","Aug","Sep","Oct","Nov","Dec"},0),VALUE(LEFT(AJ513,2))))))</f>
        <v>45588</v>
      </c>
      <c r="C513" s="3" t="n">
        <f aca="false">IF(AK513="","",IF(ISNUMBER(SEARCH("/",AK513)),DATE(VALUE(RIGHT(AK513,4)),VALUE(LEFT(AK513,2)),VALUE(MID(AK513,4,2))),IF(ISNUMBER(SEARCH("-",AK513)),IF(LEN(LEFT(AK513,FIND("-",AK513)-1))=4,DATE(VALUE(LEFT(AK513,4)),VALUE(MID(AK513,6,2)),VALUE(RIGHT(AK513,2))),DATE(VALUE(RIGHT(AK513,4)),VALUE(MID(AK513,4,2)),VALUE(LEFT(AK513,2)))),DATE(VALUE(RIGHT(AK513,4)),MATCH(MID(AK513,4,3),{"Jan","Feb","Mar","Apr","May","Jun","Jul","Aug","Sep","Oct","Nov","Dec"},0),VALUE(LEFT(AK513,2))))))</f>
        <v>45591</v>
      </c>
      <c r="D513" s="4" t="s">
        <v>2025</v>
      </c>
      <c r="E513" s="0" t="str">
        <f aca="false">PROPER(TRIM(AL513))</f>
        <v>Sneha Kapoor</v>
      </c>
      <c r="F513" s="0" t="str">
        <f aca="false">PROPER(TRIM(AM513))</f>
        <v>Consumer</v>
      </c>
      <c r="G513" s="0" t="str">
        <f aca="false">IF(TRIM(AN513)="","Unknown",PROPER(TRIM(AN513)))</f>
        <v>West</v>
      </c>
      <c r="H513" s="0" t="str">
        <f aca="false">PROPER(TRIM(AO513))</f>
        <v>Madhya Pradesh</v>
      </c>
      <c r="I513" s="0" t="str">
        <f aca="false">PROPER(TRIM(AP513))</f>
        <v>Indore</v>
      </c>
      <c r="J513" s="0" t="str">
        <f aca="false">PROPER(TRIM(AQ513))</f>
        <v>Furniture</v>
      </c>
      <c r="K513" s="0" t="str">
        <f aca="false">PROPER(TRIM(AR513))</f>
        <v>Bookcases</v>
      </c>
      <c r="M513" s="0" t="str">
        <f aca="false">IF(TRIM(AS513)="","Unknown",PROPER(TRIM(AS513)))</f>
        <v>Standard Class</v>
      </c>
      <c r="N513" s="0" t="n">
        <v>9</v>
      </c>
      <c r="O513" s="0" t="n">
        <v>544.27</v>
      </c>
      <c r="P513" s="5" t="n">
        <f aca="false">IF(AT513="","",IF(ISNUMBER(AT513),AT513,VALUE(SUBSTITUTE(AT513,"%",""))/100))</f>
        <v>0.25</v>
      </c>
      <c r="Q513" s="5" t="n">
        <f aca="false">IF(P513="",IF(AND(N513&lt;&gt;"",O513&lt;&gt;"",R513&lt;&gt;"",S513&lt;&gt;""),0,"REVIEW"),IF(OR(P513&lt;0,P513&gt;0.3),0,P513))</f>
        <v>0.25</v>
      </c>
      <c r="R513" s="0" t="n">
        <v>3673.82</v>
      </c>
      <c r="S513" s="0" t="n">
        <v>2088.15</v>
      </c>
      <c r="T513" s="6" t="n">
        <f aca="false">N513*O513*(1-Q513)</f>
        <v>3673.8225</v>
      </c>
      <c r="U513" s="6" t="n">
        <f aca="false">T513-S513</f>
        <v>1585.6725</v>
      </c>
      <c r="V513" s="7" t="n">
        <f aca="false">IF(T513=0,0,U513/T513)</f>
        <v>0.431613802789874</v>
      </c>
      <c r="W513" s="4" t="n">
        <f aca="false">C513-B513</f>
        <v>3</v>
      </c>
      <c r="X513" s="0" t="str">
        <f aca="false">TEXT(B513,"mmmm")</f>
        <v>October</v>
      </c>
      <c r="Y513" s="4" t="n">
        <f aca="false">YEAR(B513)</f>
        <v>2024</v>
      </c>
      <c r="Z513" s="0" t="str">
        <f aca="false">PROPER(TRIM(AU513))</f>
        <v>Paid</v>
      </c>
      <c r="AA513" s="0" t="str">
        <f aca="false">PROPER(TRIM(AV513))</f>
        <v>Completed</v>
      </c>
      <c r="AB513" s="0" t="str">
        <f aca="false">IF(TRIM(AN513)="","Yes","No")</f>
        <v>No</v>
      </c>
      <c r="AC513" s="0" t="str">
        <f aca="false">IF(TRIM(AS513)="","Yes","No")</f>
        <v>No</v>
      </c>
      <c r="AD513" s="0" t="str">
        <f aca="false">IF(AT513="","Yes","No")</f>
        <v>No</v>
      </c>
      <c r="AE513" s="0" t="str">
        <f aca="false">IF(W513&lt;0,"Yes","No")</f>
        <v>No</v>
      </c>
      <c r="AF513" s="0" t="str">
        <f aca="false">IF(P513="","No",IF(OR(P513&lt;0,P513&gt;0.3),"Yes","No"))</f>
        <v>No</v>
      </c>
      <c r="AG513" s="4" t="s">
        <v>50</v>
      </c>
      <c r="AH513" s="0" t="str">
        <f aca="false">IF(AND(AA513="Completed",Z513="Paid"),"Yes","No")</f>
        <v>Yes</v>
      </c>
      <c r="AI513" s="0" t="str">
        <f aca="false">IF(OR(AE513="Yes",AF513="Yes",AG513="Yes"),"Invalid",IF(OR(AB513="Yes",AC513="Yes",AD513="Yes"),"Warning","Clean"))</f>
        <v>Clean</v>
      </c>
      <c r="AJ513" s="4" t="s">
        <v>2026</v>
      </c>
      <c r="AK513" s="4" t="s">
        <v>2027</v>
      </c>
      <c r="AL513" s="4" t="s">
        <v>181</v>
      </c>
      <c r="AM513" s="4" t="s">
        <v>54</v>
      </c>
      <c r="AN513" s="4" t="s">
        <v>97</v>
      </c>
      <c r="AO513" s="4" t="s">
        <v>107</v>
      </c>
      <c r="AP513" s="4" t="s">
        <v>108</v>
      </c>
      <c r="AQ513" s="4" t="s">
        <v>72</v>
      </c>
      <c r="AR513" s="4" t="s">
        <v>211</v>
      </c>
      <c r="AS513" s="4" t="s">
        <v>91</v>
      </c>
      <c r="AT513" s="0" t="n">
        <v>0.25</v>
      </c>
      <c r="AU513" s="4" t="s">
        <v>61</v>
      </c>
      <c r="AV513" s="4" t="s">
        <v>62</v>
      </c>
    </row>
    <row r="514" customFormat="false" ht="15" hidden="false" customHeight="false" outlineLevel="0" collapsed="false">
      <c r="A514" s="0" t="s">
        <v>2028</v>
      </c>
      <c r="B514" s="3" t="n">
        <f aca="false">IF(AJ514="","",IF(ISNUMBER(SEARCH("/",AJ514)),DATE(VALUE(RIGHT(AJ514,4)),VALUE(LEFT(AJ514,2)),VALUE(MID(AJ514,4,2))),IF(ISNUMBER(SEARCH("-",AJ514)),IF(LEN(LEFT(AJ514,FIND("-",AJ514)-1))=4,DATE(VALUE(LEFT(AJ514,4)),VALUE(MID(AJ514,6,2)),VALUE(RIGHT(AJ514,2))),DATE(VALUE(RIGHT(AJ514,4)),VALUE(MID(AJ514,4,2)),VALUE(LEFT(AJ514,2)))),DATE(VALUE(RIGHT(AJ514,4)),MATCH(MID(AJ514,4,3),{"Jan","Feb","Mar","Apr","May","Jun","Jul","Aug","Sep","Oct","Nov","Dec"},0),VALUE(LEFT(AJ514,2))))))</f>
        <v>45718</v>
      </c>
      <c r="C514" s="3" t="n">
        <f aca="false">IF(AK514="","",IF(ISNUMBER(SEARCH("/",AK514)),DATE(VALUE(RIGHT(AK514,4)),VALUE(LEFT(AK514,2)),VALUE(MID(AK514,4,2))),IF(ISNUMBER(SEARCH("-",AK514)),IF(LEN(LEFT(AK514,FIND("-",AK514)-1))=4,DATE(VALUE(LEFT(AK514,4)),VALUE(MID(AK514,6,2)),VALUE(RIGHT(AK514,2))),DATE(VALUE(RIGHT(AK514,4)),VALUE(MID(AK514,4,2)),VALUE(LEFT(AK514,2)))),DATE(VALUE(RIGHT(AK514,4)),MATCH(MID(AK514,4,3),{"Jan","Feb","Mar","Apr","May","Jun","Jul","Aug","Sep","Oct","Nov","Dec"},0),VALUE(LEFT(AK514,2))))))</f>
        <v>45719</v>
      </c>
      <c r="D514" s="4" t="s">
        <v>1565</v>
      </c>
      <c r="E514" s="0" t="str">
        <f aca="false">PROPER(TRIM(AL514))</f>
        <v>Isha Nair</v>
      </c>
      <c r="F514" s="0" t="str">
        <f aca="false">PROPER(TRIM(AM514))</f>
        <v>Corporate</v>
      </c>
      <c r="G514" s="0" t="str">
        <f aca="false">IF(TRIM(AN514)="","Unknown",PROPER(TRIM(AN514)))</f>
        <v>South</v>
      </c>
      <c r="H514" s="0" t="str">
        <f aca="false">PROPER(TRIM(AO514))</f>
        <v>Kerala</v>
      </c>
      <c r="I514" s="0" t="str">
        <f aca="false">PROPER(TRIM(AP514))</f>
        <v>Kochi</v>
      </c>
      <c r="J514" s="0" t="str">
        <f aca="false">PROPER(TRIM(AQ514))</f>
        <v>Office Supplies</v>
      </c>
      <c r="K514" s="0" t="str">
        <f aca="false">PROPER(TRIM(AR514))</f>
        <v>Labels</v>
      </c>
      <c r="M514" s="0" t="str">
        <f aca="false">IF(TRIM(AS514)="","Unknown",PROPER(TRIM(AS514)))</f>
        <v>Second Class</v>
      </c>
      <c r="N514" s="0" t="n">
        <v>2</v>
      </c>
      <c r="O514" s="0" t="n">
        <v>4031.45</v>
      </c>
      <c r="P514" s="5" t="n">
        <f aca="false">IF(AT514="","",IF(ISNUMBER(AT514),AT514,VALUE(SUBSTITUTE(AT514,"%",""))/100))</f>
        <v>0.25</v>
      </c>
      <c r="Q514" s="5" t="n">
        <f aca="false">IF(P514="",IF(AND(N514&lt;&gt;"",O514&lt;&gt;"",R514&lt;&gt;"",S514&lt;&gt;""),0,"REVIEW"),IF(OR(P514&lt;0,P514&gt;0.3),0,P514))</f>
        <v>0.25</v>
      </c>
      <c r="R514" s="0" t="n">
        <v>6047.17</v>
      </c>
      <c r="S514" s="0" t="n">
        <v>3368.79</v>
      </c>
      <c r="T514" s="6" t="n">
        <f aca="false">N514*O514*(1-Q514)</f>
        <v>6047.175</v>
      </c>
      <c r="U514" s="6" t="n">
        <f aca="false">T514-S514</f>
        <v>2678.385</v>
      </c>
      <c r="V514" s="7" t="n">
        <f aca="false">IF(T514=0,0,U514/T514)</f>
        <v>0.442915080182068</v>
      </c>
      <c r="W514" s="4" t="n">
        <f aca="false">C514-B514</f>
        <v>1</v>
      </c>
      <c r="X514" s="0" t="str">
        <f aca="false">TEXT(B514,"mmmm")</f>
        <v>March</v>
      </c>
      <c r="Y514" s="4" t="n">
        <f aca="false">YEAR(B514)</f>
        <v>2025</v>
      </c>
      <c r="Z514" s="0" t="str">
        <f aca="false">PROPER(TRIM(AU514))</f>
        <v>Paid</v>
      </c>
      <c r="AA514" s="0" t="str">
        <f aca="false">PROPER(TRIM(AV514))</f>
        <v>Completed</v>
      </c>
      <c r="AB514" s="0" t="str">
        <f aca="false">IF(TRIM(AN514)="","Yes","No")</f>
        <v>No</v>
      </c>
      <c r="AC514" s="0" t="str">
        <f aca="false">IF(TRIM(AS514)="","Yes","No")</f>
        <v>No</v>
      </c>
      <c r="AD514" s="0" t="str">
        <f aca="false">IF(AT514="","Yes","No")</f>
        <v>No</v>
      </c>
      <c r="AE514" s="0" t="str">
        <f aca="false">IF(W514&lt;0,"Yes","No")</f>
        <v>No</v>
      </c>
      <c r="AF514" s="0" t="str">
        <f aca="false">IF(P514="","No",IF(OR(P514&lt;0,P514&gt;0.3),"Yes","No"))</f>
        <v>No</v>
      </c>
      <c r="AG514" s="4" t="s">
        <v>50</v>
      </c>
      <c r="AH514" s="0" t="str">
        <f aca="false">IF(AND(AA514="Completed",Z514="Paid"),"Yes","No")</f>
        <v>Yes</v>
      </c>
      <c r="AI514" s="0" t="str">
        <f aca="false">IF(OR(AE514="Yes",AF514="Yes",AG514="Yes"),"Invalid",IF(OR(AB514="Yes",AC514="Yes",AD514="Yes"),"Warning","Clean"))</f>
        <v>Clean</v>
      </c>
      <c r="AJ514" s="4" t="s">
        <v>690</v>
      </c>
      <c r="AK514" s="4" t="s">
        <v>2029</v>
      </c>
      <c r="AL514" s="4" t="s">
        <v>79</v>
      </c>
      <c r="AM514" s="4" t="s">
        <v>128</v>
      </c>
      <c r="AN514" s="4" t="s">
        <v>87</v>
      </c>
      <c r="AO514" s="4" t="s">
        <v>244</v>
      </c>
      <c r="AP514" s="4" t="s">
        <v>245</v>
      </c>
      <c r="AQ514" s="4" t="s">
        <v>58</v>
      </c>
      <c r="AR514" s="4" t="s">
        <v>129</v>
      </c>
      <c r="AS514" s="4" t="s">
        <v>60</v>
      </c>
      <c r="AT514" s="0" t="n">
        <v>0.25</v>
      </c>
      <c r="AU514" s="4" t="s">
        <v>61</v>
      </c>
      <c r="AV514" s="4" t="s">
        <v>62</v>
      </c>
    </row>
    <row r="515" customFormat="false" ht="15" hidden="false" customHeight="false" outlineLevel="0" collapsed="false">
      <c r="A515" s="0" t="s">
        <v>2030</v>
      </c>
      <c r="B515" s="3" t="n">
        <f aca="false">IF(AJ515="","",IF(ISNUMBER(SEARCH("/",AJ515)),DATE(VALUE(RIGHT(AJ515,4)),VALUE(LEFT(AJ515,2)),VALUE(MID(AJ515,4,2))),IF(ISNUMBER(SEARCH("-",AJ515)),IF(LEN(LEFT(AJ515,FIND("-",AJ515)-1))=4,DATE(VALUE(LEFT(AJ515,4)),VALUE(MID(AJ515,6,2)),VALUE(RIGHT(AJ515,2))),DATE(VALUE(RIGHT(AJ515,4)),VALUE(MID(AJ515,4,2)),VALUE(LEFT(AJ515,2)))),DATE(VALUE(RIGHT(AJ515,4)),MATCH(MID(AJ515,4,3),{"Jan","Feb","Mar","Apr","May","Jun","Jul","Aug","Sep","Oct","Nov","Dec"},0),VALUE(LEFT(AJ515,2))))))</f>
        <v>45835</v>
      </c>
      <c r="C515" s="3" t="n">
        <f aca="false">IF(AK515="","",IF(ISNUMBER(SEARCH("/",AK515)),DATE(VALUE(RIGHT(AK515,4)),VALUE(LEFT(AK515,2)),VALUE(MID(AK515,4,2))),IF(ISNUMBER(SEARCH("-",AK515)),IF(LEN(LEFT(AK515,FIND("-",AK515)-1))=4,DATE(VALUE(LEFT(AK515,4)),VALUE(MID(AK515,6,2)),VALUE(RIGHT(AK515,2))),DATE(VALUE(RIGHT(AK515,4)),VALUE(MID(AK515,4,2)),VALUE(LEFT(AK515,2)))),DATE(VALUE(RIGHT(AK515,4)),MATCH(MID(AK515,4,3),{"Jan","Feb","Mar","Apr","May","Jun","Jul","Aug","Sep","Oct","Nov","Dec"},0),VALUE(LEFT(AK515,2))))))</f>
        <v>45840</v>
      </c>
      <c r="D515" s="4" t="s">
        <v>2031</v>
      </c>
      <c r="E515" s="0" t="str">
        <f aca="false">PROPER(TRIM(AL515))</f>
        <v>Aarav Sharma</v>
      </c>
      <c r="F515" s="0" t="str">
        <f aca="false">PROPER(TRIM(AM515))</f>
        <v>Corporate</v>
      </c>
      <c r="G515" s="0" t="str">
        <f aca="false">IF(TRIM(AN515)="","Unknown",PROPER(TRIM(AN515)))</f>
        <v>South</v>
      </c>
      <c r="H515" s="0" t="str">
        <f aca="false">PROPER(TRIM(AO515))</f>
        <v>Kerala</v>
      </c>
      <c r="I515" s="0" t="str">
        <f aca="false">PROPER(TRIM(AP515))</f>
        <v>Kochi</v>
      </c>
      <c r="J515" s="0" t="str">
        <f aca="false">PROPER(TRIM(AQ515))</f>
        <v>Technology</v>
      </c>
      <c r="K515" s="0" t="str">
        <f aca="false">PROPER(TRIM(AR515))</f>
        <v>Accessories</v>
      </c>
      <c r="M515" s="0" t="str">
        <f aca="false">IF(TRIM(AS515)="","Unknown",PROPER(TRIM(AS515)))</f>
        <v>First Class</v>
      </c>
      <c r="N515" s="0" t="n">
        <v>6</v>
      </c>
      <c r="O515" s="0" t="n">
        <v>1099.49</v>
      </c>
      <c r="P515" s="5" t="n">
        <f aca="false">IF(AT515="","",IF(ISNUMBER(AT515),AT515,VALUE(SUBSTITUTE(AT515,"%",""))/100))</f>
        <v>0.1</v>
      </c>
      <c r="Q515" s="5" t="n">
        <f aca="false">IF(P515="",IF(AND(N515&lt;&gt;"",O515&lt;&gt;"",R515&lt;&gt;"",S515&lt;&gt;""),0,"REVIEW"),IF(OR(P515&lt;0,P515&gt;0.3),0,P515))</f>
        <v>0.1</v>
      </c>
      <c r="R515" s="0" t="n">
        <v>6212.38</v>
      </c>
      <c r="S515" s="0" t="n">
        <v>4088.46</v>
      </c>
      <c r="T515" s="6" t="n">
        <f aca="false">N515*O515*(1-Q515)</f>
        <v>5937.246</v>
      </c>
      <c r="U515" s="6" t="n">
        <f aca="false">T515-S515</f>
        <v>1848.786</v>
      </c>
      <c r="V515" s="7" t="n">
        <f aca="false">IF(T515=0,0,U515/T515)</f>
        <v>0.31138780505305</v>
      </c>
      <c r="W515" s="4" t="n">
        <f aca="false">C515-B515</f>
        <v>5</v>
      </c>
      <c r="X515" s="0" t="str">
        <f aca="false">TEXT(B515,"mmmm")</f>
        <v>June</v>
      </c>
      <c r="Y515" s="4" t="n">
        <f aca="false">YEAR(B515)</f>
        <v>2025</v>
      </c>
      <c r="Z515" s="0" t="str">
        <f aca="false">PROPER(TRIM(AU515))</f>
        <v>Paid</v>
      </c>
      <c r="AA515" s="0" t="str">
        <f aca="false">PROPER(TRIM(AV515))</f>
        <v>Completed</v>
      </c>
      <c r="AB515" s="0" t="str">
        <f aca="false">IF(TRIM(AN515)="","Yes","No")</f>
        <v>No</v>
      </c>
      <c r="AC515" s="0" t="str">
        <f aca="false">IF(TRIM(AS515)="","Yes","No")</f>
        <v>No</v>
      </c>
      <c r="AD515" s="0" t="str">
        <f aca="false">IF(AT515="","Yes","No")</f>
        <v>No</v>
      </c>
      <c r="AE515" s="0" t="str">
        <f aca="false">IF(W515&lt;0,"Yes","No")</f>
        <v>No</v>
      </c>
      <c r="AF515" s="0" t="str">
        <f aca="false">IF(P515="","No",IF(OR(P515&lt;0,P515&gt;0.3),"Yes","No"))</f>
        <v>No</v>
      </c>
      <c r="AG515" s="4" t="s">
        <v>50</v>
      </c>
      <c r="AH515" s="0" t="str">
        <f aca="false">IF(AND(AA515="Completed",Z515="Paid"),"Yes","No")</f>
        <v>Yes</v>
      </c>
      <c r="AI515" s="0" t="str">
        <f aca="false">IF(OR(AE515="Yes",AF515="Yes",AG515="Yes"),"Invalid",IF(OR(AB515="Yes",AC515="Yes",AD515="Yes"),"Warning","Clean"))</f>
        <v>Clean</v>
      </c>
      <c r="AJ515" s="4" t="s">
        <v>857</v>
      </c>
      <c r="AK515" s="4" t="s">
        <v>1958</v>
      </c>
      <c r="AL515" s="4" t="s">
        <v>176</v>
      </c>
      <c r="AM515" s="4" t="s">
        <v>128</v>
      </c>
      <c r="AN515" s="4" t="s">
        <v>87</v>
      </c>
      <c r="AO515" s="4" t="s">
        <v>244</v>
      </c>
      <c r="AP515" s="4" t="s">
        <v>245</v>
      </c>
      <c r="AQ515" s="4" t="s">
        <v>109</v>
      </c>
      <c r="AR515" s="4" t="s">
        <v>2032</v>
      </c>
      <c r="AS515" s="4" t="s">
        <v>81</v>
      </c>
      <c r="AT515" s="0" t="n">
        <v>0.1</v>
      </c>
      <c r="AU515" s="4" t="s">
        <v>61</v>
      </c>
      <c r="AV515" s="4" t="s">
        <v>62</v>
      </c>
    </row>
    <row r="516" customFormat="false" ht="15" hidden="false" customHeight="false" outlineLevel="0" collapsed="false">
      <c r="A516" s="0" t="s">
        <v>2033</v>
      </c>
      <c r="B516" s="3" t="n">
        <f aca="false">IF(AJ516="","",IF(ISNUMBER(SEARCH("/",AJ516)),DATE(VALUE(RIGHT(AJ516,4)),VALUE(LEFT(AJ516,2)),VALUE(MID(AJ516,4,2))),IF(ISNUMBER(SEARCH("-",AJ516)),IF(LEN(LEFT(AJ516,FIND("-",AJ516)-1))=4,DATE(VALUE(LEFT(AJ516,4)),VALUE(MID(AJ516,6,2)),VALUE(RIGHT(AJ516,2))),DATE(VALUE(RIGHT(AJ516,4)),VALUE(MID(AJ516,4,2)),VALUE(LEFT(AJ516,2)))),DATE(VALUE(RIGHT(AJ516,4)),MATCH(MID(AJ516,4,3),{"Jan","Feb","Mar","Apr","May","Jun","Jul","Aug","Sep","Oct","Nov","Dec"},0),VALUE(LEFT(AJ516,2))))))</f>
        <v>45614</v>
      </c>
      <c r="C516" s="3" t="n">
        <f aca="false">IF(AK516="","",IF(ISNUMBER(SEARCH("/",AK516)),DATE(VALUE(RIGHT(AK516,4)),VALUE(LEFT(AK516,2)),VALUE(MID(AK516,4,2))),IF(ISNUMBER(SEARCH("-",AK516)),IF(LEN(LEFT(AK516,FIND("-",AK516)-1))=4,DATE(VALUE(LEFT(AK516,4)),VALUE(MID(AK516,6,2)),VALUE(RIGHT(AK516,2))),DATE(VALUE(RIGHT(AK516,4)),VALUE(MID(AK516,4,2)),VALUE(LEFT(AK516,2)))),DATE(VALUE(RIGHT(AK516,4)),MATCH(MID(AK516,4,3),{"Jan","Feb","Mar","Apr","May","Jun","Jul","Aug","Sep","Oct","Nov","Dec"},0),VALUE(LEFT(AK516,2))))))</f>
        <v>45618</v>
      </c>
      <c r="D516" s="4" t="s">
        <v>2034</v>
      </c>
      <c r="E516" s="0" t="str">
        <f aca="false">PROPER(TRIM(AL516))</f>
        <v>Karan Malhotra</v>
      </c>
      <c r="F516" s="0" t="str">
        <f aca="false">PROPER(TRIM(AM516))</f>
        <v>Home Office</v>
      </c>
      <c r="G516" s="0" t="str">
        <f aca="false">IF(TRIM(AN516)="","Unknown",PROPER(TRIM(AN516)))</f>
        <v>South</v>
      </c>
      <c r="H516" s="0" t="str">
        <f aca="false">PROPER(TRIM(AO516))</f>
        <v>Kerala</v>
      </c>
      <c r="I516" s="0" t="str">
        <f aca="false">PROPER(TRIM(AP516))</f>
        <v>Kochi</v>
      </c>
      <c r="J516" s="0" t="str">
        <f aca="false">PROPER(TRIM(AQ516))</f>
        <v>Technology</v>
      </c>
      <c r="K516" s="0" t="str">
        <f aca="false">PROPER(TRIM(AR516))</f>
        <v>Accessories</v>
      </c>
      <c r="M516" s="0" t="str">
        <f aca="false">IF(TRIM(AS516)="","Unknown",PROPER(TRIM(AS516)))</f>
        <v>Standard Class</v>
      </c>
      <c r="N516" s="0" t="n">
        <v>6</v>
      </c>
      <c r="O516" s="0" t="n">
        <v>3872.94</v>
      </c>
      <c r="P516" s="5" t="n">
        <f aca="false">IF(AT516="","",IF(ISNUMBER(AT516),AT516,VALUE(SUBSTITUTE(AT516,"%",""))/100))</f>
        <v>0.1</v>
      </c>
      <c r="Q516" s="5" t="n">
        <f aca="false">IF(P516="",IF(AND(N516&lt;&gt;"",O516&lt;&gt;"",R516&lt;&gt;"",S516&lt;&gt;""),0,"REVIEW"),IF(OR(P516&lt;0,P516&gt;0.3),0,P516))</f>
        <v>0.1</v>
      </c>
      <c r="R516" s="0" t="n">
        <v>20913.88</v>
      </c>
      <c r="S516" s="0" t="n">
        <v>11684.68</v>
      </c>
      <c r="T516" s="6" t="n">
        <f aca="false">N516*O516*(1-Q516)</f>
        <v>20913.876</v>
      </c>
      <c r="U516" s="6" t="n">
        <f aca="false">T516-S516</f>
        <v>9229.196</v>
      </c>
      <c r="V516" s="7" t="n">
        <f aca="false">IF(T516=0,0,U516/T516)</f>
        <v>0.441295339037106</v>
      </c>
      <c r="W516" s="4" t="n">
        <f aca="false">C516-B516</f>
        <v>4</v>
      </c>
      <c r="X516" s="0" t="str">
        <f aca="false">TEXT(B516,"mmmm")</f>
        <v>November</v>
      </c>
      <c r="Y516" s="4" t="n">
        <f aca="false">YEAR(B516)</f>
        <v>2024</v>
      </c>
      <c r="Z516" s="0" t="str">
        <f aca="false">PROPER(TRIM(AU516))</f>
        <v>Paid</v>
      </c>
      <c r="AA516" s="0" t="str">
        <f aca="false">PROPER(TRIM(AV516))</f>
        <v>Completed</v>
      </c>
      <c r="AB516" s="0" t="str">
        <f aca="false">IF(TRIM(AN516)="","Yes","No")</f>
        <v>No</v>
      </c>
      <c r="AC516" s="0" t="str">
        <f aca="false">IF(TRIM(AS516)="","Yes","No")</f>
        <v>No</v>
      </c>
      <c r="AD516" s="0" t="str">
        <f aca="false">IF(AT516="","Yes","No")</f>
        <v>No</v>
      </c>
      <c r="AE516" s="0" t="str">
        <f aca="false">IF(W516&lt;0,"Yes","No")</f>
        <v>No</v>
      </c>
      <c r="AF516" s="0" t="str">
        <f aca="false">IF(P516="","No",IF(OR(P516&lt;0,P516&gt;0.3),"Yes","No"))</f>
        <v>No</v>
      </c>
      <c r="AG516" s="4" t="s">
        <v>50</v>
      </c>
      <c r="AH516" s="0" t="str">
        <f aca="false">IF(AND(AA516="Completed",Z516="Paid"),"Yes","No")</f>
        <v>Yes</v>
      </c>
      <c r="AI516" s="0" t="str">
        <f aca="false">IF(OR(AE516="Yes",AF516="Yes",AG516="Yes"),"Invalid",IF(OR(AB516="Yes",AC516="Yes",AD516="Yes"),"Warning","Clean"))</f>
        <v>Clean</v>
      </c>
      <c r="AJ516" s="4" t="s">
        <v>2035</v>
      </c>
      <c r="AK516" s="4" t="s">
        <v>1966</v>
      </c>
      <c r="AL516" s="4" t="s">
        <v>53</v>
      </c>
      <c r="AM516" s="4" t="s">
        <v>134</v>
      </c>
      <c r="AN516" s="4" t="s">
        <v>87</v>
      </c>
      <c r="AO516" s="4" t="s">
        <v>244</v>
      </c>
      <c r="AP516" s="4" t="s">
        <v>245</v>
      </c>
      <c r="AQ516" s="4" t="s">
        <v>109</v>
      </c>
      <c r="AR516" s="4" t="s">
        <v>110</v>
      </c>
      <c r="AS516" s="4" t="s">
        <v>91</v>
      </c>
      <c r="AT516" s="0" t="n">
        <v>0.1</v>
      </c>
      <c r="AU516" s="4" t="s">
        <v>61</v>
      </c>
      <c r="AV516" s="4" t="s">
        <v>62</v>
      </c>
    </row>
    <row r="517" customFormat="false" ht="15" hidden="false" customHeight="false" outlineLevel="0" collapsed="false">
      <c r="A517" s="0" t="s">
        <v>2036</v>
      </c>
      <c r="B517" s="3" t="n">
        <f aca="false">IF(AJ517="","",IF(ISNUMBER(SEARCH("/",AJ517)),DATE(VALUE(RIGHT(AJ517,4)),VALUE(LEFT(AJ517,2)),VALUE(MID(AJ517,4,2))),IF(ISNUMBER(SEARCH("-",AJ517)),IF(LEN(LEFT(AJ517,FIND("-",AJ517)-1))=4,DATE(VALUE(LEFT(AJ517,4)),VALUE(MID(AJ517,6,2)),VALUE(RIGHT(AJ517,2))),DATE(VALUE(RIGHT(AJ517,4)),VALUE(MID(AJ517,4,2)),VALUE(LEFT(AJ517,2)))),DATE(VALUE(RIGHT(AJ517,4)),MATCH(MID(AJ517,4,3),{"Jan","Feb","Mar","Apr","May","Jun","Jul","Aug","Sep","Oct","Nov","Dec"},0),VALUE(LEFT(AJ517,2))))))</f>
        <v>45758</v>
      </c>
      <c r="C517" s="3" t="n">
        <f aca="false">IF(AK517="","",IF(ISNUMBER(SEARCH("/",AK517)),DATE(VALUE(RIGHT(AK517,4)),VALUE(LEFT(AK517,2)),VALUE(MID(AK517,4,2))),IF(ISNUMBER(SEARCH("-",AK517)),IF(LEN(LEFT(AK517,FIND("-",AK517)-1))=4,DATE(VALUE(LEFT(AK517,4)),VALUE(MID(AK517,6,2)),VALUE(RIGHT(AK517,2))),DATE(VALUE(RIGHT(AK517,4)),VALUE(MID(AK517,4,2)),VALUE(LEFT(AK517,2)))),DATE(VALUE(RIGHT(AK517,4)),MATCH(MID(AK517,4,3),{"Jan","Feb","Mar","Apr","May","Jun","Jul","Aug","Sep","Oct","Nov","Dec"},0),VALUE(LEFT(AK517,2))))))</f>
        <v>45758</v>
      </c>
      <c r="D517" s="4" t="s">
        <v>2037</v>
      </c>
      <c r="E517" s="0" t="str">
        <f aca="false">PROPER(TRIM(AL517))</f>
        <v>Rahul Verma</v>
      </c>
      <c r="F517" s="0" t="str">
        <f aca="false">PROPER(TRIM(AM517))</f>
        <v>Corporate</v>
      </c>
      <c r="G517" s="0" t="str">
        <f aca="false">IF(TRIM(AN517)="","Unknown",PROPER(TRIM(AN517)))</f>
        <v>North</v>
      </c>
      <c r="H517" s="0" t="str">
        <f aca="false">PROPER(TRIM(AO517))</f>
        <v>Delhi</v>
      </c>
      <c r="I517" s="0" t="str">
        <f aca="false">PROPER(TRIM(AP517))</f>
        <v>New Delhi</v>
      </c>
      <c r="J517" s="0" t="str">
        <f aca="false">PROPER(TRIM(AQ517))</f>
        <v>Office Supplies</v>
      </c>
      <c r="K517" s="0" t="str">
        <f aca="false">PROPER(TRIM(AR517))</f>
        <v>Paper</v>
      </c>
      <c r="M517" s="0" t="str">
        <f aca="false">IF(TRIM(AS517)="","Unknown",PROPER(TRIM(AS517)))</f>
        <v>Standard Class</v>
      </c>
      <c r="N517" s="0" t="n">
        <v>1</v>
      </c>
      <c r="O517" s="0" t="n">
        <v>4458.49</v>
      </c>
      <c r="P517" s="5" t="n">
        <f aca="false">IF(AT517="","",IF(ISNUMBER(AT517),AT517,VALUE(SUBSTITUTE(AT517,"%",""))/100))</f>
        <v>-0.07</v>
      </c>
      <c r="Q517" s="5" t="n">
        <f aca="false">IF(P517="",IF(AND(N517&lt;&gt;"",O517&lt;&gt;"",R517&lt;&gt;"",S517&lt;&gt;""),0,"REVIEW"),IF(OR(P517&lt;0,P517&gt;0.3),0,P517))</f>
        <v>0</v>
      </c>
      <c r="R517" s="0" t="n">
        <v>3566.79</v>
      </c>
      <c r="S517" s="0" t="n">
        <v>2083.41</v>
      </c>
      <c r="T517" s="6" t="n">
        <f aca="false">N517*O517*(1-Q517)</f>
        <v>4458.49</v>
      </c>
      <c r="U517" s="6" t="n">
        <f aca="false">T517-S517</f>
        <v>2375.08</v>
      </c>
      <c r="V517" s="7" t="n">
        <f aca="false">IF(T517=0,0,U517/T517)</f>
        <v>0.532709504787495</v>
      </c>
      <c r="W517" s="4" t="n">
        <f aca="false">C517-B517</f>
        <v>0</v>
      </c>
      <c r="X517" s="0" t="str">
        <f aca="false">TEXT(B517,"mmmm")</f>
        <v>April</v>
      </c>
      <c r="Y517" s="4" t="n">
        <f aca="false">YEAR(B517)</f>
        <v>2025</v>
      </c>
      <c r="Z517" s="0" t="str">
        <f aca="false">PROPER(TRIM(AU517))</f>
        <v>Paid</v>
      </c>
      <c r="AA517" s="0" t="str">
        <f aca="false">PROPER(TRIM(AV517))</f>
        <v>Completed</v>
      </c>
      <c r="AB517" s="0" t="str">
        <f aca="false">IF(TRIM(AN517)="","Yes","No")</f>
        <v>No</v>
      </c>
      <c r="AC517" s="0" t="str">
        <f aca="false">IF(TRIM(AS517)="","Yes","No")</f>
        <v>No</v>
      </c>
      <c r="AD517" s="0" t="str">
        <f aca="false">IF(AT517="","Yes","No")</f>
        <v>No</v>
      </c>
      <c r="AE517" s="0" t="str">
        <f aca="false">IF(W517&lt;0,"Yes","No")</f>
        <v>No</v>
      </c>
      <c r="AF517" s="0" t="str">
        <f aca="false">IF(P517="","No",IF(OR(P517&lt;0,P517&gt;0.3),"Yes","No"))</f>
        <v>Yes</v>
      </c>
      <c r="AG517" s="4" t="s">
        <v>50</v>
      </c>
      <c r="AH517" s="0" t="str">
        <f aca="false">IF(AND(AA517="Completed",Z517="Paid"),"Yes","No")</f>
        <v>Yes</v>
      </c>
      <c r="AI517" s="0" t="str">
        <f aca="false">IF(OR(AE517="Yes",AF517="Yes",AG517="Yes"),"Invalid",IF(OR(AB517="Yes",AC517="Yes",AD517="Yes"),"Warning","Clean"))</f>
        <v>Invalid</v>
      </c>
      <c r="AJ517" s="4" t="s">
        <v>1759</v>
      </c>
      <c r="AK517" s="4" t="s">
        <v>2038</v>
      </c>
      <c r="AL517" s="4" t="s">
        <v>163</v>
      </c>
      <c r="AM517" s="4" t="s">
        <v>128</v>
      </c>
      <c r="AN517" s="4" t="s">
        <v>168</v>
      </c>
      <c r="AO517" s="4" t="s">
        <v>461</v>
      </c>
      <c r="AP517" s="4" t="s">
        <v>462</v>
      </c>
      <c r="AQ517" s="4" t="s">
        <v>58</v>
      </c>
      <c r="AR517" s="4" t="s">
        <v>59</v>
      </c>
      <c r="AS517" s="4" t="s">
        <v>91</v>
      </c>
      <c r="AT517" s="0" t="n">
        <v>-0.07</v>
      </c>
      <c r="AU517" s="4" t="s">
        <v>61</v>
      </c>
      <c r="AV517" s="4" t="s">
        <v>62</v>
      </c>
    </row>
    <row r="518" customFormat="false" ht="15" hidden="false" customHeight="false" outlineLevel="0" collapsed="false">
      <c r="A518" s="0" t="s">
        <v>2039</v>
      </c>
      <c r="B518" s="3" t="n">
        <f aca="false">IF(AJ518="","",IF(ISNUMBER(SEARCH("/",AJ518)),DATE(VALUE(RIGHT(AJ518,4)),VALUE(LEFT(AJ518,2)),VALUE(MID(AJ518,4,2))),IF(ISNUMBER(SEARCH("-",AJ518)),IF(LEN(LEFT(AJ518,FIND("-",AJ518)-1))=4,DATE(VALUE(LEFT(AJ518,4)),VALUE(MID(AJ518,6,2)),VALUE(RIGHT(AJ518,2))),DATE(VALUE(RIGHT(AJ518,4)),VALUE(MID(AJ518,4,2)),VALUE(LEFT(AJ518,2)))),DATE(VALUE(RIGHT(AJ518,4)),MATCH(MID(AJ518,4,3),{"Jan","Feb","Mar","Apr","May","Jun","Jul","Aug","Sep","Oct","Nov","Dec"},0),VALUE(LEFT(AJ518,2))))))</f>
        <v>45563</v>
      </c>
      <c r="C518" s="3" t="n">
        <f aca="false">IF(AK518="","",IF(ISNUMBER(SEARCH("/",AK518)),DATE(VALUE(RIGHT(AK518,4)),VALUE(LEFT(AK518,2)),VALUE(MID(AK518,4,2))),IF(ISNUMBER(SEARCH("-",AK518)),IF(LEN(LEFT(AK518,FIND("-",AK518)-1))=4,DATE(VALUE(LEFT(AK518,4)),VALUE(MID(AK518,6,2)),VALUE(RIGHT(AK518,2))),DATE(VALUE(RIGHT(AK518,4)),VALUE(MID(AK518,4,2)),VALUE(LEFT(AK518,2)))),DATE(VALUE(RIGHT(AK518,4)),MATCH(MID(AK518,4,3),{"Jan","Feb","Mar","Apr","May","Jun","Jul","Aug","Sep","Oct","Nov","Dec"},0),VALUE(LEFT(AK518,2))))))</f>
        <v>45569</v>
      </c>
      <c r="D518" s="4" t="s">
        <v>2040</v>
      </c>
      <c r="E518" s="0" t="str">
        <f aca="false">PROPER(TRIM(AL518))</f>
        <v>Kabir Singh</v>
      </c>
      <c r="F518" s="0" t="str">
        <f aca="false">PROPER(TRIM(AM518))</f>
        <v>Home Office</v>
      </c>
      <c r="G518" s="0" t="str">
        <f aca="false">IF(TRIM(AN518)="","Unknown",PROPER(TRIM(AN518)))</f>
        <v>North</v>
      </c>
      <c r="H518" s="0" t="str">
        <f aca="false">PROPER(TRIM(AO518))</f>
        <v>Delhi</v>
      </c>
      <c r="I518" s="0" t="str">
        <f aca="false">PROPER(TRIM(AP518))</f>
        <v>New Delhi</v>
      </c>
      <c r="J518" s="0" t="str">
        <f aca="false">PROPER(TRIM(AQ518))</f>
        <v>Technology</v>
      </c>
      <c r="K518" s="0" t="str">
        <f aca="false">PROPER(TRIM(AR518))</f>
        <v>Copiers</v>
      </c>
      <c r="M518" s="0" t="str">
        <f aca="false">IF(TRIM(AS518)="","Unknown",PROPER(TRIM(AS518)))</f>
        <v>Standard Class</v>
      </c>
      <c r="N518" s="0" t="n">
        <v>1</v>
      </c>
      <c r="O518" s="0" t="n">
        <v>2233.18</v>
      </c>
      <c r="P518" s="5" t="n">
        <f aca="false">IF(AT518="","",IF(ISNUMBER(AT518),AT518,VALUE(SUBSTITUTE(AT518,"%",""))/100))</f>
        <v>0</v>
      </c>
      <c r="Q518" s="5" t="n">
        <f aca="false">IF(P518="",IF(AND(N518&lt;&gt;"",O518&lt;&gt;"",R518&lt;&gt;"",S518&lt;&gt;""),0,"REVIEW"),IF(OR(P518&lt;0,P518&gt;0.3),0,P518))</f>
        <v>0</v>
      </c>
      <c r="R518" s="0" t="n">
        <v>2233.18</v>
      </c>
      <c r="S518" s="0" t="n">
        <v>1585.82</v>
      </c>
      <c r="T518" s="6" t="n">
        <f aca="false">N518*O518*(1-Q518)</f>
        <v>2233.18</v>
      </c>
      <c r="U518" s="6" t="n">
        <f aca="false">T518-S518</f>
        <v>647.36</v>
      </c>
      <c r="V518" s="7" t="n">
        <f aca="false">IF(T518=0,0,U518/T518)</f>
        <v>0.289882588953868</v>
      </c>
      <c r="W518" s="4" t="n">
        <f aca="false">C518-B518</f>
        <v>6</v>
      </c>
      <c r="X518" s="0" t="str">
        <f aca="false">TEXT(B518,"mmmm")</f>
        <v>September</v>
      </c>
      <c r="Y518" s="4" t="n">
        <f aca="false">YEAR(B518)</f>
        <v>2024</v>
      </c>
      <c r="Z518" s="0" t="str">
        <f aca="false">PROPER(TRIM(AU518))</f>
        <v>Failed</v>
      </c>
      <c r="AA518" s="0" t="str">
        <f aca="false">PROPER(TRIM(AV518))</f>
        <v>Returned</v>
      </c>
      <c r="AB518" s="0" t="str">
        <f aca="false">IF(TRIM(AN518)="","Yes","No")</f>
        <v>No</v>
      </c>
      <c r="AC518" s="0" t="str">
        <f aca="false">IF(TRIM(AS518)="","Yes","No")</f>
        <v>No</v>
      </c>
      <c r="AD518" s="0" t="str">
        <f aca="false">IF(AT518="","Yes","No")</f>
        <v>No</v>
      </c>
      <c r="AE518" s="0" t="str">
        <f aca="false">IF(W518&lt;0,"Yes","No")</f>
        <v>No</v>
      </c>
      <c r="AF518" s="0" t="str">
        <f aca="false">IF(P518="","No",IF(OR(P518&lt;0,P518&gt;0.3),"Yes","No"))</f>
        <v>No</v>
      </c>
      <c r="AG518" s="4" t="s">
        <v>50</v>
      </c>
      <c r="AH518" s="0" t="str">
        <f aca="false">IF(AND(AA518="Completed",Z518="Paid"),"Yes","No")</f>
        <v>No</v>
      </c>
      <c r="AI518" s="0" t="str">
        <f aca="false">IF(OR(AE518="Yes",AF518="Yes",AG518="Yes"),"Invalid",IF(OR(AB518="Yes",AC518="Yes",AD518="Yes"),"Warning","Clean"))</f>
        <v>Clean</v>
      </c>
      <c r="AJ518" s="4" t="s">
        <v>2041</v>
      </c>
      <c r="AK518" s="4" t="s">
        <v>2042</v>
      </c>
      <c r="AL518" s="4" t="s">
        <v>347</v>
      </c>
      <c r="AM518" s="4" t="s">
        <v>134</v>
      </c>
      <c r="AN518" s="4" t="s">
        <v>168</v>
      </c>
      <c r="AO518" s="4" t="s">
        <v>461</v>
      </c>
      <c r="AP518" s="4" t="s">
        <v>462</v>
      </c>
      <c r="AQ518" s="4" t="s">
        <v>109</v>
      </c>
      <c r="AR518" s="4" t="s">
        <v>116</v>
      </c>
      <c r="AS518" s="4" t="s">
        <v>91</v>
      </c>
      <c r="AT518" s="0" t="n">
        <v>0</v>
      </c>
      <c r="AU518" s="4" t="s">
        <v>207</v>
      </c>
      <c r="AV518" s="4" t="s">
        <v>142</v>
      </c>
    </row>
    <row r="519" customFormat="false" ht="15" hidden="false" customHeight="false" outlineLevel="0" collapsed="false">
      <c r="A519" s="0" t="s">
        <v>2043</v>
      </c>
      <c r="B519" s="3" t="n">
        <f aca="false">IF(AJ519="","",IF(ISNUMBER(SEARCH("/",AJ519)),DATE(VALUE(RIGHT(AJ519,4)),VALUE(LEFT(AJ519,2)),VALUE(MID(AJ519,4,2))),IF(ISNUMBER(SEARCH("-",AJ519)),IF(LEN(LEFT(AJ519,FIND("-",AJ519)-1))=4,DATE(VALUE(LEFT(AJ519,4)),VALUE(MID(AJ519,6,2)),VALUE(RIGHT(AJ519,2))),DATE(VALUE(RIGHT(AJ519,4)),VALUE(MID(AJ519,4,2)),VALUE(LEFT(AJ519,2)))),DATE(VALUE(RIGHT(AJ519,4)),MATCH(MID(AJ519,4,3),{"Jan","Feb","Mar","Apr","May","Jun","Jul","Aug","Sep","Oct","Nov","Dec"},0),VALUE(LEFT(AJ519,2))))))</f>
        <v>45802</v>
      </c>
      <c r="C519" s="3" t="n">
        <f aca="false">IF(AK519="","",IF(ISNUMBER(SEARCH("/",AK519)),DATE(VALUE(RIGHT(AK519,4)),VALUE(LEFT(AK519,2)),VALUE(MID(AK519,4,2))),IF(ISNUMBER(SEARCH("-",AK519)),IF(LEN(LEFT(AK519,FIND("-",AK519)-1))=4,DATE(VALUE(LEFT(AK519,4)),VALUE(MID(AK519,6,2)),VALUE(RIGHT(AK519,2))),DATE(VALUE(RIGHT(AK519,4)),VALUE(MID(AK519,4,2)),VALUE(LEFT(AK519,2)))),DATE(VALUE(RIGHT(AK519,4)),MATCH(MID(AK519,4,3),{"Jan","Feb","Mar","Apr","May","Jun","Jul","Aug","Sep","Oct","Nov","Dec"},0),VALUE(LEFT(AK519,2))))))</f>
        <v>45804</v>
      </c>
      <c r="D519" s="4" t="s">
        <v>2044</v>
      </c>
      <c r="E519" s="0" t="str">
        <f aca="false">PROPER(TRIM(AL519))</f>
        <v>Rahul Verma</v>
      </c>
      <c r="F519" s="0" t="str">
        <f aca="false">PROPER(TRIM(AM519))</f>
        <v>Consumer</v>
      </c>
      <c r="G519" s="0" t="str">
        <f aca="false">IF(TRIM(AN519)="","Unknown",PROPER(TRIM(AN519)))</f>
        <v>East</v>
      </c>
      <c r="H519" s="0" t="str">
        <f aca="false">PROPER(TRIM(AO519))</f>
        <v>Odisha</v>
      </c>
      <c r="I519" s="0" t="str">
        <f aca="false">PROPER(TRIM(AP519))</f>
        <v>Bhubaneswar</v>
      </c>
      <c r="J519" s="0" t="str">
        <f aca="false">PROPER(TRIM(AQ519))</f>
        <v>Furniture</v>
      </c>
      <c r="K519" s="0" t="str">
        <f aca="false">PROPER(TRIM(AR519))</f>
        <v>Furnishings</v>
      </c>
      <c r="M519" s="0" t="str">
        <f aca="false">IF(TRIM(AS519)="","Unknown",PROPER(TRIM(AS519)))</f>
        <v>Second Class</v>
      </c>
      <c r="N519" s="0" t="n">
        <v>7</v>
      </c>
      <c r="O519" s="0" t="n">
        <v>2123.28</v>
      </c>
      <c r="P519" s="5" t="n">
        <f aca="false">IF(AT519="","",IF(ISNUMBER(AT519),AT519,VALUE(SUBSTITUTE(AT519,"%",""))/100))</f>
        <v>0.2</v>
      </c>
      <c r="Q519" s="5" t="n">
        <f aca="false">IF(P519="",IF(AND(N519&lt;&gt;"",O519&lt;&gt;"",R519&lt;&gt;"",S519&lt;&gt;""),0,"REVIEW"),IF(OR(P519&lt;0,P519&gt;0.3),0,P519))</f>
        <v>0.2</v>
      </c>
      <c r="R519" s="0" t="n">
        <v>11890.37</v>
      </c>
      <c r="S519" s="0" t="n">
        <v>9234.53</v>
      </c>
      <c r="T519" s="6" t="n">
        <f aca="false">N519*O519*(1-Q519)</f>
        <v>11890.368</v>
      </c>
      <c r="U519" s="6" t="n">
        <f aca="false">T519-S519</f>
        <v>2655.838</v>
      </c>
      <c r="V519" s="7" t="n">
        <f aca="false">IF(T519=0,0,U519/T519)</f>
        <v>0.223360454445144</v>
      </c>
      <c r="W519" s="4" t="n">
        <f aca="false">C519-B519</f>
        <v>2</v>
      </c>
      <c r="X519" s="0" t="str">
        <f aca="false">TEXT(B519,"mmmm")</f>
        <v>May</v>
      </c>
      <c r="Y519" s="4" t="n">
        <f aca="false">YEAR(B519)</f>
        <v>2025</v>
      </c>
      <c r="Z519" s="0" t="str">
        <f aca="false">PROPER(TRIM(AU519))</f>
        <v>Refunded</v>
      </c>
      <c r="AA519" s="0" t="str">
        <f aca="false">PROPER(TRIM(AV519))</f>
        <v>Returned</v>
      </c>
      <c r="AB519" s="0" t="str">
        <f aca="false">IF(TRIM(AN519)="","Yes","No")</f>
        <v>No</v>
      </c>
      <c r="AC519" s="0" t="str">
        <f aca="false">IF(TRIM(AS519)="","Yes","No")</f>
        <v>No</v>
      </c>
      <c r="AD519" s="0" t="str">
        <f aca="false">IF(AT519="","Yes","No")</f>
        <v>No</v>
      </c>
      <c r="AE519" s="0" t="str">
        <f aca="false">IF(W519&lt;0,"Yes","No")</f>
        <v>No</v>
      </c>
      <c r="AF519" s="0" t="str">
        <f aca="false">IF(P519="","No",IF(OR(P519&lt;0,P519&gt;0.3),"Yes","No"))</f>
        <v>No</v>
      </c>
      <c r="AG519" s="4" t="s">
        <v>50</v>
      </c>
      <c r="AH519" s="0" t="str">
        <f aca="false">IF(AND(AA519="Completed",Z519="Paid"),"Yes","No")</f>
        <v>No</v>
      </c>
      <c r="AI519" s="0" t="str">
        <f aca="false">IF(OR(AE519="Yes",AF519="Yes",AG519="Yes"),"Invalid",IF(OR(AB519="Yes",AC519="Yes",AD519="Yes"),"Warning","Clean"))</f>
        <v>Clean</v>
      </c>
      <c r="AJ519" s="4" t="s">
        <v>2045</v>
      </c>
      <c r="AK519" s="4" t="s">
        <v>1399</v>
      </c>
      <c r="AL519" s="4" t="s">
        <v>163</v>
      </c>
      <c r="AM519" s="4" t="s">
        <v>54</v>
      </c>
      <c r="AN519" s="4" t="s">
        <v>69</v>
      </c>
      <c r="AO519" s="4" t="s">
        <v>70</v>
      </c>
      <c r="AP519" s="4" t="s">
        <v>71</v>
      </c>
      <c r="AQ519" s="4" t="s">
        <v>72</v>
      </c>
      <c r="AR519" s="4" t="s">
        <v>90</v>
      </c>
      <c r="AS519" s="4" t="s">
        <v>60</v>
      </c>
      <c r="AT519" s="0" t="n">
        <v>0.2</v>
      </c>
      <c r="AU519" s="4" t="s">
        <v>141</v>
      </c>
      <c r="AV519" s="4" t="s">
        <v>142</v>
      </c>
    </row>
    <row r="520" customFormat="false" ht="15" hidden="false" customHeight="false" outlineLevel="0" collapsed="false">
      <c r="A520" s="0" t="s">
        <v>2046</v>
      </c>
      <c r="B520" s="3" t="n">
        <f aca="false">IF(AJ520="","",IF(ISNUMBER(SEARCH("/",AJ520)),DATE(VALUE(RIGHT(AJ520,4)),VALUE(LEFT(AJ520,2)),VALUE(MID(AJ520,4,2))),IF(ISNUMBER(SEARCH("-",AJ520)),IF(LEN(LEFT(AJ520,FIND("-",AJ520)-1))=4,DATE(VALUE(LEFT(AJ520,4)),VALUE(MID(AJ520,6,2)),VALUE(RIGHT(AJ520,2))),DATE(VALUE(RIGHT(AJ520,4)),VALUE(MID(AJ520,4,2)),VALUE(LEFT(AJ520,2)))),DATE(VALUE(RIGHT(AJ520,4)),MATCH(MID(AJ520,4,3),{"Jan","Feb","Mar","Apr","May","Jun","Jul","Aug","Sep","Oct","Nov","Dec"},0),VALUE(LEFT(AJ520,2))))))</f>
        <v>45777</v>
      </c>
      <c r="C520" s="3" t="n">
        <f aca="false">IF(AK520="","",IF(ISNUMBER(SEARCH("/",AK520)),DATE(VALUE(RIGHT(AK520,4)),VALUE(LEFT(AK520,2)),VALUE(MID(AK520,4,2))),IF(ISNUMBER(SEARCH("-",AK520)),IF(LEN(LEFT(AK520,FIND("-",AK520)-1))=4,DATE(VALUE(LEFT(AK520,4)),VALUE(MID(AK520,6,2)),VALUE(RIGHT(AK520,2))),DATE(VALUE(RIGHT(AK520,4)),VALUE(MID(AK520,4,2)),VALUE(LEFT(AK520,2)))),DATE(VALUE(RIGHT(AK520,4)),MATCH(MID(AK520,4,3),{"Jan","Feb","Mar","Apr","May","Jun","Jul","Aug","Sep","Oct","Nov","Dec"},0),VALUE(LEFT(AK520,2))))))</f>
        <v>45773</v>
      </c>
      <c r="D520" s="4" t="s">
        <v>2047</v>
      </c>
      <c r="E520" s="0" t="str">
        <f aca="false">PROPER(TRIM(AL520))</f>
        <v>Diya Patel</v>
      </c>
      <c r="F520" s="0" t="str">
        <f aca="false">PROPER(TRIM(AM520))</f>
        <v>Corporate</v>
      </c>
      <c r="G520" s="0" t="str">
        <f aca="false">IF(TRIM(AN520)="","Unknown",PROPER(TRIM(AN520)))</f>
        <v>East</v>
      </c>
      <c r="H520" s="0" t="str">
        <f aca="false">PROPER(TRIM(AO520))</f>
        <v>Odisha</v>
      </c>
      <c r="I520" s="0" t="str">
        <f aca="false">PROPER(TRIM(AP520))</f>
        <v>Bhubaneswar</v>
      </c>
      <c r="J520" s="0" t="str">
        <f aca="false">PROPER(TRIM(AQ520))</f>
        <v>Furniture</v>
      </c>
      <c r="K520" s="0" t="str">
        <f aca="false">PROPER(TRIM(AR520))</f>
        <v>Tables</v>
      </c>
      <c r="M520" s="0" t="str">
        <f aca="false">IF(TRIM(AS520)="","Unknown",PROPER(TRIM(AS520)))</f>
        <v>First Class</v>
      </c>
      <c r="N520" s="0" t="n">
        <v>7</v>
      </c>
      <c r="O520" s="0" t="n">
        <v>1604.13</v>
      </c>
      <c r="P520" s="5" t="n">
        <f aca="false">IF(AT520="","",IF(ISNUMBER(AT520),AT520,VALUE(SUBSTITUTE(AT520,"%",""))/100))</f>
        <v>0.25</v>
      </c>
      <c r="Q520" s="5" t="n">
        <f aca="false">IF(P520="",IF(AND(N520&lt;&gt;"",O520&lt;&gt;"",R520&lt;&gt;"",S520&lt;&gt;""),0,"REVIEW"),IF(OR(P520&lt;0,P520&gt;0.3),0,P520))</f>
        <v>0.25</v>
      </c>
      <c r="R520" s="0" t="n">
        <v>8421.68</v>
      </c>
      <c r="S520" s="0" t="n">
        <v>6534.47</v>
      </c>
      <c r="T520" s="6" t="n">
        <f aca="false">N520*O520*(1-Q520)</f>
        <v>8421.6825</v>
      </c>
      <c r="U520" s="6" t="n">
        <f aca="false">T520-S520</f>
        <v>1887.2125</v>
      </c>
      <c r="V520" s="7" t="n">
        <f aca="false">IF(T520=0,0,U520/T520)</f>
        <v>0.224089723163988</v>
      </c>
      <c r="W520" s="4" t="n">
        <f aca="false">C520-B520</f>
        <v>-4</v>
      </c>
      <c r="X520" s="0" t="str">
        <f aca="false">TEXT(B520,"mmmm")</f>
        <v>April</v>
      </c>
      <c r="Y520" s="4" t="n">
        <f aca="false">YEAR(B520)</f>
        <v>2025</v>
      </c>
      <c r="Z520" s="0" t="str">
        <f aca="false">PROPER(TRIM(AU520))</f>
        <v>Paid</v>
      </c>
      <c r="AA520" s="0" t="str">
        <f aca="false">PROPER(TRIM(AV520))</f>
        <v>Cancelled</v>
      </c>
      <c r="AB520" s="0" t="str">
        <f aca="false">IF(TRIM(AN520)="","Yes","No")</f>
        <v>No</v>
      </c>
      <c r="AC520" s="0" t="str">
        <f aca="false">IF(TRIM(AS520)="","Yes","No")</f>
        <v>No</v>
      </c>
      <c r="AD520" s="0" t="str">
        <f aca="false">IF(AT520="","Yes","No")</f>
        <v>No</v>
      </c>
      <c r="AE520" s="0" t="str">
        <f aca="false">IF(W520&lt;0,"Yes","No")</f>
        <v>Yes</v>
      </c>
      <c r="AF520" s="0" t="str">
        <f aca="false">IF(P520="","No",IF(OR(P520&lt;0,P520&gt;0.3),"Yes","No"))</f>
        <v>No</v>
      </c>
      <c r="AG520" s="4" t="s">
        <v>50</v>
      </c>
      <c r="AH520" s="0" t="str">
        <f aca="false">IF(AND(AA520="Completed",Z520="Paid"),"Yes","No")</f>
        <v>No</v>
      </c>
      <c r="AI520" s="0" t="str">
        <f aca="false">IF(OR(AE520="Yes",AF520="Yes",AG520="Yes"),"Invalid",IF(OR(AB520="Yes",AC520="Yes",AD520="Yes"),"Warning","Clean"))</f>
        <v>Invalid</v>
      </c>
      <c r="AJ520" s="4" t="s">
        <v>1954</v>
      </c>
      <c r="AK520" s="4" t="s">
        <v>2048</v>
      </c>
      <c r="AL520" s="4" t="s">
        <v>216</v>
      </c>
      <c r="AM520" s="4" t="s">
        <v>128</v>
      </c>
      <c r="AN520" s="4" t="s">
        <v>69</v>
      </c>
      <c r="AO520" s="4" t="s">
        <v>70</v>
      </c>
      <c r="AP520" s="4" t="s">
        <v>71</v>
      </c>
      <c r="AQ520" s="4" t="s">
        <v>72</v>
      </c>
      <c r="AR520" s="4" t="s">
        <v>73</v>
      </c>
      <c r="AS520" s="4" t="s">
        <v>81</v>
      </c>
      <c r="AT520" s="0" t="n">
        <v>0.25</v>
      </c>
      <c r="AU520" s="4" t="s">
        <v>61</v>
      </c>
      <c r="AV520" s="4" t="s">
        <v>101</v>
      </c>
    </row>
    <row r="521" customFormat="false" ht="15" hidden="false" customHeight="false" outlineLevel="0" collapsed="false">
      <c r="A521" s="0" t="s">
        <v>2049</v>
      </c>
      <c r="B521" s="3" t="n">
        <f aca="false">IF(AJ521="","",IF(ISNUMBER(SEARCH("/",AJ521)),DATE(VALUE(RIGHT(AJ521,4)),VALUE(LEFT(AJ521,2)),VALUE(MID(AJ521,4,2))),IF(ISNUMBER(SEARCH("-",AJ521)),IF(LEN(LEFT(AJ521,FIND("-",AJ521)-1))=4,DATE(VALUE(LEFT(AJ521,4)),VALUE(MID(AJ521,6,2)),VALUE(RIGHT(AJ521,2))),DATE(VALUE(RIGHT(AJ521,4)),VALUE(MID(AJ521,4,2)),VALUE(LEFT(AJ521,2)))),DATE(VALUE(RIGHT(AJ521,4)),MATCH(MID(AJ521,4,3),{"Jan","Feb","Mar","Apr","May","Jun","Jul","Aug","Sep","Oct","Nov","Dec"},0),VALUE(LEFT(AJ521,2))))))</f>
        <v>45841</v>
      </c>
      <c r="C521" s="3" t="n">
        <f aca="false">IF(AK521="","",IF(ISNUMBER(SEARCH("/",AK521)),DATE(VALUE(RIGHT(AK521,4)),VALUE(LEFT(AK521,2)),VALUE(MID(AK521,4,2))),IF(ISNUMBER(SEARCH("-",AK521)),IF(LEN(LEFT(AK521,FIND("-",AK521)-1))=4,DATE(VALUE(LEFT(AK521,4)),VALUE(MID(AK521,6,2)),VALUE(RIGHT(AK521,2))),DATE(VALUE(RIGHT(AK521,4)),VALUE(MID(AK521,4,2)),VALUE(LEFT(AK521,2)))),DATE(VALUE(RIGHT(AK521,4)),MATCH(MID(AK521,4,3),{"Jan","Feb","Mar","Apr","May","Jun","Jul","Aug","Sep","Oct","Nov","Dec"},0),VALUE(LEFT(AK521,2))))))</f>
        <v>45845</v>
      </c>
      <c r="D521" s="4" t="s">
        <v>2050</v>
      </c>
      <c r="E521" s="0" t="str">
        <f aca="false">PROPER(TRIM(AL521))</f>
        <v>Priya Menon</v>
      </c>
      <c r="F521" s="0" t="str">
        <f aca="false">PROPER(TRIM(AM521))</f>
        <v>Consumer</v>
      </c>
      <c r="G521" s="0" t="str">
        <f aca="false">IF(TRIM(AN521)="","Unknown",PROPER(TRIM(AN521)))</f>
        <v>North</v>
      </c>
      <c r="H521" s="0" t="str">
        <f aca="false">PROPER(TRIM(AO521))</f>
        <v>Uttar Pradesh</v>
      </c>
      <c r="I521" s="0" t="str">
        <f aca="false">PROPER(TRIM(AP521))</f>
        <v>Noida</v>
      </c>
      <c r="J521" s="0" t="str">
        <f aca="false">PROPER(TRIM(AQ521))</f>
        <v>Furniture</v>
      </c>
      <c r="K521" s="0" t="str">
        <f aca="false">PROPER(TRIM(AR521))</f>
        <v>Tables</v>
      </c>
      <c r="M521" s="0" t="str">
        <f aca="false">IF(TRIM(AS521)="","Unknown",PROPER(TRIM(AS521)))</f>
        <v>Standard Class</v>
      </c>
      <c r="N521" s="0" t="n">
        <v>4</v>
      </c>
      <c r="O521" s="0" t="n">
        <v>4365.21</v>
      </c>
      <c r="P521" s="5" t="n">
        <f aca="false">IF(AT521="","",IF(ISNUMBER(AT521),AT521,VALUE(SUBSTITUTE(AT521,"%",""))/100))</f>
        <v>0.2</v>
      </c>
      <c r="Q521" s="5" t="n">
        <f aca="false">IF(P521="",IF(AND(N521&lt;&gt;"",O521&lt;&gt;"",R521&lt;&gt;"",S521&lt;&gt;""),0,"REVIEW"),IF(OR(P521&lt;0,P521&gt;0.3),0,P521))</f>
        <v>0.2</v>
      </c>
      <c r="R521" s="0" t="n">
        <v>13968.67</v>
      </c>
      <c r="S521" s="0" t="n">
        <v>8857.58</v>
      </c>
      <c r="T521" s="6" t="n">
        <f aca="false">N521*O521*(1-Q521)</f>
        <v>13968.672</v>
      </c>
      <c r="U521" s="6" t="n">
        <f aca="false">T521-S521</f>
        <v>5111.092</v>
      </c>
      <c r="V521" s="7" t="n">
        <f aca="false">IF(T521=0,0,U521/T521)</f>
        <v>0.365896772434774</v>
      </c>
      <c r="W521" s="4" t="n">
        <f aca="false">C521-B521</f>
        <v>4</v>
      </c>
      <c r="X521" s="0" t="str">
        <f aca="false">TEXT(B521,"mmmm")</f>
        <v>July</v>
      </c>
      <c r="Y521" s="4" t="n">
        <f aca="false">YEAR(B521)</f>
        <v>2025</v>
      </c>
      <c r="Z521" s="0" t="str">
        <f aca="false">PROPER(TRIM(AU521))</f>
        <v>Pending</v>
      </c>
      <c r="AA521" s="0" t="str">
        <f aca="false">PROPER(TRIM(AV521))</f>
        <v>Cancelled</v>
      </c>
      <c r="AB521" s="0" t="str">
        <f aca="false">IF(TRIM(AN521)="","Yes","No")</f>
        <v>No</v>
      </c>
      <c r="AC521" s="0" t="str">
        <f aca="false">IF(TRIM(AS521)="","Yes","No")</f>
        <v>No</v>
      </c>
      <c r="AD521" s="0" t="str">
        <f aca="false">IF(AT521="","Yes","No")</f>
        <v>No</v>
      </c>
      <c r="AE521" s="0" t="str">
        <f aca="false">IF(W521&lt;0,"Yes","No")</f>
        <v>No</v>
      </c>
      <c r="AF521" s="0" t="str">
        <f aca="false">IF(P521="","No",IF(OR(P521&lt;0,P521&gt;0.3),"Yes","No"))</f>
        <v>No</v>
      </c>
      <c r="AG521" s="4" t="s">
        <v>50</v>
      </c>
      <c r="AH521" s="0" t="str">
        <f aca="false">IF(AND(AA521="Completed",Z521="Paid"),"Yes","No")</f>
        <v>No</v>
      </c>
      <c r="AI521" s="0" t="str">
        <f aca="false">IF(OR(AE521="Yes",AF521="Yes",AG521="Yes"),"Invalid",IF(OR(AB521="Yes",AC521="Yes",AD521="Yes"),"Warning","Clean"))</f>
        <v>Clean</v>
      </c>
      <c r="AJ521" s="4" t="s">
        <v>359</v>
      </c>
      <c r="AK521" s="4" t="s">
        <v>2051</v>
      </c>
      <c r="AL521" s="4" t="s">
        <v>158</v>
      </c>
      <c r="AM521" s="4" t="s">
        <v>54</v>
      </c>
      <c r="AN521" s="4" t="s">
        <v>168</v>
      </c>
      <c r="AO521" s="4" t="s">
        <v>186</v>
      </c>
      <c r="AP521" s="4" t="s">
        <v>187</v>
      </c>
      <c r="AQ521" s="4" t="s">
        <v>72</v>
      </c>
      <c r="AR521" s="4" t="s">
        <v>73</v>
      </c>
      <c r="AS521" s="4" t="s">
        <v>91</v>
      </c>
      <c r="AT521" s="0" t="n">
        <v>0.2</v>
      </c>
      <c r="AU521" s="4" t="s">
        <v>153</v>
      </c>
      <c r="AV521" s="4" t="s">
        <v>101</v>
      </c>
    </row>
    <row r="522" customFormat="false" ht="15" hidden="false" customHeight="false" outlineLevel="0" collapsed="false">
      <c r="A522" s="0" t="s">
        <v>2052</v>
      </c>
      <c r="B522" s="3" t="n">
        <f aca="false">IF(AJ522="","",IF(ISNUMBER(SEARCH("/",AJ522)),DATE(VALUE(RIGHT(AJ522,4)),VALUE(LEFT(AJ522,2)),VALUE(MID(AJ522,4,2))),IF(ISNUMBER(SEARCH("-",AJ522)),IF(LEN(LEFT(AJ522,FIND("-",AJ522)-1))=4,DATE(VALUE(LEFT(AJ522,4)),VALUE(MID(AJ522,6,2)),VALUE(RIGHT(AJ522,2))),DATE(VALUE(RIGHT(AJ522,4)),VALUE(MID(AJ522,4,2)),VALUE(LEFT(AJ522,2)))),DATE(VALUE(RIGHT(AJ522,4)),MATCH(MID(AJ522,4,3),{"Jan","Feb","Mar","Apr","May","Jun","Jul","Aug","Sep","Oct","Nov","Dec"},0),VALUE(LEFT(AJ522,2))))))</f>
        <v>45489</v>
      </c>
      <c r="C522" s="3" t="n">
        <f aca="false">IF(AK522="","",IF(ISNUMBER(SEARCH("/",AK522)),DATE(VALUE(RIGHT(AK522,4)),VALUE(LEFT(AK522,2)),VALUE(MID(AK522,4,2))),IF(ISNUMBER(SEARCH("-",AK522)),IF(LEN(LEFT(AK522,FIND("-",AK522)-1))=4,DATE(VALUE(LEFT(AK522,4)),VALUE(MID(AK522,6,2)),VALUE(RIGHT(AK522,2))),DATE(VALUE(RIGHT(AK522,4)),VALUE(MID(AK522,4,2)),VALUE(LEFT(AK522,2)))),DATE(VALUE(RIGHT(AK522,4)),MATCH(MID(AK522,4,3),{"Jan","Feb","Mar","Apr","May","Jun","Jul","Aug","Sep","Oct","Nov","Dec"},0),VALUE(LEFT(AK522,2))))))</f>
        <v>45496</v>
      </c>
      <c r="D522" s="4" t="s">
        <v>2053</v>
      </c>
      <c r="E522" s="0" t="str">
        <f aca="false">PROPER(TRIM(AL522))</f>
        <v>Aarav Sharma</v>
      </c>
      <c r="F522" s="0" t="str">
        <f aca="false">PROPER(TRIM(AM522))</f>
        <v>Home Office</v>
      </c>
      <c r="G522" s="0" t="str">
        <f aca="false">IF(TRIM(AN522)="","Unknown",PROPER(TRIM(AN522)))</f>
        <v>South</v>
      </c>
      <c r="H522" s="0" t="str">
        <f aca="false">PROPER(TRIM(AO522))</f>
        <v>Karnataka</v>
      </c>
      <c r="I522" s="0" t="str">
        <f aca="false">PROPER(TRIM(AP522))</f>
        <v>Bengaluru</v>
      </c>
      <c r="J522" s="0" t="str">
        <f aca="false">PROPER(TRIM(AQ522))</f>
        <v>Technology</v>
      </c>
      <c r="K522" s="0" t="str">
        <f aca="false">PROPER(TRIM(AR522))</f>
        <v>Machines</v>
      </c>
      <c r="M522" s="0" t="str">
        <f aca="false">IF(TRIM(AS522)="","Unknown",PROPER(TRIM(AS522)))</f>
        <v>Same Day</v>
      </c>
      <c r="N522" s="0" t="n">
        <v>1</v>
      </c>
      <c r="O522" s="0" t="n">
        <v>1695.91</v>
      </c>
      <c r="P522" s="5" t="n">
        <f aca="false">IF(AT522="","",IF(ISNUMBER(AT522),AT522,VALUE(SUBSTITUTE(AT522,"%",""))/100))</f>
        <v>0.05</v>
      </c>
      <c r="Q522" s="5" t="n">
        <f aca="false">IF(P522="",IF(AND(N522&lt;&gt;"",O522&lt;&gt;"",R522&lt;&gt;"",S522&lt;&gt;""),0,"REVIEW"),IF(OR(P522&lt;0,P522&gt;0.3),0,P522))</f>
        <v>0.05</v>
      </c>
      <c r="R522" s="0" t="n">
        <v>1611.11</v>
      </c>
      <c r="S522" s="0" t="n">
        <v>895.15</v>
      </c>
      <c r="T522" s="6" t="n">
        <f aca="false">N522*O522*(1-Q522)</f>
        <v>1611.1145</v>
      </c>
      <c r="U522" s="6" t="n">
        <f aca="false">T522-S522</f>
        <v>715.9645</v>
      </c>
      <c r="V522" s="7" t="n">
        <f aca="false">IF(T522=0,0,U522/T522)</f>
        <v>0.444390823867577</v>
      </c>
      <c r="W522" s="4" t="n">
        <f aca="false">C522-B522</f>
        <v>7</v>
      </c>
      <c r="X522" s="0" t="str">
        <f aca="false">TEXT(B522,"mmmm")</f>
        <v>July</v>
      </c>
      <c r="Y522" s="4" t="n">
        <f aca="false">YEAR(B522)</f>
        <v>2024</v>
      </c>
      <c r="Z522" s="0" t="str">
        <f aca="false">PROPER(TRIM(AU522))</f>
        <v>Paid</v>
      </c>
      <c r="AA522" s="0" t="str">
        <f aca="false">PROPER(TRIM(AV522))</f>
        <v>Completed</v>
      </c>
      <c r="AB522" s="0" t="str">
        <f aca="false">IF(TRIM(AN522)="","Yes","No")</f>
        <v>No</v>
      </c>
      <c r="AC522" s="0" t="str">
        <f aca="false">IF(TRIM(AS522)="","Yes","No")</f>
        <v>No</v>
      </c>
      <c r="AD522" s="0" t="str">
        <f aca="false">IF(AT522="","Yes","No")</f>
        <v>No</v>
      </c>
      <c r="AE522" s="0" t="str">
        <f aca="false">IF(W522&lt;0,"Yes","No")</f>
        <v>No</v>
      </c>
      <c r="AF522" s="0" t="str">
        <f aca="false">IF(P522="","No",IF(OR(P522&lt;0,P522&gt;0.3),"Yes","No"))</f>
        <v>No</v>
      </c>
      <c r="AG522" s="4" t="s">
        <v>50</v>
      </c>
      <c r="AH522" s="0" t="str">
        <f aca="false">IF(AND(AA522="Completed",Z522="Paid"),"Yes","No")</f>
        <v>Yes</v>
      </c>
      <c r="AI522" s="0" t="str">
        <f aca="false">IF(OR(AE522="Yes",AF522="Yes",AG522="Yes"),"Invalid",IF(OR(AB522="Yes",AC522="Yes",AD522="Yes"),"Warning","Clean"))</f>
        <v>Clean</v>
      </c>
      <c r="AJ522" s="4" t="s">
        <v>946</v>
      </c>
      <c r="AK522" s="4" t="s">
        <v>2054</v>
      </c>
      <c r="AL522" s="4" t="s">
        <v>176</v>
      </c>
      <c r="AM522" s="4" t="s">
        <v>134</v>
      </c>
      <c r="AN522" s="4" t="s">
        <v>87</v>
      </c>
      <c r="AO522" s="4" t="s">
        <v>233</v>
      </c>
      <c r="AP522" s="4" t="s">
        <v>234</v>
      </c>
      <c r="AQ522" s="4" t="s">
        <v>109</v>
      </c>
      <c r="AR522" s="4" t="s">
        <v>360</v>
      </c>
      <c r="AS522" s="4" t="s">
        <v>74</v>
      </c>
      <c r="AT522" s="0" t="n">
        <v>0.05</v>
      </c>
      <c r="AU522" s="4" t="s">
        <v>61</v>
      </c>
      <c r="AV522" s="4" t="s">
        <v>62</v>
      </c>
    </row>
    <row r="523" customFormat="false" ht="15" hidden="false" customHeight="false" outlineLevel="0" collapsed="false">
      <c r="A523" s="0" t="s">
        <v>2055</v>
      </c>
      <c r="B523" s="3" t="n">
        <f aca="false">IF(AJ523="","",IF(ISNUMBER(SEARCH("/",AJ523)),DATE(VALUE(RIGHT(AJ523,4)),VALUE(LEFT(AJ523,2)),VALUE(MID(AJ523,4,2))),IF(ISNUMBER(SEARCH("-",AJ523)),IF(LEN(LEFT(AJ523,FIND("-",AJ523)-1))=4,DATE(VALUE(LEFT(AJ523,4)),VALUE(MID(AJ523,6,2)),VALUE(RIGHT(AJ523,2))),DATE(VALUE(RIGHT(AJ523,4)),VALUE(MID(AJ523,4,2)),VALUE(LEFT(AJ523,2)))),DATE(VALUE(RIGHT(AJ523,4)),MATCH(MID(AJ523,4,3),{"Jan","Feb","Mar","Apr","May","Jun","Jul","Aug","Sep","Oct","Nov","Dec"},0),VALUE(LEFT(AJ523,2))))))</f>
        <v>45741</v>
      </c>
      <c r="C523" s="3" t="n">
        <f aca="false">IF(AK523="","",IF(ISNUMBER(SEARCH("/",AK523)),DATE(VALUE(RIGHT(AK523,4)),VALUE(LEFT(AK523,2)),VALUE(MID(AK523,4,2))),IF(ISNUMBER(SEARCH("-",AK523)),IF(LEN(LEFT(AK523,FIND("-",AK523)-1))=4,DATE(VALUE(LEFT(AK523,4)),VALUE(MID(AK523,6,2)),VALUE(RIGHT(AK523,2))),DATE(VALUE(RIGHT(AK523,4)),VALUE(MID(AK523,4,2)),VALUE(LEFT(AK523,2)))),DATE(VALUE(RIGHT(AK523,4)),MATCH(MID(AK523,4,3),{"Jan","Feb","Mar","Apr","May","Jun","Jul","Aug","Sep","Oct","Nov","Dec"},0),VALUE(LEFT(AK523,2))))))</f>
        <v>45748</v>
      </c>
      <c r="D523" s="4" t="s">
        <v>2056</v>
      </c>
      <c r="E523" s="0" t="str">
        <f aca="false">PROPER(TRIM(AL523))</f>
        <v>Diya Patel</v>
      </c>
      <c r="F523" s="0" t="str">
        <f aca="false">PROPER(TRIM(AM523))</f>
        <v>Consumer</v>
      </c>
      <c r="G523" s="0" t="str">
        <f aca="false">IF(TRIM(AN523)="","Unknown",PROPER(TRIM(AN523)))</f>
        <v>North</v>
      </c>
      <c r="H523" s="0" t="str">
        <f aca="false">PROPER(TRIM(AO523))</f>
        <v>Punjab</v>
      </c>
      <c r="I523" s="0" t="str">
        <f aca="false">PROPER(TRIM(AP523))</f>
        <v>Ludhiana</v>
      </c>
      <c r="J523" s="0" t="str">
        <f aca="false">PROPER(TRIM(AQ523))</f>
        <v>Office Supplies</v>
      </c>
      <c r="K523" s="0" t="str">
        <f aca="false">PROPER(TRIM(AR523))</f>
        <v>Labels</v>
      </c>
      <c r="M523" s="0" t="str">
        <f aca="false">IF(TRIM(AS523)="","Unknown",PROPER(TRIM(AS523)))</f>
        <v>Second Class</v>
      </c>
      <c r="N523" s="0" t="n">
        <v>6</v>
      </c>
      <c r="O523" s="0" t="n">
        <v>2192.11</v>
      </c>
      <c r="P523" s="5" t="n">
        <f aca="false">IF(AT523="","",IF(ISNUMBER(AT523),AT523,VALUE(SUBSTITUTE(AT523,"%",""))/100))</f>
        <v>0.05</v>
      </c>
      <c r="Q523" s="5" t="n">
        <f aca="false">IF(P523="",IF(AND(N523&lt;&gt;"",O523&lt;&gt;"",R523&lt;&gt;"",S523&lt;&gt;""),0,"REVIEW"),IF(OR(P523&lt;0,P523&gt;0.3),0,P523))</f>
        <v>0.05</v>
      </c>
      <c r="R523" s="0" t="n">
        <v>12495.03</v>
      </c>
      <c r="S523" s="0" t="n">
        <v>9184.52</v>
      </c>
      <c r="T523" s="6" t="n">
        <f aca="false">N523*O523*(1-Q523)</f>
        <v>12495.027</v>
      </c>
      <c r="U523" s="6" t="n">
        <f aca="false">T523-S523</f>
        <v>3310.507</v>
      </c>
      <c r="V523" s="7" t="n">
        <f aca="false">IF(T523=0,0,U523/T523)</f>
        <v>0.264945966103154</v>
      </c>
      <c r="W523" s="4" t="n">
        <f aca="false">C523-B523</f>
        <v>7</v>
      </c>
      <c r="X523" s="0" t="str">
        <f aca="false">TEXT(B523,"mmmm")</f>
        <v>March</v>
      </c>
      <c r="Y523" s="4" t="n">
        <f aca="false">YEAR(B523)</f>
        <v>2025</v>
      </c>
      <c r="Z523" s="0" t="str">
        <f aca="false">PROPER(TRIM(AU523))</f>
        <v>Paid</v>
      </c>
      <c r="AA523" s="0" t="str">
        <f aca="false">PROPER(TRIM(AV523))</f>
        <v>Completed</v>
      </c>
      <c r="AB523" s="0" t="str">
        <f aca="false">IF(TRIM(AN523)="","Yes","No")</f>
        <v>No</v>
      </c>
      <c r="AC523" s="0" t="str">
        <f aca="false">IF(TRIM(AS523)="","Yes","No")</f>
        <v>No</v>
      </c>
      <c r="AD523" s="0" t="str">
        <f aca="false">IF(AT523="","Yes","No")</f>
        <v>No</v>
      </c>
      <c r="AE523" s="0" t="str">
        <f aca="false">IF(W523&lt;0,"Yes","No")</f>
        <v>No</v>
      </c>
      <c r="AF523" s="0" t="str">
        <f aca="false">IF(P523="","No",IF(OR(P523&lt;0,P523&gt;0.3),"Yes","No"))</f>
        <v>No</v>
      </c>
      <c r="AG523" s="4" t="s">
        <v>50</v>
      </c>
      <c r="AH523" s="0" t="str">
        <f aca="false">IF(AND(AA523="Completed",Z523="Paid"),"Yes","No")</f>
        <v>Yes</v>
      </c>
      <c r="AI523" s="0" t="str">
        <f aca="false">IF(OR(AE523="Yes",AF523="Yes",AG523="Yes"),"Invalid",IF(OR(AB523="Yes",AC523="Yes",AD523="Yes"),"Warning","Clean"))</f>
        <v>Clean</v>
      </c>
      <c r="AJ523" s="4" t="s">
        <v>2057</v>
      </c>
      <c r="AK523" s="4" t="s">
        <v>2058</v>
      </c>
      <c r="AL523" s="4" t="s">
        <v>216</v>
      </c>
      <c r="AM523" s="4" t="s">
        <v>54</v>
      </c>
      <c r="AN523" s="4" t="s">
        <v>168</v>
      </c>
      <c r="AO523" s="4" t="s">
        <v>169</v>
      </c>
      <c r="AP523" s="4" t="s">
        <v>170</v>
      </c>
      <c r="AQ523" s="4" t="s">
        <v>58</v>
      </c>
      <c r="AR523" s="4" t="s">
        <v>129</v>
      </c>
      <c r="AS523" s="4" t="s">
        <v>60</v>
      </c>
      <c r="AT523" s="0" t="n">
        <v>0.05</v>
      </c>
      <c r="AU523" s="4" t="s">
        <v>61</v>
      </c>
      <c r="AV523" s="4" t="s">
        <v>62</v>
      </c>
    </row>
    <row r="524" customFormat="false" ht="15" hidden="false" customHeight="false" outlineLevel="0" collapsed="false">
      <c r="A524" s="0" t="s">
        <v>2059</v>
      </c>
      <c r="B524" s="3" t="n">
        <f aca="false">IF(AJ524="","",IF(ISNUMBER(SEARCH("/",AJ524)),DATE(VALUE(RIGHT(AJ524,4)),VALUE(LEFT(AJ524,2)),VALUE(MID(AJ524,4,2))),IF(ISNUMBER(SEARCH("-",AJ524)),IF(LEN(LEFT(AJ524,FIND("-",AJ524)-1))=4,DATE(VALUE(LEFT(AJ524,4)),VALUE(MID(AJ524,6,2)),VALUE(RIGHT(AJ524,2))),DATE(VALUE(RIGHT(AJ524,4)),VALUE(MID(AJ524,4,2)),VALUE(LEFT(AJ524,2)))),DATE(VALUE(RIGHT(AJ524,4)),MATCH(MID(AJ524,4,3),{"Jan","Feb","Mar","Apr","May","Jun","Jul","Aug","Sep","Oct","Nov","Dec"},0),VALUE(LEFT(AJ524,2))))))</f>
        <v>45716</v>
      </c>
      <c r="C524" s="3" t="n">
        <f aca="false">IF(AK524="","",IF(ISNUMBER(SEARCH("/",AK524)),DATE(VALUE(RIGHT(AK524,4)),VALUE(LEFT(AK524,2)),VALUE(MID(AK524,4,2))),IF(ISNUMBER(SEARCH("-",AK524)),IF(LEN(LEFT(AK524,FIND("-",AK524)-1))=4,DATE(VALUE(LEFT(AK524,4)),VALUE(MID(AK524,6,2)),VALUE(RIGHT(AK524,2))),DATE(VALUE(RIGHT(AK524,4)),VALUE(MID(AK524,4,2)),VALUE(LEFT(AK524,2)))),DATE(VALUE(RIGHT(AK524,4)),MATCH(MID(AK524,4,3),{"Jan","Feb","Mar","Apr","May","Jun","Jul","Aug","Sep","Oct","Nov","Dec"},0),VALUE(LEFT(AK524,2))))))</f>
        <v>45724</v>
      </c>
      <c r="D524" s="4" t="s">
        <v>2060</v>
      </c>
      <c r="E524" s="0" t="str">
        <f aca="false">PROPER(TRIM(AL524))</f>
        <v>Neha Gupta</v>
      </c>
      <c r="F524" s="0" t="str">
        <f aca="false">PROPER(TRIM(AM524))</f>
        <v>Small Business</v>
      </c>
      <c r="G524" s="0" t="str">
        <f aca="false">IF(TRIM(AN524)="","Unknown",PROPER(TRIM(AN524)))</f>
        <v>East</v>
      </c>
      <c r="H524" s="0" t="str">
        <f aca="false">PROPER(TRIM(AO524))</f>
        <v>Jharkhand</v>
      </c>
      <c r="I524" s="0" t="str">
        <f aca="false">PROPER(TRIM(AP524))</f>
        <v>Ranchi</v>
      </c>
      <c r="J524" s="0" t="str">
        <f aca="false">PROPER(TRIM(AQ524))</f>
        <v>Technology</v>
      </c>
      <c r="K524" s="0" t="str">
        <f aca="false">PROPER(TRIM(AR524))</f>
        <v>Phones</v>
      </c>
      <c r="M524" s="0" t="str">
        <f aca="false">IF(TRIM(AS524)="","Unknown",PROPER(TRIM(AS524)))</f>
        <v>First Class</v>
      </c>
      <c r="N524" s="0" t="n">
        <v>9</v>
      </c>
      <c r="O524" s="0" t="n">
        <v>3670.54</v>
      </c>
      <c r="P524" s="5" t="n">
        <f aca="false">IF(AT524="","",IF(ISNUMBER(AT524),AT524,VALUE(SUBSTITUTE(AT524,"%",""))/100))</f>
        <v>0</v>
      </c>
      <c r="Q524" s="5" t="n">
        <f aca="false">IF(P524="",IF(AND(N524&lt;&gt;"",O524&lt;&gt;"",R524&lt;&gt;"",S524&lt;&gt;""),0,"REVIEW"),IF(OR(P524&lt;0,P524&gt;0.3),0,P524))</f>
        <v>0</v>
      </c>
      <c r="R524" s="0" t="n">
        <v>33034.86</v>
      </c>
      <c r="S524" s="0" t="n">
        <v>24539.83</v>
      </c>
      <c r="T524" s="6" t="n">
        <f aca="false">N524*O524*(1-Q524)</f>
        <v>33034.86</v>
      </c>
      <c r="U524" s="6" t="n">
        <f aca="false">T524-S524</f>
        <v>8495.03</v>
      </c>
      <c r="V524" s="7" t="n">
        <f aca="false">IF(T524=0,0,U524/T524)</f>
        <v>0.257153503904663</v>
      </c>
      <c r="W524" s="4" t="n">
        <f aca="false">C524-B524</f>
        <v>8</v>
      </c>
      <c r="X524" s="0" t="str">
        <f aca="false">TEXT(B524,"mmmm")</f>
        <v>February</v>
      </c>
      <c r="Y524" s="4" t="n">
        <f aca="false">YEAR(B524)</f>
        <v>2025</v>
      </c>
      <c r="Z524" s="0" t="str">
        <f aca="false">PROPER(TRIM(AU524))</f>
        <v>Paid</v>
      </c>
      <c r="AA524" s="0" t="str">
        <f aca="false">PROPER(TRIM(AV524))</f>
        <v>Completed</v>
      </c>
      <c r="AB524" s="0" t="str">
        <f aca="false">IF(TRIM(AN524)="","Yes","No")</f>
        <v>No</v>
      </c>
      <c r="AC524" s="0" t="str">
        <f aca="false">IF(TRIM(AS524)="","Yes","No")</f>
        <v>No</v>
      </c>
      <c r="AD524" s="0" t="str">
        <f aca="false">IF(AT524="","Yes","No")</f>
        <v>No</v>
      </c>
      <c r="AE524" s="0" t="str">
        <f aca="false">IF(W524&lt;0,"Yes","No")</f>
        <v>No</v>
      </c>
      <c r="AF524" s="0" t="str">
        <f aca="false">IF(P524="","No",IF(OR(P524&lt;0,P524&gt;0.3),"Yes","No"))</f>
        <v>No</v>
      </c>
      <c r="AG524" s="4" t="s">
        <v>50</v>
      </c>
      <c r="AH524" s="0" t="str">
        <f aca="false">IF(AND(AA524="Completed",Z524="Paid"),"Yes","No")</f>
        <v>Yes</v>
      </c>
      <c r="AI524" s="0" t="str">
        <f aca="false">IF(OR(AE524="Yes",AF524="Yes",AG524="Yes"),"Invalid",IF(OR(AB524="Yes",AC524="Yes",AD524="Yes"),"Warning","Clean"))</f>
        <v>Clean</v>
      </c>
      <c r="AJ524" s="4" t="s">
        <v>2061</v>
      </c>
      <c r="AK524" s="4" t="s">
        <v>1901</v>
      </c>
      <c r="AL524" s="4" t="s">
        <v>115</v>
      </c>
      <c r="AM524" s="4" t="s">
        <v>68</v>
      </c>
      <c r="AN524" s="4" t="s">
        <v>69</v>
      </c>
      <c r="AO524" s="4" t="s">
        <v>300</v>
      </c>
      <c r="AP524" s="4" t="s">
        <v>301</v>
      </c>
      <c r="AQ524" s="4" t="s">
        <v>109</v>
      </c>
      <c r="AR524" s="4" t="s">
        <v>227</v>
      </c>
      <c r="AS524" s="4" t="s">
        <v>81</v>
      </c>
      <c r="AT524" s="0" t="n">
        <v>0</v>
      </c>
      <c r="AU524" s="4" t="s">
        <v>61</v>
      </c>
      <c r="AV524" s="4" t="s">
        <v>62</v>
      </c>
    </row>
    <row r="525" customFormat="false" ht="15" hidden="false" customHeight="false" outlineLevel="0" collapsed="false">
      <c r="A525" s="0" t="s">
        <v>2062</v>
      </c>
      <c r="B525" s="3" t="n">
        <f aca="false">IF(AJ525="","",IF(ISNUMBER(SEARCH("/",AJ525)),DATE(VALUE(RIGHT(AJ525,4)),VALUE(LEFT(AJ525,2)),VALUE(MID(AJ525,4,2))),IF(ISNUMBER(SEARCH("-",AJ525)),IF(LEN(LEFT(AJ525,FIND("-",AJ525)-1))=4,DATE(VALUE(LEFT(AJ525,4)),VALUE(MID(AJ525,6,2)),VALUE(RIGHT(AJ525,2))),DATE(VALUE(RIGHT(AJ525,4)),VALUE(MID(AJ525,4,2)),VALUE(LEFT(AJ525,2)))),DATE(VALUE(RIGHT(AJ525,4)),MATCH(MID(AJ525,4,3),{"Jan","Feb","Mar","Apr","May","Jun","Jul","Aug","Sep","Oct","Nov","Dec"},0),VALUE(LEFT(AJ525,2))))))</f>
        <v>45384</v>
      </c>
      <c r="C525" s="3" t="n">
        <f aca="false">IF(AK525="","",IF(ISNUMBER(SEARCH("/",AK525)),DATE(VALUE(RIGHT(AK525,4)),VALUE(LEFT(AK525,2)),VALUE(MID(AK525,4,2))),IF(ISNUMBER(SEARCH("-",AK525)),IF(LEN(LEFT(AK525,FIND("-",AK525)-1))=4,DATE(VALUE(LEFT(AK525,4)),VALUE(MID(AK525,6,2)),VALUE(RIGHT(AK525,2))),DATE(VALUE(RIGHT(AK525,4)),VALUE(MID(AK525,4,2)),VALUE(LEFT(AK525,2)))),DATE(VALUE(RIGHT(AK525,4)),MATCH(MID(AK525,4,3),{"Jan","Feb","Mar","Apr","May","Jun","Jul","Aug","Sep","Oct","Nov","Dec"},0),VALUE(LEFT(AK525,2))))))</f>
        <v>45385</v>
      </c>
      <c r="D525" s="4" t="s">
        <v>2063</v>
      </c>
      <c r="E525" s="0" t="str">
        <f aca="false">PROPER(TRIM(AL525))</f>
        <v>Kabir Singh</v>
      </c>
      <c r="F525" s="0" t="str">
        <f aca="false">PROPER(TRIM(AM525))</f>
        <v>Home Office</v>
      </c>
      <c r="G525" s="0" t="str">
        <f aca="false">IF(TRIM(AN525)="","Unknown",PROPER(TRIM(AN525)))</f>
        <v>West</v>
      </c>
      <c r="H525" s="0" t="str">
        <f aca="false">PROPER(TRIM(AO525))</f>
        <v>Goa</v>
      </c>
      <c r="I525" s="0" t="str">
        <f aca="false">PROPER(TRIM(AP525))</f>
        <v>Panaji</v>
      </c>
      <c r="J525" s="0" t="str">
        <f aca="false">PROPER(TRIM(AQ525))</f>
        <v>Office Supplies</v>
      </c>
      <c r="K525" s="0" t="str">
        <f aca="false">PROPER(TRIM(AR525))</f>
        <v>Paper</v>
      </c>
      <c r="M525" s="0" t="str">
        <f aca="false">IF(TRIM(AS525)="","Unknown",PROPER(TRIM(AS525)))</f>
        <v>Second Class</v>
      </c>
      <c r="N525" s="0" t="n">
        <v>2</v>
      </c>
      <c r="O525" s="0" t="n">
        <v>2902.63</v>
      </c>
      <c r="P525" s="5" t="n">
        <f aca="false">IF(AT525="","",IF(ISNUMBER(AT525),AT525,VALUE(SUBSTITUTE(AT525,"%",""))/100))</f>
        <v>0</v>
      </c>
      <c r="Q525" s="5" t="n">
        <f aca="false">IF(P525="",IF(AND(N525&lt;&gt;"",O525&lt;&gt;"",R525&lt;&gt;"",S525&lt;&gt;""),0,"REVIEW"),IF(OR(P525&lt;0,P525&gt;0.3),0,P525))</f>
        <v>0</v>
      </c>
      <c r="R525" s="0" t="n">
        <v>5805.26</v>
      </c>
      <c r="S525" s="0" t="n">
        <v>4654.36</v>
      </c>
      <c r="T525" s="6" t="n">
        <f aca="false">N525*O525*(1-Q525)</f>
        <v>5805.26</v>
      </c>
      <c r="U525" s="6" t="n">
        <f aca="false">T525-S525</f>
        <v>1150.9</v>
      </c>
      <c r="V525" s="7" t="n">
        <f aca="false">IF(T525=0,0,U525/T525)</f>
        <v>0.198251241115816</v>
      </c>
      <c r="W525" s="4" t="n">
        <f aca="false">C525-B525</f>
        <v>1</v>
      </c>
      <c r="X525" s="0" t="str">
        <f aca="false">TEXT(B525,"mmmm")</f>
        <v>April</v>
      </c>
      <c r="Y525" s="4" t="n">
        <f aca="false">YEAR(B525)</f>
        <v>2024</v>
      </c>
      <c r="Z525" s="0" t="str">
        <f aca="false">PROPER(TRIM(AU525))</f>
        <v>Paid</v>
      </c>
      <c r="AA525" s="0" t="str">
        <f aca="false">PROPER(TRIM(AV525))</f>
        <v>Returned</v>
      </c>
      <c r="AB525" s="0" t="str">
        <f aca="false">IF(TRIM(AN525)="","Yes","No")</f>
        <v>No</v>
      </c>
      <c r="AC525" s="0" t="str">
        <f aca="false">IF(TRIM(AS525)="","Yes","No")</f>
        <v>No</v>
      </c>
      <c r="AD525" s="0" t="str">
        <f aca="false">IF(AT525="","Yes","No")</f>
        <v>No</v>
      </c>
      <c r="AE525" s="0" t="str">
        <f aca="false">IF(W525&lt;0,"Yes","No")</f>
        <v>No</v>
      </c>
      <c r="AF525" s="0" t="str">
        <f aca="false">IF(P525="","No",IF(OR(P525&lt;0,P525&gt;0.3),"Yes","No"))</f>
        <v>No</v>
      </c>
      <c r="AG525" s="4" t="s">
        <v>50</v>
      </c>
      <c r="AH525" s="0" t="str">
        <f aca="false">IF(AND(AA525="Completed",Z525="Paid"),"Yes","No")</f>
        <v>No</v>
      </c>
      <c r="AI525" s="0" t="str">
        <f aca="false">IF(OR(AE525="Yes",AF525="Yes",AG525="Yes"),"Invalid",IF(OR(AB525="Yes",AC525="Yes",AD525="Yes"),"Warning","Clean"))</f>
        <v>Clean</v>
      </c>
      <c r="AJ525" s="4" t="s">
        <v>2064</v>
      </c>
      <c r="AK525" s="4" t="s">
        <v>2065</v>
      </c>
      <c r="AL525" s="4" t="s">
        <v>347</v>
      </c>
      <c r="AM525" s="4" t="s">
        <v>134</v>
      </c>
      <c r="AN525" s="4" t="s">
        <v>97</v>
      </c>
      <c r="AO525" s="4" t="s">
        <v>250</v>
      </c>
      <c r="AP525" s="4" t="s">
        <v>251</v>
      </c>
      <c r="AQ525" s="4" t="s">
        <v>58</v>
      </c>
      <c r="AR525" s="4" t="s">
        <v>59</v>
      </c>
      <c r="AS525" s="4" t="s">
        <v>60</v>
      </c>
      <c r="AT525" s="0" t="n">
        <v>0</v>
      </c>
      <c r="AU525" s="4" t="s">
        <v>61</v>
      </c>
      <c r="AV525" s="4" t="s">
        <v>142</v>
      </c>
    </row>
    <row r="526" customFormat="false" ht="15" hidden="false" customHeight="false" outlineLevel="0" collapsed="false">
      <c r="A526" s="0" t="s">
        <v>2066</v>
      </c>
      <c r="B526" s="3" t="n">
        <f aca="false">IF(AJ526="","",IF(ISNUMBER(SEARCH("/",AJ526)),DATE(VALUE(RIGHT(AJ526,4)),VALUE(LEFT(AJ526,2)),VALUE(MID(AJ526,4,2))),IF(ISNUMBER(SEARCH("-",AJ526)),IF(LEN(LEFT(AJ526,FIND("-",AJ526)-1))=4,DATE(VALUE(LEFT(AJ526,4)),VALUE(MID(AJ526,6,2)),VALUE(RIGHT(AJ526,2))),DATE(VALUE(RIGHT(AJ526,4)),VALUE(MID(AJ526,4,2)),VALUE(LEFT(AJ526,2)))),DATE(VALUE(RIGHT(AJ526,4)),MATCH(MID(AJ526,4,3),{"Jan","Feb","Mar","Apr","May","Jun","Jul","Aug","Sep","Oct","Nov","Dec"},0),VALUE(LEFT(AJ526,2))))))</f>
        <v>45626</v>
      </c>
      <c r="C526" s="3" t="n">
        <f aca="false">IF(AK526="","",IF(ISNUMBER(SEARCH("/",AK526)),DATE(VALUE(RIGHT(AK526,4)),VALUE(LEFT(AK526,2)),VALUE(MID(AK526,4,2))),IF(ISNUMBER(SEARCH("-",AK526)),IF(LEN(LEFT(AK526,FIND("-",AK526)-1))=4,DATE(VALUE(LEFT(AK526,4)),VALUE(MID(AK526,6,2)),VALUE(RIGHT(AK526,2))),DATE(VALUE(RIGHT(AK526,4)),VALUE(MID(AK526,4,2)),VALUE(LEFT(AK526,2)))),DATE(VALUE(RIGHT(AK526,4)),MATCH(MID(AK526,4,3),{"Jan","Feb","Mar","Apr","May","Jun","Jul","Aug","Sep","Oct","Nov","Dec"},0),VALUE(LEFT(AK526,2))))))</f>
        <v>45627</v>
      </c>
      <c r="D526" s="4" t="s">
        <v>2067</v>
      </c>
      <c r="E526" s="0" t="str">
        <f aca="false">PROPER(TRIM(AL526))</f>
        <v>Ananya Rao</v>
      </c>
      <c r="F526" s="0" t="str">
        <f aca="false">PROPER(TRIM(AM526))</f>
        <v>Corporate</v>
      </c>
      <c r="G526" s="0" t="str">
        <f aca="false">IF(TRIM(AN526)="","Unknown",PROPER(TRIM(AN526)))</f>
        <v>West</v>
      </c>
      <c r="H526" s="0" t="str">
        <f aca="false">PROPER(TRIM(AO526))</f>
        <v>Gujarat</v>
      </c>
      <c r="I526" s="0" t="str">
        <f aca="false">PROPER(TRIM(AP526))</f>
        <v>Ahmedabad</v>
      </c>
      <c r="J526" s="0" t="str">
        <f aca="false">PROPER(TRIM(AQ526))</f>
        <v>Furniture</v>
      </c>
      <c r="K526" s="0" t="str">
        <f aca="false">PROPER(TRIM(AR526))</f>
        <v>Chairs</v>
      </c>
      <c r="M526" s="0" t="str">
        <f aca="false">IF(TRIM(AS526)="","Unknown",PROPER(TRIM(AS526)))</f>
        <v>First Class</v>
      </c>
      <c r="N526" s="0" t="n">
        <v>9</v>
      </c>
      <c r="O526" s="0" t="n">
        <v>4207.36</v>
      </c>
      <c r="P526" s="5" t="n">
        <f aca="false">IF(AT526="","",IF(ISNUMBER(AT526),AT526,VALUE(SUBSTITUTE(AT526,"%",""))/100))</f>
        <v>0.1</v>
      </c>
      <c r="Q526" s="5" t="n">
        <f aca="false">IF(P526="",IF(AND(N526&lt;&gt;"",O526&lt;&gt;"",R526&lt;&gt;"",S526&lt;&gt;""),0,"REVIEW"),IF(OR(P526&lt;0,P526&gt;0.3),0,P526))</f>
        <v>0.1</v>
      </c>
      <c r="R526" s="0" t="n">
        <v>34079.62</v>
      </c>
      <c r="S526" s="0" t="n">
        <v>21871.39</v>
      </c>
      <c r="T526" s="6" t="n">
        <f aca="false">N526*O526*(1-Q526)</f>
        <v>34079.616</v>
      </c>
      <c r="U526" s="6" t="n">
        <f aca="false">T526-S526</f>
        <v>12208.226</v>
      </c>
      <c r="V526" s="7" t="n">
        <f aca="false">IF(T526=0,0,U526/T526)</f>
        <v>0.358226630253111</v>
      </c>
      <c r="W526" s="4" t="n">
        <f aca="false">C526-B526</f>
        <v>1</v>
      </c>
      <c r="X526" s="0" t="str">
        <f aca="false">TEXT(B526,"mmmm")</f>
        <v>November</v>
      </c>
      <c r="Y526" s="4" t="n">
        <f aca="false">YEAR(B526)</f>
        <v>2024</v>
      </c>
      <c r="Z526" s="0" t="str">
        <f aca="false">PROPER(TRIM(AU526))</f>
        <v>Paid</v>
      </c>
      <c r="AA526" s="0" t="str">
        <f aca="false">PROPER(TRIM(AV526))</f>
        <v>Completed</v>
      </c>
      <c r="AB526" s="0" t="str">
        <f aca="false">IF(TRIM(AN526)="","Yes","No")</f>
        <v>No</v>
      </c>
      <c r="AC526" s="0" t="str">
        <f aca="false">IF(TRIM(AS526)="","Yes","No")</f>
        <v>No</v>
      </c>
      <c r="AD526" s="0" t="str">
        <f aca="false">IF(AT526="","Yes","No")</f>
        <v>No</v>
      </c>
      <c r="AE526" s="0" t="str">
        <f aca="false">IF(W526&lt;0,"Yes","No")</f>
        <v>No</v>
      </c>
      <c r="AF526" s="0" t="str">
        <f aca="false">IF(P526="","No",IF(OR(P526&lt;0,P526&gt;0.3),"Yes","No"))</f>
        <v>No</v>
      </c>
      <c r="AG526" s="4" t="s">
        <v>50</v>
      </c>
      <c r="AH526" s="0" t="str">
        <f aca="false">IF(AND(AA526="Completed",Z526="Paid"),"Yes","No")</f>
        <v>Yes</v>
      </c>
      <c r="AI526" s="0" t="str">
        <f aca="false">IF(OR(AE526="Yes",AF526="Yes",AG526="Yes"),"Invalid",IF(OR(AB526="Yes",AC526="Yes",AD526="Yes"),"Warning","Clean"))</f>
        <v>Clean</v>
      </c>
      <c r="AJ526" s="4" t="s">
        <v>2068</v>
      </c>
      <c r="AK526" s="4" t="s">
        <v>2069</v>
      </c>
      <c r="AL526" s="4" t="s">
        <v>96</v>
      </c>
      <c r="AM526" s="4" t="s">
        <v>128</v>
      </c>
      <c r="AN526" s="4" t="s">
        <v>97</v>
      </c>
      <c r="AO526" s="4" t="s">
        <v>238</v>
      </c>
      <c r="AP526" s="4" t="s">
        <v>239</v>
      </c>
      <c r="AQ526" s="4" t="s">
        <v>72</v>
      </c>
      <c r="AR526" s="4" t="s">
        <v>100</v>
      </c>
      <c r="AS526" s="4" t="s">
        <v>81</v>
      </c>
      <c r="AT526" s="0" t="n">
        <v>0.1</v>
      </c>
      <c r="AU526" s="4" t="s">
        <v>61</v>
      </c>
      <c r="AV526" s="4" t="s">
        <v>62</v>
      </c>
    </row>
    <row r="527" customFormat="false" ht="15" hidden="false" customHeight="false" outlineLevel="0" collapsed="false">
      <c r="A527" s="0" t="s">
        <v>2070</v>
      </c>
      <c r="B527" s="3" t="n">
        <f aca="false">IF(AJ527="","",IF(ISNUMBER(SEARCH("/",AJ527)),DATE(VALUE(RIGHT(AJ527,4)),VALUE(LEFT(AJ527,2)),VALUE(MID(AJ527,4,2))),IF(ISNUMBER(SEARCH("-",AJ527)),IF(LEN(LEFT(AJ527,FIND("-",AJ527)-1))=4,DATE(VALUE(LEFT(AJ527,4)),VALUE(MID(AJ527,6,2)),VALUE(RIGHT(AJ527,2))),DATE(VALUE(RIGHT(AJ527,4)),VALUE(MID(AJ527,4,2)),VALUE(LEFT(AJ527,2)))),DATE(VALUE(RIGHT(AJ527,4)),MATCH(MID(AJ527,4,3),{"Jan","Feb","Mar","Apr","May","Jun","Jul","Aug","Sep","Oct","Nov","Dec"},0),VALUE(LEFT(AJ527,2))))))</f>
        <v>45582</v>
      </c>
      <c r="C527" s="3" t="n">
        <f aca="false">IF(AK527="","",IF(ISNUMBER(SEARCH("/",AK527)),DATE(VALUE(RIGHT(AK527,4)),VALUE(LEFT(AK527,2)),VALUE(MID(AK527,4,2))),IF(ISNUMBER(SEARCH("-",AK527)),IF(LEN(LEFT(AK527,FIND("-",AK527)-1))=4,DATE(VALUE(LEFT(AK527,4)),VALUE(MID(AK527,6,2)),VALUE(RIGHT(AK527,2))),DATE(VALUE(RIGHT(AK527,4)),VALUE(MID(AK527,4,2)),VALUE(LEFT(AK527,2)))),DATE(VALUE(RIGHT(AK527,4)),MATCH(MID(AK527,4,3),{"Jan","Feb","Mar","Apr","May","Jun","Jul","Aug","Sep","Oct","Nov","Dec"},0),VALUE(LEFT(AK527,2))))))</f>
        <v>45582</v>
      </c>
      <c r="D527" s="4" t="s">
        <v>2071</v>
      </c>
      <c r="E527" s="0" t="str">
        <f aca="false">PROPER(TRIM(AL527))</f>
        <v>Priya Menon</v>
      </c>
      <c r="F527" s="0" t="str">
        <f aca="false">PROPER(TRIM(AM527))</f>
        <v>Home Office</v>
      </c>
      <c r="G527" s="0" t="str">
        <f aca="false">IF(TRIM(AN527)="","Unknown",PROPER(TRIM(AN527)))</f>
        <v>East</v>
      </c>
      <c r="H527" s="0" t="str">
        <f aca="false">PROPER(TRIM(AO527))</f>
        <v>West Bengal</v>
      </c>
      <c r="I527" s="0" t="str">
        <f aca="false">PROPER(TRIM(AP527))</f>
        <v>Kolkata</v>
      </c>
      <c r="J527" s="0" t="str">
        <f aca="false">PROPER(TRIM(AQ527))</f>
        <v>Furniture</v>
      </c>
      <c r="K527" s="0" t="str">
        <f aca="false">PROPER(TRIM(AR527))</f>
        <v>Chairs</v>
      </c>
      <c r="M527" s="0" t="str">
        <f aca="false">IF(TRIM(AS527)="","Unknown",PROPER(TRIM(AS527)))</f>
        <v>Standard Class</v>
      </c>
      <c r="N527" s="0" t="n">
        <v>5</v>
      </c>
      <c r="O527" s="0" t="n">
        <v>2524.4</v>
      </c>
      <c r="P527" s="5" t="n">
        <f aca="false">IF(AT527="","",IF(ISNUMBER(AT527),AT527,VALUE(SUBSTITUTE(AT527,"%",""))/100))</f>
        <v>0.1</v>
      </c>
      <c r="Q527" s="5" t="n">
        <f aca="false">IF(P527="",IF(AND(N527&lt;&gt;"",O527&lt;&gt;"",R527&lt;&gt;"",S527&lt;&gt;""),0,"REVIEW"),IF(OR(P527&lt;0,P527&gt;0.3),0,P527))</f>
        <v>0.1</v>
      </c>
      <c r="R527" s="0" t="n">
        <v>11359.8</v>
      </c>
      <c r="S527" s="0" t="n">
        <v>7062.44</v>
      </c>
      <c r="T527" s="6" t="n">
        <f aca="false">N527*O527*(1-Q527)</f>
        <v>11359.8</v>
      </c>
      <c r="U527" s="6" t="n">
        <f aca="false">T527-S527</f>
        <v>4297.36</v>
      </c>
      <c r="V527" s="7" t="n">
        <f aca="false">IF(T527=0,0,U527/T527)</f>
        <v>0.378295392524516</v>
      </c>
      <c r="W527" s="4" t="n">
        <f aca="false">C527-B527</f>
        <v>0</v>
      </c>
      <c r="X527" s="0" t="str">
        <f aca="false">TEXT(B527,"mmmm")</f>
        <v>October</v>
      </c>
      <c r="Y527" s="4" t="n">
        <f aca="false">YEAR(B527)</f>
        <v>2024</v>
      </c>
      <c r="Z527" s="0" t="str">
        <f aca="false">PROPER(TRIM(AU527))</f>
        <v>Paid</v>
      </c>
      <c r="AA527" s="0" t="str">
        <f aca="false">PROPER(TRIM(AV527))</f>
        <v>Completed</v>
      </c>
      <c r="AB527" s="0" t="str">
        <f aca="false">IF(TRIM(AN527)="","Yes","No")</f>
        <v>No</v>
      </c>
      <c r="AC527" s="0" t="str">
        <f aca="false">IF(TRIM(AS527)="","Yes","No")</f>
        <v>No</v>
      </c>
      <c r="AD527" s="0" t="str">
        <f aca="false">IF(AT527="","Yes","No")</f>
        <v>No</v>
      </c>
      <c r="AE527" s="0" t="str">
        <f aca="false">IF(W527&lt;0,"Yes","No")</f>
        <v>No</v>
      </c>
      <c r="AF527" s="0" t="str">
        <f aca="false">IF(P527="","No",IF(OR(P527&lt;0,P527&gt;0.3),"Yes","No"))</f>
        <v>No</v>
      </c>
      <c r="AG527" s="4" t="s">
        <v>50</v>
      </c>
      <c r="AH527" s="0" t="str">
        <f aca="false">IF(AND(AA527="Completed",Z527="Paid"),"Yes","No")</f>
        <v>Yes</v>
      </c>
      <c r="AI527" s="0" t="str">
        <f aca="false">IF(OR(AE527="Yes",AF527="Yes",AG527="Yes"),"Invalid",IF(OR(AB527="Yes",AC527="Yes",AD527="Yes"),"Warning","Clean"))</f>
        <v>Clean</v>
      </c>
      <c r="AJ527" s="4" t="s">
        <v>2072</v>
      </c>
      <c r="AK527" s="4" t="s">
        <v>2073</v>
      </c>
      <c r="AL527" s="4" t="s">
        <v>158</v>
      </c>
      <c r="AM527" s="4" t="s">
        <v>134</v>
      </c>
      <c r="AN527" s="4" t="s">
        <v>69</v>
      </c>
      <c r="AO527" s="4" t="s">
        <v>139</v>
      </c>
      <c r="AP527" s="4" t="s">
        <v>140</v>
      </c>
      <c r="AQ527" s="4" t="s">
        <v>72</v>
      </c>
      <c r="AR527" s="4" t="s">
        <v>100</v>
      </c>
      <c r="AS527" s="4" t="s">
        <v>91</v>
      </c>
      <c r="AT527" s="0" t="n">
        <v>0.1</v>
      </c>
      <c r="AU527" s="4" t="s">
        <v>61</v>
      </c>
      <c r="AV527" s="4" t="s">
        <v>62</v>
      </c>
    </row>
    <row r="528" customFormat="false" ht="15" hidden="false" customHeight="false" outlineLevel="0" collapsed="false">
      <c r="A528" s="0" t="s">
        <v>2074</v>
      </c>
      <c r="B528" s="3" t="n">
        <f aca="false">IF(AJ528="","",IF(ISNUMBER(SEARCH("/",AJ528)),DATE(VALUE(RIGHT(AJ528,4)),VALUE(LEFT(AJ528,2)),VALUE(MID(AJ528,4,2))),IF(ISNUMBER(SEARCH("-",AJ528)),IF(LEN(LEFT(AJ528,FIND("-",AJ528)-1))=4,DATE(VALUE(LEFT(AJ528,4)),VALUE(MID(AJ528,6,2)),VALUE(RIGHT(AJ528,2))),DATE(VALUE(RIGHT(AJ528,4)),VALUE(MID(AJ528,4,2)),VALUE(LEFT(AJ528,2)))),DATE(VALUE(RIGHT(AJ528,4)),MATCH(MID(AJ528,4,3),{"Jan","Feb","Mar","Apr","May","Jun","Jul","Aug","Sep","Oct","Nov","Dec"},0),VALUE(LEFT(AJ528,2))))))</f>
        <v>45856</v>
      </c>
      <c r="C528" s="3" t="n">
        <f aca="false">IF(AK528="","",IF(ISNUMBER(SEARCH("/",AK528)),DATE(VALUE(RIGHT(AK528,4)),VALUE(LEFT(AK528,2)),VALUE(MID(AK528,4,2))),IF(ISNUMBER(SEARCH("-",AK528)),IF(LEN(LEFT(AK528,FIND("-",AK528)-1))=4,DATE(VALUE(LEFT(AK528,4)),VALUE(MID(AK528,6,2)),VALUE(RIGHT(AK528,2))),DATE(VALUE(RIGHT(AK528,4)),VALUE(MID(AK528,4,2)),VALUE(LEFT(AK528,2)))),DATE(VALUE(RIGHT(AK528,4)),MATCH(MID(AK528,4,3),{"Jan","Feb","Mar","Apr","May","Jun","Jul","Aug","Sep","Oct","Nov","Dec"},0),VALUE(LEFT(AK528,2))))))</f>
        <v>45859</v>
      </c>
      <c r="D528" s="4" t="s">
        <v>2075</v>
      </c>
      <c r="E528" s="0" t="str">
        <f aca="false">PROPER(TRIM(AL528))</f>
        <v>Priya Menon</v>
      </c>
      <c r="F528" s="0" t="str">
        <f aca="false">PROPER(TRIM(AM528))</f>
        <v>Consumer</v>
      </c>
      <c r="G528" s="0" t="str">
        <f aca="false">IF(TRIM(AN528)="","Unknown",PROPER(TRIM(AN528)))</f>
        <v>East</v>
      </c>
      <c r="H528" s="0" t="str">
        <f aca="false">PROPER(TRIM(AO528))</f>
        <v>Odisha</v>
      </c>
      <c r="I528" s="0" t="str">
        <f aca="false">PROPER(TRIM(AP528))</f>
        <v>Bhubaneswar</v>
      </c>
      <c r="J528" s="0" t="str">
        <f aca="false">PROPER(TRIM(AQ528))</f>
        <v>Furniture</v>
      </c>
      <c r="K528" s="0" t="str">
        <f aca="false">PROPER(TRIM(AR528))</f>
        <v>Tables</v>
      </c>
      <c r="M528" s="0" t="str">
        <f aca="false">IF(TRIM(AS528)="","Unknown",PROPER(TRIM(AS528)))</f>
        <v>Second Class</v>
      </c>
      <c r="N528" s="0" t="n">
        <v>4</v>
      </c>
      <c r="O528" s="0" t="n">
        <v>284.04</v>
      </c>
      <c r="P528" s="5" t="str">
        <f aca="false">IF(AT528="","",IF(ISNUMBER(AT528),AT528,VALUE(SUBSTITUTE(AT528,"%",""))/100))</f>
        <v/>
      </c>
      <c r="Q528" s="5" t="n">
        <f aca="false">IF(P528="",IF(AND(N528&lt;&gt;"",O528&lt;&gt;"",R528&lt;&gt;"",S528&lt;&gt;""),0,"REVIEW"),IF(OR(P528&lt;0,P528&gt;0.3),0,P528))</f>
        <v>0</v>
      </c>
      <c r="R528" s="0" t="n">
        <v>908.93</v>
      </c>
      <c r="S528" s="0" t="n">
        <v>572.08</v>
      </c>
      <c r="T528" s="6" t="n">
        <f aca="false">N528*O528*(1-Q528)</f>
        <v>1136.16</v>
      </c>
      <c r="U528" s="6" t="n">
        <f aca="false">T528-S528</f>
        <v>564.08</v>
      </c>
      <c r="V528" s="7" t="n">
        <f aca="false">IF(T528=0,0,U528/T528)</f>
        <v>0.496479369102943</v>
      </c>
      <c r="W528" s="4" t="n">
        <f aca="false">C528-B528</f>
        <v>3</v>
      </c>
      <c r="X528" s="0" t="str">
        <f aca="false">TEXT(B528,"mmmm")</f>
        <v>July</v>
      </c>
      <c r="Y528" s="4" t="n">
        <f aca="false">YEAR(B528)</f>
        <v>2025</v>
      </c>
      <c r="Z528" s="0" t="str">
        <f aca="false">PROPER(TRIM(AU528))</f>
        <v>Paid</v>
      </c>
      <c r="AA528" s="0" t="str">
        <f aca="false">PROPER(TRIM(AV528))</f>
        <v>Completed</v>
      </c>
      <c r="AB528" s="0" t="str">
        <f aca="false">IF(TRIM(AN528)="","Yes","No")</f>
        <v>No</v>
      </c>
      <c r="AC528" s="0" t="str">
        <f aca="false">IF(TRIM(AS528)="","Yes","No")</f>
        <v>No</v>
      </c>
      <c r="AD528" s="0" t="str">
        <f aca="false">IF(AT528="","Yes","No")</f>
        <v>Yes</v>
      </c>
      <c r="AE528" s="0" t="str">
        <f aca="false">IF(W528&lt;0,"Yes","No")</f>
        <v>No</v>
      </c>
      <c r="AF528" s="0" t="str">
        <f aca="false">IF(P528="","No",IF(OR(P528&lt;0,P528&gt;0.3),"Yes","No"))</f>
        <v>No</v>
      </c>
      <c r="AG528" s="4" t="s">
        <v>50</v>
      </c>
      <c r="AH528" s="0" t="str">
        <f aca="false">IF(AND(AA528="Completed",Z528="Paid"),"Yes","No")</f>
        <v>Yes</v>
      </c>
      <c r="AI528" s="0" t="str">
        <f aca="false">IF(OR(AE528="Yes",AF528="Yes",AG528="Yes"),"Invalid",IF(OR(AB528="Yes",AC528="Yes",AD528="Yes"),"Warning","Clean"))</f>
        <v>Warning</v>
      </c>
      <c r="AJ528" s="4" t="s">
        <v>2076</v>
      </c>
      <c r="AK528" s="4" t="s">
        <v>2077</v>
      </c>
      <c r="AL528" s="4" t="s">
        <v>158</v>
      </c>
      <c r="AM528" s="4" t="s">
        <v>54</v>
      </c>
      <c r="AN528" s="4" t="s">
        <v>69</v>
      </c>
      <c r="AO528" s="4" t="s">
        <v>70</v>
      </c>
      <c r="AP528" s="4" t="s">
        <v>71</v>
      </c>
      <c r="AQ528" s="4" t="s">
        <v>72</v>
      </c>
      <c r="AR528" s="4" t="s">
        <v>73</v>
      </c>
      <c r="AS528" s="4" t="s">
        <v>60</v>
      </c>
      <c r="AU528" s="4" t="s">
        <v>61</v>
      </c>
      <c r="AV528" s="4" t="s">
        <v>62</v>
      </c>
    </row>
    <row r="529" customFormat="false" ht="15" hidden="false" customHeight="false" outlineLevel="0" collapsed="false">
      <c r="A529" s="0" t="s">
        <v>2078</v>
      </c>
      <c r="B529" s="3" t="n">
        <f aca="false">IF(AJ529="","",IF(ISNUMBER(SEARCH("/",AJ529)),DATE(VALUE(RIGHT(AJ529,4)),VALUE(LEFT(AJ529,2)),VALUE(MID(AJ529,4,2))),IF(ISNUMBER(SEARCH("-",AJ529)),IF(LEN(LEFT(AJ529,FIND("-",AJ529)-1))=4,DATE(VALUE(LEFT(AJ529,4)),VALUE(MID(AJ529,6,2)),VALUE(RIGHT(AJ529,2))),DATE(VALUE(RIGHT(AJ529,4)),VALUE(MID(AJ529,4,2)),VALUE(LEFT(AJ529,2)))),DATE(VALUE(RIGHT(AJ529,4)),MATCH(MID(AJ529,4,3),{"Jan","Feb","Mar","Apr","May","Jun","Jul","Aug","Sep","Oct","Nov","Dec"},0),VALUE(LEFT(AJ529,2))))))</f>
        <v>45931</v>
      </c>
      <c r="C529" s="3" t="n">
        <f aca="false">IF(AK529="","",IF(ISNUMBER(SEARCH("/",AK529)),DATE(VALUE(RIGHT(AK529,4)),VALUE(LEFT(AK529,2)),VALUE(MID(AK529,4,2))),IF(ISNUMBER(SEARCH("-",AK529)),IF(LEN(LEFT(AK529,FIND("-",AK529)-1))=4,DATE(VALUE(LEFT(AK529,4)),VALUE(MID(AK529,6,2)),VALUE(RIGHT(AK529,2))),DATE(VALUE(RIGHT(AK529,4)),VALUE(MID(AK529,4,2)),VALUE(LEFT(AK529,2)))),DATE(VALUE(RIGHT(AK529,4)),MATCH(MID(AK529,4,3),{"Jan","Feb","Mar","Apr","May","Jun","Jul","Aug","Sep","Oct","Nov","Dec"},0),VALUE(LEFT(AK529,2))))))</f>
        <v>45935</v>
      </c>
      <c r="D529" s="4" t="s">
        <v>2079</v>
      </c>
      <c r="E529" s="0" t="str">
        <f aca="false">PROPER(TRIM(AL529))</f>
        <v>Aditi Sen</v>
      </c>
      <c r="F529" s="0" t="str">
        <f aca="false">PROPER(TRIM(AM529))</f>
        <v>Home Office</v>
      </c>
      <c r="G529" s="0" t="str">
        <f aca="false">IF(TRIM(AN529)="","Unknown",PROPER(TRIM(AN529)))</f>
        <v>North</v>
      </c>
      <c r="H529" s="0" t="str">
        <f aca="false">PROPER(TRIM(AO529))</f>
        <v>Haryana</v>
      </c>
      <c r="I529" s="0" t="str">
        <f aca="false">PROPER(TRIM(AP529))</f>
        <v>Gurugram</v>
      </c>
      <c r="J529" s="0" t="str">
        <f aca="false">PROPER(TRIM(AQ529))</f>
        <v>Office Supplies</v>
      </c>
      <c r="K529" s="0" t="str">
        <f aca="false">PROPER(TRIM(AR529))</f>
        <v>Paper</v>
      </c>
      <c r="M529" s="0" t="str">
        <f aca="false">IF(TRIM(AS529)="","Unknown",PROPER(TRIM(AS529)))</f>
        <v>First Class</v>
      </c>
      <c r="N529" s="0" t="n">
        <v>5</v>
      </c>
      <c r="O529" s="0" t="n">
        <v>3247.56</v>
      </c>
      <c r="P529" s="5" t="n">
        <f aca="false">IF(AT529="","",IF(ISNUMBER(AT529),AT529,VALUE(SUBSTITUTE(AT529,"%",""))/100))</f>
        <v>0.15</v>
      </c>
      <c r="Q529" s="5" t="n">
        <f aca="false">IF(P529="",IF(AND(N529&lt;&gt;"",O529&lt;&gt;"",R529&lt;&gt;"",S529&lt;&gt;""),0,"REVIEW"),IF(OR(P529&lt;0,P529&gt;0.3),0,P529))</f>
        <v>0.15</v>
      </c>
      <c r="R529" s="0" t="n">
        <v>13802.13</v>
      </c>
      <c r="S529" s="0" t="n">
        <v>10075.93</v>
      </c>
      <c r="T529" s="6" t="n">
        <f aca="false">N529*O529*(1-Q529)</f>
        <v>13802.13</v>
      </c>
      <c r="U529" s="6" t="n">
        <f aca="false">T529-S529</f>
        <v>3726.2</v>
      </c>
      <c r="V529" s="7" t="n">
        <f aca="false">IF(T529=0,0,U529/T529)</f>
        <v>0.269972823035285</v>
      </c>
      <c r="W529" s="4" t="n">
        <f aca="false">C529-B529</f>
        <v>4</v>
      </c>
      <c r="X529" s="0" t="str">
        <f aca="false">TEXT(B529,"mmmm")</f>
        <v>October</v>
      </c>
      <c r="Y529" s="4" t="n">
        <f aca="false">YEAR(B529)</f>
        <v>2025</v>
      </c>
      <c r="Z529" s="0" t="str">
        <f aca="false">PROPER(TRIM(AU529))</f>
        <v>Paid</v>
      </c>
      <c r="AA529" s="0" t="str">
        <f aca="false">PROPER(TRIM(AV529))</f>
        <v>Completed</v>
      </c>
      <c r="AB529" s="0" t="str">
        <f aca="false">IF(TRIM(AN529)="","Yes","No")</f>
        <v>No</v>
      </c>
      <c r="AC529" s="0" t="str">
        <f aca="false">IF(TRIM(AS529)="","Yes","No")</f>
        <v>No</v>
      </c>
      <c r="AD529" s="0" t="str">
        <f aca="false">IF(AT529="","Yes","No")</f>
        <v>No</v>
      </c>
      <c r="AE529" s="0" t="str">
        <f aca="false">IF(W529&lt;0,"Yes","No")</f>
        <v>No</v>
      </c>
      <c r="AF529" s="0" t="str">
        <f aca="false">IF(P529="","No",IF(OR(P529&lt;0,P529&gt;0.3),"Yes","No"))</f>
        <v>No</v>
      </c>
      <c r="AG529" s="4" t="s">
        <v>50</v>
      </c>
      <c r="AH529" s="0" t="str">
        <f aca="false">IF(AND(AA529="Completed",Z529="Paid"),"Yes","No")</f>
        <v>Yes</v>
      </c>
      <c r="AI529" s="0" t="str">
        <f aca="false">IF(OR(AE529="Yes",AF529="Yes",AG529="Yes"),"Invalid",IF(OR(AB529="Yes",AC529="Yes",AD529="Yes"),"Warning","Clean"))</f>
        <v>Clean</v>
      </c>
      <c r="AJ529" s="4" t="s">
        <v>2080</v>
      </c>
      <c r="AK529" s="4" t="s">
        <v>2081</v>
      </c>
      <c r="AL529" s="4" t="s">
        <v>127</v>
      </c>
      <c r="AM529" s="4" t="s">
        <v>134</v>
      </c>
      <c r="AN529" s="4" t="s">
        <v>168</v>
      </c>
      <c r="AO529" s="4" t="s">
        <v>310</v>
      </c>
      <c r="AP529" s="4" t="s">
        <v>311</v>
      </c>
      <c r="AQ529" s="4" t="s">
        <v>58</v>
      </c>
      <c r="AR529" s="4" t="s">
        <v>59</v>
      </c>
      <c r="AS529" s="4" t="s">
        <v>81</v>
      </c>
      <c r="AT529" s="0" t="n">
        <v>0.15</v>
      </c>
      <c r="AU529" s="4" t="s">
        <v>61</v>
      </c>
      <c r="AV529" s="4" t="s">
        <v>62</v>
      </c>
    </row>
    <row r="530" customFormat="false" ht="15" hidden="false" customHeight="false" outlineLevel="0" collapsed="false">
      <c r="A530" s="0" t="s">
        <v>2082</v>
      </c>
      <c r="B530" s="3" t="n">
        <f aca="false">IF(AJ530="","",IF(ISNUMBER(SEARCH("/",AJ530)),DATE(VALUE(RIGHT(AJ530,4)),VALUE(LEFT(AJ530,2)),VALUE(MID(AJ530,4,2))),IF(ISNUMBER(SEARCH("-",AJ530)),IF(LEN(LEFT(AJ530,FIND("-",AJ530)-1))=4,DATE(VALUE(LEFT(AJ530,4)),VALUE(MID(AJ530,6,2)),VALUE(RIGHT(AJ530,2))),DATE(VALUE(RIGHT(AJ530,4)),VALUE(MID(AJ530,4,2)),VALUE(LEFT(AJ530,2)))),DATE(VALUE(RIGHT(AJ530,4)),MATCH(MID(AJ530,4,3),{"Jan","Feb","Mar","Apr","May","Jun","Jul","Aug","Sep","Oct","Nov","Dec"},0),VALUE(LEFT(AJ530,2))))))</f>
        <v>45572</v>
      </c>
      <c r="C530" s="3" t="n">
        <f aca="false">IF(AK530="","",IF(ISNUMBER(SEARCH("/",AK530)),DATE(VALUE(RIGHT(AK530,4)),VALUE(LEFT(AK530,2)),VALUE(MID(AK530,4,2))),IF(ISNUMBER(SEARCH("-",AK530)),IF(LEN(LEFT(AK530,FIND("-",AK530)-1))=4,DATE(VALUE(LEFT(AK530,4)),VALUE(MID(AK530,6,2)),VALUE(RIGHT(AK530,2))),DATE(VALUE(RIGHT(AK530,4)),VALUE(MID(AK530,4,2)),VALUE(LEFT(AK530,2)))),DATE(VALUE(RIGHT(AK530,4)),MATCH(MID(AK530,4,3),{"Jan","Feb","Mar","Apr","May","Jun","Jul","Aug","Sep","Oct","Nov","Dec"},0),VALUE(LEFT(AK530,2))))))</f>
        <v>45574</v>
      </c>
      <c r="D530" s="4" t="s">
        <v>2083</v>
      </c>
      <c r="E530" s="0" t="str">
        <f aca="false">PROPER(TRIM(AL530))</f>
        <v>Diya Patel</v>
      </c>
      <c r="F530" s="0" t="str">
        <f aca="false">PROPER(TRIM(AM530))</f>
        <v>Consumer</v>
      </c>
      <c r="G530" s="0" t="str">
        <f aca="false">IF(TRIM(AN530)="","Unknown",PROPER(TRIM(AN530)))</f>
        <v>South</v>
      </c>
      <c r="H530" s="0" t="str">
        <f aca="false">PROPER(TRIM(AO530))</f>
        <v>Tamil Nadu</v>
      </c>
      <c r="I530" s="0" t="str">
        <f aca="false">PROPER(TRIM(AP530))</f>
        <v>Chennai</v>
      </c>
      <c r="J530" s="0" t="str">
        <f aca="false">PROPER(TRIM(AQ530))</f>
        <v>Office Supplies</v>
      </c>
      <c r="K530" s="0" t="str">
        <f aca="false">PROPER(TRIM(AR530))</f>
        <v>Binders</v>
      </c>
      <c r="M530" s="0" t="str">
        <f aca="false">IF(TRIM(AS530)="","Unknown",PROPER(TRIM(AS530)))</f>
        <v>Standard Class</v>
      </c>
      <c r="N530" s="0" t="n">
        <v>9</v>
      </c>
      <c r="O530" s="0" t="n">
        <v>3457.09</v>
      </c>
      <c r="P530" s="5" t="n">
        <f aca="false">IF(AT530="","",IF(ISNUMBER(AT530),AT530,VALUE(SUBSTITUTE(AT530,"%",""))/100))</f>
        <v>0.05</v>
      </c>
      <c r="Q530" s="5" t="n">
        <f aca="false">IF(P530="",IF(AND(N530&lt;&gt;"",O530&lt;&gt;"",R530&lt;&gt;"",S530&lt;&gt;""),0,"REVIEW"),IF(OR(P530&lt;0,P530&gt;0.3),0,P530))</f>
        <v>0.05</v>
      </c>
      <c r="R530" s="0" t="n">
        <v>29558.12</v>
      </c>
      <c r="S530" s="0" t="n">
        <v>21302.13</v>
      </c>
      <c r="T530" s="6" t="n">
        <f aca="false">N530*O530*(1-Q530)</f>
        <v>29558.1195</v>
      </c>
      <c r="U530" s="6" t="n">
        <f aca="false">T530-S530</f>
        <v>8255.9895</v>
      </c>
      <c r="V530" s="7" t="n">
        <f aca="false">IF(T530=0,0,U530/T530)</f>
        <v>0.279313760132812</v>
      </c>
      <c r="W530" s="4" t="n">
        <f aca="false">C530-B530</f>
        <v>2</v>
      </c>
      <c r="X530" s="0" t="str">
        <f aca="false">TEXT(B530,"mmmm")</f>
        <v>October</v>
      </c>
      <c r="Y530" s="4" t="n">
        <f aca="false">YEAR(B530)</f>
        <v>2024</v>
      </c>
      <c r="Z530" s="0" t="str">
        <f aca="false">PROPER(TRIM(AU530))</f>
        <v>Pending</v>
      </c>
      <c r="AA530" s="0" t="str">
        <f aca="false">PROPER(TRIM(AV530))</f>
        <v>Returned</v>
      </c>
      <c r="AB530" s="0" t="str">
        <f aca="false">IF(TRIM(AN530)="","Yes","No")</f>
        <v>No</v>
      </c>
      <c r="AC530" s="0" t="str">
        <f aca="false">IF(TRIM(AS530)="","Yes","No")</f>
        <v>No</v>
      </c>
      <c r="AD530" s="0" t="str">
        <f aca="false">IF(AT530="","Yes","No")</f>
        <v>No</v>
      </c>
      <c r="AE530" s="0" t="str">
        <f aca="false">IF(W530&lt;0,"Yes","No")</f>
        <v>No</v>
      </c>
      <c r="AF530" s="0" t="str">
        <f aca="false">IF(P530="","No",IF(OR(P530&lt;0,P530&gt;0.3),"Yes","No"))</f>
        <v>No</v>
      </c>
      <c r="AG530" s="4" t="s">
        <v>50</v>
      </c>
      <c r="AH530" s="0" t="str">
        <f aca="false">IF(AND(AA530="Completed",Z530="Paid"),"Yes","No")</f>
        <v>No</v>
      </c>
      <c r="AI530" s="0" t="str">
        <f aca="false">IF(OR(AE530="Yes",AF530="Yes",AG530="Yes"),"Invalid",IF(OR(AB530="Yes",AC530="Yes",AD530="Yes"),"Warning","Clean"))</f>
        <v>Clean</v>
      </c>
      <c r="AJ530" s="4" t="s">
        <v>2084</v>
      </c>
      <c r="AK530" s="4" t="s">
        <v>2085</v>
      </c>
      <c r="AL530" s="4" t="s">
        <v>216</v>
      </c>
      <c r="AM530" s="4" t="s">
        <v>54</v>
      </c>
      <c r="AN530" s="4" t="s">
        <v>87</v>
      </c>
      <c r="AO530" s="4" t="s">
        <v>323</v>
      </c>
      <c r="AP530" s="4" t="s">
        <v>324</v>
      </c>
      <c r="AQ530" s="4" t="s">
        <v>58</v>
      </c>
      <c r="AR530" s="4" t="s">
        <v>206</v>
      </c>
      <c r="AS530" s="4" t="s">
        <v>91</v>
      </c>
      <c r="AT530" s="0" t="n">
        <v>0.05</v>
      </c>
      <c r="AU530" s="4" t="s">
        <v>153</v>
      </c>
      <c r="AV530" s="4" t="s">
        <v>142</v>
      </c>
    </row>
    <row r="531" customFormat="false" ht="15" hidden="false" customHeight="false" outlineLevel="0" collapsed="false">
      <c r="A531" s="0" t="s">
        <v>2086</v>
      </c>
      <c r="B531" s="3" t="n">
        <f aca="false">IF(AJ531="","",IF(ISNUMBER(SEARCH("/",AJ531)),DATE(VALUE(RIGHT(AJ531,4)),VALUE(LEFT(AJ531,2)),VALUE(MID(AJ531,4,2))),IF(ISNUMBER(SEARCH("-",AJ531)),IF(LEN(LEFT(AJ531,FIND("-",AJ531)-1))=4,DATE(VALUE(LEFT(AJ531,4)),VALUE(MID(AJ531,6,2)),VALUE(RIGHT(AJ531,2))),DATE(VALUE(RIGHT(AJ531,4)),VALUE(MID(AJ531,4,2)),VALUE(LEFT(AJ531,2)))),DATE(VALUE(RIGHT(AJ531,4)),MATCH(MID(AJ531,4,3),{"Jan","Feb","Mar","Apr","May","Jun","Jul","Aug","Sep","Oct","Nov","Dec"},0),VALUE(LEFT(AJ531,2))))))</f>
        <v>45328</v>
      </c>
      <c r="C531" s="3" t="n">
        <f aca="false">IF(AK531="","",IF(ISNUMBER(SEARCH("/",AK531)),DATE(VALUE(RIGHT(AK531,4)),VALUE(LEFT(AK531,2)),VALUE(MID(AK531,4,2))),IF(ISNUMBER(SEARCH("-",AK531)),IF(LEN(LEFT(AK531,FIND("-",AK531)-1))=4,DATE(VALUE(LEFT(AK531,4)),VALUE(MID(AK531,6,2)),VALUE(RIGHT(AK531,2))),DATE(VALUE(RIGHT(AK531,4)),VALUE(MID(AK531,4,2)),VALUE(LEFT(AK531,2)))),DATE(VALUE(RIGHT(AK531,4)),MATCH(MID(AK531,4,3),{"Jan","Feb","Mar","Apr","May","Jun","Jul","Aug","Sep","Oct","Nov","Dec"},0),VALUE(LEFT(AK531,2))))))</f>
        <v>45330</v>
      </c>
      <c r="D531" s="4" t="s">
        <v>944</v>
      </c>
      <c r="E531" s="0" t="str">
        <f aca="false">PROPER(TRIM(AL531))</f>
        <v>Karan Malhotra</v>
      </c>
      <c r="F531" s="0" t="str">
        <f aca="false">PROPER(TRIM(AM531))</f>
        <v>Consumer</v>
      </c>
      <c r="G531" s="0" t="str">
        <f aca="false">IF(TRIM(AN531)="","Unknown",PROPER(TRIM(AN531)))</f>
        <v>East</v>
      </c>
      <c r="H531" s="0" t="str">
        <f aca="false">PROPER(TRIM(AO531))</f>
        <v>Jharkhand</v>
      </c>
      <c r="I531" s="0" t="str">
        <f aca="false">PROPER(TRIM(AP531))</f>
        <v>Ranchi</v>
      </c>
      <c r="J531" s="0" t="str">
        <f aca="false">PROPER(TRIM(AQ531))</f>
        <v>Furniture</v>
      </c>
      <c r="K531" s="0" t="str">
        <f aca="false">PROPER(TRIM(AR531))</f>
        <v>Bookcases</v>
      </c>
      <c r="M531" s="0" t="str">
        <f aca="false">IF(TRIM(AS531)="","Unknown",PROPER(TRIM(AS531)))</f>
        <v>Second Class</v>
      </c>
      <c r="N531" s="0" t="n">
        <v>9</v>
      </c>
      <c r="O531" s="0" t="n">
        <v>1822.25</v>
      </c>
      <c r="P531" s="5" t="n">
        <f aca="false">IF(AT531="","",IF(ISNUMBER(AT531),AT531,VALUE(SUBSTITUTE(AT531,"%",""))/100))</f>
        <v>0</v>
      </c>
      <c r="Q531" s="5" t="n">
        <f aca="false">IF(P531="",IF(AND(N531&lt;&gt;"",O531&lt;&gt;"",R531&lt;&gt;"",S531&lt;&gt;""),0,"REVIEW"),IF(OR(P531&lt;0,P531&gt;0.3),0,P531))</f>
        <v>0</v>
      </c>
      <c r="R531" s="0" t="n">
        <v>16400.25</v>
      </c>
      <c r="S531" s="0" t="n">
        <v>12146.96</v>
      </c>
      <c r="T531" s="6" t="n">
        <f aca="false">N531*O531*(1-Q531)</f>
        <v>16400.25</v>
      </c>
      <c r="U531" s="6" t="n">
        <f aca="false">T531-S531</f>
        <v>4253.29</v>
      </c>
      <c r="V531" s="7" t="n">
        <f aca="false">IF(T531=0,0,U531/T531)</f>
        <v>0.259342997820155</v>
      </c>
      <c r="W531" s="4" t="n">
        <f aca="false">C531-B531</f>
        <v>2</v>
      </c>
      <c r="X531" s="0" t="str">
        <f aca="false">TEXT(B531,"mmmm")</f>
        <v>February</v>
      </c>
      <c r="Y531" s="4" t="n">
        <f aca="false">YEAR(B531)</f>
        <v>2024</v>
      </c>
      <c r="Z531" s="0" t="str">
        <f aca="false">PROPER(TRIM(AU531))</f>
        <v>Paid</v>
      </c>
      <c r="AA531" s="0" t="str">
        <f aca="false">PROPER(TRIM(AV531))</f>
        <v>Completed</v>
      </c>
      <c r="AB531" s="0" t="str">
        <f aca="false">IF(TRIM(AN531)="","Yes","No")</f>
        <v>No</v>
      </c>
      <c r="AC531" s="0" t="str">
        <f aca="false">IF(TRIM(AS531)="","Yes","No")</f>
        <v>No</v>
      </c>
      <c r="AD531" s="0" t="str">
        <f aca="false">IF(AT531="","Yes","No")</f>
        <v>No</v>
      </c>
      <c r="AE531" s="0" t="str">
        <f aca="false">IF(W531&lt;0,"Yes","No")</f>
        <v>No</v>
      </c>
      <c r="AF531" s="0" t="str">
        <f aca="false">IF(P531="","No",IF(OR(P531&lt;0,P531&gt;0.3),"Yes","No"))</f>
        <v>No</v>
      </c>
      <c r="AG531" s="4" t="s">
        <v>50</v>
      </c>
      <c r="AH531" s="0" t="str">
        <f aca="false">IF(AND(AA531="Completed",Z531="Paid"),"Yes","No")</f>
        <v>Yes</v>
      </c>
      <c r="AI531" s="0" t="str">
        <f aca="false">IF(OR(AE531="Yes",AF531="Yes",AG531="Yes"),"Invalid",IF(OR(AB531="Yes",AC531="Yes",AD531="Yes"),"Warning","Clean"))</f>
        <v>Clean</v>
      </c>
      <c r="AJ531" s="4" t="s">
        <v>1867</v>
      </c>
      <c r="AK531" s="4" t="s">
        <v>2087</v>
      </c>
      <c r="AL531" s="4" t="s">
        <v>53</v>
      </c>
      <c r="AM531" s="4" t="s">
        <v>54</v>
      </c>
      <c r="AN531" s="4" t="s">
        <v>69</v>
      </c>
      <c r="AO531" s="4" t="s">
        <v>300</v>
      </c>
      <c r="AP531" s="4" t="s">
        <v>301</v>
      </c>
      <c r="AQ531" s="4" t="s">
        <v>72</v>
      </c>
      <c r="AR531" s="4" t="s">
        <v>211</v>
      </c>
      <c r="AS531" s="4" t="s">
        <v>60</v>
      </c>
      <c r="AT531" s="0" t="n">
        <v>0</v>
      </c>
      <c r="AU531" s="4" t="s">
        <v>61</v>
      </c>
      <c r="AV531" s="4" t="s">
        <v>62</v>
      </c>
    </row>
    <row r="532" customFormat="false" ht="15" hidden="false" customHeight="false" outlineLevel="0" collapsed="false">
      <c r="A532" s="0" t="s">
        <v>2088</v>
      </c>
      <c r="B532" s="3" t="n">
        <f aca="false">IF(AJ532="","",IF(ISNUMBER(SEARCH("/",AJ532)),DATE(VALUE(RIGHT(AJ532,4)),VALUE(LEFT(AJ532,2)),VALUE(MID(AJ532,4,2))),IF(ISNUMBER(SEARCH("-",AJ532)),IF(LEN(LEFT(AJ532,FIND("-",AJ532)-1))=4,DATE(VALUE(LEFT(AJ532,4)),VALUE(MID(AJ532,6,2)),VALUE(RIGHT(AJ532,2))),DATE(VALUE(RIGHT(AJ532,4)),VALUE(MID(AJ532,4,2)),VALUE(LEFT(AJ532,2)))),DATE(VALUE(RIGHT(AJ532,4)),MATCH(MID(AJ532,4,3),{"Jan","Feb","Mar","Apr","May","Jun","Jul","Aug","Sep","Oct","Nov","Dec"},0),VALUE(LEFT(AJ532,2))))))</f>
        <v>45807</v>
      </c>
      <c r="C532" s="3" t="n">
        <f aca="false">IF(AK532="","",IF(ISNUMBER(SEARCH("/",AK532)),DATE(VALUE(RIGHT(AK532,4)),VALUE(LEFT(AK532,2)),VALUE(MID(AK532,4,2))),IF(ISNUMBER(SEARCH("-",AK532)),IF(LEN(LEFT(AK532,FIND("-",AK532)-1))=4,DATE(VALUE(LEFT(AK532,4)),VALUE(MID(AK532,6,2)),VALUE(RIGHT(AK532,2))),DATE(VALUE(RIGHT(AK532,4)),VALUE(MID(AK532,4,2)),VALUE(LEFT(AK532,2)))),DATE(VALUE(RIGHT(AK532,4)),MATCH(MID(AK532,4,3),{"Jan","Feb","Mar","Apr","May","Jun","Jul","Aug","Sep","Oct","Nov","Dec"},0),VALUE(LEFT(AK532,2))))))</f>
        <v>45809</v>
      </c>
      <c r="D532" s="4" t="s">
        <v>2089</v>
      </c>
      <c r="E532" s="0" t="str">
        <f aca="false">PROPER(TRIM(AL532))</f>
        <v>Rahul Verma</v>
      </c>
      <c r="F532" s="0" t="str">
        <f aca="false">PROPER(TRIM(AM532))</f>
        <v>Home Office</v>
      </c>
      <c r="G532" s="0" t="str">
        <f aca="false">IF(TRIM(AN532)="","Unknown",PROPER(TRIM(AN532)))</f>
        <v>South</v>
      </c>
      <c r="H532" s="0" t="str">
        <f aca="false">PROPER(TRIM(AO532))</f>
        <v>Tamil Nadu</v>
      </c>
      <c r="I532" s="0" t="str">
        <f aca="false">PROPER(TRIM(AP532))</f>
        <v>Chennai</v>
      </c>
      <c r="J532" s="0" t="str">
        <f aca="false">PROPER(TRIM(AQ532))</f>
        <v>Office Supplies</v>
      </c>
      <c r="K532" s="0" t="str">
        <f aca="false">PROPER(TRIM(AR532))</f>
        <v>Binders</v>
      </c>
      <c r="M532" s="0" t="str">
        <f aca="false">IF(TRIM(AS532)="","Unknown",PROPER(TRIM(AS532)))</f>
        <v>Standard Class</v>
      </c>
      <c r="N532" s="0" t="n">
        <v>9</v>
      </c>
      <c r="O532" s="0" t="n">
        <v>1994.51</v>
      </c>
      <c r="P532" s="5" t="n">
        <f aca="false">IF(AT532="","",IF(ISNUMBER(AT532),AT532,VALUE(SUBSTITUTE(AT532,"%",""))/100))</f>
        <v>0.05</v>
      </c>
      <c r="Q532" s="5" t="n">
        <f aca="false">IF(P532="",IF(AND(N532&lt;&gt;"",O532&lt;&gt;"",R532&lt;&gt;"",S532&lt;&gt;""),0,"REVIEW"),IF(OR(P532&lt;0,P532&gt;0.3),0,P532))</f>
        <v>0.05</v>
      </c>
      <c r="R532" s="0" t="n">
        <v>17053.06</v>
      </c>
      <c r="S532" s="0" t="n">
        <v>10742.38</v>
      </c>
      <c r="T532" s="6" t="n">
        <f aca="false">N532*O532*(1-Q532)</f>
        <v>17053.0605</v>
      </c>
      <c r="U532" s="6" t="n">
        <f aca="false">T532-S532</f>
        <v>6310.6805</v>
      </c>
      <c r="V532" s="7" t="n">
        <f aca="false">IF(T532=0,0,U532/T532)</f>
        <v>0.370061461988011</v>
      </c>
      <c r="W532" s="4" t="n">
        <f aca="false">C532-B532</f>
        <v>2</v>
      </c>
      <c r="X532" s="0" t="str">
        <f aca="false">TEXT(B532,"mmmm")</f>
        <v>May</v>
      </c>
      <c r="Y532" s="4" t="n">
        <f aca="false">YEAR(B532)</f>
        <v>2025</v>
      </c>
      <c r="Z532" s="0" t="str">
        <f aca="false">PROPER(TRIM(AU532))</f>
        <v>Paid</v>
      </c>
      <c r="AA532" s="0" t="str">
        <f aca="false">PROPER(TRIM(AV532))</f>
        <v>Completed</v>
      </c>
      <c r="AB532" s="0" t="str">
        <f aca="false">IF(TRIM(AN532)="","Yes","No")</f>
        <v>No</v>
      </c>
      <c r="AC532" s="0" t="str">
        <f aca="false">IF(TRIM(AS532)="","Yes","No")</f>
        <v>No</v>
      </c>
      <c r="AD532" s="0" t="str">
        <f aca="false">IF(AT532="","Yes","No")</f>
        <v>No</v>
      </c>
      <c r="AE532" s="0" t="str">
        <f aca="false">IF(W532&lt;0,"Yes","No")</f>
        <v>No</v>
      </c>
      <c r="AF532" s="0" t="str">
        <f aca="false">IF(P532="","No",IF(OR(P532&lt;0,P532&gt;0.3),"Yes","No"))</f>
        <v>No</v>
      </c>
      <c r="AG532" s="4" t="s">
        <v>50</v>
      </c>
      <c r="AH532" s="0" t="str">
        <f aca="false">IF(AND(AA532="Completed",Z532="Paid"),"Yes","No")</f>
        <v>Yes</v>
      </c>
      <c r="AI532" s="0" t="str">
        <f aca="false">IF(OR(AE532="Yes",AF532="Yes",AG532="Yes"),"Invalid",IF(OR(AB532="Yes",AC532="Yes",AD532="Yes"),"Warning","Clean"))</f>
        <v>Clean</v>
      </c>
      <c r="AJ532" s="4" t="s">
        <v>2090</v>
      </c>
      <c r="AK532" s="4" t="s">
        <v>2091</v>
      </c>
      <c r="AL532" s="4" t="s">
        <v>163</v>
      </c>
      <c r="AM532" s="4" t="s">
        <v>134</v>
      </c>
      <c r="AN532" s="4" t="s">
        <v>87</v>
      </c>
      <c r="AO532" s="4" t="s">
        <v>323</v>
      </c>
      <c r="AP532" s="4" t="s">
        <v>324</v>
      </c>
      <c r="AQ532" s="4" t="s">
        <v>58</v>
      </c>
      <c r="AR532" s="4" t="s">
        <v>206</v>
      </c>
      <c r="AS532" s="4" t="s">
        <v>91</v>
      </c>
      <c r="AT532" s="0" t="n">
        <v>0.05</v>
      </c>
      <c r="AU532" s="4" t="s">
        <v>61</v>
      </c>
      <c r="AV532" s="4" t="s">
        <v>62</v>
      </c>
    </row>
    <row r="533" customFormat="false" ht="15" hidden="false" customHeight="false" outlineLevel="0" collapsed="false">
      <c r="A533" s="0" t="s">
        <v>2092</v>
      </c>
      <c r="B533" s="3" t="n">
        <f aca="false">IF(AJ533="","",IF(ISNUMBER(SEARCH("/",AJ533)),DATE(VALUE(RIGHT(AJ533,4)),VALUE(LEFT(AJ533,2)),VALUE(MID(AJ533,4,2))),IF(ISNUMBER(SEARCH("-",AJ533)),IF(LEN(LEFT(AJ533,FIND("-",AJ533)-1))=4,DATE(VALUE(LEFT(AJ533,4)),VALUE(MID(AJ533,6,2)),VALUE(RIGHT(AJ533,2))),DATE(VALUE(RIGHT(AJ533,4)),VALUE(MID(AJ533,4,2)),VALUE(LEFT(AJ533,2)))),DATE(VALUE(RIGHT(AJ533,4)),MATCH(MID(AJ533,4,3),{"Jan","Feb","Mar","Apr","May","Jun","Jul","Aug","Sep","Oct","Nov","Dec"},0),VALUE(LEFT(AJ533,2))))))</f>
        <v>45505</v>
      </c>
      <c r="C533" s="3" t="n">
        <f aca="false">IF(AK533="","",IF(ISNUMBER(SEARCH("/",AK533)),DATE(VALUE(RIGHT(AK533,4)),VALUE(LEFT(AK533,2)),VALUE(MID(AK533,4,2))),IF(ISNUMBER(SEARCH("-",AK533)),IF(LEN(LEFT(AK533,FIND("-",AK533)-1))=4,DATE(VALUE(LEFT(AK533,4)),VALUE(MID(AK533,6,2)),VALUE(RIGHT(AK533,2))),DATE(VALUE(RIGHT(AK533,4)),VALUE(MID(AK533,4,2)),VALUE(LEFT(AK533,2)))),DATE(VALUE(RIGHT(AK533,4)),MATCH(MID(AK533,4,3),{"Jan","Feb","Mar","Apr","May","Jun","Jul","Aug","Sep","Oct","Nov","Dec"},0),VALUE(LEFT(AK533,2))))))</f>
        <v>45512</v>
      </c>
      <c r="D533" s="4" t="s">
        <v>2093</v>
      </c>
      <c r="E533" s="0" t="str">
        <f aca="false">PROPER(TRIM(AL533))</f>
        <v>Diya Patel</v>
      </c>
      <c r="F533" s="0" t="str">
        <f aca="false">PROPER(TRIM(AM533))</f>
        <v>Small Business</v>
      </c>
      <c r="G533" s="0" t="str">
        <f aca="false">IF(TRIM(AN533)="","Unknown",PROPER(TRIM(AN533)))</f>
        <v>West</v>
      </c>
      <c r="H533" s="0" t="str">
        <f aca="false">PROPER(TRIM(AO533))</f>
        <v>Maharashtra</v>
      </c>
      <c r="I533" s="0" t="str">
        <f aca="false">PROPER(TRIM(AP533))</f>
        <v>Mumbai</v>
      </c>
      <c r="J533" s="0" t="str">
        <f aca="false">PROPER(TRIM(AQ533))</f>
        <v>Office Supplies</v>
      </c>
      <c r="K533" s="0" t="str">
        <f aca="false">PROPER(TRIM(AR533))</f>
        <v>Storage</v>
      </c>
      <c r="M533" s="0" t="str">
        <f aca="false">IF(TRIM(AS533)="","Unknown",PROPER(TRIM(AS533)))</f>
        <v>Unknown</v>
      </c>
      <c r="N533" s="0" t="n">
        <v>1</v>
      </c>
      <c r="O533" s="0" t="n">
        <v>442.97</v>
      </c>
      <c r="P533" s="5" t="n">
        <f aca="false">IF(AT533="","",IF(ISNUMBER(AT533),AT533,VALUE(SUBSTITUTE(AT533,"%",""))/100))</f>
        <v>0.1</v>
      </c>
      <c r="Q533" s="5" t="n">
        <f aca="false">IF(P533="",IF(AND(N533&lt;&gt;"",O533&lt;&gt;"",R533&lt;&gt;"",S533&lt;&gt;""),0,"REVIEW"),IF(OR(P533&lt;0,P533&gt;0.3),0,P533))</f>
        <v>0.1</v>
      </c>
      <c r="R533" s="0" t="n">
        <v>398.67</v>
      </c>
      <c r="S533" s="0" t="n">
        <v>311.66</v>
      </c>
      <c r="T533" s="6" t="n">
        <f aca="false">N533*O533*(1-Q533)</f>
        <v>398.673</v>
      </c>
      <c r="U533" s="6" t="n">
        <f aca="false">T533-S533</f>
        <v>87.013</v>
      </c>
      <c r="V533" s="7" t="n">
        <f aca="false">IF(T533=0,0,U533/T533)</f>
        <v>0.21825656615823</v>
      </c>
      <c r="W533" s="4" t="n">
        <f aca="false">C533-B533</f>
        <v>7</v>
      </c>
      <c r="X533" s="0" t="str">
        <f aca="false">TEXT(B533,"mmmm")</f>
        <v>August</v>
      </c>
      <c r="Y533" s="4" t="n">
        <f aca="false">YEAR(B533)</f>
        <v>2024</v>
      </c>
      <c r="Z533" s="0" t="str">
        <f aca="false">PROPER(TRIM(AU533))</f>
        <v>Paid</v>
      </c>
      <c r="AA533" s="0" t="str">
        <f aca="false">PROPER(TRIM(AV533))</f>
        <v>Completed</v>
      </c>
      <c r="AB533" s="0" t="str">
        <f aca="false">IF(TRIM(AN533)="","Yes","No")</f>
        <v>No</v>
      </c>
      <c r="AC533" s="0" t="str">
        <f aca="false">IF(TRIM(AS533)="","Yes","No")</f>
        <v>Yes</v>
      </c>
      <c r="AD533" s="0" t="str">
        <f aca="false">IF(AT533="","Yes","No")</f>
        <v>No</v>
      </c>
      <c r="AE533" s="0" t="str">
        <f aca="false">IF(W533&lt;0,"Yes","No")</f>
        <v>No</v>
      </c>
      <c r="AF533" s="0" t="str">
        <f aca="false">IF(P533="","No",IF(OR(P533&lt;0,P533&gt;0.3),"Yes","No"))</f>
        <v>No</v>
      </c>
      <c r="AG533" s="4" t="s">
        <v>50</v>
      </c>
      <c r="AH533" s="0" t="str">
        <f aca="false">IF(AND(AA533="Completed",Z533="Paid"),"Yes","No")</f>
        <v>Yes</v>
      </c>
      <c r="AI533" s="0" t="str">
        <f aca="false">IF(OR(AE533="Yes",AF533="Yes",AG533="Yes"),"Invalid",IF(OR(AB533="Yes",AC533="Yes",AD533="Yes"),"Warning","Clean"))</f>
        <v>Warning</v>
      </c>
      <c r="AJ533" s="4" t="s">
        <v>1098</v>
      </c>
      <c r="AK533" s="4" t="s">
        <v>2094</v>
      </c>
      <c r="AL533" s="4" t="s">
        <v>216</v>
      </c>
      <c r="AM533" s="4" t="s">
        <v>68</v>
      </c>
      <c r="AN533" s="4" t="s">
        <v>97</v>
      </c>
      <c r="AO533" s="4" t="s">
        <v>98</v>
      </c>
      <c r="AP533" s="4" t="s">
        <v>99</v>
      </c>
      <c r="AQ533" s="4" t="s">
        <v>58</v>
      </c>
      <c r="AR533" s="4" t="s">
        <v>171</v>
      </c>
      <c r="AT533" s="0" t="n">
        <v>0.1</v>
      </c>
      <c r="AU533" s="4" t="s">
        <v>61</v>
      </c>
      <c r="AV533" s="4" t="s">
        <v>62</v>
      </c>
    </row>
    <row r="534" customFormat="false" ht="15" hidden="false" customHeight="false" outlineLevel="0" collapsed="false">
      <c r="A534" s="0" t="s">
        <v>2095</v>
      </c>
      <c r="B534" s="3" t="n">
        <f aca="false">IF(AJ534="","",IF(ISNUMBER(SEARCH("/",AJ534)),DATE(VALUE(RIGHT(AJ534,4)),VALUE(LEFT(AJ534,2)),VALUE(MID(AJ534,4,2))),IF(ISNUMBER(SEARCH("-",AJ534)),IF(LEN(LEFT(AJ534,FIND("-",AJ534)-1))=4,DATE(VALUE(LEFT(AJ534,4)),VALUE(MID(AJ534,6,2)),VALUE(RIGHT(AJ534,2))),DATE(VALUE(RIGHT(AJ534,4)),VALUE(MID(AJ534,4,2)),VALUE(LEFT(AJ534,2)))),DATE(VALUE(RIGHT(AJ534,4)),MATCH(MID(AJ534,4,3),{"Jan","Feb","Mar","Apr","May","Jun","Jul","Aug","Sep","Oct","Nov","Dec"},0),VALUE(LEFT(AJ534,2))))))</f>
        <v>45935</v>
      </c>
      <c r="C534" s="3" t="n">
        <f aca="false">IF(AK534="","",IF(ISNUMBER(SEARCH("/",AK534)),DATE(VALUE(RIGHT(AK534,4)),VALUE(LEFT(AK534,2)),VALUE(MID(AK534,4,2))),IF(ISNUMBER(SEARCH("-",AK534)),IF(LEN(LEFT(AK534,FIND("-",AK534)-1))=4,DATE(VALUE(LEFT(AK534,4)),VALUE(MID(AK534,6,2)),VALUE(RIGHT(AK534,2))),DATE(VALUE(RIGHT(AK534,4)),VALUE(MID(AK534,4,2)),VALUE(LEFT(AK534,2)))),DATE(VALUE(RIGHT(AK534,4)),MATCH(MID(AK534,4,3),{"Jan","Feb","Mar","Apr","May","Jun","Jul","Aug","Sep","Oct","Nov","Dec"},0),VALUE(LEFT(AK534,2))))))</f>
        <v>45940</v>
      </c>
      <c r="D534" s="4" t="s">
        <v>2096</v>
      </c>
      <c r="E534" s="0" t="str">
        <f aca="false">PROPER(TRIM(AL534))</f>
        <v>Priya Menon</v>
      </c>
      <c r="F534" s="0" t="str">
        <f aca="false">PROPER(TRIM(AM534))</f>
        <v>Corporate</v>
      </c>
      <c r="G534" s="0" t="str">
        <f aca="false">IF(TRIM(AN534)="","Unknown",PROPER(TRIM(AN534)))</f>
        <v>East</v>
      </c>
      <c r="H534" s="0" t="str">
        <f aca="false">PROPER(TRIM(AO534))</f>
        <v>Assam</v>
      </c>
      <c r="I534" s="0" t="str">
        <f aca="false">PROPER(TRIM(AP534))</f>
        <v>Guwahati</v>
      </c>
      <c r="J534" s="0" t="str">
        <f aca="false">PROPER(TRIM(AQ534))</f>
        <v>Furniture</v>
      </c>
      <c r="K534" s="0" t="str">
        <f aca="false">PROPER(TRIM(AR534))</f>
        <v>Tables</v>
      </c>
      <c r="M534" s="0" t="str">
        <f aca="false">IF(TRIM(AS534)="","Unknown",PROPER(TRIM(AS534)))</f>
        <v>Second Class</v>
      </c>
      <c r="N534" s="0" t="n">
        <v>9</v>
      </c>
      <c r="O534" s="0" t="n">
        <v>2089.14</v>
      </c>
      <c r="P534" s="5" t="n">
        <f aca="false">IF(AT534="","",IF(ISNUMBER(AT534),AT534,VALUE(SUBSTITUTE(AT534,"%",""))/100))</f>
        <v>0.05</v>
      </c>
      <c r="Q534" s="5" t="n">
        <f aca="false">IF(P534="",IF(AND(N534&lt;&gt;"",O534&lt;&gt;"",R534&lt;&gt;"",S534&lt;&gt;""),0,"REVIEW"),IF(OR(P534&lt;0,P534&gt;0.3),0,P534))</f>
        <v>0.05</v>
      </c>
      <c r="R534" s="0" t="n">
        <v>17862.15</v>
      </c>
      <c r="S534" s="0" t="n">
        <v>9892.21</v>
      </c>
      <c r="T534" s="6" t="n">
        <f aca="false">N534*O534*(1-Q534)</f>
        <v>17862.147</v>
      </c>
      <c r="U534" s="6" t="n">
        <f aca="false">T534-S534</f>
        <v>7969.937</v>
      </c>
      <c r="V534" s="7" t="n">
        <f aca="false">IF(T534=0,0,U534/T534)</f>
        <v>0.44619143488182</v>
      </c>
      <c r="W534" s="4" t="n">
        <f aca="false">C534-B534</f>
        <v>5</v>
      </c>
      <c r="X534" s="0" t="str">
        <f aca="false">TEXT(B534,"mmmm")</f>
        <v>October</v>
      </c>
      <c r="Y534" s="4" t="n">
        <f aca="false">YEAR(B534)</f>
        <v>2025</v>
      </c>
      <c r="Z534" s="0" t="str">
        <f aca="false">PROPER(TRIM(AU534))</f>
        <v>Failed</v>
      </c>
      <c r="AA534" s="0" t="str">
        <f aca="false">PROPER(TRIM(AV534))</f>
        <v>Cancelled</v>
      </c>
      <c r="AB534" s="0" t="str">
        <f aca="false">IF(TRIM(AN534)="","Yes","No")</f>
        <v>No</v>
      </c>
      <c r="AC534" s="0" t="str">
        <f aca="false">IF(TRIM(AS534)="","Yes","No")</f>
        <v>No</v>
      </c>
      <c r="AD534" s="0" t="str">
        <f aca="false">IF(AT534="","Yes","No")</f>
        <v>No</v>
      </c>
      <c r="AE534" s="0" t="str">
        <f aca="false">IF(W534&lt;0,"Yes","No")</f>
        <v>No</v>
      </c>
      <c r="AF534" s="0" t="str">
        <f aca="false">IF(P534="","No",IF(OR(P534&lt;0,P534&gt;0.3),"Yes","No"))</f>
        <v>No</v>
      </c>
      <c r="AG534" s="4" t="s">
        <v>50</v>
      </c>
      <c r="AH534" s="0" t="str">
        <f aca="false">IF(AND(AA534="Completed",Z534="Paid"),"Yes","No")</f>
        <v>No</v>
      </c>
      <c r="AI534" s="0" t="str">
        <f aca="false">IF(OR(AE534="Yes",AF534="Yes",AG534="Yes"),"Invalid",IF(OR(AB534="Yes",AC534="Yes",AD534="Yes"),"Warning","Clean"))</f>
        <v>Clean</v>
      </c>
      <c r="AJ534" s="4" t="s">
        <v>2081</v>
      </c>
      <c r="AK534" s="4" t="s">
        <v>298</v>
      </c>
      <c r="AL534" s="4" t="s">
        <v>158</v>
      </c>
      <c r="AM534" s="4" t="s">
        <v>128</v>
      </c>
      <c r="AN534" s="4" t="s">
        <v>69</v>
      </c>
      <c r="AO534" s="4" t="s">
        <v>221</v>
      </c>
      <c r="AP534" s="4" t="s">
        <v>222</v>
      </c>
      <c r="AQ534" s="4" t="s">
        <v>72</v>
      </c>
      <c r="AR534" s="4" t="s">
        <v>73</v>
      </c>
      <c r="AS534" s="4" t="s">
        <v>60</v>
      </c>
      <c r="AT534" s="0" t="n">
        <v>0.05</v>
      </c>
      <c r="AU534" s="4" t="s">
        <v>207</v>
      </c>
      <c r="AV534" s="4" t="s">
        <v>101</v>
      </c>
    </row>
    <row r="535" customFormat="false" ht="15" hidden="false" customHeight="false" outlineLevel="0" collapsed="false">
      <c r="A535" s="0" t="s">
        <v>2097</v>
      </c>
      <c r="B535" s="3" t="n">
        <f aca="false">IF(AJ535="","",IF(ISNUMBER(SEARCH("/",AJ535)),DATE(VALUE(RIGHT(AJ535,4)),VALUE(LEFT(AJ535,2)),VALUE(MID(AJ535,4,2))),IF(ISNUMBER(SEARCH("-",AJ535)),IF(LEN(LEFT(AJ535,FIND("-",AJ535)-1))=4,DATE(VALUE(LEFT(AJ535,4)),VALUE(MID(AJ535,6,2)),VALUE(RIGHT(AJ535,2))),DATE(VALUE(RIGHT(AJ535,4)),VALUE(MID(AJ535,4,2)),VALUE(LEFT(AJ535,2)))),DATE(VALUE(RIGHT(AJ535,4)),MATCH(MID(AJ535,4,3),{"Jan","Feb","Mar","Apr","May","Jun","Jul","Aug","Sep","Oct","Nov","Dec"},0),VALUE(LEFT(AJ535,2))))))</f>
        <v>45529</v>
      </c>
      <c r="C535" s="3" t="n">
        <f aca="false">IF(AK535="","",IF(ISNUMBER(SEARCH("/",AK535)),DATE(VALUE(RIGHT(AK535,4)),VALUE(LEFT(AK535,2)),VALUE(MID(AK535,4,2))),IF(ISNUMBER(SEARCH("-",AK535)),IF(LEN(LEFT(AK535,FIND("-",AK535)-1))=4,DATE(VALUE(LEFT(AK535,4)),VALUE(MID(AK535,6,2)),VALUE(RIGHT(AK535,2))),DATE(VALUE(RIGHT(AK535,4)),VALUE(MID(AK535,4,2)),VALUE(LEFT(AK535,2)))),DATE(VALUE(RIGHT(AK535,4)),MATCH(MID(AK535,4,3),{"Jan","Feb","Mar","Apr","May","Jun","Jul","Aug","Sep","Oct","Nov","Dec"},0),VALUE(LEFT(AK535,2))))))</f>
        <v>45536</v>
      </c>
      <c r="D535" s="4" t="s">
        <v>2098</v>
      </c>
      <c r="E535" s="0" t="str">
        <f aca="false">PROPER(TRIM(AL535))</f>
        <v>Isha Nair</v>
      </c>
      <c r="F535" s="0" t="str">
        <f aca="false">PROPER(TRIM(AM535))</f>
        <v>Home Office</v>
      </c>
      <c r="G535" s="0" t="str">
        <f aca="false">IF(TRIM(AN535)="","Unknown",PROPER(TRIM(AN535)))</f>
        <v>North</v>
      </c>
      <c r="H535" s="0" t="str">
        <f aca="false">PROPER(TRIM(AO535))</f>
        <v>Rajasthan</v>
      </c>
      <c r="I535" s="0" t="str">
        <f aca="false">PROPER(TRIM(AP535))</f>
        <v>Jaipur</v>
      </c>
      <c r="J535" s="0" t="str">
        <f aca="false">PROPER(TRIM(AQ535))</f>
        <v>Furniture</v>
      </c>
      <c r="K535" s="0" t="str">
        <f aca="false">PROPER(TRIM(AR535))</f>
        <v>Tables</v>
      </c>
      <c r="M535" s="0" t="str">
        <f aca="false">IF(TRIM(AS535)="","Unknown",PROPER(TRIM(AS535)))</f>
        <v>Same Day</v>
      </c>
      <c r="N535" s="0" t="n">
        <v>6</v>
      </c>
      <c r="O535" s="0" t="n">
        <v>481.3</v>
      </c>
      <c r="P535" s="5" t="n">
        <f aca="false">IF(AT535="","",IF(ISNUMBER(AT535),AT535,VALUE(SUBSTITUTE(AT535,"%",""))/100))</f>
        <v>0.25</v>
      </c>
      <c r="Q535" s="5" t="n">
        <f aca="false">IF(P535="",IF(AND(N535&lt;&gt;"",O535&lt;&gt;"",R535&lt;&gt;"",S535&lt;&gt;""),0,"REVIEW"),IF(OR(P535&lt;0,P535&gt;0.3),0,P535))</f>
        <v>0.25</v>
      </c>
      <c r="R535" s="0" t="n">
        <v>2165.85</v>
      </c>
      <c r="S535" s="0" t="n">
        <v>2124.48</v>
      </c>
      <c r="T535" s="6" t="n">
        <f aca="false">N535*O535*(1-Q535)</f>
        <v>2165.85</v>
      </c>
      <c r="U535" s="6" t="n">
        <f aca="false">T535-S535</f>
        <v>41.3700000000003</v>
      </c>
      <c r="V535" s="7" t="n">
        <f aca="false">IF(T535=0,0,U535/T535)</f>
        <v>0.0191010457787937</v>
      </c>
      <c r="W535" s="4" t="n">
        <f aca="false">C535-B535</f>
        <v>7</v>
      </c>
      <c r="X535" s="0" t="str">
        <f aca="false">TEXT(B535,"mmmm")</f>
        <v>August</v>
      </c>
      <c r="Y535" s="4" t="n">
        <f aca="false">YEAR(B535)</f>
        <v>2024</v>
      </c>
      <c r="Z535" s="0" t="str">
        <f aca="false">PROPER(TRIM(AU535))</f>
        <v>Paid</v>
      </c>
      <c r="AA535" s="0" t="str">
        <f aca="false">PROPER(TRIM(AV535))</f>
        <v>Completed</v>
      </c>
      <c r="AB535" s="0" t="str">
        <f aca="false">IF(TRIM(AN535)="","Yes","No")</f>
        <v>No</v>
      </c>
      <c r="AC535" s="0" t="str">
        <f aca="false">IF(TRIM(AS535)="","Yes","No")</f>
        <v>No</v>
      </c>
      <c r="AD535" s="0" t="str">
        <f aca="false">IF(AT535="","Yes","No")</f>
        <v>No</v>
      </c>
      <c r="AE535" s="0" t="str">
        <f aca="false">IF(W535&lt;0,"Yes","No")</f>
        <v>No</v>
      </c>
      <c r="AF535" s="0" t="str">
        <f aca="false">IF(P535="","No",IF(OR(P535&lt;0,P535&gt;0.3),"Yes","No"))</f>
        <v>No</v>
      </c>
      <c r="AG535" s="4" t="s">
        <v>50</v>
      </c>
      <c r="AH535" s="0" t="str">
        <f aca="false">IF(AND(AA535="Completed",Z535="Paid"),"Yes","No")</f>
        <v>Yes</v>
      </c>
      <c r="AI535" s="0" t="str">
        <f aca="false">IF(OR(AE535="Yes",AF535="Yes",AG535="Yes"),"Invalid",IF(OR(AB535="Yes",AC535="Yes",AD535="Yes"),"Warning","Clean"))</f>
        <v>Clean</v>
      </c>
      <c r="AJ535" s="4" t="s">
        <v>2099</v>
      </c>
      <c r="AK535" s="4" t="s">
        <v>371</v>
      </c>
      <c r="AL535" s="4" t="s">
        <v>79</v>
      </c>
      <c r="AM535" s="4" t="s">
        <v>134</v>
      </c>
      <c r="AN535" s="4" t="s">
        <v>168</v>
      </c>
      <c r="AO535" s="4" t="s">
        <v>56</v>
      </c>
      <c r="AP535" s="4" t="s">
        <v>57</v>
      </c>
      <c r="AQ535" s="4" t="s">
        <v>72</v>
      </c>
      <c r="AR535" s="4" t="s">
        <v>73</v>
      </c>
      <c r="AS535" s="4" t="s">
        <v>74</v>
      </c>
      <c r="AT535" s="0" t="n">
        <v>0.25</v>
      </c>
      <c r="AU535" s="4" t="s">
        <v>61</v>
      </c>
      <c r="AV535" s="4" t="s">
        <v>62</v>
      </c>
    </row>
    <row r="536" customFormat="false" ht="15" hidden="false" customHeight="false" outlineLevel="0" collapsed="false">
      <c r="A536" s="0" t="s">
        <v>2100</v>
      </c>
      <c r="B536" s="3" t="n">
        <f aca="false">IF(AJ536="","",IF(ISNUMBER(SEARCH("/",AJ536)),DATE(VALUE(RIGHT(AJ536,4)),VALUE(LEFT(AJ536,2)),VALUE(MID(AJ536,4,2))),IF(ISNUMBER(SEARCH("-",AJ536)),IF(LEN(LEFT(AJ536,FIND("-",AJ536)-1))=4,DATE(VALUE(LEFT(AJ536,4)),VALUE(MID(AJ536,6,2)),VALUE(RIGHT(AJ536,2))),DATE(VALUE(RIGHT(AJ536,4)),VALUE(MID(AJ536,4,2)),VALUE(LEFT(AJ536,2)))),DATE(VALUE(RIGHT(AJ536,4)),MATCH(MID(AJ536,4,3),{"Jan","Feb","Mar","Apr","May","Jun","Jul","Aug","Sep","Oct","Nov","Dec"},0),VALUE(LEFT(AJ536,2))))))</f>
        <v>45774</v>
      </c>
      <c r="C536" s="3" t="n">
        <f aca="false">IF(AK536="","",IF(ISNUMBER(SEARCH("/",AK536)),DATE(VALUE(RIGHT(AK536,4)),VALUE(LEFT(AK536,2)),VALUE(MID(AK536,4,2))),IF(ISNUMBER(SEARCH("-",AK536)),IF(LEN(LEFT(AK536,FIND("-",AK536)-1))=4,DATE(VALUE(LEFT(AK536,4)),VALUE(MID(AK536,6,2)),VALUE(RIGHT(AK536,2))),DATE(VALUE(RIGHT(AK536,4)),VALUE(MID(AK536,4,2)),VALUE(LEFT(AK536,2)))),DATE(VALUE(RIGHT(AK536,4)),MATCH(MID(AK536,4,3),{"Jan","Feb","Mar","Apr","May","Jun","Jul","Aug","Sep","Oct","Nov","Dec"},0),VALUE(LEFT(AK536,2))))))</f>
        <v>45782</v>
      </c>
      <c r="D536" s="4" t="s">
        <v>2101</v>
      </c>
      <c r="E536" s="0" t="str">
        <f aca="false">PROPER(TRIM(AL536))</f>
        <v>Rohan Mehta</v>
      </c>
      <c r="F536" s="0" t="str">
        <f aca="false">PROPER(TRIM(AM536))</f>
        <v>Home Office</v>
      </c>
      <c r="G536" s="0" t="str">
        <f aca="false">IF(TRIM(AN536)="","Unknown",PROPER(TRIM(AN536)))</f>
        <v>East</v>
      </c>
      <c r="H536" s="0" t="str">
        <f aca="false">PROPER(TRIM(AO536))</f>
        <v>Bihar</v>
      </c>
      <c r="I536" s="0" t="str">
        <f aca="false">PROPER(TRIM(AP536))</f>
        <v>Patna</v>
      </c>
      <c r="J536" s="0" t="str">
        <f aca="false">PROPER(TRIM(AQ536))</f>
        <v>Technology</v>
      </c>
      <c r="K536" s="0" t="str">
        <f aca="false">PROPER(TRIM(AR536))</f>
        <v>Accessories</v>
      </c>
      <c r="M536" s="0" t="str">
        <f aca="false">IF(TRIM(AS536)="","Unknown",PROPER(TRIM(AS536)))</f>
        <v>Second Class</v>
      </c>
      <c r="N536" s="0" t="n">
        <v>4</v>
      </c>
      <c r="O536" s="0" t="n">
        <v>3963.39</v>
      </c>
      <c r="P536" s="5" t="n">
        <f aca="false">IF(AT536="","",IF(ISNUMBER(AT536),AT536,VALUE(SUBSTITUTE(AT536,"%",""))/100))</f>
        <v>0.1</v>
      </c>
      <c r="Q536" s="5" t="n">
        <f aca="false">IF(P536="",IF(AND(N536&lt;&gt;"",O536&lt;&gt;"",R536&lt;&gt;"",S536&lt;&gt;""),0,"REVIEW"),IF(OR(P536&lt;0,P536&gt;0.3),0,P536))</f>
        <v>0.1</v>
      </c>
      <c r="R536" s="0" t="n">
        <v>14268.2</v>
      </c>
      <c r="S536" s="0" t="n">
        <v>11705.3</v>
      </c>
      <c r="T536" s="6" t="n">
        <f aca="false">N536*O536*(1-Q536)</f>
        <v>14268.204</v>
      </c>
      <c r="U536" s="6" t="n">
        <f aca="false">T536-S536</f>
        <v>2562.904</v>
      </c>
      <c r="V536" s="7" t="n">
        <f aca="false">IF(T536=0,0,U536/T536)</f>
        <v>0.179623448052747</v>
      </c>
      <c r="W536" s="4" t="n">
        <f aca="false">C536-B536</f>
        <v>8</v>
      </c>
      <c r="X536" s="0" t="str">
        <f aca="false">TEXT(B536,"mmmm")</f>
        <v>April</v>
      </c>
      <c r="Y536" s="4" t="n">
        <f aca="false">YEAR(B536)</f>
        <v>2025</v>
      </c>
      <c r="Z536" s="0" t="str">
        <f aca="false">PROPER(TRIM(AU536))</f>
        <v>Pending</v>
      </c>
      <c r="AA536" s="0" t="str">
        <f aca="false">PROPER(TRIM(AV536))</f>
        <v>Returned</v>
      </c>
      <c r="AB536" s="0" t="str">
        <f aca="false">IF(TRIM(AN536)="","Yes","No")</f>
        <v>No</v>
      </c>
      <c r="AC536" s="0" t="str">
        <f aca="false">IF(TRIM(AS536)="","Yes","No")</f>
        <v>No</v>
      </c>
      <c r="AD536" s="0" t="str">
        <f aca="false">IF(AT536="","Yes","No")</f>
        <v>No</v>
      </c>
      <c r="AE536" s="0" t="str">
        <f aca="false">IF(W536&lt;0,"Yes","No")</f>
        <v>No</v>
      </c>
      <c r="AF536" s="0" t="str">
        <f aca="false">IF(P536="","No",IF(OR(P536&lt;0,P536&gt;0.3),"Yes","No"))</f>
        <v>No</v>
      </c>
      <c r="AG536" s="4" t="s">
        <v>50</v>
      </c>
      <c r="AH536" s="0" t="str">
        <f aca="false">IF(AND(AA536="Completed",Z536="Paid"),"Yes","No")</f>
        <v>No</v>
      </c>
      <c r="AI536" s="0" t="str">
        <f aca="false">IF(OR(AE536="Yes",AF536="Yes",AG536="Yes"),"Invalid",IF(OR(AB536="Yes",AC536="Yes",AD536="Yes"),"Warning","Clean"))</f>
        <v>Clean</v>
      </c>
      <c r="AJ536" s="4" t="s">
        <v>2102</v>
      </c>
      <c r="AK536" s="4" t="s">
        <v>2103</v>
      </c>
      <c r="AL536" s="4" t="s">
        <v>191</v>
      </c>
      <c r="AM536" s="4" t="s">
        <v>134</v>
      </c>
      <c r="AN536" s="4" t="s">
        <v>69</v>
      </c>
      <c r="AO536" s="4" t="s">
        <v>196</v>
      </c>
      <c r="AP536" s="4" t="s">
        <v>197</v>
      </c>
      <c r="AQ536" s="4" t="s">
        <v>109</v>
      </c>
      <c r="AR536" s="4" t="s">
        <v>110</v>
      </c>
      <c r="AS536" s="4" t="s">
        <v>60</v>
      </c>
      <c r="AT536" s="0" t="n">
        <v>0.1</v>
      </c>
      <c r="AU536" s="4" t="s">
        <v>153</v>
      </c>
      <c r="AV536" s="4" t="s">
        <v>142</v>
      </c>
    </row>
    <row r="537" customFormat="false" ht="15" hidden="false" customHeight="false" outlineLevel="0" collapsed="false">
      <c r="A537" s="0" t="s">
        <v>2104</v>
      </c>
      <c r="B537" s="3" t="n">
        <f aca="false">IF(AJ537="","",IF(ISNUMBER(SEARCH("/",AJ537)),DATE(VALUE(RIGHT(AJ537,4)),VALUE(LEFT(AJ537,2)),VALUE(MID(AJ537,4,2))),IF(ISNUMBER(SEARCH("-",AJ537)),IF(LEN(LEFT(AJ537,FIND("-",AJ537)-1))=4,DATE(VALUE(LEFT(AJ537,4)),VALUE(MID(AJ537,6,2)),VALUE(RIGHT(AJ537,2))),DATE(VALUE(RIGHT(AJ537,4)),VALUE(MID(AJ537,4,2)),VALUE(LEFT(AJ537,2)))),DATE(VALUE(RIGHT(AJ537,4)),MATCH(MID(AJ537,4,3),{"Jan","Feb","Mar","Apr","May","Jun","Jul","Aug","Sep","Oct","Nov","Dec"},0),VALUE(LEFT(AJ537,2))))))</f>
        <v>45431</v>
      </c>
      <c r="C537" s="3" t="n">
        <f aca="false">IF(AK537="","",IF(ISNUMBER(SEARCH("/",AK537)),DATE(VALUE(RIGHT(AK537,4)),VALUE(LEFT(AK537,2)),VALUE(MID(AK537,4,2))),IF(ISNUMBER(SEARCH("-",AK537)),IF(LEN(LEFT(AK537,FIND("-",AK537)-1))=4,DATE(VALUE(LEFT(AK537,4)),VALUE(MID(AK537,6,2)),VALUE(RIGHT(AK537,2))),DATE(VALUE(RIGHT(AK537,4)),VALUE(MID(AK537,4,2)),VALUE(LEFT(AK537,2)))),DATE(VALUE(RIGHT(AK537,4)),MATCH(MID(AK537,4,3),{"Jan","Feb","Mar","Apr","May","Jun","Jul","Aug","Sep","Oct","Nov","Dec"},0),VALUE(LEFT(AK537,2))))))</f>
        <v>45433</v>
      </c>
      <c r="D537" s="4" t="s">
        <v>2105</v>
      </c>
      <c r="E537" s="0" t="str">
        <f aca="false">PROPER(TRIM(AL537))</f>
        <v>Diya Patel</v>
      </c>
      <c r="F537" s="0" t="str">
        <f aca="false">PROPER(TRIM(AM537))</f>
        <v>Small Business</v>
      </c>
      <c r="G537" s="0" t="str">
        <f aca="false">IF(TRIM(AN537)="","Unknown",PROPER(TRIM(AN537)))</f>
        <v>West</v>
      </c>
      <c r="H537" s="0" t="str">
        <f aca="false">PROPER(TRIM(AO537))</f>
        <v>Maharashtra</v>
      </c>
      <c r="I537" s="0" t="str">
        <f aca="false">PROPER(TRIM(AP537))</f>
        <v>Mumbai</v>
      </c>
      <c r="J537" s="0" t="str">
        <f aca="false">PROPER(TRIM(AQ537))</f>
        <v>Technology</v>
      </c>
      <c r="K537" s="0" t="str">
        <f aca="false">PROPER(TRIM(AR537))</f>
        <v>Copiers</v>
      </c>
      <c r="M537" s="0" t="str">
        <f aca="false">IF(TRIM(AS537)="","Unknown",PROPER(TRIM(AS537)))</f>
        <v>First Class</v>
      </c>
      <c r="N537" s="0" t="n">
        <v>3</v>
      </c>
      <c r="O537" s="0" t="n">
        <v>4000.98</v>
      </c>
      <c r="P537" s="5" t="n">
        <f aca="false">IF(AT537="","",IF(ISNUMBER(AT537),AT537,VALUE(SUBSTITUTE(AT537,"%",""))/100))</f>
        <v>0.2</v>
      </c>
      <c r="Q537" s="5" t="n">
        <f aca="false">IF(P537="",IF(AND(N537&lt;&gt;"",O537&lt;&gt;"",R537&lt;&gt;"",S537&lt;&gt;""),0,"REVIEW"),IF(OR(P537&lt;0,P537&gt;0.3),0,P537))</f>
        <v>0.2</v>
      </c>
      <c r="R537" s="0" t="n">
        <v>9602.35</v>
      </c>
      <c r="S537" s="0" t="n">
        <v>7387.57</v>
      </c>
      <c r="T537" s="6" t="n">
        <f aca="false">N537*O537*(1-Q537)</f>
        <v>9602.352</v>
      </c>
      <c r="U537" s="6" t="n">
        <f aca="false">T537-S537</f>
        <v>2214.782</v>
      </c>
      <c r="V537" s="7" t="n">
        <f aca="false">IF(T537=0,0,U537/T537)</f>
        <v>0.230649949095805</v>
      </c>
      <c r="W537" s="4" t="n">
        <f aca="false">C537-B537</f>
        <v>2</v>
      </c>
      <c r="X537" s="0" t="str">
        <f aca="false">TEXT(B537,"mmmm")</f>
        <v>May</v>
      </c>
      <c r="Y537" s="4" t="n">
        <f aca="false">YEAR(B537)</f>
        <v>2024</v>
      </c>
      <c r="Z537" s="0" t="str">
        <f aca="false">PROPER(TRIM(AU537))</f>
        <v>Paid</v>
      </c>
      <c r="AA537" s="0" t="str">
        <f aca="false">PROPER(TRIM(AV537))</f>
        <v>Completed</v>
      </c>
      <c r="AB537" s="0" t="str">
        <f aca="false">IF(TRIM(AN537)="","Yes","No")</f>
        <v>No</v>
      </c>
      <c r="AC537" s="0" t="str">
        <f aca="false">IF(TRIM(AS537)="","Yes","No")</f>
        <v>No</v>
      </c>
      <c r="AD537" s="0" t="str">
        <f aca="false">IF(AT537="","Yes","No")</f>
        <v>No</v>
      </c>
      <c r="AE537" s="0" t="str">
        <f aca="false">IF(W537&lt;0,"Yes","No")</f>
        <v>No</v>
      </c>
      <c r="AF537" s="0" t="str">
        <f aca="false">IF(P537="","No",IF(OR(P537&lt;0,P537&gt;0.3),"Yes","No"))</f>
        <v>No</v>
      </c>
      <c r="AG537" s="4" t="s">
        <v>50</v>
      </c>
      <c r="AH537" s="0" t="str">
        <f aca="false">IF(AND(AA537="Completed",Z537="Paid"),"Yes","No")</f>
        <v>Yes</v>
      </c>
      <c r="AI537" s="0" t="str">
        <f aca="false">IF(OR(AE537="Yes",AF537="Yes",AG537="Yes"),"Invalid",IF(OR(AB537="Yes",AC537="Yes",AD537="Yes"),"Warning","Clean"))</f>
        <v>Clean</v>
      </c>
      <c r="AJ537" s="4" t="s">
        <v>2106</v>
      </c>
      <c r="AK537" s="4" t="s">
        <v>2107</v>
      </c>
      <c r="AL537" s="4" t="s">
        <v>216</v>
      </c>
      <c r="AM537" s="4" t="s">
        <v>68</v>
      </c>
      <c r="AN537" s="4" t="s">
        <v>97</v>
      </c>
      <c r="AO537" s="4" t="s">
        <v>98</v>
      </c>
      <c r="AP537" s="4" t="s">
        <v>99</v>
      </c>
      <c r="AQ537" s="4" t="s">
        <v>109</v>
      </c>
      <c r="AR537" s="4" t="s">
        <v>116</v>
      </c>
      <c r="AS537" s="4" t="s">
        <v>81</v>
      </c>
      <c r="AT537" s="0" t="n">
        <v>0.2</v>
      </c>
      <c r="AU537" s="4" t="s">
        <v>61</v>
      </c>
      <c r="AV537" s="4" t="s">
        <v>62</v>
      </c>
    </row>
    <row r="538" customFormat="false" ht="15" hidden="false" customHeight="false" outlineLevel="0" collapsed="false">
      <c r="A538" s="0" t="s">
        <v>2108</v>
      </c>
      <c r="B538" s="3" t="n">
        <f aca="false">IF(AJ538="","",IF(ISNUMBER(SEARCH("/",AJ538)),DATE(VALUE(RIGHT(AJ538,4)),VALUE(LEFT(AJ538,2)),VALUE(MID(AJ538,4,2))),IF(ISNUMBER(SEARCH("-",AJ538)),IF(LEN(LEFT(AJ538,FIND("-",AJ538)-1))=4,DATE(VALUE(LEFT(AJ538,4)),VALUE(MID(AJ538,6,2)),VALUE(RIGHT(AJ538,2))),DATE(VALUE(RIGHT(AJ538,4)),VALUE(MID(AJ538,4,2)),VALUE(LEFT(AJ538,2)))),DATE(VALUE(RIGHT(AJ538,4)),MATCH(MID(AJ538,4,3),{"Jan","Feb","Mar","Apr","May","Jun","Jul","Aug","Sep","Oct","Nov","Dec"},0),VALUE(LEFT(AJ538,2))))))</f>
        <v>45757</v>
      </c>
      <c r="C538" s="3" t="n">
        <f aca="false">IF(AK538="","",IF(ISNUMBER(SEARCH("/",AK538)),DATE(VALUE(RIGHT(AK538,4)),VALUE(LEFT(AK538,2)),VALUE(MID(AK538,4,2))),IF(ISNUMBER(SEARCH("-",AK538)),IF(LEN(LEFT(AK538,FIND("-",AK538)-1))=4,DATE(VALUE(LEFT(AK538,4)),VALUE(MID(AK538,6,2)),VALUE(RIGHT(AK538,2))),DATE(VALUE(RIGHT(AK538,4)),VALUE(MID(AK538,4,2)),VALUE(LEFT(AK538,2)))),DATE(VALUE(RIGHT(AK538,4)),MATCH(MID(AK538,4,3),{"Jan","Feb","Mar","Apr","May","Jun","Jul","Aug","Sep","Oct","Nov","Dec"},0),VALUE(LEFT(AK538,2))))))</f>
        <v>45764</v>
      </c>
      <c r="D538" s="4" t="s">
        <v>2109</v>
      </c>
      <c r="E538" s="0" t="str">
        <f aca="false">PROPER(TRIM(AL538))</f>
        <v>Ananya Rao</v>
      </c>
      <c r="F538" s="0" t="str">
        <f aca="false">PROPER(TRIM(AM538))</f>
        <v>Small Business</v>
      </c>
      <c r="G538" s="0" t="str">
        <f aca="false">IF(TRIM(AN538)="","Unknown",PROPER(TRIM(AN538)))</f>
        <v>West</v>
      </c>
      <c r="H538" s="0" t="str">
        <f aca="false">PROPER(TRIM(AO538))</f>
        <v>Rajasthan</v>
      </c>
      <c r="I538" s="0" t="str">
        <f aca="false">PROPER(TRIM(AP538))</f>
        <v>Udaipur</v>
      </c>
      <c r="J538" s="0" t="str">
        <f aca="false">PROPER(TRIM(AQ538))</f>
        <v>Furniture</v>
      </c>
      <c r="K538" s="0" t="str">
        <f aca="false">PROPER(TRIM(AR538))</f>
        <v>Chairs</v>
      </c>
      <c r="M538" s="0" t="str">
        <f aca="false">IF(TRIM(AS538)="","Unknown",PROPER(TRIM(AS538)))</f>
        <v>First Class</v>
      </c>
      <c r="N538" s="0" t="n">
        <v>7</v>
      </c>
      <c r="O538" s="0" t="n">
        <v>3788.9</v>
      </c>
      <c r="P538" s="5" t="n">
        <f aca="false">IF(AT538="","",IF(ISNUMBER(AT538),AT538,VALUE(SUBSTITUTE(AT538,"%",""))/100))</f>
        <v>0.25</v>
      </c>
      <c r="Q538" s="5" t="n">
        <f aca="false">IF(P538="",IF(AND(N538&lt;&gt;"",O538&lt;&gt;"",R538&lt;&gt;"",S538&lt;&gt;""),0,"REVIEW"),IF(OR(P538&lt;0,P538&gt;0.3),0,P538))</f>
        <v>0.25</v>
      </c>
      <c r="R538" s="0" t="n">
        <v>19891.72</v>
      </c>
      <c r="S538" s="0" t="n">
        <v>12295.76</v>
      </c>
      <c r="T538" s="6" t="n">
        <f aca="false">N538*O538*(1-Q538)</f>
        <v>19891.725</v>
      </c>
      <c r="U538" s="6" t="n">
        <f aca="false">T538-S538</f>
        <v>7595.965</v>
      </c>
      <c r="V538" s="7" t="n">
        <f aca="false">IF(T538=0,0,U538/T538)</f>
        <v>0.381865574755332</v>
      </c>
      <c r="W538" s="4" t="n">
        <f aca="false">C538-B538</f>
        <v>7</v>
      </c>
      <c r="X538" s="0" t="str">
        <f aca="false">TEXT(B538,"mmmm")</f>
        <v>April</v>
      </c>
      <c r="Y538" s="4" t="n">
        <f aca="false">YEAR(B538)</f>
        <v>2025</v>
      </c>
      <c r="Z538" s="0" t="str">
        <f aca="false">PROPER(TRIM(AU538))</f>
        <v>Failed</v>
      </c>
      <c r="AA538" s="0" t="str">
        <f aca="false">PROPER(TRIM(AV538))</f>
        <v>Cancelled</v>
      </c>
      <c r="AB538" s="0" t="str">
        <f aca="false">IF(TRIM(AN538)="","Yes","No")</f>
        <v>No</v>
      </c>
      <c r="AC538" s="0" t="str">
        <f aca="false">IF(TRIM(AS538)="","Yes","No")</f>
        <v>No</v>
      </c>
      <c r="AD538" s="0" t="str">
        <f aca="false">IF(AT538="","Yes","No")</f>
        <v>No</v>
      </c>
      <c r="AE538" s="0" t="str">
        <f aca="false">IF(W538&lt;0,"Yes","No")</f>
        <v>No</v>
      </c>
      <c r="AF538" s="0" t="str">
        <f aca="false">IF(P538="","No",IF(OR(P538&lt;0,P538&gt;0.3),"Yes","No"))</f>
        <v>No</v>
      </c>
      <c r="AG538" s="4" t="s">
        <v>50</v>
      </c>
      <c r="AH538" s="0" t="str">
        <f aca="false">IF(AND(AA538="Completed",Z538="Paid"),"Yes","No")</f>
        <v>No</v>
      </c>
      <c r="AI538" s="0" t="str">
        <f aca="false">IF(OR(AE538="Yes",AF538="Yes",AG538="Yes"),"Invalid",IF(OR(AB538="Yes",AC538="Yes",AD538="Yes"),"Warning","Clean"))</f>
        <v>Clean</v>
      </c>
      <c r="AJ538" s="4" t="s">
        <v>2110</v>
      </c>
      <c r="AK538" s="4" t="s">
        <v>2111</v>
      </c>
      <c r="AL538" s="4" t="s">
        <v>96</v>
      </c>
      <c r="AM538" s="4" t="s">
        <v>68</v>
      </c>
      <c r="AN538" s="4" t="s">
        <v>97</v>
      </c>
      <c r="AO538" s="4" t="s">
        <v>56</v>
      </c>
      <c r="AP538" s="4" t="s">
        <v>152</v>
      </c>
      <c r="AQ538" s="4" t="s">
        <v>72</v>
      </c>
      <c r="AR538" s="4" t="s">
        <v>100</v>
      </c>
      <c r="AS538" s="4" t="s">
        <v>81</v>
      </c>
      <c r="AT538" s="0" t="n">
        <v>0.25</v>
      </c>
      <c r="AU538" s="4" t="s">
        <v>207</v>
      </c>
      <c r="AV538" s="4" t="s">
        <v>101</v>
      </c>
    </row>
    <row r="539" customFormat="false" ht="15" hidden="false" customHeight="false" outlineLevel="0" collapsed="false">
      <c r="A539" s="0" t="s">
        <v>2112</v>
      </c>
      <c r="B539" s="3" t="n">
        <f aca="false">IF(AJ539="","",IF(ISNUMBER(SEARCH("/",AJ539)),DATE(VALUE(RIGHT(AJ539,4)),VALUE(LEFT(AJ539,2)),VALUE(MID(AJ539,4,2))),IF(ISNUMBER(SEARCH("-",AJ539)),IF(LEN(LEFT(AJ539,FIND("-",AJ539)-1))=4,DATE(VALUE(LEFT(AJ539,4)),VALUE(MID(AJ539,6,2)),VALUE(RIGHT(AJ539,2))),DATE(VALUE(RIGHT(AJ539,4)),VALUE(MID(AJ539,4,2)),VALUE(LEFT(AJ539,2)))),DATE(VALUE(RIGHT(AJ539,4)),MATCH(MID(AJ539,4,3),{"Jan","Feb","Mar","Apr","May","Jun","Jul","Aug","Sep","Oct","Nov","Dec"},0),VALUE(LEFT(AJ539,2))))))</f>
        <v>45313</v>
      </c>
      <c r="C539" s="3" t="n">
        <f aca="false">IF(AK539="","",IF(ISNUMBER(SEARCH("/",AK539)),DATE(VALUE(RIGHT(AK539,4)),VALUE(LEFT(AK539,2)),VALUE(MID(AK539,4,2))),IF(ISNUMBER(SEARCH("-",AK539)),IF(LEN(LEFT(AK539,FIND("-",AK539)-1))=4,DATE(VALUE(LEFT(AK539,4)),VALUE(MID(AK539,6,2)),VALUE(RIGHT(AK539,2))),DATE(VALUE(RIGHT(AK539,4)),VALUE(MID(AK539,4,2)),VALUE(LEFT(AK539,2)))),DATE(VALUE(RIGHT(AK539,4)),MATCH(MID(AK539,4,3),{"Jan","Feb","Mar","Apr","May","Jun","Jul","Aug","Sep","Oct","Nov","Dec"},0),VALUE(LEFT(AK539,2))))))</f>
        <v>45321</v>
      </c>
      <c r="D539" s="4" t="s">
        <v>2113</v>
      </c>
      <c r="E539" s="0" t="str">
        <f aca="false">PROPER(TRIM(AL539))</f>
        <v>Ananya Rao</v>
      </c>
      <c r="F539" s="0" t="str">
        <f aca="false">PROPER(TRIM(AM539))</f>
        <v>Small Business</v>
      </c>
      <c r="G539" s="0" t="str">
        <f aca="false">IF(TRIM(AN539)="","Unknown",PROPER(TRIM(AN539)))</f>
        <v>North</v>
      </c>
      <c r="H539" s="0" t="str">
        <f aca="false">PROPER(TRIM(AO539))</f>
        <v>Haryana</v>
      </c>
      <c r="I539" s="0" t="str">
        <f aca="false">PROPER(TRIM(AP539))</f>
        <v>Gurugram</v>
      </c>
      <c r="J539" s="0" t="str">
        <f aca="false">PROPER(TRIM(AQ539))</f>
        <v>Office Supplies</v>
      </c>
      <c r="K539" s="0" t="str">
        <f aca="false">PROPER(TRIM(AR539))</f>
        <v>Art</v>
      </c>
      <c r="M539" s="0" t="str">
        <f aca="false">IF(TRIM(AS539)="","Unknown",PROPER(TRIM(AS539)))</f>
        <v>Same Day</v>
      </c>
      <c r="N539" s="0" t="n">
        <v>3</v>
      </c>
      <c r="O539" s="0" t="n">
        <v>676.37</v>
      </c>
      <c r="P539" s="5" t="n">
        <f aca="false">IF(AT539="","",IF(ISNUMBER(AT539),AT539,VALUE(SUBSTITUTE(AT539,"%",""))/100))</f>
        <v>0.05</v>
      </c>
      <c r="Q539" s="5" t="n">
        <f aca="false">IF(P539="",IF(AND(N539&lt;&gt;"",O539&lt;&gt;"",R539&lt;&gt;"",S539&lt;&gt;""),0,"REVIEW"),IF(OR(P539&lt;0,P539&gt;0.3),0,P539))</f>
        <v>0.05</v>
      </c>
      <c r="R539" s="0" t="n">
        <v>1927.65</v>
      </c>
      <c r="S539" s="0" t="n">
        <v>1460.6</v>
      </c>
      <c r="T539" s="6" t="n">
        <f aca="false">N539*O539*(1-Q539)</f>
        <v>1927.6545</v>
      </c>
      <c r="U539" s="6" t="n">
        <f aca="false">T539-S539</f>
        <v>467.0545</v>
      </c>
      <c r="V539" s="7" t="n">
        <f aca="false">IF(T539=0,0,U539/T539)</f>
        <v>0.242291603604277</v>
      </c>
      <c r="W539" s="4" t="n">
        <f aca="false">C539-B539</f>
        <v>8</v>
      </c>
      <c r="X539" s="0" t="str">
        <f aca="false">TEXT(B539,"mmmm")</f>
        <v>January</v>
      </c>
      <c r="Y539" s="4" t="n">
        <f aca="false">YEAR(B539)</f>
        <v>2024</v>
      </c>
      <c r="Z539" s="0" t="str">
        <f aca="false">PROPER(TRIM(AU539))</f>
        <v>Failed</v>
      </c>
      <c r="AA539" s="0" t="str">
        <f aca="false">PROPER(TRIM(AV539))</f>
        <v>Cancelled</v>
      </c>
      <c r="AB539" s="0" t="str">
        <f aca="false">IF(TRIM(AN539)="","Yes","No")</f>
        <v>No</v>
      </c>
      <c r="AC539" s="0" t="str">
        <f aca="false">IF(TRIM(AS539)="","Yes","No")</f>
        <v>No</v>
      </c>
      <c r="AD539" s="0" t="str">
        <f aca="false">IF(AT539="","Yes","No")</f>
        <v>No</v>
      </c>
      <c r="AE539" s="0" t="str">
        <f aca="false">IF(W539&lt;0,"Yes","No")</f>
        <v>No</v>
      </c>
      <c r="AF539" s="0" t="str">
        <f aca="false">IF(P539="","No",IF(OR(P539&lt;0,P539&gt;0.3),"Yes","No"))</f>
        <v>No</v>
      </c>
      <c r="AG539" s="4" t="s">
        <v>50</v>
      </c>
      <c r="AH539" s="0" t="str">
        <f aca="false">IF(AND(AA539="Completed",Z539="Paid"),"Yes","No")</f>
        <v>No</v>
      </c>
      <c r="AI539" s="0" t="str">
        <f aca="false">IF(OR(AE539="Yes",AF539="Yes",AG539="Yes"),"Invalid",IF(OR(AB539="Yes",AC539="Yes",AD539="Yes"),"Warning","Clean"))</f>
        <v>Clean</v>
      </c>
      <c r="AJ539" s="4" t="s">
        <v>1676</v>
      </c>
      <c r="AK539" s="4" t="s">
        <v>2114</v>
      </c>
      <c r="AL539" s="4" t="s">
        <v>96</v>
      </c>
      <c r="AM539" s="4" t="s">
        <v>68</v>
      </c>
      <c r="AN539" s="4" t="s">
        <v>168</v>
      </c>
      <c r="AO539" s="4" t="s">
        <v>310</v>
      </c>
      <c r="AP539" s="4" t="s">
        <v>311</v>
      </c>
      <c r="AQ539" s="4" t="s">
        <v>58</v>
      </c>
      <c r="AR539" s="4" t="s">
        <v>80</v>
      </c>
      <c r="AS539" s="4" t="s">
        <v>74</v>
      </c>
      <c r="AT539" s="0" t="n">
        <v>0.05</v>
      </c>
      <c r="AU539" s="4" t="s">
        <v>207</v>
      </c>
      <c r="AV539" s="4" t="s">
        <v>101</v>
      </c>
    </row>
    <row r="540" customFormat="false" ht="15" hidden="false" customHeight="false" outlineLevel="0" collapsed="false">
      <c r="A540" s="0" t="s">
        <v>2115</v>
      </c>
      <c r="B540" s="3" t="n">
        <f aca="false">IF(AJ540="","",IF(ISNUMBER(SEARCH("/",AJ540)),DATE(VALUE(RIGHT(AJ540,4)),VALUE(LEFT(AJ540,2)),VALUE(MID(AJ540,4,2))),IF(ISNUMBER(SEARCH("-",AJ540)),IF(LEN(LEFT(AJ540,FIND("-",AJ540)-1))=4,DATE(VALUE(LEFT(AJ540,4)),VALUE(MID(AJ540,6,2)),VALUE(RIGHT(AJ540,2))),DATE(VALUE(RIGHT(AJ540,4)),VALUE(MID(AJ540,4,2)),VALUE(LEFT(AJ540,2)))),DATE(VALUE(RIGHT(AJ540,4)),MATCH(MID(AJ540,4,3),{"Jan","Feb","Mar","Apr","May","Jun","Jul","Aug","Sep","Oct","Nov","Dec"},0),VALUE(LEFT(AJ540,2))))))</f>
        <v>45560</v>
      </c>
      <c r="C540" s="3" t="n">
        <f aca="false">IF(AK540="","",IF(ISNUMBER(SEARCH("/",AK540)),DATE(VALUE(RIGHT(AK540,4)),VALUE(LEFT(AK540,2)),VALUE(MID(AK540,4,2))),IF(ISNUMBER(SEARCH("-",AK540)),IF(LEN(LEFT(AK540,FIND("-",AK540)-1))=4,DATE(VALUE(LEFT(AK540,4)),VALUE(MID(AK540,6,2)),VALUE(RIGHT(AK540,2))),DATE(VALUE(RIGHT(AK540,4)),VALUE(MID(AK540,4,2)),VALUE(LEFT(AK540,2)))),DATE(VALUE(RIGHT(AK540,4)),MATCH(MID(AK540,4,3),{"Jan","Feb","Mar","Apr","May","Jun","Jul","Aug","Sep","Oct","Nov","Dec"},0),VALUE(LEFT(AK540,2))))))</f>
        <v>45566</v>
      </c>
      <c r="D540" s="4" t="s">
        <v>2116</v>
      </c>
      <c r="E540" s="0" t="str">
        <f aca="false">PROPER(TRIM(AL540))</f>
        <v>Diya Patel</v>
      </c>
      <c r="F540" s="0" t="str">
        <f aca="false">PROPER(TRIM(AM540))</f>
        <v>Small Business</v>
      </c>
      <c r="G540" s="0" t="str">
        <f aca="false">IF(TRIM(AN540)="","Unknown",PROPER(TRIM(AN540)))</f>
        <v>East</v>
      </c>
      <c r="H540" s="0" t="str">
        <f aca="false">PROPER(TRIM(AO540))</f>
        <v>Jharkhand</v>
      </c>
      <c r="I540" s="0" t="str">
        <f aca="false">PROPER(TRIM(AP540))</f>
        <v>Ranchi</v>
      </c>
      <c r="J540" s="0" t="str">
        <f aca="false">PROPER(TRIM(AQ540))</f>
        <v>Furniture</v>
      </c>
      <c r="K540" s="0" t="str">
        <f aca="false">PROPER(TRIM(AR540))</f>
        <v>Tables</v>
      </c>
      <c r="M540" s="0" t="str">
        <f aca="false">IF(TRIM(AS540)="","Unknown",PROPER(TRIM(AS540)))</f>
        <v>Second Class</v>
      </c>
      <c r="N540" s="0" t="n">
        <v>9</v>
      </c>
      <c r="O540" s="0" t="n">
        <v>3908.6</v>
      </c>
      <c r="P540" s="5" t="n">
        <f aca="false">IF(AT540="","",IF(ISNUMBER(AT540),AT540,VALUE(SUBSTITUTE(AT540,"%",""))/100))</f>
        <v>0.15</v>
      </c>
      <c r="Q540" s="5" t="n">
        <f aca="false">IF(P540="",IF(AND(N540&lt;&gt;"",O540&lt;&gt;"",R540&lt;&gt;"",S540&lt;&gt;""),0,"REVIEW"),IF(OR(P540&lt;0,P540&gt;0.3),0,P540))</f>
        <v>0.15</v>
      </c>
      <c r="R540" s="0" t="n">
        <v>29900.79</v>
      </c>
      <c r="S540" s="0" t="n">
        <v>24650.67</v>
      </c>
      <c r="T540" s="6" t="n">
        <f aca="false">N540*O540*(1-Q540)</f>
        <v>29900.79</v>
      </c>
      <c r="U540" s="6" t="n">
        <f aca="false">T540-S540</f>
        <v>5250.12</v>
      </c>
      <c r="V540" s="7" t="n">
        <f aca="false">IF(T540=0,0,U540/T540)</f>
        <v>0.175584658465546</v>
      </c>
      <c r="W540" s="4" t="n">
        <f aca="false">C540-B540</f>
        <v>6</v>
      </c>
      <c r="X540" s="0" t="str">
        <f aca="false">TEXT(B540,"mmmm")</f>
        <v>September</v>
      </c>
      <c r="Y540" s="4" t="n">
        <f aca="false">YEAR(B540)</f>
        <v>2024</v>
      </c>
      <c r="Z540" s="0" t="str">
        <f aca="false">PROPER(TRIM(AU540))</f>
        <v>Paid</v>
      </c>
      <c r="AA540" s="0" t="str">
        <f aca="false">PROPER(TRIM(AV540))</f>
        <v>Completed</v>
      </c>
      <c r="AB540" s="0" t="str">
        <f aca="false">IF(TRIM(AN540)="","Yes","No")</f>
        <v>No</v>
      </c>
      <c r="AC540" s="0" t="str">
        <f aca="false">IF(TRIM(AS540)="","Yes","No")</f>
        <v>No</v>
      </c>
      <c r="AD540" s="0" t="str">
        <f aca="false">IF(AT540="","Yes","No")</f>
        <v>No</v>
      </c>
      <c r="AE540" s="0" t="str">
        <f aca="false">IF(W540&lt;0,"Yes","No")</f>
        <v>No</v>
      </c>
      <c r="AF540" s="0" t="str">
        <f aca="false">IF(P540="","No",IF(OR(P540&lt;0,P540&gt;0.3),"Yes","No"))</f>
        <v>No</v>
      </c>
      <c r="AG540" s="4" t="s">
        <v>50</v>
      </c>
      <c r="AH540" s="0" t="str">
        <f aca="false">IF(AND(AA540="Completed",Z540="Paid"),"Yes","No")</f>
        <v>Yes</v>
      </c>
      <c r="AI540" s="0" t="str">
        <f aca="false">IF(OR(AE540="Yes",AF540="Yes",AG540="Yes"),"Invalid",IF(OR(AB540="Yes",AC540="Yes",AD540="Yes"),"Warning","Clean"))</f>
        <v>Clean</v>
      </c>
      <c r="AJ540" s="4" t="s">
        <v>1856</v>
      </c>
      <c r="AK540" s="4" t="s">
        <v>2117</v>
      </c>
      <c r="AL540" s="4" t="s">
        <v>216</v>
      </c>
      <c r="AM540" s="4" t="s">
        <v>68</v>
      </c>
      <c r="AN540" s="4" t="s">
        <v>69</v>
      </c>
      <c r="AO540" s="4" t="s">
        <v>300</v>
      </c>
      <c r="AP540" s="4" t="s">
        <v>301</v>
      </c>
      <c r="AQ540" s="4" t="s">
        <v>72</v>
      </c>
      <c r="AR540" s="4" t="s">
        <v>73</v>
      </c>
      <c r="AS540" s="4" t="s">
        <v>60</v>
      </c>
      <c r="AT540" s="0" t="n">
        <v>0.15</v>
      </c>
      <c r="AU540" s="4" t="s">
        <v>61</v>
      </c>
      <c r="AV540" s="4" t="s">
        <v>62</v>
      </c>
    </row>
    <row r="541" customFormat="false" ht="15" hidden="false" customHeight="false" outlineLevel="0" collapsed="false">
      <c r="A541" s="0" t="s">
        <v>2118</v>
      </c>
      <c r="B541" s="3" t="n">
        <f aca="false">IF(AJ541="","",IF(ISNUMBER(SEARCH("/",AJ541)),DATE(VALUE(RIGHT(AJ541,4)),VALUE(LEFT(AJ541,2)),VALUE(MID(AJ541,4,2))),IF(ISNUMBER(SEARCH("-",AJ541)),IF(LEN(LEFT(AJ541,FIND("-",AJ541)-1))=4,DATE(VALUE(LEFT(AJ541,4)),VALUE(MID(AJ541,6,2)),VALUE(RIGHT(AJ541,2))),DATE(VALUE(RIGHT(AJ541,4)),VALUE(MID(AJ541,4,2)),VALUE(LEFT(AJ541,2)))),DATE(VALUE(RIGHT(AJ541,4)),MATCH(MID(AJ541,4,3),{"Jan","Feb","Mar","Apr","May","Jun","Jul","Aug","Sep","Oct","Nov","Dec"},0),VALUE(LEFT(AJ541,2))))))</f>
        <v>45842</v>
      </c>
      <c r="C541" s="3" t="n">
        <f aca="false">IF(AK541="","",IF(ISNUMBER(SEARCH("/",AK541)),DATE(VALUE(RIGHT(AK541,4)),VALUE(LEFT(AK541,2)),VALUE(MID(AK541,4,2))),IF(ISNUMBER(SEARCH("-",AK541)),IF(LEN(LEFT(AK541,FIND("-",AK541)-1))=4,DATE(VALUE(LEFT(AK541,4)),VALUE(MID(AK541,6,2)),VALUE(RIGHT(AK541,2))),DATE(VALUE(RIGHT(AK541,4)),VALUE(MID(AK541,4,2)),VALUE(LEFT(AK541,2)))),DATE(VALUE(RIGHT(AK541,4)),MATCH(MID(AK541,4,3),{"Jan","Feb","Mar","Apr","May","Jun","Jul","Aug","Sep","Oct","Nov","Dec"},0),VALUE(LEFT(AK541,2))))))</f>
        <v>45842</v>
      </c>
      <c r="D541" s="4" t="s">
        <v>2119</v>
      </c>
      <c r="E541" s="0" t="str">
        <f aca="false">PROPER(TRIM(AL541))</f>
        <v>Mira Das</v>
      </c>
      <c r="F541" s="0" t="str">
        <f aca="false">PROPER(TRIM(AM541))</f>
        <v>Small Business</v>
      </c>
      <c r="G541" s="0" t="str">
        <f aca="false">IF(TRIM(AN541)="","Unknown",PROPER(TRIM(AN541)))</f>
        <v>South</v>
      </c>
      <c r="H541" s="0" t="str">
        <f aca="false">PROPER(TRIM(AO541))</f>
        <v>Tamil Nadu</v>
      </c>
      <c r="I541" s="0" t="str">
        <f aca="false">PROPER(TRIM(AP541))</f>
        <v>Chennai</v>
      </c>
      <c r="J541" s="0" t="str">
        <f aca="false">PROPER(TRIM(AQ541))</f>
        <v>Furniture</v>
      </c>
      <c r="K541" s="0" t="str">
        <f aca="false">PROPER(TRIM(AR541))</f>
        <v>Chairs</v>
      </c>
      <c r="M541" s="0" t="str">
        <f aca="false">IF(TRIM(AS541)="","Unknown",PROPER(TRIM(AS541)))</f>
        <v>Standard Class</v>
      </c>
      <c r="N541" s="0" t="n">
        <v>3</v>
      </c>
      <c r="O541" s="0" t="n">
        <v>705.35</v>
      </c>
      <c r="P541" s="5" t="n">
        <f aca="false">IF(AT541="","",IF(ISNUMBER(AT541),AT541,VALUE(SUBSTITUTE(AT541,"%",""))/100))</f>
        <v>0.1</v>
      </c>
      <c r="Q541" s="5" t="n">
        <f aca="false">IF(P541="",IF(AND(N541&lt;&gt;"",O541&lt;&gt;"",R541&lt;&gt;"",S541&lt;&gt;""),0,"REVIEW"),IF(OR(P541&lt;0,P541&gt;0.3),0,P541))</f>
        <v>0.1</v>
      </c>
      <c r="R541" s="0" t="n">
        <v>1904.45</v>
      </c>
      <c r="S541" s="0" t="n">
        <v>1316.54</v>
      </c>
      <c r="T541" s="6" t="n">
        <f aca="false">N541*O541*(1-Q541)</f>
        <v>1904.445</v>
      </c>
      <c r="U541" s="6" t="n">
        <f aca="false">T541-S541</f>
        <v>587.905</v>
      </c>
      <c r="V541" s="7" t="n">
        <f aca="false">IF(T541=0,0,U541/T541)</f>
        <v>0.308701485209602</v>
      </c>
      <c r="W541" s="4" t="n">
        <f aca="false">C541-B541</f>
        <v>0</v>
      </c>
      <c r="X541" s="0" t="str">
        <f aca="false">TEXT(B541,"mmmm")</f>
        <v>July</v>
      </c>
      <c r="Y541" s="4" t="n">
        <f aca="false">YEAR(B541)</f>
        <v>2025</v>
      </c>
      <c r="Z541" s="0" t="str">
        <f aca="false">PROPER(TRIM(AU541))</f>
        <v>Paid</v>
      </c>
      <c r="AA541" s="0" t="str">
        <f aca="false">PROPER(TRIM(AV541))</f>
        <v>Cancelled</v>
      </c>
      <c r="AB541" s="0" t="str">
        <f aca="false">IF(TRIM(AN541)="","Yes","No")</f>
        <v>No</v>
      </c>
      <c r="AC541" s="0" t="str">
        <f aca="false">IF(TRIM(AS541)="","Yes","No")</f>
        <v>No</v>
      </c>
      <c r="AD541" s="0" t="str">
        <f aca="false">IF(AT541="","Yes","No")</f>
        <v>No</v>
      </c>
      <c r="AE541" s="0" t="str">
        <f aca="false">IF(W541&lt;0,"Yes","No")</f>
        <v>No</v>
      </c>
      <c r="AF541" s="0" t="str">
        <f aca="false">IF(P541="","No",IF(OR(P541&lt;0,P541&gt;0.3),"Yes","No"))</f>
        <v>No</v>
      </c>
      <c r="AG541" s="4" t="s">
        <v>50</v>
      </c>
      <c r="AH541" s="0" t="str">
        <f aca="false">IF(AND(AA541="Completed",Z541="Paid"),"Yes","No")</f>
        <v>No</v>
      </c>
      <c r="AI541" s="0" t="str">
        <f aca="false">IF(OR(AE541="Yes",AF541="Yes",AG541="Yes"),"Invalid",IF(OR(AB541="Yes",AC541="Yes",AD541="Yes"),"Warning","Clean"))</f>
        <v>Clean</v>
      </c>
      <c r="AJ541" s="4" t="s">
        <v>1033</v>
      </c>
      <c r="AK541" s="4" t="s">
        <v>1972</v>
      </c>
      <c r="AL541" s="4" t="s">
        <v>2120</v>
      </c>
      <c r="AM541" s="4" t="s">
        <v>68</v>
      </c>
      <c r="AN541" s="4" t="s">
        <v>87</v>
      </c>
      <c r="AO541" s="4" t="s">
        <v>323</v>
      </c>
      <c r="AP541" s="4" t="s">
        <v>324</v>
      </c>
      <c r="AQ541" s="4" t="s">
        <v>72</v>
      </c>
      <c r="AR541" s="4" t="s">
        <v>100</v>
      </c>
      <c r="AS541" s="4" t="s">
        <v>91</v>
      </c>
      <c r="AT541" s="0" t="n">
        <v>0.1</v>
      </c>
      <c r="AU541" s="4" t="s">
        <v>61</v>
      </c>
      <c r="AV541" s="4" t="s">
        <v>101</v>
      </c>
    </row>
    <row r="542" customFormat="false" ht="15" hidden="false" customHeight="false" outlineLevel="0" collapsed="false">
      <c r="A542" s="0" t="s">
        <v>2121</v>
      </c>
      <c r="B542" s="3" t="n">
        <f aca="false">IF(AJ542="","",IF(ISNUMBER(SEARCH("/",AJ542)),DATE(VALUE(RIGHT(AJ542,4)),VALUE(LEFT(AJ542,2)),VALUE(MID(AJ542,4,2))),IF(ISNUMBER(SEARCH("-",AJ542)),IF(LEN(LEFT(AJ542,FIND("-",AJ542)-1))=4,DATE(VALUE(LEFT(AJ542,4)),VALUE(MID(AJ542,6,2)),VALUE(RIGHT(AJ542,2))),DATE(VALUE(RIGHT(AJ542,4)),VALUE(MID(AJ542,4,2)),VALUE(LEFT(AJ542,2)))),DATE(VALUE(RIGHT(AJ542,4)),MATCH(MID(AJ542,4,3),{"Jan","Feb","Mar","Apr","May","Jun","Jul","Aug","Sep","Oct","Nov","Dec"},0),VALUE(LEFT(AJ542,2))))))</f>
        <v>45348</v>
      </c>
      <c r="C542" s="3" t="n">
        <f aca="false">IF(AK542="","",IF(ISNUMBER(SEARCH("/",AK542)),DATE(VALUE(RIGHT(AK542,4)),VALUE(LEFT(AK542,2)),VALUE(MID(AK542,4,2))),IF(ISNUMBER(SEARCH("-",AK542)),IF(LEN(LEFT(AK542,FIND("-",AK542)-1))=4,DATE(VALUE(LEFT(AK542,4)),VALUE(MID(AK542,6,2)),VALUE(RIGHT(AK542,2))),DATE(VALUE(RIGHT(AK542,4)),VALUE(MID(AK542,4,2)),VALUE(LEFT(AK542,2)))),DATE(VALUE(RIGHT(AK542,4)),MATCH(MID(AK542,4,3),{"Jan","Feb","Mar","Apr","May","Jun","Jul","Aug","Sep","Oct","Nov","Dec"},0),VALUE(LEFT(AK542,2))))))</f>
        <v>45345</v>
      </c>
      <c r="D542" s="4" t="s">
        <v>2122</v>
      </c>
      <c r="E542" s="0" t="str">
        <f aca="false">PROPER(TRIM(AL542))</f>
        <v>Kabir Singh</v>
      </c>
      <c r="F542" s="0" t="str">
        <f aca="false">PROPER(TRIM(AM542))</f>
        <v>Consumer</v>
      </c>
      <c r="G542" s="0" t="str">
        <f aca="false">IF(TRIM(AN542)="","Unknown",PROPER(TRIM(AN542)))</f>
        <v>West</v>
      </c>
      <c r="H542" s="0" t="str">
        <f aca="false">PROPER(TRIM(AO542))</f>
        <v>Gujarat</v>
      </c>
      <c r="I542" s="0" t="str">
        <f aca="false">PROPER(TRIM(AP542))</f>
        <v>Ahmedabad</v>
      </c>
      <c r="J542" s="0" t="str">
        <f aca="false">PROPER(TRIM(AQ542))</f>
        <v>Furniture</v>
      </c>
      <c r="K542" s="0" t="str">
        <f aca="false">PROPER(TRIM(AR542))</f>
        <v>Furnishings</v>
      </c>
      <c r="M542" s="0" t="str">
        <f aca="false">IF(TRIM(AS542)="","Unknown",PROPER(TRIM(AS542)))</f>
        <v>Standard Class</v>
      </c>
      <c r="N542" s="0" t="n">
        <v>7</v>
      </c>
      <c r="O542" s="0" t="n">
        <v>3852.07</v>
      </c>
      <c r="P542" s="5" t="n">
        <f aca="false">IF(AT542="","",IF(ISNUMBER(AT542),AT542,VALUE(SUBSTITUTE(AT542,"%",""))/100))</f>
        <v>0.2</v>
      </c>
      <c r="Q542" s="5" t="n">
        <f aca="false">IF(P542="",IF(AND(N542&lt;&gt;"",O542&lt;&gt;"",R542&lt;&gt;"",S542&lt;&gt;""),0,"REVIEW"),IF(OR(P542&lt;0,P542&gt;0.3),0,P542))</f>
        <v>0.2</v>
      </c>
      <c r="R542" s="0" t="n">
        <v>21571.59</v>
      </c>
      <c r="S542" s="0" t="n">
        <v>17118.07</v>
      </c>
      <c r="T542" s="6" t="n">
        <f aca="false">N542*O542*(1-Q542)</f>
        <v>21571.592</v>
      </c>
      <c r="U542" s="6" t="n">
        <f aca="false">T542-S542</f>
        <v>4453.522</v>
      </c>
      <c r="V542" s="7" t="n">
        <f aca="false">IF(T542=0,0,U542/T542)</f>
        <v>0.206453098130171</v>
      </c>
      <c r="W542" s="4" t="n">
        <f aca="false">C542-B542</f>
        <v>-3</v>
      </c>
      <c r="X542" s="0" t="str">
        <f aca="false">TEXT(B542,"mmmm")</f>
        <v>February</v>
      </c>
      <c r="Y542" s="4" t="n">
        <f aca="false">YEAR(B542)</f>
        <v>2024</v>
      </c>
      <c r="Z542" s="0" t="str">
        <f aca="false">PROPER(TRIM(AU542))</f>
        <v>Paid</v>
      </c>
      <c r="AA542" s="0" t="str">
        <f aca="false">PROPER(TRIM(AV542))</f>
        <v>Completed</v>
      </c>
      <c r="AB542" s="0" t="str">
        <f aca="false">IF(TRIM(AN542)="","Yes","No")</f>
        <v>No</v>
      </c>
      <c r="AC542" s="0" t="str">
        <f aca="false">IF(TRIM(AS542)="","Yes","No")</f>
        <v>No</v>
      </c>
      <c r="AD542" s="0" t="str">
        <f aca="false">IF(AT542="","Yes","No")</f>
        <v>No</v>
      </c>
      <c r="AE542" s="0" t="str">
        <f aca="false">IF(W542&lt;0,"Yes","No")</f>
        <v>Yes</v>
      </c>
      <c r="AF542" s="0" t="str">
        <f aca="false">IF(P542="","No",IF(OR(P542&lt;0,P542&gt;0.3),"Yes","No"))</f>
        <v>No</v>
      </c>
      <c r="AG542" s="4" t="s">
        <v>50</v>
      </c>
      <c r="AH542" s="0" t="str">
        <f aca="false">IF(AND(AA542="Completed",Z542="Paid"),"Yes","No")</f>
        <v>Yes</v>
      </c>
      <c r="AI542" s="0" t="str">
        <f aca="false">IF(OR(AE542="Yes",AF542="Yes",AG542="Yes"),"Invalid",IF(OR(AB542="Yes",AC542="Yes",AD542="Yes"),"Warning","Clean"))</f>
        <v>Invalid</v>
      </c>
      <c r="AJ542" s="4" t="s">
        <v>2123</v>
      </c>
      <c r="AK542" s="4" t="s">
        <v>1916</v>
      </c>
      <c r="AL542" s="4" t="s">
        <v>347</v>
      </c>
      <c r="AM542" s="4" t="s">
        <v>54</v>
      </c>
      <c r="AN542" s="4" t="s">
        <v>97</v>
      </c>
      <c r="AO542" s="4" t="s">
        <v>238</v>
      </c>
      <c r="AP542" s="4" t="s">
        <v>239</v>
      </c>
      <c r="AQ542" s="4" t="s">
        <v>72</v>
      </c>
      <c r="AR542" s="4" t="s">
        <v>90</v>
      </c>
      <c r="AS542" s="4" t="s">
        <v>91</v>
      </c>
      <c r="AT542" s="0" t="n">
        <v>0.2</v>
      </c>
      <c r="AU542" s="4" t="s">
        <v>61</v>
      </c>
      <c r="AV542" s="4" t="s">
        <v>62</v>
      </c>
    </row>
    <row r="543" customFormat="false" ht="15" hidden="false" customHeight="false" outlineLevel="0" collapsed="false">
      <c r="A543" s="0" t="s">
        <v>2124</v>
      </c>
      <c r="B543" s="3" t="n">
        <f aca="false">IF(AJ543="","",IF(ISNUMBER(SEARCH("/",AJ543)),DATE(VALUE(RIGHT(AJ543,4)),VALUE(LEFT(AJ543,2)),VALUE(MID(AJ543,4,2))),IF(ISNUMBER(SEARCH("-",AJ543)),IF(LEN(LEFT(AJ543,FIND("-",AJ543)-1))=4,DATE(VALUE(LEFT(AJ543,4)),VALUE(MID(AJ543,6,2)),VALUE(RIGHT(AJ543,2))),DATE(VALUE(RIGHT(AJ543,4)),VALUE(MID(AJ543,4,2)),VALUE(LEFT(AJ543,2)))),DATE(VALUE(RIGHT(AJ543,4)),MATCH(MID(AJ543,4,3),{"Jan","Feb","Mar","Apr","May","Jun","Jul","Aug","Sep","Oct","Nov","Dec"},0),VALUE(LEFT(AJ543,2))))))</f>
        <v>45846</v>
      </c>
      <c r="C543" s="3" t="n">
        <f aca="false">IF(AK543="","",IF(ISNUMBER(SEARCH("/",AK543)),DATE(VALUE(RIGHT(AK543,4)),VALUE(LEFT(AK543,2)),VALUE(MID(AK543,4,2))),IF(ISNUMBER(SEARCH("-",AK543)),IF(LEN(LEFT(AK543,FIND("-",AK543)-1))=4,DATE(VALUE(LEFT(AK543,4)),VALUE(MID(AK543,6,2)),VALUE(RIGHT(AK543,2))),DATE(VALUE(RIGHT(AK543,4)),VALUE(MID(AK543,4,2)),VALUE(LEFT(AK543,2)))),DATE(VALUE(RIGHT(AK543,4)),MATCH(MID(AK543,4,3),{"Jan","Feb","Mar","Apr","May","Jun","Jul","Aug","Sep","Oct","Nov","Dec"},0),VALUE(LEFT(AK543,2))))))</f>
        <v>45847</v>
      </c>
      <c r="D543" s="4" t="s">
        <v>2125</v>
      </c>
      <c r="E543" s="0" t="str">
        <f aca="false">PROPER(TRIM(AL543))</f>
        <v>Sneha Kapoor</v>
      </c>
      <c r="F543" s="0" t="str">
        <f aca="false">PROPER(TRIM(AM543))</f>
        <v>Consumer</v>
      </c>
      <c r="G543" s="0" t="str">
        <f aca="false">IF(TRIM(AN543)="","Unknown",PROPER(TRIM(AN543)))</f>
        <v>West</v>
      </c>
      <c r="H543" s="0" t="str">
        <f aca="false">PROPER(TRIM(AO543))</f>
        <v>Maharashtra</v>
      </c>
      <c r="I543" s="0" t="str">
        <f aca="false">PROPER(TRIM(AP543))</f>
        <v>Mumbai</v>
      </c>
      <c r="J543" s="0" t="str">
        <f aca="false">PROPER(TRIM(AQ543))</f>
        <v>Technology</v>
      </c>
      <c r="K543" s="0" t="str">
        <f aca="false">PROPER(TRIM(AR543))</f>
        <v>Copiers</v>
      </c>
      <c r="M543" s="0" t="str">
        <f aca="false">IF(TRIM(AS543)="","Unknown",PROPER(TRIM(AS543)))</f>
        <v>Same Day</v>
      </c>
      <c r="N543" s="0" t="n">
        <v>3</v>
      </c>
      <c r="O543" s="0" t="n">
        <v>2880.56</v>
      </c>
      <c r="P543" s="5" t="n">
        <f aca="false">IF(AT543="","",IF(ISNUMBER(AT543),AT543,VALUE(SUBSTITUTE(AT543,"%",""))/100))</f>
        <v>0</v>
      </c>
      <c r="Q543" s="5" t="n">
        <f aca="false">IF(P543="",IF(AND(N543&lt;&gt;"",O543&lt;&gt;"",R543&lt;&gt;"",S543&lt;&gt;""),0,"REVIEW"),IF(OR(P543&lt;0,P543&gt;0.3),0,P543))</f>
        <v>0</v>
      </c>
      <c r="R543" s="0" t="n">
        <v>8641.68</v>
      </c>
      <c r="S543" s="0" t="n">
        <v>5747.09</v>
      </c>
      <c r="T543" s="6" t="n">
        <f aca="false">N543*O543*(1-Q543)</f>
        <v>8641.68</v>
      </c>
      <c r="U543" s="6" t="n">
        <f aca="false">T543-S543</f>
        <v>2894.59</v>
      </c>
      <c r="V543" s="7" t="n">
        <f aca="false">IF(T543=0,0,U543/T543)</f>
        <v>0.334956860240139</v>
      </c>
      <c r="W543" s="4" t="n">
        <f aca="false">C543-B543</f>
        <v>1</v>
      </c>
      <c r="X543" s="0" t="str">
        <f aca="false">TEXT(B543,"mmmm")</f>
        <v>July</v>
      </c>
      <c r="Y543" s="4" t="n">
        <f aca="false">YEAR(B543)</f>
        <v>2025</v>
      </c>
      <c r="Z543" s="0" t="str">
        <f aca="false">PROPER(TRIM(AU543))</f>
        <v>Paid</v>
      </c>
      <c r="AA543" s="0" t="str">
        <f aca="false">PROPER(TRIM(AV543))</f>
        <v>Returned</v>
      </c>
      <c r="AB543" s="0" t="str">
        <f aca="false">IF(TRIM(AN543)="","Yes","No")</f>
        <v>No</v>
      </c>
      <c r="AC543" s="0" t="str">
        <f aca="false">IF(TRIM(AS543)="","Yes","No")</f>
        <v>No</v>
      </c>
      <c r="AD543" s="0" t="str">
        <f aca="false">IF(AT543="","Yes","No")</f>
        <v>No</v>
      </c>
      <c r="AE543" s="0" t="str">
        <f aca="false">IF(W543&lt;0,"Yes","No")</f>
        <v>No</v>
      </c>
      <c r="AF543" s="0" t="str">
        <f aca="false">IF(P543="","No",IF(OR(P543&lt;0,P543&gt;0.3),"Yes","No"))</f>
        <v>No</v>
      </c>
      <c r="AG543" s="4" t="s">
        <v>50</v>
      </c>
      <c r="AH543" s="0" t="str">
        <f aca="false">IF(AND(AA543="Completed",Z543="Paid"),"Yes","No")</f>
        <v>No</v>
      </c>
      <c r="AI543" s="0" t="str">
        <f aca="false">IF(OR(AE543="Yes",AF543="Yes",AG543="Yes"),"Invalid",IF(OR(AB543="Yes",AC543="Yes",AD543="Yes"),"Warning","Clean"))</f>
        <v>Clean</v>
      </c>
      <c r="AJ543" s="4" t="s">
        <v>2126</v>
      </c>
      <c r="AK543" s="4" t="s">
        <v>2127</v>
      </c>
      <c r="AL543" s="4" t="s">
        <v>181</v>
      </c>
      <c r="AM543" s="4" t="s">
        <v>54</v>
      </c>
      <c r="AN543" s="4" t="s">
        <v>97</v>
      </c>
      <c r="AO543" s="4" t="s">
        <v>98</v>
      </c>
      <c r="AP543" s="4" t="s">
        <v>99</v>
      </c>
      <c r="AQ543" s="4" t="s">
        <v>109</v>
      </c>
      <c r="AR543" s="4" t="s">
        <v>116</v>
      </c>
      <c r="AS543" s="4" t="s">
        <v>74</v>
      </c>
      <c r="AT543" s="0" t="n">
        <v>0</v>
      </c>
      <c r="AU543" s="4" t="s">
        <v>61</v>
      </c>
      <c r="AV543" s="4" t="s">
        <v>142</v>
      </c>
    </row>
    <row r="544" customFormat="false" ht="15" hidden="false" customHeight="false" outlineLevel="0" collapsed="false">
      <c r="A544" s="0" t="s">
        <v>2128</v>
      </c>
      <c r="B544" s="3" t="n">
        <f aca="false">IF(AJ544="","",IF(ISNUMBER(SEARCH("/",AJ544)),DATE(VALUE(RIGHT(AJ544,4)),VALUE(LEFT(AJ544,2)),VALUE(MID(AJ544,4,2))),IF(ISNUMBER(SEARCH("-",AJ544)),IF(LEN(LEFT(AJ544,FIND("-",AJ544)-1))=4,DATE(VALUE(LEFT(AJ544,4)),VALUE(MID(AJ544,6,2)),VALUE(RIGHT(AJ544,2))),DATE(VALUE(RIGHT(AJ544,4)),VALUE(MID(AJ544,4,2)),VALUE(LEFT(AJ544,2)))),DATE(VALUE(RIGHT(AJ544,4)),MATCH(MID(AJ544,4,3),{"Jan","Feb","Mar","Apr","May","Jun","Jul","Aug","Sep","Oct","Nov","Dec"},0),VALUE(LEFT(AJ544,2))))))</f>
        <v>45552</v>
      </c>
      <c r="C544" s="3" t="n">
        <f aca="false">IF(AK544="","",IF(ISNUMBER(SEARCH("/",AK544)),DATE(VALUE(RIGHT(AK544,4)),VALUE(LEFT(AK544,2)),VALUE(MID(AK544,4,2))),IF(ISNUMBER(SEARCH("-",AK544)),IF(LEN(LEFT(AK544,FIND("-",AK544)-1))=4,DATE(VALUE(LEFT(AK544,4)),VALUE(MID(AK544,6,2)),VALUE(RIGHT(AK544,2))),DATE(VALUE(RIGHT(AK544,4)),VALUE(MID(AK544,4,2)),VALUE(LEFT(AK544,2)))),DATE(VALUE(RIGHT(AK544,4)),MATCH(MID(AK544,4,3),{"Jan","Feb","Mar","Apr","May","Jun","Jul","Aug","Sep","Oct","Nov","Dec"},0),VALUE(LEFT(AK544,2))))))</f>
        <v>45558</v>
      </c>
      <c r="D544" s="4" t="s">
        <v>2129</v>
      </c>
      <c r="E544" s="0" t="str">
        <f aca="false">PROPER(TRIM(AL544))</f>
        <v>Rahul Verma</v>
      </c>
      <c r="F544" s="0" t="str">
        <f aca="false">PROPER(TRIM(AM544))</f>
        <v>Home Office</v>
      </c>
      <c r="G544" s="0" t="str">
        <f aca="false">IF(TRIM(AN544)="","Unknown",PROPER(TRIM(AN544)))</f>
        <v>South</v>
      </c>
      <c r="H544" s="0" t="str">
        <f aca="false">PROPER(TRIM(AO544))</f>
        <v>Kerala</v>
      </c>
      <c r="I544" s="0" t="str">
        <f aca="false">PROPER(TRIM(AP544))</f>
        <v>Kochi</v>
      </c>
      <c r="J544" s="0" t="str">
        <f aca="false">PROPER(TRIM(AQ544))</f>
        <v>Furniture</v>
      </c>
      <c r="K544" s="0" t="str">
        <f aca="false">PROPER(TRIM(AR544))</f>
        <v>Bookcases</v>
      </c>
      <c r="M544" s="0" t="str">
        <f aca="false">IF(TRIM(AS544)="","Unknown",PROPER(TRIM(AS544)))</f>
        <v>Second Class</v>
      </c>
      <c r="N544" s="0" t="n">
        <v>3</v>
      </c>
      <c r="O544" s="0" t="n">
        <v>4067.62</v>
      </c>
      <c r="P544" s="5" t="n">
        <f aca="false">IF(AT544="","",IF(ISNUMBER(AT544),AT544,VALUE(SUBSTITUTE(AT544,"%",""))/100))</f>
        <v>0.2</v>
      </c>
      <c r="Q544" s="5" t="n">
        <f aca="false">IF(P544="",IF(AND(N544&lt;&gt;"",O544&lt;&gt;"",R544&lt;&gt;"",S544&lt;&gt;""),0,"REVIEW"),IF(OR(P544&lt;0,P544&gt;0.3),0,P544))</f>
        <v>0.2</v>
      </c>
      <c r="R544" s="0" t="n">
        <v>9988.53</v>
      </c>
      <c r="S544" s="0" t="n">
        <v>8368.24</v>
      </c>
      <c r="T544" s="6" t="n">
        <f aca="false">N544*O544*(1-Q544)</f>
        <v>9762.288</v>
      </c>
      <c r="U544" s="6" t="n">
        <f aca="false">T544-S544</f>
        <v>1394.048</v>
      </c>
      <c r="V544" s="7" t="n">
        <f aca="false">IF(T544=0,0,U544/T544)</f>
        <v>0.142799310981196</v>
      </c>
      <c r="W544" s="4" t="n">
        <f aca="false">C544-B544</f>
        <v>6</v>
      </c>
      <c r="X544" s="0" t="str">
        <f aca="false">TEXT(B544,"mmmm")</f>
        <v>September</v>
      </c>
      <c r="Y544" s="4" t="n">
        <f aca="false">YEAR(B544)</f>
        <v>2024</v>
      </c>
      <c r="Z544" s="0" t="str">
        <f aca="false">PROPER(TRIM(AU544))</f>
        <v>Paid</v>
      </c>
      <c r="AA544" s="0" t="str">
        <f aca="false">PROPER(TRIM(AV544))</f>
        <v>Cancelled</v>
      </c>
      <c r="AB544" s="0" t="str">
        <f aca="false">IF(TRIM(AN544)="","Yes","No")</f>
        <v>No</v>
      </c>
      <c r="AC544" s="0" t="str">
        <f aca="false">IF(TRIM(AS544)="","Yes","No")</f>
        <v>No</v>
      </c>
      <c r="AD544" s="0" t="str">
        <f aca="false">IF(AT544="","Yes","No")</f>
        <v>No</v>
      </c>
      <c r="AE544" s="0" t="str">
        <f aca="false">IF(W544&lt;0,"Yes","No")</f>
        <v>No</v>
      </c>
      <c r="AF544" s="0" t="str">
        <f aca="false">IF(P544="","No",IF(OR(P544&lt;0,P544&gt;0.3),"Yes","No"))</f>
        <v>No</v>
      </c>
      <c r="AG544" s="4" t="s">
        <v>50</v>
      </c>
      <c r="AH544" s="0" t="str">
        <f aca="false">IF(AND(AA544="Completed",Z544="Paid"),"Yes","No")</f>
        <v>No</v>
      </c>
      <c r="AI544" s="0" t="str">
        <f aca="false">IF(OR(AE544="Yes",AF544="Yes",AG544="Yes"),"Invalid",IF(OR(AB544="Yes",AC544="Yes",AD544="Yes"),"Warning","Clean"))</f>
        <v>Clean</v>
      </c>
      <c r="AJ544" s="4" t="s">
        <v>2130</v>
      </c>
      <c r="AK544" s="4" t="s">
        <v>2131</v>
      </c>
      <c r="AL544" s="4" t="s">
        <v>163</v>
      </c>
      <c r="AM544" s="4" t="s">
        <v>134</v>
      </c>
      <c r="AN544" s="4" t="s">
        <v>87</v>
      </c>
      <c r="AO544" s="4" t="s">
        <v>244</v>
      </c>
      <c r="AP544" s="4" t="s">
        <v>245</v>
      </c>
      <c r="AQ544" s="4" t="s">
        <v>72</v>
      </c>
      <c r="AR544" s="4" t="s">
        <v>211</v>
      </c>
      <c r="AS544" s="4" t="s">
        <v>60</v>
      </c>
      <c r="AT544" s="0" t="n">
        <v>0.2</v>
      </c>
      <c r="AU544" s="4" t="s">
        <v>61</v>
      </c>
      <c r="AV544" s="4" t="s">
        <v>2132</v>
      </c>
    </row>
    <row r="545" customFormat="false" ht="15" hidden="false" customHeight="false" outlineLevel="0" collapsed="false">
      <c r="A545" s="0" t="s">
        <v>2133</v>
      </c>
      <c r="B545" s="3" t="n">
        <f aca="false">IF(AJ545="","",IF(ISNUMBER(SEARCH("/",AJ545)),DATE(VALUE(RIGHT(AJ545,4)),VALUE(LEFT(AJ545,2)),VALUE(MID(AJ545,4,2))),IF(ISNUMBER(SEARCH("-",AJ545)),IF(LEN(LEFT(AJ545,FIND("-",AJ545)-1))=4,DATE(VALUE(LEFT(AJ545,4)),VALUE(MID(AJ545,6,2)),VALUE(RIGHT(AJ545,2))),DATE(VALUE(RIGHT(AJ545,4)),VALUE(MID(AJ545,4,2)),VALUE(LEFT(AJ545,2)))),DATE(VALUE(RIGHT(AJ545,4)),MATCH(MID(AJ545,4,3),{"Jan","Feb","Mar","Apr","May","Jun","Jul","Aug","Sep","Oct","Nov","Dec"},0),VALUE(LEFT(AJ545,2))))))</f>
        <v>45487</v>
      </c>
      <c r="C545" s="3" t="n">
        <f aca="false">IF(AK545="","",IF(ISNUMBER(SEARCH("/",AK545)),DATE(VALUE(RIGHT(AK545,4)),VALUE(LEFT(AK545,2)),VALUE(MID(AK545,4,2))),IF(ISNUMBER(SEARCH("-",AK545)),IF(LEN(LEFT(AK545,FIND("-",AK545)-1))=4,DATE(VALUE(LEFT(AK545,4)),VALUE(MID(AK545,6,2)),VALUE(RIGHT(AK545,2))),DATE(VALUE(RIGHT(AK545,4)),VALUE(MID(AK545,4,2)),VALUE(LEFT(AK545,2)))),DATE(VALUE(RIGHT(AK545,4)),MATCH(MID(AK545,4,3),{"Jan","Feb","Mar","Apr","May","Jun","Jul","Aug","Sep","Oct","Nov","Dec"},0),VALUE(LEFT(AK545,2))))))</f>
        <v>45493</v>
      </c>
      <c r="D545" s="4" t="s">
        <v>2134</v>
      </c>
      <c r="E545" s="0" t="str">
        <f aca="false">PROPER(TRIM(AL545))</f>
        <v>Mira Das</v>
      </c>
      <c r="F545" s="0" t="str">
        <f aca="false">PROPER(TRIM(AM545))</f>
        <v>Consumer</v>
      </c>
      <c r="G545" s="0" t="str">
        <f aca="false">IF(TRIM(AN545)="","Unknown",PROPER(TRIM(AN545)))</f>
        <v>East</v>
      </c>
      <c r="H545" s="0" t="str">
        <f aca="false">PROPER(TRIM(AO545))</f>
        <v>Bihar</v>
      </c>
      <c r="I545" s="0" t="str">
        <f aca="false">PROPER(TRIM(AP545))</f>
        <v>Patna</v>
      </c>
      <c r="J545" s="0" t="str">
        <f aca="false">PROPER(TRIM(AQ545))</f>
        <v>Technology</v>
      </c>
      <c r="K545" s="0" t="str">
        <f aca="false">PROPER(TRIM(AR545))</f>
        <v>Copiers</v>
      </c>
      <c r="M545" s="0" t="str">
        <f aca="false">IF(TRIM(AS545)="","Unknown",PROPER(TRIM(AS545)))</f>
        <v>Same Day</v>
      </c>
      <c r="N545" s="0" t="n">
        <v>1</v>
      </c>
      <c r="O545" s="0" t="n">
        <v>492.67</v>
      </c>
      <c r="P545" s="5" t="n">
        <f aca="false">IF(AT545="","",IF(ISNUMBER(AT545),AT545,VALUE(SUBSTITUTE(AT545,"%",""))/100))</f>
        <v>0.15</v>
      </c>
      <c r="Q545" s="5" t="n">
        <f aca="false">IF(P545="",IF(AND(N545&lt;&gt;"",O545&lt;&gt;"",R545&lt;&gt;"",S545&lt;&gt;""),0,"REVIEW"),IF(OR(P545&lt;0,P545&gt;0.3),0,P545))</f>
        <v>0.15</v>
      </c>
      <c r="R545" s="0" t="n">
        <v>418.77</v>
      </c>
      <c r="S545" s="0" t="n">
        <v>313.72</v>
      </c>
      <c r="T545" s="6" t="n">
        <f aca="false">N545*O545*(1-Q545)</f>
        <v>418.7695</v>
      </c>
      <c r="U545" s="6" t="n">
        <f aca="false">T545-S545</f>
        <v>105.0495</v>
      </c>
      <c r="V545" s="7" t="n">
        <f aca="false">IF(T545=0,0,U545/T545)</f>
        <v>0.250852796108599</v>
      </c>
      <c r="W545" s="4" t="n">
        <f aca="false">C545-B545</f>
        <v>6</v>
      </c>
      <c r="X545" s="0" t="str">
        <f aca="false">TEXT(B545,"mmmm")</f>
        <v>July</v>
      </c>
      <c r="Y545" s="4" t="n">
        <f aca="false">YEAR(B545)</f>
        <v>2024</v>
      </c>
      <c r="Z545" s="0" t="str">
        <f aca="false">PROPER(TRIM(AU545))</f>
        <v>Paid</v>
      </c>
      <c r="AA545" s="0" t="str">
        <f aca="false">PROPER(TRIM(AV545))</f>
        <v>Completed</v>
      </c>
      <c r="AB545" s="0" t="str">
        <f aca="false">IF(TRIM(AN545)="","Yes","No")</f>
        <v>No</v>
      </c>
      <c r="AC545" s="0" t="str">
        <f aca="false">IF(TRIM(AS545)="","Yes","No")</f>
        <v>No</v>
      </c>
      <c r="AD545" s="0" t="str">
        <f aca="false">IF(AT545="","Yes","No")</f>
        <v>No</v>
      </c>
      <c r="AE545" s="0" t="str">
        <f aca="false">IF(W545&lt;0,"Yes","No")</f>
        <v>No</v>
      </c>
      <c r="AF545" s="0" t="str">
        <f aca="false">IF(P545="","No",IF(OR(P545&lt;0,P545&gt;0.3),"Yes","No"))</f>
        <v>No</v>
      </c>
      <c r="AG545" s="4" t="s">
        <v>50</v>
      </c>
      <c r="AH545" s="0" t="str">
        <f aca="false">IF(AND(AA545="Completed",Z545="Paid"),"Yes","No")</f>
        <v>Yes</v>
      </c>
      <c r="AI545" s="0" t="str">
        <f aca="false">IF(OR(AE545="Yes",AF545="Yes",AG545="Yes"),"Invalid",IF(OR(AB545="Yes",AC545="Yes",AD545="Yes"),"Warning","Clean"))</f>
        <v>Clean</v>
      </c>
      <c r="AJ545" s="4" t="s">
        <v>2135</v>
      </c>
      <c r="AK545" s="4" t="s">
        <v>375</v>
      </c>
      <c r="AL545" s="4" t="s">
        <v>67</v>
      </c>
      <c r="AM545" s="4" t="s">
        <v>54</v>
      </c>
      <c r="AN545" s="4" t="s">
        <v>69</v>
      </c>
      <c r="AO545" s="4" t="s">
        <v>196</v>
      </c>
      <c r="AP545" s="4" t="s">
        <v>197</v>
      </c>
      <c r="AQ545" s="4" t="s">
        <v>109</v>
      </c>
      <c r="AR545" s="4" t="s">
        <v>116</v>
      </c>
      <c r="AS545" s="4" t="s">
        <v>74</v>
      </c>
      <c r="AT545" s="0" t="n">
        <v>0.15</v>
      </c>
      <c r="AU545" s="4" t="s">
        <v>61</v>
      </c>
      <c r="AV545" s="4" t="s">
        <v>62</v>
      </c>
    </row>
    <row r="546" customFormat="false" ht="15" hidden="false" customHeight="false" outlineLevel="0" collapsed="false">
      <c r="A546" s="0" t="s">
        <v>2136</v>
      </c>
      <c r="B546" s="3" t="n">
        <f aca="false">IF(AJ546="","",IF(ISNUMBER(SEARCH("/",AJ546)),DATE(VALUE(RIGHT(AJ546,4)),VALUE(LEFT(AJ546,2)),VALUE(MID(AJ546,4,2))),IF(ISNUMBER(SEARCH("-",AJ546)),IF(LEN(LEFT(AJ546,FIND("-",AJ546)-1))=4,DATE(VALUE(LEFT(AJ546,4)),VALUE(MID(AJ546,6,2)),VALUE(RIGHT(AJ546,2))),DATE(VALUE(RIGHT(AJ546,4)),VALUE(MID(AJ546,4,2)),VALUE(LEFT(AJ546,2)))),DATE(VALUE(RIGHT(AJ546,4)),MATCH(MID(AJ546,4,3),{"Jan","Feb","Mar","Apr","May","Jun","Jul","Aug","Sep","Oct","Nov","Dec"},0),VALUE(LEFT(AJ546,2))))))</f>
        <v>45686</v>
      </c>
      <c r="C546" s="3" t="n">
        <f aca="false">IF(AK546="","",IF(ISNUMBER(SEARCH("/",AK546)),DATE(VALUE(RIGHT(AK546,4)),VALUE(LEFT(AK546,2)),VALUE(MID(AK546,4,2))),IF(ISNUMBER(SEARCH("-",AK546)),IF(LEN(LEFT(AK546,FIND("-",AK546)-1))=4,DATE(VALUE(LEFT(AK546,4)),VALUE(MID(AK546,6,2)),VALUE(RIGHT(AK546,2))),DATE(VALUE(RIGHT(AK546,4)),VALUE(MID(AK546,4,2)),VALUE(LEFT(AK546,2)))),DATE(VALUE(RIGHT(AK546,4)),MATCH(MID(AK546,4,3),{"Jan","Feb","Mar","Apr","May","Jun","Jul","Aug","Sep","Oct","Nov","Dec"},0),VALUE(LEFT(AK546,2))))))</f>
        <v>45693</v>
      </c>
      <c r="D546" s="4" t="s">
        <v>2137</v>
      </c>
      <c r="E546" s="0" t="str">
        <f aca="false">PROPER(TRIM(AL546))</f>
        <v>Ananya Rao</v>
      </c>
      <c r="F546" s="0" t="str">
        <f aca="false">PROPER(TRIM(AM546))</f>
        <v>Consumer</v>
      </c>
      <c r="G546" s="0" t="str">
        <f aca="false">IF(TRIM(AN546)="","Unknown",PROPER(TRIM(AN546)))</f>
        <v>South</v>
      </c>
      <c r="H546" s="0" t="str">
        <f aca="false">PROPER(TRIM(AO546))</f>
        <v>Kerala</v>
      </c>
      <c r="I546" s="0" t="str">
        <f aca="false">PROPER(TRIM(AP546))</f>
        <v>Kochi</v>
      </c>
      <c r="J546" s="0" t="str">
        <f aca="false">PROPER(TRIM(AQ546))</f>
        <v>Office Supplies</v>
      </c>
      <c r="K546" s="0" t="str">
        <f aca="false">PROPER(TRIM(AR546))</f>
        <v>Art</v>
      </c>
      <c r="M546" s="0" t="str">
        <f aca="false">IF(TRIM(AS546)="","Unknown",PROPER(TRIM(AS546)))</f>
        <v>Same Day</v>
      </c>
      <c r="N546" s="0" t="n">
        <v>8</v>
      </c>
      <c r="O546" s="0" t="n">
        <v>3643.62</v>
      </c>
      <c r="P546" s="5" t="n">
        <f aca="false">IF(AT546="","",IF(ISNUMBER(AT546),AT546,VALUE(SUBSTITUTE(AT546,"%",""))/100))</f>
        <v>0.25</v>
      </c>
      <c r="Q546" s="5" t="n">
        <f aca="false">IF(P546="",IF(AND(N546&lt;&gt;"",O546&lt;&gt;"",R546&lt;&gt;"",S546&lt;&gt;""),0,"REVIEW"),IF(OR(P546&lt;0,P546&gt;0.3),0,P546))</f>
        <v>0.25</v>
      </c>
      <c r="R546" s="0" t="n">
        <v>21861.72</v>
      </c>
      <c r="S546" s="0" t="n">
        <v>18464.34</v>
      </c>
      <c r="T546" s="6" t="n">
        <f aca="false">N546*O546*(1-Q546)</f>
        <v>21861.72</v>
      </c>
      <c r="U546" s="6" t="n">
        <f aca="false">T546-S546</f>
        <v>3397.38</v>
      </c>
      <c r="V546" s="7" t="n">
        <f aca="false">IF(T546=0,0,U546/T546)</f>
        <v>0.155403143028088</v>
      </c>
      <c r="W546" s="4" t="n">
        <f aca="false">C546-B546</f>
        <v>7</v>
      </c>
      <c r="X546" s="0" t="str">
        <f aca="false">TEXT(B546,"mmmm")</f>
        <v>January</v>
      </c>
      <c r="Y546" s="4" t="n">
        <f aca="false">YEAR(B546)</f>
        <v>2025</v>
      </c>
      <c r="Z546" s="0" t="str">
        <f aca="false">PROPER(TRIM(AU546))</f>
        <v>Paid</v>
      </c>
      <c r="AA546" s="0" t="str">
        <f aca="false">PROPER(TRIM(AV546))</f>
        <v>Cancelled</v>
      </c>
      <c r="AB546" s="0" t="str">
        <f aca="false">IF(TRIM(AN546)="","Yes","No")</f>
        <v>No</v>
      </c>
      <c r="AC546" s="0" t="str">
        <f aca="false">IF(TRIM(AS546)="","Yes","No")</f>
        <v>No</v>
      </c>
      <c r="AD546" s="0" t="str">
        <f aca="false">IF(AT546="","Yes","No")</f>
        <v>No</v>
      </c>
      <c r="AE546" s="0" t="str">
        <f aca="false">IF(W546&lt;0,"Yes","No")</f>
        <v>No</v>
      </c>
      <c r="AF546" s="0" t="str">
        <f aca="false">IF(P546="","No",IF(OR(P546&lt;0,P546&gt;0.3),"Yes","No"))</f>
        <v>No</v>
      </c>
      <c r="AG546" s="4" t="s">
        <v>50</v>
      </c>
      <c r="AH546" s="0" t="str">
        <f aca="false">IF(AND(AA546="Completed",Z546="Paid"),"Yes","No")</f>
        <v>No</v>
      </c>
      <c r="AI546" s="0" t="str">
        <f aca="false">IF(OR(AE546="Yes",AF546="Yes",AG546="Yes"),"Invalid",IF(OR(AB546="Yes",AC546="Yes",AD546="Yes"),"Warning","Clean"))</f>
        <v>Clean</v>
      </c>
      <c r="AJ546" s="4" t="s">
        <v>2138</v>
      </c>
      <c r="AK546" s="4" t="s">
        <v>1693</v>
      </c>
      <c r="AL546" s="4" t="s">
        <v>96</v>
      </c>
      <c r="AM546" s="4" t="s">
        <v>54</v>
      </c>
      <c r="AN546" s="4" t="s">
        <v>87</v>
      </c>
      <c r="AO546" s="4" t="s">
        <v>244</v>
      </c>
      <c r="AP546" s="4" t="s">
        <v>245</v>
      </c>
      <c r="AQ546" s="4" t="s">
        <v>58</v>
      </c>
      <c r="AR546" s="4" t="s">
        <v>80</v>
      </c>
      <c r="AS546" s="4" t="s">
        <v>74</v>
      </c>
      <c r="AT546" s="0" t="n">
        <v>0.25</v>
      </c>
      <c r="AU546" s="4" t="s">
        <v>61</v>
      </c>
      <c r="AV546" s="4" t="s">
        <v>101</v>
      </c>
    </row>
    <row r="547" customFormat="false" ht="15" hidden="false" customHeight="false" outlineLevel="0" collapsed="false">
      <c r="A547" s="0" t="s">
        <v>2139</v>
      </c>
      <c r="B547" s="3" t="n">
        <f aca="false">IF(AJ547="","",IF(ISNUMBER(SEARCH("/",AJ547)),DATE(VALUE(RIGHT(AJ547,4)),VALUE(LEFT(AJ547,2)),VALUE(MID(AJ547,4,2))),IF(ISNUMBER(SEARCH("-",AJ547)),IF(LEN(LEFT(AJ547,FIND("-",AJ547)-1))=4,DATE(VALUE(LEFT(AJ547,4)),VALUE(MID(AJ547,6,2)),VALUE(RIGHT(AJ547,2))),DATE(VALUE(RIGHT(AJ547,4)),VALUE(MID(AJ547,4,2)),VALUE(LEFT(AJ547,2)))),DATE(VALUE(RIGHT(AJ547,4)),MATCH(MID(AJ547,4,3),{"Jan","Feb","Mar","Apr","May","Jun","Jul","Aug","Sep","Oct","Nov","Dec"},0),VALUE(LEFT(AJ547,2))))))</f>
        <v>45439</v>
      </c>
      <c r="C547" s="3" t="n">
        <f aca="false">IF(AK547="","",IF(ISNUMBER(SEARCH("/",AK547)),DATE(VALUE(RIGHT(AK547,4)),VALUE(LEFT(AK547,2)),VALUE(MID(AK547,4,2))),IF(ISNUMBER(SEARCH("-",AK547)),IF(LEN(LEFT(AK547,FIND("-",AK547)-1))=4,DATE(VALUE(LEFT(AK547,4)),VALUE(MID(AK547,6,2)),VALUE(RIGHT(AK547,2))),DATE(VALUE(RIGHT(AK547,4)),VALUE(MID(AK547,4,2)),VALUE(LEFT(AK547,2)))),DATE(VALUE(RIGHT(AK547,4)),MATCH(MID(AK547,4,3),{"Jan","Feb","Mar","Apr","May","Jun","Jul","Aug","Sep","Oct","Nov","Dec"},0),VALUE(LEFT(AK547,2))))))</f>
        <v>45442</v>
      </c>
      <c r="D547" s="4" t="s">
        <v>2140</v>
      </c>
      <c r="E547" s="0" t="str">
        <f aca="false">PROPER(TRIM(AL547))</f>
        <v>Kabir Singh</v>
      </c>
      <c r="F547" s="0" t="str">
        <f aca="false">PROPER(TRIM(AM547))</f>
        <v>Small Business</v>
      </c>
      <c r="G547" s="0" t="str">
        <f aca="false">IF(TRIM(AN547)="","Unknown",PROPER(TRIM(AN547)))</f>
        <v>East</v>
      </c>
      <c r="H547" s="0" t="str">
        <f aca="false">PROPER(TRIM(AO547))</f>
        <v>Jharkhand</v>
      </c>
      <c r="I547" s="0" t="str">
        <f aca="false">PROPER(TRIM(AP547))</f>
        <v>Ranchi</v>
      </c>
      <c r="J547" s="0" t="str">
        <f aca="false">PROPER(TRIM(AQ547))</f>
        <v>Office Supplies</v>
      </c>
      <c r="K547" s="0" t="str">
        <f aca="false">PROPER(TRIM(AR547))</f>
        <v>Storage</v>
      </c>
      <c r="M547" s="0" t="str">
        <f aca="false">IF(TRIM(AS547)="","Unknown",PROPER(TRIM(AS547)))</f>
        <v>Same Day</v>
      </c>
      <c r="N547" s="0" t="n">
        <v>7</v>
      </c>
      <c r="O547" s="0" t="n">
        <v>2900.86</v>
      </c>
      <c r="P547" s="5" t="n">
        <f aca="false">IF(AT547="","",IF(ISNUMBER(AT547),AT547,VALUE(SUBSTITUTE(AT547,"%",""))/100))</f>
        <v>0.15</v>
      </c>
      <c r="Q547" s="5" t="n">
        <f aca="false">IF(P547="",IF(AND(N547&lt;&gt;"",O547&lt;&gt;"",R547&lt;&gt;"",S547&lt;&gt;""),0,"REVIEW"),IF(OR(P547&lt;0,P547&gt;0.3),0,P547))</f>
        <v>0.15</v>
      </c>
      <c r="R547" s="0" t="n">
        <v>17260.12</v>
      </c>
      <c r="S547" s="0" t="n">
        <v>13513.51</v>
      </c>
      <c r="T547" s="6" t="n">
        <f aca="false">N547*O547*(1-Q547)</f>
        <v>17260.117</v>
      </c>
      <c r="U547" s="6" t="n">
        <f aca="false">T547-S547</f>
        <v>3746.607</v>
      </c>
      <c r="V547" s="7" t="n">
        <f aca="false">IF(T547=0,0,U547/T547)</f>
        <v>0.217067300296979</v>
      </c>
      <c r="W547" s="4" t="n">
        <f aca="false">C547-B547</f>
        <v>3</v>
      </c>
      <c r="X547" s="0" t="str">
        <f aca="false">TEXT(B547,"mmmm")</f>
        <v>May</v>
      </c>
      <c r="Y547" s="4" t="n">
        <f aca="false">YEAR(B547)</f>
        <v>2024</v>
      </c>
      <c r="Z547" s="0" t="str">
        <f aca="false">PROPER(TRIM(AU547))</f>
        <v>Paid</v>
      </c>
      <c r="AA547" s="0" t="str">
        <f aca="false">PROPER(TRIM(AV547))</f>
        <v>Completed</v>
      </c>
      <c r="AB547" s="0" t="str">
        <f aca="false">IF(TRIM(AN547)="","Yes","No")</f>
        <v>No</v>
      </c>
      <c r="AC547" s="0" t="str">
        <f aca="false">IF(TRIM(AS547)="","Yes","No")</f>
        <v>No</v>
      </c>
      <c r="AD547" s="0" t="str">
        <f aca="false">IF(AT547="","Yes","No")</f>
        <v>No</v>
      </c>
      <c r="AE547" s="0" t="str">
        <f aca="false">IF(W547&lt;0,"Yes","No")</f>
        <v>No</v>
      </c>
      <c r="AF547" s="0" t="str">
        <f aca="false">IF(P547="","No",IF(OR(P547&lt;0,P547&gt;0.3),"Yes","No"))</f>
        <v>No</v>
      </c>
      <c r="AG547" s="4" t="s">
        <v>50</v>
      </c>
      <c r="AH547" s="0" t="str">
        <f aca="false">IF(AND(AA547="Completed",Z547="Paid"),"Yes","No")</f>
        <v>Yes</v>
      </c>
      <c r="AI547" s="0" t="str">
        <f aca="false">IF(OR(AE547="Yes",AF547="Yes",AG547="Yes"),"Invalid",IF(OR(AB547="Yes",AC547="Yes",AD547="Yes"),"Warning","Clean"))</f>
        <v>Clean</v>
      </c>
      <c r="AJ547" s="4" t="s">
        <v>2141</v>
      </c>
      <c r="AK547" s="4" t="s">
        <v>2142</v>
      </c>
      <c r="AL547" s="4" t="s">
        <v>347</v>
      </c>
      <c r="AM547" s="4" t="s">
        <v>68</v>
      </c>
      <c r="AN547" s="4" t="s">
        <v>69</v>
      </c>
      <c r="AO547" s="4" t="s">
        <v>300</v>
      </c>
      <c r="AP547" s="4" t="s">
        <v>301</v>
      </c>
      <c r="AQ547" s="4" t="s">
        <v>58</v>
      </c>
      <c r="AR547" s="4" t="s">
        <v>171</v>
      </c>
      <c r="AS547" s="4" t="s">
        <v>74</v>
      </c>
      <c r="AT547" s="0" t="n">
        <v>0.15</v>
      </c>
      <c r="AU547" s="4" t="s">
        <v>61</v>
      </c>
      <c r="AV547" s="4" t="s">
        <v>62</v>
      </c>
    </row>
    <row r="548" customFormat="false" ht="15" hidden="false" customHeight="false" outlineLevel="0" collapsed="false">
      <c r="A548" s="0" t="s">
        <v>2143</v>
      </c>
      <c r="B548" s="3" t="n">
        <f aca="false">IF(AJ548="","",IF(ISNUMBER(SEARCH("/",AJ548)),DATE(VALUE(RIGHT(AJ548,4)),VALUE(LEFT(AJ548,2)),VALUE(MID(AJ548,4,2))),IF(ISNUMBER(SEARCH("-",AJ548)),IF(LEN(LEFT(AJ548,FIND("-",AJ548)-1))=4,DATE(VALUE(LEFT(AJ548,4)),VALUE(MID(AJ548,6,2)),VALUE(RIGHT(AJ548,2))),DATE(VALUE(RIGHT(AJ548,4)),VALUE(MID(AJ548,4,2)),VALUE(LEFT(AJ548,2)))),DATE(VALUE(RIGHT(AJ548,4)),MATCH(MID(AJ548,4,3),{"Jan","Feb","Mar","Apr","May","Jun","Jul","Aug","Sep","Oct","Nov","Dec"},0),VALUE(LEFT(AJ548,2))))))</f>
        <v>45883</v>
      </c>
      <c r="C548" s="3" t="n">
        <f aca="false">IF(AK548="","",IF(ISNUMBER(SEARCH("/",AK548)),DATE(VALUE(RIGHT(AK548,4)),VALUE(LEFT(AK548,2)),VALUE(MID(AK548,4,2))),IF(ISNUMBER(SEARCH("-",AK548)),IF(LEN(LEFT(AK548,FIND("-",AK548)-1))=4,DATE(VALUE(LEFT(AK548,4)),VALUE(MID(AK548,6,2)),VALUE(RIGHT(AK548,2))),DATE(VALUE(RIGHT(AK548,4)),VALUE(MID(AK548,4,2)),VALUE(LEFT(AK548,2)))),DATE(VALUE(RIGHT(AK548,4)),MATCH(MID(AK548,4,3),{"Jan","Feb","Mar","Apr","May","Jun","Jul","Aug","Sep","Oct","Nov","Dec"},0),VALUE(LEFT(AK548,2))))))</f>
        <v>45891</v>
      </c>
      <c r="D548" s="4" t="s">
        <v>2144</v>
      </c>
      <c r="E548" s="0" t="str">
        <f aca="false">PROPER(TRIM(AL548))</f>
        <v>Arjun Bose</v>
      </c>
      <c r="F548" s="0" t="str">
        <f aca="false">PROPER(TRIM(AM548))</f>
        <v>Corporate</v>
      </c>
      <c r="G548" s="0" t="str">
        <f aca="false">IF(TRIM(AN548)="","Unknown",PROPER(TRIM(AN548)))</f>
        <v>West</v>
      </c>
      <c r="H548" s="0" t="str">
        <f aca="false">PROPER(TRIM(AO548))</f>
        <v>Gujarat</v>
      </c>
      <c r="I548" s="0" t="str">
        <f aca="false">PROPER(TRIM(AP548))</f>
        <v>Ahmedabad</v>
      </c>
      <c r="J548" s="0" t="str">
        <f aca="false">PROPER(TRIM(AQ548))</f>
        <v>Office Supplies</v>
      </c>
      <c r="K548" s="0" t="str">
        <f aca="false">PROPER(TRIM(AR548))</f>
        <v>Paper</v>
      </c>
      <c r="M548" s="0" t="str">
        <f aca="false">IF(TRIM(AS548)="","Unknown",PROPER(TRIM(AS548)))</f>
        <v>First Class</v>
      </c>
      <c r="N548" s="0" t="n">
        <v>5</v>
      </c>
      <c r="O548" s="0" t="n">
        <v>2567.37</v>
      </c>
      <c r="P548" s="5" t="n">
        <f aca="false">IF(AT548="","",IF(ISNUMBER(AT548),AT548,VALUE(SUBSTITUTE(AT548,"%",""))/100))</f>
        <v>0.15</v>
      </c>
      <c r="Q548" s="5" t="n">
        <f aca="false">IF(P548="",IF(AND(N548&lt;&gt;"",O548&lt;&gt;"",R548&lt;&gt;"",S548&lt;&gt;""),0,"REVIEW"),IF(OR(P548&lt;0,P548&gt;0.3),0,P548))</f>
        <v>0.15</v>
      </c>
      <c r="R548" s="0" t="n">
        <v>10911.32</v>
      </c>
      <c r="S548" s="0" t="n">
        <v>6966.44</v>
      </c>
      <c r="T548" s="6" t="n">
        <f aca="false">N548*O548*(1-Q548)</f>
        <v>10911.3225</v>
      </c>
      <c r="U548" s="6" t="n">
        <f aca="false">T548-S548</f>
        <v>3944.8825</v>
      </c>
      <c r="V548" s="7" t="n">
        <f aca="false">IF(T548=0,0,U548/T548)</f>
        <v>0.361540271584861</v>
      </c>
      <c r="W548" s="4" t="n">
        <f aca="false">C548-B548</f>
        <v>8</v>
      </c>
      <c r="X548" s="0" t="str">
        <f aca="false">TEXT(B548,"mmmm")</f>
        <v>August</v>
      </c>
      <c r="Y548" s="4" t="n">
        <f aca="false">YEAR(B548)</f>
        <v>2025</v>
      </c>
      <c r="Z548" s="0" t="str">
        <f aca="false">PROPER(TRIM(AU548))</f>
        <v>Paid</v>
      </c>
      <c r="AA548" s="0" t="str">
        <f aca="false">PROPER(TRIM(AV548))</f>
        <v>Completed</v>
      </c>
      <c r="AB548" s="0" t="str">
        <f aca="false">IF(TRIM(AN548)="","Yes","No")</f>
        <v>No</v>
      </c>
      <c r="AC548" s="0" t="str">
        <f aca="false">IF(TRIM(AS548)="","Yes","No")</f>
        <v>No</v>
      </c>
      <c r="AD548" s="0" t="str">
        <f aca="false">IF(AT548="","Yes","No")</f>
        <v>No</v>
      </c>
      <c r="AE548" s="0" t="str">
        <f aca="false">IF(W548&lt;0,"Yes","No")</f>
        <v>No</v>
      </c>
      <c r="AF548" s="0" t="str">
        <f aca="false">IF(P548="","No",IF(OR(P548&lt;0,P548&gt;0.3),"Yes","No"))</f>
        <v>No</v>
      </c>
      <c r="AG548" s="4" t="s">
        <v>50</v>
      </c>
      <c r="AH548" s="0" t="str">
        <f aca="false">IF(AND(AA548="Completed",Z548="Paid"),"Yes","No")</f>
        <v>Yes</v>
      </c>
      <c r="AI548" s="0" t="str">
        <f aca="false">IF(OR(AE548="Yes",AF548="Yes",AG548="Yes"),"Invalid",IF(OR(AB548="Yes",AC548="Yes",AD548="Yes"),"Warning","Clean"))</f>
        <v>Clean</v>
      </c>
      <c r="AJ548" s="4" t="s">
        <v>2145</v>
      </c>
      <c r="AK548" s="4" t="s">
        <v>1249</v>
      </c>
      <c r="AL548" s="4" t="s">
        <v>86</v>
      </c>
      <c r="AM548" s="4" t="s">
        <v>128</v>
      </c>
      <c r="AN548" s="4" t="s">
        <v>97</v>
      </c>
      <c r="AO548" s="4" t="s">
        <v>238</v>
      </c>
      <c r="AP548" s="4" t="s">
        <v>239</v>
      </c>
      <c r="AQ548" s="4" t="s">
        <v>2146</v>
      </c>
      <c r="AR548" s="4" t="s">
        <v>59</v>
      </c>
      <c r="AS548" s="4" t="s">
        <v>81</v>
      </c>
      <c r="AT548" s="0" t="n">
        <v>0.15</v>
      </c>
      <c r="AU548" s="4" t="s">
        <v>61</v>
      </c>
      <c r="AV548" s="4" t="s">
        <v>62</v>
      </c>
    </row>
    <row r="549" customFormat="false" ht="15" hidden="false" customHeight="false" outlineLevel="0" collapsed="false">
      <c r="A549" s="0" t="s">
        <v>2147</v>
      </c>
      <c r="B549" s="3" t="n">
        <f aca="false">IF(AJ549="","",IF(ISNUMBER(SEARCH("/",AJ549)),DATE(VALUE(RIGHT(AJ549,4)),VALUE(LEFT(AJ549,2)),VALUE(MID(AJ549,4,2))),IF(ISNUMBER(SEARCH("-",AJ549)),IF(LEN(LEFT(AJ549,FIND("-",AJ549)-1))=4,DATE(VALUE(LEFT(AJ549,4)),VALUE(MID(AJ549,6,2)),VALUE(RIGHT(AJ549,2))),DATE(VALUE(RIGHT(AJ549,4)),VALUE(MID(AJ549,4,2)),VALUE(LEFT(AJ549,2)))),DATE(VALUE(RIGHT(AJ549,4)),MATCH(MID(AJ549,4,3),{"Jan","Feb","Mar","Apr","May","Jun","Jul","Aug","Sep","Oct","Nov","Dec"},0),VALUE(LEFT(AJ549,2))))))</f>
        <v>45428</v>
      </c>
      <c r="C549" s="3" t="n">
        <f aca="false">IF(AK549="","",IF(ISNUMBER(SEARCH("/",AK549)),DATE(VALUE(RIGHT(AK549,4)),VALUE(LEFT(AK549,2)),VALUE(MID(AK549,4,2))),IF(ISNUMBER(SEARCH("-",AK549)),IF(LEN(LEFT(AK549,FIND("-",AK549)-1))=4,DATE(VALUE(LEFT(AK549,4)),VALUE(MID(AK549,6,2)),VALUE(RIGHT(AK549,2))),DATE(VALUE(RIGHT(AK549,4)),VALUE(MID(AK549,4,2)),VALUE(LEFT(AK549,2)))),DATE(VALUE(RIGHT(AK549,4)),MATCH(MID(AK549,4,3),{"Jan","Feb","Mar","Apr","May","Jun","Jul","Aug","Sep","Oct","Nov","Dec"},0),VALUE(LEFT(AK549,2))))))</f>
        <v>45435</v>
      </c>
      <c r="D549" s="4" t="s">
        <v>2148</v>
      </c>
      <c r="E549" s="0" t="str">
        <f aca="false">PROPER(TRIM(AL549))</f>
        <v>Neha Gupta</v>
      </c>
      <c r="F549" s="0" t="str">
        <f aca="false">PROPER(TRIM(AM549))</f>
        <v>Small Business</v>
      </c>
      <c r="G549" s="0" t="str">
        <f aca="false">IF(TRIM(AN549)="","Unknown",PROPER(TRIM(AN549)))</f>
        <v>North</v>
      </c>
      <c r="H549" s="0" t="str">
        <f aca="false">PROPER(TRIM(AO549))</f>
        <v>Uttar Pradesh</v>
      </c>
      <c r="I549" s="0" t="str">
        <f aca="false">PROPER(TRIM(AP549))</f>
        <v>Noida</v>
      </c>
      <c r="J549" s="0" t="str">
        <f aca="false">PROPER(TRIM(AQ549))</f>
        <v>Technology</v>
      </c>
      <c r="K549" s="0" t="str">
        <f aca="false">PROPER(TRIM(AR549))</f>
        <v>Copiers</v>
      </c>
      <c r="M549" s="0" t="str">
        <f aca="false">IF(TRIM(AS549)="","Unknown",PROPER(TRIM(AS549)))</f>
        <v>Standard Class</v>
      </c>
      <c r="N549" s="0" t="n">
        <v>9</v>
      </c>
      <c r="O549" s="0" t="n">
        <v>3722.09</v>
      </c>
      <c r="P549" s="5" t="n">
        <f aca="false">IF(AT549="","",IF(ISNUMBER(AT549),AT549,VALUE(SUBSTITUTE(AT549,"%",""))/100))</f>
        <v>0.1</v>
      </c>
      <c r="Q549" s="5" t="n">
        <f aca="false">IF(P549="",IF(AND(N549&lt;&gt;"",O549&lt;&gt;"",R549&lt;&gt;"",S549&lt;&gt;""),0,"REVIEW"),IF(OR(P549&lt;0,P549&gt;0.3),0,P549))</f>
        <v>0.1</v>
      </c>
      <c r="R549" s="0" t="n">
        <v>30148.93</v>
      </c>
      <c r="S549" s="0" t="n">
        <v>25155.07</v>
      </c>
      <c r="T549" s="6" t="n">
        <f aca="false">N549*O549*(1-Q549)</f>
        <v>30148.929</v>
      </c>
      <c r="U549" s="6" t="n">
        <f aca="false">T549-S549</f>
        <v>4993.859</v>
      </c>
      <c r="V549" s="7" t="n">
        <f aca="false">IF(T549=0,0,U549/T549)</f>
        <v>0.165639681595323</v>
      </c>
      <c r="W549" s="4" t="n">
        <f aca="false">C549-B549</f>
        <v>7</v>
      </c>
      <c r="X549" s="0" t="str">
        <f aca="false">TEXT(B549,"mmmm")</f>
        <v>May</v>
      </c>
      <c r="Y549" s="4" t="n">
        <f aca="false">YEAR(B549)</f>
        <v>2024</v>
      </c>
      <c r="Z549" s="0" t="str">
        <f aca="false">PROPER(TRIM(AU549))</f>
        <v>Paid</v>
      </c>
      <c r="AA549" s="0" t="str">
        <f aca="false">PROPER(TRIM(AV549))</f>
        <v>Completed</v>
      </c>
      <c r="AB549" s="0" t="str">
        <f aca="false">IF(TRIM(AN549)="","Yes","No")</f>
        <v>No</v>
      </c>
      <c r="AC549" s="0" t="str">
        <f aca="false">IF(TRIM(AS549)="","Yes","No")</f>
        <v>No</v>
      </c>
      <c r="AD549" s="0" t="str">
        <f aca="false">IF(AT549="","Yes","No")</f>
        <v>No</v>
      </c>
      <c r="AE549" s="0" t="str">
        <f aca="false">IF(W549&lt;0,"Yes","No")</f>
        <v>No</v>
      </c>
      <c r="AF549" s="0" t="str">
        <f aca="false">IF(P549="","No",IF(OR(P549&lt;0,P549&gt;0.3),"Yes","No"))</f>
        <v>No</v>
      </c>
      <c r="AG549" s="4" t="s">
        <v>50</v>
      </c>
      <c r="AH549" s="0" t="str">
        <f aca="false">IF(AND(AA549="Completed",Z549="Paid"),"Yes","No")</f>
        <v>Yes</v>
      </c>
      <c r="AI549" s="0" t="str">
        <f aca="false">IF(OR(AE549="Yes",AF549="Yes",AG549="Yes"),"Invalid",IF(OR(AB549="Yes",AC549="Yes",AD549="Yes"),"Warning","Clean"))</f>
        <v>Clean</v>
      </c>
      <c r="AJ549" s="4" t="s">
        <v>2149</v>
      </c>
      <c r="AK549" s="4" t="s">
        <v>2150</v>
      </c>
      <c r="AL549" s="4" t="s">
        <v>115</v>
      </c>
      <c r="AM549" s="4" t="s">
        <v>68</v>
      </c>
      <c r="AN549" s="4" t="s">
        <v>168</v>
      </c>
      <c r="AO549" s="4" t="s">
        <v>186</v>
      </c>
      <c r="AP549" s="4" t="s">
        <v>187</v>
      </c>
      <c r="AQ549" s="4" t="s">
        <v>109</v>
      </c>
      <c r="AR549" s="4" t="s">
        <v>116</v>
      </c>
      <c r="AS549" s="4" t="s">
        <v>91</v>
      </c>
      <c r="AT549" s="0" t="n">
        <v>0.1</v>
      </c>
      <c r="AU549" s="4" t="s">
        <v>61</v>
      </c>
      <c r="AV549" s="4" t="s">
        <v>62</v>
      </c>
    </row>
    <row r="550" customFormat="false" ht="15" hidden="false" customHeight="false" outlineLevel="0" collapsed="false">
      <c r="A550" s="0" t="s">
        <v>2151</v>
      </c>
      <c r="B550" s="3" t="n">
        <f aca="false">IF(AJ550="","",IF(ISNUMBER(SEARCH("/",AJ550)),DATE(VALUE(RIGHT(AJ550,4)),VALUE(LEFT(AJ550,2)),VALUE(MID(AJ550,4,2))),IF(ISNUMBER(SEARCH("-",AJ550)),IF(LEN(LEFT(AJ550,FIND("-",AJ550)-1))=4,DATE(VALUE(LEFT(AJ550,4)),VALUE(MID(AJ550,6,2)),VALUE(RIGHT(AJ550,2))),DATE(VALUE(RIGHT(AJ550,4)),VALUE(MID(AJ550,4,2)),VALUE(LEFT(AJ550,2)))),DATE(VALUE(RIGHT(AJ550,4)),MATCH(MID(AJ550,4,3),{"Jan","Feb","Mar","Apr","May","Jun","Jul","Aug","Sep","Oct","Nov","Dec"},0),VALUE(LEFT(AJ550,2))))))</f>
        <v>45441</v>
      </c>
      <c r="C550" s="3" t="n">
        <f aca="false">IF(AK550="","",IF(ISNUMBER(SEARCH("/",AK550)),DATE(VALUE(RIGHT(AK550,4)),VALUE(LEFT(AK550,2)),VALUE(MID(AK550,4,2))),IF(ISNUMBER(SEARCH("-",AK550)),IF(LEN(LEFT(AK550,FIND("-",AK550)-1))=4,DATE(VALUE(LEFT(AK550,4)),VALUE(MID(AK550,6,2)),VALUE(RIGHT(AK550,2))),DATE(VALUE(RIGHT(AK550,4)),VALUE(MID(AK550,4,2)),VALUE(LEFT(AK550,2)))),DATE(VALUE(RIGHT(AK550,4)),MATCH(MID(AK550,4,3),{"Jan","Feb","Mar","Apr","May","Jun","Jul","Aug","Sep","Oct","Nov","Dec"},0),VALUE(LEFT(AK550,2))))))</f>
        <v>45441</v>
      </c>
      <c r="D550" s="4" t="s">
        <v>2152</v>
      </c>
      <c r="E550" s="0" t="str">
        <f aca="false">PROPER(TRIM(AL550))</f>
        <v>Rohan Mehta</v>
      </c>
      <c r="F550" s="0" t="str">
        <f aca="false">PROPER(TRIM(AM550))</f>
        <v>Corporate</v>
      </c>
      <c r="G550" s="0" t="str">
        <f aca="false">IF(TRIM(AN550)="","Unknown",PROPER(TRIM(AN550)))</f>
        <v>East</v>
      </c>
      <c r="H550" s="0" t="str">
        <f aca="false">PROPER(TRIM(AO550))</f>
        <v>Bihar</v>
      </c>
      <c r="I550" s="0" t="str">
        <f aca="false">PROPER(TRIM(AP550))</f>
        <v>Patna</v>
      </c>
      <c r="J550" s="0" t="str">
        <f aca="false">PROPER(TRIM(AQ550))</f>
        <v>Furniture</v>
      </c>
      <c r="K550" s="0" t="str">
        <f aca="false">PROPER(TRIM(AR550))</f>
        <v>Bookcases</v>
      </c>
      <c r="M550" s="0" t="str">
        <f aca="false">IF(TRIM(AS550)="","Unknown",PROPER(TRIM(AS550)))</f>
        <v>Same Day</v>
      </c>
      <c r="N550" s="0" t="n">
        <v>1</v>
      </c>
      <c r="O550" s="0" t="n">
        <v>1072.01</v>
      </c>
      <c r="P550" s="5" t="n">
        <f aca="false">IF(AT550="","",IF(ISNUMBER(AT550),AT550,VALUE(SUBSTITUTE(AT550,"%",""))/100))</f>
        <v>0</v>
      </c>
      <c r="Q550" s="5" t="n">
        <f aca="false">IF(P550="",IF(AND(N550&lt;&gt;"",O550&lt;&gt;"",R550&lt;&gt;"",S550&lt;&gt;""),0,"REVIEW"),IF(OR(P550&lt;0,P550&gt;0.3),0,P550))</f>
        <v>0</v>
      </c>
      <c r="R550" s="0" t="n">
        <v>1072.01</v>
      </c>
      <c r="S550" s="0" t="n">
        <v>852.62</v>
      </c>
      <c r="T550" s="6" t="n">
        <f aca="false">N550*O550*(1-Q550)</f>
        <v>1072.01</v>
      </c>
      <c r="U550" s="6" t="n">
        <f aca="false">T550-S550</f>
        <v>219.39</v>
      </c>
      <c r="V550" s="7" t="n">
        <f aca="false">IF(T550=0,0,U550/T550)</f>
        <v>0.20465294167032</v>
      </c>
      <c r="W550" s="4" t="n">
        <f aca="false">C550-B550</f>
        <v>0</v>
      </c>
      <c r="X550" s="0" t="str">
        <f aca="false">TEXT(B550,"mmmm")</f>
        <v>May</v>
      </c>
      <c r="Y550" s="4" t="n">
        <f aca="false">YEAR(B550)</f>
        <v>2024</v>
      </c>
      <c r="Z550" s="0" t="str">
        <f aca="false">PROPER(TRIM(AU550))</f>
        <v>Pending</v>
      </c>
      <c r="AA550" s="0" t="str">
        <f aca="false">PROPER(TRIM(AV550))</f>
        <v>Cancelled</v>
      </c>
      <c r="AB550" s="0" t="str">
        <f aca="false">IF(TRIM(AN550)="","Yes","No")</f>
        <v>No</v>
      </c>
      <c r="AC550" s="0" t="str">
        <f aca="false">IF(TRIM(AS550)="","Yes","No")</f>
        <v>No</v>
      </c>
      <c r="AD550" s="0" t="str">
        <f aca="false">IF(AT550="","Yes","No")</f>
        <v>No</v>
      </c>
      <c r="AE550" s="0" t="str">
        <f aca="false">IF(W550&lt;0,"Yes","No")</f>
        <v>No</v>
      </c>
      <c r="AF550" s="0" t="str">
        <f aca="false">IF(P550="","No",IF(OR(P550&lt;0,P550&gt;0.3),"Yes","No"))</f>
        <v>No</v>
      </c>
      <c r="AG550" s="4" t="s">
        <v>50</v>
      </c>
      <c r="AH550" s="0" t="str">
        <f aca="false">IF(AND(AA550="Completed",Z550="Paid"),"Yes","No")</f>
        <v>No</v>
      </c>
      <c r="AI550" s="0" t="str">
        <f aca="false">IF(OR(AE550="Yes",AF550="Yes",AG550="Yes"),"Invalid",IF(OR(AB550="Yes",AC550="Yes",AD550="Yes"),"Warning","Clean"))</f>
        <v>Clean</v>
      </c>
      <c r="AJ550" s="4" t="s">
        <v>271</v>
      </c>
      <c r="AK550" s="4" t="s">
        <v>270</v>
      </c>
      <c r="AL550" s="4" t="s">
        <v>191</v>
      </c>
      <c r="AM550" s="4" t="s">
        <v>128</v>
      </c>
      <c r="AN550" s="4" t="s">
        <v>69</v>
      </c>
      <c r="AO550" s="4" t="s">
        <v>196</v>
      </c>
      <c r="AP550" s="4" t="s">
        <v>197</v>
      </c>
      <c r="AQ550" s="4" t="s">
        <v>72</v>
      </c>
      <c r="AR550" s="4" t="s">
        <v>211</v>
      </c>
      <c r="AS550" s="4" t="s">
        <v>74</v>
      </c>
      <c r="AT550" s="0" t="n">
        <v>0</v>
      </c>
      <c r="AU550" s="4" t="s">
        <v>153</v>
      </c>
      <c r="AV550" s="4" t="s">
        <v>101</v>
      </c>
    </row>
    <row r="551" customFormat="false" ht="15" hidden="false" customHeight="false" outlineLevel="0" collapsed="false">
      <c r="A551" s="0" t="s">
        <v>2153</v>
      </c>
      <c r="B551" s="3" t="n">
        <f aca="false">IF(AJ551="","",IF(ISNUMBER(SEARCH("/",AJ551)),DATE(VALUE(RIGHT(AJ551,4)),VALUE(LEFT(AJ551,2)),VALUE(MID(AJ551,4,2))),IF(ISNUMBER(SEARCH("-",AJ551)),IF(LEN(LEFT(AJ551,FIND("-",AJ551)-1))=4,DATE(VALUE(LEFT(AJ551,4)),VALUE(MID(AJ551,6,2)),VALUE(RIGHT(AJ551,2))),DATE(VALUE(RIGHT(AJ551,4)),VALUE(MID(AJ551,4,2)),VALUE(LEFT(AJ551,2)))),DATE(VALUE(RIGHT(AJ551,4)),MATCH(MID(AJ551,4,3),{"Jan","Feb","Mar","Apr","May","Jun","Jul","Aug","Sep","Oct","Nov","Dec"},0),VALUE(LEFT(AJ551,2))))))</f>
        <v>45941</v>
      </c>
      <c r="C551" s="3" t="n">
        <f aca="false">IF(AK551="","",IF(ISNUMBER(SEARCH("/",AK551)),DATE(VALUE(RIGHT(AK551,4)),VALUE(LEFT(AK551,2)),VALUE(MID(AK551,4,2))),IF(ISNUMBER(SEARCH("-",AK551)),IF(LEN(LEFT(AK551,FIND("-",AK551)-1))=4,DATE(VALUE(LEFT(AK551,4)),VALUE(MID(AK551,6,2)),VALUE(RIGHT(AK551,2))),DATE(VALUE(RIGHT(AK551,4)),VALUE(MID(AK551,4,2)),VALUE(LEFT(AK551,2)))),DATE(VALUE(RIGHT(AK551,4)),MATCH(MID(AK551,4,3),{"Jan","Feb","Mar","Apr","May","Jun","Jul","Aug","Sep","Oct","Nov","Dec"},0),VALUE(LEFT(AK551,2))))))</f>
        <v>45943</v>
      </c>
      <c r="D551" s="4" t="s">
        <v>2154</v>
      </c>
      <c r="E551" s="0" t="str">
        <f aca="false">PROPER(TRIM(AL551))</f>
        <v>Mira Das</v>
      </c>
      <c r="F551" s="0" t="str">
        <f aca="false">PROPER(TRIM(AM551))</f>
        <v>Corporate</v>
      </c>
      <c r="G551" s="0" t="str">
        <f aca="false">IF(TRIM(AN551)="","Unknown",PROPER(TRIM(AN551)))</f>
        <v>South</v>
      </c>
      <c r="H551" s="0" t="str">
        <f aca="false">PROPER(TRIM(AO551))</f>
        <v>Telangana</v>
      </c>
      <c r="I551" s="0" t="str">
        <f aca="false">PROPER(TRIM(AP551))</f>
        <v>Hyderabad</v>
      </c>
      <c r="J551" s="0" t="str">
        <f aca="false">PROPER(TRIM(AQ551))</f>
        <v>Office Supplies</v>
      </c>
      <c r="K551" s="0" t="str">
        <f aca="false">PROPER(TRIM(AR551))</f>
        <v>Art</v>
      </c>
      <c r="M551" s="0" t="str">
        <f aca="false">IF(TRIM(AS551)="","Unknown",PROPER(TRIM(AS551)))</f>
        <v>Second Class</v>
      </c>
      <c r="N551" s="0" t="n">
        <v>3</v>
      </c>
      <c r="O551" s="0" t="n">
        <v>3804.27</v>
      </c>
      <c r="P551" s="5" t="n">
        <f aca="false">IF(AT551="","",IF(ISNUMBER(AT551),AT551,VALUE(SUBSTITUTE(AT551,"%",""))/100))</f>
        <v>0.1</v>
      </c>
      <c r="Q551" s="5" t="n">
        <f aca="false">IF(P551="",IF(AND(N551&lt;&gt;"",O551&lt;&gt;"",R551&lt;&gt;"",S551&lt;&gt;""),0,"REVIEW"),IF(OR(P551&lt;0,P551&gt;0.3),0,P551))</f>
        <v>0.1</v>
      </c>
      <c r="R551" s="0" t="n">
        <v>10271.53</v>
      </c>
      <c r="S551" s="0" t="n">
        <v>8272.24</v>
      </c>
      <c r="T551" s="6" t="n">
        <f aca="false">N551*O551*(1-Q551)</f>
        <v>10271.529</v>
      </c>
      <c r="U551" s="6" t="n">
        <f aca="false">T551-S551</f>
        <v>1999.289</v>
      </c>
      <c r="V551" s="7" t="n">
        <f aca="false">IF(T551=0,0,U551/T551)</f>
        <v>0.19464375751653</v>
      </c>
      <c r="W551" s="4" t="n">
        <f aca="false">C551-B551</f>
        <v>2</v>
      </c>
      <c r="X551" s="0" t="str">
        <f aca="false">TEXT(B551,"mmmm")</f>
        <v>October</v>
      </c>
      <c r="Y551" s="4" t="n">
        <f aca="false">YEAR(B551)</f>
        <v>2025</v>
      </c>
      <c r="Z551" s="0" t="str">
        <f aca="false">PROPER(TRIM(AU551))</f>
        <v>Paid</v>
      </c>
      <c r="AA551" s="0" t="str">
        <f aca="false">PROPER(TRIM(AV551))</f>
        <v>Completed</v>
      </c>
      <c r="AB551" s="0" t="str">
        <f aca="false">IF(TRIM(AN551)="","Yes","No")</f>
        <v>No</v>
      </c>
      <c r="AC551" s="0" t="str">
        <f aca="false">IF(TRIM(AS551)="","Yes","No")</f>
        <v>No</v>
      </c>
      <c r="AD551" s="0" t="str">
        <f aca="false">IF(AT551="","Yes","No")</f>
        <v>No</v>
      </c>
      <c r="AE551" s="0" t="str">
        <f aca="false">IF(W551&lt;0,"Yes","No")</f>
        <v>No</v>
      </c>
      <c r="AF551" s="0" t="str">
        <f aca="false">IF(P551="","No",IF(OR(P551&lt;0,P551&gt;0.3),"Yes","No"))</f>
        <v>No</v>
      </c>
      <c r="AG551" s="4" t="s">
        <v>50</v>
      </c>
      <c r="AH551" s="0" t="str">
        <f aca="false">IF(AND(AA551="Completed",Z551="Paid"),"Yes","No")</f>
        <v>Yes</v>
      </c>
      <c r="AI551" s="0" t="str">
        <f aca="false">IF(OR(AE551="Yes",AF551="Yes",AG551="Yes"),"Invalid",IF(OR(AB551="Yes",AC551="Yes",AD551="Yes"),"Warning","Clean"))</f>
        <v>Clean</v>
      </c>
      <c r="AJ551" s="4" t="s">
        <v>2155</v>
      </c>
      <c r="AK551" s="4" t="s">
        <v>2156</v>
      </c>
      <c r="AL551" s="4" t="s">
        <v>67</v>
      </c>
      <c r="AM551" s="4" t="s">
        <v>128</v>
      </c>
      <c r="AN551" s="4" t="s">
        <v>87</v>
      </c>
      <c r="AO551" s="4" t="s">
        <v>88</v>
      </c>
      <c r="AP551" s="4" t="s">
        <v>89</v>
      </c>
      <c r="AQ551" s="4" t="s">
        <v>58</v>
      </c>
      <c r="AR551" s="4" t="s">
        <v>80</v>
      </c>
      <c r="AS551" s="4" t="s">
        <v>60</v>
      </c>
      <c r="AT551" s="0" t="n">
        <v>0.1</v>
      </c>
      <c r="AU551" s="4" t="s">
        <v>61</v>
      </c>
      <c r="AV551" s="4" t="s">
        <v>62</v>
      </c>
    </row>
    <row r="552" customFormat="false" ht="15" hidden="false" customHeight="false" outlineLevel="0" collapsed="false">
      <c r="A552" s="0" t="s">
        <v>2157</v>
      </c>
      <c r="B552" s="3" t="n">
        <f aca="false">IF(AJ552="","",IF(ISNUMBER(SEARCH("/",AJ552)),DATE(VALUE(RIGHT(AJ552,4)),VALUE(LEFT(AJ552,2)),VALUE(MID(AJ552,4,2))),IF(ISNUMBER(SEARCH("-",AJ552)),IF(LEN(LEFT(AJ552,FIND("-",AJ552)-1))=4,DATE(VALUE(LEFT(AJ552,4)),VALUE(MID(AJ552,6,2)),VALUE(RIGHT(AJ552,2))),DATE(VALUE(RIGHT(AJ552,4)),VALUE(MID(AJ552,4,2)),VALUE(LEFT(AJ552,2)))),DATE(VALUE(RIGHT(AJ552,4)),MATCH(MID(AJ552,4,3),{"Jan","Feb","Mar","Apr","May","Jun","Jul","Aug","Sep","Oct","Nov","Dec"},0),VALUE(LEFT(AJ552,2))))))</f>
        <v>45506</v>
      </c>
      <c r="C552" s="3" t="n">
        <f aca="false">IF(AK552="","",IF(ISNUMBER(SEARCH("/",AK552)),DATE(VALUE(RIGHT(AK552,4)),VALUE(LEFT(AK552,2)),VALUE(MID(AK552,4,2))),IF(ISNUMBER(SEARCH("-",AK552)),IF(LEN(LEFT(AK552,FIND("-",AK552)-1))=4,DATE(VALUE(LEFT(AK552,4)),VALUE(MID(AK552,6,2)),VALUE(RIGHT(AK552,2))),DATE(VALUE(RIGHT(AK552,4)),VALUE(MID(AK552,4,2)),VALUE(LEFT(AK552,2)))),DATE(VALUE(RIGHT(AK552,4)),MATCH(MID(AK552,4,3),{"Jan","Feb","Mar","Apr","May","Jun","Jul","Aug","Sep","Oct","Nov","Dec"},0),VALUE(LEFT(AK552,2))))))</f>
        <v>45514</v>
      </c>
      <c r="D552" s="4" t="s">
        <v>2158</v>
      </c>
      <c r="E552" s="0" t="str">
        <f aca="false">PROPER(TRIM(AL552))</f>
        <v>Mira Das</v>
      </c>
      <c r="F552" s="0" t="str">
        <f aca="false">PROPER(TRIM(AM552))</f>
        <v>Home Office</v>
      </c>
      <c r="G552" s="0" t="str">
        <f aca="false">IF(TRIM(AN552)="","Unknown",PROPER(TRIM(AN552)))</f>
        <v>East</v>
      </c>
      <c r="H552" s="0" t="str">
        <f aca="false">PROPER(TRIM(AO552))</f>
        <v>Odisha</v>
      </c>
      <c r="I552" s="0" t="str">
        <f aca="false">PROPER(TRIM(AP552))</f>
        <v>Bhubaneswar</v>
      </c>
      <c r="J552" s="0" t="str">
        <f aca="false">PROPER(TRIM(AQ552))</f>
        <v>Technology</v>
      </c>
      <c r="K552" s="0" t="str">
        <f aca="false">PROPER(TRIM(AR552))</f>
        <v>Accessories</v>
      </c>
      <c r="M552" s="0" t="str">
        <f aca="false">IF(TRIM(AS552)="","Unknown",PROPER(TRIM(AS552)))</f>
        <v>Standard Class</v>
      </c>
      <c r="N552" s="0" t="n">
        <v>6</v>
      </c>
      <c r="O552" s="0" t="n">
        <v>2126.44</v>
      </c>
      <c r="P552" s="5" t="n">
        <f aca="false">IF(AT552="","",IF(ISNUMBER(AT552),AT552,VALUE(SUBSTITUTE(AT552,"%",""))/100))</f>
        <v>0.2</v>
      </c>
      <c r="Q552" s="5" t="n">
        <f aca="false">IF(P552="",IF(AND(N552&lt;&gt;"",O552&lt;&gt;"",R552&lt;&gt;"",S552&lt;&gt;""),0,"REVIEW"),IF(OR(P552&lt;0,P552&gt;0.3),0,P552))</f>
        <v>0.2</v>
      </c>
      <c r="R552" s="0" t="n">
        <v>10206.91</v>
      </c>
      <c r="S552" s="0" t="n">
        <v>6764.53</v>
      </c>
      <c r="T552" s="6" t="n">
        <f aca="false">N552*O552*(1-Q552)</f>
        <v>10206.912</v>
      </c>
      <c r="U552" s="6" t="n">
        <f aca="false">T552-S552</f>
        <v>3442.382</v>
      </c>
      <c r="V552" s="7" t="n">
        <f aca="false">IF(T552=0,0,U552/T552)</f>
        <v>0.33725988820125</v>
      </c>
      <c r="W552" s="4" t="n">
        <f aca="false">C552-B552</f>
        <v>8</v>
      </c>
      <c r="X552" s="0" t="str">
        <f aca="false">TEXT(B552,"mmmm")</f>
        <v>August</v>
      </c>
      <c r="Y552" s="4" t="n">
        <f aca="false">YEAR(B552)</f>
        <v>2024</v>
      </c>
      <c r="Z552" s="0" t="str">
        <f aca="false">PROPER(TRIM(AU552))</f>
        <v>Paid</v>
      </c>
      <c r="AA552" s="0" t="str">
        <f aca="false">PROPER(TRIM(AV552))</f>
        <v>Completed</v>
      </c>
      <c r="AB552" s="0" t="str">
        <f aca="false">IF(TRIM(AN552)="","Yes","No")</f>
        <v>No</v>
      </c>
      <c r="AC552" s="0" t="str">
        <f aca="false">IF(TRIM(AS552)="","Yes","No")</f>
        <v>No</v>
      </c>
      <c r="AD552" s="0" t="str">
        <f aca="false">IF(AT552="","Yes","No")</f>
        <v>No</v>
      </c>
      <c r="AE552" s="0" t="str">
        <f aca="false">IF(W552&lt;0,"Yes","No")</f>
        <v>No</v>
      </c>
      <c r="AF552" s="0" t="str">
        <f aca="false">IF(P552="","No",IF(OR(P552&lt;0,P552&gt;0.3),"Yes","No"))</f>
        <v>No</v>
      </c>
      <c r="AG552" s="4" t="s">
        <v>50</v>
      </c>
      <c r="AH552" s="0" t="str">
        <f aca="false">IF(AND(AA552="Completed",Z552="Paid"),"Yes","No")</f>
        <v>Yes</v>
      </c>
      <c r="AI552" s="0" t="str">
        <f aca="false">IF(OR(AE552="Yes",AF552="Yes",AG552="Yes"),"Invalid",IF(OR(AB552="Yes",AC552="Yes",AD552="Yes"),"Warning","Clean"))</f>
        <v>Clean</v>
      </c>
      <c r="AJ552" s="4" t="s">
        <v>488</v>
      </c>
      <c r="AK552" s="4" t="s">
        <v>2159</v>
      </c>
      <c r="AL552" s="4" t="s">
        <v>67</v>
      </c>
      <c r="AM552" s="4" t="s">
        <v>134</v>
      </c>
      <c r="AN552" s="4" t="s">
        <v>69</v>
      </c>
      <c r="AO552" s="4" t="s">
        <v>70</v>
      </c>
      <c r="AP552" s="4" t="s">
        <v>71</v>
      </c>
      <c r="AQ552" s="4" t="s">
        <v>109</v>
      </c>
      <c r="AR552" s="4" t="s">
        <v>110</v>
      </c>
      <c r="AS552" s="4" t="s">
        <v>91</v>
      </c>
      <c r="AT552" s="0" t="n">
        <v>0.2</v>
      </c>
      <c r="AU552" s="4" t="s">
        <v>61</v>
      </c>
      <c r="AV552" s="4" t="s">
        <v>62</v>
      </c>
    </row>
    <row r="553" customFormat="false" ht="15" hidden="false" customHeight="false" outlineLevel="0" collapsed="false">
      <c r="A553" s="0" t="s">
        <v>2160</v>
      </c>
      <c r="B553" s="3" t="n">
        <f aca="false">IF(AJ553="","",IF(ISNUMBER(SEARCH("/",AJ553)),DATE(VALUE(RIGHT(AJ553,4)),VALUE(LEFT(AJ553,2)),VALUE(MID(AJ553,4,2))),IF(ISNUMBER(SEARCH("-",AJ553)),IF(LEN(LEFT(AJ553,FIND("-",AJ553)-1))=4,DATE(VALUE(LEFT(AJ553,4)),VALUE(MID(AJ553,6,2)),VALUE(RIGHT(AJ553,2))),DATE(VALUE(RIGHT(AJ553,4)),VALUE(MID(AJ553,4,2)),VALUE(LEFT(AJ553,2)))),DATE(VALUE(RIGHT(AJ553,4)),MATCH(MID(AJ553,4,3),{"Jan","Feb","Mar","Apr","May","Jun","Jul","Aug","Sep","Oct","Nov","Dec"},0),VALUE(LEFT(AJ553,2))))))</f>
        <v>45349</v>
      </c>
      <c r="C553" s="3" t="n">
        <f aca="false">IF(AK553="","",IF(ISNUMBER(SEARCH("/",AK553)),DATE(VALUE(RIGHT(AK553,4)),VALUE(LEFT(AK553,2)),VALUE(MID(AK553,4,2))),IF(ISNUMBER(SEARCH("-",AK553)),IF(LEN(LEFT(AK553,FIND("-",AK553)-1))=4,DATE(VALUE(LEFT(AK553,4)),VALUE(MID(AK553,6,2)),VALUE(RIGHT(AK553,2))),DATE(VALUE(RIGHT(AK553,4)),VALUE(MID(AK553,4,2)),VALUE(LEFT(AK553,2)))),DATE(VALUE(RIGHT(AK553,4)),MATCH(MID(AK553,4,3),{"Jan","Feb","Mar","Apr","May","Jun","Jul","Aug","Sep","Oct","Nov","Dec"},0),VALUE(LEFT(AK553,2))))))</f>
        <v>45349</v>
      </c>
      <c r="D553" s="4" t="s">
        <v>2161</v>
      </c>
      <c r="E553" s="0" t="str">
        <f aca="false">PROPER(TRIM(AL553))</f>
        <v>Sneha Kapoor</v>
      </c>
      <c r="F553" s="0" t="str">
        <f aca="false">PROPER(TRIM(AM553))</f>
        <v>Consumer</v>
      </c>
      <c r="G553" s="0" t="str">
        <f aca="false">IF(TRIM(AN553)="","Unknown",PROPER(TRIM(AN553)))</f>
        <v>East</v>
      </c>
      <c r="H553" s="0" t="str">
        <f aca="false">PROPER(TRIM(AO553))</f>
        <v>Jharkhand</v>
      </c>
      <c r="I553" s="0" t="str">
        <f aca="false">PROPER(TRIM(AP553))</f>
        <v>Ranchi</v>
      </c>
      <c r="J553" s="0" t="str">
        <f aca="false">PROPER(TRIM(AQ553))</f>
        <v>Furniture</v>
      </c>
      <c r="K553" s="0" t="str">
        <f aca="false">PROPER(TRIM(AR553))</f>
        <v>Chairs</v>
      </c>
      <c r="M553" s="0" t="str">
        <f aca="false">IF(TRIM(AS553)="","Unknown",PROPER(TRIM(AS553)))</f>
        <v>Second Class</v>
      </c>
      <c r="N553" s="0" t="n">
        <v>3</v>
      </c>
      <c r="O553" s="0" t="n">
        <v>3148.09</v>
      </c>
      <c r="P553" s="5" t="n">
        <f aca="false">IF(AT553="","",IF(ISNUMBER(AT553),AT553,VALUE(SUBSTITUTE(AT553,"%",""))/100))</f>
        <v>0.15</v>
      </c>
      <c r="Q553" s="5" t="n">
        <f aca="false">IF(P553="",IF(AND(N553&lt;&gt;"",O553&lt;&gt;"",R553&lt;&gt;"",S553&lt;&gt;""),0,"REVIEW"),IF(OR(P553&lt;0,P553&gt;0.3),0,P553))</f>
        <v>0.15</v>
      </c>
      <c r="R553" s="0" t="n">
        <v>8027.63</v>
      </c>
      <c r="S553" s="0" t="n">
        <v>5496.09</v>
      </c>
      <c r="T553" s="6" t="n">
        <f aca="false">N553*O553*(1-Q553)</f>
        <v>8027.6295</v>
      </c>
      <c r="U553" s="6" t="n">
        <f aca="false">T553-S553</f>
        <v>2531.5395</v>
      </c>
      <c r="V553" s="7" t="n">
        <f aca="false">IF(T553=0,0,U553/T553)</f>
        <v>0.315353305729917</v>
      </c>
      <c r="W553" s="4" t="n">
        <f aca="false">C553-B553</f>
        <v>0</v>
      </c>
      <c r="X553" s="0" t="str">
        <f aca="false">TEXT(B553,"mmmm")</f>
        <v>February</v>
      </c>
      <c r="Y553" s="4" t="n">
        <f aca="false">YEAR(B553)</f>
        <v>2024</v>
      </c>
      <c r="Z553" s="0" t="str">
        <f aca="false">PROPER(TRIM(AU553))</f>
        <v>Paid</v>
      </c>
      <c r="AA553" s="0" t="str">
        <f aca="false">PROPER(TRIM(AV553))</f>
        <v>Completed</v>
      </c>
      <c r="AB553" s="0" t="str">
        <f aca="false">IF(TRIM(AN553)="","Yes","No")</f>
        <v>No</v>
      </c>
      <c r="AC553" s="0" t="str">
        <f aca="false">IF(TRIM(AS553)="","Yes","No")</f>
        <v>No</v>
      </c>
      <c r="AD553" s="0" t="str">
        <f aca="false">IF(AT553="","Yes","No")</f>
        <v>No</v>
      </c>
      <c r="AE553" s="0" t="str">
        <f aca="false">IF(W553&lt;0,"Yes","No")</f>
        <v>No</v>
      </c>
      <c r="AF553" s="0" t="str">
        <f aca="false">IF(P553="","No",IF(OR(P553&lt;0,P553&gt;0.3),"Yes","No"))</f>
        <v>No</v>
      </c>
      <c r="AG553" s="4" t="s">
        <v>50</v>
      </c>
      <c r="AH553" s="0" t="str">
        <f aca="false">IF(AND(AA553="Completed",Z553="Paid"),"Yes","No")</f>
        <v>Yes</v>
      </c>
      <c r="AI553" s="0" t="str">
        <f aca="false">IF(OR(AE553="Yes",AF553="Yes",AG553="Yes"),"Invalid",IF(OR(AB553="Yes",AC553="Yes",AD553="Yes"),"Warning","Clean"))</f>
        <v>Clean</v>
      </c>
      <c r="AJ553" s="4" t="s">
        <v>1716</v>
      </c>
      <c r="AK553" s="4" t="s">
        <v>2162</v>
      </c>
      <c r="AL553" s="4" t="s">
        <v>181</v>
      </c>
      <c r="AM553" s="4" t="s">
        <v>54</v>
      </c>
      <c r="AN553" s="4" t="s">
        <v>69</v>
      </c>
      <c r="AO553" s="4" t="s">
        <v>300</v>
      </c>
      <c r="AP553" s="4" t="s">
        <v>301</v>
      </c>
      <c r="AQ553" s="4" t="s">
        <v>72</v>
      </c>
      <c r="AR553" s="4" t="s">
        <v>100</v>
      </c>
      <c r="AS553" s="4" t="s">
        <v>60</v>
      </c>
      <c r="AT553" s="0" t="n">
        <v>0.15</v>
      </c>
      <c r="AU553" s="4" t="s">
        <v>61</v>
      </c>
      <c r="AV553" s="4" t="s">
        <v>62</v>
      </c>
    </row>
    <row r="554" customFormat="false" ht="15" hidden="false" customHeight="false" outlineLevel="0" collapsed="false">
      <c r="A554" s="0" t="s">
        <v>2163</v>
      </c>
      <c r="B554" s="3" t="n">
        <f aca="false">IF(AJ554="","",IF(ISNUMBER(SEARCH("/",AJ554)),DATE(VALUE(RIGHT(AJ554,4)),VALUE(LEFT(AJ554,2)),VALUE(MID(AJ554,4,2))),IF(ISNUMBER(SEARCH("-",AJ554)),IF(LEN(LEFT(AJ554,FIND("-",AJ554)-1))=4,DATE(VALUE(LEFT(AJ554,4)),VALUE(MID(AJ554,6,2)),VALUE(RIGHT(AJ554,2))),DATE(VALUE(RIGHT(AJ554,4)),VALUE(MID(AJ554,4,2)),VALUE(LEFT(AJ554,2)))),DATE(VALUE(RIGHT(AJ554,4)),MATCH(MID(AJ554,4,3),{"Jan","Feb","Mar","Apr","May","Jun","Jul","Aug","Sep","Oct","Nov","Dec"},0),VALUE(LEFT(AJ554,2))))))</f>
        <v>45681</v>
      </c>
      <c r="C554" s="3" t="n">
        <f aca="false">IF(AK554="","",IF(ISNUMBER(SEARCH("/",AK554)),DATE(VALUE(RIGHT(AK554,4)),VALUE(LEFT(AK554,2)),VALUE(MID(AK554,4,2))),IF(ISNUMBER(SEARCH("-",AK554)),IF(LEN(LEFT(AK554,FIND("-",AK554)-1))=4,DATE(VALUE(LEFT(AK554,4)),VALUE(MID(AK554,6,2)),VALUE(RIGHT(AK554,2))),DATE(VALUE(RIGHT(AK554,4)),VALUE(MID(AK554,4,2)),VALUE(LEFT(AK554,2)))),DATE(VALUE(RIGHT(AK554,4)),MATCH(MID(AK554,4,3),{"Jan","Feb","Mar","Apr","May","Jun","Jul","Aug","Sep","Oct","Nov","Dec"},0),VALUE(LEFT(AK554,2))))))</f>
        <v>45687</v>
      </c>
      <c r="D554" s="4" t="s">
        <v>2164</v>
      </c>
      <c r="E554" s="0" t="str">
        <f aca="false">PROPER(TRIM(AL554))</f>
        <v>Ananya Rao</v>
      </c>
      <c r="F554" s="0" t="str">
        <f aca="false">PROPER(TRIM(AM554))</f>
        <v>Corporate</v>
      </c>
      <c r="G554" s="0" t="str">
        <f aca="false">IF(TRIM(AN554)="","Unknown",PROPER(TRIM(AN554)))</f>
        <v>East</v>
      </c>
      <c r="H554" s="0" t="str">
        <f aca="false">PROPER(TRIM(AO554))</f>
        <v>West Bengal</v>
      </c>
      <c r="I554" s="0" t="str">
        <f aca="false">PROPER(TRIM(AP554))</f>
        <v>Kolkata</v>
      </c>
      <c r="J554" s="0" t="str">
        <f aca="false">PROPER(TRIM(AQ554))</f>
        <v>Technology</v>
      </c>
      <c r="K554" s="0" t="str">
        <f aca="false">PROPER(TRIM(AR554))</f>
        <v>Copiers</v>
      </c>
      <c r="M554" s="0" t="str">
        <f aca="false">IF(TRIM(AS554)="","Unknown",PROPER(TRIM(AS554)))</f>
        <v>Standard Class</v>
      </c>
      <c r="N554" s="0" t="n">
        <v>8</v>
      </c>
      <c r="O554" s="0" t="n">
        <v>312.53</v>
      </c>
      <c r="P554" s="5" t="n">
        <f aca="false">IF(AT554="","",IF(ISNUMBER(AT554),AT554,VALUE(SUBSTITUTE(AT554,"%",""))/100))</f>
        <v>0.7</v>
      </c>
      <c r="Q554" s="5" t="n">
        <f aca="false">IF(P554="",IF(AND(N554&lt;&gt;"",O554&lt;&gt;"",R554&lt;&gt;"",S554&lt;&gt;""),0,"REVIEW"),IF(OR(P554&lt;0,P554&gt;0.3),0,P554))</f>
        <v>0</v>
      </c>
      <c r="R554" s="0" t="n">
        <v>1875.18</v>
      </c>
      <c r="S554" s="0" t="n">
        <v>1579.17</v>
      </c>
      <c r="T554" s="6" t="n">
        <f aca="false">N554*O554*(1-Q554)</f>
        <v>2500.24</v>
      </c>
      <c r="U554" s="6" t="n">
        <f aca="false">T554-S554</f>
        <v>921.07</v>
      </c>
      <c r="V554" s="7" t="n">
        <f aca="false">IF(T554=0,0,U554/T554)</f>
        <v>0.368392634307106</v>
      </c>
      <c r="W554" s="4" t="n">
        <f aca="false">C554-B554</f>
        <v>6</v>
      </c>
      <c r="X554" s="0" t="str">
        <f aca="false">TEXT(B554,"mmmm")</f>
        <v>January</v>
      </c>
      <c r="Y554" s="4" t="n">
        <f aca="false">YEAR(B554)</f>
        <v>2025</v>
      </c>
      <c r="Z554" s="0" t="str">
        <f aca="false">PROPER(TRIM(AU554))</f>
        <v>Paid</v>
      </c>
      <c r="AA554" s="0" t="str">
        <f aca="false">PROPER(TRIM(AV554))</f>
        <v>Completed</v>
      </c>
      <c r="AB554" s="0" t="str">
        <f aca="false">IF(TRIM(AN554)="","Yes","No")</f>
        <v>No</v>
      </c>
      <c r="AC554" s="0" t="str">
        <f aca="false">IF(TRIM(AS554)="","Yes","No")</f>
        <v>No</v>
      </c>
      <c r="AD554" s="0" t="str">
        <f aca="false">IF(AT554="","Yes","No")</f>
        <v>No</v>
      </c>
      <c r="AE554" s="0" t="str">
        <f aca="false">IF(W554&lt;0,"Yes","No")</f>
        <v>No</v>
      </c>
      <c r="AF554" s="0" t="str">
        <f aca="false">IF(P554="","No",IF(OR(P554&lt;0,P554&gt;0.3),"Yes","No"))</f>
        <v>Yes</v>
      </c>
      <c r="AG554" s="4" t="s">
        <v>50</v>
      </c>
      <c r="AH554" s="0" t="str">
        <f aca="false">IF(AND(AA554="Completed",Z554="Paid"),"Yes","No")</f>
        <v>Yes</v>
      </c>
      <c r="AI554" s="0" t="str">
        <f aca="false">IF(OR(AE554="Yes",AF554="Yes",AG554="Yes"),"Invalid",IF(OR(AB554="Yes",AC554="Yes",AD554="Yes"),"Warning","Clean"))</f>
        <v>Invalid</v>
      </c>
      <c r="AJ554" s="4" t="s">
        <v>200</v>
      </c>
      <c r="AK554" s="4" t="s">
        <v>327</v>
      </c>
      <c r="AL554" s="4" t="s">
        <v>96</v>
      </c>
      <c r="AM554" s="4" t="s">
        <v>128</v>
      </c>
      <c r="AN554" s="4" t="s">
        <v>69</v>
      </c>
      <c r="AO554" s="4" t="s">
        <v>139</v>
      </c>
      <c r="AP554" s="4" t="s">
        <v>140</v>
      </c>
      <c r="AQ554" s="4" t="s">
        <v>109</v>
      </c>
      <c r="AR554" s="4" t="s">
        <v>116</v>
      </c>
      <c r="AS554" s="4" t="s">
        <v>91</v>
      </c>
      <c r="AT554" s="4" t="s">
        <v>602</v>
      </c>
      <c r="AU554" s="4" t="s">
        <v>61</v>
      </c>
      <c r="AV554" s="4" t="s">
        <v>62</v>
      </c>
    </row>
    <row r="555" customFormat="false" ht="15" hidden="false" customHeight="false" outlineLevel="0" collapsed="false">
      <c r="A555" s="0" t="s">
        <v>2165</v>
      </c>
      <c r="B555" s="3" t="n">
        <f aca="false">IF(AJ555="","",IF(ISNUMBER(SEARCH("/",AJ555)),DATE(VALUE(RIGHT(AJ555,4)),VALUE(LEFT(AJ555,2)),VALUE(MID(AJ555,4,2))),IF(ISNUMBER(SEARCH("-",AJ555)),IF(LEN(LEFT(AJ555,FIND("-",AJ555)-1))=4,DATE(VALUE(LEFT(AJ555,4)),VALUE(MID(AJ555,6,2)),VALUE(RIGHT(AJ555,2))),DATE(VALUE(RIGHT(AJ555,4)),VALUE(MID(AJ555,4,2)),VALUE(LEFT(AJ555,2)))),DATE(VALUE(RIGHT(AJ555,4)),MATCH(MID(AJ555,4,3),{"Jan","Feb","Mar","Apr","May","Jun","Jul","Aug","Sep","Oct","Nov","Dec"},0),VALUE(LEFT(AJ555,2))))))</f>
        <v>45772</v>
      </c>
      <c r="C555" s="3" t="n">
        <f aca="false">IF(AK555="","",IF(ISNUMBER(SEARCH("/",AK555)),DATE(VALUE(RIGHT(AK555,4)),VALUE(LEFT(AK555,2)),VALUE(MID(AK555,4,2))),IF(ISNUMBER(SEARCH("-",AK555)),IF(LEN(LEFT(AK555,FIND("-",AK555)-1))=4,DATE(VALUE(LEFT(AK555,4)),VALUE(MID(AK555,6,2)),VALUE(RIGHT(AK555,2))),DATE(VALUE(RIGHT(AK555,4)),VALUE(MID(AK555,4,2)),VALUE(LEFT(AK555,2)))),DATE(VALUE(RIGHT(AK555,4)),MATCH(MID(AK555,4,3),{"Jan","Feb","Mar","Apr","May","Jun","Jul","Aug","Sep","Oct","Nov","Dec"},0),VALUE(LEFT(AK555,2))))))</f>
        <v>45775</v>
      </c>
      <c r="D555" s="4" t="s">
        <v>2166</v>
      </c>
      <c r="E555" s="0" t="str">
        <f aca="false">PROPER(TRIM(AL555))</f>
        <v>Aarav Sharma</v>
      </c>
      <c r="F555" s="0" t="str">
        <f aca="false">PROPER(TRIM(AM555))</f>
        <v>Small Business</v>
      </c>
      <c r="G555" s="0" t="str">
        <f aca="false">IF(TRIM(AN555)="","Unknown",PROPER(TRIM(AN555)))</f>
        <v>West</v>
      </c>
      <c r="H555" s="0" t="str">
        <f aca="false">PROPER(TRIM(AO555))</f>
        <v>Gujarat</v>
      </c>
      <c r="I555" s="0" t="str">
        <f aca="false">PROPER(TRIM(AP555))</f>
        <v>Ahmedabad</v>
      </c>
      <c r="J555" s="0" t="str">
        <f aca="false">PROPER(TRIM(AQ555))</f>
        <v>Office Supplies</v>
      </c>
      <c r="K555" s="0" t="str">
        <f aca="false">PROPER(TRIM(AR555))</f>
        <v>Storage</v>
      </c>
      <c r="M555" s="0" t="str">
        <f aca="false">IF(TRIM(AS555)="","Unknown",PROPER(TRIM(AS555)))</f>
        <v>First Class</v>
      </c>
      <c r="N555" s="0" t="n">
        <v>9</v>
      </c>
      <c r="O555" s="0" t="n">
        <v>1294.11</v>
      </c>
      <c r="P555" s="5" t="n">
        <f aca="false">IF(AT555="","",IF(ISNUMBER(AT555),AT555,VALUE(SUBSTITUTE(AT555,"%",""))/100))</f>
        <v>0.25</v>
      </c>
      <c r="Q555" s="5" t="n">
        <f aca="false">IF(P555="",IF(AND(N555&lt;&gt;"",O555&lt;&gt;"",R555&lt;&gt;"",S555&lt;&gt;""),0,"REVIEW"),IF(OR(P555&lt;0,P555&gt;0.3),0,P555))</f>
        <v>0.25</v>
      </c>
      <c r="R555" s="0" t="n">
        <v>8735.24</v>
      </c>
      <c r="S555" s="0" t="n">
        <v>6620.07</v>
      </c>
      <c r="T555" s="6" t="n">
        <f aca="false">N555*O555*(1-Q555)</f>
        <v>8735.2425</v>
      </c>
      <c r="U555" s="6" t="n">
        <f aca="false">T555-S555</f>
        <v>2115.1725</v>
      </c>
      <c r="V555" s="7" t="n">
        <f aca="false">IF(T555=0,0,U555/T555)</f>
        <v>0.242142390437358</v>
      </c>
      <c r="W555" s="4" t="n">
        <f aca="false">C555-B555</f>
        <v>3</v>
      </c>
      <c r="X555" s="0" t="str">
        <f aca="false">TEXT(B555,"mmmm")</f>
        <v>April</v>
      </c>
      <c r="Y555" s="4" t="n">
        <f aca="false">YEAR(B555)</f>
        <v>2025</v>
      </c>
      <c r="Z555" s="0" t="str">
        <f aca="false">PROPER(TRIM(AU555))</f>
        <v>Paid</v>
      </c>
      <c r="AA555" s="0" t="str">
        <f aca="false">PROPER(TRIM(AV555))</f>
        <v>Completed</v>
      </c>
      <c r="AB555" s="0" t="str">
        <f aca="false">IF(TRIM(AN555)="","Yes","No")</f>
        <v>No</v>
      </c>
      <c r="AC555" s="0" t="str">
        <f aca="false">IF(TRIM(AS555)="","Yes","No")</f>
        <v>No</v>
      </c>
      <c r="AD555" s="0" t="str">
        <f aca="false">IF(AT555="","Yes","No")</f>
        <v>No</v>
      </c>
      <c r="AE555" s="0" t="str">
        <f aca="false">IF(W555&lt;0,"Yes","No")</f>
        <v>No</v>
      </c>
      <c r="AF555" s="0" t="str">
        <f aca="false">IF(P555="","No",IF(OR(P555&lt;0,P555&gt;0.3),"Yes","No"))</f>
        <v>No</v>
      </c>
      <c r="AG555" s="4" t="s">
        <v>50</v>
      </c>
      <c r="AH555" s="0" t="str">
        <f aca="false">IF(AND(AA555="Completed",Z555="Paid"),"Yes","No")</f>
        <v>Yes</v>
      </c>
      <c r="AI555" s="0" t="str">
        <f aca="false">IF(OR(AE555="Yes",AF555="Yes",AG555="Yes"),"Invalid",IF(OR(AB555="Yes",AC555="Yes",AD555="Yes"),"Warning","Clean"))</f>
        <v>Clean</v>
      </c>
      <c r="AJ555" s="4" t="s">
        <v>2167</v>
      </c>
      <c r="AK555" s="4" t="s">
        <v>2168</v>
      </c>
      <c r="AL555" s="4" t="s">
        <v>176</v>
      </c>
      <c r="AM555" s="4" t="s">
        <v>68</v>
      </c>
      <c r="AN555" s="4" t="s">
        <v>97</v>
      </c>
      <c r="AO555" s="4" t="s">
        <v>238</v>
      </c>
      <c r="AP555" s="4" t="s">
        <v>239</v>
      </c>
      <c r="AQ555" s="4" t="s">
        <v>58</v>
      </c>
      <c r="AR555" s="4" t="s">
        <v>171</v>
      </c>
      <c r="AS555" s="4" t="s">
        <v>81</v>
      </c>
      <c r="AT555" s="0" t="n">
        <v>0.25</v>
      </c>
      <c r="AU555" s="4" t="s">
        <v>61</v>
      </c>
      <c r="AV555" s="4" t="s">
        <v>62</v>
      </c>
    </row>
    <row r="556" customFormat="false" ht="15" hidden="false" customHeight="false" outlineLevel="0" collapsed="false">
      <c r="A556" s="0" t="s">
        <v>2169</v>
      </c>
      <c r="B556" s="3" t="n">
        <f aca="false">IF(AJ556="","",IF(ISNUMBER(SEARCH("/",AJ556)),DATE(VALUE(RIGHT(AJ556,4)),VALUE(LEFT(AJ556,2)),VALUE(MID(AJ556,4,2))),IF(ISNUMBER(SEARCH("-",AJ556)),IF(LEN(LEFT(AJ556,FIND("-",AJ556)-1))=4,DATE(VALUE(LEFT(AJ556,4)),VALUE(MID(AJ556,6,2)),VALUE(RIGHT(AJ556,2))),DATE(VALUE(RIGHT(AJ556,4)),VALUE(MID(AJ556,4,2)),VALUE(LEFT(AJ556,2)))),DATE(VALUE(RIGHT(AJ556,4)),MATCH(MID(AJ556,4,3),{"Jan","Feb","Mar","Apr","May","Jun","Jul","Aug","Sep","Oct","Nov","Dec"},0),VALUE(LEFT(AJ556,2))))))</f>
        <v>45577</v>
      </c>
      <c r="C556" s="3" t="n">
        <f aca="false">IF(AK556="","",IF(ISNUMBER(SEARCH("/",AK556)),DATE(VALUE(RIGHT(AK556,4)),VALUE(LEFT(AK556,2)),VALUE(MID(AK556,4,2))),IF(ISNUMBER(SEARCH("-",AK556)),IF(LEN(LEFT(AK556,FIND("-",AK556)-1))=4,DATE(VALUE(LEFT(AK556,4)),VALUE(MID(AK556,6,2)),VALUE(RIGHT(AK556,2))),DATE(VALUE(RIGHT(AK556,4)),VALUE(MID(AK556,4,2)),VALUE(LEFT(AK556,2)))),DATE(VALUE(RIGHT(AK556,4)),MATCH(MID(AK556,4,3),{"Jan","Feb","Mar","Apr","May","Jun","Jul","Aug","Sep","Oct","Nov","Dec"},0),VALUE(LEFT(AK556,2))))))</f>
        <v>45582</v>
      </c>
      <c r="D556" s="4" t="s">
        <v>2170</v>
      </c>
      <c r="E556" s="0" t="str">
        <f aca="false">PROPER(TRIM(AL556))</f>
        <v>Arjun Bose</v>
      </c>
      <c r="F556" s="0" t="str">
        <f aca="false">PROPER(TRIM(AM556))</f>
        <v>Consumer</v>
      </c>
      <c r="G556" s="0" t="str">
        <f aca="false">IF(TRIM(AN556)="","Unknown",PROPER(TRIM(AN556)))</f>
        <v>Unknown</v>
      </c>
      <c r="H556" s="0" t="str">
        <f aca="false">PROPER(TRIM(AO556))</f>
        <v>Jharkhand</v>
      </c>
      <c r="I556" s="0" t="str">
        <f aca="false">PROPER(TRIM(AP556))</f>
        <v>Ranchi</v>
      </c>
      <c r="J556" s="0" t="str">
        <f aca="false">PROPER(TRIM(AQ556))</f>
        <v>Furniture</v>
      </c>
      <c r="K556" s="0" t="str">
        <f aca="false">PROPER(TRIM(AR556))</f>
        <v>Furnishings</v>
      </c>
      <c r="M556" s="0" t="str">
        <f aca="false">IF(TRIM(AS556)="","Unknown",PROPER(TRIM(AS556)))</f>
        <v>Standard Class</v>
      </c>
      <c r="N556" s="0" t="n">
        <v>4</v>
      </c>
      <c r="O556" s="0" t="n">
        <v>1071.22</v>
      </c>
      <c r="P556" s="5" t="n">
        <f aca="false">IF(AT556="","",IF(ISNUMBER(AT556),AT556,VALUE(SUBSTITUTE(AT556,"%",""))/100))</f>
        <v>0.05</v>
      </c>
      <c r="Q556" s="5" t="n">
        <f aca="false">IF(P556="",IF(AND(N556&lt;&gt;"",O556&lt;&gt;"",R556&lt;&gt;"",S556&lt;&gt;""),0,"REVIEW"),IF(OR(P556&lt;0,P556&gt;0.3),0,P556))</f>
        <v>0.05</v>
      </c>
      <c r="R556" s="0" t="n">
        <v>4070.64</v>
      </c>
      <c r="S556" s="0" t="n">
        <v>2831.62</v>
      </c>
      <c r="T556" s="6" t="n">
        <f aca="false">N556*O556*(1-Q556)</f>
        <v>4070.636</v>
      </c>
      <c r="U556" s="6" t="n">
        <f aca="false">T556-S556</f>
        <v>1239.016</v>
      </c>
      <c r="V556" s="7" t="n">
        <f aca="false">IF(T556=0,0,U556/T556)</f>
        <v>0.304378971738077</v>
      </c>
      <c r="W556" s="4" t="n">
        <f aca="false">C556-B556</f>
        <v>5</v>
      </c>
      <c r="X556" s="0" t="str">
        <f aca="false">TEXT(B556,"mmmm")</f>
        <v>October</v>
      </c>
      <c r="Y556" s="4" t="n">
        <f aca="false">YEAR(B556)</f>
        <v>2024</v>
      </c>
      <c r="Z556" s="0" t="str">
        <f aca="false">PROPER(TRIM(AU556))</f>
        <v>Paid</v>
      </c>
      <c r="AA556" s="0" t="str">
        <f aca="false">PROPER(TRIM(AV556))</f>
        <v>Completed</v>
      </c>
      <c r="AB556" s="0" t="str">
        <f aca="false">IF(TRIM(AN556)="","Yes","No")</f>
        <v>Yes</v>
      </c>
      <c r="AC556" s="0" t="str">
        <f aca="false">IF(TRIM(AS556)="","Yes","No")</f>
        <v>No</v>
      </c>
      <c r="AD556" s="0" t="str">
        <f aca="false">IF(AT556="","Yes","No")</f>
        <v>No</v>
      </c>
      <c r="AE556" s="0" t="str">
        <f aca="false">IF(W556&lt;0,"Yes","No")</f>
        <v>No</v>
      </c>
      <c r="AF556" s="0" t="str">
        <f aca="false">IF(P556="","No",IF(OR(P556&lt;0,P556&gt;0.3),"Yes","No"))</f>
        <v>No</v>
      </c>
      <c r="AG556" s="4" t="s">
        <v>50</v>
      </c>
      <c r="AH556" s="0" t="str">
        <f aca="false">IF(AND(AA556="Completed",Z556="Paid"),"Yes","No")</f>
        <v>Yes</v>
      </c>
      <c r="AI556" s="0" t="str">
        <f aca="false">IF(OR(AE556="Yes",AF556="Yes",AG556="Yes"),"Invalid",IF(OR(AB556="Yes",AC556="Yes",AD556="Yes"),"Warning","Clean"))</f>
        <v>Warning</v>
      </c>
      <c r="AJ556" s="4" t="s">
        <v>2171</v>
      </c>
      <c r="AK556" s="4" t="s">
        <v>2172</v>
      </c>
      <c r="AL556" s="4" t="s">
        <v>86</v>
      </c>
      <c r="AM556" s="4" t="s">
        <v>54</v>
      </c>
      <c r="AO556" s="4" t="s">
        <v>300</v>
      </c>
      <c r="AP556" s="4" t="s">
        <v>301</v>
      </c>
      <c r="AQ556" s="4" t="s">
        <v>72</v>
      </c>
      <c r="AR556" s="4" t="s">
        <v>90</v>
      </c>
      <c r="AS556" s="4" t="s">
        <v>91</v>
      </c>
      <c r="AT556" s="0" t="n">
        <v>0.05</v>
      </c>
      <c r="AU556" s="4" t="s">
        <v>61</v>
      </c>
      <c r="AV556" s="4" t="s">
        <v>62</v>
      </c>
    </row>
    <row r="557" customFormat="false" ht="15" hidden="false" customHeight="false" outlineLevel="0" collapsed="false">
      <c r="A557" s="0" t="s">
        <v>2173</v>
      </c>
      <c r="B557" s="3" t="n">
        <f aca="false">IF(AJ557="","",IF(ISNUMBER(SEARCH("/",AJ557)),DATE(VALUE(RIGHT(AJ557,4)),VALUE(LEFT(AJ557,2)),VALUE(MID(AJ557,4,2))),IF(ISNUMBER(SEARCH("-",AJ557)),IF(LEN(LEFT(AJ557,FIND("-",AJ557)-1))=4,DATE(VALUE(LEFT(AJ557,4)),VALUE(MID(AJ557,6,2)),VALUE(RIGHT(AJ557,2))),DATE(VALUE(RIGHT(AJ557,4)),VALUE(MID(AJ557,4,2)),VALUE(LEFT(AJ557,2)))),DATE(VALUE(RIGHT(AJ557,4)),MATCH(MID(AJ557,4,3),{"Jan","Feb","Mar","Apr","May","Jun","Jul","Aug","Sep","Oct","Nov","Dec"},0),VALUE(LEFT(AJ557,2))))))</f>
        <v>45692</v>
      </c>
      <c r="C557" s="3" t="n">
        <f aca="false">IF(AK557="","",IF(ISNUMBER(SEARCH("/",AK557)),DATE(VALUE(RIGHT(AK557,4)),VALUE(LEFT(AK557,2)),VALUE(MID(AK557,4,2))),IF(ISNUMBER(SEARCH("-",AK557)),IF(LEN(LEFT(AK557,FIND("-",AK557)-1))=4,DATE(VALUE(LEFT(AK557,4)),VALUE(MID(AK557,6,2)),VALUE(RIGHT(AK557,2))),DATE(VALUE(RIGHT(AK557,4)),VALUE(MID(AK557,4,2)),VALUE(LEFT(AK557,2)))),DATE(VALUE(RIGHT(AK557,4)),MATCH(MID(AK557,4,3),{"Jan","Feb","Mar","Apr","May","Jun","Jul","Aug","Sep","Oct","Nov","Dec"},0),VALUE(LEFT(AK557,2))))))</f>
        <v>45698</v>
      </c>
      <c r="D557" s="4" t="s">
        <v>2174</v>
      </c>
      <c r="E557" s="0" t="str">
        <f aca="false">PROPER(TRIM(AL557))</f>
        <v>Ananya Rao</v>
      </c>
      <c r="F557" s="0" t="str">
        <f aca="false">PROPER(TRIM(AM557))</f>
        <v>Small Business</v>
      </c>
      <c r="G557" s="0" t="str">
        <f aca="false">IF(TRIM(AN557)="","Unknown",PROPER(TRIM(AN557)))</f>
        <v>South</v>
      </c>
      <c r="H557" s="0" t="str">
        <f aca="false">PROPER(TRIM(AO557))</f>
        <v>Telangana</v>
      </c>
      <c r="I557" s="0" t="str">
        <f aca="false">PROPER(TRIM(AP557))</f>
        <v>Hyderabad</v>
      </c>
      <c r="J557" s="0" t="str">
        <f aca="false">PROPER(TRIM(AQ557))</f>
        <v>Office Supplies</v>
      </c>
      <c r="K557" s="0" t="str">
        <f aca="false">PROPER(TRIM(AR557))</f>
        <v>Storage</v>
      </c>
      <c r="M557" s="0" t="str">
        <f aca="false">IF(TRIM(AS557)="","Unknown",PROPER(TRIM(AS557)))</f>
        <v>Standard Class</v>
      </c>
      <c r="N557" s="0" t="n">
        <v>6</v>
      </c>
      <c r="O557" s="0" t="n">
        <v>1042.8</v>
      </c>
      <c r="P557" s="5" t="n">
        <f aca="false">IF(AT557="","",IF(ISNUMBER(AT557),AT557,VALUE(SUBSTITUTE(AT557,"%",""))/100))</f>
        <v>0.05</v>
      </c>
      <c r="Q557" s="5" t="n">
        <f aca="false">IF(P557="",IF(AND(N557&lt;&gt;"",O557&lt;&gt;"",R557&lt;&gt;"",S557&lt;&gt;""),0,"REVIEW"),IF(OR(P557&lt;0,P557&gt;0.3),0,P557))</f>
        <v>0.05</v>
      </c>
      <c r="R557" s="0" t="n">
        <v>5943.96</v>
      </c>
      <c r="S557" s="0" t="n">
        <v>3604.14</v>
      </c>
      <c r="T557" s="6" t="n">
        <f aca="false">N557*O557*(1-Q557)</f>
        <v>5943.96</v>
      </c>
      <c r="U557" s="6" t="n">
        <f aca="false">T557-S557</f>
        <v>2339.82</v>
      </c>
      <c r="V557" s="7" t="n">
        <f aca="false">IF(T557=0,0,U557/T557)</f>
        <v>0.393646659802556</v>
      </c>
      <c r="W557" s="4" t="n">
        <f aca="false">C557-B557</f>
        <v>6</v>
      </c>
      <c r="X557" s="0" t="str">
        <f aca="false">TEXT(B557,"mmmm")</f>
        <v>February</v>
      </c>
      <c r="Y557" s="4" t="n">
        <f aca="false">YEAR(B557)</f>
        <v>2025</v>
      </c>
      <c r="Z557" s="0" t="str">
        <f aca="false">PROPER(TRIM(AU557))</f>
        <v>Paid</v>
      </c>
      <c r="AA557" s="0" t="str">
        <f aca="false">PROPER(TRIM(AV557))</f>
        <v>Completed</v>
      </c>
      <c r="AB557" s="0" t="str">
        <f aca="false">IF(TRIM(AN557)="","Yes","No")</f>
        <v>No</v>
      </c>
      <c r="AC557" s="0" t="str">
        <f aca="false">IF(TRIM(AS557)="","Yes","No")</f>
        <v>No</v>
      </c>
      <c r="AD557" s="0" t="str">
        <f aca="false">IF(AT557="","Yes","No")</f>
        <v>No</v>
      </c>
      <c r="AE557" s="0" t="str">
        <f aca="false">IF(W557&lt;0,"Yes","No")</f>
        <v>No</v>
      </c>
      <c r="AF557" s="0" t="str">
        <f aca="false">IF(P557="","No",IF(OR(P557&lt;0,P557&gt;0.3),"Yes","No"))</f>
        <v>No</v>
      </c>
      <c r="AG557" s="4" t="s">
        <v>50</v>
      </c>
      <c r="AH557" s="0" t="str">
        <f aca="false">IF(AND(AA557="Completed",Z557="Paid"),"Yes","No")</f>
        <v>Yes</v>
      </c>
      <c r="AI557" s="0" t="str">
        <f aca="false">IF(OR(AE557="Yes",AF557="Yes",AG557="Yes"),"Invalid",IF(OR(AB557="Yes",AC557="Yes",AD557="Yes"),"Warning","Clean"))</f>
        <v>Clean</v>
      </c>
      <c r="AJ557" s="4" t="s">
        <v>766</v>
      </c>
      <c r="AK557" s="4" t="s">
        <v>2175</v>
      </c>
      <c r="AL557" s="4" t="s">
        <v>96</v>
      </c>
      <c r="AM557" s="4" t="s">
        <v>68</v>
      </c>
      <c r="AN557" s="4" t="s">
        <v>87</v>
      </c>
      <c r="AO557" s="4" t="s">
        <v>88</v>
      </c>
      <c r="AP557" s="4" t="s">
        <v>89</v>
      </c>
      <c r="AQ557" s="4" t="s">
        <v>58</v>
      </c>
      <c r="AR557" s="4" t="s">
        <v>171</v>
      </c>
      <c r="AS557" s="4" t="s">
        <v>91</v>
      </c>
      <c r="AT557" s="0" t="n">
        <v>0.05</v>
      </c>
      <c r="AU557" s="4" t="s">
        <v>61</v>
      </c>
      <c r="AV557" s="4" t="s">
        <v>62</v>
      </c>
    </row>
    <row r="558" customFormat="false" ht="15" hidden="false" customHeight="false" outlineLevel="0" collapsed="false">
      <c r="A558" s="0" t="s">
        <v>2176</v>
      </c>
      <c r="B558" s="3" t="n">
        <f aca="false">IF(AJ558="","",IF(ISNUMBER(SEARCH("/",AJ558)),DATE(VALUE(RIGHT(AJ558,4)),VALUE(LEFT(AJ558,2)),VALUE(MID(AJ558,4,2))),IF(ISNUMBER(SEARCH("-",AJ558)),IF(LEN(LEFT(AJ558,FIND("-",AJ558)-1))=4,DATE(VALUE(LEFT(AJ558,4)),VALUE(MID(AJ558,6,2)),VALUE(RIGHT(AJ558,2))),DATE(VALUE(RIGHT(AJ558,4)),VALUE(MID(AJ558,4,2)),VALUE(LEFT(AJ558,2)))),DATE(VALUE(RIGHT(AJ558,4)),MATCH(MID(AJ558,4,3),{"Jan","Feb","Mar","Apr","May","Jun","Jul","Aug","Sep","Oct","Nov","Dec"},0),VALUE(LEFT(AJ558,2))))))</f>
        <v>45466</v>
      </c>
      <c r="C558" s="3" t="n">
        <f aca="false">IF(AK558="","",IF(ISNUMBER(SEARCH("/",AK558)),DATE(VALUE(RIGHT(AK558,4)),VALUE(LEFT(AK558,2)),VALUE(MID(AK558,4,2))),IF(ISNUMBER(SEARCH("-",AK558)),IF(LEN(LEFT(AK558,FIND("-",AK558)-1))=4,DATE(VALUE(LEFT(AK558,4)),VALUE(MID(AK558,6,2)),VALUE(RIGHT(AK558,2))),DATE(VALUE(RIGHT(AK558,4)),VALUE(MID(AK558,4,2)),VALUE(LEFT(AK558,2)))),DATE(VALUE(RIGHT(AK558,4)),MATCH(MID(AK558,4,3),{"Jan","Feb","Mar","Apr","May","Jun","Jul","Aug","Sep","Oct","Nov","Dec"},0),VALUE(LEFT(AK558,2))))))</f>
        <v>45472</v>
      </c>
      <c r="D558" s="4" t="s">
        <v>2177</v>
      </c>
      <c r="E558" s="0" t="str">
        <f aca="false">PROPER(TRIM(AL558))</f>
        <v>Neha Gupta</v>
      </c>
      <c r="F558" s="0" t="str">
        <f aca="false">PROPER(TRIM(AM558))</f>
        <v>Consumer</v>
      </c>
      <c r="G558" s="0" t="str">
        <f aca="false">IF(TRIM(AN558)="","Unknown",PROPER(TRIM(AN558)))</f>
        <v>North</v>
      </c>
      <c r="H558" s="0" t="str">
        <f aca="false">PROPER(TRIM(AO558))</f>
        <v>Haryana</v>
      </c>
      <c r="I558" s="0" t="str">
        <f aca="false">PROPER(TRIM(AP558))</f>
        <v>Gurugram</v>
      </c>
      <c r="J558" s="0" t="str">
        <f aca="false">PROPER(TRIM(AQ558))</f>
        <v>Furniture</v>
      </c>
      <c r="K558" s="0" t="str">
        <f aca="false">PROPER(TRIM(AR558))</f>
        <v>Tables</v>
      </c>
      <c r="M558" s="0" t="str">
        <f aca="false">IF(TRIM(AS558)="","Unknown",PROPER(TRIM(AS558)))</f>
        <v>First Class</v>
      </c>
      <c r="N558" s="0" t="n">
        <v>1</v>
      </c>
      <c r="O558" s="0" t="n">
        <v>4426.66</v>
      </c>
      <c r="P558" s="5" t="n">
        <f aca="false">IF(AT558="","",IF(ISNUMBER(AT558),AT558,VALUE(SUBSTITUTE(AT558,"%",""))/100))</f>
        <v>0</v>
      </c>
      <c r="Q558" s="5" t="n">
        <f aca="false">IF(P558="",IF(AND(N558&lt;&gt;"",O558&lt;&gt;"",R558&lt;&gt;"",S558&lt;&gt;""),0,"REVIEW"),IF(OR(P558&lt;0,P558&gt;0.3),0,P558))</f>
        <v>0</v>
      </c>
      <c r="R558" s="0" t="n">
        <v>4426.66</v>
      </c>
      <c r="S558" s="0" t="n">
        <v>3035.2</v>
      </c>
      <c r="T558" s="6" t="n">
        <f aca="false">N558*O558*(1-Q558)</f>
        <v>4426.66</v>
      </c>
      <c r="U558" s="6" t="n">
        <f aca="false">T558-S558</f>
        <v>1391.46</v>
      </c>
      <c r="V558" s="7" t="n">
        <f aca="false">IF(T558=0,0,U558/T558)</f>
        <v>0.314336316771561</v>
      </c>
      <c r="W558" s="4" t="n">
        <f aca="false">C558-B558</f>
        <v>6</v>
      </c>
      <c r="X558" s="0" t="str">
        <f aca="false">TEXT(B558,"mmmm")</f>
        <v>June</v>
      </c>
      <c r="Y558" s="4" t="n">
        <f aca="false">YEAR(B558)</f>
        <v>2024</v>
      </c>
      <c r="Z558" s="0" t="str">
        <f aca="false">PROPER(TRIM(AU558))</f>
        <v>Paid</v>
      </c>
      <c r="AA558" s="0" t="str">
        <f aca="false">PROPER(TRIM(AV558))</f>
        <v>Returned</v>
      </c>
      <c r="AB558" s="0" t="str">
        <f aca="false">IF(TRIM(AN558)="","Yes","No")</f>
        <v>No</v>
      </c>
      <c r="AC558" s="0" t="str">
        <f aca="false">IF(TRIM(AS558)="","Yes","No")</f>
        <v>No</v>
      </c>
      <c r="AD558" s="0" t="str">
        <f aca="false">IF(AT558="","Yes","No")</f>
        <v>No</v>
      </c>
      <c r="AE558" s="0" t="str">
        <f aca="false">IF(W558&lt;0,"Yes","No")</f>
        <v>No</v>
      </c>
      <c r="AF558" s="0" t="str">
        <f aca="false">IF(P558="","No",IF(OR(P558&lt;0,P558&gt;0.3),"Yes","No"))</f>
        <v>No</v>
      </c>
      <c r="AG558" s="4" t="s">
        <v>50</v>
      </c>
      <c r="AH558" s="0" t="str">
        <f aca="false">IF(AND(AA558="Completed",Z558="Paid"),"Yes","No")</f>
        <v>No</v>
      </c>
      <c r="AI558" s="0" t="str">
        <f aca="false">IF(OR(AE558="Yes",AF558="Yes",AG558="Yes"),"Invalid",IF(OR(AB558="Yes",AC558="Yes",AD558="Yes"),"Warning","Clean"))</f>
        <v>Clean</v>
      </c>
      <c r="AJ558" s="4" t="s">
        <v>1298</v>
      </c>
      <c r="AK558" s="4" t="s">
        <v>1721</v>
      </c>
      <c r="AL558" s="4" t="s">
        <v>115</v>
      </c>
      <c r="AM558" s="4" t="s">
        <v>54</v>
      </c>
      <c r="AN558" s="4" t="s">
        <v>168</v>
      </c>
      <c r="AO558" s="4" t="s">
        <v>310</v>
      </c>
      <c r="AP558" s="4" t="s">
        <v>311</v>
      </c>
      <c r="AQ558" s="4" t="s">
        <v>72</v>
      </c>
      <c r="AR558" s="4" t="s">
        <v>73</v>
      </c>
      <c r="AS558" s="4" t="s">
        <v>81</v>
      </c>
      <c r="AT558" s="0" t="n">
        <v>0</v>
      </c>
      <c r="AU558" s="4" t="s">
        <v>61</v>
      </c>
      <c r="AV558" s="4" t="s">
        <v>142</v>
      </c>
    </row>
    <row r="559" customFormat="false" ht="15" hidden="false" customHeight="false" outlineLevel="0" collapsed="false">
      <c r="A559" s="0" t="s">
        <v>2178</v>
      </c>
      <c r="B559" s="3" t="n">
        <f aca="false">IF(AJ559="","",IF(ISNUMBER(SEARCH("/",AJ559)),DATE(VALUE(RIGHT(AJ559,4)),VALUE(LEFT(AJ559,2)),VALUE(MID(AJ559,4,2))),IF(ISNUMBER(SEARCH("-",AJ559)),IF(LEN(LEFT(AJ559,FIND("-",AJ559)-1))=4,DATE(VALUE(LEFT(AJ559,4)),VALUE(MID(AJ559,6,2)),VALUE(RIGHT(AJ559,2))),DATE(VALUE(RIGHT(AJ559,4)),VALUE(MID(AJ559,4,2)),VALUE(LEFT(AJ559,2)))),DATE(VALUE(RIGHT(AJ559,4)),MATCH(MID(AJ559,4,3),{"Jan","Feb","Mar","Apr","May","Jun","Jul","Aug","Sep","Oct","Nov","Dec"},0),VALUE(LEFT(AJ559,2))))))</f>
        <v>45420</v>
      </c>
      <c r="C559" s="3" t="n">
        <f aca="false">IF(AK559="","",IF(ISNUMBER(SEARCH("/",AK559)),DATE(VALUE(RIGHT(AK559,4)),VALUE(LEFT(AK559,2)),VALUE(MID(AK559,4,2))),IF(ISNUMBER(SEARCH("-",AK559)),IF(LEN(LEFT(AK559,FIND("-",AK559)-1))=4,DATE(VALUE(LEFT(AK559,4)),VALUE(MID(AK559,6,2)),VALUE(RIGHT(AK559,2))),DATE(VALUE(RIGHT(AK559,4)),VALUE(MID(AK559,4,2)),VALUE(LEFT(AK559,2)))),DATE(VALUE(RIGHT(AK559,4)),MATCH(MID(AK559,4,3),{"Jan","Feb","Mar","Apr","May","Jun","Jul","Aug","Sep","Oct","Nov","Dec"},0),VALUE(LEFT(AK559,2))))))</f>
        <v>45426</v>
      </c>
      <c r="D559" s="4" t="s">
        <v>2179</v>
      </c>
      <c r="E559" s="0" t="str">
        <f aca="false">PROPER(TRIM(AL559))</f>
        <v>Vikram Iyer</v>
      </c>
      <c r="F559" s="0" t="str">
        <f aca="false">PROPER(TRIM(AM559))</f>
        <v>Home Office</v>
      </c>
      <c r="G559" s="0" t="str">
        <f aca="false">IF(TRIM(AN559)="","Unknown",PROPER(TRIM(AN559)))</f>
        <v>North</v>
      </c>
      <c r="H559" s="0" t="str">
        <f aca="false">PROPER(TRIM(AO559))</f>
        <v>Haryana</v>
      </c>
      <c r="I559" s="0" t="str">
        <f aca="false">PROPER(TRIM(AP559))</f>
        <v>Gurugram</v>
      </c>
      <c r="J559" s="0" t="str">
        <f aca="false">PROPER(TRIM(AQ559))</f>
        <v>Technology</v>
      </c>
      <c r="K559" s="0" t="str">
        <f aca="false">PROPER(TRIM(AR559))</f>
        <v>Phones</v>
      </c>
      <c r="M559" s="0" t="str">
        <f aca="false">IF(TRIM(AS559)="","Unknown",PROPER(TRIM(AS559)))</f>
        <v>First Class</v>
      </c>
      <c r="N559" s="0" t="n">
        <v>9</v>
      </c>
      <c r="O559" s="0" t="n">
        <v>3769.46</v>
      </c>
      <c r="P559" s="5" t="n">
        <f aca="false">IF(AT559="","",IF(ISNUMBER(AT559),AT559,VALUE(SUBSTITUTE(AT559,"%",""))/100))</f>
        <v>0.05</v>
      </c>
      <c r="Q559" s="5" t="n">
        <f aca="false">IF(P559="",IF(AND(N559&lt;&gt;"",O559&lt;&gt;"",R559&lt;&gt;"",S559&lt;&gt;""),0,"REVIEW"),IF(OR(P559&lt;0,P559&gt;0.3),0,P559))</f>
        <v>0.05</v>
      </c>
      <c r="R559" s="0" t="n">
        <v>32228.88</v>
      </c>
      <c r="S559" s="0" t="n">
        <v>24971.36</v>
      </c>
      <c r="T559" s="6" t="n">
        <f aca="false">N559*O559*(1-Q559)</f>
        <v>32228.883</v>
      </c>
      <c r="U559" s="6" t="n">
        <f aca="false">T559-S559</f>
        <v>7257.523</v>
      </c>
      <c r="V559" s="7" t="n">
        <f aca="false">IF(T559=0,0,U559/T559)</f>
        <v>0.225186923170747</v>
      </c>
      <c r="W559" s="4" t="n">
        <f aca="false">C559-B559</f>
        <v>6</v>
      </c>
      <c r="X559" s="0" t="str">
        <f aca="false">TEXT(B559,"mmmm")</f>
        <v>May</v>
      </c>
      <c r="Y559" s="4" t="n">
        <f aca="false">YEAR(B559)</f>
        <v>2024</v>
      </c>
      <c r="Z559" s="0" t="str">
        <f aca="false">PROPER(TRIM(AU559))</f>
        <v>Paid</v>
      </c>
      <c r="AA559" s="0" t="str">
        <f aca="false">PROPER(TRIM(AV559))</f>
        <v>Cancelled</v>
      </c>
      <c r="AB559" s="0" t="str">
        <f aca="false">IF(TRIM(AN559)="","Yes","No")</f>
        <v>No</v>
      </c>
      <c r="AC559" s="0" t="str">
        <f aca="false">IF(TRIM(AS559)="","Yes","No")</f>
        <v>No</v>
      </c>
      <c r="AD559" s="0" t="str">
        <f aca="false">IF(AT559="","Yes","No")</f>
        <v>No</v>
      </c>
      <c r="AE559" s="0" t="str">
        <f aca="false">IF(W559&lt;0,"Yes","No")</f>
        <v>No</v>
      </c>
      <c r="AF559" s="0" t="str">
        <f aca="false">IF(P559="","No",IF(OR(P559&lt;0,P559&gt;0.3),"Yes","No"))</f>
        <v>No</v>
      </c>
      <c r="AG559" s="4" t="s">
        <v>50</v>
      </c>
      <c r="AH559" s="0" t="str">
        <f aca="false">IF(AND(AA559="Completed",Z559="Paid"),"Yes","No")</f>
        <v>No</v>
      </c>
      <c r="AI559" s="0" t="str">
        <f aca="false">IF(OR(AE559="Yes",AF559="Yes",AG559="Yes"),"Invalid",IF(OR(AB559="Yes",AC559="Yes",AD559="Yes"),"Warning","Clean"))</f>
        <v>Clean</v>
      </c>
      <c r="AJ559" s="4" t="s">
        <v>2180</v>
      </c>
      <c r="AK559" s="4" t="s">
        <v>2181</v>
      </c>
      <c r="AL559" s="4" t="s">
        <v>106</v>
      </c>
      <c r="AM559" s="4" t="s">
        <v>134</v>
      </c>
      <c r="AN559" s="4" t="s">
        <v>168</v>
      </c>
      <c r="AO559" s="4" t="s">
        <v>310</v>
      </c>
      <c r="AP559" s="4" t="s">
        <v>311</v>
      </c>
      <c r="AQ559" s="4" t="s">
        <v>109</v>
      </c>
      <c r="AR559" s="4" t="s">
        <v>227</v>
      </c>
      <c r="AS559" s="4" t="s">
        <v>81</v>
      </c>
      <c r="AT559" s="0" t="n">
        <v>0.05</v>
      </c>
      <c r="AU559" s="4" t="s">
        <v>61</v>
      </c>
      <c r="AV559" s="4" t="s">
        <v>101</v>
      </c>
    </row>
    <row r="560" customFormat="false" ht="15" hidden="false" customHeight="false" outlineLevel="0" collapsed="false">
      <c r="A560" s="0" t="s">
        <v>2182</v>
      </c>
      <c r="B560" s="3" t="n">
        <f aca="false">IF(AJ560="","",IF(ISNUMBER(SEARCH("/",AJ560)),DATE(VALUE(RIGHT(AJ560,4)),VALUE(LEFT(AJ560,2)),VALUE(MID(AJ560,4,2))),IF(ISNUMBER(SEARCH("-",AJ560)),IF(LEN(LEFT(AJ560,FIND("-",AJ560)-1))=4,DATE(VALUE(LEFT(AJ560,4)),VALUE(MID(AJ560,6,2)),VALUE(RIGHT(AJ560,2))),DATE(VALUE(RIGHT(AJ560,4)),VALUE(MID(AJ560,4,2)),VALUE(LEFT(AJ560,2)))),DATE(VALUE(RIGHT(AJ560,4)),MATCH(MID(AJ560,4,3),{"Jan","Feb","Mar","Apr","May","Jun","Jul","Aug","Sep","Oct","Nov","Dec"},0),VALUE(LEFT(AJ560,2))))))</f>
        <v>45904</v>
      </c>
      <c r="C560" s="3" t="n">
        <f aca="false">IF(AK560="","",IF(ISNUMBER(SEARCH("/",AK560)),DATE(VALUE(RIGHT(AK560,4)),VALUE(LEFT(AK560,2)),VALUE(MID(AK560,4,2))),IF(ISNUMBER(SEARCH("-",AK560)),IF(LEN(LEFT(AK560,FIND("-",AK560)-1))=4,DATE(VALUE(LEFT(AK560,4)),VALUE(MID(AK560,6,2)),VALUE(RIGHT(AK560,2))),DATE(VALUE(RIGHT(AK560,4)),VALUE(MID(AK560,4,2)),VALUE(LEFT(AK560,2)))),DATE(VALUE(RIGHT(AK560,4)),MATCH(MID(AK560,4,3),{"Jan","Feb","Mar","Apr","May","Jun","Jul","Aug","Sep","Oct","Nov","Dec"},0),VALUE(LEFT(AK560,2))))))</f>
        <v>45904</v>
      </c>
      <c r="D560" s="4" t="s">
        <v>2183</v>
      </c>
      <c r="E560" s="0" t="str">
        <f aca="false">PROPER(TRIM(AL560))</f>
        <v>Aditi Sen</v>
      </c>
      <c r="F560" s="0" t="str">
        <f aca="false">PROPER(TRIM(AM560))</f>
        <v>Corporate</v>
      </c>
      <c r="G560" s="0" t="str">
        <f aca="false">IF(TRIM(AN560)="","Unknown",PROPER(TRIM(AN560)))</f>
        <v>North</v>
      </c>
      <c r="H560" s="0" t="str">
        <f aca="false">PROPER(TRIM(AO560))</f>
        <v>Punjab</v>
      </c>
      <c r="I560" s="0" t="str">
        <f aca="false">PROPER(TRIM(AP560))</f>
        <v>Ludhiana</v>
      </c>
      <c r="J560" s="0" t="str">
        <f aca="false">PROPER(TRIM(AQ560))</f>
        <v>Technology</v>
      </c>
      <c r="K560" s="0" t="str">
        <f aca="false">PROPER(TRIM(AR560))</f>
        <v>Machines</v>
      </c>
      <c r="M560" s="0" t="str">
        <f aca="false">IF(TRIM(AS560)="","Unknown",PROPER(TRIM(AS560)))</f>
        <v>First Class</v>
      </c>
      <c r="N560" s="0" t="n">
        <v>8</v>
      </c>
      <c r="O560" s="0" t="n">
        <v>3079.95</v>
      </c>
      <c r="P560" s="5" t="n">
        <f aca="false">IF(AT560="","",IF(ISNUMBER(AT560),AT560,VALUE(SUBSTITUTE(AT560,"%",""))/100))</f>
        <v>0.2</v>
      </c>
      <c r="Q560" s="5" t="n">
        <f aca="false">IF(P560="",IF(AND(N560&lt;&gt;"",O560&lt;&gt;"",R560&lt;&gt;"",S560&lt;&gt;""),0,"REVIEW"),IF(OR(P560&lt;0,P560&gt;0.3),0,P560))</f>
        <v>0.2</v>
      </c>
      <c r="R560" s="0" t="n">
        <v>19711.68</v>
      </c>
      <c r="S560" s="0" t="n">
        <v>14461.8</v>
      </c>
      <c r="T560" s="6" t="n">
        <f aca="false">N560*O560*(1-Q560)</f>
        <v>19711.68</v>
      </c>
      <c r="U560" s="6" t="n">
        <f aca="false">T560-S560</f>
        <v>5249.88</v>
      </c>
      <c r="V560" s="7" t="n">
        <f aca="false">IF(T560=0,0,U560/T560)</f>
        <v>0.266333463205572</v>
      </c>
      <c r="W560" s="4" t="n">
        <f aca="false">C560-B560</f>
        <v>0</v>
      </c>
      <c r="X560" s="0" t="str">
        <f aca="false">TEXT(B560,"mmmm")</f>
        <v>September</v>
      </c>
      <c r="Y560" s="4" t="n">
        <f aca="false">YEAR(B560)</f>
        <v>2025</v>
      </c>
      <c r="Z560" s="0" t="str">
        <f aca="false">PROPER(TRIM(AU560))</f>
        <v>Paid</v>
      </c>
      <c r="AA560" s="0" t="str">
        <f aca="false">PROPER(TRIM(AV560))</f>
        <v>Completed</v>
      </c>
      <c r="AB560" s="0" t="str">
        <f aca="false">IF(TRIM(AN560)="","Yes","No")</f>
        <v>No</v>
      </c>
      <c r="AC560" s="0" t="str">
        <f aca="false">IF(TRIM(AS560)="","Yes","No")</f>
        <v>No</v>
      </c>
      <c r="AD560" s="0" t="str">
        <f aca="false">IF(AT560="","Yes","No")</f>
        <v>No</v>
      </c>
      <c r="AE560" s="0" t="str">
        <f aca="false">IF(W560&lt;0,"Yes","No")</f>
        <v>No</v>
      </c>
      <c r="AF560" s="0" t="str">
        <f aca="false">IF(P560="","No",IF(OR(P560&lt;0,P560&gt;0.3),"Yes","No"))</f>
        <v>No</v>
      </c>
      <c r="AG560" s="4" t="s">
        <v>50</v>
      </c>
      <c r="AH560" s="0" t="str">
        <f aca="false">IF(AND(AA560="Completed",Z560="Paid"),"Yes","No")</f>
        <v>Yes</v>
      </c>
      <c r="AI560" s="0" t="str">
        <f aca="false">IF(OR(AE560="Yes",AF560="Yes",AG560="Yes"),"Invalid",IF(OR(AB560="Yes",AC560="Yes",AD560="Yes"),"Warning","Clean"))</f>
        <v>Clean</v>
      </c>
      <c r="AJ560" s="4" t="s">
        <v>2184</v>
      </c>
      <c r="AK560" s="4" t="s">
        <v>2185</v>
      </c>
      <c r="AL560" s="4" t="s">
        <v>127</v>
      </c>
      <c r="AM560" s="4" t="s">
        <v>128</v>
      </c>
      <c r="AN560" s="4" t="s">
        <v>168</v>
      </c>
      <c r="AO560" s="4" t="s">
        <v>169</v>
      </c>
      <c r="AP560" s="4" t="s">
        <v>170</v>
      </c>
      <c r="AQ560" s="4" t="s">
        <v>109</v>
      </c>
      <c r="AR560" s="4" t="s">
        <v>360</v>
      </c>
      <c r="AS560" s="4" t="s">
        <v>81</v>
      </c>
      <c r="AT560" s="0" t="n">
        <v>0.2</v>
      </c>
      <c r="AU560" s="4" t="s">
        <v>61</v>
      </c>
      <c r="AV560" s="4" t="s">
        <v>62</v>
      </c>
    </row>
    <row r="561" customFormat="false" ht="15" hidden="false" customHeight="false" outlineLevel="0" collapsed="false">
      <c r="A561" s="0" t="s">
        <v>2186</v>
      </c>
      <c r="B561" s="3" t="n">
        <f aca="false">IF(AJ561="","",IF(ISNUMBER(SEARCH("/",AJ561)),DATE(VALUE(RIGHT(AJ561,4)),VALUE(LEFT(AJ561,2)),VALUE(MID(AJ561,4,2))),IF(ISNUMBER(SEARCH("-",AJ561)),IF(LEN(LEFT(AJ561,FIND("-",AJ561)-1))=4,DATE(VALUE(LEFT(AJ561,4)),VALUE(MID(AJ561,6,2)),VALUE(RIGHT(AJ561,2))),DATE(VALUE(RIGHT(AJ561,4)),VALUE(MID(AJ561,4,2)),VALUE(LEFT(AJ561,2)))),DATE(VALUE(RIGHT(AJ561,4)),MATCH(MID(AJ561,4,3),{"Jan","Feb","Mar","Apr","May","Jun","Jul","Aug","Sep","Oct","Nov","Dec"},0),VALUE(LEFT(AJ561,2))))))</f>
        <v>45930</v>
      </c>
      <c r="C561" s="3" t="n">
        <f aca="false">IF(AK561="","",IF(ISNUMBER(SEARCH("/",AK561)),DATE(VALUE(RIGHT(AK561,4)),VALUE(LEFT(AK561,2)),VALUE(MID(AK561,4,2))),IF(ISNUMBER(SEARCH("-",AK561)),IF(LEN(LEFT(AK561,FIND("-",AK561)-1))=4,DATE(VALUE(LEFT(AK561,4)),VALUE(MID(AK561,6,2)),VALUE(RIGHT(AK561,2))),DATE(VALUE(RIGHT(AK561,4)),VALUE(MID(AK561,4,2)),VALUE(LEFT(AK561,2)))),DATE(VALUE(RIGHT(AK561,4)),MATCH(MID(AK561,4,3),{"Jan","Feb","Mar","Apr","May","Jun","Jul","Aug","Sep","Oct","Nov","Dec"},0),VALUE(LEFT(AK561,2))))))</f>
        <v>45937</v>
      </c>
      <c r="D561" s="4" t="s">
        <v>2187</v>
      </c>
      <c r="E561" s="0" t="str">
        <f aca="false">PROPER(TRIM(AL561))</f>
        <v>Diya Patel</v>
      </c>
      <c r="F561" s="0" t="str">
        <f aca="false">PROPER(TRIM(AM561))</f>
        <v>Corporate</v>
      </c>
      <c r="G561" s="0" t="str">
        <f aca="false">IF(TRIM(AN561)="","Unknown",PROPER(TRIM(AN561)))</f>
        <v>East</v>
      </c>
      <c r="H561" s="0" t="str">
        <f aca="false">PROPER(TRIM(AO561))</f>
        <v>Bihar</v>
      </c>
      <c r="I561" s="0" t="str">
        <f aca="false">PROPER(TRIM(AP561))</f>
        <v>Patna</v>
      </c>
      <c r="J561" s="0" t="str">
        <f aca="false">PROPER(TRIM(AQ561))</f>
        <v>Technology</v>
      </c>
      <c r="K561" s="0" t="str">
        <f aca="false">PROPER(TRIM(AR561))</f>
        <v>Copiers</v>
      </c>
      <c r="M561" s="0" t="str">
        <f aca="false">IF(TRIM(AS561)="","Unknown",PROPER(TRIM(AS561)))</f>
        <v>Second Class</v>
      </c>
      <c r="N561" s="0" t="n">
        <v>5</v>
      </c>
      <c r="O561" s="0" t="n">
        <v>3277.82</v>
      </c>
      <c r="P561" s="5" t="n">
        <f aca="false">IF(AT561="","",IF(ISNUMBER(AT561),AT561,VALUE(SUBSTITUTE(AT561,"%",""))/100))</f>
        <v>0.1</v>
      </c>
      <c r="Q561" s="5" t="n">
        <f aca="false">IF(P561="",IF(AND(N561&lt;&gt;"",O561&lt;&gt;"",R561&lt;&gt;"",S561&lt;&gt;""),0,"REVIEW"),IF(OR(P561&lt;0,P561&gt;0.3),0,P561))</f>
        <v>0.1</v>
      </c>
      <c r="R561" s="0" t="n">
        <v>14750.19</v>
      </c>
      <c r="S561" s="0" t="n">
        <v>9482.58</v>
      </c>
      <c r="T561" s="6" t="n">
        <f aca="false">N561*O561*(1-Q561)</f>
        <v>14750.19</v>
      </c>
      <c r="U561" s="6" t="n">
        <f aca="false">T561-S561</f>
        <v>5267.61</v>
      </c>
      <c r="V561" s="7" t="n">
        <f aca="false">IF(T561=0,0,U561/T561)</f>
        <v>0.357121501485744</v>
      </c>
      <c r="W561" s="4" t="n">
        <f aca="false">C561-B561</f>
        <v>7</v>
      </c>
      <c r="X561" s="0" t="str">
        <f aca="false">TEXT(B561,"mmmm")</f>
        <v>September</v>
      </c>
      <c r="Y561" s="4" t="n">
        <f aca="false">YEAR(B561)</f>
        <v>2025</v>
      </c>
      <c r="Z561" s="0" t="str">
        <f aca="false">PROPER(TRIM(AU561))</f>
        <v>Paid</v>
      </c>
      <c r="AA561" s="0" t="str">
        <f aca="false">PROPER(TRIM(AV561))</f>
        <v>Returned</v>
      </c>
      <c r="AB561" s="0" t="str">
        <f aca="false">IF(TRIM(AN561)="","Yes","No")</f>
        <v>No</v>
      </c>
      <c r="AC561" s="0" t="str">
        <f aca="false">IF(TRIM(AS561)="","Yes","No")</f>
        <v>No</v>
      </c>
      <c r="AD561" s="0" t="str">
        <f aca="false">IF(AT561="","Yes","No")</f>
        <v>No</v>
      </c>
      <c r="AE561" s="0" t="str">
        <f aca="false">IF(W561&lt;0,"Yes","No")</f>
        <v>No</v>
      </c>
      <c r="AF561" s="0" t="str">
        <f aca="false">IF(P561="","No",IF(OR(P561&lt;0,P561&gt;0.3),"Yes","No"))</f>
        <v>No</v>
      </c>
      <c r="AG561" s="4" t="s">
        <v>50</v>
      </c>
      <c r="AH561" s="0" t="str">
        <f aca="false">IF(AND(AA561="Completed",Z561="Paid"),"Yes","No")</f>
        <v>No</v>
      </c>
      <c r="AI561" s="0" t="str">
        <f aca="false">IF(OR(AE561="Yes",AF561="Yes",AG561="Yes"),"Invalid",IF(OR(AB561="Yes",AC561="Yes",AD561="Yes"),"Warning","Clean"))</f>
        <v>Clean</v>
      </c>
      <c r="AJ561" s="4" t="s">
        <v>1849</v>
      </c>
      <c r="AK561" s="4" t="s">
        <v>2188</v>
      </c>
      <c r="AL561" s="4" t="s">
        <v>216</v>
      </c>
      <c r="AM561" s="4" t="s">
        <v>128</v>
      </c>
      <c r="AN561" s="4" t="s">
        <v>69</v>
      </c>
      <c r="AO561" s="4" t="s">
        <v>196</v>
      </c>
      <c r="AP561" s="4" t="s">
        <v>197</v>
      </c>
      <c r="AQ561" s="4" t="s">
        <v>109</v>
      </c>
      <c r="AR561" s="4" t="s">
        <v>116</v>
      </c>
      <c r="AS561" s="4" t="s">
        <v>60</v>
      </c>
      <c r="AT561" s="0" t="n">
        <v>0.1</v>
      </c>
      <c r="AU561" s="4" t="s">
        <v>61</v>
      </c>
      <c r="AV561" s="4" t="s">
        <v>142</v>
      </c>
    </row>
    <row r="562" customFormat="false" ht="15" hidden="false" customHeight="false" outlineLevel="0" collapsed="false">
      <c r="A562" s="0" t="s">
        <v>2189</v>
      </c>
      <c r="B562" s="3" t="n">
        <f aca="false">IF(AJ562="","",IF(ISNUMBER(SEARCH("/",AJ562)),DATE(VALUE(RIGHT(AJ562,4)),VALUE(LEFT(AJ562,2)),VALUE(MID(AJ562,4,2))),IF(ISNUMBER(SEARCH("-",AJ562)),IF(LEN(LEFT(AJ562,FIND("-",AJ562)-1))=4,DATE(VALUE(LEFT(AJ562,4)),VALUE(MID(AJ562,6,2)),VALUE(RIGHT(AJ562,2))),DATE(VALUE(RIGHT(AJ562,4)),VALUE(MID(AJ562,4,2)),VALUE(LEFT(AJ562,2)))),DATE(VALUE(RIGHT(AJ562,4)),MATCH(MID(AJ562,4,3),{"Jan","Feb","Mar","Apr","May","Jun","Jul","Aug","Sep","Oct","Nov","Dec"},0),VALUE(LEFT(AJ562,2))))))</f>
        <v>45307</v>
      </c>
      <c r="C562" s="3" t="n">
        <f aca="false">IF(AK562="","",IF(ISNUMBER(SEARCH("/",AK562)),DATE(VALUE(RIGHT(AK562,4)),VALUE(LEFT(AK562,2)),VALUE(MID(AK562,4,2))),IF(ISNUMBER(SEARCH("-",AK562)),IF(LEN(LEFT(AK562,FIND("-",AK562)-1))=4,DATE(VALUE(LEFT(AK562,4)),VALUE(MID(AK562,6,2)),VALUE(RIGHT(AK562,2))),DATE(VALUE(RIGHT(AK562,4)),VALUE(MID(AK562,4,2)),VALUE(LEFT(AK562,2)))),DATE(VALUE(RIGHT(AK562,4)),MATCH(MID(AK562,4,3),{"Jan","Feb","Mar","Apr","May","Jun","Jul","Aug","Sep","Oct","Nov","Dec"},0),VALUE(LEFT(AK562,2))))))</f>
        <v>45313</v>
      </c>
      <c r="D562" s="4" t="s">
        <v>2190</v>
      </c>
      <c r="E562" s="0" t="str">
        <f aca="false">PROPER(TRIM(AL562))</f>
        <v>Arjun Bose</v>
      </c>
      <c r="F562" s="0" t="str">
        <f aca="false">PROPER(TRIM(AM562))</f>
        <v>Consumer</v>
      </c>
      <c r="G562" s="0" t="str">
        <f aca="false">IF(TRIM(AN562)="","Unknown",PROPER(TRIM(AN562)))</f>
        <v>West</v>
      </c>
      <c r="H562" s="0" t="str">
        <f aca="false">PROPER(TRIM(AO562))</f>
        <v>Goa</v>
      </c>
      <c r="I562" s="0" t="str">
        <f aca="false">PROPER(TRIM(AP562))</f>
        <v>Panaji</v>
      </c>
      <c r="J562" s="0" t="str">
        <f aca="false">PROPER(TRIM(AQ562))</f>
        <v>Office Supplies</v>
      </c>
      <c r="K562" s="0" t="str">
        <f aca="false">PROPER(TRIM(AR562))</f>
        <v>Storage</v>
      </c>
      <c r="M562" s="0" t="str">
        <f aca="false">IF(TRIM(AS562)="","Unknown",PROPER(TRIM(AS562)))</f>
        <v>Standard Class</v>
      </c>
      <c r="N562" s="0" t="n">
        <v>4</v>
      </c>
      <c r="O562" s="0" t="n">
        <v>282.53</v>
      </c>
      <c r="P562" s="5" t="n">
        <f aca="false">IF(AT562="","",IF(ISNUMBER(AT562),AT562,VALUE(SUBSTITUTE(AT562,"%",""))/100))</f>
        <v>0</v>
      </c>
      <c r="Q562" s="5" t="n">
        <f aca="false">IF(P562="",IF(AND(N562&lt;&gt;"",O562&lt;&gt;"",R562&lt;&gt;"",S562&lt;&gt;""),0,"REVIEW"),IF(OR(P562&lt;0,P562&gt;0.3),0,P562))</f>
        <v>0</v>
      </c>
      <c r="R562" s="0" t="n">
        <v>1130.12</v>
      </c>
      <c r="S562" s="0" t="n">
        <v>848.62</v>
      </c>
      <c r="T562" s="6" t="n">
        <f aca="false">N562*O562*(1-Q562)</f>
        <v>1130.12</v>
      </c>
      <c r="U562" s="6" t="n">
        <f aca="false">T562-S562</f>
        <v>281.5</v>
      </c>
      <c r="V562" s="7" t="n">
        <f aca="false">IF(T562=0,0,U562/T562)</f>
        <v>0.249088592361873</v>
      </c>
      <c r="W562" s="4" t="n">
        <f aca="false">C562-B562</f>
        <v>6</v>
      </c>
      <c r="X562" s="0" t="str">
        <f aca="false">TEXT(B562,"mmmm")</f>
        <v>January</v>
      </c>
      <c r="Y562" s="4" t="n">
        <f aca="false">YEAR(B562)</f>
        <v>2024</v>
      </c>
      <c r="Z562" s="0" t="str">
        <f aca="false">PROPER(TRIM(AU562))</f>
        <v>Paid</v>
      </c>
      <c r="AA562" s="0" t="str">
        <f aca="false">PROPER(TRIM(AV562))</f>
        <v>Cancelled</v>
      </c>
      <c r="AB562" s="0" t="str">
        <f aca="false">IF(TRIM(AN562)="","Yes","No")</f>
        <v>No</v>
      </c>
      <c r="AC562" s="0" t="str">
        <f aca="false">IF(TRIM(AS562)="","Yes","No")</f>
        <v>No</v>
      </c>
      <c r="AD562" s="0" t="str">
        <f aca="false">IF(AT562="","Yes","No")</f>
        <v>No</v>
      </c>
      <c r="AE562" s="0" t="str">
        <f aca="false">IF(W562&lt;0,"Yes","No")</f>
        <v>No</v>
      </c>
      <c r="AF562" s="0" t="str">
        <f aca="false">IF(P562="","No",IF(OR(P562&lt;0,P562&gt;0.3),"Yes","No"))</f>
        <v>No</v>
      </c>
      <c r="AG562" s="4" t="s">
        <v>50</v>
      </c>
      <c r="AH562" s="0" t="str">
        <f aca="false">IF(AND(AA562="Completed",Z562="Paid"),"Yes","No")</f>
        <v>No</v>
      </c>
      <c r="AI562" s="0" t="str">
        <f aca="false">IF(OR(AE562="Yes",AF562="Yes",AG562="Yes"),"Invalid",IF(OR(AB562="Yes",AC562="Yes",AD562="Yes"),"Warning","Clean"))</f>
        <v>Clean</v>
      </c>
      <c r="AJ562" s="4" t="s">
        <v>2191</v>
      </c>
      <c r="AK562" s="4" t="s">
        <v>906</v>
      </c>
      <c r="AL562" s="4" t="s">
        <v>86</v>
      </c>
      <c r="AM562" s="4" t="s">
        <v>54</v>
      </c>
      <c r="AN562" s="4" t="s">
        <v>97</v>
      </c>
      <c r="AO562" s="4" t="s">
        <v>250</v>
      </c>
      <c r="AP562" s="4" t="s">
        <v>251</v>
      </c>
      <c r="AQ562" s="4" t="s">
        <v>58</v>
      </c>
      <c r="AR562" s="4" t="s">
        <v>171</v>
      </c>
      <c r="AS562" s="4" t="s">
        <v>91</v>
      </c>
      <c r="AT562" s="0" t="n">
        <v>0</v>
      </c>
      <c r="AU562" s="4" t="s">
        <v>61</v>
      </c>
      <c r="AV562" s="4" t="s">
        <v>101</v>
      </c>
    </row>
    <row r="563" customFormat="false" ht="15" hidden="false" customHeight="false" outlineLevel="0" collapsed="false">
      <c r="A563" s="0" t="s">
        <v>2192</v>
      </c>
      <c r="B563" s="3" t="n">
        <f aca="false">IF(AJ563="","",IF(ISNUMBER(SEARCH("/",AJ563)),DATE(VALUE(RIGHT(AJ563,4)),VALUE(LEFT(AJ563,2)),VALUE(MID(AJ563,4,2))),IF(ISNUMBER(SEARCH("-",AJ563)),IF(LEN(LEFT(AJ563,FIND("-",AJ563)-1))=4,DATE(VALUE(LEFT(AJ563,4)),VALUE(MID(AJ563,6,2)),VALUE(RIGHT(AJ563,2))),DATE(VALUE(RIGHT(AJ563,4)),VALUE(MID(AJ563,4,2)),VALUE(LEFT(AJ563,2)))),DATE(VALUE(RIGHT(AJ563,4)),MATCH(MID(AJ563,4,3),{"Jan","Feb","Mar","Apr","May","Jun","Jul","Aug","Sep","Oct","Nov","Dec"},0),VALUE(LEFT(AJ563,2))))))</f>
        <v>45852</v>
      </c>
      <c r="C563" s="3" t="n">
        <f aca="false">IF(AK563="","",IF(ISNUMBER(SEARCH("/",AK563)),DATE(VALUE(RIGHT(AK563,4)),VALUE(LEFT(AK563,2)),VALUE(MID(AK563,4,2))),IF(ISNUMBER(SEARCH("-",AK563)),IF(LEN(LEFT(AK563,FIND("-",AK563)-1))=4,DATE(VALUE(LEFT(AK563,4)),VALUE(MID(AK563,6,2)),VALUE(RIGHT(AK563,2))),DATE(VALUE(RIGHT(AK563,4)),VALUE(MID(AK563,4,2)),VALUE(LEFT(AK563,2)))),DATE(VALUE(RIGHT(AK563,4)),MATCH(MID(AK563,4,3),{"Jan","Feb","Mar","Apr","May","Jun","Jul","Aug","Sep","Oct","Nov","Dec"},0),VALUE(LEFT(AK563,2))))))</f>
        <v>45856</v>
      </c>
      <c r="D563" s="4" t="s">
        <v>2193</v>
      </c>
      <c r="E563" s="0" t="str">
        <f aca="false">PROPER(TRIM(AL563))</f>
        <v>Aditi Sen</v>
      </c>
      <c r="F563" s="0" t="str">
        <f aca="false">PROPER(TRIM(AM563))</f>
        <v>Consumer</v>
      </c>
      <c r="G563" s="0" t="str">
        <f aca="false">IF(TRIM(AN563)="","Unknown",PROPER(TRIM(AN563)))</f>
        <v>North</v>
      </c>
      <c r="H563" s="0" t="str">
        <f aca="false">PROPER(TRIM(AO563))</f>
        <v>Punjab</v>
      </c>
      <c r="I563" s="0" t="str">
        <f aca="false">PROPER(TRIM(AP563))</f>
        <v>Ludhiana</v>
      </c>
      <c r="J563" s="0" t="str">
        <f aca="false">PROPER(TRIM(AQ563))</f>
        <v>Technology</v>
      </c>
      <c r="K563" s="0" t="str">
        <f aca="false">PROPER(TRIM(AR563))</f>
        <v>Copiers</v>
      </c>
      <c r="M563" s="0" t="str">
        <f aca="false">IF(TRIM(AS563)="","Unknown",PROPER(TRIM(AS563)))</f>
        <v>First Class</v>
      </c>
      <c r="N563" s="0" t="n">
        <v>4</v>
      </c>
      <c r="O563" s="0" t="n">
        <v>725.22</v>
      </c>
      <c r="P563" s="5" t="n">
        <f aca="false">IF(AT563="","",IF(ISNUMBER(AT563),AT563,VALUE(SUBSTITUTE(AT563,"%",""))/100))</f>
        <v>0</v>
      </c>
      <c r="Q563" s="5" t="n">
        <f aca="false">IF(P563="",IF(AND(N563&lt;&gt;"",O563&lt;&gt;"",R563&lt;&gt;"",S563&lt;&gt;""),0,"REVIEW"),IF(OR(P563&lt;0,P563&gt;0.3),0,P563))</f>
        <v>0</v>
      </c>
      <c r="R563" s="0" t="n">
        <v>2900.88</v>
      </c>
      <c r="S563" s="0" t="n">
        <v>2391.85</v>
      </c>
      <c r="T563" s="6" t="n">
        <f aca="false">N563*O563*(1-Q563)</f>
        <v>2900.88</v>
      </c>
      <c r="U563" s="6" t="n">
        <f aca="false">T563-S563</f>
        <v>509.03</v>
      </c>
      <c r="V563" s="7" t="n">
        <f aca="false">IF(T563=0,0,U563/T563)</f>
        <v>0.175474338821323</v>
      </c>
      <c r="W563" s="4" t="n">
        <f aca="false">C563-B563</f>
        <v>4</v>
      </c>
      <c r="X563" s="0" t="str">
        <f aca="false">TEXT(B563,"mmmm")</f>
        <v>July</v>
      </c>
      <c r="Y563" s="4" t="n">
        <f aca="false">YEAR(B563)</f>
        <v>2025</v>
      </c>
      <c r="Z563" s="0" t="str">
        <f aca="false">PROPER(TRIM(AU563))</f>
        <v>Pending</v>
      </c>
      <c r="AA563" s="0" t="str">
        <f aca="false">PROPER(TRIM(AV563))</f>
        <v>Returned</v>
      </c>
      <c r="AB563" s="0" t="str">
        <f aca="false">IF(TRIM(AN563)="","Yes","No")</f>
        <v>No</v>
      </c>
      <c r="AC563" s="0" t="str">
        <f aca="false">IF(TRIM(AS563)="","Yes","No")</f>
        <v>No</v>
      </c>
      <c r="AD563" s="0" t="str">
        <f aca="false">IF(AT563="","Yes","No")</f>
        <v>No</v>
      </c>
      <c r="AE563" s="0" t="str">
        <f aca="false">IF(W563&lt;0,"Yes","No")</f>
        <v>No</v>
      </c>
      <c r="AF563" s="0" t="str">
        <f aca="false">IF(P563="","No",IF(OR(P563&lt;0,P563&gt;0.3),"Yes","No"))</f>
        <v>No</v>
      </c>
      <c r="AG563" s="4" t="s">
        <v>50</v>
      </c>
      <c r="AH563" s="0" t="str">
        <f aca="false">IF(AND(AA563="Completed",Z563="Paid"),"Yes","No")</f>
        <v>No</v>
      </c>
      <c r="AI563" s="0" t="str">
        <f aca="false">IF(OR(AE563="Yes",AF563="Yes",AG563="Yes"),"Invalid",IF(OR(AB563="Yes",AC563="Yes",AD563="Yes"),"Warning","Clean"))</f>
        <v>Clean</v>
      </c>
      <c r="AJ563" s="4" t="s">
        <v>670</v>
      </c>
      <c r="AK563" s="4" t="s">
        <v>2194</v>
      </c>
      <c r="AL563" s="4" t="s">
        <v>127</v>
      </c>
      <c r="AM563" s="4" t="s">
        <v>54</v>
      </c>
      <c r="AN563" s="4" t="s">
        <v>168</v>
      </c>
      <c r="AO563" s="4" t="s">
        <v>169</v>
      </c>
      <c r="AP563" s="4" t="s">
        <v>170</v>
      </c>
      <c r="AQ563" s="4" t="s">
        <v>109</v>
      </c>
      <c r="AR563" s="4" t="s">
        <v>116</v>
      </c>
      <c r="AS563" s="4" t="s">
        <v>81</v>
      </c>
      <c r="AT563" s="0" t="n">
        <v>0</v>
      </c>
      <c r="AU563" s="4" t="s">
        <v>153</v>
      </c>
      <c r="AV563" s="4" t="s">
        <v>142</v>
      </c>
    </row>
    <row r="564" customFormat="false" ht="15" hidden="false" customHeight="false" outlineLevel="0" collapsed="false">
      <c r="A564" s="0" t="s">
        <v>2195</v>
      </c>
      <c r="B564" s="3" t="n">
        <f aca="false">IF(AJ564="","",IF(ISNUMBER(SEARCH("/",AJ564)),DATE(VALUE(RIGHT(AJ564,4)),VALUE(LEFT(AJ564,2)),VALUE(MID(AJ564,4,2))),IF(ISNUMBER(SEARCH("-",AJ564)),IF(LEN(LEFT(AJ564,FIND("-",AJ564)-1))=4,DATE(VALUE(LEFT(AJ564,4)),VALUE(MID(AJ564,6,2)),VALUE(RIGHT(AJ564,2))),DATE(VALUE(RIGHT(AJ564,4)),VALUE(MID(AJ564,4,2)),VALUE(LEFT(AJ564,2)))),DATE(VALUE(RIGHT(AJ564,4)),MATCH(MID(AJ564,4,3),{"Jan","Feb","Mar","Apr","May","Jun","Jul","Aug","Sep","Oct","Nov","Dec"},0),VALUE(LEFT(AJ564,2))))))</f>
        <v>45422</v>
      </c>
      <c r="C564" s="3" t="n">
        <f aca="false">IF(AK564="","",IF(ISNUMBER(SEARCH("/",AK564)),DATE(VALUE(RIGHT(AK564,4)),VALUE(LEFT(AK564,2)),VALUE(MID(AK564,4,2))),IF(ISNUMBER(SEARCH("-",AK564)),IF(LEN(LEFT(AK564,FIND("-",AK564)-1))=4,DATE(VALUE(LEFT(AK564,4)),VALUE(MID(AK564,6,2)),VALUE(RIGHT(AK564,2))),DATE(VALUE(RIGHT(AK564,4)),VALUE(MID(AK564,4,2)),VALUE(LEFT(AK564,2)))),DATE(VALUE(RIGHT(AK564,4)),MATCH(MID(AK564,4,3),{"Jan","Feb","Mar","Apr","May","Jun","Jul","Aug","Sep","Oct","Nov","Dec"},0),VALUE(LEFT(AK564,2))))))</f>
        <v>45428</v>
      </c>
      <c r="D564" s="4" t="s">
        <v>2196</v>
      </c>
      <c r="E564" s="0" t="str">
        <f aca="false">PROPER(TRIM(AL564))</f>
        <v>Karan Malhotra</v>
      </c>
      <c r="F564" s="0" t="str">
        <f aca="false">PROPER(TRIM(AM564))</f>
        <v>Consumer</v>
      </c>
      <c r="G564" s="0" t="str">
        <f aca="false">IF(TRIM(AN564)="","Unknown",PROPER(TRIM(AN564)))</f>
        <v>North</v>
      </c>
      <c r="H564" s="0" t="str">
        <f aca="false">PROPER(TRIM(AO564))</f>
        <v>Punjab</v>
      </c>
      <c r="I564" s="0" t="str">
        <f aca="false">PROPER(TRIM(AP564))</f>
        <v>Ludhiana</v>
      </c>
      <c r="J564" s="0" t="str">
        <f aca="false">PROPER(TRIM(AQ564))</f>
        <v>Office Supplies</v>
      </c>
      <c r="K564" s="0" t="str">
        <f aca="false">PROPER(TRIM(AR564))</f>
        <v>Binders</v>
      </c>
      <c r="M564" s="0" t="str">
        <f aca="false">IF(TRIM(AS564)="","Unknown",PROPER(TRIM(AS564)))</f>
        <v>Same Day</v>
      </c>
      <c r="N564" s="0" t="n">
        <v>7</v>
      </c>
      <c r="O564" s="0" t="n">
        <v>121.54</v>
      </c>
      <c r="P564" s="5" t="n">
        <f aca="false">IF(AT564="","",IF(ISNUMBER(AT564),AT564,VALUE(SUBSTITUTE(AT564,"%",""))/100))</f>
        <v>0.2</v>
      </c>
      <c r="Q564" s="5" t="n">
        <f aca="false">IF(P564="",IF(AND(N564&lt;&gt;"",O564&lt;&gt;"",R564&lt;&gt;"",S564&lt;&gt;""),0,"REVIEW"),IF(OR(P564&lt;0,P564&gt;0.3),0,P564))</f>
        <v>0.2</v>
      </c>
      <c r="R564" s="0" t="n">
        <v>680.62</v>
      </c>
      <c r="S564" s="0" t="n">
        <v>463.49</v>
      </c>
      <c r="T564" s="6" t="n">
        <f aca="false">N564*O564*(1-Q564)</f>
        <v>680.624</v>
      </c>
      <c r="U564" s="6" t="n">
        <f aca="false">T564-S564</f>
        <v>217.134</v>
      </c>
      <c r="V564" s="7" t="n">
        <f aca="false">IF(T564=0,0,U564/T564)</f>
        <v>0.319021956322434</v>
      </c>
      <c r="W564" s="4" t="n">
        <f aca="false">C564-B564</f>
        <v>6</v>
      </c>
      <c r="X564" s="0" t="str">
        <f aca="false">TEXT(B564,"mmmm")</f>
        <v>May</v>
      </c>
      <c r="Y564" s="4" t="n">
        <f aca="false">YEAR(B564)</f>
        <v>2024</v>
      </c>
      <c r="Z564" s="0" t="str">
        <f aca="false">PROPER(TRIM(AU564))</f>
        <v>Failed</v>
      </c>
      <c r="AA564" s="0" t="str">
        <f aca="false">PROPER(TRIM(AV564))</f>
        <v>Returned</v>
      </c>
      <c r="AB564" s="0" t="str">
        <f aca="false">IF(TRIM(AN564)="","Yes","No")</f>
        <v>No</v>
      </c>
      <c r="AC564" s="0" t="str">
        <f aca="false">IF(TRIM(AS564)="","Yes","No")</f>
        <v>No</v>
      </c>
      <c r="AD564" s="0" t="str">
        <f aca="false">IF(AT564="","Yes","No")</f>
        <v>No</v>
      </c>
      <c r="AE564" s="0" t="str">
        <f aca="false">IF(W564&lt;0,"Yes","No")</f>
        <v>No</v>
      </c>
      <c r="AF564" s="0" t="str">
        <f aca="false">IF(P564="","No",IF(OR(P564&lt;0,P564&gt;0.3),"Yes","No"))</f>
        <v>No</v>
      </c>
      <c r="AG564" s="4" t="s">
        <v>50</v>
      </c>
      <c r="AH564" s="0" t="str">
        <f aca="false">IF(AND(AA564="Completed",Z564="Paid"),"Yes","No")</f>
        <v>No</v>
      </c>
      <c r="AI564" s="0" t="str">
        <f aca="false">IF(OR(AE564="Yes",AF564="Yes",AG564="Yes"),"Invalid",IF(OR(AB564="Yes",AC564="Yes",AD564="Yes"),"Warning","Clean"))</f>
        <v>Clean</v>
      </c>
      <c r="AJ564" s="4" t="s">
        <v>2197</v>
      </c>
      <c r="AK564" s="4" t="s">
        <v>2149</v>
      </c>
      <c r="AL564" s="4" t="s">
        <v>53</v>
      </c>
      <c r="AM564" s="4" t="s">
        <v>54</v>
      </c>
      <c r="AN564" s="4" t="s">
        <v>168</v>
      </c>
      <c r="AO564" s="4" t="s">
        <v>169</v>
      </c>
      <c r="AP564" s="4" t="s">
        <v>170</v>
      </c>
      <c r="AQ564" s="4" t="s">
        <v>58</v>
      </c>
      <c r="AR564" s="4" t="s">
        <v>206</v>
      </c>
      <c r="AS564" s="4" t="s">
        <v>74</v>
      </c>
      <c r="AT564" s="0" t="n">
        <v>0.2</v>
      </c>
      <c r="AU564" s="4" t="s">
        <v>207</v>
      </c>
      <c r="AV564" s="4" t="s">
        <v>142</v>
      </c>
    </row>
    <row r="565" customFormat="false" ht="15" hidden="false" customHeight="false" outlineLevel="0" collapsed="false">
      <c r="A565" s="0" t="s">
        <v>2198</v>
      </c>
      <c r="B565" s="3" t="n">
        <f aca="false">IF(AJ565="","",IF(ISNUMBER(SEARCH("/",AJ565)),DATE(VALUE(RIGHT(AJ565,4)),VALUE(LEFT(AJ565,2)),VALUE(MID(AJ565,4,2))),IF(ISNUMBER(SEARCH("-",AJ565)),IF(LEN(LEFT(AJ565,FIND("-",AJ565)-1))=4,DATE(VALUE(LEFT(AJ565,4)),VALUE(MID(AJ565,6,2)),VALUE(RIGHT(AJ565,2))),DATE(VALUE(RIGHT(AJ565,4)),VALUE(MID(AJ565,4,2)),VALUE(LEFT(AJ565,2)))),DATE(VALUE(RIGHT(AJ565,4)),MATCH(MID(AJ565,4,3),{"Jan","Feb","Mar","Apr","May","Jun","Jul","Aug","Sep","Oct","Nov","Dec"},0),VALUE(LEFT(AJ565,2))))))</f>
        <v>45418</v>
      </c>
      <c r="C565" s="3" t="n">
        <f aca="false">IF(AK565="","",IF(ISNUMBER(SEARCH("/",AK565)),DATE(VALUE(RIGHT(AK565,4)),VALUE(LEFT(AK565,2)),VALUE(MID(AK565,4,2))),IF(ISNUMBER(SEARCH("-",AK565)),IF(LEN(LEFT(AK565,FIND("-",AK565)-1))=4,DATE(VALUE(LEFT(AK565,4)),VALUE(MID(AK565,6,2)),VALUE(RIGHT(AK565,2))),DATE(VALUE(RIGHT(AK565,4)),VALUE(MID(AK565,4,2)),VALUE(LEFT(AK565,2)))),DATE(VALUE(RIGHT(AK565,4)),MATCH(MID(AK565,4,3),{"Jan","Feb","Mar","Apr","May","Jun","Jul","Aug","Sep","Oct","Nov","Dec"},0),VALUE(LEFT(AK565,2))))))</f>
        <v>45424</v>
      </c>
      <c r="D565" s="4" t="s">
        <v>2199</v>
      </c>
      <c r="E565" s="0" t="str">
        <f aca="false">PROPER(TRIM(AL565))</f>
        <v>Arjun Bose</v>
      </c>
      <c r="F565" s="0" t="str">
        <f aca="false">PROPER(TRIM(AM565))</f>
        <v>Corporate</v>
      </c>
      <c r="G565" s="0" t="str">
        <f aca="false">IF(TRIM(AN565)="","Unknown",PROPER(TRIM(AN565)))</f>
        <v>West</v>
      </c>
      <c r="H565" s="0" t="str">
        <f aca="false">PROPER(TRIM(AO565))</f>
        <v>Goa</v>
      </c>
      <c r="I565" s="0" t="str">
        <f aca="false">PROPER(TRIM(AP565))</f>
        <v>Panaji</v>
      </c>
      <c r="J565" s="0" t="str">
        <f aca="false">PROPER(TRIM(AQ565))</f>
        <v>Furniture</v>
      </c>
      <c r="K565" s="0" t="str">
        <f aca="false">PROPER(TRIM(AR565))</f>
        <v>Tables</v>
      </c>
      <c r="M565" s="0" t="str">
        <f aca="false">IF(TRIM(AS565)="","Unknown",PROPER(TRIM(AS565)))</f>
        <v>Standard Class</v>
      </c>
      <c r="N565" s="0" t="n">
        <v>9</v>
      </c>
      <c r="O565" s="0" t="n">
        <v>790.97</v>
      </c>
      <c r="P565" s="5" t="n">
        <f aca="false">IF(AT565="","",IF(ISNUMBER(AT565),AT565,VALUE(SUBSTITUTE(AT565,"%",""))/100))</f>
        <v>0.2</v>
      </c>
      <c r="Q565" s="5" t="n">
        <f aca="false">IF(P565="",IF(AND(N565&lt;&gt;"",O565&lt;&gt;"",R565&lt;&gt;"",S565&lt;&gt;""),0,"REVIEW"),IF(OR(P565&lt;0,P565&gt;0.3),0,P565))</f>
        <v>0.2</v>
      </c>
      <c r="R565" s="0" t="n">
        <v>5694.98</v>
      </c>
      <c r="S565" s="0" t="n">
        <v>4618.33</v>
      </c>
      <c r="T565" s="6" t="n">
        <f aca="false">N565*O565*(1-Q565)</f>
        <v>5694.984</v>
      </c>
      <c r="U565" s="6" t="n">
        <f aca="false">T565-S565</f>
        <v>1076.654</v>
      </c>
      <c r="V565" s="7" t="n">
        <f aca="false">IF(T565=0,0,U565/T565)</f>
        <v>0.189053033336002</v>
      </c>
      <c r="W565" s="4" t="n">
        <f aca="false">C565-B565</f>
        <v>6</v>
      </c>
      <c r="X565" s="0" t="str">
        <f aca="false">TEXT(B565,"mmmm")</f>
        <v>May</v>
      </c>
      <c r="Y565" s="4" t="n">
        <f aca="false">YEAR(B565)</f>
        <v>2024</v>
      </c>
      <c r="Z565" s="0" t="str">
        <f aca="false">PROPER(TRIM(AU565))</f>
        <v>Pending</v>
      </c>
      <c r="AA565" s="0" t="str">
        <f aca="false">PROPER(TRIM(AV565))</f>
        <v>Cancelled</v>
      </c>
      <c r="AB565" s="0" t="str">
        <f aca="false">IF(TRIM(AN565)="","Yes","No")</f>
        <v>No</v>
      </c>
      <c r="AC565" s="0" t="str">
        <f aca="false">IF(TRIM(AS565)="","Yes","No")</f>
        <v>No</v>
      </c>
      <c r="AD565" s="0" t="str">
        <f aca="false">IF(AT565="","Yes","No")</f>
        <v>No</v>
      </c>
      <c r="AE565" s="0" t="str">
        <f aca="false">IF(W565&lt;0,"Yes","No")</f>
        <v>No</v>
      </c>
      <c r="AF565" s="0" t="str">
        <f aca="false">IF(P565="","No",IF(OR(P565&lt;0,P565&gt;0.3),"Yes","No"))</f>
        <v>No</v>
      </c>
      <c r="AG565" s="4" t="s">
        <v>50</v>
      </c>
      <c r="AH565" s="0" t="str">
        <f aca="false">IF(AND(AA565="Completed",Z565="Paid"),"Yes","No")</f>
        <v>No</v>
      </c>
      <c r="AI565" s="0" t="str">
        <f aca="false">IF(OR(AE565="Yes",AF565="Yes",AG565="Yes"),"Invalid",IF(OR(AB565="Yes",AC565="Yes",AD565="Yes"),"Warning","Clean"))</f>
        <v>Clean</v>
      </c>
      <c r="AJ565" s="4" t="s">
        <v>2200</v>
      </c>
      <c r="AK565" s="4" t="s">
        <v>1478</v>
      </c>
      <c r="AL565" s="4" t="s">
        <v>86</v>
      </c>
      <c r="AM565" s="4" t="s">
        <v>128</v>
      </c>
      <c r="AN565" s="4" t="s">
        <v>97</v>
      </c>
      <c r="AO565" s="4" t="s">
        <v>250</v>
      </c>
      <c r="AP565" s="4" t="s">
        <v>251</v>
      </c>
      <c r="AQ565" s="4" t="s">
        <v>72</v>
      </c>
      <c r="AR565" s="4" t="s">
        <v>73</v>
      </c>
      <c r="AS565" s="4" t="s">
        <v>91</v>
      </c>
      <c r="AT565" s="0" t="n">
        <v>0.2</v>
      </c>
      <c r="AU565" s="4" t="s">
        <v>153</v>
      </c>
      <c r="AV565" s="4" t="s">
        <v>101</v>
      </c>
    </row>
    <row r="566" customFormat="false" ht="15" hidden="false" customHeight="false" outlineLevel="0" collapsed="false">
      <c r="A566" s="0" t="s">
        <v>2201</v>
      </c>
      <c r="B566" s="3" t="n">
        <f aca="false">IF(AJ566="","",IF(ISNUMBER(SEARCH("/",AJ566)),DATE(VALUE(RIGHT(AJ566,4)),VALUE(LEFT(AJ566,2)),VALUE(MID(AJ566,4,2))),IF(ISNUMBER(SEARCH("-",AJ566)),IF(LEN(LEFT(AJ566,FIND("-",AJ566)-1))=4,DATE(VALUE(LEFT(AJ566,4)),VALUE(MID(AJ566,6,2)),VALUE(RIGHT(AJ566,2))),DATE(VALUE(RIGHT(AJ566,4)),VALUE(MID(AJ566,4,2)),VALUE(LEFT(AJ566,2)))),DATE(VALUE(RIGHT(AJ566,4)),MATCH(MID(AJ566,4,3),{"Jan","Feb","Mar","Apr","May","Jun","Jul","Aug","Sep","Oct","Nov","Dec"},0),VALUE(LEFT(AJ566,2))))))</f>
        <v>45606</v>
      </c>
      <c r="C566" s="3" t="n">
        <f aca="false">IF(AK566="","",IF(ISNUMBER(SEARCH("/",AK566)),DATE(VALUE(RIGHT(AK566,4)),VALUE(LEFT(AK566,2)),VALUE(MID(AK566,4,2))),IF(ISNUMBER(SEARCH("-",AK566)),IF(LEN(LEFT(AK566,FIND("-",AK566)-1))=4,DATE(VALUE(LEFT(AK566,4)),VALUE(MID(AK566,6,2)),VALUE(RIGHT(AK566,2))),DATE(VALUE(RIGHT(AK566,4)),VALUE(MID(AK566,4,2)),VALUE(LEFT(AK566,2)))),DATE(VALUE(RIGHT(AK566,4)),MATCH(MID(AK566,4,3),{"Jan","Feb","Mar","Apr","May","Jun","Jul","Aug","Sep","Oct","Nov","Dec"},0),VALUE(LEFT(AK566,2))))))</f>
        <v>45610</v>
      </c>
      <c r="D566" s="4" t="s">
        <v>2202</v>
      </c>
      <c r="E566" s="0" t="str">
        <f aca="false">PROPER(TRIM(AL566))</f>
        <v>Sneha Kapoor</v>
      </c>
      <c r="F566" s="0" t="str">
        <f aca="false">PROPER(TRIM(AM566))</f>
        <v>Corporate</v>
      </c>
      <c r="G566" s="0" t="str">
        <f aca="false">IF(TRIM(AN566)="","Unknown",PROPER(TRIM(AN566)))</f>
        <v>South</v>
      </c>
      <c r="H566" s="0" t="str">
        <f aca="false">PROPER(TRIM(AO566))</f>
        <v>Andhra Pradesh</v>
      </c>
      <c r="I566" s="0" t="str">
        <f aca="false">PROPER(TRIM(AP566))</f>
        <v>Vijayawada</v>
      </c>
      <c r="J566" s="0" t="str">
        <f aca="false">PROPER(TRIM(AQ566))</f>
        <v>Furniture</v>
      </c>
      <c r="K566" s="0" t="str">
        <f aca="false">PROPER(TRIM(AR566))</f>
        <v>Tables</v>
      </c>
      <c r="M566" s="0" t="str">
        <f aca="false">IF(TRIM(AS566)="","Unknown",PROPER(TRIM(AS566)))</f>
        <v>First Class</v>
      </c>
      <c r="N566" s="0" t="n">
        <v>2</v>
      </c>
      <c r="O566" s="0" t="n">
        <v>921.34</v>
      </c>
      <c r="P566" s="5" t="n">
        <f aca="false">IF(AT566="","",IF(ISNUMBER(AT566),AT566,VALUE(SUBSTITUTE(AT566,"%",""))/100))</f>
        <v>0.2</v>
      </c>
      <c r="Q566" s="5" t="n">
        <f aca="false">IF(P566="",IF(AND(N566&lt;&gt;"",O566&lt;&gt;"",R566&lt;&gt;"",S566&lt;&gt;""),0,"REVIEW"),IF(OR(P566&lt;0,P566&gt;0.3),0,P566))</f>
        <v>0.2</v>
      </c>
      <c r="R566" s="0" t="n">
        <v>1474.14</v>
      </c>
      <c r="S566" s="0" t="n">
        <v>968.46</v>
      </c>
      <c r="T566" s="6" t="n">
        <f aca="false">N566*O566*(1-Q566)</f>
        <v>1474.144</v>
      </c>
      <c r="U566" s="6" t="n">
        <f aca="false">T566-S566</f>
        <v>505.684</v>
      </c>
      <c r="V566" s="7" t="n">
        <f aca="false">IF(T566=0,0,U566/T566)</f>
        <v>0.343035687151323</v>
      </c>
      <c r="W566" s="4" t="n">
        <f aca="false">C566-B566</f>
        <v>4</v>
      </c>
      <c r="X566" s="0" t="str">
        <f aca="false">TEXT(B566,"mmmm")</f>
        <v>November</v>
      </c>
      <c r="Y566" s="4" t="n">
        <f aca="false">YEAR(B566)</f>
        <v>2024</v>
      </c>
      <c r="Z566" s="0" t="str">
        <f aca="false">PROPER(TRIM(AU566))</f>
        <v>Paid</v>
      </c>
      <c r="AA566" s="0" t="str">
        <f aca="false">PROPER(TRIM(AV566))</f>
        <v>Completed</v>
      </c>
      <c r="AB566" s="0" t="str">
        <f aca="false">IF(TRIM(AN566)="","Yes","No")</f>
        <v>No</v>
      </c>
      <c r="AC566" s="0" t="str">
        <f aca="false">IF(TRIM(AS566)="","Yes","No")</f>
        <v>No</v>
      </c>
      <c r="AD566" s="0" t="str">
        <f aca="false">IF(AT566="","Yes","No")</f>
        <v>No</v>
      </c>
      <c r="AE566" s="0" t="str">
        <f aca="false">IF(W566&lt;0,"Yes","No")</f>
        <v>No</v>
      </c>
      <c r="AF566" s="0" t="str">
        <f aca="false">IF(P566="","No",IF(OR(P566&lt;0,P566&gt;0.3),"Yes","No"))</f>
        <v>No</v>
      </c>
      <c r="AG566" s="4" t="s">
        <v>50</v>
      </c>
      <c r="AH566" s="0" t="str">
        <f aca="false">IF(AND(AA566="Completed",Z566="Paid"),"Yes","No")</f>
        <v>Yes</v>
      </c>
      <c r="AI566" s="0" t="str">
        <f aca="false">IF(OR(AE566="Yes",AF566="Yes",AG566="Yes"),"Invalid",IF(OR(AB566="Yes",AC566="Yes",AD566="Yes"),"Warning","Clean"))</f>
        <v>Clean</v>
      </c>
      <c r="AJ566" s="4" t="s">
        <v>126</v>
      </c>
      <c r="AK566" s="4" t="s">
        <v>2203</v>
      </c>
      <c r="AL566" s="4" t="s">
        <v>181</v>
      </c>
      <c r="AM566" s="4" t="s">
        <v>128</v>
      </c>
      <c r="AN566" s="4" t="s">
        <v>87</v>
      </c>
      <c r="AO566" s="4" t="s">
        <v>121</v>
      </c>
      <c r="AP566" s="4" t="s">
        <v>122</v>
      </c>
      <c r="AQ566" s="4" t="s">
        <v>72</v>
      </c>
      <c r="AR566" s="4" t="s">
        <v>73</v>
      </c>
      <c r="AS566" s="4" t="s">
        <v>81</v>
      </c>
      <c r="AT566" s="0" t="n">
        <v>0.2</v>
      </c>
      <c r="AU566" s="4" t="s">
        <v>61</v>
      </c>
      <c r="AV566" s="4" t="s">
        <v>62</v>
      </c>
    </row>
    <row r="567" customFormat="false" ht="15" hidden="false" customHeight="false" outlineLevel="0" collapsed="false">
      <c r="A567" s="0" t="s">
        <v>2204</v>
      </c>
      <c r="B567" s="3" t="n">
        <f aca="false">IF(AJ567="","",IF(ISNUMBER(SEARCH("/",AJ567)),DATE(VALUE(RIGHT(AJ567,4)),VALUE(LEFT(AJ567,2)),VALUE(MID(AJ567,4,2))),IF(ISNUMBER(SEARCH("-",AJ567)),IF(LEN(LEFT(AJ567,FIND("-",AJ567)-1))=4,DATE(VALUE(LEFT(AJ567,4)),VALUE(MID(AJ567,6,2)),VALUE(RIGHT(AJ567,2))),DATE(VALUE(RIGHT(AJ567,4)),VALUE(MID(AJ567,4,2)),VALUE(LEFT(AJ567,2)))),DATE(VALUE(RIGHT(AJ567,4)),MATCH(MID(AJ567,4,3),{"Jan","Feb","Mar","Apr","May","Jun","Jul","Aug","Sep","Oct","Nov","Dec"},0),VALUE(LEFT(AJ567,2))))))</f>
        <v>45876</v>
      </c>
      <c r="C567" s="3" t="n">
        <f aca="false">IF(AK567="","",IF(ISNUMBER(SEARCH("/",AK567)),DATE(VALUE(RIGHT(AK567,4)),VALUE(LEFT(AK567,2)),VALUE(MID(AK567,4,2))),IF(ISNUMBER(SEARCH("-",AK567)),IF(LEN(LEFT(AK567,FIND("-",AK567)-1))=4,DATE(VALUE(LEFT(AK567,4)),VALUE(MID(AK567,6,2)),VALUE(RIGHT(AK567,2))),DATE(VALUE(RIGHT(AK567,4)),VALUE(MID(AK567,4,2)),VALUE(LEFT(AK567,2)))),DATE(VALUE(RIGHT(AK567,4)),MATCH(MID(AK567,4,3),{"Jan","Feb","Mar","Apr","May","Jun","Jul","Aug","Sep","Oct","Nov","Dec"},0),VALUE(LEFT(AK567,2))))))</f>
        <v>45882</v>
      </c>
      <c r="D567" s="4" t="s">
        <v>2205</v>
      </c>
      <c r="E567" s="0" t="str">
        <f aca="false">PROPER(TRIM(AL567))</f>
        <v>Mira Das</v>
      </c>
      <c r="F567" s="0" t="str">
        <f aca="false">PROPER(TRIM(AM567))</f>
        <v>Corporate</v>
      </c>
      <c r="G567" s="0" t="str">
        <f aca="false">IF(TRIM(AN567)="","Unknown",PROPER(TRIM(AN567)))</f>
        <v>North</v>
      </c>
      <c r="H567" s="0" t="str">
        <f aca="false">PROPER(TRIM(AO567))</f>
        <v>Delhi</v>
      </c>
      <c r="I567" s="0" t="str">
        <f aca="false">PROPER(TRIM(AP567))</f>
        <v>New Delhi</v>
      </c>
      <c r="J567" s="0" t="str">
        <f aca="false">PROPER(TRIM(AQ567))</f>
        <v>Technology</v>
      </c>
      <c r="K567" s="0" t="str">
        <f aca="false">PROPER(TRIM(AR567))</f>
        <v>Phones</v>
      </c>
      <c r="M567" s="0" t="str">
        <f aca="false">IF(TRIM(AS567)="","Unknown",PROPER(TRIM(AS567)))</f>
        <v>Standard Class</v>
      </c>
      <c r="N567" s="0" t="n">
        <v>6</v>
      </c>
      <c r="O567" s="0" t="n">
        <v>1921.86</v>
      </c>
      <c r="P567" s="5" t="n">
        <f aca="false">IF(AT567="","",IF(ISNUMBER(AT567),AT567,VALUE(SUBSTITUTE(AT567,"%",""))/100))</f>
        <v>0.2</v>
      </c>
      <c r="Q567" s="5" t="n">
        <f aca="false">IF(P567="",IF(AND(N567&lt;&gt;"",O567&lt;&gt;"",R567&lt;&gt;"",S567&lt;&gt;""),0,"REVIEW"),IF(OR(P567&lt;0,P567&gt;0.3),0,P567))</f>
        <v>0.2</v>
      </c>
      <c r="R567" s="0" t="n">
        <v>9224.93</v>
      </c>
      <c r="S567" s="0" t="n">
        <v>7005.2</v>
      </c>
      <c r="T567" s="6" t="n">
        <f aca="false">N567*O567*(1-Q567)</f>
        <v>9224.928</v>
      </c>
      <c r="U567" s="6" t="n">
        <f aca="false">T567-S567</f>
        <v>2219.728</v>
      </c>
      <c r="V567" s="7" t="n">
        <f aca="false">IF(T567=0,0,U567/T567)</f>
        <v>0.24062279944082</v>
      </c>
      <c r="W567" s="4" t="n">
        <f aca="false">C567-B567</f>
        <v>6</v>
      </c>
      <c r="X567" s="0" t="str">
        <f aca="false">TEXT(B567,"mmmm")</f>
        <v>August</v>
      </c>
      <c r="Y567" s="4" t="n">
        <f aca="false">YEAR(B567)</f>
        <v>2025</v>
      </c>
      <c r="Z567" s="0" t="str">
        <f aca="false">PROPER(TRIM(AU567))</f>
        <v>Refunded</v>
      </c>
      <c r="AA567" s="0" t="str">
        <f aca="false">PROPER(TRIM(AV567))</f>
        <v>Cancelled</v>
      </c>
      <c r="AB567" s="0" t="str">
        <f aca="false">IF(TRIM(AN567)="","Yes","No")</f>
        <v>No</v>
      </c>
      <c r="AC567" s="0" t="str">
        <f aca="false">IF(TRIM(AS567)="","Yes","No")</f>
        <v>No</v>
      </c>
      <c r="AD567" s="0" t="str">
        <f aca="false">IF(AT567="","Yes","No")</f>
        <v>No</v>
      </c>
      <c r="AE567" s="0" t="str">
        <f aca="false">IF(W567&lt;0,"Yes","No")</f>
        <v>No</v>
      </c>
      <c r="AF567" s="0" t="str">
        <f aca="false">IF(P567="","No",IF(OR(P567&lt;0,P567&gt;0.3),"Yes","No"))</f>
        <v>No</v>
      </c>
      <c r="AG567" s="4" t="s">
        <v>50</v>
      </c>
      <c r="AH567" s="0" t="str">
        <f aca="false">IF(AND(AA567="Completed",Z567="Paid"),"Yes","No")</f>
        <v>No</v>
      </c>
      <c r="AI567" s="0" t="str">
        <f aca="false">IF(OR(AE567="Yes",AF567="Yes",AG567="Yes"),"Invalid",IF(OR(AB567="Yes",AC567="Yes",AD567="Yes"),"Warning","Clean"))</f>
        <v>Clean</v>
      </c>
      <c r="AJ567" s="4" t="s">
        <v>2206</v>
      </c>
      <c r="AK567" s="4" t="s">
        <v>243</v>
      </c>
      <c r="AL567" s="4" t="s">
        <v>67</v>
      </c>
      <c r="AM567" s="4" t="s">
        <v>128</v>
      </c>
      <c r="AN567" s="4" t="s">
        <v>168</v>
      </c>
      <c r="AO567" s="4" t="s">
        <v>461</v>
      </c>
      <c r="AP567" s="4" t="s">
        <v>462</v>
      </c>
      <c r="AQ567" s="4" t="s">
        <v>109</v>
      </c>
      <c r="AR567" s="4" t="s">
        <v>227</v>
      </c>
      <c r="AS567" s="4" t="s">
        <v>91</v>
      </c>
      <c r="AT567" s="0" t="n">
        <v>0.2</v>
      </c>
      <c r="AU567" s="4" t="s">
        <v>141</v>
      </c>
      <c r="AV567" s="4" t="s">
        <v>101</v>
      </c>
    </row>
    <row r="568" customFormat="false" ht="15" hidden="false" customHeight="false" outlineLevel="0" collapsed="false">
      <c r="A568" s="0" t="s">
        <v>2207</v>
      </c>
      <c r="B568" s="3" t="n">
        <f aca="false">IF(AJ568="","",IF(ISNUMBER(SEARCH("/",AJ568)),DATE(VALUE(RIGHT(AJ568,4)),VALUE(LEFT(AJ568,2)),VALUE(MID(AJ568,4,2))),IF(ISNUMBER(SEARCH("-",AJ568)),IF(LEN(LEFT(AJ568,FIND("-",AJ568)-1))=4,DATE(VALUE(LEFT(AJ568,4)),VALUE(MID(AJ568,6,2)),VALUE(RIGHT(AJ568,2))),DATE(VALUE(RIGHT(AJ568,4)),VALUE(MID(AJ568,4,2)),VALUE(LEFT(AJ568,2)))),DATE(VALUE(RIGHT(AJ568,4)),MATCH(MID(AJ568,4,3),{"Jan","Feb","Mar","Apr","May","Jun","Jul","Aug","Sep","Oct","Nov","Dec"},0),VALUE(LEFT(AJ568,2))))))</f>
        <v>45515</v>
      </c>
      <c r="C568" s="3" t="n">
        <f aca="false">IF(AK568="","",IF(ISNUMBER(SEARCH("/",AK568)),DATE(VALUE(RIGHT(AK568,4)),VALUE(LEFT(AK568,2)),VALUE(MID(AK568,4,2))),IF(ISNUMBER(SEARCH("-",AK568)),IF(LEN(LEFT(AK568,FIND("-",AK568)-1))=4,DATE(VALUE(LEFT(AK568,4)),VALUE(MID(AK568,6,2)),VALUE(RIGHT(AK568,2))),DATE(VALUE(RIGHT(AK568,4)),VALUE(MID(AK568,4,2)),VALUE(LEFT(AK568,2)))),DATE(VALUE(RIGHT(AK568,4)),MATCH(MID(AK568,4,3),{"Jan","Feb","Mar","Apr","May","Jun","Jul","Aug","Sep","Oct","Nov","Dec"},0),VALUE(LEFT(AK568,2))))))</f>
        <v>45523</v>
      </c>
      <c r="D568" s="4" t="s">
        <v>2208</v>
      </c>
      <c r="E568" s="0" t="str">
        <f aca="false">PROPER(TRIM(AL568))</f>
        <v>Sneha Kapoor</v>
      </c>
      <c r="F568" s="0" t="str">
        <f aca="false">PROPER(TRIM(AM568))</f>
        <v>Small Business</v>
      </c>
      <c r="G568" s="0" t="str">
        <f aca="false">IF(TRIM(AN568)="","Unknown",PROPER(TRIM(AN568)))</f>
        <v>West</v>
      </c>
      <c r="H568" s="0" t="str">
        <f aca="false">PROPER(TRIM(AO568))</f>
        <v>Maharashtra</v>
      </c>
      <c r="I568" s="0" t="str">
        <f aca="false">PROPER(TRIM(AP568))</f>
        <v>Mumbai</v>
      </c>
      <c r="J568" s="0" t="str">
        <f aca="false">PROPER(TRIM(AQ568))</f>
        <v>Office Supplies</v>
      </c>
      <c r="K568" s="0" t="str">
        <f aca="false">PROPER(TRIM(AR568))</f>
        <v>Paper</v>
      </c>
      <c r="M568" s="0" t="str">
        <f aca="false">IF(TRIM(AS568)="","Unknown",PROPER(TRIM(AS568)))</f>
        <v>Same Day</v>
      </c>
      <c r="N568" s="0" t="n">
        <v>2</v>
      </c>
      <c r="O568" s="0" t="n">
        <v>2617.89</v>
      </c>
      <c r="P568" s="5" t="n">
        <f aca="false">IF(AT568="","",IF(ISNUMBER(AT568),AT568,VALUE(SUBSTITUTE(AT568,"%",""))/100))</f>
        <v>0.1</v>
      </c>
      <c r="Q568" s="5" t="n">
        <f aca="false">IF(P568="",IF(AND(N568&lt;&gt;"",O568&lt;&gt;"",R568&lt;&gt;"",S568&lt;&gt;""),0,"REVIEW"),IF(OR(P568&lt;0,P568&gt;0.3),0,P568))</f>
        <v>0.1</v>
      </c>
      <c r="R568" s="0" t="n">
        <v>4712.2</v>
      </c>
      <c r="S568" s="0" t="n">
        <v>3851.91</v>
      </c>
      <c r="T568" s="6" t="n">
        <f aca="false">N568*O568*(1-Q568)</f>
        <v>4712.202</v>
      </c>
      <c r="U568" s="6" t="n">
        <f aca="false">T568-S568</f>
        <v>860.292</v>
      </c>
      <c r="V568" s="7" t="n">
        <f aca="false">IF(T568=0,0,U568/T568)</f>
        <v>0.182566876377541</v>
      </c>
      <c r="W568" s="4" t="n">
        <f aca="false">C568-B568</f>
        <v>8</v>
      </c>
      <c r="X568" s="0" t="str">
        <f aca="false">TEXT(B568,"mmmm")</f>
        <v>August</v>
      </c>
      <c r="Y568" s="4" t="n">
        <f aca="false">YEAR(B568)</f>
        <v>2024</v>
      </c>
      <c r="Z568" s="0" t="str">
        <f aca="false">PROPER(TRIM(AU568))</f>
        <v>Failed</v>
      </c>
      <c r="AA568" s="0" t="str">
        <f aca="false">PROPER(TRIM(AV568))</f>
        <v>Returned</v>
      </c>
      <c r="AB568" s="0" t="str">
        <f aca="false">IF(TRIM(AN568)="","Yes","No")</f>
        <v>No</v>
      </c>
      <c r="AC568" s="0" t="str">
        <f aca="false">IF(TRIM(AS568)="","Yes","No")</f>
        <v>No</v>
      </c>
      <c r="AD568" s="0" t="str">
        <f aca="false">IF(AT568="","Yes","No")</f>
        <v>No</v>
      </c>
      <c r="AE568" s="0" t="str">
        <f aca="false">IF(W568&lt;0,"Yes","No")</f>
        <v>No</v>
      </c>
      <c r="AF568" s="0" t="str">
        <f aca="false">IF(P568="","No",IF(OR(P568&lt;0,P568&gt;0.3),"Yes","No"))</f>
        <v>No</v>
      </c>
      <c r="AG568" s="4" t="s">
        <v>50</v>
      </c>
      <c r="AH568" s="0" t="str">
        <f aca="false">IF(AND(AA568="Completed",Z568="Paid"),"Yes","No")</f>
        <v>No</v>
      </c>
      <c r="AI568" s="0" t="str">
        <f aca="false">IF(OR(AE568="Yes",AF568="Yes",AG568="Yes"),"Invalid",IF(OR(AB568="Yes",AC568="Yes",AD568="Yes"),"Warning","Clean"))</f>
        <v>Clean</v>
      </c>
      <c r="AJ568" s="4" t="s">
        <v>1989</v>
      </c>
      <c r="AK568" s="4" t="s">
        <v>2209</v>
      </c>
      <c r="AL568" s="4" t="s">
        <v>181</v>
      </c>
      <c r="AM568" s="4" t="s">
        <v>68</v>
      </c>
      <c r="AN568" s="4" t="s">
        <v>97</v>
      </c>
      <c r="AO568" s="4" t="s">
        <v>98</v>
      </c>
      <c r="AP568" s="4" t="s">
        <v>99</v>
      </c>
      <c r="AQ568" s="4" t="s">
        <v>58</v>
      </c>
      <c r="AR568" s="4" t="s">
        <v>59</v>
      </c>
      <c r="AS568" s="4" t="s">
        <v>74</v>
      </c>
      <c r="AT568" s="0" t="n">
        <v>0.1</v>
      </c>
      <c r="AU568" s="4" t="s">
        <v>207</v>
      </c>
      <c r="AV568" s="4" t="s">
        <v>142</v>
      </c>
    </row>
    <row r="569" customFormat="false" ht="15" hidden="false" customHeight="false" outlineLevel="0" collapsed="false">
      <c r="A569" s="0" t="s">
        <v>2210</v>
      </c>
      <c r="B569" s="3" t="n">
        <f aca="false">IF(AJ569="","",IF(ISNUMBER(SEARCH("/",AJ569)),DATE(VALUE(RIGHT(AJ569,4)),VALUE(LEFT(AJ569,2)),VALUE(MID(AJ569,4,2))),IF(ISNUMBER(SEARCH("-",AJ569)),IF(LEN(LEFT(AJ569,FIND("-",AJ569)-1))=4,DATE(VALUE(LEFT(AJ569,4)),VALUE(MID(AJ569,6,2)),VALUE(RIGHT(AJ569,2))),DATE(VALUE(RIGHT(AJ569,4)),VALUE(MID(AJ569,4,2)),VALUE(LEFT(AJ569,2)))),DATE(VALUE(RIGHT(AJ569,4)),MATCH(MID(AJ569,4,3),{"Jan","Feb","Mar","Apr","May","Jun","Jul","Aug","Sep","Oct","Nov","Dec"},0),VALUE(LEFT(AJ569,2))))))</f>
        <v>45328</v>
      </c>
      <c r="C569" s="3" t="n">
        <f aca="false">IF(AK569="","",IF(ISNUMBER(SEARCH("/",AK569)),DATE(VALUE(RIGHT(AK569,4)),VALUE(LEFT(AK569,2)),VALUE(MID(AK569,4,2))),IF(ISNUMBER(SEARCH("-",AK569)),IF(LEN(LEFT(AK569,FIND("-",AK569)-1))=4,DATE(VALUE(LEFT(AK569,4)),VALUE(MID(AK569,6,2)),VALUE(RIGHT(AK569,2))),DATE(VALUE(RIGHT(AK569,4)),VALUE(MID(AK569,4,2)),VALUE(LEFT(AK569,2)))),DATE(VALUE(RIGHT(AK569,4)),MATCH(MID(AK569,4,3),{"Jan","Feb","Mar","Apr","May","Jun","Jul","Aug","Sep","Oct","Nov","Dec"},0),VALUE(LEFT(AK569,2))))))</f>
        <v>45332</v>
      </c>
      <c r="D569" s="4" t="s">
        <v>2211</v>
      </c>
      <c r="E569" s="0" t="str">
        <f aca="false">PROPER(TRIM(AL569))</f>
        <v>Arjun Bose</v>
      </c>
      <c r="F569" s="0" t="str">
        <f aca="false">PROPER(TRIM(AM569))</f>
        <v>Home Office</v>
      </c>
      <c r="G569" s="0" t="str">
        <f aca="false">IF(TRIM(AN569)="","Unknown",PROPER(TRIM(AN569)))</f>
        <v>North</v>
      </c>
      <c r="H569" s="0" t="str">
        <f aca="false">PROPER(TRIM(AO569))</f>
        <v>Uttar Pradesh</v>
      </c>
      <c r="I569" s="0" t="str">
        <f aca="false">PROPER(TRIM(AP569))</f>
        <v>Noida</v>
      </c>
      <c r="J569" s="0" t="str">
        <f aca="false">PROPER(TRIM(AQ569))</f>
        <v>Furniture</v>
      </c>
      <c r="K569" s="0" t="str">
        <f aca="false">PROPER(TRIM(AR569))</f>
        <v>Furnishings</v>
      </c>
      <c r="M569" s="0" t="str">
        <f aca="false">IF(TRIM(AS569)="","Unknown",PROPER(TRIM(AS569)))</f>
        <v>Same Day</v>
      </c>
      <c r="N569" s="0" t="n">
        <v>1</v>
      </c>
      <c r="O569" s="0" t="n">
        <v>1374.06</v>
      </c>
      <c r="P569" s="5" t="n">
        <f aca="false">IF(AT569="","",IF(ISNUMBER(AT569),AT569,VALUE(SUBSTITUTE(AT569,"%",""))/100))</f>
        <v>0.05</v>
      </c>
      <c r="Q569" s="5" t="n">
        <f aca="false">IF(P569="",IF(AND(N569&lt;&gt;"",O569&lt;&gt;"",R569&lt;&gt;"",S569&lt;&gt;""),0,"REVIEW"),IF(OR(P569&lt;0,P569&gt;0.3),0,P569))</f>
        <v>0.05</v>
      </c>
      <c r="R569" s="0" t="n">
        <v>1305.36</v>
      </c>
      <c r="S569" s="0" t="n">
        <v>731.89</v>
      </c>
      <c r="T569" s="6" t="n">
        <f aca="false">N569*O569*(1-Q569)</f>
        <v>1305.357</v>
      </c>
      <c r="U569" s="6" t="n">
        <f aca="false">T569-S569</f>
        <v>573.467</v>
      </c>
      <c r="V569" s="7" t="n">
        <f aca="false">IF(T569=0,0,U569/T569)</f>
        <v>0.439318132893913</v>
      </c>
      <c r="W569" s="4" t="n">
        <f aca="false">C569-B569</f>
        <v>4</v>
      </c>
      <c r="X569" s="0" t="str">
        <f aca="false">TEXT(B569,"mmmm")</f>
        <v>February</v>
      </c>
      <c r="Y569" s="4" t="n">
        <f aca="false">YEAR(B569)</f>
        <v>2024</v>
      </c>
      <c r="Z569" s="0" t="str">
        <f aca="false">PROPER(TRIM(AU569))</f>
        <v>Paid</v>
      </c>
      <c r="AA569" s="0" t="str">
        <f aca="false">PROPER(TRIM(AV569))</f>
        <v>Completed</v>
      </c>
      <c r="AB569" s="0" t="str">
        <f aca="false">IF(TRIM(AN569)="","Yes","No")</f>
        <v>No</v>
      </c>
      <c r="AC569" s="0" t="str">
        <f aca="false">IF(TRIM(AS569)="","Yes","No")</f>
        <v>No</v>
      </c>
      <c r="AD569" s="0" t="str">
        <f aca="false">IF(AT569="","Yes","No")</f>
        <v>No</v>
      </c>
      <c r="AE569" s="0" t="str">
        <f aca="false">IF(W569&lt;0,"Yes","No")</f>
        <v>No</v>
      </c>
      <c r="AF569" s="0" t="str">
        <f aca="false">IF(P569="","No",IF(OR(P569&lt;0,P569&gt;0.3),"Yes","No"))</f>
        <v>No</v>
      </c>
      <c r="AG569" s="4" t="s">
        <v>50</v>
      </c>
      <c r="AH569" s="0" t="str">
        <f aca="false">IF(AND(AA569="Completed",Z569="Paid"),"Yes","No")</f>
        <v>Yes</v>
      </c>
      <c r="AI569" s="0" t="str">
        <f aca="false">IF(OR(AE569="Yes",AF569="Yes",AG569="Yes"),"Invalid",IF(OR(AB569="Yes",AC569="Yes",AD569="Yes"),"Warning","Clean"))</f>
        <v>Clean</v>
      </c>
      <c r="AJ569" s="4" t="s">
        <v>2212</v>
      </c>
      <c r="AK569" s="4" t="s">
        <v>2213</v>
      </c>
      <c r="AL569" s="4" t="s">
        <v>86</v>
      </c>
      <c r="AM569" s="4" t="s">
        <v>134</v>
      </c>
      <c r="AN569" s="4" t="s">
        <v>168</v>
      </c>
      <c r="AO569" s="4" t="s">
        <v>186</v>
      </c>
      <c r="AP569" s="4" t="s">
        <v>187</v>
      </c>
      <c r="AQ569" s="4" t="s">
        <v>72</v>
      </c>
      <c r="AR569" s="4" t="s">
        <v>90</v>
      </c>
      <c r="AS569" s="4" t="s">
        <v>74</v>
      </c>
      <c r="AT569" s="0" t="n">
        <v>0.05</v>
      </c>
      <c r="AU569" s="4" t="s">
        <v>61</v>
      </c>
      <c r="AV569" s="4" t="s">
        <v>62</v>
      </c>
    </row>
    <row r="570" customFormat="false" ht="15" hidden="false" customHeight="false" outlineLevel="0" collapsed="false">
      <c r="A570" s="0" t="s">
        <v>2214</v>
      </c>
      <c r="B570" s="3" t="n">
        <f aca="false">IF(AJ570="","",IF(ISNUMBER(SEARCH("/",AJ570)),DATE(VALUE(RIGHT(AJ570,4)),VALUE(LEFT(AJ570,2)),VALUE(MID(AJ570,4,2))),IF(ISNUMBER(SEARCH("-",AJ570)),IF(LEN(LEFT(AJ570,FIND("-",AJ570)-1))=4,DATE(VALUE(LEFT(AJ570,4)),VALUE(MID(AJ570,6,2)),VALUE(RIGHT(AJ570,2))),DATE(VALUE(RIGHT(AJ570,4)),VALUE(MID(AJ570,4,2)),VALUE(LEFT(AJ570,2)))),DATE(VALUE(RIGHT(AJ570,4)),MATCH(MID(AJ570,4,3),{"Jan","Feb","Mar","Apr","May","Jun","Jul","Aug","Sep","Oct","Nov","Dec"},0),VALUE(LEFT(AJ570,2))))))</f>
        <v>45312</v>
      </c>
      <c r="C570" s="3" t="n">
        <f aca="false">IF(AK570="","",IF(ISNUMBER(SEARCH("/",AK570)),DATE(VALUE(RIGHT(AK570,4)),VALUE(LEFT(AK570,2)),VALUE(MID(AK570,4,2))),IF(ISNUMBER(SEARCH("-",AK570)),IF(LEN(LEFT(AK570,FIND("-",AK570)-1))=4,DATE(VALUE(LEFT(AK570,4)),VALUE(MID(AK570,6,2)),VALUE(RIGHT(AK570,2))),DATE(VALUE(RIGHT(AK570,4)),VALUE(MID(AK570,4,2)),VALUE(LEFT(AK570,2)))),DATE(VALUE(RIGHT(AK570,4)),MATCH(MID(AK570,4,3),{"Jan","Feb","Mar","Apr","May","Jun","Jul","Aug","Sep","Oct","Nov","Dec"},0),VALUE(LEFT(AK570,2))))))</f>
        <v>45315</v>
      </c>
      <c r="D570" s="4" t="s">
        <v>2215</v>
      </c>
      <c r="E570" s="0" t="str">
        <f aca="false">PROPER(TRIM(AL570))</f>
        <v>Kabir Singh</v>
      </c>
      <c r="F570" s="0" t="str">
        <f aca="false">PROPER(TRIM(AM570))</f>
        <v>Corporate</v>
      </c>
      <c r="G570" s="0" t="str">
        <f aca="false">IF(TRIM(AN570)="","Unknown",PROPER(TRIM(AN570)))</f>
        <v>North</v>
      </c>
      <c r="H570" s="0" t="str">
        <f aca="false">PROPER(TRIM(AO570))</f>
        <v>Punjab</v>
      </c>
      <c r="I570" s="0" t="str">
        <f aca="false">PROPER(TRIM(AP570))</f>
        <v>Ludhiana</v>
      </c>
      <c r="J570" s="0" t="str">
        <f aca="false">PROPER(TRIM(AQ570))</f>
        <v>Technology</v>
      </c>
      <c r="K570" s="0" t="str">
        <f aca="false">PROPER(TRIM(AR570))</f>
        <v>Machines</v>
      </c>
      <c r="M570" s="0" t="str">
        <f aca="false">IF(TRIM(AS570)="","Unknown",PROPER(TRIM(AS570)))</f>
        <v>Same Day</v>
      </c>
      <c r="N570" s="0" t="n">
        <v>1</v>
      </c>
      <c r="O570" s="0" t="n">
        <v>3806.3</v>
      </c>
      <c r="P570" s="5" t="n">
        <f aca="false">IF(AT570="","",IF(ISNUMBER(AT570),AT570,VALUE(SUBSTITUTE(AT570,"%",""))/100))</f>
        <v>0.25</v>
      </c>
      <c r="Q570" s="5" t="n">
        <f aca="false">IF(P570="",IF(AND(N570&lt;&gt;"",O570&lt;&gt;"",R570&lt;&gt;"",S570&lt;&gt;""),0,"REVIEW"),IF(OR(P570&lt;0,P570&gt;0.3),0,P570))</f>
        <v>0.25</v>
      </c>
      <c r="R570" s="0" t="n">
        <v>2854.73</v>
      </c>
      <c r="S570" s="0" t="n">
        <v>1968.12</v>
      </c>
      <c r="T570" s="6" t="n">
        <f aca="false">N570*O570*(1-Q570)</f>
        <v>2854.725</v>
      </c>
      <c r="U570" s="6" t="n">
        <f aca="false">T570-S570</f>
        <v>886.605000000001</v>
      </c>
      <c r="V570" s="7" t="n">
        <f aca="false">IF(T570=0,0,U570/T570)</f>
        <v>0.310574573733022</v>
      </c>
      <c r="W570" s="4" t="n">
        <f aca="false">C570-B570</f>
        <v>3</v>
      </c>
      <c r="X570" s="0" t="str">
        <f aca="false">TEXT(B570,"mmmm")</f>
        <v>January</v>
      </c>
      <c r="Y570" s="4" t="n">
        <f aca="false">YEAR(B570)</f>
        <v>2024</v>
      </c>
      <c r="Z570" s="0" t="str">
        <f aca="false">PROPER(TRIM(AU570))</f>
        <v>Paid</v>
      </c>
      <c r="AA570" s="0" t="str">
        <f aca="false">PROPER(TRIM(AV570))</f>
        <v>Completed</v>
      </c>
      <c r="AB570" s="0" t="str">
        <f aca="false">IF(TRIM(AN570)="","Yes","No")</f>
        <v>No</v>
      </c>
      <c r="AC570" s="0" t="str">
        <f aca="false">IF(TRIM(AS570)="","Yes","No")</f>
        <v>No</v>
      </c>
      <c r="AD570" s="0" t="str">
        <f aca="false">IF(AT570="","Yes","No")</f>
        <v>No</v>
      </c>
      <c r="AE570" s="0" t="str">
        <f aca="false">IF(W570&lt;0,"Yes","No")</f>
        <v>No</v>
      </c>
      <c r="AF570" s="0" t="str">
        <f aca="false">IF(P570="","No",IF(OR(P570&lt;0,P570&gt;0.3),"Yes","No"))</f>
        <v>No</v>
      </c>
      <c r="AG570" s="4" t="s">
        <v>50</v>
      </c>
      <c r="AH570" s="0" t="str">
        <f aca="false">IF(AND(AA570="Completed",Z570="Paid"),"Yes","No")</f>
        <v>Yes</v>
      </c>
      <c r="AI570" s="0" t="str">
        <f aca="false">IF(OR(AE570="Yes",AF570="Yes",AG570="Yes"),"Invalid",IF(OR(AB570="Yes",AC570="Yes",AD570="Yes"),"Warning","Clean"))</f>
        <v>Clean</v>
      </c>
      <c r="AJ570" s="4" t="s">
        <v>1428</v>
      </c>
      <c r="AK570" s="4" t="s">
        <v>2216</v>
      </c>
      <c r="AL570" s="4" t="s">
        <v>347</v>
      </c>
      <c r="AM570" s="4" t="s">
        <v>128</v>
      </c>
      <c r="AN570" s="4" t="s">
        <v>168</v>
      </c>
      <c r="AO570" s="4" t="s">
        <v>169</v>
      </c>
      <c r="AP570" s="4" t="s">
        <v>170</v>
      </c>
      <c r="AQ570" s="4" t="s">
        <v>109</v>
      </c>
      <c r="AR570" s="4" t="s">
        <v>360</v>
      </c>
      <c r="AS570" s="4" t="s">
        <v>74</v>
      </c>
      <c r="AT570" s="0" t="n">
        <v>0.25</v>
      </c>
      <c r="AU570" s="4" t="s">
        <v>61</v>
      </c>
      <c r="AV570" s="4" t="s">
        <v>62</v>
      </c>
    </row>
    <row r="571" customFormat="false" ht="15" hidden="false" customHeight="false" outlineLevel="0" collapsed="false">
      <c r="A571" s="0" t="s">
        <v>2217</v>
      </c>
      <c r="B571" s="3" t="n">
        <f aca="false">IF(AJ571="","",IF(ISNUMBER(SEARCH("/",AJ571)),DATE(VALUE(RIGHT(AJ571,4)),VALUE(LEFT(AJ571,2)),VALUE(MID(AJ571,4,2))),IF(ISNUMBER(SEARCH("-",AJ571)),IF(LEN(LEFT(AJ571,FIND("-",AJ571)-1))=4,DATE(VALUE(LEFT(AJ571,4)),VALUE(MID(AJ571,6,2)),VALUE(RIGHT(AJ571,2))),DATE(VALUE(RIGHT(AJ571,4)),VALUE(MID(AJ571,4,2)),VALUE(LEFT(AJ571,2)))),DATE(VALUE(RIGHT(AJ571,4)),MATCH(MID(AJ571,4,3),{"Jan","Feb","Mar","Apr","May","Jun","Jul","Aug","Sep","Oct","Nov","Dec"},0),VALUE(LEFT(AJ571,2))))))</f>
        <v>45908</v>
      </c>
      <c r="C571" s="3" t="n">
        <f aca="false">IF(AK571="","",IF(ISNUMBER(SEARCH("/",AK571)),DATE(VALUE(RIGHT(AK571,4)),VALUE(LEFT(AK571,2)),VALUE(MID(AK571,4,2))),IF(ISNUMBER(SEARCH("-",AK571)),IF(LEN(LEFT(AK571,FIND("-",AK571)-1))=4,DATE(VALUE(LEFT(AK571,4)),VALUE(MID(AK571,6,2)),VALUE(RIGHT(AK571,2))),DATE(VALUE(RIGHT(AK571,4)),VALUE(MID(AK571,4,2)),VALUE(LEFT(AK571,2)))),DATE(VALUE(RIGHT(AK571,4)),MATCH(MID(AK571,4,3),{"Jan","Feb","Mar","Apr","May","Jun","Jul","Aug","Sep","Oct","Nov","Dec"},0),VALUE(LEFT(AK571,2))))))</f>
        <v>45910</v>
      </c>
      <c r="D571" s="4" t="s">
        <v>2218</v>
      </c>
      <c r="E571" s="0" t="str">
        <f aca="false">PROPER(TRIM(AL571))</f>
        <v>Rahul Verma</v>
      </c>
      <c r="F571" s="0" t="str">
        <f aca="false">PROPER(TRIM(AM571))</f>
        <v>Home Office</v>
      </c>
      <c r="G571" s="0" t="str">
        <f aca="false">IF(TRIM(AN571)="","Unknown",PROPER(TRIM(AN571)))</f>
        <v>West</v>
      </c>
      <c r="H571" s="0" t="str">
        <f aca="false">PROPER(TRIM(AO571))</f>
        <v>Maharashtra</v>
      </c>
      <c r="I571" s="0" t="str">
        <f aca="false">PROPER(TRIM(AP571))</f>
        <v>Mumbai</v>
      </c>
      <c r="J571" s="0" t="str">
        <f aca="false">PROPER(TRIM(AQ571))</f>
        <v>Furniture</v>
      </c>
      <c r="K571" s="0" t="str">
        <f aca="false">PROPER(TRIM(AR571))</f>
        <v>Furnishings</v>
      </c>
      <c r="M571" s="0" t="str">
        <f aca="false">IF(TRIM(AS571)="","Unknown",PROPER(TRIM(AS571)))</f>
        <v>Standard Class</v>
      </c>
      <c r="N571" s="0" t="n">
        <v>6</v>
      </c>
      <c r="O571" s="0" t="n">
        <v>3251.17</v>
      </c>
      <c r="P571" s="5" t="n">
        <f aca="false">IF(AT571="","",IF(ISNUMBER(AT571),AT571,VALUE(SUBSTITUTE(AT571,"%",""))/100))</f>
        <v>0.25</v>
      </c>
      <c r="Q571" s="5" t="n">
        <f aca="false">IF(P571="",IF(AND(N571&lt;&gt;"",O571&lt;&gt;"",R571&lt;&gt;"",S571&lt;&gt;""),0,"REVIEW"),IF(OR(P571&lt;0,P571&gt;0.3),0,P571))</f>
        <v>0.25</v>
      </c>
      <c r="R571" s="0" t="n">
        <v>14630.26</v>
      </c>
      <c r="S571" s="0" t="n">
        <v>11906.36</v>
      </c>
      <c r="T571" s="6" t="n">
        <f aca="false">N571*O571*(1-Q571)</f>
        <v>14630.265</v>
      </c>
      <c r="U571" s="6" t="n">
        <f aca="false">T571-S571</f>
        <v>2723.905</v>
      </c>
      <c r="V571" s="7" t="n">
        <f aca="false">IF(T571=0,0,U571/T571)</f>
        <v>0.186182888689986</v>
      </c>
      <c r="W571" s="4" t="n">
        <f aca="false">C571-B571</f>
        <v>2</v>
      </c>
      <c r="X571" s="0" t="str">
        <f aca="false">TEXT(B571,"mmmm")</f>
        <v>September</v>
      </c>
      <c r="Y571" s="4" t="n">
        <f aca="false">YEAR(B571)</f>
        <v>2025</v>
      </c>
      <c r="Z571" s="0" t="str">
        <f aca="false">PROPER(TRIM(AU571))</f>
        <v>Refunded</v>
      </c>
      <c r="AA571" s="0" t="str">
        <f aca="false">PROPER(TRIM(AV571))</f>
        <v>Returned</v>
      </c>
      <c r="AB571" s="0" t="str">
        <f aca="false">IF(TRIM(AN571)="","Yes","No")</f>
        <v>No</v>
      </c>
      <c r="AC571" s="0" t="str">
        <f aca="false">IF(TRIM(AS571)="","Yes","No")</f>
        <v>No</v>
      </c>
      <c r="AD571" s="0" t="str">
        <f aca="false">IF(AT571="","Yes","No")</f>
        <v>No</v>
      </c>
      <c r="AE571" s="0" t="str">
        <f aca="false">IF(W571&lt;0,"Yes","No")</f>
        <v>No</v>
      </c>
      <c r="AF571" s="0" t="str">
        <f aca="false">IF(P571="","No",IF(OR(P571&lt;0,P571&gt;0.3),"Yes","No"))</f>
        <v>No</v>
      </c>
      <c r="AG571" s="4" t="s">
        <v>50</v>
      </c>
      <c r="AH571" s="0" t="str">
        <f aca="false">IF(AND(AA571="Completed",Z571="Paid"),"Yes","No")</f>
        <v>No</v>
      </c>
      <c r="AI571" s="0" t="str">
        <f aca="false">IF(OR(AE571="Yes",AF571="Yes",AG571="Yes"),"Invalid",IF(OR(AB571="Yes",AC571="Yes",AD571="Yes"),"Warning","Clean"))</f>
        <v>Clean</v>
      </c>
      <c r="AJ571" s="4" t="s">
        <v>2219</v>
      </c>
      <c r="AK571" s="4" t="s">
        <v>2220</v>
      </c>
      <c r="AL571" s="4" t="s">
        <v>163</v>
      </c>
      <c r="AM571" s="4" t="s">
        <v>134</v>
      </c>
      <c r="AN571" s="4" t="s">
        <v>97</v>
      </c>
      <c r="AO571" s="4" t="s">
        <v>98</v>
      </c>
      <c r="AP571" s="4" t="s">
        <v>99</v>
      </c>
      <c r="AQ571" s="4" t="s">
        <v>72</v>
      </c>
      <c r="AR571" s="4" t="s">
        <v>90</v>
      </c>
      <c r="AS571" s="4" t="s">
        <v>91</v>
      </c>
      <c r="AT571" s="0" t="n">
        <v>0.25</v>
      </c>
      <c r="AU571" s="4" t="s">
        <v>141</v>
      </c>
      <c r="AV571" s="4" t="s">
        <v>142</v>
      </c>
    </row>
    <row r="572" customFormat="false" ht="15" hidden="false" customHeight="false" outlineLevel="0" collapsed="false">
      <c r="A572" s="0" t="s">
        <v>2221</v>
      </c>
      <c r="B572" s="3" t="n">
        <f aca="false">IF(AJ572="","",IF(ISNUMBER(SEARCH("/",AJ572)),DATE(VALUE(RIGHT(AJ572,4)),VALUE(LEFT(AJ572,2)),VALUE(MID(AJ572,4,2))),IF(ISNUMBER(SEARCH("-",AJ572)),IF(LEN(LEFT(AJ572,FIND("-",AJ572)-1))=4,DATE(VALUE(LEFT(AJ572,4)),VALUE(MID(AJ572,6,2)),VALUE(RIGHT(AJ572,2))),DATE(VALUE(RIGHT(AJ572,4)),VALUE(MID(AJ572,4,2)),VALUE(LEFT(AJ572,2)))),DATE(VALUE(RIGHT(AJ572,4)),MATCH(MID(AJ572,4,3),{"Jan","Feb","Mar","Apr","May","Jun","Jul","Aug","Sep","Oct","Nov","Dec"},0),VALUE(LEFT(AJ572,2))))))</f>
        <v>45887</v>
      </c>
      <c r="C572" s="3" t="n">
        <f aca="false">IF(AK572="","",IF(ISNUMBER(SEARCH("/",AK572)),DATE(VALUE(RIGHT(AK572,4)),VALUE(LEFT(AK572,2)),VALUE(MID(AK572,4,2))),IF(ISNUMBER(SEARCH("-",AK572)),IF(LEN(LEFT(AK572,FIND("-",AK572)-1))=4,DATE(VALUE(LEFT(AK572,4)),VALUE(MID(AK572,6,2)),VALUE(RIGHT(AK572,2))),DATE(VALUE(RIGHT(AK572,4)),VALUE(MID(AK572,4,2)),VALUE(LEFT(AK572,2)))),DATE(VALUE(RIGHT(AK572,4)),MATCH(MID(AK572,4,3),{"Jan","Feb","Mar","Apr","May","Jun","Jul","Aug","Sep","Oct","Nov","Dec"},0),VALUE(LEFT(AK572,2))))))</f>
        <v>45891</v>
      </c>
      <c r="D572" s="4" t="s">
        <v>2222</v>
      </c>
      <c r="E572" s="0" t="str">
        <f aca="false">PROPER(TRIM(AL572))</f>
        <v>Arjun Bose</v>
      </c>
      <c r="F572" s="0" t="str">
        <f aca="false">PROPER(TRIM(AM572))</f>
        <v>Consumer</v>
      </c>
      <c r="G572" s="0" t="str">
        <f aca="false">IF(TRIM(AN572)="","Unknown",PROPER(TRIM(AN572)))</f>
        <v>East</v>
      </c>
      <c r="H572" s="0" t="str">
        <f aca="false">PROPER(TRIM(AO572))</f>
        <v>Jharkhand</v>
      </c>
      <c r="I572" s="0" t="str">
        <f aca="false">PROPER(TRIM(AP572))</f>
        <v>Ranchi</v>
      </c>
      <c r="J572" s="0" t="str">
        <f aca="false">PROPER(TRIM(AQ572))</f>
        <v>Furniture</v>
      </c>
      <c r="K572" s="0" t="str">
        <f aca="false">PROPER(TRIM(AR572))</f>
        <v>Furnishings</v>
      </c>
      <c r="M572" s="0" t="str">
        <f aca="false">IF(TRIM(AS572)="","Unknown",PROPER(TRIM(AS572)))</f>
        <v>Second Class</v>
      </c>
      <c r="N572" s="0" t="n">
        <v>3</v>
      </c>
      <c r="O572" s="0" t="n">
        <v>3946.44</v>
      </c>
      <c r="P572" s="5" t="n">
        <f aca="false">IF(AT572="","",IF(ISNUMBER(AT572),AT572,VALUE(SUBSTITUTE(AT572,"%",""))/100))</f>
        <v>0.25</v>
      </c>
      <c r="Q572" s="5" t="n">
        <f aca="false">IF(P572="",IF(AND(N572&lt;&gt;"",O572&lt;&gt;"",R572&lt;&gt;"",S572&lt;&gt;""),0,"REVIEW"),IF(OR(P572&lt;0,P572&gt;0.3),0,P572))</f>
        <v>0.25</v>
      </c>
      <c r="R572" s="0" t="n">
        <v>8879.49</v>
      </c>
      <c r="S572" s="0" t="n">
        <v>6344.57</v>
      </c>
      <c r="T572" s="6" t="n">
        <f aca="false">N572*O572*(1-Q572)</f>
        <v>8879.49</v>
      </c>
      <c r="U572" s="6" t="n">
        <f aca="false">T572-S572</f>
        <v>2534.92</v>
      </c>
      <c r="V572" s="7" t="n">
        <f aca="false">IF(T572=0,0,U572/T572)</f>
        <v>0.285480359795439</v>
      </c>
      <c r="W572" s="4" t="n">
        <f aca="false">C572-B572</f>
        <v>4</v>
      </c>
      <c r="X572" s="0" t="str">
        <f aca="false">TEXT(B572,"mmmm")</f>
        <v>August</v>
      </c>
      <c r="Y572" s="4" t="n">
        <f aca="false">YEAR(B572)</f>
        <v>2025</v>
      </c>
      <c r="Z572" s="0" t="str">
        <f aca="false">PROPER(TRIM(AU572))</f>
        <v>Failed</v>
      </c>
      <c r="AA572" s="0" t="str">
        <f aca="false">PROPER(TRIM(AV572))</f>
        <v>Returned</v>
      </c>
      <c r="AB572" s="0" t="str">
        <f aca="false">IF(TRIM(AN572)="","Yes","No")</f>
        <v>No</v>
      </c>
      <c r="AC572" s="0" t="str">
        <f aca="false">IF(TRIM(AS572)="","Yes","No")</f>
        <v>No</v>
      </c>
      <c r="AD572" s="0" t="str">
        <f aca="false">IF(AT572="","Yes","No")</f>
        <v>No</v>
      </c>
      <c r="AE572" s="0" t="str">
        <f aca="false">IF(W572&lt;0,"Yes","No")</f>
        <v>No</v>
      </c>
      <c r="AF572" s="0" t="str">
        <f aca="false">IF(P572="","No",IF(OR(P572&lt;0,P572&gt;0.3),"Yes","No"))</f>
        <v>No</v>
      </c>
      <c r="AG572" s="4" t="s">
        <v>50</v>
      </c>
      <c r="AH572" s="0" t="str">
        <f aca="false">IF(AND(AA572="Completed",Z572="Paid"),"Yes","No")</f>
        <v>No</v>
      </c>
      <c r="AI572" s="0" t="str">
        <f aca="false">IF(OR(AE572="Yes",AF572="Yes",AG572="Yes"),"Invalid",IF(OR(AB572="Yes",AC572="Yes",AD572="Yes"),"Warning","Clean"))</f>
        <v>Clean</v>
      </c>
      <c r="AJ572" s="4" t="s">
        <v>797</v>
      </c>
      <c r="AK572" s="4" t="s">
        <v>618</v>
      </c>
      <c r="AL572" s="4" t="s">
        <v>86</v>
      </c>
      <c r="AM572" s="4" t="s">
        <v>54</v>
      </c>
      <c r="AN572" s="4" t="s">
        <v>69</v>
      </c>
      <c r="AO572" s="4" t="s">
        <v>300</v>
      </c>
      <c r="AP572" s="4" t="s">
        <v>301</v>
      </c>
      <c r="AQ572" s="4" t="s">
        <v>72</v>
      </c>
      <c r="AR572" s="4" t="s">
        <v>90</v>
      </c>
      <c r="AS572" s="4" t="s">
        <v>60</v>
      </c>
      <c r="AT572" s="0" t="n">
        <v>0.25</v>
      </c>
      <c r="AU572" s="4" t="s">
        <v>207</v>
      </c>
      <c r="AV572" s="4" t="s">
        <v>142</v>
      </c>
    </row>
    <row r="573" customFormat="false" ht="15" hidden="false" customHeight="false" outlineLevel="0" collapsed="false">
      <c r="A573" s="0" t="s">
        <v>2223</v>
      </c>
      <c r="B573" s="3" t="n">
        <f aca="false">IF(AJ573="","",IF(ISNUMBER(SEARCH("/",AJ573)),DATE(VALUE(RIGHT(AJ573,4)),VALUE(LEFT(AJ573,2)),VALUE(MID(AJ573,4,2))),IF(ISNUMBER(SEARCH("-",AJ573)),IF(LEN(LEFT(AJ573,FIND("-",AJ573)-1))=4,DATE(VALUE(LEFT(AJ573,4)),VALUE(MID(AJ573,6,2)),VALUE(RIGHT(AJ573,2))),DATE(VALUE(RIGHT(AJ573,4)),VALUE(MID(AJ573,4,2)),VALUE(LEFT(AJ573,2)))),DATE(VALUE(RIGHT(AJ573,4)),MATCH(MID(AJ573,4,3),{"Jan","Feb","Mar","Apr","May","Jun","Jul","Aug","Sep","Oct","Nov","Dec"},0),VALUE(LEFT(AJ573,2))))))</f>
        <v>45698</v>
      </c>
      <c r="C573" s="3" t="n">
        <f aca="false">IF(AK573="","",IF(ISNUMBER(SEARCH("/",AK573)),DATE(VALUE(RIGHT(AK573,4)),VALUE(LEFT(AK573,2)),VALUE(MID(AK573,4,2))),IF(ISNUMBER(SEARCH("-",AK573)),IF(LEN(LEFT(AK573,FIND("-",AK573)-1))=4,DATE(VALUE(LEFT(AK573,4)),VALUE(MID(AK573,6,2)),VALUE(RIGHT(AK573,2))),DATE(VALUE(RIGHT(AK573,4)),VALUE(MID(AK573,4,2)),VALUE(LEFT(AK573,2)))),DATE(VALUE(RIGHT(AK573,4)),MATCH(MID(AK573,4,3),{"Jan","Feb","Mar","Apr","May","Jun","Jul","Aug","Sep","Oct","Nov","Dec"},0),VALUE(LEFT(AK573,2))))))</f>
        <v>45702</v>
      </c>
      <c r="D573" s="4" t="s">
        <v>2224</v>
      </c>
      <c r="E573" s="0" t="str">
        <f aca="false">PROPER(TRIM(AL573))</f>
        <v>Priya Menon</v>
      </c>
      <c r="F573" s="0" t="str">
        <f aca="false">PROPER(TRIM(AM573))</f>
        <v>Small Business</v>
      </c>
      <c r="G573" s="0" t="str">
        <f aca="false">IF(TRIM(AN573)="","Unknown",PROPER(TRIM(AN573)))</f>
        <v>North</v>
      </c>
      <c r="H573" s="0" t="str">
        <f aca="false">PROPER(TRIM(AO573))</f>
        <v>Uttar Pradesh</v>
      </c>
      <c r="I573" s="0" t="str">
        <f aca="false">PROPER(TRIM(AP573))</f>
        <v>Noida</v>
      </c>
      <c r="J573" s="0" t="str">
        <f aca="false">PROPER(TRIM(AQ573))</f>
        <v>Technology</v>
      </c>
      <c r="K573" s="0" t="str">
        <f aca="false">PROPER(TRIM(AR573))</f>
        <v>Phones</v>
      </c>
      <c r="M573" s="0" t="str">
        <f aca="false">IF(TRIM(AS573)="","Unknown",PROPER(TRIM(AS573)))</f>
        <v>Unknown</v>
      </c>
      <c r="N573" s="0" t="n">
        <v>5</v>
      </c>
      <c r="O573" s="0" t="n">
        <v>4276.29</v>
      </c>
      <c r="P573" s="5" t="n">
        <f aca="false">IF(AT573="","",IF(ISNUMBER(AT573),AT573,VALUE(SUBSTITUTE(AT573,"%",""))/100))</f>
        <v>0</v>
      </c>
      <c r="Q573" s="5" t="n">
        <f aca="false">IF(P573="",IF(AND(N573&lt;&gt;"",O573&lt;&gt;"",R573&lt;&gt;"",S573&lt;&gt;""),0,"REVIEW"),IF(OR(P573&lt;0,P573&gt;0.3),0,P573))</f>
        <v>0</v>
      </c>
      <c r="R573" s="0" t="n">
        <v>21381.45</v>
      </c>
      <c r="S573" s="0" t="n">
        <v>13240.21</v>
      </c>
      <c r="T573" s="6" t="n">
        <f aca="false">N573*O573*(1-Q573)</f>
        <v>21381.45</v>
      </c>
      <c r="U573" s="6" t="n">
        <f aca="false">T573-S573</f>
        <v>8141.24</v>
      </c>
      <c r="V573" s="7" t="n">
        <f aca="false">IF(T573=0,0,U573/T573)</f>
        <v>0.380761828594413</v>
      </c>
      <c r="W573" s="4" t="n">
        <f aca="false">C573-B573</f>
        <v>4</v>
      </c>
      <c r="X573" s="0" t="str">
        <f aca="false">TEXT(B573,"mmmm")</f>
        <v>February</v>
      </c>
      <c r="Y573" s="4" t="n">
        <f aca="false">YEAR(B573)</f>
        <v>2025</v>
      </c>
      <c r="Z573" s="0" t="str">
        <f aca="false">PROPER(TRIM(AU573))</f>
        <v>Failed</v>
      </c>
      <c r="AA573" s="0" t="str">
        <f aca="false">PROPER(TRIM(AV573))</f>
        <v>Returned</v>
      </c>
      <c r="AB573" s="0" t="str">
        <f aca="false">IF(TRIM(AN573)="","Yes","No")</f>
        <v>No</v>
      </c>
      <c r="AC573" s="0" t="str">
        <f aca="false">IF(TRIM(AS573)="","Yes","No")</f>
        <v>Yes</v>
      </c>
      <c r="AD573" s="0" t="str">
        <f aca="false">IF(AT573="","Yes","No")</f>
        <v>No</v>
      </c>
      <c r="AE573" s="0" t="str">
        <f aca="false">IF(W573&lt;0,"Yes","No")</f>
        <v>No</v>
      </c>
      <c r="AF573" s="0" t="str">
        <f aca="false">IF(P573="","No",IF(OR(P573&lt;0,P573&gt;0.3),"Yes","No"))</f>
        <v>No</v>
      </c>
      <c r="AG573" s="4" t="s">
        <v>497</v>
      </c>
      <c r="AH573" s="0" t="str">
        <f aca="false">IF(AND(AA573="Completed",Z573="Paid"),"Yes","No")</f>
        <v>No</v>
      </c>
      <c r="AI573" s="0" t="str">
        <f aca="false">IF(OR(AE573="Yes",AF573="Yes",AG573="Yes"),"Invalid",IF(OR(AB573="Yes",AC573="Yes",AD573="Yes"),"Warning","Clean"))</f>
        <v>Invalid</v>
      </c>
      <c r="AJ573" s="4" t="s">
        <v>2175</v>
      </c>
      <c r="AK573" s="4" t="s">
        <v>2225</v>
      </c>
      <c r="AL573" s="4" t="s">
        <v>158</v>
      </c>
      <c r="AM573" s="4" t="s">
        <v>68</v>
      </c>
      <c r="AN573" s="4" t="s">
        <v>168</v>
      </c>
      <c r="AO573" s="4" t="s">
        <v>186</v>
      </c>
      <c r="AP573" s="4" t="s">
        <v>187</v>
      </c>
      <c r="AQ573" s="4" t="s">
        <v>109</v>
      </c>
      <c r="AR573" s="4" t="s">
        <v>227</v>
      </c>
      <c r="AT573" s="0" t="n">
        <v>0</v>
      </c>
      <c r="AU573" s="4" t="s">
        <v>207</v>
      </c>
      <c r="AV573" s="4" t="s">
        <v>142</v>
      </c>
    </row>
    <row r="574" customFormat="false" ht="15" hidden="false" customHeight="false" outlineLevel="0" collapsed="false">
      <c r="A574" s="0" t="s">
        <v>2226</v>
      </c>
      <c r="B574" s="3" t="n">
        <f aca="false">IF(AJ574="","",IF(ISNUMBER(SEARCH("/",AJ574)),DATE(VALUE(RIGHT(AJ574,4)),VALUE(LEFT(AJ574,2)),VALUE(MID(AJ574,4,2))),IF(ISNUMBER(SEARCH("-",AJ574)),IF(LEN(LEFT(AJ574,FIND("-",AJ574)-1))=4,DATE(VALUE(LEFT(AJ574,4)),VALUE(MID(AJ574,6,2)),VALUE(RIGHT(AJ574,2))),DATE(VALUE(RIGHT(AJ574,4)),VALUE(MID(AJ574,4,2)),VALUE(LEFT(AJ574,2)))),DATE(VALUE(RIGHT(AJ574,4)),MATCH(MID(AJ574,4,3),{"Jan","Feb","Mar","Apr","May","Jun","Jul","Aug","Sep","Oct","Nov","Dec"},0),VALUE(LEFT(AJ574,2))))))</f>
        <v>45293</v>
      </c>
      <c r="C574" s="3" t="n">
        <f aca="false">IF(AK574="","",IF(ISNUMBER(SEARCH("/",AK574)),DATE(VALUE(RIGHT(AK574,4)),VALUE(LEFT(AK574,2)),VALUE(MID(AK574,4,2))),IF(ISNUMBER(SEARCH("-",AK574)),IF(LEN(LEFT(AK574,FIND("-",AK574)-1))=4,DATE(VALUE(LEFT(AK574,4)),VALUE(MID(AK574,6,2)),VALUE(RIGHT(AK574,2))),DATE(VALUE(RIGHT(AK574,4)),VALUE(MID(AK574,4,2)),VALUE(LEFT(AK574,2)))),DATE(VALUE(RIGHT(AK574,4)),MATCH(MID(AK574,4,3),{"Jan","Feb","Mar","Apr","May","Jun","Jul","Aug","Sep","Oct","Nov","Dec"},0),VALUE(LEFT(AK574,2))))))</f>
        <v>45300</v>
      </c>
      <c r="D574" s="4" t="s">
        <v>2227</v>
      </c>
      <c r="E574" s="0" t="str">
        <f aca="false">PROPER(TRIM(AL574))</f>
        <v>Diya Patel</v>
      </c>
      <c r="F574" s="0" t="str">
        <f aca="false">PROPER(TRIM(AM574))</f>
        <v>Corporate</v>
      </c>
      <c r="G574" s="0" t="str">
        <f aca="false">IF(TRIM(AN574)="","Unknown",PROPER(TRIM(AN574)))</f>
        <v>North</v>
      </c>
      <c r="H574" s="0" t="str">
        <f aca="false">PROPER(TRIM(AO574))</f>
        <v>Delhi</v>
      </c>
      <c r="I574" s="0" t="str">
        <f aca="false">PROPER(TRIM(AP574))</f>
        <v>New Delhi</v>
      </c>
      <c r="J574" s="0" t="str">
        <f aca="false">PROPER(TRIM(AQ574))</f>
        <v>Technology</v>
      </c>
      <c r="K574" s="0" t="str">
        <f aca="false">PROPER(TRIM(AR574))</f>
        <v>Phones</v>
      </c>
      <c r="M574" s="0" t="str">
        <f aca="false">IF(TRIM(AS574)="","Unknown",PROPER(TRIM(AS574)))</f>
        <v>Standard Class</v>
      </c>
      <c r="N574" s="0" t="n">
        <v>3</v>
      </c>
      <c r="O574" s="0" t="n">
        <v>739.56</v>
      </c>
      <c r="P574" s="5" t="n">
        <f aca="false">IF(AT574="","",IF(ISNUMBER(AT574),AT574,VALUE(SUBSTITUTE(AT574,"%",""))/100))</f>
        <v>0.2</v>
      </c>
      <c r="Q574" s="5" t="n">
        <f aca="false">IF(P574="",IF(AND(N574&lt;&gt;"",O574&lt;&gt;"",R574&lt;&gt;"",S574&lt;&gt;""),0,"REVIEW"),IF(OR(P574&lt;0,P574&gt;0.3),0,P574))</f>
        <v>0.2</v>
      </c>
      <c r="R574" s="0" t="n">
        <v>1774.94</v>
      </c>
      <c r="S574" s="0" t="n">
        <v>1007.4</v>
      </c>
      <c r="T574" s="6" t="n">
        <f aca="false">N574*O574*(1-Q574)</f>
        <v>1774.944</v>
      </c>
      <c r="U574" s="6" t="n">
        <f aca="false">T574-S574</f>
        <v>767.544</v>
      </c>
      <c r="V574" s="7" t="n">
        <f aca="false">IF(T574=0,0,U574/T574)</f>
        <v>0.43243279787982</v>
      </c>
      <c r="W574" s="4" t="n">
        <f aca="false">C574-B574</f>
        <v>7</v>
      </c>
      <c r="X574" s="0" t="str">
        <f aca="false">TEXT(B574,"mmmm")</f>
        <v>January</v>
      </c>
      <c r="Y574" s="4" t="n">
        <f aca="false">YEAR(B574)</f>
        <v>2024</v>
      </c>
      <c r="Z574" s="0" t="str">
        <f aca="false">PROPER(TRIM(AU574))</f>
        <v>Paid</v>
      </c>
      <c r="AA574" s="0" t="str">
        <f aca="false">PROPER(TRIM(AV574))</f>
        <v>Completed</v>
      </c>
      <c r="AB574" s="0" t="str">
        <f aca="false">IF(TRIM(AN574)="","Yes","No")</f>
        <v>No</v>
      </c>
      <c r="AC574" s="0" t="str">
        <f aca="false">IF(TRIM(AS574)="","Yes","No")</f>
        <v>No</v>
      </c>
      <c r="AD574" s="0" t="str">
        <f aca="false">IF(AT574="","Yes","No")</f>
        <v>No</v>
      </c>
      <c r="AE574" s="0" t="str">
        <f aca="false">IF(W574&lt;0,"Yes","No")</f>
        <v>No</v>
      </c>
      <c r="AF574" s="0" t="str">
        <f aca="false">IF(P574="","No",IF(OR(P574&lt;0,P574&gt;0.3),"Yes","No"))</f>
        <v>No</v>
      </c>
      <c r="AG574" s="4" t="s">
        <v>50</v>
      </c>
      <c r="AH574" s="0" t="str">
        <f aca="false">IF(AND(AA574="Completed",Z574="Paid"),"Yes","No")</f>
        <v>Yes</v>
      </c>
      <c r="AI574" s="0" t="str">
        <f aca="false">IF(OR(AE574="Yes",AF574="Yes",AG574="Yes"),"Invalid",IF(OR(AB574="Yes",AC574="Yes",AD574="Yes"),"Warning","Clean"))</f>
        <v>Clean</v>
      </c>
      <c r="AJ574" s="4" t="s">
        <v>2228</v>
      </c>
      <c r="AK574" s="4" t="s">
        <v>2229</v>
      </c>
      <c r="AL574" s="4" t="s">
        <v>2230</v>
      </c>
      <c r="AM574" s="4" t="s">
        <v>128</v>
      </c>
      <c r="AN574" s="4" t="s">
        <v>168</v>
      </c>
      <c r="AO574" s="4" t="s">
        <v>461</v>
      </c>
      <c r="AP574" s="4" t="s">
        <v>462</v>
      </c>
      <c r="AQ574" s="4" t="s">
        <v>109</v>
      </c>
      <c r="AR574" s="4" t="s">
        <v>227</v>
      </c>
      <c r="AS574" s="4" t="s">
        <v>91</v>
      </c>
      <c r="AT574" s="0" t="n">
        <v>0.2</v>
      </c>
      <c r="AU574" s="4" t="s">
        <v>61</v>
      </c>
      <c r="AV574" s="4" t="s">
        <v>62</v>
      </c>
    </row>
    <row r="575" customFormat="false" ht="15" hidden="false" customHeight="false" outlineLevel="0" collapsed="false">
      <c r="A575" s="0" t="s">
        <v>2231</v>
      </c>
      <c r="B575" s="3" t="n">
        <f aca="false">IF(AJ575="","",IF(ISNUMBER(SEARCH("/",AJ575)),DATE(VALUE(RIGHT(AJ575,4)),VALUE(LEFT(AJ575,2)),VALUE(MID(AJ575,4,2))),IF(ISNUMBER(SEARCH("-",AJ575)),IF(LEN(LEFT(AJ575,FIND("-",AJ575)-1))=4,DATE(VALUE(LEFT(AJ575,4)),VALUE(MID(AJ575,6,2)),VALUE(RIGHT(AJ575,2))),DATE(VALUE(RIGHT(AJ575,4)),VALUE(MID(AJ575,4,2)),VALUE(LEFT(AJ575,2)))),DATE(VALUE(RIGHT(AJ575,4)),MATCH(MID(AJ575,4,3),{"Jan","Feb","Mar","Apr","May","Jun","Jul","Aug","Sep","Oct","Nov","Dec"},0),VALUE(LEFT(AJ575,2))))))</f>
        <v>45922</v>
      </c>
      <c r="C575" s="3" t="n">
        <f aca="false">IF(AK575="","",IF(ISNUMBER(SEARCH("/",AK575)),DATE(VALUE(RIGHT(AK575,4)),VALUE(LEFT(AK575,2)),VALUE(MID(AK575,4,2))),IF(ISNUMBER(SEARCH("-",AK575)),IF(LEN(LEFT(AK575,FIND("-",AK575)-1))=4,DATE(VALUE(LEFT(AK575,4)),VALUE(MID(AK575,6,2)),VALUE(RIGHT(AK575,2))),DATE(VALUE(RIGHT(AK575,4)),VALUE(MID(AK575,4,2)),VALUE(LEFT(AK575,2)))),DATE(VALUE(RIGHT(AK575,4)),MATCH(MID(AK575,4,3),{"Jan","Feb","Mar","Apr","May","Jun","Jul","Aug","Sep","Oct","Nov","Dec"},0),VALUE(LEFT(AK575,2))))))</f>
        <v>45926</v>
      </c>
      <c r="D575" s="4" t="s">
        <v>2232</v>
      </c>
      <c r="E575" s="0" t="str">
        <f aca="false">PROPER(TRIM(AL575))</f>
        <v>Isha Nair</v>
      </c>
      <c r="F575" s="0" t="str">
        <f aca="false">PROPER(TRIM(AM575))</f>
        <v>Consumer</v>
      </c>
      <c r="G575" s="0" t="str">
        <f aca="false">IF(TRIM(AN575)="","Unknown",PROPER(TRIM(AN575)))</f>
        <v>South</v>
      </c>
      <c r="H575" s="0" t="str">
        <f aca="false">PROPER(TRIM(AO575))</f>
        <v>Andhra Pradesh</v>
      </c>
      <c r="I575" s="0" t="str">
        <f aca="false">PROPER(TRIM(AP575))</f>
        <v>Vijayawada</v>
      </c>
      <c r="J575" s="0" t="str">
        <f aca="false">PROPER(TRIM(AQ575))</f>
        <v>Technology</v>
      </c>
      <c r="K575" s="0" t="str">
        <f aca="false">PROPER(TRIM(AR575))</f>
        <v>Phones</v>
      </c>
      <c r="M575" s="0" t="str">
        <f aca="false">IF(TRIM(AS575)="","Unknown",PROPER(TRIM(AS575)))</f>
        <v>Standard Class</v>
      </c>
      <c r="N575" s="0" t="n">
        <v>1</v>
      </c>
      <c r="O575" s="0" t="n">
        <v>573.65</v>
      </c>
      <c r="P575" s="5" t="n">
        <f aca="false">IF(AT575="","",IF(ISNUMBER(AT575),AT575,VALUE(SUBSTITUTE(AT575,"%",""))/100))</f>
        <v>0</v>
      </c>
      <c r="Q575" s="5" t="n">
        <f aca="false">IF(P575="",IF(AND(N575&lt;&gt;"",O575&lt;&gt;"",R575&lt;&gt;"",S575&lt;&gt;""),0,"REVIEW"),IF(OR(P575&lt;0,P575&gt;0.3),0,P575))</f>
        <v>0</v>
      </c>
      <c r="R575" s="0" t="n">
        <v>573.65</v>
      </c>
      <c r="S575" s="0" t="n">
        <v>322.67</v>
      </c>
      <c r="T575" s="6" t="n">
        <f aca="false">N575*O575*(1-Q575)</f>
        <v>573.65</v>
      </c>
      <c r="U575" s="6" t="n">
        <f aca="false">T575-S575</f>
        <v>250.98</v>
      </c>
      <c r="V575" s="7" t="n">
        <f aca="false">IF(T575=0,0,U575/T575)</f>
        <v>0.43751416368866</v>
      </c>
      <c r="W575" s="4" t="n">
        <f aca="false">C575-B575</f>
        <v>4</v>
      </c>
      <c r="X575" s="0" t="str">
        <f aca="false">TEXT(B575,"mmmm")</f>
        <v>September</v>
      </c>
      <c r="Y575" s="4" t="n">
        <f aca="false">YEAR(B575)</f>
        <v>2025</v>
      </c>
      <c r="Z575" s="0" t="str">
        <f aca="false">PROPER(TRIM(AU575))</f>
        <v>Paid</v>
      </c>
      <c r="AA575" s="0" t="str">
        <f aca="false">PROPER(TRIM(AV575))</f>
        <v>Completed</v>
      </c>
      <c r="AB575" s="0" t="str">
        <f aca="false">IF(TRIM(AN575)="","Yes","No")</f>
        <v>No</v>
      </c>
      <c r="AC575" s="0" t="str">
        <f aca="false">IF(TRIM(AS575)="","Yes","No")</f>
        <v>No</v>
      </c>
      <c r="AD575" s="0" t="str">
        <f aca="false">IF(AT575="","Yes","No")</f>
        <v>No</v>
      </c>
      <c r="AE575" s="0" t="str">
        <f aca="false">IF(W575&lt;0,"Yes","No")</f>
        <v>No</v>
      </c>
      <c r="AF575" s="0" t="str">
        <f aca="false">IF(P575="","No",IF(OR(P575&lt;0,P575&gt;0.3),"Yes","No"))</f>
        <v>No</v>
      </c>
      <c r="AG575" s="4" t="s">
        <v>50</v>
      </c>
      <c r="AH575" s="0" t="str">
        <f aca="false">IF(AND(AA575="Completed",Z575="Paid"),"Yes","No")</f>
        <v>Yes</v>
      </c>
      <c r="AI575" s="0" t="str">
        <f aca="false">IF(OR(AE575="Yes",AF575="Yes",AG575="Yes"),"Invalid",IF(OR(AB575="Yes",AC575="Yes",AD575="Yes"),"Warning","Clean"))</f>
        <v>Clean</v>
      </c>
      <c r="AJ575" s="4" t="s">
        <v>2233</v>
      </c>
      <c r="AK575" s="4" t="s">
        <v>2234</v>
      </c>
      <c r="AL575" s="4" t="s">
        <v>79</v>
      </c>
      <c r="AM575" s="4" t="s">
        <v>54</v>
      </c>
      <c r="AN575" s="4" t="s">
        <v>87</v>
      </c>
      <c r="AO575" s="4" t="s">
        <v>121</v>
      </c>
      <c r="AP575" s="4" t="s">
        <v>122</v>
      </c>
      <c r="AQ575" s="4" t="s">
        <v>109</v>
      </c>
      <c r="AR575" s="4" t="s">
        <v>227</v>
      </c>
      <c r="AS575" s="4" t="s">
        <v>91</v>
      </c>
      <c r="AT575" s="0" t="n">
        <v>0</v>
      </c>
      <c r="AU575" s="4" t="s">
        <v>61</v>
      </c>
      <c r="AV575" s="4" t="s">
        <v>62</v>
      </c>
    </row>
    <row r="576" customFormat="false" ht="15" hidden="false" customHeight="false" outlineLevel="0" collapsed="false">
      <c r="A576" s="0" t="s">
        <v>2235</v>
      </c>
      <c r="B576" s="3" t="n">
        <f aca="false">IF(AJ576="","",IF(ISNUMBER(SEARCH("/",AJ576)),DATE(VALUE(RIGHT(AJ576,4)),VALUE(LEFT(AJ576,2)),VALUE(MID(AJ576,4,2))),IF(ISNUMBER(SEARCH("-",AJ576)),IF(LEN(LEFT(AJ576,FIND("-",AJ576)-1))=4,DATE(VALUE(LEFT(AJ576,4)),VALUE(MID(AJ576,6,2)),VALUE(RIGHT(AJ576,2))),DATE(VALUE(RIGHT(AJ576,4)),VALUE(MID(AJ576,4,2)),VALUE(LEFT(AJ576,2)))),DATE(VALUE(RIGHT(AJ576,4)),MATCH(MID(AJ576,4,3),{"Jan","Feb","Mar","Apr","May","Jun","Jul","Aug","Sep","Oct","Nov","Dec"},0),VALUE(LEFT(AJ576,2))))))</f>
        <v>45342</v>
      </c>
      <c r="C576" s="3" t="n">
        <f aca="false">IF(AK576="","",IF(ISNUMBER(SEARCH("/",AK576)),DATE(VALUE(RIGHT(AK576,4)),VALUE(LEFT(AK576,2)),VALUE(MID(AK576,4,2))),IF(ISNUMBER(SEARCH("-",AK576)),IF(LEN(LEFT(AK576,FIND("-",AK576)-1))=4,DATE(VALUE(LEFT(AK576,4)),VALUE(MID(AK576,6,2)),VALUE(RIGHT(AK576,2))),DATE(VALUE(RIGHT(AK576,4)),VALUE(MID(AK576,4,2)),VALUE(LEFT(AK576,2)))),DATE(VALUE(RIGHT(AK576,4)),MATCH(MID(AK576,4,3),{"Jan","Feb","Mar","Apr","May","Jun","Jul","Aug","Sep","Oct","Nov","Dec"},0),VALUE(LEFT(AK576,2))))))</f>
        <v>45347</v>
      </c>
      <c r="D576" s="4" t="s">
        <v>1038</v>
      </c>
      <c r="E576" s="0" t="str">
        <f aca="false">PROPER(TRIM(AL576))</f>
        <v>Diya Patel</v>
      </c>
      <c r="F576" s="0" t="str">
        <f aca="false">PROPER(TRIM(AM576))</f>
        <v>Home Office</v>
      </c>
      <c r="G576" s="0" t="str">
        <f aca="false">IF(TRIM(AN576)="","Unknown",PROPER(TRIM(AN576)))</f>
        <v>North</v>
      </c>
      <c r="H576" s="0" t="str">
        <f aca="false">PROPER(TRIM(AO576))</f>
        <v>Punjab</v>
      </c>
      <c r="I576" s="0" t="str">
        <f aca="false">PROPER(TRIM(AP576))</f>
        <v>Ludhiana</v>
      </c>
      <c r="J576" s="0" t="str">
        <f aca="false">PROPER(TRIM(AQ576))</f>
        <v>Technology</v>
      </c>
      <c r="K576" s="0" t="str">
        <f aca="false">PROPER(TRIM(AR576))</f>
        <v>Machines</v>
      </c>
      <c r="M576" s="0" t="str">
        <f aca="false">IF(TRIM(AS576)="","Unknown",PROPER(TRIM(AS576)))</f>
        <v>Standard Class</v>
      </c>
      <c r="N576" s="0" t="n">
        <v>4</v>
      </c>
      <c r="O576" s="0" t="n">
        <v>1355.8</v>
      </c>
      <c r="P576" s="5" t="n">
        <f aca="false">IF(AT576="","",IF(ISNUMBER(AT576),AT576,VALUE(SUBSTITUTE(AT576,"%",""))/100))</f>
        <v>0</v>
      </c>
      <c r="Q576" s="5" t="n">
        <f aca="false">IF(P576="",IF(AND(N576&lt;&gt;"",O576&lt;&gt;"",R576&lt;&gt;"",S576&lt;&gt;""),0,"REVIEW"),IF(OR(P576&lt;0,P576&gt;0.3),0,P576))</f>
        <v>0</v>
      </c>
      <c r="R576" s="0" t="n">
        <v>5423.2</v>
      </c>
      <c r="S576" s="0" t="n">
        <v>4072.44</v>
      </c>
      <c r="T576" s="6" t="n">
        <f aca="false">N576*O576*(1-Q576)</f>
        <v>5423.2</v>
      </c>
      <c r="U576" s="6" t="n">
        <f aca="false">T576-S576</f>
        <v>1350.76</v>
      </c>
      <c r="V576" s="7" t="n">
        <f aca="false">IF(T576=0,0,U576/T576)</f>
        <v>0.24907065938929</v>
      </c>
      <c r="W576" s="4" t="n">
        <f aca="false">C576-B576</f>
        <v>5</v>
      </c>
      <c r="X576" s="0" t="str">
        <f aca="false">TEXT(B576,"mmmm")</f>
        <v>February</v>
      </c>
      <c r="Y576" s="4" t="n">
        <f aca="false">YEAR(B576)</f>
        <v>2024</v>
      </c>
      <c r="Z576" s="0" t="str">
        <f aca="false">PROPER(TRIM(AU576))</f>
        <v>Paid</v>
      </c>
      <c r="AA576" s="0" t="str">
        <f aca="false">PROPER(TRIM(AV576))</f>
        <v>Completed</v>
      </c>
      <c r="AB576" s="0" t="str">
        <f aca="false">IF(TRIM(AN576)="","Yes","No")</f>
        <v>No</v>
      </c>
      <c r="AC576" s="0" t="str">
        <f aca="false">IF(TRIM(AS576)="","Yes","No")</f>
        <v>No</v>
      </c>
      <c r="AD576" s="0" t="str">
        <f aca="false">IF(AT576="","Yes","No")</f>
        <v>No</v>
      </c>
      <c r="AE576" s="0" t="str">
        <f aca="false">IF(W576&lt;0,"Yes","No")</f>
        <v>No</v>
      </c>
      <c r="AF576" s="0" t="str">
        <f aca="false">IF(P576="","No",IF(OR(P576&lt;0,P576&gt;0.3),"Yes","No"))</f>
        <v>No</v>
      </c>
      <c r="AG576" s="4" t="s">
        <v>50</v>
      </c>
      <c r="AH576" s="0" t="str">
        <f aca="false">IF(AND(AA576="Completed",Z576="Paid"),"Yes","No")</f>
        <v>Yes</v>
      </c>
      <c r="AI576" s="0" t="str">
        <f aca="false">IF(OR(AE576="Yes",AF576="Yes",AG576="Yes"),"Invalid",IF(OR(AB576="Yes",AC576="Yes",AD576="Yes"),"Warning","Clean"))</f>
        <v>Clean</v>
      </c>
      <c r="AJ576" s="4" t="s">
        <v>2236</v>
      </c>
      <c r="AK576" s="4" t="s">
        <v>1370</v>
      </c>
      <c r="AL576" s="4" t="s">
        <v>216</v>
      </c>
      <c r="AM576" s="4" t="s">
        <v>134</v>
      </c>
      <c r="AN576" s="4" t="s">
        <v>168</v>
      </c>
      <c r="AO576" s="4" t="s">
        <v>169</v>
      </c>
      <c r="AP576" s="4" t="s">
        <v>170</v>
      </c>
      <c r="AQ576" s="4" t="s">
        <v>109</v>
      </c>
      <c r="AR576" s="4" t="s">
        <v>360</v>
      </c>
      <c r="AS576" s="4" t="s">
        <v>91</v>
      </c>
      <c r="AT576" s="0" t="n">
        <v>0</v>
      </c>
      <c r="AU576" s="4" t="s">
        <v>61</v>
      </c>
      <c r="AV576" s="4" t="s">
        <v>62</v>
      </c>
    </row>
    <row r="577" customFormat="false" ht="15" hidden="false" customHeight="false" outlineLevel="0" collapsed="false">
      <c r="A577" s="0" t="s">
        <v>2237</v>
      </c>
      <c r="B577" s="3" t="n">
        <f aca="false">IF(AJ577="","",IF(ISNUMBER(SEARCH("/",AJ577)),DATE(VALUE(RIGHT(AJ577,4)),VALUE(LEFT(AJ577,2)),VALUE(MID(AJ577,4,2))),IF(ISNUMBER(SEARCH("-",AJ577)),IF(LEN(LEFT(AJ577,FIND("-",AJ577)-1))=4,DATE(VALUE(LEFT(AJ577,4)),VALUE(MID(AJ577,6,2)),VALUE(RIGHT(AJ577,2))),DATE(VALUE(RIGHT(AJ577,4)),VALUE(MID(AJ577,4,2)),VALUE(LEFT(AJ577,2)))),DATE(VALUE(RIGHT(AJ577,4)),MATCH(MID(AJ577,4,3),{"Jan","Feb","Mar","Apr","May","Jun","Jul","Aug","Sep","Oct","Nov","Dec"},0),VALUE(LEFT(AJ577,2))))))</f>
        <v>45727</v>
      </c>
      <c r="C577" s="3" t="n">
        <f aca="false">IF(AK577="","",IF(ISNUMBER(SEARCH("/",AK577)),DATE(VALUE(RIGHT(AK577,4)),VALUE(LEFT(AK577,2)),VALUE(MID(AK577,4,2))),IF(ISNUMBER(SEARCH("-",AK577)),IF(LEN(LEFT(AK577,FIND("-",AK577)-1))=4,DATE(VALUE(LEFT(AK577,4)),VALUE(MID(AK577,6,2)),VALUE(RIGHT(AK577,2))),DATE(VALUE(RIGHT(AK577,4)),VALUE(MID(AK577,4,2)),VALUE(LEFT(AK577,2)))),DATE(VALUE(RIGHT(AK577,4)),MATCH(MID(AK577,4,3),{"Jan","Feb","Mar","Apr","May","Jun","Jul","Aug","Sep","Oct","Nov","Dec"},0),VALUE(LEFT(AK577,2))))))</f>
        <v>45730</v>
      </c>
      <c r="D577" s="4" t="s">
        <v>2238</v>
      </c>
      <c r="E577" s="0" t="str">
        <f aca="false">PROPER(TRIM(AL577))</f>
        <v>Sneha Kapoor</v>
      </c>
      <c r="F577" s="0" t="str">
        <f aca="false">PROPER(TRIM(AM577))</f>
        <v>Home Office</v>
      </c>
      <c r="G577" s="0" t="str">
        <f aca="false">IF(TRIM(AN577)="","Unknown",PROPER(TRIM(AN577)))</f>
        <v>South</v>
      </c>
      <c r="H577" s="0" t="str">
        <f aca="false">PROPER(TRIM(AO577))</f>
        <v>Kerala</v>
      </c>
      <c r="I577" s="0" t="str">
        <f aca="false">PROPER(TRIM(AP577))</f>
        <v>Kochi</v>
      </c>
      <c r="J577" s="0" t="str">
        <f aca="false">PROPER(TRIM(AQ577))</f>
        <v>Furniture</v>
      </c>
      <c r="K577" s="0" t="str">
        <f aca="false">PROPER(TRIM(AR577))</f>
        <v>Furnishings</v>
      </c>
      <c r="M577" s="0" t="str">
        <f aca="false">IF(TRIM(AS577)="","Unknown",PROPER(TRIM(AS577)))</f>
        <v>Same Day</v>
      </c>
      <c r="N577" s="0" t="n">
        <v>4</v>
      </c>
      <c r="O577" s="0" t="n">
        <v>1244.82</v>
      </c>
      <c r="P577" s="5" t="n">
        <f aca="false">IF(AT577="","",IF(ISNUMBER(AT577),AT577,VALUE(SUBSTITUTE(AT577,"%",""))/100))</f>
        <v>0.2</v>
      </c>
      <c r="Q577" s="5" t="n">
        <f aca="false">IF(P577="",IF(AND(N577&lt;&gt;"",O577&lt;&gt;"",R577&lt;&gt;"",S577&lt;&gt;""),0,"REVIEW"),IF(OR(P577&lt;0,P577&gt;0.3),0,P577))</f>
        <v>0.2</v>
      </c>
      <c r="R577" s="0" t="n">
        <v>3983.42</v>
      </c>
      <c r="S577" s="0" t="n">
        <v>3174.91</v>
      </c>
      <c r="T577" s="6" t="n">
        <f aca="false">N577*O577*(1-Q577)</f>
        <v>3983.424</v>
      </c>
      <c r="U577" s="6" t="n">
        <f aca="false">T577-S577</f>
        <v>808.514</v>
      </c>
      <c r="V577" s="7" t="n">
        <f aca="false">IF(T577=0,0,U577/T577)</f>
        <v>0.202969606047461</v>
      </c>
      <c r="W577" s="4" t="n">
        <f aca="false">C577-B577</f>
        <v>3</v>
      </c>
      <c r="X577" s="0" t="str">
        <f aca="false">TEXT(B577,"mmmm")</f>
        <v>March</v>
      </c>
      <c r="Y577" s="4" t="n">
        <f aca="false">YEAR(B577)</f>
        <v>2025</v>
      </c>
      <c r="Z577" s="0" t="str">
        <f aca="false">PROPER(TRIM(AU577))</f>
        <v>Failed</v>
      </c>
      <c r="AA577" s="0" t="str">
        <f aca="false">PROPER(TRIM(AV577))</f>
        <v>Returned</v>
      </c>
      <c r="AB577" s="0" t="str">
        <f aca="false">IF(TRIM(AN577)="","Yes","No")</f>
        <v>No</v>
      </c>
      <c r="AC577" s="0" t="str">
        <f aca="false">IF(TRIM(AS577)="","Yes","No")</f>
        <v>No</v>
      </c>
      <c r="AD577" s="0" t="str">
        <f aca="false">IF(AT577="","Yes","No")</f>
        <v>No</v>
      </c>
      <c r="AE577" s="0" t="str">
        <f aca="false">IF(W577&lt;0,"Yes","No")</f>
        <v>No</v>
      </c>
      <c r="AF577" s="0" t="str">
        <f aca="false">IF(P577="","No",IF(OR(P577&lt;0,P577&gt;0.3),"Yes","No"))</f>
        <v>No</v>
      </c>
      <c r="AG577" s="4" t="s">
        <v>50</v>
      </c>
      <c r="AH577" s="0" t="str">
        <f aca="false">IF(AND(AA577="Completed",Z577="Paid"),"Yes","No")</f>
        <v>No</v>
      </c>
      <c r="AI577" s="0" t="str">
        <f aca="false">IF(OR(AE577="Yes",AF577="Yes",AG577="Yes"),"Invalid",IF(OR(AB577="Yes",AC577="Yes",AD577="Yes"),"Warning","Clean"))</f>
        <v>Clean</v>
      </c>
      <c r="AJ577" s="4" t="s">
        <v>2239</v>
      </c>
      <c r="AK577" s="4" t="s">
        <v>2240</v>
      </c>
      <c r="AL577" s="4" t="s">
        <v>181</v>
      </c>
      <c r="AM577" s="4" t="s">
        <v>134</v>
      </c>
      <c r="AN577" s="4" t="s">
        <v>87</v>
      </c>
      <c r="AO577" s="4" t="s">
        <v>244</v>
      </c>
      <c r="AP577" s="4" t="s">
        <v>245</v>
      </c>
      <c r="AQ577" s="4" t="s">
        <v>72</v>
      </c>
      <c r="AR577" s="4" t="s">
        <v>90</v>
      </c>
      <c r="AS577" s="4" t="s">
        <v>74</v>
      </c>
      <c r="AT577" s="0" t="n">
        <v>0.2</v>
      </c>
      <c r="AU577" s="4" t="s">
        <v>207</v>
      </c>
      <c r="AV577" s="4" t="s">
        <v>142</v>
      </c>
    </row>
    <row r="578" customFormat="false" ht="15" hidden="false" customHeight="false" outlineLevel="0" collapsed="false">
      <c r="A578" s="0" t="s">
        <v>2241</v>
      </c>
      <c r="B578" s="3" t="n">
        <f aca="false">IF(AJ578="","",IF(ISNUMBER(SEARCH("/",AJ578)),DATE(VALUE(RIGHT(AJ578,4)),VALUE(LEFT(AJ578,2)),VALUE(MID(AJ578,4,2))),IF(ISNUMBER(SEARCH("-",AJ578)),IF(LEN(LEFT(AJ578,FIND("-",AJ578)-1))=4,DATE(VALUE(LEFT(AJ578,4)),VALUE(MID(AJ578,6,2)),VALUE(RIGHT(AJ578,2))),DATE(VALUE(RIGHT(AJ578,4)),VALUE(MID(AJ578,4,2)),VALUE(LEFT(AJ578,2)))),DATE(VALUE(RIGHT(AJ578,4)),MATCH(MID(AJ578,4,3),{"Jan","Feb","Mar","Apr","May","Jun","Jul","Aug","Sep","Oct","Nov","Dec"},0),VALUE(LEFT(AJ578,2))))))</f>
        <v>45339</v>
      </c>
      <c r="C578" s="3" t="n">
        <f aca="false">IF(AK578="","",IF(ISNUMBER(SEARCH("/",AK578)),DATE(VALUE(RIGHT(AK578,4)),VALUE(LEFT(AK578,2)),VALUE(MID(AK578,4,2))),IF(ISNUMBER(SEARCH("-",AK578)),IF(LEN(LEFT(AK578,FIND("-",AK578)-1))=4,DATE(VALUE(LEFT(AK578,4)),VALUE(MID(AK578,6,2)),VALUE(RIGHT(AK578,2))),DATE(VALUE(RIGHT(AK578,4)),VALUE(MID(AK578,4,2)),VALUE(LEFT(AK578,2)))),DATE(VALUE(RIGHT(AK578,4)),MATCH(MID(AK578,4,3),{"Jan","Feb","Mar","Apr","May","Jun","Jul","Aug","Sep","Oct","Nov","Dec"},0),VALUE(LEFT(AK578,2))))))</f>
        <v>45345</v>
      </c>
      <c r="D578" s="4" t="s">
        <v>2242</v>
      </c>
      <c r="E578" s="0" t="str">
        <f aca="false">PROPER(TRIM(AL578))</f>
        <v>Rohan Mehta</v>
      </c>
      <c r="F578" s="0" t="str">
        <f aca="false">PROPER(TRIM(AM578))</f>
        <v>Home Office</v>
      </c>
      <c r="G578" s="0" t="str">
        <f aca="false">IF(TRIM(AN578)="","Unknown",PROPER(TRIM(AN578)))</f>
        <v>Unknown</v>
      </c>
      <c r="H578" s="0" t="str">
        <f aca="false">PROPER(TRIM(AO578))</f>
        <v>Bihar</v>
      </c>
      <c r="I578" s="0" t="str">
        <f aca="false">PROPER(TRIM(AP578))</f>
        <v>Patna</v>
      </c>
      <c r="J578" s="0" t="str">
        <f aca="false">PROPER(TRIM(AQ578))</f>
        <v>Office Supplies</v>
      </c>
      <c r="K578" s="0" t="str">
        <f aca="false">PROPER(TRIM(AR578))</f>
        <v>Binders</v>
      </c>
      <c r="M578" s="0" t="str">
        <f aca="false">IF(TRIM(AS578)="","Unknown",PROPER(TRIM(AS578)))</f>
        <v>Standard Class</v>
      </c>
      <c r="N578" s="0" t="n">
        <v>9</v>
      </c>
      <c r="O578" s="0" t="n">
        <v>2614.46</v>
      </c>
      <c r="P578" s="5" t="n">
        <f aca="false">IF(AT578="","",IF(ISNUMBER(AT578),AT578,VALUE(SUBSTITUTE(AT578,"%",""))/100))</f>
        <v>0</v>
      </c>
      <c r="Q578" s="5" t="n">
        <f aca="false">IF(P578="",IF(AND(N578&lt;&gt;"",O578&lt;&gt;"",R578&lt;&gt;"",S578&lt;&gt;""),0,"REVIEW"),IF(OR(P578&lt;0,P578&gt;0.3),0,P578))</f>
        <v>0</v>
      </c>
      <c r="R578" s="0" t="n">
        <v>23530.14</v>
      </c>
      <c r="S578" s="0" t="n">
        <v>19537.79</v>
      </c>
      <c r="T578" s="6" t="n">
        <f aca="false">N578*O578*(1-Q578)</f>
        <v>23530.14</v>
      </c>
      <c r="U578" s="6" t="n">
        <f aca="false">T578-S578</f>
        <v>3992.35</v>
      </c>
      <c r="V578" s="7" t="n">
        <f aca="false">IF(T578=0,0,U578/T578)</f>
        <v>0.169669623725146</v>
      </c>
      <c r="W578" s="4" t="n">
        <f aca="false">C578-B578</f>
        <v>6</v>
      </c>
      <c r="X578" s="0" t="str">
        <f aca="false">TEXT(B578,"mmmm")</f>
        <v>February</v>
      </c>
      <c r="Y578" s="4" t="n">
        <f aca="false">YEAR(B578)</f>
        <v>2024</v>
      </c>
      <c r="Z578" s="0" t="str">
        <f aca="false">PROPER(TRIM(AU578))</f>
        <v>Refunded</v>
      </c>
      <c r="AA578" s="0" t="str">
        <f aca="false">PROPER(TRIM(AV578))</f>
        <v>Returned</v>
      </c>
      <c r="AB578" s="0" t="str">
        <f aca="false">IF(TRIM(AN578)="","Yes","No")</f>
        <v>Yes</v>
      </c>
      <c r="AC578" s="0" t="str">
        <f aca="false">IF(TRIM(AS578)="","Yes","No")</f>
        <v>No</v>
      </c>
      <c r="AD578" s="0" t="str">
        <f aca="false">IF(AT578="","Yes","No")</f>
        <v>No</v>
      </c>
      <c r="AE578" s="0" t="str">
        <f aca="false">IF(W578&lt;0,"Yes","No")</f>
        <v>No</v>
      </c>
      <c r="AF578" s="0" t="str">
        <f aca="false">IF(P578="","No",IF(OR(P578&lt;0,P578&gt;0.3),"Yes","No"))</f>
        <v>No</v>
      </c>
      <c r="AG578" s="4" t="s">
        <v>50</v>
      </c>
      <c r="AH578" s="0" t="str">
        <f aca="false">IF(AND(AA578="Completed",Z578="Paid"),"Yes","No")</f>
        <v>No</v>
      </c>
      <c r="AI578" s="0" t="str">
        <f aca="false">IF(OR(AE578="Yes",AF578="Yes",AG578="Yes"),"Invalid",IF(OR(AB578="Yes",AC578="Yes",AD578="Yes"),"Warning","Clean"))</f>
        <v>Warning</v>
      </c>
      <c r="AJ578" s="4" t="s">
        <v>2243</v>
      </c>
      <c r="AK578" s="4" t="s">
        <v>2244</v>
      </c>
      <c r="AL578" s="4" t="s">
        <v>191</v>
      </c>
      <c r="AM578" s="4" t="s">
        <v>134</v>
      </c>
      <c r="AO578" s="4" t="s">
        <v>196</v>
      </c>
      <c r="AP578" s="4" t="s">
        <v>197</v>
      </c>
      <c r="AQ578" s="4" t="s">
        <v>58</v>
      </c>
      <c r="AR578" s="4" t="s">
        <v>206</v>
      </c>
      <c r="AS578" s="4" t="s">
        <v>91</v>
      </c>
      <c r="AT578" s="0" t="n">
        <v>0</v>
      </c>
      <c r="AU578" s="4" t="s">
        <v>141</v>
      </c>
      <c r="AV578" s="4" t="s">
        <v>142</v>
      </c>
    </row>
    <row r="579" customFormat="false" ht="15" hidden="false" customHeight="false" outlineLevel="0" collapsed="false">
      <c r="A579" s="0" t="s">
        <v>2245</v>
      </c>
      <c r="B579" s="3" t="n">
        <f aca="false">IF(AJ579="","",IF(ISNUMBER(SEARCH("/",AJ579)),DATE(VALUE(RIGHT(AJ579,4)),VALUE(LEFT(AJ579,2)),VALUE(MID(AJ579,4,2))),IF(ISNUMBER(SEARCH("-",AJ579)),IF(LEN(LEFT(AJ579,FIND("-",AJ579)-1))=4,DATE(VALUE(LEFT(AJ579,4)),VALUE(MID(AJ579,6,2)),VALUE(RIGHT(AJ579,2))),DATE(VALUE(RIGHT(AJ579,4)),VALUE(MID(AJ579,4,2)),VALUE(LEFT(AJ579,2)))),DATE(VALUE(RIGHT(AJ579,4)),MATCH(MID(AJ579,4,3),{"Jan","Feb","Mar","Apr","May","Jun","Jul","Aug","Sep","Oct","Nov","Dec"},0),VALUE(LEFT(AJ579,2))))))</f>
        <v>45897</v>
      </c>
      <c r="C579" s="3" t="n">
        <f aca="false">IF(AK579="","",IF(ISNUMBER(SEARCH("/",AK579)),DATE(VALUE(RIGHT(AK579,4)),VALUE(LEFT(AK579,2)),VALUE(MID(AK579,4,2))),IF(ISNUMBER(SEARCH("-",AK579)),IF(LEN(LEFT(AK579,FIND("-",AK579)-1))=4,DATE(VALUE(LEFT(AK579,4)),VALUE(MID(AK579,6,2)),VALUE(RIGHT(AK579,2))),DATE(VALUE(RIGHT(AK579,4)),VALUE(MID(AK579,4,2)),VALUE(LEFT(AK579,2)))),DATE(VALUE(RIGHT(AK579,4)),MATCH(MID(AK579,4,3),{"Jan","Feb","Mar","Apr","May","Jun","Jul","Aug","Sep","Oct","Nov","Dec"},0),VALUE(LEFT(AK579,2))))))</f>
        <v>45903</v>
      </c>
      <c r="D579" s="4" t="s">
        <v>2246</v>
      </c>
      <c r="E579" s="0" t="str">
        <f aca="false">PROPER(TRIM(AL579))</f>
        <v>Priya Menon</v>
      </c>
      <c r="F579" s="0" t="str">
        <f aca="false">PROPER(TRIM(AM579))</f>
        <v>Corporate</v>
      </c>
      <c r="G579" s="0" t="str">
        <f aca="false">IF(TRIM(AN579)="","Unknown",PROPER(TRIM(AN579)))</f>
        <v>West</v>
      </c>
      <c r="H579" s="0" t="str">
        <f aca="false">PROPER(TRIM(AO579))</f>
        <v>Madhya Pradesh</v>
      </c>
      <c r="I579" s="0" t="str">
        <f aca="false">PROPER(TRIM(AP579))</f>
        <v>Indore</v>
      </c>
      <c r="J579" s="0" t="str">
        <f aca="false">PROPER(TRIM(AQ579))</f>
        <v>Furniture</v>
      </c>
      <c r="K579" s="0" t="str">
        <f aca="false">PROPER(TRIM(AR579))</f>
        <v>Furnishings</v>
      </c>
      <c r="M579" s="0" t="str">
        <f aca="false">IF(TRIM(AS579)="","Unknown",PROPER(TRIM(AS579)))</f>
        <v>Standard Class</v>
      </c>
      <c r="N579" s="0" t="n">
        <v>7</v>
      </c>
      <c r="O579" s="0" t="n">
        <v>268.45</v>
      </c>
      <c r="P579" s="5" t="n">
        <f aca="false">IF(AT579="","",IF(ISNUMBER(AT579),AT579,VALUE(SUBSTITUTE(AT579,"%",""))/100))</f>
        <v>0</v>
      </c>
      <c r="Q579" s="5" t="n">
        <f aca="false">IF(P579="",IF(AND(N579&lt;&gt;"",O579&lt;&gt;"",R579&lt;&gt;"",S579&lt;&gt;""),0,"REVIEW"),IF(OR(P579&lt;0,P579&gt;0.3),0,P579))</f>
        <v>0</v>
      </c>
      <c r="R579" s="0" t="n">
        <v>1879.15</v>
      </c>
      <c r="S579" s="0" t="n">
        <v>1134.9</v>
      </c>
      <c r="T579" s="6" t="n">
        <f aca="false">N579*O579*(1-Q579)</f>
        <v>1879.15</v>
      </c>
      <c r="U579" s="6" t="n">
        <f aca="false">T579-S579</f>
        <v>744.25</v>
      </c>
      <c r="V579" s="7" t="n">
        <f aca="false">IF(T579=0,0,U579/T579)</f>
        <v>0.396056727775856</v>
      </c>
      <c r="W579" s="4" t="n">
        <f aca="false">C579-B579</f>
        <v>6</v>
      </c>
      <c r="X579" s="0" t="str">
        <f aca="false">TEXT(B579,"mmmm")</f>
        <v>August</v>
      </c>
      <c r="Y579" s="4" t="n">
        <f aca="false">YEAR(B579)</f>
        <v>2025</v>
      </c>
      <c r="Z579" s="0" t="str">
        <f aca="false">PROPER(TRIM(AU579))</f>
        <v>Paid</v>
      </c>
      <c r="AA579" s="0" t="str">
        <f aca="false">PROPER(TRIM(AV579))</f>
        <v>Completed</v>
      </c>
      <c r="AB579" s="0" t="str">
        <f aca="false">IF(TRIM(AN579)="","Yes","No")</f>
        <v>No</v>
      </c>
      <c r="AC579" s="0" t="str">
        <f aca="false">IF(TRIM(AS579)="","Yes","No")</f>
        <v>No</v>
      </c>
      <c r="AD579" s="0" t="str">
        <f aca="false">IF(AT579="","Yes","No")</f>
        <v>No</v>
      </c>
      <c r="AE579" s="0" t="str">
        <f aca="false">IF(W579&lt;0,"Yes","No")</f>
        <v>No</v>
      </c>
      <c r="AF579" s="0" t="str">
        <f aca="false">IF(P579="","No",IF(OR(P579&lt;0,P579&gt;0.3),"Yes","No"))</f>
        <v>No</v>
      </c>
      <c r="AG579" s="4" t="s">
        <v>50</v>
      </c>
      <c r="AH579" s="0" t="str">
        <f aca="false">IF(AND(AA579="Completed",Z579="Paid"),"Yes","No")</f>
        <v>Yes</v>
      </c>
      <c r="AI579" s="0" t="str">
        <f aca="false">IF(OR(AE579="Yes",AF579="Yes",AG579="Yes"),"Invalid",IF(OR(AB579="Yes",AC579="Yes",AD579="Yes"),"Warning","Clean"))</f>
        <v>Clean</v>
      </c>
      <c r="AJ579" s="4" t="s">
        <v>403</v>
      </c>
      <c r="AK579" s="4" t="s">
        <v>2247</v>
      </c>
      <c r="AL579" s="4" t="s">
        <v>158</v>
      </c>
      <c r="AM579" s="4" t="s">
        <v>128</v>
      </c>
      <c r="AN579" s="4" t="s">
        <v>97</v>
      </c>
      <c r="AO579" s="4" t="s">
        <v>107</v>
      </c>
      <c r="AP579" s="4" t="s">
        <v>108</v>
      </c>
      <c r="AQ579" s="4" t="s">
        <v>72</v>
      </c>
      <c r="AR579" s="4" t="s">
        <v>90</v>
      </c>
      <c r="AS579" s="4" t="s">
        <v>91</v>
      </c>
      <c r="AT579" s="0" t="n">
        <v>0</v>
      </c>
      <c r="AU579" s="4" t="s">
        <v>61</v>
      </c>
      <c r="AV579" s="4" t="s">
        <v>62</v>
      </c>
    </row>
    <row r="580" customFormat="false" ht="15" hidden="false" customHeight="false" outlineLevel="0" collapsed="false">
      <c r="A580" s="0" t="s">
        <v>2248</v>
      </c>
      <c r="B580" s="3" t="n">
        <f aca="false">IF(AJ580="","",IF(ISNUMBER(SEARCH("/",AJ580)),DATE(VALUE(RIGHT(AJ580,4)),VALUE(LEFT(AJ580,2)),VALUE(MID(AJ580,4,2))),IF(ISNUMBER(SEARCH("-",AJ580)),IF(LEN(LEFT(AJ580,FIND("-",AJ580)-1))=4,DATE(VALUE(LEFT(AJ580,4)),VALUE(MID(AJ580,6,2)),VALUE(RIGHT(AJ580,2))),DATE(VALUE(RIGHT(AJ580,4)),VALUE(MID(AJ580,4,2)),VALUE(LEFT(AJ580,2)))),DATE(VALUE(RIGHT(AJ580,4)),MATCH(MID(AJ580,4,3),{"Jan","Feb","Mar","Apr","May","Jun","Jul","Aug","Sep","Oct","Nov","Dec"},0),VALUE(LEFT(AJ580,2))))))</f>
        <v>45343</v>
      </c>
      <c r="C580" s="3" t="n">
        <f aca="false">IF(AK580="","",IF(ISNUMBER(SEARCH("/",AK580)),DATE(VALUE(RIGHT(AK580,4)),VALUE(LEFT(AK580,2)),VALUE(MID(AK580,4,2))),IF(ISNUMBER(SEARCH("-",AK580)),IF(LEN(LEFT(AK580,FIND("-",AK580)-1))=4,DATE(VALUE(LEFT(AK580,4)),VALUE(MID(AK580,6,2)),VALUE(RIGHT(AK580,2))),DATE(VALUE(RIGHT(AK580,4)),VALUE(MID(AK580,4,2)),VALUE(LEFT(AK580,2)))),DATE(VALUE(RIGHT(AK580,4)),MATCH(MID(AK580,4,3),{"Jan","Feb","Mar","Apr","May","Jun","Jul","Aug","Sep","Oct","Nov","Dec"},0),VALUE(LEFT(AK580,2))))))</f>
        <v>45345</v>
      </c>
      <c r="D580" s="4" t="s">
        <v>386</v>
      </c>
      <c r="E580" s="0" t="str">
        <f aca="false">PROPER(TRIM(AL580))</f>
        <v>Neha Gupta</v>
      </c>
      <c r="F580" s="0" t="str">
        <f aca="false">PROPER(TRIM(AM580))</f>
        <v>Small Business</v>
      </c>
      <c r="G580" s="0" t="str">
        <f aca="false">IF(TRIM(AN580)="","Unknown",PROPER(TRIM(AN580)))</f>
        <v>West</v>
      </c>
      <c r="H580" s="0" t="str">
        <f aca="false">PROPER(TRIM(AO580))</f>
        <v>Gujarat</v>
      </c>
      <c r="I580" s="0" t="str">
        <f aca="false">PROPER(TRIM(AP580))</f>
        <v>Ahmedabad</v>
      </c>
      <c r="J580" s="0" t="str">
        <f aca="false">PROPER(TRIM(AQ580))</f>
        <v>Technology</v>
      </c>
      <c r="K580" s="0" t="str">
        <f aca="false">PROPER(TRIM(AR580))</f>
        <v>Copiers</v>
      </c>
      <c r="M580" s="0" t="str">
        <f aca="false">IF(TRIM(AS580)="","Unknown",PROPER(TRIM(AS580)))</f>
        <v>First Class</v>
      </c>
      <c r="N580" s="0" t="n">
        <v>6</v>
      </c>
      <c r="O580" s="0" t="n">
        <v>2633.65</v>
      </c>
      <c r="P580" s="5" t="n">
        <f aca="false">IF(AT580="","",IF(ISNUMBER(AT580),AT580,VALUE(SUBSTITUTE(AT580,"%",""))/100))</f>
        <v>0.05</v>
      </c>
      <c r="Q580" s="5" t="n">
        <f aca="false">IF(P580="",IF(AND(N580&lt;&gt;"",O580&lt;&gt;"",R580&lt;&gt;"",S580&lt;&gt;""),0,"REVIEW"),IF(OR(P580&lt;0,P580&gt;0.3),0,P580))</f>
        <v>0.05</v>
      </c>
      <c r="R580" s="0" t="n">
        <v>15011.81</v>
      </c>
      <c r="S580" s="0" t="n">
        <v>9660.36</v>
      </c>
      <c r="T580" s="6" t="n">
        <f aca="false">N580*O580*(1-Q580)</f>
        <v>15011.805</v>
      </c>
      <c r="U580" s="6" t="n">
        <f aca="false">T580-S580</f>
        <v>5351.445</v>
      </c>
      <c r="V580" s="7" t="n">
        <f aca="false">IF(T580=0,0,U580/T580)</f>
        <v>0.356482448313178</v>
      </c>
      <c r="W580" s="4" t="n">
        <f aca="false">C580-B580</f>
        <v>2</v>
      </c>
      <c r="X580" s="0" t="str">
        <f aca="false">TEXT(B580,"mmmm")</f>
        <v>February</v>
      </c>
      <c r="Y580" s="4" t="n">
        <f aca="false">YEAR(B580)</f>
        <v>2024</v>
      </c>
      <c r="Z580" s="0" t="str">
        <f aca="false">PROPER(TRIM(AU580))</f>
        <v>Paid</v>
      </c>
      <c r="AA580" s="0" t="str">
        <f aca="false">PROPER(TRIM(AV580))</f>
        <v>Completed</v>
      </c>
      <c r="AB580" s="0" t="str">
        <f aca="false">IF(TRIM(AN580)="","Yes","No")</f>
        <v>No</v>
      </c>
      <c r="AC580" s="0" t="str">
        <f aca="false">IF(TRIM(AS580)="","Yes","No")</f>
        <v>No</v>
      </c>
      <c r="AD580" s="0" t="str">
        <f aca="false">IF(AT580="","Yes","No")</f>
        <v>No</v>
      </c>
      <c r="AE580" s="0" t="str">
        <f aca="false">IF(W580&lt;0,"Yes","No")</f>
        <v>No</v>
      </c>
      <c r="AF580" s="0" t="str">
        <f aca="false">IF(P580="","No",IF(OR(P580&lt;0,P580&gt;0.3),"Yes","No"))</f>
        <v>No</v>
      </c>
      <c r="AG580" s="4" t="s">
        <v>50</v>
      </c>
      <c r="AH580" s="0" t="str">
        <f aca="false">IF(AND(AA580="Completed",Z580="Paid"),"Yes","No")</f>
        <v>Yes</v>
      </c>
      <c r="AI580" s="0" t="str">
        <f aca="false">IF(OR(AE580="Yes",AF580="Yes",AG580="Yes"),"Invalid",IF(OR(AB580="Yes",AC580="Yes",AD580="Yes"),"Warning","Clean"))</f>
        <v>Clean</v>
      </c>
      <c r="AJ580" s="4" t="s">
        <v>2249</v>
      </c>
      <c r="AK580" s="4" t="s">
        <v>2250</v>
      </c>
      <c r="AL580" s="4" t="s">
        <v>115</v>
      </c>
      <c r="AM580" s="4" t="s">
        <v>68</v>
      </c>
      <c r="AN580" s="4" t="s">
        <v>97</v>
      </c>
      <c r="AO580" s="4" t="s">
        <v>238</v>
      </c>
      <c r="AP580" s="4" t="s">
        <v>239</v>
      </c>
      <c r="AQ580" s="4" t="s">
        <v>109</v>
      </c>
      <c r="AR580" s="4" t="s">
        <v>116</v>
      </c>
      <c r="AS580" s="4" t="s">
        <v>81</v>
      </c>
      <c r="AT580" s="0" t="n">
        <v>0.05</v>
      </c>
      <c r="AU580" s="4" t="s">
        <v>61</v>
      </c>
      <c r="AV580" s="4" t="s">
        <v>62</v>
      </c>
    </row>
    <row r="581" customFormat="false" ht="15" hidden="false" customHeight="false" outlineLevel="0" collapsed="false">
      <c r="A581" s="0" t="s">
        <v>2251</v>
      </c>
      <c r="B581" s="3" t="n">
        <f aca="false">IF(AJ581="","",IF(ISNUMBER(SEARCH("/",AJ581)),DATE(VALUE(RIGHT(AJ581,4)),VALUE(LEFT(AJ581,2)),VALUE(MID(AJ581,4,2))),IF(ISNUMBER(SEARCH("-",AJ581)),IF(LEN(LEFT(AJ581,FIND("-",AJ581)-1))=4,DATE(VALUE(LEFT(AJ581,4)),VALUE(MID(AJ581,6,2)),VALUE(RIGHT(AJ581,2))),DATE(VALUE(RIGHT(AJ581,4)),VALUE(MID(AJ581,4,2)),VALUE(LEFT(AJ581,2)))),DATE(VALUE(RIGHT(AJ581,4)),MATCH(MID(AJ581,4,3),{"Jan","Feb","Mar","Apr","May","Jun","Jul","Aug","Sep","Oct","Nov","Dec"},0),VALUE(LEFT(AJ581,2))))))</f>
        <v>45462</v>
      </c>
      <c r="C581" s="3" t="n">
        <f aca="false">IF(AK581="","",IF(ISNUMBER(SEARCH("/",AK581)),DATE(VALUE(RIGHT(AK581,4)),VALUE(LEFT(AK581,2)),VALUE(MID(AK581,4,2))),IF(ISNUMBER(SEARCH("-",AK581)),IF(LEN(LEFT(AK581,FIND("-",AK581)-1))=4,DATE(VALUE(LEFT(AK581,4)),VALUE(MID(AK581,6,2)),VALUE(RIGHT(AK581,2))),DATE(VALUE(RIGHT(AK581,4)),VALUE(MID(AK581,4,2)),VALUE(LEFT(AK581,2)))),DATE(VALUE(RIGHT(AK581,4)),MATCH(MID(AK581,4,3),{"Jan","Feb","Mar","Apr","May","Jun","Jul","Aug","Sep","Oct","Nov","Dec"},0),VALUE(LEFT(AK581,2))))))</f>
        <v>45467</v>
      </c>
      <c r="D581" s="4" t="s">
        <v>2252</v>
      </c>
      <c r="E581" s="0" t="str">
        <f aca="false">PROPER(TRIM(AL581))</f>
        <v>Aarav Sharma</v>
      </c>
      <c r="F581" s="0" t="str">
        <f aca="false">PROPER(TRIM(AM581))</f>
        <v>Small Business</v>
      </c>
      <c r="G581" s="0" t="str">
        <f aca="false">IF(TRIM(AN581)="","Unknown",PROPER(TRIM(AN581)))</f>
        <v>South</v>
      </c>
      <c r="H581" s="0" t="str">
        <f aca="false">PROPER(TRIM(AO581))</f>
        <v>Tamil Nadu</v>
      </c>
      <c r="I581" s="0" t="str">
        <f aca="false">PROPER(TRIM(AP581))</f>
        <v>Chennai</v>
      </c>
      <c r="J581" s="0" t="str">
        <f aca="false">PROPER(TRIM(AQ581))</f>
        <v>Office Supplies</v>
      </c>
      <c r="K581" s="0" t="str">
        <f aca="false">PROPER(TRIM(AR581))</f>
        <v>Storage</v>
      </c>
      <c r="M581" s="0" t="str">
        <f aca="false">IF(TRIM(AS581)="","Unknown",PROPER(TRIM(AS581)))</f>
        <v>Same Day</v>
      </c>
      <c r="N581" s="0" t="n">
        <v>1</v>
      </c>
      <c r="O581" s="0" t="n">
        <v>3202.41</v>
      </c>
      <c r="P581" s="5" t="n">
        <f aca="false">IF(AT581="","",IF(ISNUMBER(AT581),AT581,VALUE(SUBSTITUTE(AT581,"%",""))/100))</f>
        <v>0</v>
      </c>
      <c r="Q581" s="5" t="n">
        <f aca="false">IF(P581="",IF(AND(N581&lt;&gt;"",O581&lt;&gt;"",R581&lt;&gt;"",S581&lt;&gt;""),0,"REVIEW"),IF(OR(P581&lt;0,P581&gt;0.3),0,P581))</f>
        <v>0</v>
      </c>
      <c r="R581" s="0" t="n">
        <v>3202.41</v>
      </c>
      <c r="S581" s="0" t="n">
        <v>2608.44</v>
      </c>
      <c r="T581" s="6" t="n">
        <f aca="false">N581*O581*(1-Q581)</f>
        <v>3202.41</v>
      </c>
      <c r="U581" s="6" t="n">
        <f aca="false">T581-S581</f>
        <v>593.97</v>
      </c>
      <c r="V581" s="7" t="n">
        <f aca="false">IF(T581=0,0,U581/T581)</f>
        <v>0.185475938433867</v>
      </c>
      <c r="W581" s="4" t="n">
        <f aca="false">C581-B581</f>
        <v>5</v>
      </c>
      <c r="X581" s="0" t="str">
        <f aca="false">TEXT(B581,"mmmm")</f>
        <v>June</v>
      </c>
      <c r="Y581" s="4" t="n">
        <f aca="false">YEAR(B581)</f>
        <v>2024</v>
      </c>
      <c r="Z581" s="0" t="str">
        <f aca="false">PROPER(TRIM(AU581))</f>
        <v>Paid</v>
      </c>
      <c r="AA581" s="0" t="str">
        <f aca="false">PROPER(TRIM(AV581))</f>
        <v>Completed</v>
      </c>
      <c r="AB581" s="0" t="str">
        <f aca="false">IF(TRIM(AN581)="","Yes","No")</f>
        <v>No</v>
      </c>
      <c r="AC581" s="0" t="str">
        <f aca="false">IF(TRIM(AS581)="","Yes","No")</f>
        <v>No</v>
      </c>
      <c r="AD581" s="0" t="str">
        <f aca="false">IF(AT581="","Yes","No")</f>
        <v>No</v>
      </c>
      <c r="AE581" s="0" t="str">
        <f aca="false">IF(W581&lt;0,"Yes","No")</f>
        <v>No</v>
      </c>
      <c r="AF581" s="0" t="str">
        <f aca="false">IF(P581="","No",IF(OR(P581&lt;0,P581&gt;0.3),"Yes","No"))</f>
        <v>No</v>
      </c>
      <c r="AG581" s="4" t="s">
        <v>50</v>
      </c>
      <c r="AH581" s="0" t="str">
        <f aca="false">IF(AND(AA581="Completed",Z581="Paid"),"Yes","No")</f>
        <v>Yes</v>
      </c>
      <c r="AI581" s="0" t="str">
        <f aca="false">IF(OR(AE581="Yes",AF581="Yes",AG581="Yes"),"Invalid",IF(OR(AB581="Yes",AC581="Yes",AD581="Yes"),"Warning","Clean"))</f>
        <v>Clean</v>
      </c>
      <c r="AJ581" s="4" t="s">
        <v>2253</v>
      </c>
      <c r="AK581" s="4" t="s">
        <v>2254</v>
      </c>
      <c r="AL581" s="4" t="s">
        <v>176</v>
      </c>
      <c r="AM581" s="4" t="s">
        <v>68</v>
      </c>
      <c r="AN581" s="4" t="s">
        <v>87</v>
      </c>
      <c r="AO581" s="4" t="s">
        <v>323</v>
      </c>
      <c r="AP581" s="4" t="s">
        <v>324</v>
      </c>
      <c r="AQ581" s="4" t="s">
        <v>58</v>
      </c>
      <c r="AR581" s="4" t="s">
        <v>171</v>
      </c>
      <c r="AS581" s="4" t="s">
        <v>74</v>
      </c>
      <c r="AT581" s="0" t="n">
        <v>0</v>
      </c>
      <c r="AU581" s="4" t="s">
        <v>61</v>
      </c>
      <c r="AV581" s="4" t="s">
        <v>62</v>
      </c>
    </row>
    <row r="582" customFormat="false" ht="15" hidden="false" customHeight="false" outlineLevel="0" collapsed="false">
      <c r="A582" s="0" t="s">
        <v>2255</v>
      </c>
      <c r="B582" s="3" t="n">
        <f aca="false">IF(AJ582="","",IF(ISNUMBER(SEARCH("/",AJ582)),DATE(VALUE(RIGHT(AJ582,4)),VALUE(LEFT(AJ582,2)),VALUE(MID(AJ582,4,2))),IF(ISNUMBER(SEARCH("-",AJ582)),IF(LEN(LEFT(AJ582,FIND("-",AJ582)-1))=4,DATE(VALUE(LEFT(AJ582,4)),VALUE(MID(AJ582,6,2)),VALUE(RIGHT(AJ582,2))),DATE(VALUE(RIGHT(AJ582,4)),VALUE(MID(AJ582,4,2)),VALUE(LEFT(AJ582,2)))),DATE(VALUE(RIGHT(AJ582,4)),MATCH(MID(AJ582,4,3),{"Jan","Feb","Mar","Apr","May","Jun","Jul","Aug","Sep","Oct","Nov","Dec"},0),VALUE(LEFT(AJ582,2))))))</f>
        <v>45722</v>
      </c>
      <c r="C582" s="3" t="n">
        <f aca="false">IF(AK582="","",IF(ISNUMBER(SEARCH("/",AK582)),DATE(VALUE(RIGHT(AK582,4)),VALUE(LEFT(AK582,2)),VALUE(MID(AK582,4,2))),IF(ISNUMBER(SEARCH("-",AK582)),IF(LEN(LEFT(AK582,FIND("-",AK582)-1))=4,DATE(VALUE(LEFT(AK582,4)),VALUE(MID(AK582,6,2)),VALUE(RIGHT(AK582,2))),DATE(VALUE(RIGHT(AK582,4)),VALUE(MID(AK582,4,2)),VALUE(LEFT(AK582,2)))),DATE(VALUE(RIGHT(AK582,4)),MATCH(MID(AK582,4,3),{"Jan","Feb","Mar","Apr","May","Jun","Jul","Aug","Sep","Oct","Nov","Dec"},0),VALUE(LEFT(AK582,2))))))</f>
        <v>45729</v>
      </c>
      <c r="D582" s="4" t="s">
        <v>2256</v>
      </c>
      <c r="E582" s="0" t="str">
        <f aca="false">PROPER(TRIM(AL582))</f>
        <v>Kabir Singh</v>
      </c>
      <c r="F582" s="0" t="str">
        <f aca="false">PROPER(TRIM(AM582))</f>
        <v>Consumer</v>
      </c>
      <c r="G582" s="0" t="str">
        <f aca="false">IF(TRIM(AN582)="","Unknown",PROPER(TRIM(AN582)))</f>
        <v>South</v>
      </c>
      <c r="H582" s="0" t="str">
        <f aca="false">PROPER(TRIM(AO582))</f>
        <v>Kerala</v>
      </c>
      <c r="I582" s="0" t="str">
        <f aca="false">PROPER(TRIM(AP582))</f>
        <v>Kochi</v>
      </c>
      <c r="J582" s="0" t="str">
        <f aca="false">PROPER(TRIM(AQ582))</f>
        <v>Furniture</v>
      </c>
      <c r="K582" s="0" t="str">
        <f aca="false">PROPER(TRIM(AR582))</f>
        <v>Chairs</v>
      </c>
      <c r="M582" s="0" t="str">
        <f aca="false">IF(TRIM(AS582)="","Unknown",PROPER(TRIM(AS582)))</f>
        <v>Standard Class</v>
      </c>
      <c r="N582" s="0" t="n">
        <v>3</v>
      </c>
      <c r="O582" s="0" t="n">
        <v>163.72</v>
      </c>
      <c r="P582" s="5" t="n">
        <f aca="false">IF(AT582="","",IF(ISNUMBER(AT582),AT582,VALUE(SUBSTITUTE(AT582,"%",""))/100))</f>
        <v>0.15</v>
      </c>
      <c r="Q582" s="5" t="n">
        <f aca="false">IF(P582="",IF(AND(N582&lt;&gt;"",O582&lt;&gt;"",R582&lt;&gt;"",S582&lt;&gt;""),0,"REVIEW"),IF(OR(P582&lt;0,P582&gt;0.3),0,P582))</f>
        <v>0.15</v>
      </c>
      <c r="R582" s="0" t="n">
        <v>417.49</v>
      </c>
      <c r="S582" s="0" t="n">
        <v>261.67</v>
      </c>
      <c r="T582" s="6" t="n">
        <f aca="false">N582*O582*(1-Q582)</f>
        <v>417.486</v>
      </c>
      <c r="U582" s="6" t="n">
        <f aca="false">T582-S582</f>
        <v>155.816</v>
      </c>
      <c r="V582" s="7" t="n">
        <f aca="false">IF(T582=0,0,U582/T582)</f>
        <v>0.373224491360189</v>
      </c>
      <c r="W582" s="4" t="n">
        <f aca="false">C582-B582</f>
        <v>7</v>
      </c>
      <c r="X582" s="0" t="str">
        <f aca="false">TEXT(B582,"mmmm")</f>
        <v>March</v>
      </c>
      <c r="Y582" s="4" t="n">
        <f aca="false">YEAR(B582)</f>
        <v>2025</v>
      </c>
      <c r="Z582" s="0" t="str">
        <f aca="false">PROPER(TRIM(AU582))</f>
        <v>Failed</v>
      </c>
      <c r="AA582" s="0" t="str">
        <f aca="false">PROPER(TRIM(AV582))</f>
        <v>Returned</v>
      </c>
      <c r="AB582" s="0" t="str">
        <f aca="false">IF(TRIM(AN582)="","Yes","No")</f>
        <v>No</v>
      </c>
      <c r="AC582" s="0" t="str">
        <f aca="false">IF(TRIM(AS582)="","Yes","No")</f>
        <v>No</v>
      </c>
      <c r="AD582" s="0" t="str">
        <f aca="false">IF(AT582="","Yes","No")</f>
        <v>No</v>
      </c>
      <c r="AE582" s="0" t="str">
        <f aca="false">IF(W582&lt;0,"Yes","No")</f>
        <v>No</v>
      </c>
      <c r="AF582" s="0" t="str">
        <f aca="false">IF(P582="","No",IF(OR(P582&lt;0,P582&gt;0.3),"Yes","No"))</f>
        <v>No</v>
      </c>
      <c r="AG582" s="4" t="s">
        <v>50</v>
      </c>
      <c r="AH582" s="0" t="str">
        <f aca="false">IF(AND(AA582="Completed",Z582="Paid"),"Yes","No")</f>
        <v>No</v>
      </c>
      <c r="AI582" s="0" t="str">
        <f aca="false">IF(OR(AE582="Yes",AF582="Yes",AG582="Yes"),"Invalid",IF(OR(AB582="Yes",AC582="Yes",AD582="Yes"),"Warning","Clean"))</f>
        <v>Clean</v>
      </c>
      <c r="AJ582" s="4" t="s">
        <v>2257</v>
      </c>
      <c r="AK582" s="4" t="s">
        <v>1224</v>
      </c>
      <c r="AL582" s="4" t="s">
        <v>347</v>
      </c>
      <c r="AM582" s="4" t="s">
        <v>54</v>
      </c>
      <c r="AN582" s="4" t="s">
        <v>87</v>
      </c>
      <c r="AO582" s="4" t="s">
        <v>244</v>
      </c>
      <c r="AP582" s="4" t="s">
        <v>245</v>
      </c>
      <c r="AQ582" s="4" t="s">
        <v>72</v>
      </c>
      <c r="AR582" s="4" t="s">
        <v>100</v>
      </c>
      <c r="AS582" s="4" t="s">
        <v>91</v>
      </c>
      <c r="AT582" s="0" t="n">
        <v>0.15</v>
      </c>
      <c r="AU582" s="4" t="s">
        <v>207</v>
      </c>
      <c r="AV582" s="4" t="s">
        <v>142</v>
      </c>
    </row>
    <row r="583" customFormat="false" ht="15" hidden="false" customHeight="false" outlineLevel="0" collapsed="false">
      <c r="A583" s="0" t="s">
        <v>2258</v>
      </c>
      <c r="B583" s="3" t="n">
        <f aca="false">IF(AJ583="","",IF(ISNUMBER(SEARCH("/",AJ583)),DATE(VALUE(RIGHT(AJ583,4)),VALUE(LEFT(AJ583,2)),VALUE(MID(AJ583,4,2))),IF(ISNUMBER(SEARCH("-",AJ583)),IF(LEN(LEFT(AJ583,FIND("-",AJ583)-1))=4,DATE(VALUE(LEFT(AJ583,4)),VALUE(MID(AJ583,6,2)),VALUE(RIGHT(AJ583,2))),DATE(VALUE(RIGHT(AJ583,4)),VALUE(MID(AJ583,4,2)),VALUE(LEFT(AJ583,2)))),DATE(VALUE(RIGHT(AJ583,4)),MATCH(MID(AJ583,4,3),{"Jan","Feb","Mar","Apr","May","Jun","Jul","Aug","Sep","Oct","Nov","Dec"},0),VALUE(LEFT(AJ583,2))))))</f>
        <v>45878</v>
      </c>
      <c r="C583" s="3" t="n">
        <f aca="false">IF(AK583="","",IF(ISNUMBER(SEARCH("/",AK583)),DATE(VALUE(RIGHT(AK583,4)),VALUE(LEFT(AK583,2)),VALUE(MID(AK583,4,2))),IF(ISNUMBER(SEARCH("-",AK583)),IF(LEN(LEFT(AK583,FIND("-",AK583)-1))=4,DATE(VALUE(LEFT(AK583,4)),VALUE(MID(AK583,6,2)),VALUE(RIGHT(AK583,2))),DATE(VALUE(RIGHT(AK583,4)),VALUE(MID(AK583,4,2)),VALUE(LEFT(AK583,2)))),DATE(VALUE(RIGHT(AK583,4)),MATCH(MID(AK583,4,3),{"Jan","Feb","Mar","Apr","May","Jun","Jul","Aug","Sep","Oct","Nov","Dec"},0),VALUE(LEFT(AK583,2))))))</f>
        <v>45879</v>
      </c>
      <c r="D583" s="4" t="s">
        <v>2259</v>
      </c>
      <c r="E583" s="0" t="str">
        <f aca="false">PROPER(TRIM(AL583))</f>
        <v>Neha Gupta</v>
      </c>
      <c r="F583" s="0" t="str">
        <f aca="false">PROPER(TRIM(AM583))</f>
        <v>Consumer</v>
      </c>
      <c r="G583" s="0" t="str">
        <f aca="false">IF(TRIM(AN583)="","Unknown",PROPER(TRIM(AN583)))</f>
        <v>North</v>
      </c>
      <c r="H583" s="0" t="str">
        <f aca="false">PROPER(TRIM(AO583))</f>
        <v>Delhi</v>
      </c>
      <c r="I583" s="0" t="str">
        <f aca="false">PROPER(TRIM(AP583))</f>
        <v>New Delhi</v>
      </c>
      <c r="J583" s="0" t="str">
        <f aca="false">PROPER(TRIM(AQ583))</f>
        <v>Office Supplies</v>
      </c>
      <c r="K583" s="0" t="str">
        <f aca="false">PROPER(TRIM(AR583))</f>
        <v>Art</v>
      </c>
      <c r="M583" s="0" t="str">
        <f aca="false">IF(TRIM(AS583)="","Unknown",PROPER(TRIM(AS583)))</f>
        <v>Second Class</v>
      </c>
      <c r="N583" s="0" t="n">
        <v>4</v>
      </c>
      <c r="O583" s="0" t="n">
        <v>4080.95</v>
      </c>
      <c r="P583" s="5" t="n">
        <f aca="false">IF(AT583="","",IF(ISNUMBER(AT583),AT583,VALUE(SUBSTITUTE(AT583,"%",""))/100))</f>
        <v>0</v>
      </c>
      <c r="Q583" s="5" t="n">
        <f aca="false">IF(P583="",IF(AND(N583&lt;&gt;"",O583&lt;&gt;"",R583&lt;&gt;"",S583&lt;&gt;""),0,"REVIEW"),IF(OR(P583&lt;0,P583&gt;0.3),0,P583))</f>
        <v>0</v>
      </c>
      <c r="R583" s="0" t="n">
        <v>16323.8</v>
      </c>
      <c r="S583" s="0" t="n">
        <v>9965.79</v>
      </c>
      <c r="T583" s="6" t="n">
        <f aca="false">N583*O583*(1-Q583)</f>
        <v>16323.8</v>
      </c>
      <c r="U583" s="6" t="n">
        <f aca="false">T583-S583</f>
        <v>6358.01</v>
      </c>
      <c r="V583" s="7" t="n">
        <f aca="false">IF(T583=0,0,U583/T583)</f>
        <v>0.38949325524694</v>
      </c>
      <c r="W583" s="4" t="n">
        <f aca="false">C583-B583</f>
        <v>1</v>
      </c>
      <c r="X583" s="0" t="str">
        <f aca="false">TEXT(B583,"mmmm")</f>
        <v>August</v>
      </c>
      <c r="Y583" s="4" t="n">
        <f aca="false">YEAR(B583)</f>
        <v>2025</v>
      </c>
      <c r="Z583" s="0" t="str">
        <f aca="false">PROPER(TRIM(AU583))</f>
        <v>Refunded</v>
      </c>
      <c r="AA583" s="0" t="str">
        <f aca="false">PROPER(TRIM(AV583))</f>
        <v>Returned</v>
      </c>
      <c r="AB583" s="0" t="str">
        <f aca="false">IF(TRIM(AN583)="","Yes","No")</f>
        <v>No</v>
      </c>
      <c r="AC583" s="0" t="str">
        <f aca="false">IF(TRIM(AS583)="","Yes","No")</f>
        <v>No</v>
      </c>
      <c r="AD583" s="0" t="str">
        <f aca="false">IF(AT583="","Yes","No")</f>
        <v>No</v>
      </c>
      <c r="AE583" s="0" t="str">
        <f aca="false">IF(W583&lt;0,"Yes","No")</f>
        <v>No</v>
      </c>
      <c r="AF583" s="0" t="str">
        <f aca="false">IF(P583="","No",IF(OR(P583&lt;0,P583&gt;0.3),"Yes","No"))</f>
        <v>No</v>
      </c>
      <c r="AG583" s="4" t="s">
        <v>50</v>
      </c>
      <c r="AH583" s="0" t="str">
        <f aca="false">IF(AND(AA583="Completed",Z583="Paid"),"Yes","No")</f>
        <v>No</v>
      </c>
      <c r="AI583" s="0" t="str">
        <f aca="false">IF(OR(AE583="Yes",AF583="Yes",AG583="Yes"),"Invalid",IF(OR(AB583="Yes",AC583="Yes",AD583="Yes"),"Warning","Clean"))</f>
        <v>Clean</v>
      </c>
      <c r="AJ583" s="4" t="s">
        <v>1132</v>
      </c>
      <c r="AK583" s="4" t="s">
        <v>2260</v>
      </c>
      <c r="AL583" s="4" t="s">
        <v>115</v>
      </c>
      <c r="AM583" s="4" t="s">
        <v>54</v>
      </c>
      <c r="AN583" s="4" t="s">
        <v>168</v>
      </c>
      <c r="AO583" s="4" t="s">
        <v>461</v>
      </c>
      <c r="AP583" s="4" t="s">
        <v>462</v>
      </c>
      <c r="AQ583" s="4" t="s">
        <v>58</v>
      </c>
      <c r="AR583" s="4" t="s">
        <v>80</v>
      </c>
      <c r="AS583" s="4" t="s">
        <v>60</v>
      </c>
      <c r="AT583" s="0" t="n">
        <v>0</v>
      </c>
      <c r="AU583" s="4" t="s">
        <v>141</v>
      </c>
      <c r="AV583" s="4" t="s">
        <v>142</v>
      </c>
    </row>
    <row r="584" customFormat="false" ht="15" hidden="false" customHeight="false" outlineLevel="0" collapsed="false">
      <c r="A584" s="0" t="s">
        <v>2261</v>
      </c>
      <c r="B584" s="3" t="n">
        <f aca="false">IF(AJ584="","",IF(ISNUMBER(SEARCH("/",AJ584)),DATE(VALUE(RIGHT(AJ584,4)),VALUE(LEFT(AJ584,2)),VALUE(MID(AJ584,4,2))),IF(ISNUMBER(SEARCH("-",AJ584)),IF(LEN(LEFT(AJ584,FIND("-",AJ584)-1))=4,DATE(VALUE(LEFT(AJ584,4)),VALUE(MID(AJ584,6,2)),VALUE(RIGHT(AJ584,2))),DATE(VALUE(RIGHT(AJ584,4)),VALUE(MID(AJ584,4,2)),VALUE(LEFT(AJ584,2)))),DATE(VALUE(RIGHT(AJ584,4)),MATCH(MID(AJ584,4,3),{"Jan","Feb","Mar","Apr","May","Jun","Jul","Aug","Sep","Oct","Nov","Dec"},0),VALUE(LEFT(AJ584,2))))))</f>
        <v>45580</v>
      </c>
      <c r="C584" s="3" t="n">
        <f aca="false">IF(AK584="","",IF(ISNUMBER(SEARCH("/",AK584)),DATE(VALUE(RIGHT(AK584,4)),VALUE(LEFT(AK584,2)),VALUE(MID(AK584,4,2))),IF(ISNUMBER(SEARCH("-",AK584)),IF(LEN(LEFT(AK584,FIND("-",AK584)-1))=4,DATE(VALUE(LEFT(AK584,4)),VALUE(MID(AK584,6,2)),VALUE(RIGHT(AK584,2))),DATE(VALUE(RIGHT(AK584,4)),VALUE(MID(AK584,4,2)),VALUE(LEFT(AK584,2)))),DATE(VALUE(RIGHT(AK584,4)),MATCH(MID(AK584,4,3),{"Jan","Feb","Mar","Apr","May","Jun","Jul","Aug","Sep","Oct","Nov","Dec"},0),VALUE(LEFT(AK584,2))))))</f>
        <v>45585</v>
      </c>
      <c r="D584" s="4" t="s">
        <v>2262</v>
      </c>
      <c r="E584" s="0" t="str">
        <f aca="false">PROPER(TRIM(AL584))</f>
        <v>Ananya Rao</v>
      </c>
      <c r="F584" s="0" t="str">
        <f aca="false">PROPER(TRIM(AM584))</f>
        <v>Consumer</v>
      </c>
      <c r="G584" s="0" t="str">
        <f aca="false">IF(TRIM(AN584)="","Unknown",PROPER(TRIM(AN584)))</f>
        <v>East</v>
      </c>
      <c r="H584" s="0" t="str">
        <f aca="false">PROPER(TRIM(AO584))</f>
        <v>Odisha</v>
      </c>
      <c r="I584" s="0" t="str">
        <f aca="false">PROPER(TRIM(AP584))</f>
        <v>Bhubaneswar</v>
      </c>
      <c r="J584" s="0" t="str">
        <f aca="false">PROPER(TRIM(AQ584))</f>
        <v>Office Supplies</v>
      </c>
      <c r="K584" s="0" t="str">
        <f aca="false">PROPER(TRIM(AR584))</f>
        <v>Art</v>
      </c>
      <c r="M584" s="0" t="str">
        <f aca="false">IF(TRIM(AS584)="","Unknown",PROPER(TRIM(AS584)))</f>
        <v>First Class</v>
      </c>
      <c r="N584" s="0" t="n">
        <v>5</v>
      </c>
      <c r="O584" s="0" t="n">
        <v>671.24</v>
      </c>
      <c r="P584" s="5" t="n">
        <f aca="false">IF(AT584="","",IF(ISNUMBER(AT584),AT584,VALUE(SUBSTITUTE(AT584,"%",""))/100))</f>
        <v>0</v>
      </c>
      <c r="Q584" s="5" t="n">
        <f aca="false">IF(P584="",IF(AND(N584&lt;&gt;"",O584&lt;&gt;"",R584&lt;&gt;"",S584&lt;&gt;""),0,"REVIEW"),IF(OR(P584&lt;0,P584&gt;0.3),0,P584))</f>
        <v>0</v>
      </c>
      <c r="R584" s="0" t="n">
        <v>3356.2</v>
      </c>
      <c r="S584" s="0" t="n">
        <v>2205.72</v>
      </c>
      <c r="T584" s="6" t="n">
        <f aca="false">N584*O584*(1-Q584)</f>
        <v>3356.2</v>
      </c>
      <c r="U584" s="6" t="n">
        <f aca="false">T584-S584</f>
        <v>1150.48</v>
      </c>
      <c r="V584" s="7" t="n">
        <f aca="false">IF(T584=0,0,U584/T584)</f>
        <v>0.34279244383529</v>
      </c>
      <c r="W584" s="4" t="n">
        <f aca="false">C584-B584</f>
        <v>5</v>
      </c>
      <c r="X584" s="0" t="str">
        <f aca="false">TEXT(B584,"mmmm")</f>
        <v>October</v>
      </c>
      <c r="Y584" s="4" t="n">
        <f aca="false">YEAR(B584)</f>
        <v>2024</v>
      </c>
      <c r="Z584" s="0" t="str">
        <f aca="false">PROPER(TRIM(AU584))</f>
        <v>Pending</v>
      </c>
      <c r="AA584" s="0" t="str">
        <f aca="false">PROPER(TRIM(AV584))</f>
        <v>Returned</v>
      </c>
      <c r="AB584" s="0" t="str">
        <f aca="false">IF(TRIM(AN584)="","Yes","No")</f>
        <v>No</v>
      </c>
      <c r="AC584" s="0" t="str">
        <f aca="false">IF(TRIM(AS584)="","Yes","No")</f>
        <v>No</v>
      </c>
      <c r="AD584" s="0" t="str">
        <f aca="false">IF(AT584="","Yes","No")</f>
        <v>No</v>
      </c>
      <c r="AE584" s="0" t="str">
        <f aca="false">IF(W584&lt;0,"Yes","No")</f>
        <v>No</v>
      </c>
      <c r="AF584" s="0" t="str">
        <f aca="false">IF(P584="","No",IF(OR(P584&lt;0,P584&gt;0.3),"Yes","No"))</f>
        <v>No</v>
      </c>
      <c r="AG584" s="4" t="s">
        <v>50</v>
      </c>
      <c r="AH584" s="0" t="str">
        <f aca="false">IF(AND(AA584="Completed",Z584="Paid"),"Yes","No")</f>
        <v>No</v>
      </c>
      <c r="AI584" s="0" t="str">
        <f aca="false">IF(OR(AE584="Yes",AF584="Yes",AG584="Yes"),"Invalid",IF(OR(AB584="Yes",AC584="Yes",AD584="Yes"),"Warning","Clean"))</f>
        <v>Clean</v>
      </c>
      <c r="AJ584" s="4" t="s">
        <v>2263</v>
      </c>
      <c r="AK584" s="4" t="s">
        <v>2264</v>
      </c>
      <c r="AL584" s="4" t="s">
        <v>96</v>
      </c>
      <c r="AM584" s="4" t="s">
        <v>54</v>
      </c>
      <c r="AN584" s="4" t="s">
        <v>69</v>
      </c>
      <c r="AO584" s="4" t="s">
        <v>70</v>
      </c>
      <c r="AP584" s="4" t="s">
        <v>71</v>
      </c>
      <c r="AQ584" s="4" t="s">
        <v>58</v>
      </c>
      <c r="AR584" s="4" t="s">
        <v>80</v>
      </c>
      <c r="AS584" s="4" t="s">
        <v>81</v>
      </c>
      <c r="AT584" s="0" t="n">
        <v>0</v>
      </c>
      <c r="AU584" s="4" t="s">
        <v>153</v>
      </c>
      <c r="AV584" s="4" t="s">
        <v>142</v>
      </c>
    </row>
    <row r="585" customFormat="false" ht="15" hidden="false" customHeight="false" outlineLevel="0" collapsed="false">
      <c r="A585" s="0" t="s">
        <v>2265</v>
      </c>
      <c r="B585" s="3" t="n">
        <f aca="false">IF(AJ585="","",IF(ISNUMBER(SEARCH("/",AJ585)),DATE(VALUE(RIGHT(AJ585,4)),VALUE(LEFT(AJ585,2)),VALUE(MID(AJ585,4,2))),IF(ISNUMBER(SEARCH("-",AJ585)),IF(LEN(LEFT(AJ585,FIND("-",AJ585)-1))=4,DATE(VALUE(LEFT(AJ585,4)),VALUE(MID(AJ585,6,2)),VALUE(RIGHT(AJ585,2))),DATE(VALUE(RIGHT(AJ585,4)),VALUE(MID(AJ585,4,2)),VALUE(LEFT(AJ585,2)))),DATE(VALUE(RIGHT(AJ585,4)),MATCH(MID(AJ585,4,3),{"Jan","Feb","Mar","Apr","May","Jun","Jul","Aug","Sep","Oct","Nov","Dec"},0),VALUE(LEFT(AJ585,2))))))</f>
        <v>45350</v>
      </c>
      <c r="C585" s="3" t="n">
        <f aca="false">IF(AK585="","",IF(ISNUMBER(SEARCH("/",AK585)),DATE(VALUE(RIGHT(AK585,4)),VALUE(LEFT(AK585,2)),VALUE(MID(AK585,4,2))),IF(ISNUMBER(SEARCH("-",AK585)),IF(LEN(LEFT(AK585,FIND("-",AK585)-1))=4,DATE(VALUE(LEFT(AK585,4)),VALUE(MID(AK585,6,2)),VALUE(RIGHT(AK585,2))),DATE(VALUE(RIGHT(AK585,4)),VALUE(MID(AK585,4,2)),VALUE(LEFT(AK585,2)))),DATE(VALUE(RIGHT(AK585,4)),MATCH(MID(AK585,4,3),{"Jan","Feb","Mar","Apr","May","Jun","Jul","Aug","Sep","Oct","Nov","Dec"},0),VALUE(LEFT(AK585,2))))))</f>
        <v>45350</v>
      </c>
      <c r="D585" s="4" t="s">
        <v>2266</v>
      </c>
      <c r="E585" s="0" t="str">
        <f aca="false">PROPER(TRIM(AL585))</f>
        <v>Rohan Mehta</v>
      </c>
      <c r="F585" s="0" t="str">
        <f aca="false">PROPER(TRIM(AM585))</f>
        <v>Small Business</v>
      </c>
      <c r="G585" s="0" t="str">
        <f aca="false">IF(TRIM(AN585)="","Unknown",PROPER(TRIM(AN585)))</f>
        <v>East</v>
      </c>
      <c r="H585" s="0" t="str">
        <f aca="false">PROPER(TRIM(AO585))</f>
        <v>West Bengal</v>
      </c>
      <c r="I585" s="0" t="str">
        <f aca="false">PROPER(TRIM(AP585))</f>
        <v>Kolkata</v>
      </c>
      <c r="J585" s="0" t="str">
        <f aca="false">PROPER(TRIM(AQ585))</f>
        <v>Office Supplies</v>
      </c>
      <c r="K585" s="0" t="str">
        <f aca="false">PROPER(TRIM(AR585))</f>
        <v>Storage</v>
      </c>
      <c r="M585" s="0" t="str">
        <f aca="false">IF(TRIM(AS585)="","Unknown",PROPER(TRIM(AS585)))</f>
        <v>First Class</v>
      </c>
      <c r="N585" s="0" t="n">
        <v>1</v>
      </c>
      <c r="O585" s="0" t="n">
        <v>2626.84</v>
      </c>
      <c r="P585" s="5" t="n">
        <f aca="false">IF(AT585="","",IF(ISNUMBER(AT585),AT585,VALUE(SUBSTITUTE(AT585,"%",""))/100))</f>
        <v>0.2</v>
      </c>
      <c r="Q585" s="5" t="n">
        <f aca="false">IF(P585="",IF(AND(N585&lt;&gt;"",O585&lt;&gt;"",R585&lt;&gt;"",S585&lt;&gt;""),0,"REVIEW"),IF(OR(P585&lt;0,P585&gt;0.3),0,P585))</f>
        <v>0.2</v>
      </c>
      <c r="R585" s="0" t="n">
        <v>2101.47</v>
      </c>
      <c r="S585" s="0" t="n">
        <v>1217.83</v>
      </c>
      <c r="T585" s="6" t="n">
        <f aca="false">N585*O585*(1-Q585)</f>
        <v>2101.472</v>
      </c>
      <c r="U585" s="6" t="n">
        <f aca="false">T585-S585</f>
        <v>883.642</v>
      </c>
      <c r="V585" s="7" t="n">
        <f aca="false">IF(T585=0,0,U585/T585)</f>
        <v>0.420487163283641</v>
      </c>
      <c r="W585" s="4" t="n">
        <f aca="false">C585-B585</f>
        <v>0</v>
      </c>
      <c r="X585" s="0" t="str">
        <f aca="false">TEXT(B585,"mmmm")</f>
        <v>February</v>
      </c>
      <c r="Y585" s="4" t="n">
        <f aca="false">YEAR(B585)</f>
        <v>2024</v>
      </c>
      <c r="Z585" s="0" t="str">
        <f aca="false">PROPER(TRIM(AU585))</f>
        <v>Failed</v>
      </c>
      <c r="AA585" s="0" t="str">
        <f aca="false">PROPER(TRIM(AV585))</f>
        <v>Returned</v>
      </c>
      <c r="AB585" s="0" t="str">
        <f aca="false">IF(TRIM(AN585)="","Yes","No")</f>
        <v>No</v>
      </c>
      <c r="AC585" s="0" t="str">
        <f aca="false">IF(TRIM(AS585)="","Yes","No")</f>
        <v>No</v>
      </c>
      <c r="AD585" s="0" t="str">
        <f aca="false">IF(AT585="","Yes","No")</f>
        <v>No</v>
      </c>
      <c r="AE585" s="0" t="str">
        <f aca="false">IF(W585&lt;0,"Yes","No")</f>
        <v>No</v>
      </c>
      <c r="AF585" s="0" t="str">
        <f aca="false">IF(P585="","No",IF(OR(P585&lt;0,P585&gt;0.3),"Yes","No"))</f>
        <v>No</v>
      </c>
      <c r="AG585" s="4" t="s">
        <v>50</v>
      </c>
      <c r="AH585" s="0" t="str">
        <f aca="false">IF(AND(AA585="Completed",Z585="Paid"),"Yes","No")</f>
        <v>No</v>
      </c>
      <c r="AI585" s="0" t="str">
        <f aca="false">IF(OR(AE585="Yes",AF585="Yes",AG585="Yes"),"Invalid",IF(OR(AB585="Yes",AC585="Yes",AD585="Yes"),"Warning","Clean"))</f>
        <v>Clean</v>
      </c>
      <c r="AJ585" s="4" t="s">
        <v>559</v>
      </c>
      <c r="AK585" s="4" t="s">
        <v>2267</v>
      </c>
      <c r="AL585" s="4" t="s">
        <v>191</v>
      </c>
      <c r="AM585" s="4" t="s">
        <v>68</v>
      </c>
      <c r="AN585" s="4" t="s">
        <v>69</v>
      </c>
      <c r="AO585" s="4" t="s">
        <v>139</v>
      </c>
      <c r="AP585" s="4" t="s">
        <v>140</v>
      </c>
      <c r="AQ585" s="4" t="s">
        <v>58</v>
      </c>
      <c r="AR585" s="4" t="s">
        <v>171</v>
      </c>
      <c r="AS585" s="4" t="s">
        <v>81</v>
      </c>
      <c r="AT585" s="0" t="n">
        <v>0.2</v>
      </c>
      <c r="AU585" s="4" t="s">
        <v>207</v>
      </c>
      <c r="AV585" s="4" t="s">
        <v>142</v>
      </c>
    </row>
    <row r="586" customFormat="false" ht="15" hidden="false" customHeight="false" outlineLevel="0" collapsed="false">
      <c r="A586" s="0" t="s">
        <v>2268</v>
      </c>
      <c r="B586" s="3" t="n">
        <f aca="false">IF(AJ586="","",IF(ISNUMBER(SEARCH("/",AJ586)),DATE(VALUE(RIGHT(AJ586,4)),VALUE(LEFT(AJ586,2)),VALUE(MID(AJ586,4,2))),IF(ISNUMBER(SEARCH("-",AJ586)),IF(LEN(LEFT(AJ586,FIND("-",AJ586)-1))=4,DATE(VALUE(LEFT(AJ586,4)),VALUE(MID(AJ586,6,2)),VALUE(RIGHT(AJ586,2))),DATE(VALUE(RIGHT(AJ586,4)),VALUE(MID(AJ586,4,2)),VALUE(LEFT(AJ586,2)))),DATE(VALUE(RIGHT(AJ586,4)),MATCH(MID(AJ586,4,3),{"Jan","Feb","Mar","Apr","May","Jun","Jul","Aug","Sep","Oct","Nov","Dec"},0),VALUE(LEFT(AJ586,2))))))</f>
        <v>45508</v>
      </c>
      <c r="C586" s="3" t="n">
        <f aca="false">IF(AK586="","",IF(ISNUMBER(SEARCH("/",AK586)),DATE(VALUE(RIGHT(AK586,4)),VALUE(LEFT(AK586,2)),VALUE(MID(AK586,4,2))),IF(ISNUMBER(SEARCH("-",AK586)),IF(LEN(LEFT(AK586,FIND("-",AK586)-1))=4,DATE(VALUE(LEFT(AK586,4)),VALUE(MID(AK586,6,2)),VALUE(RIGHT(AK586,2))),DATE(VALUE(RIGHT(AK586,4)),VALUE(MID(AK586,4,2)),VALUE(LEFT(AK586,2)))),DATE(VALUE(RIGHT(AK586,4)),MATCH(MID(AK586,4,3),{"Jan","Feb","Mar","Apr","May","Jun","Jul","Aug","Sep","Oct","Nov","Dec"},0),VALUE(LEFT(AK586,2))))))</f>
        <v>45514</v>
      </c>
      <c r="D586" s="4" t="s">
        <v>2269</v>
      </c>
      <c r="E586" s="0" t="str">
        <f aca="false">PROPER(TRIM(AL586))</f>
        <v>Vikram Iyer</v>
      </c>
      <c r="F586" s="0" t="str">
        <f aca="false">PROPER(TRIM(AM586))</f>
        <v>Consumer</v>
      </c>
      <c r="G586" s="0" t="str">
        <f aca="false">IF(TRIM(AN586)="","Unknown",PROPER(TRIM(AN586)))</f>
        <v>East</v>
      </c>
      <c r="H586" s="0" t="str">
        <f aca="false">PROPER(TRIM(AO586))</f>
        <v>Bihar</v>
      </c>
      <c r="I586" s="0" t="str">
        <f aca="false">PROPER(TRIM(AP586))</f>
        <v>Patna</v>
      </c>
      <c r="J586" s="0" t="str">
        <f aca="false">PROPER(TRIM(AQ586))</f>
        <v>Office Supplies</v>
      </c>
      <c r="K586" s="0" t="str">
        <f aca="false">PROPER(TRIM(AR586))</f>
        <v>Art</v>
      </c>
      <c r="M586" s="0" t="str">
        <f aca="false">IF(TRIM(AS586)="","Unknown",PROPER(TRIM(AS586)))</f>
        <v>Same Day</v>
      </c>
      <c r="N586" s="0" t="n">
        <v>1</v>
      </c>
      <c r="O586" s="0" t="n">
        <v>984.93</v>
      </c>
      <c r="P586" s="5" t="n">
        <f aca="false">IF(AT586="","",IF(ISNUMBER(AT586),AT586,VALUE(SUBSTITUTE(AT586,"%",""))/100))</f>
        <v>0.15</v>
      </c>
      <c r="Q586" s="5" t="n">
        <f aca="false">IF(P586="",IF(AND(N586&lt;&gt;"",O586&lt;&gt;"",R586&lt;&gt;"",S586&lt;&gt;""),0,"REVIEW"),IF(OR(P586&lt;0,P586&gt;0.3),0,P586))</f>
        <v>0.15</v>
      </c>
      <c r="R586" s="0" t="n">
        <v>837.19</v>
      </c>
      <c r="S586" s="0" t="n">
        <v>583.79</v>
      </c>
      <c r="T586" s="6" t="n">
        <f aca="false">N586*O586*(1-Q586)</f>
        <v>837.1905</v>
      </c>
      <c r="U586" s="6" t="n">
        <f aca="false">T586-S586</f>
        <v>253.4005</v>
      </c>
      <c r="V586" s="7" t="n">
        <f aca="false">IF(T586=0,0,U586/T586)</f>
        <v>0.302679617124179</v>
      </c>
      <c r="W586" s="4" t="n">
        <f aca="false">C586-B586</f>
        <v>6</v>
      </c>
      <c r="X586" s="0" t="str">
        <f aca="false">TEXT(B586,"mmmm")</f>
        <v>August</v>
      </c>
      <c r="Y586" s="4" t="n">
        <f aca="false">YEAR(B586)</f>
        <v>2024</v>
      </c>
      <c r="Z586" s="0" t="str">
        <f aca="false">PROPER(TRIM(AU586))</f>
        <v>Pending</v>
      </c>
      <c r="AA586" s="0" t="str">
        <f aca="false">PROPER(TRIM(AV586))</f>
        <v>Returned</v>
      </c>
      <c r="AB586" s="0" t="str">
        <f aca="false">IF(TRIM(AN586)="","Yes","No")</f>
        <v>No</v>
      </c>
      <c r="AC586" s="0" t="str">
        <f aca="false">IF(TRIM(AS586)="","Yes","No")</f>
        <v>No</v>
      </c>
      <c r="AD586" s="0" t="str">
        <f aca="false">IF(AT586="","Yes","No")</f>
        <v>No</v>
      </c>
      <c r="AE586" s="0" t="str">
        <f aca="false">IF(W586&lt;0,"Yes","No")</f>
        <v>No</v>
      </c>
      <c r="AF586" s="0" t="str">
        <f aca="false">IF(P586="","No",IF(OR(P586&lt;0,P586&gt;0.3),"Yes","No"))</f>
        <v>No</v>
      </c>
      <c r="AG586" s="4" t="s">
        <v>50</v>
      </c>
      <c r="AH586" s="0" t="str">
        <f aca="false">IF(AND(AA586="Completed",Z586="Paid"),"Yes","No")</f>
        <v>No</v>
      </c>
      <c r="AI586" s="0" t="str">
        <f aca="false">IF(OR(AE586="Yes",AF586="Yes",AG586="Yes"),"Invalid",IF(OR(AB586="Yes",AC586="Yes",AD586="Yes"),"Warning","Clean"))</f>
        <v>Clean</v>
      </c>
      <c r="AJ586" s="4" t="s">
        <v>2270</v>
      </c>
      <c r="AK586" s="4" t="s">
        <v>2271</v>
      </c>
      <c r="AL586" s="4" t="s">
        <v>106</v>
      </c>
      <c r="AM586" s="4" t="s">
        <v>54</v>
      </c>
      <c r="AN586" s="4" t="s">
        <v>69</v>
      </c>
      <c r="AO586" s="4" t="s">
        <v>196</v>
      </c>
      <c r="AP586" s="4" t="s">
        <v>197</v>
      </c>
      <c r="AQ586" s="4" t="s">
        <v>58</v>
      </c>
      <c r="AR586" s="4" t="s">
        <v>80</v>
      </c>
      <c r="AS586" s="4" t="s">
        <v>74</v>
      </c>
      <c r="AT586" s="0" t="n">
        <v>0.15</v>
      </c>
      <c r="AU586" s="4" t="s">
        <v>153</v>
      </c>
      <c r="AV586" s="4" t="s">
        <v>142</v>
      </c>
    </row>
    <row r="587" customFormat="false" ht="15" hidden="false" customHeight="false" outlineLevel="0" collapsed="false">
      <c r="A587" s="0" t="s">
        <v>2272</v>
      </c>
      <c r="B587" s="3" t="n">
        <f aca="false">IF(AJ587="","",IF(ISNUMBER(SEARCH("/",AJ587)),DATE(VALUE(RIGHT(AJ587,4)),VALUE(LEFT(AJ587,2)),VALUE(MID(AJ587,4,2))),IF(ISNUMBER(SEARCH("-",AJ587)),IF(LEN(LEFT(AJ587,FIND("-",AJ587)-1))=4,DATE(VALUE(LEFT(AJ587,4)),VALUE(MID(AJ587,6,2)),VALUE(RIGHT(AJ587,2))),DATE(VALUE(RIGHT(AJ587,4)),VALUE(MID(AJ587,4,2)),VALUE(LEFT(AJ587,2)))),DATE(VALUE(RIGHT(AJ587,4)),MATCH(MID(AJ587,4,3),{"Jan","Feb","Mar","Apr","May","Jun","Jul","Aug","Sep","Oct","Nov","Dec"},0),VALUE(LEFT(AJ587,2))))))</f>
        <v>45830</v>
      </c>
      <c r="C587" s="3" t="n">
        <f aca="false">IF(AK587="","",IF(ISNUMBER(SEARCH("/",AK587)),DATE(VALUE(RIGHT(AK587,4)),VALUE(LEFT(AK587,2)),VALUE(MID(AK587,4,2))),IF(ISNUMBER(SEARCH("-",AK587)),IF(LEN(LEFT(AK587,FIND("-",AK587)-1))=4,DATE(VALUE(LEFT(AK587,4)),VALUE(MID(AK587,6,2)),VALUE(RIGHT(AK587,2))),DATE(VALUE(RIGHT(AK587,4)),VALUE(MID(AK587,4,2)),VALUE(LEFT(AK587,2)))),DATE(VALUE(RIGHT(AK587,4)),MATCH(MID(AK587,4,3),{"Jan","Feb","Mar","Apr","May","Jun","Jul","Aug","Sep","Oct","Nov","Dec"},0),VALUE(LEFT(AK587,2))))))</f>
        <v>45833</v>
      </c>
      <c r="D587" s="4" t="s">
        <v>2273</v>
      </c>
      <c r="E587" s="0" t="str">
        <f aca="false">PROPER(TRIM(AL587))</f>
        <v>Diya Patel</v>
      </c>
      <c r="F587" s="0" t="str">
        <f aca="false">PROPER(TRIM(AM587))</f>
        <v>Small Business</v>
      </c>
      <c r="G587" s="0" t="str">
        <f aca="false">IF(TRIM(AN587)="","Unknown",PROPER(TRIM(AN587)))</f>
        <v>West</v>
      </c>
      <c r="H587" s="0" t="str">
        <f aca="false">PROPER(TRIM(AO587))</f>
        <v>Maharashtra</v>
      </c>
      <c r="I587" s="0" t="str">
        <f aca="false">PROPER(TRIM(AP587))</f>
        <v>Mumbai</v>
      </c>
      <c r="J587" s="0" t="str">
        <f aca="false">PROPER(TRIM(AQ587))</f>
        <v>Technology</v>
      </c>
      <c r="K587" s="0" t="str">
        <f aca="false">PROPER(TRIM(AR587))</f>
        <v>Phones</v>
      </c>
      <c r="M587" s="0" t="str">
        <f aca="false">IF(TRIM(AS587)="","Unknown",PROPER(TRIM(AS587)))</f>
        <v>First Class</v>
      </c>
      <c r="N587" s="0" t="n">
        <v>8</v>
      </c>
      <c r="O587" s="0" t="n">
        <v>3453.66</v>
      </c>
      <c r="P587" s="5" t="n">
        <f aca="false">IF(AT587="","",IF(ISNUMBER(AT587),AT587,VALUE(SUBSTITUTE(AT587,"%",""))/100))</f>
        <v>0</v>
      </c>
      <c r="Q587" s="5" t="n">
        <f aca="false">IF(P587="",IF(AND(N587&lt;&gt;"",O587&lt;&gt;"",R587&lt;&gt;"",S587&lt;&gt;""),0,"REVIEW"),IF(OR(P587&lt;0,P587&gt;0.3),0,P587))</f>
        <v>0</v>
      </c>
      <c r="R587" s="0" t="n">
        <v>27629.28</v>
      </c>
      <c r="S587" s="0" t="n">
        <v>22026.48</v>
      </c>
      <c r="T587" s="6" t="n">
        <f aca="false">N587*O587*(1-Q587)</f>
        <v>27629.28</v>
      </c>
      <c r="U587" s="6" t="n">
        <f aca="false">T587-S587</f>
        <v>5602.8</v>
      </c>
      <c r="V587" s="7" t="n">
        <f aca="false">IF(T587=0,0,U587/T587)</f>
        <v>0.202784871701326</v>
      </c>
      <c r="W587" s="4" t="n">
        <f aca="false">C587-B587</f>
        <v>3</v>
      </c>
      <c r="X587" s="0" t="str">
        <f aca="false">TEXT(B587,"mmmm")</f>
        <v>June</v>
      </c>
      <c r="Y587" s="4" t="n">
        <f aca="false">YEAR(B587)</f>
        <v>2025</v>
      </c>
      <c r="Z587" s="0" t="str">
        <f aca="false">PROPER(TRIM(AU587))</f>
        <v>Paid</v>
      </c>
      <c r="AA587" s="0" t="str">
        <f aca="false">PROPER(TRIM(AV587))</f>
        <v>Completed</v>
      </c>
      <c r="AB587" s="0" t="str">
        <f aca="false">IF(TRIM(AN587)="","Yes","No")</f>
        <v>No</v>
      </c>
      <c r="AC587" s="0" t="str">
        <f aca="false">IF(TRIM(AS587)="","Yes","No")</f>
        <v>No</v>
      </c>
      <c r="AD587" s="0" t="str">
        <f aca="false">IF(AT587="","Yes","No")</f>
        <v>No</v>
      </c>
      <c r="AE587" s="0" t="str">
        <f aca="false">IF(W587&lt;0,"Yes","No")</f>
        <v>No</v>
      </c>
      <c r="AF587" s="0" t="str">
        <f aca="false">IF(P587="","No",IF(OR(P587&lt;0,P587&gt;0.3),"Yes","No"))</f>
        <v>No</v>
      </c>
      <c r="AG587" s="4" t="s">
        <v>50</v>
      </c>
      <c r="AH587" s="0" t="str">
        <f aca="false">IF(AND(AA587="Completed",Z587="Paid"),"Yes","No")</f>
        <v>Yes</v>
      </c>
      <c r="AI587" s="0" t="str">
        <f aca="false">IF(OR(AE587="Yes",AF587="Yes",AG587="Yes"),"Invalid",IF(OR(AB587="Yes",AC587="Yes",AD587="Yes"),"Warning","Clean"))</f>
        <v>Clean</v>
      </c>
      <c r="AJ587" s="4" t="s">
        <v>1404</v>
      </c>
      <c r="AK587" s="4" t="s">
        <v>2274</v>
      </c>
      <c r="AL587" s="4" t="s">
        <v>216</v>
      </c>
      <c r="AM587" s="4" t="s">
        <v>68</v>
      </c>
      <c r="AN587" s="4" t="s">
        <v>899</v>
      </c>
      <c r="AO587" s="4" t="s">
        <v>98</v>
      </c>
      <c r="AP587" s="4" t="s">
        <v>99</v>
      </c>
      <c r="AQ587" s="4" t="s">
        <v>109</v>
      </c>
      <c r="AR587" s="4" t="s">
        <v>227</v>
      </c>
      <c r="AS587" s="4" t="s">
        <v>81</v>
      </c>
      <c r="AT587" s="0" t="n">
        <v>0</v>
      </c>
      <c r="AU587" s="4" t="s">
        <v>61</v>
      </c>
      <c r="AV587" s="4" t="s">
        <v>62</v>
      </c>
    </row>
    <row r="588" customFormat="false" ht="15" hidden="false" customHeight="false" outlineLevel="0" collapsed="false">
      <c r="A588" s="0" t="s">
        <v>2275</v>
      </c>
      <c r="B588" s="3" t="n">
        <f aca="false">IF(AJ588="","",IF(ISNUMBER(SEARCH("/",AJ588)),DATE(VALUE(RIGHT(AJ588,4)),VALUE(LEFT(AJ588,2)),VALUE(MID(AJ588,4,2))),IF(ISNUMBER(SEARCH("-",AJ588)),IF(LEN(LEFT(AJ588,FIND("-",AJ588)-1))=4,DATE(VALUE(LEFT(AJ588,4)),VALUE(MID(AJ588,6,2)),VALUE(RIGHT(AJ588,2))),DATE(VALUE(RIGHT(AJ588,4)),VALUE(MID(AJ588,4,2)),VALUE(LEFT(AJ588,2)))),DATE(VALUE(RIGHT(AJ588,4)),MATCH(MID(AJ588,4,3),{"Jan","Feb","Mar","Apr","May","Jun","Jul","Aug","Sep","Oct","Nov","Dec"},0),VALUE(LEFT(AJ588,2))))))</f>
        <v>45759</v>
      </c>
      <c r="C588" s="3" t="n">
        <f aca="false">IF(AK588="","",IF(ISNUMBER(SEARCH("/",AK588)),DATE(VALUE(RIGHT(AK588,4)),VALUE(LEFT(AK588,2)),VALUE(MID(AK588,4,2))),IF(ISNUMBER(SEARCH("-",AK588)),IF(LEN(LEFT(AK588,FIND("-",AK588)-1))=4,DATE(VALUE(LEFT(AK588,4)),VALUE(MID(AK588,6,2)),VALUE(RIGHT(AK588,2))),DATE(VALUE(RIGHT(AK588,4)),VALUE(MID(AK588,4,2)),VALUE(LEFT(AK588,2)))),DATE(VALUE(RIGHT(AK588,4)),MATCH(MID(AK588,4,3),{"Jan","Feb","Mar","Apr","May","Jun","Jul","Aug","Sep","Oct","Nov","Dec"},0),VALUE(LEFT(AK588,2))))))</f>
        <v>45759</v>
      </c>
      <c r="D588" s="4" t="s">
        <v>2276</v>
      </c>
      <c r="E588" s="0" t="str">
        <f aca="false">PROPER(TRIM(AL588))</f>
        <v>Mira Das</v>
      </c>
      <c r="F588" s="0" t="str">
        <f aca="false">PROPER(TRIM(AM588))</f>
        <v>Home Office</v>
      </c>
      <c r="G588" s="0" t="str">
        <f aca="false">IF(TRIM(AN588)="","Unknown",PROPER(TRIM(AN588)))</f>
        <v>North</v>
      </c>
      <c r="H588" s="0" t="str">
        <f aca="false">PROPER(TRIM(AO588))</f>
        <v>Punjab</v>
      </c>
      <c r="I588" s="0" t="str">
        <f aca="false">PROPER(TRIM(AP588))</f>
        <v>Ludhiana</v>
      </c>
      <c r="J588" s="0" t="str">
        <f aca="false">PROPER(TRIM(AQ588))</f>
        <v>Office Supplies</v>
      </c>
      <c r="K588" s="0" t="str">
        <f aca="false">PROPER(TRIM(AR588))</f>
        <v>Binders</v>
      </c>
      <c r="M588" s="0" t="str">
        <f aca="false">IF(TRIM(AS588)="","Unknown",PROPER(TRIM(AS588)))</f>
        <v>Second Class</v>
      </c>
      <c r="N588" s="0" t="n">
        <v>7</v>
      </c>
      <c r="O588" s="0" t="n">
        <v>1334.2</v>
      </c>
      <c r="P588" s="5" t="n">
        <f aca="false">IF(AT588="","",IF(ISNUMBER(AT588),AT588,VALUE(SUBSTITUTE(AT588,"%",""))/100))</f>
        <v>0.2</v>
      </c>
      <c r="Q588" s="5" t="n">
        <f aca="false">IF(P588="",IF(AND(N588&lt;&gt;"",O588&lt;&gt;"",R588&lt;&gt;"",S588&lt;&gt;""),0,"REVIEW"),IF(OR(P588&lt;0,P588&gt;0.3),0,P588))</f>
        <v>0.2</v>
      </c>
      <c r="R588" s="0" t="n">
        <v>7471.52</v>
      </c>
      <c r="S588" s="0" t="n">
        <v>6184.32</v>
      </c>
      <c r="T588" s="6" t="n">
        <f aca="false">N588*O588*(1-Q588)</f>
        <v>7471.52</v>
      </c>
      <c r="U588" s="6" t="n">
        <f aca="false">T588-S588</f>
        <v>1287.2</v>
      </c>
      <c r="V588" s="7" t="n">
        <f aca="false">IF(T588=0,0,U588/T588)</f>
        <v>0.172280874574384</v>
      </c>
      <c r="W588" s="4" t="n">
        <f aca="false">C588-B588</f>
        <v>0</v>
      </c>
      <c r="X588" s="0" t="str">
        <f aca="false">TEXT(B588,"mmmm")</f>
        <v>April</v>
      </c>
      <c r="Y588" s="4" t="n">
        <f aca="false">YEAR(B588)</f>
        <v>2025</v>
      </c>
      <c r="Z588" s="0" t="str">
        <f aca="false">PROPER(TRIM(AU588))</f>
        <v>Paid</v>
      </c>
      <c r="AA588" s="0" t="str">
        <f aca="false">PROPER(TRIM(AV588))</f>
        <v>Completed</v>
      </c>
      <c r="AB588" s="0" t="str">
        <f aca="false">IF(TRIM(AN588)="","Yes","No")</f>
        <v>No</v>
      </c>
      <c r="AC588" s="0" t="str">
        <f aca="false">IF(TRIM(AS588)="","Yes","No")</f>
        <v>No</v>
      </c>
      <c r="AD588" s="0" t="str">
        <f aca="false">IF(AT588="","Yes","No")</f>
        <v>No</v>
      </c>
      <c r="AE588" s="0" t="str">
        <f aca="false">IF(W588&lt;0,"Yes","No")</f>
        <v>No</v>
      </c>
      <c r="AF588" s="0" t="str">
        <f aca="false">IF(P588="","No",IF(OR(P588&lt;0,P588&gt;0.3),"Yes","No"))</f>
        <v>No</v>
      </c>
      <c r="AG588" s="4" t="s">
        <v>50</v>
      </c>
      <c r="AH588" s="0" t="str">
        <f aca="false">IF(AND(AA588="Completed",Z588="Paid"),"Yes","No")</f>
        <v>Yes</v>
      </c>
      <c r="AI588" s="0" t="str">
        <f aca="false">IF(OR(AE588="Yes",AF588="Yes",AG588="Yes"),"Invalid",IF(OR(AB588="Yes",AC588="Yes",AD588="Yes"),"Warning","Clean"))</f>
        <v>Clean</v>
      </c>
      <c r="AJ588" s="4" t="s">
        <v>2277</v>
      </c>
      <c r="AK588" s="4" t="s">
        <v>2278</v>
      </c>
      <c r="AL588" s="4" t="s">
        <v>67</v>
      </c>
      <c r="AM588" s="4" t="s">
        <v>134</v>
      </c>
      <c r="AN588" s="4" t="s">
        <v>168</v>
      </c>
      <c r="AO588" s="4" t="s">
        <v>169</v>
      </c>
      <c r="AP588" s="4" t="s">
        <v>170</v>
      </c>
      <c r="AQ588" s="4" t="s">
        <v>58</v>
      </c>
      <c r="AR588" s="4" t="s">
        <v>206</v>
      </c>
      <c r="AS588" s="4" t="s">
        <v>60</v>
      </c>
      <c r="AT588" s="0" t="n">
        <v>0.2</v>
      </c>
      <c r="AU588" s="4" t="s">
        <v>61</v>
      </c>
      <c r="AV588" s="4" t="s">
        <v>62</v>
      </c>
    </row>
    <row r="589" customFormat="false" ht="15" hidden="false" customHeight="false" outlineLevel="0" collapsed="false">
      <c r="A589" s="0" t="s">
        <v>2279</v>
      </c>
      <c r="B589" s="3" t="n">
        <f aca="false">IF(AJ589="","",IF(ISNUMBER(SEARCH("/",AJ589)),DATE(VALUE(RIGHT(AJ589,4)),VALUE(LEFT(AJ589,2)),VALUE(MID(AJ589,4,2))),IF(ISNUMBER(SEARCH("-",AJ589)),IF(LEN(LEFT(AJ589,FIND("-",AJ589)-1))=4,DATE(VALUE(LEFT(AJ589,4)),VALUE(MID(AJ589,6,2)),VALUE(RIGHT(AJ589,2))),DATE(VALUE(RIGHT(AJ589,4)),VALUE(MID(AJ589,4,2)),VALUE(LEFT(AJ589,2)))),DATE(VALUE(RIGHT(AJ589,4)),MATCH(MID(AJ589,4,3),{"Jan","Feb","Mar","Apr","May","Jun","Jul","Aug","Sep","Oct","Nov","Dec"},0),VALUE(LEFT(AJ589,2))))))</f>
        <v>45861</v>
      </c>
      <c r="C589" s="3" t="n">
        <f aca="false">IF(AK589="","",IF(ISNUMBER(SEARCH("/",AK589)),DATE(VALUE(RIGHT(AK589,4)),VALUE(LEFT(AK589,2)),VALUE(MID(AK589,4,2))),IF(ISNUMBER(SEARCH("-",AK589)),IF(LEN(LEFT(AK589,FIND("-",AK589)-1))=4,DATE(VALUE(LEFT(AK589,4)),VALUE(MID(AK589,6,2)),VALUE(RIGHT(AK589,2))),DATE(VALUE(RIGHT(AK589,4)),VALUE(MID(AK589,4,2)),VALUE(LEFT(AK589,2)))),DATE(VALUE(RIGHT(AK589,4)),MATCH(MID(AK589,4,3),{"Jan","Feb","Mar","Apr","May","Jun","Jul","Aug","Sep","Oct","Nov","Dec"},0),VALUE(LEFT(AK589,2))))))</f>
        <v>45869</v>
      </c>
      <c r="D589" s="4" t="s">
        <v>2280</v>
      </c>
      <c r="E589" s="0" t="str">
        <f aca="false">PROPER(TRIM(AL589))</f>
        <v>Kabir Singh</v>
      </c>
      <c r="F589" s="0" t="str">
        <f aca="false">PROPER(TRIM(AM589))</f>
        <v>Home Office</v>
      </c>
      <c r="G589" s="0" t="str">
        <f aca="false">IF(TRIM(AN589)="","Unknown",PROPER(TRIM(AN589)))</f>
        <v>West</v>
      </c>
      <c r="H589" s="0" t="str">
        <f aca="false">PROPER(TRIM(AO589))</f>
        <v>Madhya Pradesh</v>
      </c>
      <c r="I589" s="0" t="str">
        <f aca="false">PROPER(TRIM(AP589))</f>
        <v>Indore</v>
      </c>
      <c r="J589" s="0" t="str">
        <f aca="false">PROPER(TRIM(AQ589))</f>
        <v>Technology</v>
      </c>
      <c r="K589" s="0" t="str">
        <f aca="false">PROPER(TRIM(AR589))</f>
        <v>Accessories</v>
      </c>
      <c r="M589" s="0" t="str">
        <f aca="false">IF(TRIM(AS589)="","Unknown",PROPER(TRIM(AS589)))</f>
        <v>First Class</v>
      </c>
      <c r="N589" s="0" t="n">
        <v>1</v>
      </c>
      <c r="O589" s="0" t="n">
        <v>4253.84</v>
      </c>
      <c r="P589" s="5" t="n">
        <f aca="false">IF(AT589="","",IF(ISNUMBER(AT589),AT589,VALUE(SUBSTITUTE(AT589,"%",""))/100))</f>
        <v>0.15</v>
      </c>
      <c r="Q589" s="5" t="n">
        <f aca="false">IF(P589="",IF(AND(N589&lt;&gt;"",O589&lt;&gt;"",R589&lt;&gt;"",S589&lt;&gt;""),0,"REVIEW"),IF(OR(P589&lt;0,P589&gt;0.3),0,P589))</f>
        <v>0.15</v>
      </c>
      <c r="R589" s="0" t="n">
        <v>3615.76</v>
      </c>
      <c r="S589" s="0" t="n">
        <v>2951.52</v>
      </c>
      <c r="T589" s="6" t="n">
        <f aca="false">N589*O589*(1-Q589)</f>
        <v>3615.764</v>
      </c>
      <c r="U589" s="6" t="n">
        <f aca="false">T589-S589</f>
        <v>664.244</v>
      </c>
      <c r="V589" s="7" t="n">
        <f aca="false">IF(T589=0,0,U589/T589)</f>
        <v>0.183707786238261</v>
      </c>
      <c r="W589" s="4" t="n">
        <f aca="false">C589-B589</f>
        <v>8</v>
      </c>
      <c r="X589" s="0" t="str">
        <f aca="false">TEXT(B589,"mmmm")</f>
        <v>July</v>
      </c>
      <c r="Y589" s="4" t="n">
        <f aca="false">YEAR(B589)</f>
        <v>2025</v>
      </c>
      <c r="Z589" s="0" t="str">
        <f aca="false">PROPER(TRIM(AU589))</f>
        <v>Refunded</v>
      </c>
      <c r="AA589" s="0" t="str">
        <f aca="false">PROPER(TRIM(AV589))</f>
        <v>Cancelled</v>
      </c>
      <c r="AB589" s="0" t="str">
        <f aca="false">IF(TRIM(AN589)="","Yes","No")</f>
        <v>No</v>
      </c>
      <c r="AC589" s="0" t="str">
        <f aca="false">IF(TRIM(AS589)="","Yes","No")</f>
        <v>No</v>
      </c>
      <c r="AD589" s="0" t="str">
        <f aca="false">IF(AT589="","Yes","No")</f>
        <v>No</v>
      </c>
      <c r="AE589" s="0" t="str">
        <f aca="false">IF(W589&lt;0,"Yes","No")</f>
        <v>No</v>
      </c>
      <c r="AF589" s="0" t="str">
        <f aca="false">IF(P589="","No",IF(OR(P589&lt;0,P589&gt;0.3),"Yes","No"))</f>
        <v>No</v>
      </c>
      <c r="AG589" s="4" t="s">
        <v>50</v>
      </c>
      <c r="AH589" s="0" t="str">
        <f aca="false">IF(AND(AA589="Completed",Z589="Paid"),"Yes","No")</f>
        <v>No</v>
      </c>
      <c r="AI589" s="0" t="str">
        <f aca="false">IF(OR(AE589="Yes",AF589="Yes",AG589="Yes"),"Invalid",IF(OR(AB589="Yes",AC589="Yes",AD589="Yes"),"Warning","Clean"))</f>
        <v>Clean</v>
      </c>
      <c r="AJ589" s="4" t="s">
        <v>2281</v>
      </c>
      <c r="AK589" s="4" t="s">
        <v>2282</v>
      </c>
      <c r="AL589" s="4" t="s">
        <v>347</v>
      </c>
      <c r="AM589" s="4" t="s">
        <v>134</v>
      </c>
      <c r="AN589" s="4" t="s">
        <v>97</v>
      </c>
      <c r="AO589" s="4" t="s">
        <v>107</v>
      </c>
      <c r="AP589" s="4" t="s">
        <v>108</v>
      </c>
      <c r="AQ589" s="4" t="s">
        <v>109</v>
      </c>
      <c r="AR589" s="4" t="s">
        <v>110</v>
      </c>
      <c r="AS589" s="4" t="s">
        <v>81</v>
      </c>
      <c r="AT589" s="0" t="n">
        <v>0.15</v>
      </c>
      <c r="AU589" s="4" t="s">
        <v>141</v>
      </c>
      <c r="AV589" s="4" t="s">
        <v>101</v>
      </c>
    </row>
    <row r="590" customFormat="false" ht="15" hidden="false" customHeight="false" outlineLevel="0" collapsed="false">
      <c r="A590" s="0" t="s">
        <v>2283</v>
      </c>
      <c r="B590" s="3" t="n">
        <f aca="false">IF(AJ590="","",IF(ISNUMBER(SEARCH("/",AJ590)),DATE(VALUE(RIGHT(AJ590,4)),VALUE(LEFT(AJ590,2)),VALUE(MID(AJ590,4,2))),IF(ISNUMBER(SEARCH("-",AJ590)),IF(LEN(LEFT(AJ590,FIND("-",AJ590)-1))=4,DATE(VALUE(LEFT(AJ590,4)),VALUE(MID(AJ590,6,2)),VALUE(RIGHT(AJ590,2))),DATE(VALUE(RIGHT(AJ590,4)),VALUE(MID(AJ590,4,2)),VALUE(LEFT(AJ590,2)))),DATE(VALUE(RIGHT(AJ590,4)),MATCH(MID(AJ590,4,3),{"Jan","Feb","Mar","Apr","May","Jun","Jul","Aug","Sep","Oct","Nov","Dec"},0),VALUE(LEFT(AJ590,2))))))</f>
        <v>45727</v>
      </c>
      <c r="C590" s="3" t="n">
        <f aca="false">IF(AK590="","",IF(ISNUMBER(SEARCH("/",AK590)),DATE(VALUE(RIGHT(AK590,4)),VALUE(LEFT(AK590,2)),VALUE(MID(AK590,4,2))),IF(ISNUMBER(SEARCH("-",AK590)),IF(LEN(LEFT(AK590,FIND("-",AK590)-1))=4,DATE(VALUE(LEFT(AK590,4)),VALUE(MID(AK590,6,2)),VALUE(RIGHT(AK590,2))),DATE(VALUE(RIGHT(AK590,4)),VALUE(MID(AK590,4,2)),VALUE(LEFT(AK590,2)))),DATE(VALUE(RIGHT(AK590,4)),MATCH(MID(AK590,4,3),{"Jan","Feb","Mar","Apr","May","Jun","Jul","Aug","Sep","Oct","Nov","Dec"},0),VALUE(LEFT(AK590,2))))))</f>
        <v>45731</v>
      </c>
      <c r="D590" s="4" t="s">
        <v>2284</v>
      </c>
      <c r="E590" s="0" t="str">
        <f aca="false">PROPER(TRIM(AL590))</f>
        <v>Aarav Sharma</v>
      </c>
      <c r="F590" s="0" t="str">
        <f aca="false">PROPER(TRIM(AM590))</f>
        <v>Home Office</v>
      </c>
      <c r="G590" s="0" t="str">
        <f aca="false">IF(TRIM(AN590)="","Unknown",PROPER(TRIM(AN590)))</f>
        <v>South</v>
      </c>
      <c r="H590" s="0" t="str">
        <f aca="false">PROPER(TRIM(AO590))</f>
        <v>Karnataka</v>
      </c>
      <c r="I590" s="0" t="str">
        <f aca="false">PROPER(TRIM(AP590))</f>
        <v>Bengaluru</v>
      </c>
      <c r="J590" s="0" t="str">
        <f aca="false">PROPER(TRIM(AQ590))</f>
        <v>Technology</v>
      </c>
      <c r="K590" s="0" t="str">
        <f aca="false">PROPER(TRIM(AR590))</f>
        <v>Accessories</v>
      </c>
      <c r="M590" s="0" t="str">
        <f aca="false">IF(TRIM(AS590)="","Unknown",PROPER(TRIM(AS590)))</f>
        <v>Second Class</v>
      </c>
      <c r="N590" s="0" t="n">
        <v>8</v>
      </c>
      <c r="O590" s="0" t="n">
        <v>4446.36</v>
      </c>
      <c r="P590" s="5" t="n">
        <f aca="false">IF(AT590="","",IF(ISNUMBER(AT590),AT590,VALUE(SUBSTITUTE(AT590,"%",""))/100))</f>
        <v>0.1</v>
      </c>
      <c r="Q590" s="5" t="n">
        <f aca="false">IF(P590="",IF(AND(N590&lt;&gt;"",O590&lt;&gt;"",R590&lt;&gt;"",S590&lt;&gt;""),0,"REVIEW"),IF(OR(P590&lt;0,P590&gt;0.3),0,P590))</f>
        <v>0.1</v>
      </c>
      <c r="R590" s="0" t="n">
        <v>32013.79</v>
      </c>
      <c r="S590" s="0" t="n">
        <v>20896.88</v>
      </c>
      <c r="T590" s="6" t="n">
        <f aca="false">N590*O590*(1-Q590)</f>
        <v>32013.792</v>
      </c>
      <c r="U590" s="6" t="n">
        <f aca="false">T590-S590</f>
        <v>11116.912</v>
      </c>
      <c r="V590" s="7" t="n">
        <f aca="false">IF(T590=0,0,U590/T590)</f>
        <v>0.347253833597719</v>
      </c>
      <c r="W590" s="4" t="n">
        <f aca="false">C590-B590</f>
        <v>4</v>
      </c>
      <c r="X590" s="0" t="str">
        <f aca="false">TEXT(B590,"mmmm")</f>
        <v>March</v>
      </c>
      <c r="Y590" s="4" t="n">
        <f aca="false">YEAR(B590)</f>
        <v>2025</v>
      </c>
      <c r="Z590" s="0" t="str">
        <f aca="false">PROPER(TRIM(AU590))</f>
        <v>Refunded</v>
      </c>
      <c r="AA590" s="0" t="str">
        <f aca="false">PROPER(TRIM(AV590))</f>
        <v>Cancelled</v>
      </c>
      <c r="AB590" s="0" t="str">
        <f aca="false">IF(TRIM(AN590)="","Yes","No")</f>
        <v>No</v>
      </c>
      <c r="AC590" s="0" t="str">
        <f aca="false">IF(TRIM(AS590)="","Yes","No")</f>
        <v>No</v>
      </c>
      <c r="AD590" s="0" t="str">
        <f aca="false">IF(AT590="","Yes","No")</f>
        <v>No</v>
      </c>
      <c r="AE590" s="0" t="str">
        <f aca="false">IF(W590&lt;0,"Yes","No")</f>
        <v>No</v>
      </c>
      <c r="AF590" s="0" t="str">
        <f aca="false">IF(P590="","No",IF(OR(P590&lt;0,P590&gt;0.3),"Yes","No"))</f>
        <v>No</v>
      </c>
      <c r="AG590" s="4" t="s">
        <v>50</v>
      </c>
      <c r="AH590" s="0" t="str">
        <f aca="false">IF(AND(AA590="Completed",Z590="Paid"),"Yes","No")</f>
        <v>No</v>
      </c>
      <c r="AI590" s="0" t="str">
        <f aca="false">IF(OR(AE590="Yes",AF590="Yes",AG590="Yes"),"Invalid",IF(OR(AB590="Yes",AC590="Yes",AD590="Yes"),"Warning","Clean"))</f>
        <v>Clean</v>
      </c>
      <c r="AJ590" s="4" t="s">
        <v>2285</v>
      </c>
      <c r="AK590" s="4" t="s">
        <v>2286</v>
      </c>
      <c r="AL590" s="4" t="s">
        <v>176</v>
      </c>
      <c r="AM590" s="4" t="s">
        <v>134</v>
      </c>
      <c r="AN590" s="4" t="s">
        <v>87</v>
      </c>
      <c r="AO590" s="4" t="s">
        <v>233</v>
      </c>
      <c r="AP590" s="4" t="s">
        <v>234</v>
      </c>
      <c r="AQ590" s="4" t="s">
        <v>109</v>
      </c>
      <c r="AR590" s="4" t="s">
        <v>110</v>
      </c>
      <c r="AS590" s="4" t="s">
        <v>60</v>
      </c>
      <c r="AT590" s="0" t="n">
        <v>0.1</v>
      </c>
      <c r="AU590" s="4" t="s">
        <v>141</v>
      </c>
      <c r="AV590" s="4" t="s">
        <v>101</v>
      </c>
    </row>
    <row r="591" customFormat="false" ht="15" hidden="false" customHeight="false" outlineLevel="0" collapsed="false">
      <c r="A591" s="0" t="s">
        <v>2287</v>
      </c>
      <c r="B591" s="3" t="n">
        <f aca="false">IF(AJ591="","",IF(ISNUMBER(SEARCH("/",AJ591)),DATE(VALUE(RIGHT(AJ591,4)),VALUE(LEFT(AJ591,2)),VALUE(MID(AJ591,4,2))),IF(ISNUMBER(SEARCH("-",AJ591)),IF(LEN(LEFT(AJ591,FIND("-",AJ591)-1))=4,DATE(VALUE(LEFT(AJ591,4)),VALUE(MID(AJ591,6,2)),VALUE(RIGHT(AJ591,2))),DATE(VALUE(RIGHT(AJ591,4)),VALUE(MID(AJ591,4,2)),VALUE(LEFT(AJ591,2)))),DATE(VALUE(RIGHT(AJ591,4)),MATCH(MID(AJ591,4,3),{"Jan","Feb","Mar","Apr","May","Jun","Jul","Aug","Sep","Oct","Nov","Dec"},0),VALUE(LEFT(AJ591,2))))))</f>
        <v>45632</v>
      </c>
      <c r="C591" s="3" t="n">
        <f aca="false">IF(AK591="","",IF(ISNUMBER(SEARCH("/",AK591)),DATE(VALUE(RIGHT(AK591,4)),VALUE(LEFT(AK591,2)),VALUE(MID(AK591,4,2))),IF(ISNUMBER(SEARCH("-",AK591)),IF(LEN(LEFT(AK591,FIND("-",AK591)-1))=4,DATE(VALUE(LEFT(AK591,4)),VALUE(MID(AK591,6,2)),VALUE(RIGHT(AK591,2))),DATE(VALUE(RIGHT(AK591,4)),VALUE(MID(AK591,4,2)),VALUE(LEFT(AK591,2)))),DATE(VALUE(RIGHT(AK591,4)),MATCH(MID(AK591,4,3),{"Jan","Feb","Mar","Apr","May","Jun","Jul","Aug","Sep","Oct","Nov","Dec"},0),VALUE(LEFT(AK591,2))))))</f>
        <v>45638</v>
      </c>
      <c r="D591" s="4" t="s">
        <v>2288</v>
      </c>
      <c r="E591" s="0" t="str">
        <f aca="false">PROPER(TRIM(AL591))</f>
        <v>Rohan Mehta</v>
      </c>
      <c r="F591" s="0" t="str">
        <f aca="false">PROPER(TRIM(AM591))</f>
        <v>Corporate</v>
      </c>
      <c r="G591" s="0" t="str">
        <f aca="false">IF(TRIM(AN591)="","Unknown",PROPER(TRIM(AN591)))</f>
        <v>North</v>
      </c>
      <c r="H591" s="0" t="str">
        <f aca="false">PROPER(TRIM(AO591))</f>
        <v>Uttar Pradesh</v>
      </c>
      <c r="I591" s="0" t="str">
        <f aca="false">PROPER(TRIM(AP591))</f>
        <v>Noida</v>
      </c>
      <c r="J591" s="0" t="str">
        <f aca="false">PROPER(TRIM(AQ591))</f>
        <v>Technology</v>
      </c>
      <c r="K591" s="0" t="str">
        <f aca="false">PROPER(TRIM(AR591))</f>
        <v>Phones</v>
      </c>
      <c r="M591" s="0" t="str">
        <f aca="false">IF(TRIM(AS591)="","Unknown",PROPER(TRIM(AS591)))</f>
        <v>First Class</v>
      </c>
      <c r="N591" s="0" t="n">
        <v>3</v>
      </c>
      <c r="O591" s="0" t="n">
        <v>524.75</v>
      </c>
      <c r="P591" s="5" t="n">
        <f aca="false">IF(AT591="","",IF(ISNUMBER(AT591),AT591,VALUE(SUBSTITUTE(AT591,"%",""))/100))</f>
        <v>0</v>
      </c>
      <c r="Q591" s="5" t="n">
        <f aca="false">IF(P591="",IF(AND(N591&lt;&gt;"",O591&lt;&gt;"",R591&lt;&gt;"",S591&lt;&gt;""),0,"REVIEW"),IF(OR(P591&lt;0,P591&gt;0.3),0,P591))</f>
        <v>0</v>
      </c>
      <c r="R591" s="0" t="n">
        <v>1574.25</v>
      </c>
      <c r="S591" s="0" t="n">
        <v>1326.12</v>
      </c>
      <c r="T591" s="6" t="n">
        <f aca="false">N591*O591*(1-Q591)</f>
        <v>1574.25</v>
      </c>
      <c r="U591" s="6" t="n">
        <f aca="false">T591-S591</f>
        <v>248.13</v>
      </c>
      <c r="V591" s="7" t="n">
        <f aca="false">IF(T591=0,0,U591/T591)</f>
        <v>0.157617913292044</v>
      </c>
      <c r="W591" s="4" t="n">
        <f aca="false">C591-B591</f>
        <v>6</v>
      </c>
      <c r="X591" s="0" t="str">
        <f aca="false">TEXT(B591,"mmmm")</f>
        <v>December</v>
      </c>
      <c r="Y591" s="4" t="n">
        <f aca="false">YEAR(B591)</f>
        <v>2024</v>
      </c>
      <c r="Z591" s="0" t="str">
        <f aca="false">PROPER(TRIM(AU591))</f>
        <v>Paid</v>
      </c>
      <c r="AA591" s="0" t="str">
        <f aca="false">PROPER(TRIM(AV591))</f>
        <v>Completed</v>
      </c>
      <c r="AB591" s="0" t="str">
        <f aca="false">IF(TRIM(AN591)="","Yes","No")</f>
        <v>No</v>
      </c>
      <c r="AC591" s="0" t="str">
        <f aca="false">IF(TRIM(AS591)="","Yes","No")</f>
        <v>No</v>
      </c>
      <c r="AD591" s="0" t="str">
        <f aca="false">IF(AT591="","Yes","No")</f>
        <v>No</v>
      </c>
      <c r="AE591" s="0" t="str">
        <f aca="false">IF(W591&lt;0,"Yes","No")</f>
        <v>No</v>
      </c>
      <c r="AF591" s="0" t="str">
        <f aca="false">IF(P591="","No",IF(OR(P591&lt;0,P591&gt;0.3),"Yes","No"))</f>
        <v>No</v>
      </c>
      <c r="AG591" s="4" t="s">
        <v>50</v>
      </c>
      <c r="AH591" s="0" t="str">
        <f aca="false">IF(AND(AA591="Completed",Z591="Paid"),"Yes","No")</f>
        <v>Yes</v>
      </c>
      <c r="AI591" s="0" t="str">
        <f aca="false">IF(OR(AE591="Yes",AF591="Yes",AG591="Yes"),"Invalid",IF(OR(AB591="Yes",AC591="Yes",AD591="Yes"),"Warning","Clean"))</f>
        <v>Clean</v>
      </c>
      <c r="AJ591" s="4" t="s">
        <v>2289</v>
      </c>
      <c r="AK591" s="4" t="s">
        <v>2290</v>
      </c>
      <c r="AL591" s="4" t="s">
        <v>191</v>
      </c>
      <c r="AM591" s="4" t="s">
        <v>128</v>
      </c>
      <c r="AN591" s="4" t="s">
        <v>168</v>
      </c>
      <c r="AO591" s="4" t="s">
        <v>186</v>
      </c>
      <c r="AP591" s="4" t="s">
        <v>187</v>
      </c>
      <c r="AQ591" s="4" t="s">
        <v>109</v>
      </c>
      <c r="AR591" s="4" t="s">
        <v>227</v>
      </c>
      <c r="AS591" s="4" t="s">
        <v>81</v>
      </c>
      <c r="AT591" s="0" t="n">
        <v>0</v>
      </c>
      <c r="AU591" s="4" t="s">
        <v>61</v>
      </c>
      <c r="AV591" s="4" t="s">
        <v>62</v>
      </c>
    </row>
    <row r="592" customFormat="false" ht="15" hidden="false" customHeight="false" outlineLevel="0" collapsed="false">
      <c r="A592" s="0" t="s">
        <v>2291</v>
      </c>
      <c r="B592" s="3" t="n">
        <f aca="false">IF(AJ592="","",IF(ISNUMBER(SEARCH("/",AJ592)),DATE(VALUE(RIGHT(AJ592,4)),VALUE(LEFT(AJ592,2)),VALUE(MID(AJ592,4,2))),IF(ISNUMBER(SEARCH("-",AJ592)),IF(LEN(LEFT(AJ592,FIND("-",AJ592)-1))=4,DATE(VALUE(LEFT(AJ592,4)),VALUE(MID(AJ592,6,2)),VALUE(RIGHT(AJ592,2))),DATE(VALUE(RIGHT(AJ592,4)),VALUE(MID(AJ592,4,2)),VALUE(LEFT(AJ592,2)))),DATE(VALUE(RIGHT(AJ592,4)),MATCH(MID(AJ592,4,3),{"Jan","Feb","Mar","Apr","May","Jun","Jul","Aug","Sep","Oct","Nov","Dec"},0),VALUE(LEFT(AJ592,2))))))</f>
        <v>45441</v>
      </c>
      <c r="C592" s="3" t="n">
        <f aca="false">IF(AK592="","",IF(ISNUMBER(SEARCH("/",AK592)),DATE(VALUE(RIGHT(AK592,4)),VALUE(LEFT(AK592,2)),VALUE(MID(AK592,4,2))),IF(ISNUMBER(SEARCH("-",AK592)),IF(LEN(LEFT(AK592,FIND("-",AK592)-1))=4,DATE(VALUE(LEFT(AK592,4)),VALUE(MID(AK592,6,2)),VALUE(RIGHT(AK592,2))),DATE(VALUE(RIGHT(AK592,4)),VALUE(MID(AK592,4,2)),VALUE(LEFT(AK592,2)))),DATE(VALUE(RIGHT(AK592,4)),MATCH(MID(AK592,4,3),{"Jan","Feb","Mar","Apr","May","Jun","Jul","Aug","Sep","Oct","Nov","Dec"},0),VALUE(LEFT(AK592,2))))))</f>
        <v>45441</v>
      </c>
      <c r="D592" s="4" t="s">
        <v>2292</v>
      </c>
      <c r="E592" s="0" t="str">
        <f aca="false">PROPER(TRIM(AL592))</f>
        <v>Aarav Sharma</v>
      </c>
      <c r="F592" s="0" t="str">
        <f aca="false">PROPER(TRIM(AM592))</f>
        <v>Home Office</v>
      </c>
      <c r="G592" s="0" t="str">
        <f aca="false">IF(TRIM(AN592)="","Unknown",PROPER(TRIM(AN592)))</f>
        <v>North</v>
      </c>
      <c r="H592" s="0" t="str">
        <f aca="false">PROPER(TRIM(AO592))</f>
        <v>Delhi</v>
      </c>
      <c r="I592" s="0" t="str">
        <f aca="false">PROPER(TRIM(AP592))</f>
        <v>New Delhi</v>
      </c>
      <c r="J592" s="0" t="str">
        <f aca="false">PROPER(TRIM(AQ592))</f>
        <v>Furniture</v>
      </c>
      <c r="K592" s="0" t="str">
        <f aca="false">PROPER(TRIM(AR592))</f>
        <v>Chairs</v>
      </c>
      <c r="M592" s="0" t="str">
        <f aca="false">IF(TRIM(AS592)="","Unknown",PROPER(TRIM(AS592)))</f>
        <v>Same Day</v>
      </c>
      <c r="N592" s="0" t="n">
        <v>6</v>
      </c>
      <c r="O592" s="0" t="n">
        <v>3430.35</v>
      </c>
      <c r="P592" s="5" t="n">
        <f aca="false">IF(AT592="","",IF(ISNUMBER(AT592),AT592,VALUE(SUBSTITUTE(AT592,"%",""))/100))</f>
        <v>0</v>
      </c>
      <c r="Q592" s="5" t="n">
        <f aca="false">IF(P592="",IF(AND(N592&lt;&gt;"",O592&lt;&gt;"",R592&lt;&gt;"",S592&lt;&gt;""),0,"REVIEW"),IF(OR(P592&lt;0,P592&gt;0.3),0,P592))</f>
        <v>0</v>
      </c>
      <c r="R592" s="0" t="n">
        <v>20582.1</v>
      </c>
      <c r="S592" s="0" t="n">
        <v>15897.65</v>
      </c>
      <c r="T592" s="6" t="n">
        <f aca="false">N592*O592*(1-Q592)</f>
        <v>20582.1</v>
      </c>
      <c r="U592" s="6" t="n">
        <f aca="false">T592-S592</f>
        <v>4684.45</v>
      </c>
      <c r="V592" s="7" t="n">
        <f aca="false">IF(T592=0,0,U592/T592)</f>
        <v>0.227598252850778</v>
      </c>
      <c r="W592" s="4" t="n">
        <f aca="false">C592-B592</f>
        <v>0</v>
      </c>
      <c r="X592" s="0" t="str">
        <f aca="false">TEXT(B592,"mmmm")</f>
        <v>May</v>
      </c>
      <c r="Y592" s="4" t="n">
        <f aca="false">YEAR(B592)</f>
        <v>2024</v>
      </c>
      <c r="Z592" s="0" t="str">
        <f aca="false">PROPER(TRIM(AU592))</f>
        <v>Pending</v>
      </c>
      <c r="AA592" s="0" t="str">
        <f aca="false">PROPER(TRIM(AV592))</f>
        <v>Cancelled</v>
      </c>
      <c r="AB592" s="0" t="str">
        <f aca="false">IF(TRIM(AN592)="","Yes","No")</f>
        <v>No</v>
      </c>
      <c r="AC592" s="0" t="str">
        <f aca="false">IF(TRIM(AS592)="","Yes","No")</f>
        <v>No</v>
      </c>
      <c r="AD592" s="0" t="str">
        <f aca="false">IF(AT592="","Yes","No")</f>
        <v>No</v>
      </c>
      <c r="AE592" s="0" t="str">
        <f aca="false">IF(W592&lt;0,"Yes","No")</f>
        <v>No</v>
      </c>
      <c r="AF592" s="0" t="str">
        <f aca="false">IF(P592="","No",IF(OR(P592&lt;0,P592&gt;0.3),"Yes","No"))</f>
        <v>No</v>
      </c>
      <c r="AG592" s="4" t="s">
        <v>50</v>
      </c>
      <c r="AH592" s="0" t="str">
        <f aca="false">IF(AND(AA592="Completed",Z592="Paid"),"Yes","No")</f>
        <v>No</v>
      </c>
      <c r="AI592" s="0" t="str">
        <f aca="false">IF(OR(AE592="Yes",AF592="Yes",AG592="Yes"),"Invalid",IF(OR(AB592="Yes",AC592="Yes",AD592="Yes"),"Warning","Clean"))</f>
        <v>Clean</v>
      </c>
      <c r="AJ592" s="4" t="s">
        <v>270</v>
      </c>
      <c r="AK592" s="4" t="s">
        <v>2293</v>
      </c>
      <c r="AL592" s="4" t="s">
        <v>176</v>
      </c>
      <c r="AM592" s="4" t="s">
        <v>134</v>
      </c>
      <c r="AN592" s="4" t="s">
        <v>168</v>
      </c>
      <c r="AO592" s="4" t="s">
        <v>461</v>
      </c>
      <c r="AP592" s="4" t="s">
        <v>462</v>
      </c>
      <c r="AQ592" s="4" t="s">
        <v>72</v>
      </c>
      <c r="AR592" s="4" t="s">
        <v>100</v>
      </c>
      <c r="AS592" s="4" t="s">
        <v>74</v>
      </c>
      <c r="AT592" s="0" t="n">
        <v>0</v>
      </c>
      <c r="AU592" s="4" t="s">
        <v>2294</v>
      </c>
      <c r="AV592" s="4" t="s">
        <v>101</v>
      </c>
    </row>
    <row r="593" customFormat="false" ht="15" hidden="false" customHeight="false" outlineLevel="0" collapsed="false">
      <c r="A593" s="0" t="s">
        <v>2295</v>
      </c>
      <c r="B593" s="3" t="n">
        <f aca="false">IF(AJ593="","",IF(ISNUMBER(SEARCH("/",AJ593)),DATE(VALUE(RIGHT(AJ593,4)),VALUE(LEFT(AJ593,2)),VALUE(MID(AJ593,4,2))),IF(ISNUMBER(SEARCH("-",AJ593)),IF(LEN(LEFT(AJ593,FIND("-",AJ593)-1))=4,DATE(VALUE(LEFT(AJ593,4)),VALUE(MID(AJ593,6,2)),VALUE(RIGHT(AJ593,2))),DATE(VALUE(RIGHT(AJ593,4)),VALUE(MID(AJ593,4,2)),VALUE(LEFT(AJ593,2)))),DATE(VALUE(RIGHT(AJ593,4)),MATCH(MID(AJ593,4,3),{"Jan","Feb","Mar","Apr","May","Jun","Jul","Aug","Sep","Oct","Nov","Dec"},0),VALUE(LEFT(AJ593,2))))))</f>
        <v>45344</v>
      </c>
      <c r="C593" s="3" t="n">
        <f aca="false">IF(AK593="","",IF(ISNUMBER(SEARCH("/",AK593)),DATE(VALUE(RIGHT(AK593,4)),VALUE(LEFT(AK593,2)),VALUE(MID(AK593,4,2))),IF(ISNUMBER(SEARCH("-",AK593)),IF(LEN(LEFT(AK593,FIND("-",AK593)-1))=4,DATE(VALUE(LEFT(AK593,4)),VALUE(MID(AK593,6,2)),VALUE(RIGHT(AK593,2))),DATE(VALUE(RIGHT(AK593,4)),VALUE(MID(AK593,4,2)),VALUE(LEFT(AK593,2)))),DATE(VALUE(RIGHT(AK593,4)),MATCH(MID(AK593,4,3),{"Jan","Feb","Mar","Apr","May","Jun","Jul","Aug","Sep","Oct","Nov","Dec"},0),VALUE(LEFT(AK593,2))))))</f>
        <v>45346</v>
      </c>
      <c r="D593" s="4" t="s">
        <v>2296</v>
      </c>
      <c r="E593" s="0" t="str">
        <f aca="false">PROPER(TRIM(AL593))</f>
        <v>Sneha Kapoor</v>
      </c>
      <c r="F593" s="0" t="str">
        <f aca="false">PROPER(TRIM(AM593))</f>
        <v>Consumer</v>
      </c>
      <c r="G593" s="0" t="str">
        <f aca="false">IF(TRIM(AN593)="","Unknown",PROPER(TRIM(AN593)))</f>
        <v>South</v>
      </c>
      <c r="H593" s="0" t="str">
        <f aca="false">PROPER(TRIM(AO593))</f>
        <v>Karnataka</v>
      </c>
      <c r="I593" s="0" t="str">
        <f aca="false">PROPER(TRIM(AP593))</f>
        <v>Bengaluru</v>
      </c>
      <c r="J593" s="0" t="str">
        <f aca="false">PROPER(TRIM(AQ593))</f>
        <v>Technology</v>
      </c>
      <c r="K593" s="0" t="str">
        <f aca="false">PROPER(TRIM(AR593))</f>
        <v>Copiers</v>
      </c>
      <c r="M593" s="0" t="str">
        <f aca="false">IF(TRIM(AS593)="","Unknown",PROPER(TRIM(AS593)))</f>
        <v>First Class</v>
      </c>
      <c r="N593" s="0" t="n">
        <v>3</v>
      </c>
      <c r="O593" s="0" t="n">
        <v>3545.08</v>
      </c>
      <c r="P593" s="5" t="n">
        <f aca="false">IF(AT593="","",IF(ISNUMBER(AT593),AT593,VALUE(SUBSTITUTE(AT593,"%",""))/100))</f>
        <v>0</v>
      </c>
      <c r="Q593" s="5" t="n">
        <f aca="false">IF(P593="",IF(AND(N593&lt;&gt;"",O593&lt;&gt;"",R593&lt;&gt;"",S593&lt;&gt;""),0,"REVIEW"),IF(OR(P593&lt;0,P593&gt;0.3),0,P593))</f>
        <v>0</v>
      </c>
      <c r="R593" s="0" t="n">
        <v>10635.24</v>
      </c>
      <c r="S593" s="0" t="n">
        <v>6031.88</v>
      </c>
      <c r="T593" s="6" t="n">
        <f aca="false">N593*O593*(1-Q593)</f>
        <v>10635.24</v>
      </c>
      <c r="U593" s="6" t="n">
        <f aca="false">T593-S593</f>
        <v>4603.36</v>
      </c>
      <c r="V593" s="7" t="n">
        <f aca="false">IF(T593=0,0,U593/T593)</f>
        <v>0.432840255603071</v>
      </c>
      <c r="W593" s="4" t="n">
        <f aca="false">C593-B593</f>
        <v>2</v>
      </c>
      <c r="X593" s="0" t="str">
        <f aca="false">TEXT(B593,"mmmm")</f>
        <v>February</v>
      </c>
      <c r="Y593" s="4" t="n">
        <f aca="false">YEAR(B593)</f>
        <v>2024</v>
      </c>
      <c r="Z593" s="0" t="str">
        <f aca="false">PROPER(TRIM(AU593))</f>
        <v>Failed</v>
      </c>
      <c r="AA593" s="0" t="str">
        <f aca="false">PROPER(TRIM(AV593))</f>
        <v>Returned</v>
      </c>
      <c r="AB593" s="0" t="str">
        <f aca="false">IF(TRIM(AN593)="","Yes","No")</f>
        <v>No</v>
      </c>
      <c r="AC593" s="0" t="str">
        <f aca="false">IF(TRIM(AS593)="","Yes","No")</f>
        <v>No</v>
      </c>
      <c r="AD593" s="0" t="str">
        <f aca="false">IF(AT593="","Yes","No")</f>
        <v>No</v>
      </c>
      <c r="AE593" s="0" t="str">
        <f aca="false">IF(W593&lt;0,"Yes","No")</f>
        <v>No</v>
      </c>
      <c r="AF593" s="0" t="str">
        <f aca="false">IF(P593="","No",IF(OR(P593&lt;0,P593&gt;0.3),"Yes","No"))</f>
        <v>No</v>
      </c>
      <c r="AG593" s="4" t="s">
        <v>50</v>
      </c>
      <c r="AH593" s="0" t="str">
        <f aca="false">IF(AND(AA593="Completed",Z593="Paid"),"Yes","No")</f>
        <v>No</v>
      </c>
      <c r="AI593" s="0" t="str">
        <f aca="false">IF(OR(AE593="Yes",AF593="Yes",AG593="Yes"),"Invalid",IF(OR(AB593="Yes",AC593="Yes",AD593="Yes"),"Warning","Clean"))</f>
        <v>Clean</v>
      </c>
      <c r="AJ593" s="4" t="s">
        <v>2297</v>
      </c>
      <c r="AK593" s="4" t="s">
        <v>2298</v>
      </c>
      <c r="AL593" s="4" t="s">
        <v>181</v>
      </c>
      <c r="AM593" s="4" t="s">
        <v>54</v>
      </c>
      <c r="AN593" s="4" t="s">
        <v>87</v>
      </c>
      <c r="AO593" s="4" t="s">
        <v>233</v>
      </c>
      <c r="AP593" s="4" t="s">
        <v>234</v>
      </c>
      <c r="AQ593" s="4" t="s">
        <v>109</v>
      </c>
      <c r="AR593" s="4" t="s">
        <v>116</v>
      </c>
      <c r="AS593" s="4" t="s">
        <v>81</v>
      </c>
      <c r="AT593" s="0" t="n">
        <v>0</v>
      </c>
      <c r="AU593" s="4" t="s">
        <v>207</v>
      </c>
      <c r="AV593" s="4" t="s">
        <v>142</v>
      </c>
    </row>
    <row r="594" customFormat="false" ht="15" hidden="false" customHeight="false" outlineLevel="0" collapsed="false">
      <c r="A594" s="0" t="s">
        <v>2299</v>
      </c>
      <c r="B594" s="3" t="n">
        <f aca="false">IF(AJ594="","",IF(ISNUMBER(SEARCH("/",AJ594)),DATE(VALUE(RIGHT(AJ594,4)),VALUE(LEFT(AJ594,2)),VALUE(MID(AJ594,4,2))),IF(ISNUMBER(SEARCH("-",AJ594)),IF(LEN(LEFT(AJ594,FIND("-",AJ594)-1))=4,DATE(VALUE(LEFT(AJ594,4)),VALUE(MID(AJ594,6,2)),VALUE(RIGHT(AJ594,2))),DATE(VALUE(RIGHT(AJ594,4)),VALUE(MID(AJ594,4,2)),VALUE(LEFT(AJ594,2)))),DATE(VALUE(RIGHT(AJ594,4)),MATCH(MID(AJ594,4,3),{"Jan","Feb","Mar","Apr","May","Jun","Jul","Aug","Sep","Oct","Nov","Dec"},0),VALUE(LEFT(AJ594,2))))))</f>
        <v>45355</v>
      </c>
      <c r="C594" s="3" t="n">
        <f aca="false">IF(AK594="","",IF(ISNUMBER(SEARCH("/",AK594)),DATE(VALUE(RIGHT(AK594,4)),VALUE(LEFT(AK594,2)),VALUE(MID(AK594,4,2))),IF(ISNUMBER(SEARCH("-",AK594)),IF(LEN(LEFT(AK594,FIND("-",AK594)-1))=4,DATE(VALUE(LEFT(AK594,4)),VALUE(MID(AK594,6,2)),VALUE(RIGHT(AK594,2))),DATE(VALUE(RIGHT(AK594,4)),VALUE(MID(AK594,4,2)),VALUE(LEFT(AK594,2)))),DATE(VALUE(RIGHT(AK594,4)),MATCH(MID(AK594,4,3),{"Jan","Feb","Mar","Apr","May","Jun","Jul","Aug","Sep","Oct","Nov","Dec"},0),VALUE(LEFT(AK594,2))))))</f>
        <v>45360</v>
      </c>
      <c r="D594" s="4" t="s">
        <v>2300</v>
      </c>
      <c r="E594" s="0" t="str">
        <f aca="false">PROPER(TRIM(AL594))</f>
        <v>Mira Das</v>
      </c>
      <c r="F594" s="0" t="str">
        <f aca="false">PROPER(TRIM(AM594))</f>
        <v>Consumer</v>
      </c>
      <c r="G594" s="0" t="str">
        <f aca="false">IF(TRIM(AN594)="","Unknown",PROPER(TRIM(AN594)))</f>
        <v>East</v>
      </c>
      <c r="H594" s="0" t="str">
        <f aca="false">PROPER(TRIM(AO594))</f>
        <v>West Bengal</v>
      </c>
      <c r="I594" s="0" t="str">
        <f aca="false">PROPER(TRIM(AP594))</f>
        <v>Kolkata</v>
      </c>
      <c r="J594" s="0" t="str">
        <f aca="false">PROPER(TRIM(AQ594))</f>
        <v>Technology</v>
      </c>
      <c r="K594" s="0" t="str">
        <f aca="false">PROPER(TRIM(AR594))</f>
        <v>Accessories</v>
      </c>
      <c r="M594" s="0" t="str">
        <f aca="false">IF(TRIM(AS594)="","Unknown",PROPER(TRIM(AS594)))</f>
        <v>Same Day</v>
      </c>
      <c r="N594" s="0" t="n">
        <v>8</v>
      </c>
      <c r="O594" s="0" t="n">
        <v>4401.41</v>
      </c>
      <c r="P594" s="5" t="n">
        <f aca="false">IF(AT594="","",IF(ISNUMBER(AT594),AT594,VALUE(SUBSTITUTE(AT594,"%",""))/100))</f>
        <v>0.15</v>
      </c>
      <c r="Q594" s="5" t="n">
        <f aca="false">IF(P594="",IF(AND(N594&lt;&gt;"",O594&lt;&gt;"",R594&lt;&gt;"",S594&lt;&gt;""),0,"REVIEW"),IF(OR(P594&lt;0,P594&gt;0.3),0,P594))</f>
        <v>0.15</v>
      </c>
      <c r="R594" s="0" t="n">
        <v>29929.59</v>
      </c>
      <c r="S594" s="0" t="n">
        <v>22436.03</v>
      </c>
      <c r="T594" s="6" t="n">
        <f aca="false">N594*O594*(1-Q594)</f>
        <v>29929.588</v>
      </c>
      <c r="U594" s="6" t="n">
        <f aca="false">T594-S594</f>
        <v>7493.558</v>
      </c>
      <c r="V594" s="7" t="n">
        <f aca="false">IF(T594=0,0,U594/T594)</f>
        <v>0.250372908574619</v>
      </c>
      <c r="W594" s="4" t="n">
        <f aca="false">C594-B594</f>
        <v>5</v>
      </c>
      <c r="X594" s="0" t="str">
        <f aca="false">TEXT(B594,"mmmm")</f>
        <v>March</v>
      </c>
      <c r="Y594" s="4" t="n">
        <f aca="false">YEAR(B594)</f>
        <v>2024</v>
      </c>
      <c r="Z594" s="0" t="str">
        <f aca="false">PROPER(TRIM(AU594))</f>
        <v>Paid</v>
      </c>
      <c r="AA594" s="0" t="str">
        <f aca="false">PROPER(TRIM(AV594))</f>
        <v>Completed</v>
      </c>
      <c r="AB594" s="0" t="str">
        <f aca="false">IF(TRIM(AN594)="","Yes","No")</f>
        <v>No</v>
      </c>
      <c r="AC594" s="0" t="str">
        <f aca="false">IF(TRIM(AS594)="","Yes","No")</f>
        <v>No</v>
      </c>
      <c r="AD594" s="0" t="str">
        <f aca="false">IF(AT594="","Yes","No")</f>
        <v>No</v>
      </c>
      <c r="AE594" s="0" t="str">
        <f aca="false">IF(W594&lt;0,"Yes","No")</f>
        <v>No</v>
      </c>
      <c r="AF594" s="0" t="str">
        <f aca="false">IF(P594="","No",IF(OR(P594&lt;0,P594&gt;0.3),"Yes","No"))</f>
        <v>No</v>
      </c>
      <c r="AG594" s="4" t="s">
        <v>50</v>
      </c>
      <c r="AH594" s="0" t="str">
        <f aca="false">IF(AND(AA594="Completed",Z594="Paid"),"Yes","No")</f>
        <v>Yes</v>
      </c>
      <c r="AI594" s="0" t="str">
        <f aca="false">IF(OR(AE594="Yes",AF594="Yes",AG594="Yes"),"Invalid",IF(OR(AB594="Yes",AC594="Yes",AD594="Yes"),"Warning","Clean"))</f>
        <v>Clean</v>
      </c>
      <c r="AJ594" s="4" t="s">
        <v>732</v>
      </c>
      <c r="AK594" s="4" t="s">
        <v>778</v>
      </c>
      <c r="AL594" s="4" t="s">
        <v>67</v>
      </c>
      <c r="AM594" s="4" t="s">
        <v>54</v>
      </c>
      <c r="AN594" s="4" t="s">
        <v>69</v>
      </c>
      <c r="AO594" s="4" t="s">
        <v>139</v>
      </c>
      <c r="AP594" s="4" t="s">
        <v>140</v>
      </c>
      <c r="AQ594" s="4" t="s">
        <v>109</v>
      </c>
      <c r="AR594" s="4" t="s">
        <v>110</v>
      </c>
      <c r="AS594" s="4" t="s">
        <v>74</v>
      </c>
      <c r="AT594" s="0" t="n">
        <v>0.15</v>
      </c>
      <c r="AU594" s="4" t="s">
        <v>61</v>
      </c>
      <c r="AV594" s="4" t="s">
        <v>62</v>
      </c>
    </row>
    <row r="595" customFormat="false" ht="15" hidden="false" customHeight="false" outlineLevel="0" collapsed="false">
      <c r="A595" s="0" t="s">
        <v>2301</v>
      </c>
      <c r="B595" s="3" t="n">
        <f aca="false">IF(AJ595="","",IF(ISNUMBER(SEARCH("/",AJ595)),DATE(VALUE(RIGHT(AJ595,4)),VALUE(LEFT(AJ595,2)),VALUE(MID(AJ595,4,2))),IF(ISNUMBER(SEARCH("-",AJ595)),IF(LEN(LEFT(AJ595,FIND("-",AJ595)-1))=4,DATE(VALUE(LEFT(AJ595,4)),VALUE(MID(AJ595,6,2)),VALUE(RIGHT(AJ595,2))),DATE(VALUE(RIGHT(AJ595,4)),VALUE(MID(AJ595,4,2)),VALUE(LEFT(AJ595,2)))),DATE(VALUE(RIGHT(AJ595,4)),MATCH(MID(AJ595,4,3),{"Jan","Feb","Mar","Apr","May","Jun","Jul","Aug","Sep","Oct","Nov","Dec"},0),VALUE(LEFT(AJ595,2))))))</f>
        <v>45927</v>
      </c>
      <c r="C595" s="3" t="n">
        <f aca="false">IF(AK595="","",IF(ISNUMBER(SEARCH("/",AK595)),DATE(VALUE(RIGHT(AK595,4)),VALUE(LEFT(AK595,2)),VALUE(MID(AK595,4,2))),IF(ISNUMBER(SEARCH("-",AK595)),IF(LEN(LEFT(AK595,FIND("-",AK595)-1))=4,DATE(VALUE(LEFT(AK595,4)),VALUE(MID(AK595,6,2)),VALUE(RIGHT(AK595,2))),DATE(VALUE(RIGHT(AK595,4)),VALUE(MID(AK595,4,2)),VALUE(LEFT(AK595,2)))),DATE(VALUE(RIGHT(AK595,4)),MATCH(MID(AK595,4,3),{"Jan","Feb","Mar","Apr","May","Jun","Jul","Aug","Sep","Oct","Nov","Dec"},0),VALUE(LEFT(AK595,2))))))</f>
        <v>45929</v>
      </c>
      <c r="D595" s="4" t="s">
        <v>2060</v>
      </c>
      <c r="E595" s="0" t="str">
        <f aca="false">PROPER(TRIM(AL595))</f>
        <v>Arjun Bose</v>
      </c>
      <c r="F595" s="0" t="str">
        <f aca="false">PROPER(TRIM(AM595))</f>
        <v>Home Office</v>
      </c>
      <c r="G595" s="0" t="str">
        <f aca="false">IF(TRIM(AN595)="","Unknown",PROPER(TRIM(AN595)))</f>
        <v>North</v>
      </c>
      <c r="H595" s="0" t="str">
        <f aca="false">PROPER(TRIM(AO595))</f>
        <v>Uttar Pradesh</v>
      </c>
      <c r="I595" s="0" t="str">
        <f aca="false">PROPER(TRIM(AP595))</f>
        <v>Noida</v>
      </c>
      <c r="J595" s="0" t="str">
        <f aca="false">PROPER(TRIM(AQ595))</f>
        <v>Furniture</v>
      </c>
      <c r="K595" s="0" t="str">
        <f aca="false">PROPER(TRIM(AR595))</f>
        <v>Tables</v>
      </c>
      <c r="M595" s="0" t="str">
        <f aca="false">IF(TRIM(AS595)="","Unknown",PROPER(TRIM(AS595)))</f>
        <v>Second Class</v>
      </c>
      <c r="N595" s="0" t="n">
        <v>9</v>
      </c>
      <c r="O595" s="0" t="n">
        <v>4100.11</v>
      </c>
      <c r="P595" s="5" t="n">
        <f aca="false">IF(AT595="","",IF(ISNUMBER(AT595),AT595,VALUE(SUBSTITUTE(AT595,"%",""))/100))</f>
        <v>0.25</v>
      </c>
      <c r="Q595" s="5" t="n">
        <f aca="false">IF(P595="",IF(AND(N595&lt;&gt;"",O595&lt;&gt;"",R595&lt;&gt;"",S595&lt;&gt;""),0,"REVIEW"),IF(OR(P595&lt;0,P595&gt;0.3),0,P595))</f>
        <v>0.25</v>
      </c>
      <c r="R595" s="0" t="n">
        <v>27675.74</v>
      </c>
      <c r="S595" s="0" t="n">
        <v>15571.08</v>
      </c>
      <c r="T595" s="6" t="n">
        <f aca="false">N595*O595*(1-Q595)</f>
        <v>27675.7425</v>
      </c>
      <c r="U595" s="6" t="n">
        <f aca="false">T595-S595</f>
        <v>12104.6625</v>
      </c>
      <c r="V595" s="7" t="n">
        <f aca="false">IF(T595=0,0,U595/T595)</f>
        <v>0.437374444425475</v>
      </c>
      <c r="W595" s="4" t="n">
        <f aca="false">C595-B595</f>
        <v>2</v>
      </c>
      <c r="X595" s="0" t="str">
        <f aca="false">TEXT(B595,"mmmm")</f>
        <v>September</v>
      </c>
      <c r="Y595" s="4" t="n">
        <f aca="false">YEAR(B595)</f>
        <v>2025</v>
      </c>
      <c r="Z595" s="0" t="str">
        <f aca="false">PROPER(TRIM(AU595))</f>
        <v>Paid</v>
      </c>
      <c r="AA595" s="0" t="str">
        <f aca="false">PROPER(TRIM(AV595))</f>
        <v>Completed</v>
      </c>
      <c r="AB595" s="0" t="str">
        <f aca="false">IF(TRIM(AN595)="","Yes","No")</f>
        <v>No</v>
      </c>
      <c r="AC595" s="0" t="str">
        <f aca="false">IF(TRIM(AS595)="","Yes","No")</f>
        <v>No</v>
      </c>
      <c r="AD595" s="0" t="str">
        <f aca="false">IF(AT595="","Yes","No")</f>
        <v>No</v>
      </c>
      <c r="AE595" s="0" t="str">
        <f aca="false">IF(W595&lt;0,"Yes","No")</f>
        <v>No</v>
      </c>
      <c r="AF595" s="0" t="str">
        <f aca="false">IF(P595="","No",IF(OR(P595&lt;0,P595&gt;0.3),"Yes","No"))</f>
        <v>No</v>
      </c>
      <c r="AG595" s="4" t="s">
        <v>50</v>
      </c>
      <c r="AH595" s="0" t="str">
        <f aca="false">IF(AND(AA595="Completed",Z595="Paid"),"Yes","No")</f>
        <v>Yes</v>
      </c>
      <c r="AI595" s="0" t="str">
        <f aca="false">IF(OR(AE595="Yes",AF595="Yes",AG595="Yes"),"Invalid",IF(OR(AB595="Yes",AC595="Yes",AD595="Yes"),"Warning","Clean"))</f>
        <v>Clean</v>
      </c>
      <c r="AJ595" s="4" t="s">
        <v>1144</v>
      </c>
      <c r="AK595" s="4" t="s">
        <v>2302</v>
      </c>
      <c r="AL595" s="4" t="s">
        <v>86</v>
      </c>
      <c r="AM595" s="4" t="s">
        <v>134</v>
      </c>
      <c r="AN595" s="4" t="s">
        <v>168</v>
      </c>
      <c r="AO595" s="4" t="s">
        <v>186</v>
      </c>
      <c r="AP595" s="4" t="s">
        <v>187</v>
      </c>
      <c r="AQ595" s="4" t="s">
        <v>72</v>
      </c>
      <c r="AR595" s="4" t="s">
        <v>73</v>
      </c>
      <c r="AS595" s="4" t="s">
        <v>60</v>
      </c>
      <c r="AT595" s="0" t="n">
        <v>0.25</v>
      </c>
      <c r="AU595" s="4" t="s">
        <v>61</v>
      </c>
      <c r="AV595" s="4" t="s">
        <v>62</v>
      </c>
    </row>
    <row r="596" customFormat="false" ht="15" hidden="false" customHeight="false" outlineLevel="0" collapsed="false">
      <c r="A596" s="0" t="s">
        <v>2303</v>
      </c>
      <c r="B596" s="3" t="n">
        <f aca="false">IF(AJ596="","",IF(ISNUMBER(SEARCH("/",AJ596)),DATE(VALUE(RIGHT(AJ596,4)),VALUE(LEFT(AJ596,2)),VALUE(MID(AJ596,4,2))),IF(ISNUMBER(SEARCH("-",AJ596)),IF(LEN(LEFT(AJ596,FIND("-",AJ596)-1))=4,DATE(VALUE(LEFT(AJ596,4)),VALUE(MID(AJ596,6,2)),VALUE(RIGHT(AJ596,2))),DATE(VALUE(RIGHT(AJ596,4)),VALUE(MID(AJ596,4,2)),VALUE(LEFT(AJ596,2)))),DATE(VALUE(RIGHT(AJ596,4)),MATCH(MID(AJ596,4,3),{"Jan","Feb","Mar","Apr","May","Jun","Jul","Aug","Sep","Oct","Nov","Dec"},0),VALUE(LEFT(AJ596,2))))))</f>
        <v>45554</v>
      </c>
      <c r="C596" s="3" t="n">
        <f aca="false">IF(AK596="","",IF(ISNUMBER(SEARCH("/",AK596)),DATE(VALUE(RIGHT(AK596,4)),VALUE(LEFT(AK596,2)),VALUE(MID(AK596,4,2))),IF(ISNUMBER(SEARCH("-",AK596)),IF(LEN(LEFT(AK596,FIND("-",AK596)-1))=4,DATE(VALUE(LEFT(AK596,4)),VALUE(MID(AK596,6,2)),VALUE(RIGHT(AK596,2))),DATE(VALUE(RIGHT(AK596,4)),VALUE(MID(AK596,4,2)),VALUE(LEFT(AK596,2)))),DATE(VALUE(RIGHT(AK596,4)),MATCH(MID(AK596,4,3),{"Jan","Feb","Mar","Apr","May","Jun","Jul","Aug","Sep","Oct","Nov","Dec"},0),VALUE(LEFT(AK596,2))))))</f>
        <v>45556</v>
      </c>
      <c r="D596" s="4" t="s">
        <v>2304</v>
      </c>
      <c r="E596" s="0" t="str">
        <f aca="false">PROPER(TRIM(AL596))</f>
        <v>Karan Malhotra</v>
      </c>
      <c r="F596" s="0" t="str">
        <f aca="false">PROPER(TRIM(AM596))</f>
        <v>Small Business</v>
      </c>
      <c r="G596" s="0" t="str">
        <f aca="false">IF(TRIM(AN596)="","Unknown",PROPER(TRIM(AN596)))</f>
        <v>East</v>
      </c>
      <c r="H596" s="0" t="str">
        <f aca="false">PROPER(TRIM(AO596))</f>
        <v>West Bengal</v>
      </c>
      <c r="I596" s="0" t="str">
        <f aca="false">PROPER(TRIM(AP596))</f>
        <v>Kolkata</v>
      </c>
      <c r="J596" s="0" t="str">
        <f aca="false">PROPER(TRIM(AQ596))</f>
        <v>Furniture</v>
      </c>
      <c r="K596" s="0" t="str">
        <f aca="false">PROPER(TRIM(AR596))</f>
        <v>Chairs</v>
      </c>
      <c r="M596" s="0" t="str">
        <f aca="false">IF(TRIM(AS596)="","Unknown",PROPER(TRIM(AS596)))</f>
        <v>First Class</v>
      </c>
      <c r="N596" s="0" t="n">
        <v>3</v>
      </c>
      <c r="O596" s="0" t="n">
        <v>3981.76</v>
      </c>
      <c r="P596" s="5" t="n">
        <f aca="false">IF(AT596="","",IF(ISNUMBER(AT596),AT596,VALUE(SUBSTITUTE(AT596,"%",""))/100))</f>
        <v>0</v>
      </c>
      <c r="Q596" s="5" t="n">
        <f aca="false">IF(P596="",IF(AND(N596&lt;&gt;"",O596&lt;&gt;"",R596&lt;&gt;"",S596&lt;&gt;""),0,"REVIEW"),IF(OR(P596&lt;0,P596&gt;0.3),0,P596))</f>
        <v>0</v>
      </c>
      <c r="R596" s="0" t="n">
        <v>11945.28</v>
      </c>
      <c r="S596" s="0" t="n">
        <v>9700.31</v>
      </c>
      <c r="T596" s="6" t="n">
        <f aca="false">N596*O596*(1-Q596)</f>
        <v>11945.28</v>
      </c>
      <c r="U596" s="6" t="n">
        <f aca="false">T596-S596</f>
        <v>2244.97</v>
      </c>
      <c r="V596" s="7" t="n">
        <f aca="false">IF(T596=0,0,U596/T596)</f>
        <v>0.187937829837392</v>
      </c>
      <c r="W596" s="4" t="n">
        <f aca="false">C596-B596</f>
        <v>2</v>
      </c>
      <c r="X596" s="0" t="str">
        <f aca="false">TEXT(B596,"mmmm")</f>
        <v>September</v>
      </c>
      <c r="Y596" s="4" t="n">
        <f aca="false">YEAR(B596)</f>
        <v>2024</v>
      </c>
      <c r="Z596" s="0" t="str">
        <f aca="false">PROPER(TRIM(AU596))</f>
        <v>Paid</v>
      </c>
      <c r="AA596" s="0" t="str">
        <f aca="false">PROPER(TRIM(AV596))</f>
        <v>Completed</v>
      </c>
      <c r="AB596" s="0" t="str">
        <f aca="false">IF(TRIM(AN596)="","Yes","No")</f>
        <v>No</v>
      </c>
      <c r="AC596" s="0" t="str">
        <f aca="false">IF(TRIM(AS596)="","Yes","No")</f>
        <v>No</v>
      </c>
      <c r="AD596" s="0" t="str">
        <f aca="false">IF(AT596="","Yes","No")</f>
        <v>No</v>
      </c>
      <c r="AE596" s="0" t="str">
        <f aca="false">IF(W596&lt;0,"Yes","No")</f>
        <v>No</v>
      </c>
      <c r="AF596" s="0" t="str">
        <f aca="false">IF(P596="","No",IF(OR(P596&lt;0,P596&gt;0.3),"Yes","No"))</f>
        <v>No</v>
      </c>
      <c r="AG596" s="4" t="s">
        <v>50</v>
      </c>
      <c r="AH596" s="0" t="str">
        <f aca="false">IF(AND(AA596="Completed",Z596="Paid"),"Yes","No")</f>
        <v>Yes</v>
      </c>
      <c r="AI596" s="0" t="str">
        <f aca="false">IF(OR(AE596="Yes",AF596="Yes",AG596="Yes"),"Invalid",IF(OR(AB596="Yes",AC596="Yes",AD596="Yes"),"Warning","Clean"))</f>
        <v>Clean</v>
      </c>
      <c r="AJ596" s="4" t="s">
        <v>2305</v>
      </c>
      <c r="AK596" s="4" t="s">
        <v>967</v>
      </c>
      <c r="AL596" s="4" t="s">
        <v>53</v>
      </c>
      <c r="AM596" s="4" t="s">
        <v>68</v>
      </c>
      <c r="AN596" s="4" t="s">
        <v>69</v>
      </c>
      <c r="AO596" s="4" t="s">
        <v>139</v>
      </c>
      <c r="AP596" s="4" t="s">
        <v>140</v>
      </c>
      <c r="AQ596" s="4" t="s">
        <v>72</v>
      </c>
      <c r="AR596" s="4" t="s">
        <v>100</v>
      </c>
      <c r="AS596" s="4" t="s">
        <v>81</v>
      </c>
      <c r="AT596" s="0" t="n">
        <v>0</v>
      </c>
      <c r="AU596" s="4" t="s">
        <v>61</v>
      </c>
      <c r="AV596" s="4" t="s">
        <v>62</v>
      </c>
    </row>
    <row r="597" customFormat="false" ht="15" hidden="false" customHeight="false" outlineLevel="0" collapsed="false">
      <c r="A597" s="0" t="s">
        <v>2306</v>
      </c>
      <c r="B597" s="3" t="n">
        <f aca="false">IF(AJ597="","",IF(ISNUMBER(SEARCH("/",AJ597)),DATE(VALUE(RIGHT(AJ597,4)),VALUE(LEFT(AJ597,2)),VALUE(MID(AJ597,4,2))),IF(ISNUMBER(SEARCH("-",AJ597)),IF(LEN(LEFT(AJ597,FIND("-",AJ597)-1))=4,DATE(VALUE(LEFT(AJ597,4)),VALUE(MID(AJ597,6,2)),VALUE(RIGHT(AJ597,2))),DATE(VALUE(RIGHT(AJ597,4)),VALUE(MID(AJ597,4,2)),VALUE(LEFT(AJ597,2)))),DATE(VALUE(RIGHT(AJ597,4)),MATCH(MID(AJ597,4,3),{"Jan","Feb","Mar","Apr","May","Jun","Jul","Aug","Sep","Oct","Nov","Dec"},0),VALUE(LEFT(AJ597,2))))))</f>
        <v>45699</v>
      </c>
      <c r="C597" s="3" t="n">
        <f aca="false">IF(AK597="","",IF(ISNUMBER(SEARCH("/",AK597)),DATE(VALUE(RIGHT(AK597,4)),VALUE(LEFT(AK597,2)),VALUE(MID(AK597,4,2))),IF(ISNUMBER(SEARCH("-",AK597)),IF(LEN(LEFT(AK597,FIND("-",AK597)-1))=4,DATE(VALUE(LEFT(AK597,4)),VALUE(MID(AK597,6,2)),VALUE(RIGHT(AK597,2))),DATE(VALUE(RIGHT(AK597,4)),VALUE(MID(AK597,4,2)),VALUE(LEFT(AK597,2)))),DATE(VALUE(RIGHT(AK597,4)),MATCH(MID(AK597,4,3),{"Jan","Feb","Mar","Apr","May","Jun","Jul","Aug","Sep","Oct","Nov","Dec"},0),VALUE(LEFT(AK597,2))))))</f>
        <v>45704</v>
      </c>
      <c r="D597" s="4" t="s">
        <v>2307</v>
      </c>
      <c r="E597" s="0" t="str">
        <f aca="false">PROPER(TRIM(AL597))</f>
        <v>Mira Das</v>
      </c>
      <c r="F597" s="0" t="str">
        <f aca="false">PROPER(TRIM(AM597))</f>
        <v>Corporate</v>
      </c>
      <c r="G597" s="0" t="str">
        <f aca="false">IF(TRIM(AN597)="","Unknown",PROPER(TRIM(AN597)))</f>
        <v>North</v>
      </c>
      <c r="H597" s="0" t="str">
        <f aca="false">PROPER(TRIM(AO597))</f>
        <v>Uttar Pradesh</v>
      </c>
      <c r="I597" s="0" t="str">
        <f aca="false">PROPER(TRIM(AP597))</f>
        <v>Noida</v>
      </c>
      <c r="J597" s="0" t="str">
        <f aca="false">PROPER(TRIM(AQ597))</f>
        <v>Technology</v>
      </c>
      <c r="K597" s="0" t="str">
        <f aca="false">PROPER(TRIM(AR597))</f>
        <v>Phones</v>
      </c>
      <c r="M597" s="0" t="str">
        <f aca="false">IF(TRIM(AS597)="","Unknown",PROPER(TRIM(AS597)))</f>
        <v>First Class</v>
      </c>
      <c r="N597" s="0" t="n">
        <v>8</v>
      </c>
      <c r="O597" s="0" t="n">
        <v>1825.56</v>
      </c>
      <c r="P597" s="5" t="n">
        <f aca="false">IF(AT597="","",IF(ISNUMBER(AT597),AT597,VALUE(SUBSTITUTE(AT597,"%",""))/100))</f>
        <v>0.1</v>
      </c>
      <c r="Q597" s="5" t="n">
        <f aca="false">IF(P597="",IF(AND(N597&lt;&gt;"",O597&lt;&gt;"",R597&lt;&gt;"",S597&lt;&gt;""),0,"REVIEW"),IF(OR(P597&lt;0,P597&gt;0.3),0,P597))</f>
        <v>0.1</v>
      </c>
      <c r="R597" s="0" t="n">
        <v>13144.03</v>
      </c>
      <c r="S597" s="0" t="n">
        <v>9764</v>
      </c>
      <c r="T597" s="6" t="n">
        <f aca="false">N597*O597*(1-Q597)</f>
        <v>13144.032</v>
      </c>
      <c r="U597" s="6" t="n">
        <f aca="false">T597-S597</f>
        <v>3380.032</v>
      </c>
      <c r="V597" s="7" t="n">
        <f aca="false">IF(T597=0,0,U597/T597)</f>
        <v>0.25715336055177</v>
      </c>
      <c r="W597" s="4" t="n">
        <f aca="false">C597-B597</f>
        <v>5</v>
      </c>
      <c r="X597" s="0" t="str">
        <f aca="false">TEXT(B597,"mmmm")</f>
        <v>February</v>
      </c>
      <c r="Y597" s="4" t="n">
        <f aca="false">YEAR(B597)</f>
        <v>2025</v>
      </c>
      <c r="Z597" s="0" t="str">
        <f aca="false">PROPER(TRIM(AU597))</f>
        <v>Paid</v>
      </c>
      <c r="AA597" s="0" t="str">
        <f aca="false">PROPER(TRIM(AV597))</f>
        <v>Completed</v>
      </c>
      <c r="AB597" s="0" t="str">
        <f aca="false">IF(TRIM(AN597)="","Yes","No")</f>
        <v>No</v>
      </c>
      <c r="AC597" s="0" t="str">
        <f aca="false">IF(TRIM(AS597)="","Yes","No")</f>
        <v>No</v>
      </c>
      <c r="AD597" s="0" t="str">
        <f aca="false">IF(AT597="","Yes","No")</f>
        <v>No</v>
      </c>
      <c r="AE597" s="0" t="str">
        <f aca="false">IF(W597&lt;0,"Yes","No")</f>
        <v>No</v>
      </c>
      <c r="AF597" s="0" t="str">
        <f aca="false">IF(P597="","No",IF(OR(P597&lt;0,P597&gt;0.3),"Yes","No"))</f>
        <v>No</v>
      </c>
      <c r="AG597" s="4" t="s">
        <v>50</v>
      </c>
      <c r="AH597" s="0" t="str">
        <f aca="false">IF(AND(AA597="Completed",Z597="Paid"),"Yes","No")</f>
        <v>Yes</v>
      </c>
      <c r="AI597" s="0" t="str">
        <f aca="false">IF(OR(AE597="Yes",AF597="Yes",AG597="Yes"),"Invalid",IF(OR(AB597="Yes",AC597="Yes",AD597="Yes"),"Warning","Clean"))</f>
        <v>Clean</v>
      </c>
      <c r="AJ597" s="4" t="s">
        <v>2308</v>
      </c>
      <c r="AK597" s="4" t="s">
        <v>2309</v>
      </c>
      <c r="AL597" s="4" t="s">
        <v>67</v>
      </c>
      <c r="AM597" s="4" t="s">
        <v>128</v>
      </c>
      <c r="AN597" s="4" t="s">
        <v>168</v>
      </c>
      <c r="AO597" s="4" t="s">
        <v>186</v>
      </c>
      <c r="AP597" s="4" t="s">
        <v>187</v>
      </c>
      <c r="AQ597" s="4" t="s">
        <v>109</v>
      </c>
      <c r="AR597" s="4" t="s">
        <v>227</v>
      </c>
      <c r="AS597" s="4" t="s">
        <v>81</v>
      </c>
      <c r="AT597" s="0" t="n">
        <v>0.1</v>
      </c>
      <c r="AU597" s="4" t="s">
        <v>61</v>
      </c>
      <c r="AV597" s="4" t="s">
        <v>62</v>
      </c>
    </row>
    <row r="598" customFormat="false" ht="15" hidden="false" customHeight="false" outlineLevel="0" collapsed="false">
      <c r="A598" s="0" t="s">
        <v>2310</v>
      </c>
      <c r="B598" s="3" t="n">
        <f aca="false">IF(AJ598="","",IF(ISNUMBER(SEARCH("/",AJ598)),DATE(VALUE(RIGHT(AJ598,4)),VALUE(LEFT(AJ598,2)),VALUE(MID(AJ598,4,2))),IF(ISNUMBER(SEARCH("-",AJ598)),IF(LEN(LEFT(AJ598,FIND("-",AJ598)-1))=4,DATE(VALUE(LEFT(AJ598,4)),VALUE(MID(AJ598,6,2)),VALUE(RIGHT(AJ598,2))),DATE(VALUE(RIGHT(AJ598,4)),VALUE(MID(AJ598,4,2)),VALUE(LEFT(AJ598,2)))),DATE(VALUE(RIGHT(AJ598,4)),MATCH(MID(AJ598,4,3),{"Jan","Feb","Mar","Apr","May","Jun","Jul","Aug","Sep","Oct","Nov","Dec"},0),VALUE(LEFT(AJ598,2))))))</f>
        <v>45392</v>
      </c>
      <c r="C598" s="3" t="n">
        <f aca="false">IF(AK598="","",IF(ISNUMBER(SEARCH("/",AK598)),DATE(VALUE(RIGHT(AK598,4)),VALUE(LEFT(AK598,2)),VALUE(MID(AK598,4,2))),IF(ISNUMBER(SEARCH("-",AK598)),IF(LEN(LEFT(AK598,FIND("-",AK598)-1))=4,DATE(VALUE(LEFT(AK598,4)),VALUE(MID(AK598,6,2)),VALUE(RIGHT(AK598,2))),DATE(VALUE(RIGHT(AK598,4)),VALUE(MID(AK598,4,2)),VALUE(LEFT(AK598,2)))),DATE(VALUE(RIGHT(AK598,4)),MATCH(MID(AK598,4,3),{"Jan","Feb","Mar","Apr","May","Jun","Jul","Aug","Sep","Oct","Nov","Dec"},0),VALUE(LEFT(AK598,2))))))</f>
        <v>45398</v>
      </c>
      <c r="D598" s="4" t="s">
        <v>2311</v>
      </c>
      <c r="E598" s="0" t="str">
        <f aca="false">PROPER(TRIM(AL598))</f>
        <v>Aditi Sen</v>
      </c>
      <c r="F598" s="0" t="str">
        <f aca="false">PROPER(TRIM(AM598))</f>
        <v>Consumer</v>
      </c>
      <c r="G598" s="0" t="str">
        <f aca="false">IF(TRIM(AN598)="","Unknown",PROPER(TRIM(AN598)))</f>
        <v>South</v>
      </c>
      <c r="H598" s="0" t="str">
        <f aca="false">PROPER(TRIM(AO598))</f>
        <v>Kerala</v>
      </c>
      <c r="I598" s="0" t="str">
        <f aca="false">PROPER(TRIM(AP598))</f>
        <v>Kochi</v>
      </c>
      <c r="J598" s="0" t="str">
        <f aca="false">PROPER(TRIM(AQ598))</f>
        <v>Furniture</v>
      </c>
      <c r="K598" s="0" t="str">
        <f aca="false">PROPER(TRIM(AR598))</f>
        <v>Chairs</v>
      </c>
      <c r="M598" s="0" t="str">
        <f aca="false">IF(TRIM(AS598)="","Unknown",PROPER(TRIM(AS598)))</f>
        <v>Second Class</v>
      </c>
      <c r="N598" s="0" t="n">
        <v>9</v>
      </c>
      <c r="O598" s="0" t="n">
        <v>2723.26</v>
      </c>
      <c r="P598" s="5" t="n">
        <f aca="false">IF(AT598="","",IF(ISNUMBER(AT598),AT598,VALUE(SUBSTITUTE(AT598,"%",""))/100))</f>
        <v>0.25</v>
      </c>
      <c r="Q598" s="5" t="n">
        <f aca="false">IF(P598="",IF(AND(N598&lt;&gt;"",O598&lt;&gt;"",R598&lt;&gt;"",S598&lt;&gt;""),0,"REVIEW"),IF(OR(P598&lt;0,P598&gt;0.3),0,P598))</f>
        <v>0.25</v>
      </c>
      <c r="R598" s="0" t="n">
        <v>18382.01</v>
      </c>
      <c r="S598" s="0" t="n">
        <v>13108.2</v>
      </c>
      <c r="T598" s="6" t="n">
        <f aca="false">N598*O598*(1-Q598)</f>
        <v>18382.005</v>
      </c>
      <c r="U598" s="6" t="n">
        <f aca="false">T598-S598</f>
        <v>5273.805</v>
      </c>
      <c r="V598" s="7" t="n">
        <f aca="false">IF(T598=0,0,U598/T598)</f>
        <v>0.286900422451196</v>
      </c>
      <c r="W598" s="4" t="n">
        <f aca="false">C598-B598</f>
        <v>6</v>
      </c>
      <c r="X598" s="0" t="str">
        <f aca="false">TEXT(B598,"mmmm")</f>
        <v>April</v>
      </c>
      <c r="Y598" s="4" t="n">
        <f aca="false">YEAR(B598)</f>
        <v>2024</v>
      </c>
      <c r="Z598" s="0" t="str">
        <f aca="false">PROPER(TRIM(AU598))</f>
        <v>Paid</v>
      </c>
      <c r="AA598" s="0" t="str">
        <f aca="false">PROPER(TRIM(AV598))</f>
        <v>Completed</v>
      </c>
      <c r="AB598" s="0" t="str">
        <f aca="false">IF(TRIM(AN598)="","Yes","No")</f>
        <v>No</v>
      </c>
      <c r="AC598" s="0" t="str">
        <f aca="false">IF(TRIM(AS598)="","Yes","No")</f>
        <v>No</v>
      </c>
      <c r="AD598" s="0" t="str">
        <f aca="false">IF(AT598="","Yes","No")</f>
        <v>No</v>
      </c>
      <c r="AE598" s="0" t="str">
        <f aca="false">IF(W598&lt;0,"Yes","No")</f>
        <v>No</v>
      </c>
      <c r="AF598" s="0" t="str">
        <f aca="false">IF(P598="","No",IF(OR(P598&lt;0,P598&gt;0.3),"Yes","No"))</f>
        <v>No</v>
      </c>
      <c r="AG598" s="4" t="s">
        <v>50</v>
      </c>
      <c r="AH598" s="0" t="str">
        <f aca="false">IF(AND(AA598="Completed",Z598="Paid"),"Yes","No")</f>
        <v>Yes</v>
      </c>
      <c r="AI598" s="0" t="str">
        <f aca="false">IF(OR(AE598="Yes",AF598="Yes",AG598="Yes"),"Invalid",IF(OR(AB598="Yes",AC598="Yes",AD598="Yes"),"Warning","Clean"))</f>
        <v>Clean</v>
      </c>
      <c r="AJ598" s="4" t="s">
        <v>1209</v>
      </c>
      <c r="AK598" s="4" t="s">
        <v>384</v>
      </c>
      <c r="AL598" s="4" t="s">
        <v>127</v>
      </c>
      <c r="AM598" s="4" t="s">
        <v>54</v>
      </c>
      <c r="AN598" s="4" t="s">
        <v>87</v>
      </c>
      <c r="AO598" s="4" t="s">
        <v>244</v>
      </c>
      <c r="AP598" s="4" t="s">
        <v>245</v>
      </c>
      <c r="AQ598" s="4" t="s">
        <v>72</v>
      </c>
      <c r="AR598" s="4" t="s">
        <v>100</v>
      </c>
      <c r="AS598" s="4" t="s">
        <v>60</v>
      </c>
      <c r="AT598" s="0" t="n">
        <v>0.25</v>
      </c>
      <c r="AU598" s="4" t="s">
        <v>61</v>
      </c>
      <c r="AV598" s="4" t="s">
        <v>62</v>
      </c>
    </row>
    <row r="599" customFormat="false" ht="15" hidden="false" customHeight="false" outlineLevel="0" collapsed="false">
      <c r="A599" s="0" t="s">
        <v>2312</v>
      </c>
      <c r="B599" s="3" t="n">
        <f aca="false">IF(AJ599="","",IF(ISNUMBER(SEARCH("/",AJ599)),DATE(VALUE(RIGHT(AJ599,4)),VALUE(LEFT(AJ599,2)),VALUE(MID(AJ599,4,2))),IF(ISNUMBER(SEARCH("-",AJ599)),IF(LEN(LEFT(AJ599,FIND("-",AJ599)-1))=4,DATE(VALUE(LEFT(AJ599,4)),VALUE(MID(AJ599,6,2)),VALUE(RIGHT(AJ599,2))),DATE(VALUE(RIGHT(AJ599,4)),VALUE(MID(AJ599,4,2)),VALUE(LEFT(AJ599,2)))),DATE(VALUE(RIGHT(AJ599,4)),MATCH(MID(AJ599,4,3),{"Jan","Feb","Mar","Apr","May","Jun","Jul","Aug","Sep","Oct","Nov","Dec"},0),VALUE(LEFT(AJ599,2))))))</f>
        <v>45846</v>
      </c>
      <c r="C599" s="3" t="n">
        <f aca="false">IF(AK599="","",IF(ISNUMBER(SEARCH("/",AK599)),DATE(VALUE(RIGHT(AK599,4)),VALUE(LEFT(AK599,2)),VALUE(MID(AK599,4,2))),IF(ISNUMBER(SEARCH("-",AK599)),IF(LEN(LEFT(AK599,FIND("-",AK599)-1))=4,DATE(VALUE(LEFT(AK599,4)),VALUE(MID(AK599,6,2)),VALUE(RIGHT(AK599,2))),DATE(VALUE(RIGHT(AK599,4)),VALUE(MID(AK599,4,2)),VALUE(LEFT(AK599,2)))),DATE(VALUE(RIGHT(AK599,4)),MATCH(MID(AK599,4,3),{"Jan","Feb","Mar","Apr","May","Jun","Jul","Aug","Sep","Oct","Nov","Dec"},0),VALUE(LEFT(AK599,2))))))</f>
        <v>45846</v>
      </c>
      <c r="D599" s="4" t="s">
        <v>2313</v>
      </c>
      <c r="E599" s="0" t="str">
        <f aca="false">PROPER(TRIM(AL599))</f>
        <v>Aditi Sen</v>
      </c>
      <c r="F599" s="0" t="str">
        <f aca="false">PROPER(TRIM(AM599))</f>
        <v>Consumer</v>
      </c>
      <c r="G599" s="0" t="str">
        <f aca="false">IF(TRIM(AN599)="","Unknown",PROPER(TRIM(AN599)))</f>
        <v>South</v>
      </c>
      <c r="H599" s="0" t="str">
        <f aca="false">PROPER(TRIM(AO599))</f>
        <v>Telangana</v>
      </c>
      <c r="I599" s="0" t="str">
        <f aca="false">PROPER(TRIM(AP599))</f>
        <v>Hyderabad</v>
      </c>
      <c r="J599" s="0" t="str">
        <f aca="false">PROPER(TRIM(AQ599))</f>
        <v>Technology</v>
      </c>
      <c r="K599" s="0" t="str">
        <f aca="false">PROPER(TRIM(AR599))</f>
        <v>Copiers</v>
      </c>
      <c r="M599" s="0" t="str">
        <f aca="false">IF(TRIM(AS599)="","Unknown",PROPER(TRIM(AS599)))</f>
        <v>Same Day</v>
      </c>
      <c r="N599" s="0" t="n">
        <v>9</v>
      </c>
      <c r="O599" s="0" t="n">
        <v>274.88</v>
      </c>
      <c r="P599" s="5" t="n">
        <f aca="false">IF(AT599="","",IF(ISNUMBER(AT599),AT599,VALUE(SUBSTITUTE(AT599,"%",""))/100))</f>
        <v>0.25</v>
      </c>
      <c r="Q599" s="5" t="n">
        <f aca="false">IF(P599="",IF(AND(N599&lt;&gt;"",O599&lt;&gt;"",R599&lt;&gt;"",S599&lt;&gt;""),0,"REVIEW"),IF(OR(P599&lt;0,P599&gt;0.3),0,P599))</f>
        <v>0.25</v>
      </c>
      <c r="R599" s="0" t="n">
        <v>1855.44</v>
      </c>
      <c r="S599" s="0" t="n">
        <v>1262.74</v>
      </c>
      <c r="T599" s="6" t="n">
        <f aca="false">N599*O599*(1-Q599)</f>
        <v>1855.44</v>
      </c>
      <c r="U599" s="6" t="n">
        <f aca="false">T599-S599</f>
        <v>592.7</v>
      </c>
      <c r="V599" s="7" t="n">
        <f aca="false">IF(T599=0,0,U599/T599)</f>
        <v>0.319439054887251</v>
      </c>
      <c r="W599" s="4" t="n">
        <f aca="false">C599-B599</f>
        <v>0</v>
      </c>
      <c r="X599" s="0" t="str">
        <f aca="false">TEXT(B599,"mmmm")</f>
        <v>July</v>
      </c>
      <c r="Y599" s="4" t="n">
        <f aca="false">YEAR(B599)</f>
        <v>2025</v>
      </c>
      <c r="Z599" s="0" t="str">
        <f aca="false">PROPER(TRIM(AU599))</f>
        <v>Paid</v>
      </c>
      <c r="AA599" s="0" t="str">
        <f aca="false">PROPER(TRIM(AV599))</f>
        <v>Completed</v>
      </c>
      <c r="AB599" s="0" t="str">
        <f aca="false">IF(TRIM(AN599)="","Yes","No")</f>
        <v>No</v>
      </c>
      <c r="AC599" s="0" t="str">
        <f aca="false">IF(TRIM(AS599)="","Yes","No")</f>
        <v>No</v>
      </c>
      <c r="AD599" s="0" t="str">
        <f aca="false">IF(AT599="","Yes","No")</f>
        <v>No</v>
      </c>
      <c r="AE599" s="0" t="str">
        <f aca="false">IF(W599&lt;0,"Yes","No")</f>
        <v>No</v>
      </c>
      <c r="AF599" s="0" t="str">
        <f aca="false">IF(P599="","No",IF(OR(P599&lt;0,P599&gt;0.3),"Yes","No"))</f>
        <v>No</v>
      </c>
      <c r="AG599" s="4" t="s">
        <v>50</v>
      </c>
      <c r="AH599" s="0" t="str">
        <f aca="false">IF(AND(AA599="Completed",Z599="Paid"),"Yes","No")</f>
        <v>Yes</v>
      </c>
      <c r="AI599" s="0" t="str">
        <f aca="false">IF(OR(AE599="Yes",AF599="Yes",AG599="Yes"),"Invalid",IF(OR(AB599="Yes",AC599="Yes",AD599="Yes"),"Warning","Clean"))</f>
        <v>Clean</v>
      </c>
      <c r="AJ599" s="4" t="s">
        <v>2314</v>
      </c>
      <c r="AK599" s="4" t="s">
        <v>446</v>
      </c>
      <c r="AL599" s="4" t="s">
        <v>127</v>
      </c>
      <c r="AM599" s="4" t="s">
        <v>54</v>
      </c>
      <c r="AN599" s="4" t="s">
        <v>87</v>
      </c>
      <c r="AO599" s="4" t="s">
        <v>88</v>
      </c>
      <c r="AP599" s="4" t="s">
        <v>89</v>
      </c>
      <c r="AQ599" s="4" t="s">
        <v>109</v>
      </c>
      <c r="AR599" s="4" t="s">
        <v>116</v>
      </c>
      <c r="AS599" s="4" t="s">
        <v>74</v>
      </c>
      <c r="AT599" s="0" t="n">
        <v>0.25</v>
      </c>
      <c r="AU599" s="4" t="s">
        <v>61</v>
      </c>
      <c r="AV599" s="4" t="s">
        <v>62</v>
      </c>
    </row>
    <row r="600" customFormat="false" ht="15" hidden="false" customHeight="false" outlineLevel="0" collapsed="false">
      <c r="A600" s="0" t="s">
        <v>2315</v>
      </c>
      <c r="B600" s="3" t="n">
        <f aca="false">IF(AJ600="","",IF(ISNUMBER(SEARCH("/",AJ600)),DATE(VALUE(RIGHT(AJ600,4)),VALUE(LEFT(AJ600,2)),VALUE(MID(AJ600,4,2))),IF(ISNUMBER(SEARCH("-",AJ600)),IF(LEN(LEFT(AJ600,FIND("-",AJ600)-1))=4,DATE(VALUE(LEFT(AJ600,4)),VALUE(MID(AJ600,6,2)),VALUE(RIGHT(AJ600,2))),DATE(VALUE(RIGHT(AJ600,4)),VALUE(MID(AJ600,4,2)),VALUE(LEFT(AJ600,2)))),DATE(VALUE(RIGHT(AJ600,4)),MATCH(MID(AJ600,4,3),{"Jan","Feb","Mar","Apr","May","Jun","Jul","Aug","Sep","Oct","Nov","Dec"},0),VALUE(LEFT(AJ600,2))))))</f>
        <v>45521</v>
      </c>
      <c r="C600" s="3" t="n">
        <f aca="false">IF(AK600="","",IF(ISNUMBER(SEARCH("/",AK600)),DATE(VALUE(RIGHT(AK600,4)),VALUE(LEFT(AK600,2)),VALUE(MID(AK600,4,2))),IF(ISNUMBER(SEARCH("-",AK600)),IF(LEN(LEFT(AK600,FIND("-",AK600)-1))=4,DATE(VALUE(LEFT(AK600,4)),VALUE(MID(AK600,6,2)),VALUE(RIGHT(AK600,2))),DATE(VALUE(RIGHT(AK600,4)),VALUE(MID(AK600,4,2)),VALUE(LEFT(AK600,2)))),DATE(VALUE(RIGHT(AK600,4)),MATCH(MID(AK600,4,3),{"Jan","Feb","Mar","Apr","May","Jun","Jul","Aug","Sep","Oct","Nov","Dec"},0),VALUE(LEFT(AK600,2))))))</f>
        <v>45528</v>
      </c>
      <c r="D600" s="4" t="s">
        <v>2316</v>
      </c>
      <c r="E600" s="0" t="str">
        <f aca="false">PROPER(TRIM(AL600))</f>
        <v>Ananya Rao</v>
      </c>
      <c r="F600" s="0" t="str">
        <f aca="false">PROPER(TRIM(AM600))</f>
        <v>Corporate</v>
      </c>
      <c r="G600" s="0" t="str">
        <f aca="false">IF(TRIM(AN600)="","Unknown",PROPER(TRIM(AN600)))</f>
        <v>East</v>
      </c>
      <c r="H600" s="0" t="str">
        <f aca="false">PROPER(TRIM(AO600))</f>
        <v>West Bengal</v>
      </c>
      <c r="I600" s="0" t="str">
        <f aca="false">PROPER(TRIM(AP600))</f>
        <v>Kolkata</v>
      </c>
      <c r="J600" s="0" t="str">
        <f aca="false">PROPER(TRIM(AQ600))</f>
        <v>Technology</v>
      </c>
      <c r="K600" s="0" t="str">
        <f aca="false">PROPER(TRIM(AR600))</f>
        <v>Copiers</v>
      </c>
      <c r="M600" s="0" t="str">
        <f aca="false">IF(TRIM(AS600)="","Unknown",PROPER(TRIM(AS600)))</f>
        <v>Same Day</v>
      </c>
      <c r="N600" s="0" t="n">
        <v>3</v>
      </c>
      <c r="O600" s="0" t="n">
        <v>1490.69</v>
      </c>
      <c r="P600" s="5" t="n">
        <f aca="false">IF(AT600="","",IF(ISNUMBER(AT600),AT600,VALUE(SUBSTITUTE(AT600,"%",""))/100))</f>
        <v>0.25</v>
      </c>
      <c r="Q600" s="5" t="n">
        <f aca="false">IF(P600="",IF(AND(N600&lt;&gt;"",O600&lt;&gt;"",R600&lt;&gt;"",S600&lt;&gt;""),0,"REVIEW"),IF(OR(P600&lt;0,P600&gt;0.3),0,P600))</f>
        <v>0.25</v>
      </c>
      <c r="R600" s="0" t="n">
        <v>3354.05</v>
      </c>
      <c r="S600" s="0" t="n">
        <v>2672.67</v>
      </c>
      <c r="T600" s="6" t="n">
        <f aca="false">N600*O600*(1-Q600)</f>
        <v>3354.0525</v>
      </c>
      <c r="U600" s="6" t="n">
        <f aca="false">T600-S600</f>
        <v>681.3825</v>
      </c>
      <c r="V600" s="7" t="n">
        <f aca="false">IF(T600=0,0,U600/T600)</f>
        <v>0.203152007906853</v>
      </c>
      <c r="W600" s="4" t="n">
        <f aca="false">C600-B600</f>
        <v>7</v>
      </c>
      <c r="X600" s="0" t="str">
        <f aca="false">TEXT(B600,"mmmm")</f>
        <v>August</v>
      </c>
      <c r="Y600" s="4" t="n">
        <f aca="false">YEAR(B600)</f>
        <v>2024</v>
      </c>
      <c r="Z600" s="0" t="str">
        <f aca="false">PROPER(TRIM(AU600))</f>
        <v>Paid</v>
      </c>
      <c r="AA600" s="0" t="str">
        <f aca="false">PROPER(TRIM(AV600))</f>
        <v>Completed</v>
      </c>
      <c r="AB600" s="0" t="str">
        <f aca="false">IF(TRIM(AN600)="","Yes","No")</f>
        <v>No</v>
      </c>
      <c r="AC600" s="0" t="str">
        <f aca="false">IF(TRIM(AS600)="","Yes","No")</f>
        <v>No</v>
      </c>
      <c r="AD600" s="0" t="str">
        <f aca="false">IF(AT600="","Yes","No")</f>
        <v>No</v>
      </c>
      <c r="AE600" s="0" t="str">
        <f aca="false">IF(W600&lt;0,"Yes","No")</f>
        <v>No</v>
      </c>
      <c r="AF600" s="0" t="str">
        <f aca="false">IF(P600="","No",IF(OR(P600&lt;0,P600&gt;0.3),"Yes","No"))</f>
        <v>No</v>
      </c>
      <c r="AG600" s="4" t="s">
        <v>50</v>
      </c>
      <c r="AH600" s="0" t="str">
        <f aca="false">IF(AND(AA600="Completed",Z600="Paid"),"Yes","No")</f>
        <v>Yes</v>
      </c>
      <c r="AI600" s="0" t="str">
        <f aca="false">IF(OR(AE600="Yes",AF600="Yes",AG600="Yes"),"Invalid",IF(OR(AB600="Yes",AC600="Yes",AD600="Yes"),"Warning","Clean"))</f>
        <v>Clean</v>
      </c>
      <c r="AJ600" s="4" t="s">
        <v>1990</v>
      </c>
      <c r="AK600" s="4" t="s">
        <v>2317</v>
      </c>
      <c r="AL600" s="4" t="s">
        <v>96</v>
      </c>
      <c r="AM600" s="4" t="s">
        <v>128</v>
      </c>
      <c r="AN600" s="4" t="s">
        <v>69</v>
      </c>
      <c r="AO600" s="4" t="s">
        <v>139</v>
      </c>
      <c r="AP600" s="4" t="s">
        <v>140</v>
      </c>
      <c r="AQ600" s="4" t="s">
        <v>109</v>
      </c>
      <c r="AR600" s="4" t="s">
        <v>116</v>
      </c>
      <c r="AS600" s="4" t="s">
        <v>74</v>
      </c>
      <c r="AT600" s="0" t="n">
        <v>0.25</v>
      </c>
      <c r="AU600" s="4" t="s">
        <v>61</v>
      </c>
      <c r="AV600" s="4" t="s">
        <v>62</v>
      </c>
    </row>
    <row r="601" customFormat="false" ht="15" hidden="false" customHeight="false" outlineLevel="0" collapsed="false">
      <c r="A601" s="0" t="s">
        <v>2318</v>
      </c>
      <c r="B601" s="3" t="n">
        <f aca="false">IF(AJ601="","",IF(ISNUMBER(SEARCH("/",AJ601)),DATE(VALUE(RIGHT(AJ601,4)),VALUE(LEFT(AJ601,2)),VALUE(MID(AJ601,4,2))),IF(ISNUMBER(SEARCH("-",AJ601)),IF(LEN(LEFT(AJ601,FIND("-",AJ601)-1))=4,DATE(VALUE(LEFT(AJ601,4)),VALUE(MID(AJ601,6,2)),VALUE(RIGHT(AJ601,2))),DATE(VALUE(RIGHT(AJ601,4)),VALUE(MID(AJ601,4,2)),VALUE(LEFT(AJ601,2)))),DATE(VALUE(RIGHT(AJ601,4)),MATCH(MID(AJ601,4,3),{"Jan","Feb","Mar","Apr","May","Jun","Jul","Aug","Sep","Oct","Nov","Dec"},0),VALUE(LEFT(AJ601,2))))))</f>
        <v>45523</v>
      </c>
      <c r="C601" s="3" t="n">
        <f aca="false">IF(AK601="","",IF(ISNUMBER(SEARCH("/",AK601)),DATE(VALUE(RIGHT(AK601,4)),VALUE(LEFT(AK601,2)),VALUE(MID(AK601,4,2))),IF(ISNUMBER(SEARCH("-",AK601)),IF(LEN(LEFT(AK601,FIND("-",AK601)-1))=4,DATE(VALUE(LEFT(AK601,4)),VALUE(MID(AK601,6,2)),VALUE(RIGHT(AK601,2))),DATE(VALUE(RIGHT(AK601,4)),VALUE(MID(AK601,4,2)),VALUE(LEFT(AK601,2)))),DATE(VALUE(RIGHT(AK601,4)),MATCH(MID(AK601,4,3),{"Jan","Feb","Mar","Apr","May","Jun","Jul","Aug","Sep","Oct","Nov","Dec"},0),VALUE(LEFT(AK601,2))))))</f>
        <v>45525</v>
      </c>
      <c r="D601" s="4" t="s">
        <v>2319</v>
      </c>
      <c r="E601" s="0" t="str">
        <f aca="false">PROPER(TRIM(AL601))</f>
        <v>Arjun Bose</v>
      </c>
      <c r="F601" s="0" t="str">
        <f aca="false">PROPER(TRIM(AM601))</f>
        <v>Consumer</v>
      </c>
      <c r="G601" s="0" t="str">
        <f aca="false">IF(TRIM(AN601)="","Unknown",PROPER(TRIM(AN601)))</f>
        <v>North</v>
      </c>
      <c r="H601" s="0" t="str">
        <f aca="false">PROPER(TRIM(AO601))</f>
        <v>Punjab</v>
      </c>
      <c r="I601" s="0" t="str">
        <f aca="false">PROPER(TRIM(AP601))</f>
        <v>Ludhiana</v>
      </c>
      <c r="J601" s="0" t="str">
        <f aca="false">PROPER(TRIM(AQ601))</f>
        <v>Technology</v>
      </c>
      <c r="K601" s="0" t="str">
        <f aca="false">PROPER(TRIM(AR601))</f>
        <v>Phones</v>
      </c>
      <c r="M601" s="0" t="str">
        <f aca="false">IF(TRIM(AS601)="","Unknown",PROPER(TRIM(AS601)))</f>
        <v>First Class</v>
      </c>
      <c r="N601" s="0" t="n">
        <v>3</v>
      </c>
      <c r="O601" s="0" t="n">
        <v>1103.54</v>
      </c>
      <c r="P601" s="5" t="n">
        <f aca="false">IF(AT601="","",IF(ISNUMBER(AT601),AT601,VALUE(SUBSTITUTE(AT601,"%",""))/100))</f>
        <v>0.25</v>
      </c>
      <c r="Q601" s="5" t="n">
        <f aca="false">IF(P601="",IF(AND(N601&lt;&gt;"",O601&lt;&gt;"",R601&lt;&gt;"",S601&lt;&gt;""),0,"REVIEW"),IF(OR(P601&lt;0,P601&gt;0.3),0,P601))</f>
        <v>0.25</v>
      </c>
      <c r="R601" s="0" t="n">
        <v>2482.97</v>
      </c>
      <c r="S601" s="0" t="n">
        <v>1621.72</v>
      </c>
      <c r="T601" s="6" t="n">
        <f aca="false">N601*O601*(1-Q601)</f>
        <v>2482.965</v>
      </c>
      <c r="U601" s="6" t="n">
        <f aca="false">T601-S601</f>
        <v>861.245</v>
      </c>
      <c r="V601" s="7" t="n">
        <f aca="false">IF(T601=0,0,U601/T601)</f>
        <v>0.346861514358841</v>
      </c>
      <c r="W601" s="4" t="n">
        <f aca="false">C601-B601</f>
        <v>2</v>
      </c>
      <c r="X601" s="0" t="str">
        <f aca="false">TEXT(B601,"mmmm")</f>
        <v>August</v>
      </c>
      <c r="Y601" s="4" t="n">
        <f aca="false">YEAR(B601)</f>
        <v>2024</v>
      </c>
      <c r="Z601" s="0" t="str">
        <f aca="false">PROPER(TRIM(AU601))</f>
        <v>Paid</v>
      </c>
      <c r="AA601" s="0" t="str">
        <f aca="false">PROPER(TRIM(AV601))</f>
        <v>Completed</v>
      </c>
      <c r="AB601" s="0" t="str">
        <f aca="false">IF(TRIM(AN601)="","Yes","No")</f>
        <v>No</v>
      </c>
      <c r="AC601" s="0" t="str">
        <f aca="false">IF(TRIM(AS601)="","Yes","No")</f>
        <v>No</v>
      </c>
      <c r="AD601" s="0" t="str">
        <f aca="false">IF(AT601="","Yes","No")</f>
        <v>No</v>
      </c>
      <c r="AE601" s="0" t="str">
        <f aca="false">IF(W601&lt;0,"Yes","No")</f>
        <v>No</v>
      </c>
      <c r="AF601" s="0" t="str">
        <f aca="false">IF(P601="","No",IF(OR(P601&lt;0,P601&gt;0.3),"Yes","No"))</f>
        <v>No</v>
      </c>
      <c r="AG601" s="4" t="s">
        <v>50</v>
      </c>
      <c r="AH601" s="0" t="str">
        <f aca="false">IF(AND(AA601="Completed",Z601="Paid"),"Yes","No")</f>
        <v>Yes</v>
      </c>
      <c r="AI601" s="0" t="str">
        <f aca="false">IF(OR(AE601="Yes",AF601="Yes",AG601="Yes"),"Invalid",IF(OR(AB601="Yes",AC601="Yes",AD601="Yes"),"Warning","Clean"))</f>
        <v>Clean</v>
      </c>
      <c r="AJ601" s="4" t="s">
        <v>2320</v>
      </c>
      <c r="AK601" s="4" t="s">
        <v>1355</v>
      </c>
      <c r="AL601" s="4" t="s">
        <v>86</v>
      </c>
      <c r="AM601" s="4" t="s">
        <v>54</v>
      </c>
      <c r="AN601" s="4" t="s">
        <v>168</v>
      </c>
      <c r="AO601" s="4" t="s">
        <v>169</v>
      </c>
      <c r="AP601" s="4" t="s">
        <v>170</v>
      </c>
      <c r="AQ601" s="4" t="s">
        <v>109</v>
      </c>
      <c r="AR601" s="4" t="s">
        <v>227</v>
      </c>
      <c r="AS601" s="4" t="s">
        <v>81</v>
      </c>
      <c r="AT601" s="0" t="n">
        <v>0.25</v>
      </c>
      <c r="AU601" s="4" t="s">
        <v>61</v>
      </c>
      <c r="AV601" s="4" t="s">
        <v>62</v>
      </c>
    </row>
    <row r="602" customFormat="false" ht="15" hidden="false" customHeight="false" outlineLevel="0" collapsed="false">
      <c r="A602" s="0" t="s">
        <v>2321</v>
      </c>
      <c r="B602" s="3" t="n">
        <f aca="false">IF(AJ602="","",IF(ISNUMBER(SEARCH("/",AJ602)),DATE(VALUE(RIGHT(AJ602,4)),VALUE(LEFT(AJ602,2)),VALUE(MID(AJ602,4,2))),IF(ISNUMBER(SEARCH("-",AJ602)),IF(LEN(LEFT(AJ602,FIND("-",AJ602)-1))=4,DATE(VALUE(LEFT(AJ602,4)),VALUE(MID(AJ602,6,2)),VALUE(RIGHT(AJ602,2))),DATE(VALUE(RIGHT(AJ602,4)),VALUE(MID(AJ602,4,2)),VALUE(LEFT(AJ602,2)))),DATE(VALUE(RIGHT(AJ602,4)),MATCH(MID(AJ602,4,3),{"Jan","Feb","Mar","Apr","May","Jun","Jul","Aug","Sep","Oct","Nov","Dec"},0),VALUE(LEFT(AJ602,2))))))</f>
        <v>45721</v>
      </c>
      <c r="C602" s="3" t="n">
        <f aca="false">IF(AK602="","",IF(ISNUMBER(SEARCH("/",AK602)),DATE(VALUE(RIGHT(AK602,4)),VALUE(LEFT(AK602,2)),VALUE(MID(AK602,4,2))),IF(ISNUMBER(SEARCH("-",AK602)),IF(LEN(LEFT(AK602,FIND("-",AK602)-1))=4,DATE(VALUE(LEFT(AK602,4)),VALUE(MID(AK602,6,2)),VALUE(RIGHT(AK602,2))),DATE(VALUE(RIGHT(AK602,4)),VALUE(MID(AK602,4,2)),VALUE(LEFT(AK602,2)))),DATE(VALUE(RIGHT(AK602,4)),MATCH(MID(AK602,4,3),{"Jan","Feb","Mar","Apr","May","Jun","Jul","Aug","Sep","Oct","Nov","Dec"},0),VALUE(LEFT(AK602,2))))))</f>
        <v>45728</v>
      </c>
      <c r="D602" s="4" t="s">
        <v>2322</v>
      </c>
      <c r="E602" s="0" t="str">
        <f aca="false">PROPER(TRIM(AL602))</f>
        <v>Ananya Rao</v>
      </c>
      <c r="F602" s="0" t="str">
        <f aca="false">PROPER(TRIM(AM602))</f>
        <v>Corporate</v>
      </c>
      <c r="G602" s="0" t="str">
        <f aca="false">IF(TRIM(AN602)="","Unknown",PROPER(TRIM(AN602)))</f>
        <v>West</v>
      </c>
      <c r="H602" s="0" t="str">
        <f aca="false">PROPER(TRIM(AO602))</f>
        <v>Madhya Pradesh</v>
      </c>
      <c r="I602" s="0" t="str">
        <f aca="false">PROPER(TRIM(AP602))</f>
        <v>Indore</v>
      </c>
      <c r="J602" s="0" t="str">
        <f aca="false">PROPER(TRIM(AQ602))</f>
        <v>Office Supplies</v>
      </c>
      <c r="K602" s="0" t="str">
        <f aca="false">PROPER(TRIM(AR602))</f>
        <v>Storage</v>
      </c>
      <c r="M602" s="0" t="str">
        <f aca="false">IF(TRIM(AS602)="","Unknown",PROPER(TRIM(AS602)))</f>
        <v>Same Day</v>
      </c>
      <c r="N602" s="0" t="n">
        <v>3</v>
      </c>
      <c r="O602" s="0" t="n">
        <v>3682.75</v>
      </c>
      <c r="P602" s="5" t="str">
        <f aca="false">IF(AT602="","",IF(ISNUMBER(AT602),AT602,VALUE(SUBSTITUTE(AT602,"%",""))/100))</f>
        <v/>
      </c>
      <c r="Q602" s="5" t="n">
        <f aca="false">IF(P602="",IF(AND(N602&lt;&gt;"",O602&lt;&gt;"",R602&lt;&gt;"",S602&lt;&gt;""),0,"REVIEW"),IF(OR(P602&lt;0,P602&gt;0.3),0,P602))</f>
        <v>0</v>
      </c>
      <c r="R602" s="0" t="n">
        <v>11048.25</v>
      </c>
      <c r="S602" s="0" t="n">
        <v>9062.72</v>
      </c>
      <c r="T602" s="6" t="n">
        <f aca="false">N602*O602*(1-Q602)</f>
        <v>11048.25</v>
      </c>
      <c r="U602" s="6" t="n">
        <f aca="false">T602-S602</f>
        <v>1985.53</v>
      </c>
      <c r="V602" s="7" t="n">
        <f aca="false">IF(T602=0,0,U602/T602)</f>
        <v>0.17971443441269</v>
      </c>
      <c r="W602" s="4" t="n">
        <f aca="false">C602-B602</f>
        <v>7</v>
      </c>
      <c r="X602" s="0" t="str">
        <f aca="false">TEXT(B602,"mmmm")</f>
        <v>March</v>
      </c>
      <c r="Y602" s="4" t="n">
        <f aca="false">YEAR(B602)</f>
        <v>2025</v>
      </c>
      <c r="Z602" s="0" t="str">
        <f aca="false">PROPER(TRIM(AU602))</f>
        <v>Paid</v>
      </c>
      <c r="AA602" s="0" t="str">
        <f aca="false">PROPER(TRIM(AV602))</f>
        <v>Completed</v>
      </c>
      <c r="AB602" s="0" t="str">
        <f aca="false">IF(TRIM(AN602)="","Yes","No")</f>
        <v>No</v>
      </c>
      <c r="AC602" s="0" t="str">
        <f aca="false">IF(TRIM(AS602)="","Yes","No")</f>
        <v>No</v>
      </c>
      <c r="AD602" s="0" t="str">
        <f aca="false">IF(AT602="","Yes","No")</f>
        <v>Yes</v>
      </c>
      <c r="AE602" s="0" t="str">
        <f aca="false">IF(W602&lt;0,"Yes","No")</f>
        <v>No</v>
      </c>
      <c r="AF602" s="0" t="str">
        <f aca="false">IF(P602="","No",IF(OR(P602&lt;0,P602&gt;0.3),"Yes","No"))</f>
        <v>No</v>
      </c>
      <c r="AG602" s="4" t="s">
        <v>50</v>
      </c>
      <c r="AH602" s="0" t="str">
        <f aca="false">IF(AND(AA602="Completed",Z602="Paid"),"Yes","No")</f>
        <v>Yes</v>
      </c>
      <c r="AI602" s="0" t="str">
        <f aca="false">IF(OR(AE602="Yes",AF602="Yes",AG602="Yes"),"Invalid",IF(OR(AB602="Yes",AC602="Yes",AD602="Yes"),"Warning","Clean"))</f>
        <v>Warning</v>
      </c>
      <c r="AJ602" s="4" t="s">
        <v>2323</v>
      </c>
      <c r="AK602" s="4" t="s">
        <v>2324</v>
      </c>
      <c r="AL602" s="4" t="s">
        <v>96</v>
      </c>
      <c r="AM602" s="4" t="s">
        <v>128</v>
      </c>
      <c r="AN602" s="4" t="s">
        <v>97</v>
      </c>
      <c r="AO602" s="4" t="s">
        <v>107</v>
      </c>
      <c r="AP602" s="4" t="s">
        <v>108</v>
      </c>
      <c r="AQ602" s="4" t="s">
        <v>58</v>
      </c>
      <c r="AR602" s="4" t="s">
        <v>171</v>
      </c>
      <c r="AS602" s="4" t="s">
        <v>74</v>
      </c>
      <c r="AU602" s="4" t="s">
        <v>61</v>
      </c>
      <c r="AV602" s="4" t="s">
        <v>62</v>
      </c>
    </row>
    <row r="603" customFormat="false" ht="15" hidden="false" customHeight="false" outlineLevel="0" collapsed="false">
      <c r="A603" s="0" t="s">
        <v>2325</v>
      </c>
      <c r="B603" s="3" t="n">
        <f aca="false">IF(AJ603="","",IF(ISNUMBER(SEARCH("/",AJ603)),DATE(VALUE(RIGHT(AJ603,4)),VALUE(LEFT(AJ603,2)),VALUE(MID(AJ603,4,2))),IF(ISNUMBER(SEARCH("-",AJ603)),IF(LEN(LEFT(AJ603,FIND("-",AJ603)-1))=4,DATE(VALUE(LEFT(AJ603,4)),VALUE(MID(AJ603,6,2)),VALUE(RIGHT(AJ603,2))),DATE(VALUE(RIGHT(AJ603,4)),VALUE(MID(AJ603,4,2)),VALUE(LEFT(AJ603,2)))),DATE(VALUE(RIGHT(AJ603,4)),MATCH(MID(AJ603,4,3),{"Jan","Feb","Mar","Apr","May","Jun","Jul","Aug","Sep","Oct","Nov","Dec"},0),VALUE(LEFT(AJ603,2))))))</f>
        <v>45317</v>
      </c>
      <c r="C603" s="3" t="n">
        <f aca="false">IF(AK603="","",IF(ISNUMBER(SEARCH("/",AK603)),DATE(VALUE(RIGHT(AK603,4)),VALUE(LEFT(AK603,2)),VALUE(MID(AK603,4,2))),IF(ISNUMBER(SEARCH("-",AK603)),IF(LEN(LEFT(AK603,FIND("-",AK603)-1))=4,DATE(VALUE(LEFT(AK603,4)),VALUE(MID(AK603,6,2)),VALUE(RIGHT(AK603,2))),DATE(VALUE(RIGHT(AK603,4)),VALUE(MID(AK603,4,2)),VALUE(LEFT(AK603,2)))),DATE(VALUE(RIGHT(AK603,4)),MATCH(MID(AK603,4,3),{"Jan","Feb","Mar","Apr","May","Jun","Jul","Aug","Sep","Oct","Nov","Dec"},0),VALUE(LEFT(AK603,2))))))</f>
        <v>45322</v>
      </c>
      <c r="D603" s="4" t="s">
        <v>2326</v>
      </c>
      <c r="E603" s="0" t="str">
        <f aca="false">PROPER(TRIM(AL603))</f>
        <v>Ananya Rao</v>
      </c>
      <c r="F603" s="0" t="str">
        <f aca="false">PROPER(TRIM(AM603))</f>
        <v>Home Office</v>
      </c>
      <c r="G603" s="0" t="str">
        <f aca="false">IF(TRIM(AN603)="","Unknown",PROPER(TRIM(AN603)))</f>
        <v>East</v>
      </c>
      <c r="H603" s="0" t="str">
        <f aca="false">PROPER(TRIM(AO603))</f>
        <v>West Bengal</v>
      </c>
      <c r="I603" s="0" t="str">
        <f aca="false">PROPER(TRIM(AP603))</f>
        <v>Kolkata</v>
      </c>
      <c r="J603" s="0" t="str">
        <f aca="false">PROPER(TRIM(AQ603))</f>
        <v>Office Supplies</v>
      </c>
      <c r="K603" s="0" t="str">
        <f aca="false">PROPER(TRIM(AR603))</f>
        <v>Paper</v>
      </c>
      <c r="M603" s="0" t="str">
        <f aca="false">IF(TRIM(AS603)="","Unknown",PROPER(TRIM(AS603)))</f>
        <v>Second Class</v>
      </c>
      <c r="N603" s="0" t="n">
        <v>5</v>
      </c>
      <c r="O603" s="0" t="n">
        <v>1615.03</v>
      </c>
      <c r="P603" s="5" t="n">
        <f aca="false">IF(AT603="","",IF(ISNUMBER(AT603),AT603,VALUE(SUBSTITUTE(AT603,"%",""))/100))</f>
        <v>0.2</v>
      </c>
      <c r="Q603" s="5" t="n">
        <f aca="false">IF(P603="",IF(AND(N603&lt;&gt;"",O603&lt;&gt;"",R603&lt;&gt;"",S603&lt;&gt;""),0,"REVIEW"),IF(OR(P603&lt;0,P603&gt;0.3),0,P603))</f>
        <v>0.2</v>
      </c>
      <c r="R603" s="0" t="n">
        <v>6460.12</v>
      </c>
      <c r="S603" s="0" t="n">
        <v>3604.03</v>
      </c>
      <c r="T603" s="6" t="n">
        <f aca="false">N603*O603*(1-Q603)</f>
        <v>6460.12</v>
      </c>
      <c r="U603" s="6" t="n">
        <f aca="false">T603-S603</f>
        <v>2856.09</v>
      </c>
      <c r="V603" s="7" t="n">
        <f aca="false">IF(T603=0,0,U603/T603)</f>
        <v>0.44211098245853</v>
      </c>
      <c r="W603" s="4" t="n">
        <f aca="false">C603-B603</f>
        <v>5</v>
      </c>
      <c r="X603" s="0" t="str">
        <f aca="false">TEXT(B603,"mmmm")</f>
        <v>January</v>
      </c>
      <c r="Y603" s="4" t="n">
        <f aca="false">YEAR(B603)</f>
        <v>2024</v>
      </c>
      <c r="Z603" s="0" t="str">
        <f aca="false">PROPER(TRIM(AU603))</f>
        <v>Paid</v>
      </c>
      <c r="AA603" s="0" t="str">
        <f aca="false">PROPER(TRIM(AV603))</f>
        <v>Completed</v>
      </c>
      <c r="AB603" s="0" t="str">
        <f aca="false">IF(TRIM(AN603)="","Yes","No")</f>
        <v>No</v>
      </c>
      <c r="AC603" s="0" t="str">
        <f aca="false">IF(TRIM(AS603)="","Yes","No")</f>
        <v>No</v>
      </c>
      <c r="AD603" s="0" t="str">
        <f aca="false">IF(AT603="","Yes","No")</f>
        <v>No</v>
      </c>
      <c r="AE603" s="0" t="str">
        <f aca="false">IF(W603&lt;0,"Yes","No")</f>
        <v>No</v>
      </c>
      <c r="AF603" s="0" t="str">
        <f aca="false">IF(P603="","No",IF(OR(P603&lt;0,P603&gt;0.3),"Yes","No"))</f>
        <v>No</v>
      </c>
      <c r="AG603" s="4" t="s">
        <v>50</v>
      </c>
      <c r="AH603" s="0" t="str">
        <f aca="false">IF(AND(AA603="Completed",Z603="Paid"),"Yes","No")</f>
        <v>Yes</v>
      </c>
      <c r="AI603" s="0" t="str">
        <f aca="false">IF(OR(AE603="Yes",AF603="Yes",AG603="Yes"),"Invalid",IF(OR(AB603="Yes",AC603="Yes",AD603="Yes"),"Warning","Clean"))</f>
        <v>Clean</v>
      </c>
      <c r="AJ603" s="4" t="s">
        <v>2327</v>
      </c>
      <c r="AK603" s="4" t="s">
        <v>2328</v>
      </c>
      <c r="AL603" s="4" t="s">
        <v>96</v>
      </c>
      <c r="AM603" s="4" t="s">
        <v>134</v>
      </c>
      <c r="AN603" s="4" t="s">
        <v>69</v>
      </c>
      <c r="AO603" s="4" t="s">
        <v>139</v>
      </c>
      <c r="AP603" s="4" t="s">
        <v>140</v>
      </c>
      <c r="AQ603" s="4" t="s">
        <v>58</v>
      </c>
      <c r="AR603" s="4" t="s">
        <v>59</v>
      </c>
      <c r="AS603" s="4" t="s">
        <v>60</v>
      </c>
      <c r="AT603" s="0" t="n">
        <v>0.2</v>
      </c>
      <c r="AU603" s="4" t="s">
        <v>61</v>
      </c>
      <c r="AV603" s="4" t="s">
        <v>62</v>
      </c>
    </row>
    <row r="604" customFormat="false" ht="15" hidden="false" customHeight="false" outlineLevel="0" collapsed="false">
      <c r="A604" s="0" t="s">
        <v>2329</v>
      </c>
      <c r="B604" s="3" t="n">
        <f aca="false">IF(AJ604="","",IF(ISNUMBER(SEARCH("/",AJ604)),DATE(VALUE(RIGHT(AJ604,4)),VALUE(LEFT(AJ604,2)),VALUE(MID(AJ604,4,2))),IF(ISNUMBER(SEARCH("-",AJ604)),IF(LEN(LEFT(AJ604,FIND("-",AJ604)-1))=4,DATE(VALUE(LEFT(AJ604,4)),VALUE(MID(AJ604,6,2)),VALUE(RIGHT(AJ604,2))),DATE(VALUE(RIGHT(AJ604,4)),VALUE(MID(AJ604,4,2)),VALUE(LEFT(AJ604,2)))),DATE(VALUE(RIGHT(AJ604,4)),MATCH(MID(AJ604,4,3),{"Jan","Feb","Mar","Apr","May","Jun","Jul","Aug","Sep","Oct","Nov","Dec"},0),VALUE(LEFT(AJ604,2))))))</f>
        <v>45588</v>
      </c>
      <c r="C604" s="3" t="n">
        <f aca="false">IF(AK604="","",IF(ISNUMBER(SEARCH("/",AK604)),DATE(VALUE(RIGHT(AK604,4)),VALUE(LEFT(AK604,2)),VALUE(MID(AK604,4,2))),IF(ISNUMBER(SEARCH("-",AK604)),IF(LEN(LEFT(AK604,FIND("-",AK604)-1))=4,DATE(VALUE(LEFT(AK604,4)),VALUE(MID(AK604,6,2)),VALUE(RIGHT(AK604,2))),DATE(VALUE(RIGHT(AK604,4)),VALUE(MID(AK604,4,2)),VALUE(LEFT(AK604,2)))),DATE(VALUE(RIGHT(AK604,4)),MATCH(MID(AK604,4,3),{"Jan","Feb","Mar","Apr","May","Jun","Jul","Aug","Sep","Oct","Nov","Dec"},0),VALUE(LEFT(AK604,2))))))</f>
        <v>45595</v>
      </c>
      <c r="D604" s="4" t="s">
        <v>2330</v>
      </c>
      <c r="E604" s="0" t="str">
        <f aca="false">PROPER(TRIM(AL604))</f>
        <v>Aarav Sharma</v>
      </c>
      <c r="F604" s="0" t="str">
        <f aca="false">PROPER(TRIM(AM604))</f>
        <v>Consumer</v>
      </c>
      <c r="G604" s="0" t="str">
        <f aca="false">IF(TRIM(AN604)="","Unknown",PROPER(TRIM(AN604)))</f>
        <v>East</v>
      </c>
      <c r="H604" s="0" t="str">
        <f aca="false">PROPER(TRIM(AO604))</f>
        <v>Jharkhand</v>
      </c>
      <c r="I604" s="0" t="str">
        <f aca="false">PROPER(TRIM(AP604))</f>
        <v>Ranchi</v>
      </c>
      <c r="J604" s="0" t="str">
        <f aca="false">PROPER(TRIM(AQ604))</f>
        <v>Technology</v>
      </c>
      <c r="K604" s="0" t="str">
        <f aca="false">PROPER(TRIM(AR604))</f>
        <v>Copiers</v>
      </c>
      <c r="M604" s="0" t="str">
        <f aca="false">IF(TRIM(AS604)="","Unknown",PROPER(TRIM(AS604)))</f>
        <v>Second Class</v>
      </c>
      <c r="N604" s="0" t="n">
        <v>9</v>
      </c>
      <c r="O604" s="0" t="n">
        <v>3423.82</v>
      </c>
      <c r="P604" s="5" t="n">
        <f aca="false">IF(AT604="","",IF(ISNUMBER(AT604),AT604,VALUE(SUBSTITUTE(AT604,"%",""))/100))</f>
        <v>0.15</v>
      </c>
      <c r="Q604" s="5" t="n">
        <f aca="false">IF(P604="",IF(AND(N604&lt;&gt;"",O604&lt;&gt;"",R604&lt;&gt;"",S604&lt;&gt;""),0,"REVIEW"),IF(OR(P604&lt;0,P604&gt;0.3),0,P604))</f>
        <v>0.15</v>
      </c>
      <c r="R604" s="0" t="n">
        <v>26192.22</v>
      </c>
      <c r="S604" s="0" t="n">
        <v>20795.55</v>
      </c>
      <c r="T604" s="6" t="n">
        <f aca="false">N604*O604*(1-Q604)</f>
        <v>26192.223</v>
      </c>
      <c r="U604" s="6" t="n">
        <f aca="false">T604-S604</f>
        <v>5396.673</v>
      </c>
      <c r="V604" s="7" t="n">
        <f aca="false">IF(T604=0,0,U604/T604)</f>
        <v>0.20604104508426</v>
      </c>
      <c r="W604" s="4" t="n">
        <f aca="false">C604-B604</f>
        <v>7</v>
      </c>
      <c r="X604" s="0" t="str">
        <f aca="false">TEXT(B604,"mmmm")</f>
        <v>October</v>
      </c>
      <c r="Y604" s="4" t="n">
        <f aca="false">YEAR(B604)</f>
        <v>2024</v>
      </c>
      <c r="Z604" s="0" t="str">
        <f aca="false">PROPER(TRIM(AU604))</f>
        <v>Paid</v>
      </c>
      <c r="AA604" s="0" t="str">
        <f aca="false">PROPER(TRIM(AV604))</f>
        <v>Completed</v>
      </c>
      <c r="AB604" s="0" t="str">
        <f aca="false">IF(TRIM(AN604)="","Yes","No")</f>
        <v>No</v>
      </c>
      <c r="AC604" s="0" t="str">
        <f aca="false">IF(TRIM(AS604)="","Yes","No")</f>
        <v>No</v>
      </c>
      <c r="AD604" s="0" t="str">
        <f aca="false">IF(AT604="","Yes","No")</f>
        <v>No</v>
      </c>
      <c r="AE604" s="0" t="str">
        <f aca="false">IF(W604&lt;0,"Yes","No")</f>
        <v>No</v>
      </c>
      <c r="AF604" s="0" t="str">
        <f aca="false">IF(P604="","No",IF(OR(P604&lt;0,P604&gt;0.3),"Yes","No"))</f>
        <v>No</v>
      </c>
      <c r="AG604" s="4" t="s">
        <v>50</v>
      </c>
      <c r="AH604" s="0" t="str">
        <f aca="false">IF(AND(AA604="Completed",Z604="Paid"),"Yes","No")</f>
        <v>Yes</v>
      </c>
      <c r="AI604" s="0" t="str">
        <f aca="false">IF(OR(AE604="Yes",AF604="Yes",AG604="Yes"),"Invalid",IF(OR(AB604="Yes",AC604="Yes",AD604="Yes"),"Warning","Clean"))</f>
        <v>Clean</v>
      </c>
      <c r="AJ604" s="4" t="s">
        <v>2331</v>
      </c>
      <c r="AK604" s="4" t="s">
        <v>2332</v>
      </c>
      <c r="AL604" s="4" t="s">
        <v>176</v>
      </c>
      <c r="AM604" s="4" t="s">
        <v>54</v>
      </c>
      <c r="AN604" s="4" t="s">
        <v>69</v>
      </c>
      <c r="AO604" s="4" t="s">
        <v>300</v>
      </c>
      <c r="AP604" s="4" t="s">
        <v>301</v>
      </c>
      <c r="AQ604" s="4" t="s">
        <v>109</v>
      </c>
      <c r="AR604" s="4" t="s">
        <v>116</v>
      </c>
      <c r="AS604" s="4" t="s">
        <v>60</v>
      </c>
      <c r="AT604" s="0" t="n">
        <v>0.15</v>
      </c>
      <c r="AU604" s="4" t="s">
        <v>61</v>
      </c>
      <c r="AV604" s="4" t="s">
        <v>62</v>
      </c>
    </row>
    <row r="605" customFormat="false" ht="15" hidden="false" customHeight="false" outlineLevel="0" collapsed="false">
      <c r="A605" s="0" t="s">
        <v>2333</v>
      </c>
      <c r="B605" s="3" t="n">
        <f aca="false">IF(AJ605="","",IF(ISNUMBER(SEARCH("/",AJ605)),DATE(VALUE(RIGHT(AJ605,4)),VALUE(LEFT(AJ605,2)),VALUE(MID(AJ605,4,2))),IF(ISNUMBER(SEARCH("-",AJ605)),IF(LEN(LEFT(AJ605,FIND("-",AJ605)-1))=4,DATE(VALUE(LEFT(AJ605,4)),VALUE(MID(AJ605,6,2)),VALUE(RIGHT(AJ605,2))),DATE(VALUE(RIGHT(AJ605,4)),VALUE(MID(AJ605,4,2)),VALUE(LEFT(AJ605,2)))),DATE(VALUE(RIGHT(AJ605,4)),MATCH(MID(AJ605,4,3),{"Jan","Feb","Mar","Apr","May","Jun","Jul","Aug","Sep","Oct","Nov","Dec"},0),VALUE(LEFT(AJ605,2))))))</f>
        <v>45660</v>
      </c>
      <c r="C605" s="3" t="n">
        <f aca="false">IF(AK605="","",IF(ISNUMBER(SEARCH("/",AK605)),DATE(VALUE(RIGHT(AK605,4)),VALUE(LEFT(AK605,2)),VALUE(MID(AK605,4,2))),IF(ISNUMBER(SEARCH("-",AK605)),IF(LEN(LEFT(AK605,FIND("-",AK605)-1))=4,DATE(VALUE(LEFT(AK605,4)),VALUE(MID(AK605,6,2)),VALUE(RIGHT(AK605,2))),DATE(VALUE(RIGHT(AK605,4)),VALUE(MID(AK605,4,2)),VALUE(LEFT(AK605,2)))),DATE(VALUE(RIGHT(AK605,4)),MATCH(MID(AK605,4,3),{"Jan","Feb","Mar","Apr","May","Jun","Jul","Aug","Sep","Oct","Nov","Dec"},0),VALUE(LEFT(AK605,2))))))</f>
        <v>45668</v>
      </c>
      <c r="D605" s="4" t="s">
        <v>437</v>
      </c>
      <c r="E605" s="0" t="str">
        <f aca="false">PROPER(TRIM(AL605))</f>
        <v>Vikram Iyer</v>
      </c>
      <c r="F605" s="0" t="str">
        <f aca="false">PROPER(TRIM(AM605))</f>
        <v>Corporate</v>
      </c>
      <c r="G605" s="0" t="str">
        <f aca="false">IF(TRIM(AN605)="","Unknown",PROPER(TRIM(AN605)))</f>
        <v>East</v>
      </c>
      <c r="H605" s="0" t="str">
        <f aca="false">PROPER(TRIM(AO605))</f>
        <v>Bihar</v>
      </c>
      <c r="I605" s="0" t="str">
        <f aca="false">PROPER(TRIM(AP605))</f>
        <v>Patna</v>
      </c>
      <c r="J605" s="0" t="str">
        <f aca="false">PROPER(TRIM(AQ605))</f>
        <v>Technology</v>
      </c>
      <c r="K605" s="0" t="str">
        <f aca="false">PROPER(TRIM(AR605))</f>
        <v>Accessories</v>
      </c>
      <c r="M605" s="0" t="str">
        <f aca="false">IF(TRIM(AS605)="","Unknown",PROPER(TRIM(AS605)))</f>
        <v>First Class</v>
      </c>
      <c r="N605" s="0" t="n">
        <v>8</v>
      </c>
      <c r="O605" s="0" t="n">
        <v>2574.29</v>
      </c>
      <c r="P605" s="5" t="n">
        <f aca="false">IF(AT605="","",IF(ISNUMBER(AT605),AT605,VALUE(SUBSTITUTE(AT605,"%",""))/100))</f>
        <v>0.05</v>
      </c>
      <c r="Q605" s="5" t="n">
        <f aca="false">IF(P605="",IF(AND(N605&lt;&gt;"",O605&lt;&gt;"",R605&lt;&gt;"",S605&lt;&gt;""),0,"REVIEW"),IF(OR(P605&lt;0,P605&gt;0.3),0,P605))</f>
        <v>0.05</v>
      </c>
      <c r="R605" s="0" t="n">
        <v>19564.6</v>
      </c>
      <c r="S605" s="0" t="n">
        <v>11154.59</v>
      </c>
      <c r="T605" s="6" t="n">
        <f aca="false">N605*O605*(1-Q605)</f>
        <v>19564.604</v>
      </c>
      <c r="U605" s="6" t="n">
        <f aca="false">T605-S605</f>
        <v>8410.014</v>
      </c>
      <c r="V605" s="7" t="n">
        <f aca="false">IF(T605=0,0,U605/T605)</f>
        <v>0.429858636545876</v>
      </c>
      <c r="W605" s="4" t="n">
        <f aca="false">C605-B605</f>
        <v>8</v>
      </c>
      <c r="X605" s="0" t="str">
        <f aca="false">TEXT(B605,"mmmm")</f>
        <v>January</v>
      </c>
      <c r="Y605" s="4" t="n">
        <f aca="false">YEAR(B605)</f>
        <v>2025</v>
      </c>
      <c r="Z605" s="0" t="str">
        <f aca="false">PROPER(TRIM(AU605))</f>
        <v>Pending</v>
      </c>
      <c r="AA605" s="0" t="str">
        <f aca="false">PROPER(TRIM(AV605))</f>
        <v>Cancelled</v>
      </c>
      <c r="AB605" s="0" t="str">
        <f aca="false">IF(TRIM(AN605)="","Yes","No")</f>
        <v>No</v>
      </c>
      <c r="AC605" s="0" t="str">
        <f aca="false">IF(TRIM(AS605)="","Yes","No")</f>
        <v>No</v>
      </c>
      <c r="AD605" s="0" t="str">
        <f aca="false">IF(AT605="","Yes","No")</f>
        <v>No</v>
      </c>
      <c r="AE605" s="0" t="str">
        <f aca="false">IF(W605&lt;0,"Yes","No")</f>
        <v>No</v>
      </c>
      <c r="AF605" s="0" t="str">
        <f aca="false">IF(P605="","No",IF(OR(P605&lt;0,P605&gt;0.3),"Yes","No"))</f>
        <v>No</v>
      </c>
      <c r="AG605" s="4" t="s">
        <v>50</v>
      </c>
      <c r="AH605" s="0" t="str">
        <f aca="false">IF(AND(AA605="Completed",Z605="Paid"),"Yes","No")</f>
        <v>No</v>
      </c>
      <c r="AI605" s="0" t="str">
        <f aca="false">IF(OR(AE605="Yes",AF605="Yes",AG605="Yes"),"Invalid",IF(OR(AB605="Yes",AC605="Yes",AD605="Yes"),"Warning","Clean"))</f>
        <v>Clean</v>
      </c>
      <c r="AJ605" s="4" t="s">
        <v>2334</v>
      </c>
      <c r="AK605" s="4" t="s">
        <v>531</v>
      </c>
      <c r="AL605" s="4" t="s">
        <v>106</v>
      </c>
      <c r="AM605" s="4" t="s">
        <v>128</v>
      </c>
      <c r="AN605" s="4" t="s">
        <v>69</v>
      </c>
      <c r="AO605" s="4" t="s">
        <v>196</v>
      </c>
      <c r="AP605" s="4" t="s">
        <v>197</v>
      </c>
      <c r="AQ605" s="4" t="s">
        <v>478</v>
      </c>
      <c r="AR605" s="4" t="s">
        <v>110</v>
      </c>
      <c r="AS605" s="4" t="s">
        <v>81</v>
      </c>
      <c r="AT605" s="0" t="n">
        <v>0.05</v>
      </c>
      <c r="AU605" s="4" t="s">
        <v>153</v>
      </c>
      <c r="AV605" s="4" t="s">
        <v>101</v>
      </c>
    </row>
    <row r="606" customFormat="false" ht="15" hidden="false" customHeight="false" outlineLevel="0" collapsed="false">
      <c r="A606" s="0" t="s">
        <v>2335</v>
      </c>
      <c r="B606" s="3" t="n">
        <f aca="false">IF(AJ606="","",IF(ISNUMBER(SEARCH("/",AJ606)),DATE(VALUE(RIGHT(AJ606,4)),VALUE(LEFT(AJ606,2)),VALUE(MID(AJ606,4,2))),IF(ISNUMBER(SEARCH("-",AJ606)),IF(LEN(LEFT(AJ606,FIND("-",AJ606)-1))=4,DATE(VALUE(LEFT(AJ606,4)),VALUE(MID(AJ606,6,2)),VALUE(RIGHT(AJ606,2))),DATE(VALUE(RIGHT(AJ606,4)),VALUE(MID(AJ606,4,2)),VALUE(LEFT(AJ606,2)))),DATE(VALUE(RIGHT(AJ606,4)),MATCH(MID(AJ606,4,3),{"Jan","Feb","Mar","Apr","May","Jun","Jul","Aug","Sep","Oct","Nov","Dec"},0),VALUE(LEFT(AJ606,2))))))</f>
        <v>45693</v>
      </c>
      <c r="C606" s="3" t="n">
        <f aca="false">IF(AK606="","",IF(ISNUMBER(SEARCH("/",AK606)),DATE(VALUE(RIGHT(AK606,4)),VALUE(LEFT(AK606,2)),VALUE(MID(AK606,4,2))),IF(ISNUMBER(SEARCH("-",AK606)),IF(LEN(LEFT(AK606,FIND("-",AK606)-1))=4,DATE(VALUE(LEFT(AK606,4)),VALUE(MID(AK606,6,2)),VALUE(RIGHT(AK606,2))),DATE(VALUE(RIGHT(AK606,4)),VALUE(MID(AK606,4,2)),VALUE(LEFT(AK606,2)))),DATE(VALUE(RIGHT(AK606,4)),MATCH(MID(AK606,4,3),{"Jan","Feb","Mar","Apr","May","Jun","Jul","Aug","Sep","Oct","Nov","Dec"},0),VALUE(LEFT(AK606,2))))))</f>
        <v>45694</v>
      </c>
      <c r="D606" s="4" t="s">
        <v>2336</v>
      </c>
      <c r="E606" s="0" t="str">
        <f aca="false">PROPER(TRIM(AL606))</f>
        <v>Ananya Rao</v>
      </c>
      <c r="F606" s="0" t="str">
        <f aca="false">PROPER(TRIM(AM606))</f>
        <v>Consumer</v>
      </c>
      <c r="G606" s="0" t="str">
        <f aca="false">IF(TRIM(AN606)="","Unknown",PROPER(TRIM(AN606)))</f>
        <v>West</v>
      </c>
      <c r="H606" s="0" t="str">
        <f aca="false">PROPER(TRIM(AO606))</f>
        <v>Madhya Pradesh</v>
      </c>
      <c r="I606" s="0" t="str">
        <f aca="false">PROPER(TRIM(AP606))</f>
        <v>Indore</v>
      </c>
      <c r="J606" s="0" t="str">
        <f aca="false">PROPER(TRIM(AQ606))</f>
        <v>Office Supplies</v>
      </c>
      <c r="K606" s="0" t="str">
        <f aca="false">PROPER(TRIM(AR606))</f>
        <v>Binders</v>
      </c>
      <c r="M606" s="0" t="str">
        <f aca="false">IF(TRIM(AS606)="","Unknown",PROPER(TRIM(AS606)))</f>
        <v>Same Day</v>
      </c>
      <c r="N606" s="0" t="n">
        <v>3</v>
      </c>
      <c r="O606" s="0" t="n">
        <v>1076.3</v>
      </c>
      <c r="P606" s="5" t="n">
        <f aca="false">IF(AT606="","",IF(ISNUMBER(AT606),AT606,VALUE(SUBSTITUTE(AT606,"%",""))/100))</f>
        <v>0</v>
      </c>
      <c r="Q606" s="5" t="n">
        <f aca="false">IF(P606="",IF(AND(N606&lt;&gt;"",O606&lt;&gt;"",R606&lt;&gt;"",S606&lt;&gt;""),0,"REVIEW"),IF(OR(P606&lt;0,P606&gt;0.3),0,P606))</f>
        <v>0</v>
      </c>
      <c r="R606" s="0" t="n">
        <v>3228.9</v>
      </c>
      <c r="S606" s="0" t="n">
        <v>1853.23</v>
      </c>
      <c r="T606" s="6" t="n">
        <f aca="false">N606*O606*(1-Q606)</f>
        <v>3228.9</v>
      </c>
      <c r="U606" s="6" t="n">
        <f aca="false">T606-S606</f>
        <v>1375.67</v>
      </c>
      <c r="V606" s="7" t="n">
        <f aca="false">IF(T606=0,0,U606/T606)</f>
        <v>0.42604911889498</v>
      </c>
      <c r="W606" s="4" t="n">
        <f aca="false">C606-B606</f>
        <v>1</v>
      </c>
      <c r="X606" s="0" t="str">
        <f aca="false">TEXT(B606,"mmmm")</f>
        <v>February</v>
      </c>
      <c r="Y606" s="4" t="n">
        <f aca="false">YEAR(B606)</f>
        <v>2025</v>
      </c>
      <c r="Z606" s="0" t="str">
        <f aca="false">PROPER(TRIM(AU606))</f>
        <v>Paid</v>
      </c>
      <c r="AA606" s="0" t="str">
        <f aca="false">PROPER(TRIM(AV606))</f>
        <v>Completed</v>
      </c>
      <c r="AB606" s="0" t="str">
        <f aca="false">IF(TRIM(AN606)="","Yes","No")</f>
        <v>No</v>
      </c>
      <c r="AC606" s="0" t="str">
        <f aca="false">IF(TRIM(AS606)="","Yes","No")</f>
        <v>No</v>
      </c>
      <c r="AD606" s="0" t="str">
        <f aca="false">IF(AT606="","Yes","No")</f>
        <v>No</v>
      </c>
      <c r="AE606" s="0" t="str">
        <f aca="false">IF(W606&lt;0,"Yes","No")</f>
        <v>No</v>
      </c>
      <c r="AF606" s="0" t="str">
        <f aca="false">IF(P606="","No",IF(OR(P606&lt;0,P606&gt;0.3),"Yes","No"))</f>
        <v>No</v>
      </c>
      <c r="AG606" s="4" t="s">
        <v>50</v>
      </c>
      <c r="AH606" s="0" t="str">
        <f aca="false">IF(AND(AA606="Completed",Z606="Paid"),"Yes","No")</f>
        <v>Yes</v>
      </c>
      <c r="AI606" s="0" t="str">
        <f aca="false">IF(OR(AE606="Yes",AF606="Yes",AG606="Yes"),"Invalid",IF(OR(AB606="Yes",AC606="Yes",AD606="Yes"),"Warning","Clean"))</f>
        <v>Clean</v>
      </c>
      <c r="AJ606" s="4" t="s">
        <v>2337</v>
      </c>
      <c r="AK606" s="4" t="s">
        <v>2338</v>
      </c>
      <c r="AL606" s="4" t="s">
        <v>96</v>
      </c>
      <c r="AM606" s="4" t="s">
        <v>54</v>
      </c>
      <c r="AN606" s="4" t="s">
        <v>97</v>
      </c>
      <c r="AO606" s="4" t="s">
        <v>107</v>
      </c>
      <c r="AP606" s="4" t="s">
        <v>108</v>
      </c>
      <c r="AQ606" s="4" t="s">
        <v>58</v>
      </c>
      <c r="AR606" s="4" t="s">
        <v>206</v>
      </c>
      <c r="AS606" s="4" t="s">
        <v>74</v>
      </c>
      <c r="AT606" s="0" t="n">
        <v>0</v>
      </c>
      <c r="AU606" s="4" t="s">
        <v>61</v>
      </c>
      <c r="AV606" s="4" t="s">
        <v>62</v>
      </c>
    </row>
    <row r="607" customFormat="false" ht="15" hidden="false" customHeight="false" outlineLevel="0" collapsed="false">
      <c r="A607" s="0" t="s">
        <v>2339</v>
      </c>
      <c r="B607" s="3" t="n">
        <f aca="false">IF(AJ607="","",IF(ISNUMBER(SEARCH("/",AJ607)),DATE(VALUE(RIGHT(AJ607,4)),VALUE(LEFT(AJ607,2)),VALUE(MID(AJ607,4,2))),IF(ISNUMBER(SEARCH("-",AJ607)),IF(LEN(LEFT(AJ607,FIND("-",AJ607)-1))=4,DATE(VALUE(LEFT(AJ607,4)),VALUE(MID(AJ607,6,2)),VALUE(RIGHT(AJ607,2))),DATE(VALUE(RIGHT(AJ607,4)),VALUE(MID(AJ607,4,2)),VALUE(LEFT(AJ607,2)))),DATE(VALUE(RIGHT(AJ607,4)),MATCH(MID(AJ607,4,3),{"Jan","Feb","Mar","Apr","May","Jun","Jul","Aug","Sep","Oct","Nov","Dec"},0),VALUE(LEFT(AJ607,2))))))</f>
        <v>45847</v>
      </c>
      <c r="C607" s="3" t="n">
        <f aca="false">IF(AK607="","",IF(ISNUMBER(SEARCH("/",AK607)),DATE(VALUE(RIGHT(AK607,4)),VALUE(LEFT(AK607,2)),VALUE(MID(AK607,4,2))),IF(ISNUMBER(SEARCH("-",AK607)),IF(LEN(LEFT(AK607,FIND("-",AK607)-1))=4,DATE(VALUE(LEFT(AK607,4)),VALUE(MID(AK607,6,2)),VALUE(RIGHT(AK607,2))),DATE(VALUE(RIGHT(AK607,4)),VALUE(MID(AK607,4,2)),VALUE(LEFT(AK607,2)))),DATE(VALUE(RIGHT(AK607,4)),MATCH(MID(AK607,4,3),{"Jan","Feb","Mar","Apr","May","Jun","Jul","Aug","Sep","Oct","Nov","Dec"},0),VALUE(LEFT(AK607,2))))))</f>
        <v>45851</v>
      </c>
      <c r="D607" s="4" t="s">
        <v>2340</v>
      </c>
      <c r="E607" s="0" t="str">
        <f aca="false">PROPER(TRIM(AL607))</f>
        <v>Kabir Singh</v>
      </c>
      <c r="F607" s="0" t="str">
        <f aca="false">PROPER(TRIM(AM607))</f>
        <v>Corporate</v>
      </c>
      <c r="G607" s="0" t="str">
        <f aca="false">IF(TRIM(AN607)="","Unknown",PROPER(TRIM(AN607)))</f>
        <v>West</v>
      </c>
      <c r="H607" s="0" t="str">
        <f aca="false">PROPER(TRIM(AO607))</f>
        <v>Goa</v>
      </c>
      <c r="I607" s="0" t="str">
        <f aca="false">PROPER(TRIM(AP607))</f>
        <v>Panaji</v>
      </c>
      <c r="J607" s="0" t="str">
        <f aca="false">PROPER(TRIM(AQ607))</f>
        <v>Furniture</v>
      </c>
      <c r="K607" s="0" t="str">
        <f aca="false">PROPER(TRIM(AR607))</f>
        <v>Furnishings</v>
      </c>
      <c r="M607" s="0" t="str">
        <f aca="false">IF(TRIM(AS607)="","Unknown",PROPER(TRIM(AS607)))</f>
        <v>Second Class</v>
      </c>
      <c r="N607" s="0" t="n">
        <v>5</v>
      </c>
      <c r="O607" s="0" t="n">
        <v>1680.01</v>
      </c>
      <c r="P607" s="5" t="n">
        <f aca="false">IF(AT607="","",IF(ISNUMBER(AT607),AT607,VALUE(SUBSTITUTE(AT607,"%",""))/100))</f>
        <v>0.85</v>
      </c>
      <c r="Q607" s="5" t="n">
        <f aca="false">IF(P607="",IF(AND(N607&lt;&gt;"",O607&lt;&gt;"",R607&lt;&gt;"",S607&lt;&gt;""),0,"REVIEW"),IF(OR(P607&lt;0,P607&gt;0.3),0,P607))</f>
        <v>0</v>
      </c>
      <c r="R607" s="0" t="n">
        <v>7560.04</v>
      </c>
      <c r="S607" s="0" t="n">
        <v>6448.05</v>
      </c>
      <c r="T607" s="6" t="n">
        <f aca="false">N607*O607*(1-Q607)</f>
        <v>8400.05</v>
      </c>
      <c r="U607" s="6" t="n">
        <f aca="false">T607-S607</f>
        <v>1952</v>
      </c>
      <c r="V607" s="7" t="n">
        <f aca="false">IF(T607=0,0,U607/T607)</f>
        <v>0.232379569169231</v>
      </c>
      <c r="W607" s="4" t="n">
        <f aca="false">C607-B607</f>
        <v>4</v>
      </c>
      <c r="X607" s="0" t="str">
        <f aca="false">TEXT(B607,"mmmm")</f>
        <v>July</v>
      </c>
      <c r="Y607" s="4" t="n">
        <f aca="false">YEAR(B607)</f>
        <v>2025</v>
      </c>
      <c r="Z607" s="0" t="str">
        <f aca="false">PROPER(TRIM(AU607))</f>
        <v>Paid</v>
      </c>
      <c r="AA607" s="0" t="str">
        <f aca="false">PROPER(TRIM(AV607))</f>
        <v>Cancelled</v>
      </c>
      <c r="AB607" s="0" t="str">
        <f aca="false">IF(TRIM(AN607)="","Yes","No")</f>
        <v>No</v>
      </c>
      <c r="AC607" s="0" t="str">
        <f aca="false">IF(TRIM(AS607)="","Yes","No")</f>
        <v>No</v>
      </c>
      <c r="AD607" s="0" t="str">
        <f aca="false">IF(AT607="","Yes","No")</f>
        <v>No</v>
      </c>
      <c r="AE607" s="0" t="str">
        <f aca="false">IF(W607&lt;0,"Yes","No")</f>
        <v>No</v>
      </c>
      <c r="AF607" s="0" t="str">
        <f aca="false">IF(P607="","No",IF(OR(P607&lt;0,P607&gt;0.3),"Yes","No"))</f>
        <v>Yes</v>
      </c>
      <c r="AG607" s="4" t="s">
        <v>50</v>
      </c>
      <c r="AH607" s="0" t="str">
        <f aca="false">IF(AND(AA607="Completed",Z607="Paid"),"Yes","No")</f>
        <v>No</v>
      </c>
      <c r="AI607" s="0" t="str">
        <f aca="false">IF(OR(AE607="Yes",AF607="Yes",AG607="Yes"),"Invalid",IF(OR(AB607="Yes",AC607="Yes",AD607="Yes"),"Warning","Clean"))</f>
        <v>Invalid</v>
      </c>
      <c r="AJ607" s="4" t="s">
        <v>2127</v>
      </c>
      <c r="AK607" s="4" t="s">
        <v>2341</v>
      </c>
      <c r="AL607" s="4" t="s">
        <v>347</v>
      </c>
      <c r="AM607" s="4" t="s">
        <v>128</v>
      </c>
      <c r="AN607" s="4" t="s">
        <v>97</v>
      </c>
      <c r="AO607" s="4" t="s">
        <v>250</v>
      </c>
      <c r="AP607" s="4" t="s">
        <v>251</v>
      </c>
      <c r="AQ607" s="4" t="s">
        <v>72</v>
      </c>
      <c r="AR607" s="4" t="s">
        <v>90</v>
      </c>
      <c r="AS607" s="4" t="s">
        <v>60</v>
      </c>
      <c r="AT607" s="4" t="s">
        <v>995</v>
      </c>
      <c r="AU607" s="4" t="s">
        <v>61</v>
      </c>
      <c r="AV607" s="4" t="s">
        <v>101</v>
      </c>
    </row>
    <row r="608" customFormat="false" ht="15" hidden="false" customHeight="false" outlineLevel="0" collapsed="false">
      <c r="A608" s="0" t="s">
        <v>2342</v>
      </c>
      <c r="B608" s="3" t="n">
        <f aca="false">IF(AJ608="","",IF(ISNUMBER(SEARCH("/",AJ608)),DATE(VALUE(RIGHT(AJ608,4)),VALUE(LEFT(AJ608,2)),VALUE(MID(AJ608,4,2))),IF(ISNUMBER(SEARCH("-",AJ608)),IF(LEN(LEFT(AJ608,FIND("-",AJ608)-1))=4,DATE(VALUE(LEFT(AJ608,4)),VALUE(MID(AJ608,6,2)),VALUE(RIGHT(AJ608,2))),DATE(VALUE(RIGHT(AJ608,4)),VALUE(MID(AJ608,4,2)),VALUE(LEFT(AJ608,2)))),DATE(VALUE(RIGHT(AJ608,4)),MATCH(MID(AJ608,4,3),{"Jan","Feb","Mar","Apr","May","Jun","Jul","Aug","Sep","Oct","Nov","Dec"},0),VALUE(LEFT(AJ608,2))))))</f>
        <v>45710</v>
      </c>
      <c r="C608" s="3" t="n">
        <f aca="false">IF(AK608="","",IF(ISNUMBER(SEARCH("/",AK608)),DATE(VALUE(RIGHT(AK608,4)),VALUE(LEFT(AK608,2)),VALUE(MID(AK608,4,2))),IF(ISNUMBER(SEARCH("-",AK608)),IF(LEN(LEFT(AK608,FIND("-",AK608)-1))=4,DATE(VALUE(LEFT(AK608,4)),VALUE(MID(AK608,6,2)),VALUE(RIGHT(AK608,2))),DATE(VALUE(RIGHT(AK608,4)),VALUE(MID(AK608,4,2)),VALUE(LEFT(AK608,2)))),DATE(VALUE(RIGHT(AK608,4)),MATCH(MID(AK608,4,3),{"Jan","Feb","Mar","Apr","May","Jun","Jul","Aug","Sep","Oct","Nov","Dec"},0),VALUE(LEFT(AK608,2))))))</f>
        <v>45716</v>
      </c>
      <c r="D608" s="4" t="s">
        <v>2343</v>
      </c>
      <c r="E608" s="0" t="str">
        <f aca="false">PROPER(TRIM(AL608))</f>
        <v>Rahul Verma</v>
      </c>
      <c r="F608" s="0" t="str">
        <f aca="false">PROPER(TRIM(AM608))</f>
        <v>Home Office</v>
      </c>
      <c r="G608" s="0" t="str">
        <f aca="false">IF(TRIM(AN608)="","Unknown",PROPER(TRIM(AN608)))</f>
        <v>West</v>
      </c>
      <c r="H608" s="0" t="str">
        <f aca="false">PROPER(TRIM(AO608))</f>
        <v>Madhya Pradesh</v>
      </c>
      <c r="I608" s="0" t="str">
        <f aca="false">PROPER(TRIM(AP608))</f>
        <v>Indore</v>
      </c>
      <c r="J608" s="0" t="str">
        <f aca="false">PROPER(TRIM(AQ608))</f>
        <v>Technology</v>
      </c>
      <c r="K608" s="0" t="str">
        <f aca="false">PROPER(TRIM(AR608))</f>
        <v>Copiers</v>
      </c>
      <c r="M608" s="0" t="str">
        <f aca="false">IF(TRIM(AS608)="","Unknown",PROPER(TRIM(AS608)))</f>
        <v>Same Day</v>
      </c>
      <c r="N608" s="0" t="n">
        <v>3</v>
      </c>
      <c r="O608" s="0" t="n">
        <v>3890.81</v>
      </c>
      <c r="P608" s="5" t="n">
        <f aca="false">IF(AT608="","",IF(ISNUMBER(AT608),AT608,VALUE(SUBSTITUTE(AT608,"%",""))/100))</f>
        <v>0.25</v>
      </c>
      <c r="Q608" s="5" t="n">
        <f aca="false">IF(P608="",IF(AND(N608&lt;&gt;"",O608&lt;&gt;"",R608&lt;&gt;"",S608&lt;&gt;""),0,"REVIEW"),IF(OR(P608&lt;0,P608&gt;0.3),0,P608))</f>
        <v>0.25</v>
      </c>
      <c r="R608" s="0" t="n">
        <v>8754.32</v>
      </c>
      <c r="S608" s="0" t="n">
        <v>6238.9</v>
      </c>
      <c r="T608" s="6" t="n">
        <f aca="false">N608*O608*(1-Q608)</f>
        <v>8754.3225</v>
      </c>
      <c r="U608" s="6" t="n">
        <f aca="false">T608-S608</f>
        <v>2515.4225</v>
      </c>
      <c r="V608" s="7" t="n">
        <f aca="false">IF(T608=0,0,U608/T608)</f>
        <v>0.287334913695492</v>
      </c>
      <c r="W608" s="4" t="n">
        <f aca="false">C608-B608</f>
        <v>6</v>
      </c>
      <c r="X608" s="0" t="str">
        <f aca="false">TEXT(B608,"mmmm")</f>
        <v>February</v>
      </c>
      <c r="Y608" s="4" t="n">
        <f aca="false">YEAR(B608)</f>
        <v>2025</v>
      </c>
      <c r="Z608" s="0" t="str">
        <f aca="false">PROPER(TRIM(AU608))</f>
        <v>Paid</v>
      </c>
      <c r="AA608" s="0" t="str">
        <f aca="false">PROPER(TRIM(AV608))</f>
        <v>Completed</v>
      </c>
      <c r="AB608" s="0" t="str">
        <f aca="false">IF(TRIM(AN608)="","Yes","No")</f>
        <v>No</v>
      </c>
      <c r="AC608" s="0" t="str">
        <f aca="false">IF(TRIM(AS608)="","Yes","No")</f>
        <v>No</v>
      </c>
      <c r="AD608" s="0" t="str">
        <f aca="false">IF(AT608="","Yes","No")</f>
        <v>No</v>
      </c>
      <c r="AE608" s="0" t="str">
        <f aca="false">IF(W608&lt;0,"Yes","No")</f>
        <v>No</v>
      </c>
      <c r="AF608" s="0" t="str">
        <f aca="false">IF(P608="","No",IF(OR(P608&lt;0,P608&gt;0.3),"Yes","No"))</f>
        <v>No</v>
      </c>
      <c r="AG608" s="4" t="s">
        <v>50</v>
      </c>
      <c r="AH608" s="0" t="str">
        <f aca="false">IF(AND(AA608="Completed",Z608="Paid"),"Yes","No")</f>
        <v>Yes</v>
      </c>
      <c r="AI608" s="0" t="str">
        <f aca="false">IF(OR(AE608="Yes",AF608="Yes",AG608="Yes"),"Invalid",IF(OR(AB608="Yes",AC608="Yes",AD608="Yes"),"Warning","Clean"))</f>
        <v>Clean</v>
      </c>
      <c r="AJ608" s="4" t="s">
        <v>2344</v>
      </c>
      <c r="AK608" s="4" t="s">
        <v>2061</v>
      </c>
      <c r="AL608" s="4" t="s">
        <v>163</v>
      </c>
      <c r="AM608" s="4" t="s">
        <v>134</v>
      </c>
      <c r="AN608" s="4" t="s">
        <v>97</v>
      </c>
      <c r="AO608" s="4" t="s">
        <v>107</v>
      </c>
      <c r="AP608" s="4" t="s">
        <v>108</v>
      </c>
      <c r="AQ608" s="4" t="s">
        <v>109</v>
      </c>
      <c r="AR608" s="4" t="s">
        <v>116</v>
      </c>
      <c r="AS608" s="4" t="s">
        <v>74</v>
      </c>
      <c r="AT608" s="0" t="n">
        <v>0.25</v>
      </c>
      <c r="AU608" s="4" t="s">
        <v>61</v>
      </c>
      <c r="AV608" s="4" t="s">
        <v>62</v>
      </c>
    </row>
    <row r="609" customFormat="false" ht="15" hidden="false" customHeight="false" outlineLevel="0" collapsed="false">
      <c r="A609" s="0" t="s">
        <v>2345</v>
      </c>
      <c r="B609" s="3" t="n">
        <f aca="false">IF(AJ609="","",IF(ISNUMBER(SEARCH("/",AJ609)),DATE(VALUE(RIGHT(AJ609,4)),VALUE(LEFT(AJ609,2)),VALUE(MID(AJ609,4,2))),IF(ISNUMBER(SEARCH("-",AJ609)),IF(LEN(LEFT(AJ609,FIND("-",AJ609)-1))=4,DATE(VALUE(LEFT(AJ609,4)),VALUE(MID(AJ609,6,2)),VALUE(RIGHT(AJ609,2))),DATE(VALUE(RIGHT(AJ609,4)),VALUE(MID(AJ609,4,2)),VALUE(LEFT(AJ609,2)))),DATE(VALUE(RIGHT(AJ609,4)),MATCH(MID(AJ609,4,3),{"Jan","Feb","Mar","Apr","May","Jun","Jul","Aug","Sep","Oct","Nov","Dec"},0),VALUE(LEFT(AJ609,2))))))</f>
        <v>45704</v>
      </c>
      <c r="C609" s="3" t="n">
        <f aca="false">IF(AK609="","",IF(ISNUMBER(SEARCH("/",AK609)),DATE(VALUE(RIGHT(AK609,4)),VALUE(LEFT(AK609,2)),VALUE(MID(AK609,4,2))),IF(ISNUMBER(SEARCH("-",AK609)),IF(LEN(LEFT(AK609,FIND("-",AK609)-1))=4,DATE(VALUE(LEFT(AK609,4)),VALUE(MID(AK609,6,2)),VALUE(RIGHT(AK609,2))),DATE(VALUE(RIGHT(AK609,4)),VALUE(MID(AK609,4,2)),VALUE(LEFT(AK609,2)))),DATE(VALUE(RIGHT(AK609,4)),MATCH(MID(AK609,4,3),{"Jan","Feb","Mar","Apr","May","Jun","Jul","Aug","Sep","Oct","Nov","Dec"},0),VALUE(LEFT(AK609,2))))))</f>
        <v>45710</v>
      </c>
      <c r="D609" s="4" t="s">
        <v>2346</v>
      </c>
      <c r="E609" s="0" t="str">
        <f aca="false">PROPER(TRIM(AL609))</f>
        <v>Sneha Kapoor</v>
      </c>
      <c r="F609" s="0" t="str">
        <f aca="false">PROPER(TRIM(AM609))</f>
        <v>Home Office</v>
      </c>
      <c r="G609" s="0" t="str">
        <f aca="false">IF(TRIM(AN609)="","Unknown",PROPER(TRIM(AN609)))</f>
        <v>East</v>
      </c>
      <c r="H609" s="0" t="str">
        <f aca="false">PROPER(TRIM(AO609))</f>
        <v>Bihar</v>
      </c>
      <c r="I609" s="0" t="str">
        <f aca="false">PROPER(TRIM(AP609))</f>
        <v>Patna</v>
      </c>
      <c r="J609" s="0" t="str">
        <f aca="false">PROPER(TRIM(AQ609))</f>
        <v>Office Supplies</v>
      </c>
      <c r="K609" s="0" t="str">
        <f aca="false">PROPER(TRIM(AR609))</f>
        <v>Storage</v>
      </c>
      <c r="M609" s="0" t="str">
        <f aca="false">IF(TRIM(AS609)="","Unknown",PROPER(TRIM(AS609)))</f>
        <v>Same Day</v>
      </c>
      <c r="N609" s="0" t="n">
        <v>5</v>
      </c>
      <c r="O609" s="0" t="n">
        <v>954.67</v>
      </c>
      <c r="P609" s="5" t="n">
        <f aca="false">IF(AT609="","",IF(ISNUMBER(AT609),AT609,VALUE(SUBSTITUTE(AT609,"%",""))/100))</f>
        <v>0.15</v>
      </c>
      <c r="Q609" s="5" t="n">
        <f aca="false">IF(P609="",IF(AND(N609&lt;&gt;"",O609&lt;&gt;"",R609&lt;&gt;"",S609&lt;&gt;""),0,"REVIEW"),IF(OR(P609&lt;0,P609&gt;0.3),0,P609))</f>
        <v>0.15</v>
      </c>
      <c r="R609" s="0" t="n">
        <v>4057.35</v>
      </c>
      <c r="S609" s="0" t="n">
        <v>2862.03</v>
      </c>
      <c r="T609" s="6" t="n">
        <f aca="false">N609*O609*(1-Q609)</f>
        <v>4057.3475</v>
      </c>
      <c r="U609" s="6" t="n">
        <f aca="false">T609-S609</f>
        <v>1195.3175</v>
      </c>
      <c r="V609" s="7" t="n">
        <f aca="false">IF(T609=0,0,U609/T609)</f>
        <v>0.29460565061287</v>
      </c>
      <c r="W609" s="4" t="n">
        <f aca="false">C609-B609</f>
        <v>6</v>
      </c>
      <c r="X609" s="0" t="str">
        <f aca="false">TEXT(B609,"mmmm")</f>
        <v>February</v>
      </c>
      <c r="Y609" s="4" t="n">
        <f aca="false">YEAR(B609)</f>
        <v>2025</v>
      </c>
      <c r="Z609" s="0" t="str">
        <f aca="false">PROPER(TRIM(AU609))</f>
        <v>Paid</v>
      </c>
      <c r="AA609" s="0" t="str">
        <f aca="false">PROPER(TRIM(AV609))</f>
        <v>Completed</v>
      </c>
      <c r="AB609" s="0" t="str">
        <f aca="false">IF(TRIM(AN609)="","Yes","No")</f>
        <v>No</v>
      </c>
      <c r="AC609" s="0" t="str">
        <f aca="false">IF(TRIM(AS609)="","Yes","No")</f>
        <v>No</v>
      </c>
      <c r="AD609" s="0" t="str">
        <f aca="false">IF(AT609="","Yes","No")</f>
        <v>No</v>
      </c>
      <c r="AE609" s="0" t="str">
        <f aca="false">IF(W609&lt;0,"Yes","No")</f>
        <v>No</v>
      </c>
      <c r="AF609" s="0" t="str">
        <f aca="false">IF(P609="","No",IF(OR(P609&lt;0,P609&gt;0.3),"Yes","No"))</f>
        <v>No</v>
      </c>
      <c r="AG609" s="4" t="s">
        <v>50</v>
      </c>
      <c r="AH609" s="0" t="str">
        <f aca="false">IF(AND(AA609="Completed",Z609="Paid"),"Yes","No")</f>
        <v>Yes</v>
      </c>
      <c r="AI609" s="0" t="str">
        <f aca="false">IF(OR(AE609="Yes",AF609="Yes",AG609="Yes"),"Invalid",IF(OR(AB609="Yes",AC609="Yes",AD609="Yes"),"Warning","Clean"))</f>
        <v>Clean</v>
      </c>
      <c r="AJ609" s="4" t="s">
        <v>2309</v>
      </c>
      <c r="AK609" s="4" t="s">
        <v>2344</v>
      </c>
      <c r="AL609" s="4" t="s">
        <v>181</v>
      </c>
      <c r="AM609" s="4" t="s">
        <v>134</v>
      </c>
      <c r="AN609" s="4" t="s">
        <v>69</v>
      </c>
      <c r="AO609" s="4" t="s">
        <v>196</v>
      </c>
      <c r="AP609" s="4" t="s">
        <v>197</v>
      </c>
      <c r="AQ609" s="4" t="s">
        <v>58</v>
      </c>
      <c r="AR609" s="4" t="s">
        <v>171</v>
      </c>
      <c r="AS609" s="4" t="s">
        <v>74</v>
      </c>
      <c r="AT609" s="0" t="n">
        <v>0.15</v>
      </c>
      <c r="AU609" s="4" t="s">
        <v>61</v>
      </c>
      <c r="AV609" s="4" t="s">
        <v>62</v>
      </c>
    </row>
    <row r="610" customFormat="false" ht="15" hidden="false" customHeight="false" outlineLevel="0" collapsed="false">
      <c r="A610" s="0" t="s">
        <v>2347</v>
      </c>
      <c r="B610" s="3" t="n">
        <f aca="false">IF(AJ610="","",IF(ISNUMBER(SEARCH("/",AJ610)),DATE(VALUE(RIGHT(AJ610,4)),VALUE(LEFT(AJ610,2)),VALUE(MID(AJ610,4,2))),IF(ISNUMBER(SEARCH("-",AJ610)),IF(LEN(LEFT(AJ610,FIND("-",AJ610)-1))=4,DATE(VALUE(LEFT(AJ610,4)),VALUE(MID(AJ610,6,2)),VALUE(RIGHT(AJ610,2))),DATE(VALUE(RIGHT(AJ610,4)),VALUE(MID(AJ610,4,2)),VALUE(LEFT(AJ610,2)))),DATE(VALUE(RIGHT(AJ610,4)),MATCH(MID(AJ610,4,3),{"Jan","Feb","Mar","Apr","May","Jun","Jul","Aug","Sep","Oct","Nov","Dec"},0),VALUE(LEFT(AJ610,2))))))</f>
        <v>45464</v>
      </c>
      <c r="C610" s="3" t="n">
        <f aca="false">IF(AK610="","",IF(ISNUMBER(SEARCH("/",AK610)),DATE(VALUE(RIGHT(AK610,4)),VALUE(LEFT(AK610,2)),VALUE(MID(AK610,4,2))),IF(ISNUMBER(SEARCH("-",AK610)),IF(LEN(LEFT(AK610,FIND("-",AK610)-1))=4,DATE(VALUE(LEFT(AK610,4)),VALUE(MID(AK610,6,2)),VALUE(RIGHT(AK610,2))),DATE(VALUE(RIGHT(AK610,4)),VALUE(MID(AK610,4,2)),VALUE(LEFT(AK610,2)))),DATE(VALUE(RIGHT(AK610,4)),MATCH(MID(AK610,4,3),{"Jan","Feb","Mar","Apr","May","Jun","Jul","Aug","Sep","Oct","Nov","Dec"},0),VALUE(LEFT(AK610,2))))))</f>
        <v>45466</v>
      </c>
      <c r="D610" s="4" t="s">
        <v>2096</v>
      </c>
      <c r="E610" s="0" t="str">
        <f aca="false">PROPER(TRIM(AL610))</f>
        <v>Karan Malhotra</v>
      </c>
      <c r="F610" s="0" t="str">
        <f aca="false">PROPER(TRIM(AM610))</f>
        <v>Home Office</v>
      </c>
      <c r="G610" s="0" t="str">
        <f aca="false">IF(TRIM(AN610)="","Unknown",PROPER(TRIM(AN610)))</f>
        <v>West</v>
      </c>
      <c r="H610" s="0" t="str">
        <f aca="false">PROPER(TRIM(AO610))</f>
        <v>Goa</v>
      </c>
      <c r="I610" s="0" t="str">
        <f aca="false">PROPER(TRIM(AP610))</f>
        <v>Panaji</v>
      </c>
      <c r="J610" s="0" t="str">
        <f aca="false">PROPER(TRIM(AQ610))</f>
        <v>Furniture</v>
      </c>
      <c r="K610" s="0" t="str">
        <f aca="false">PROPER(TRIM(AR610))</f>
        <v>Furnishings</v>
      </c>
      <c r="M610" s="0" t="str">
        <f aca="false">IF(TRIM(AS610)="","Unknown",PROPER(TRIM(AS610)))</f>
        <v>Second Class</v>
      </c>
      <c r="N610" s="0" t="n">
        <v>9</v>
      </c>
      <c r="O610" s="0" t="n">
        <v>2153.75</v>
      </c>
      <c r="P610" s="5" t="n">
        <f aca="false">IF(AT610="","",IF(ISNUMBER(AT610),AT610,VALUE(SUBSTITUTE(AT610,"%",""))/100))</f>
        <v>0</v>
      </c>
      <c r="Q610" s="5" t="n">
        <f aca="false">IF(P610="",IF(AND(N610&lt;&gt;"",O610&lt;&gt;"",R610&lt;&gt;"",S610&lt;&gt;""),0,"REVIEW"),IF(OR(P610&lt;0,P610&gt;0.3),0,P610))</f>
        <v>0</v>
      </c>
      <c r="R610" s="0" t="n">
        <v>19383.75</v>
      </c>
      <c r="S610" s="0" t="n">
        <v>11667.43</v>
      </c>
      <c r="T610" s="6" t="n">
        <f aca="false">N610*O610*(1-Q610)</f>
        <v>19383.75</v>
      </c>
      <c r="U610" s="6" t="n">
        <f aca="false">T610-S610</f>
        <v>7716.32</v>
      </c>
      <c r="V610" s="7" t="n">
        <f aca="false">IF(T610=0,0,U610/T610)</f>
        <v>0.398081898497453</v>
      </c>
      <c r="W610" s="4" t="n">
        <f aca="false">C610-B610</f>
        <v>2</v>
      </c>
      <c r="X610" s="0" t="str">
        <f aca="false">TEXT(B610,"mmmm")</f>
        <v>June</v>
      </c>
      <c r="Y610" s="4" t="n">
        <f aca="false">YEAR(B610)</f>
        <v>2024</v>
      </c>
      <c r="Z610" s="0" t="str">
        <f aca="false">PROPER(TRIM(AU610))</f>
        <v>Paid</v>
      </c>
      <c r="AA610" s="0" t="str">
        <f aca="false">PROPER(TRIM(AV610))</f>
        <v>Completed</v>
      </c>
      <c r="AB610" s="0" t="str">
        <f aca="false">IF(TRIM(AN610)="","Yes","No")</f>
        <v>No</v>
      </c>
      <c r="AC610" s="0" t="str">
        <f aca="false">IF(TRIM(AS610)="","Yes","No")</f>
        <v>No</v>
      </c>
      <c r="AD610" s="0" t="str">
        <f aca="false">IF(AT610="","Yes","No")</f>
        <v>No</v>
      </c>
      <c r="AE610" s="0" t="str">
        <f aca="false">IF(W610&lt;0,"Yes","No")</f>
        <v>No</v>
      </c>
      <c r="AF610" s="0" t="str">
        <f aca="false">IF(P610="","No",IF(OR(P610&lt;0,P610&gt;0.3),"Yes","No"))</f>
        <v>No</v>
      </c>
      <c r="AG610" s="4" t="s">
        <v>50</v>
      </c>
      <c r="AH610" s="0" t="str">
        <f aca="false">IF(AND(AA610="Completed",Z610="Paid"),"Yes","No")</f>
        <v>Yes</v>
      </c>
      <c r="AI610" s="0" t="str">
        <f aca="false">IF(OR(AE610="Yes",AF610="Yes",AG610="Yes"),"Invalid",IF(OR(AB610="Yes",AC610="Yes",AD610="Yes"),"Warning","Clean"))</f>
        <v>Clean</v>
      </c>
      <c r="AJ610" s="4" t="s">
        <v>1767</v>
      </c>
      <c r="AK610" s="4" t="s">
        <v>1298</v>
      </c>
      <c r="AL610" s="4" t="s">
        <v>53</v>
      </c>
      <c r="AM610" s="4" t="s">
        <v>134</v>
      </c>
      <c r="AN610" s="4" t="s">
        <v>97</v>
      </c>
      <c r="AO610" s="4" t="s">
        <v>250</v>
      </c>
      <c r="AP610" s="4" t="s">
        <v>251</v>
      </c>
      <c r="AQ610" s="4" t="s">
        <v>72</v>
      </c>
      <c r="AR610" s="4" t="s">
        <v>90</v>
      </c>
      <c r="AS610" s="4" t="s">
        <v>60</v>
      </c>
      <c r="AT610" s="0" t="n">
        <v>0</v>
      </c>
      <c r="AU610" s="4" t="s">
        <v>61</v>
      </c>
      <c r="AV610" s="4" t="s">
        <v>62</v>
      </c>
    </row>
    <row r="611" customFormat="false" ht="15" hidden="false" customHeight="false" outlineLevel="0" collapsed="false">
      <c r="A611" s="0" t="s">
        <v>2348</v>
      </c>
      <c r="B611" s="3" t="n">
        <f aca="false">IF(AJ611="","",IF(ISNUMBER(SEARCH("/",AJ611)),DATE(VALUE(RIGHT(AJ611,4)),VALUE(LEFT(AJ611,2)),VALUE(MID(AJ611,4,2))),IF(ISNUMBER(SEARCH("-",AJ611)),IF(LEN(LEFT(AJ611,FIND("-",AJ611)-1))=4,DATE(VALUE(LEFT(AJ611,4)),VALUE(MID(AJ611,6,2)),VALUE(RIGHT(AJ611,2))),DATE(VALUE(RIGHT(AJ611,4)),VALUE(MID(AJ611,4,2)),VALUE(LEFT(AJ611,2)))),DATE(VALUE(RIGHT(AJ611,4)),MATCH(MID(AJ611,4,3),{"Jan","Feb","Mar","Apr","May","Jun","Jul","Aug","Sep","Oct","Nov","Dec"},0),VALUE(LEFT(AJ611,2))))))</f>
        <v>45665</v>
      </c>
      <c r="C611" s="3" t="n">
        <f aca="false">IF(AK611="","",IF(ISNUMBER(SEARCH("/",AK611)),DATE(VALUE(RIGHT(AK611,4)),VALUE(LEFT(AK611,2)),VALUE(MID(AK611,4,2))),IF(ISNUMBER(SEARCH("-",AK611)),IF(LEN(LEFT(AK611,FIND("-",AK611)-1))=4,DATE(VALUE(LEFT(AK611,4)),VALUE(MID(AK611,6,2)),VALUE(RIGHT(AK611,2))),DATE(VALUE(RIGHT(AK611,4)),VALUE(MID(AK611,4,2)),VALUE(LEFT(AK611,2)))),DATE(VALUE(RIGHT(AK611,4)),MATCH(MID(AK611,4,3),{"Jan","Feb","Mar","Apr","May","Jun","Jul","Aug","Sep","Oct","Nov","Dec"},0),VALUE(LEFT(AK611,2))))))</f>
        <v>45669</v>
      </c>
      <c r="D611" s="4" t="s">
        <v>2349</v>
      </c>
      <c r="E611" s="0" t="str">
        <f aca="false">PROPER(TRIM(AL611))</f>
        <v>Sneha Kapoor</v>
      </c>
      <c r="F611" s="0" t="str">
        <f aca="false">PROPER(TRIM(AM611))</f>
        <v>Home Office</v>
      </c>
      <c r="G611" s="0" t="str">
        <f aca="false">IF(TRIM(AN611)="","Unknown",PROPER(TRIM(AN611)))</f>
        <v>South</v>
      </c>
      <c r="H611" s="0" t="str">
        <f aca="false">PROPER(TRIM(AO611))</f>
        <v>Karnataka</v>
      </c>
      <c r="I611" s="0" t="str">
        <f aca="false">PROPER(TRIM(AP611))</f>
        <v>Bengaluru</v>
      </c>
      <c r="J611" s="0" t="str">
        <f aca="false">PROPER(TRIM(AQ611))</f>
        <v>Furniture</v>
      </c>
      <c r="K611" s="0" t="str">
        <f aca="false">PROPER(TRIM(AR611))</f>
        <v>Chairs</v>
      </c>
      <c r="M611" s="0" t="str">
        <f aca="false">IF(TRIM(AS611)="","Unknown",PROPER(TRIM(AS611)))</f>
        <v>Standard Class</v>
      </c>
      <c r="N611" s="0" t="n">
        <v>7</v>
      </c>
      <c r="O611" s="0" t="n">
        <v>4337.48</v>
      </c>
      <c r="P611" s="5" t="n">
        <f aca="false">IF(AT611="","",IF(ISNUMBER(AT611),AT611,VALUE(SUBSTITUTE(AT611,"%",""))/100))</f>
        <v>0</v>
      </c>
      <c r="Q611" s="5" t="n">
        <f aca="false">IF(P611="",IF(AND(N611&lt;&gt;"",O611&lt;&gt;"",R611&lt;&gt;"",S611&lt;&gt;""),0,"REVIEW"),IF(OR(P611&lt;0,P611&gt;0.3),0,P611))</f>
        <v>0</v>
      </c>
      <c r="R611" s="0" t="n">
        <v>30362.36</v>
      </c>
      <c r="S611" s="0" t="n">
        <v>25065.4</v>
      </c>
      <c r="T611" s="6" t="n">
        <f aca="false">N611*O611*(1-Q611)</f>
        <v>30362.36</v>
      </c>
      <c r="U611" s="6" t="n">
        <f aca="false">T611-S611</f>
        <v>5296.96</v>
      </c>
      <c r="V611" s="7" t="n">
        <f aca="false">IF(T611=0,0,U611/T611)</f>
        <v>0.174458111951772</v>
      </c>
      <c r="W611" s="4" t="n">
        <f aca="false">C611-B611</f>
        <v>4</v>
      </c>
      <c r="X611" s="0" t="str">
        <f aca="false">TEXT(B611,"mmmm")</f>
        <v>January</v>
      </c>
      <c r="Y611" s="4" t="n">
        <f aca="false">YEAR(B611)</f>
        <v>2025</v>
      </c>
      <c r="Z611" s="0" t="str">
        <f aca="false">PROPER(TRIM(AU611))</f>
        <v>Paid</v>
      </c>
      <c r="AA611" s="0" t="str">
        <f aca="false">PROPER(TRIM(AV611))</f>
        <v>Completed</v>
      </c>
      <c r="AB611" s="0" t="str">
        <f aca="false">IF(TRIM(AN611)="","Yes","No")</f>
        <v>No</v>
      </c>
      <c r="AC611" s="0" t="str">
        <f aca="false">IF(TRIM(AS611)="","Yes","No")</f>
        <v>No</v>
      </c>
      <c r="AD611" s="0" t="str">
        <f aca="false">IF(AT611="","Yes","No")</f>
        <v>No</v>
      </c>
      <c r="AE611" s="0" t="str">
        <f aca="false">IF(W611&lt;0,"Yes","No")</f>
        <v>No</v>
      </c>
      <c r="AF611" s="0" t="str">
        <f aca="false">IF(P611="","No",IF(OR(P611&lt;0,P611&gt;0.3),"Yes","No"))</f>
        <v>No</v>
      </c>
      <c r="AG611" s="4" t="s">
        <v>50</v>
      </c>
      <c r="AH611" s="0" t="str">
        <f aca="false">IF(AND(AA611="Completed",Z611="Paid"),"Yes","No")</f>
        <v>Yes</v>
      </c>
      <c r="AI611" s="0" t="str">
        <f aca="false">IF(OR(AE611="Yes",AF611="Yes",AG611="Yes"),"Invalid",IF(OR(AB611="Yes",AC611="Yes",AD611="Yes"),"Warning","Clean"))</f>
        <v>Clean</v>
      </c>
      <c r="AJ611" s="4" t="s">
        <v>1689</v>
      </c>
      <c r="AK611" s="4" t="s">
        <v>1001</v>
      </c>
      <c r="AL611" s="4" t="s">
        <v>181</v>
      </c>
      <c r="AM611" s="4" t="s">
        <v>134</v>
      </c>
      <c r="AN611" s="4" t="s">
        <v>87</v>
      </c>
      <c r="AO611" s="4" t="s">
        <v>233</v>
      </c>
      <c r="AP611" s="4" t="s">
        <v>234</v>
      </c>
      <c r="AQ611" s="4" t="s">
        <v>72</v>
      </c>
      <c r="AR611" s="4" t="s">
        <v>100</v>
      </c>
      <c r="AS611" s="4" t="s">
        <v>91</v>
      </c>
      <c r="AT611" s="0" t="n">
        <v>0</v>
      </c>
      <c r="AU611" s="4" t="s">
        <v>61</v>
      </c>
      <c r="AV611" s="4" t="s">
        <v>62</v>
      </c>
    </row>
    <row r="612" customFormat="false" ht="15" hidden="false" customHeight="false" outlineLevel="0" collapsed="false">
      <c r="A612" s="0" t="s">
        <v>2350</v>
      </c>
      <c r="B612" s="3" t="n">
        <f aca="false">IF(AJ612="","",IF(ISNUMBER(SEARCH("/",AJ612)),DATE(VALUE(RIGHT(AJ612,4)),VALUE(LEFT(AJ612,2)),VALUE(MID(AJ612,4,2))),IF(ISNUMBER(SEARCH("-",AJ612)),IF(LEN(LEFT(AJ612,FIND("-",AJ612)-1))=4,DATE(VALUE(LEFT(AJ612,4)),VALUE(MID(AJ612,6,2)),VALUE(RIGHT(AJ612,2))),DATE(VALUE(RIGHT(AJ612,4)),VALUE(MID(AJ612,4,2)),VALUE(LEFT(AJ612,2)))),DATE(VALUE(RIGHT(AJ612,4)),MATCH(MID(AJ612,4,3),{"Jan","Feb","Mar","Apr","May","Jun","Jul","Aug","Sep","Oct","Nov","Dec"},0),VALUE(LEFT(AJ612,2))))))</f>
        <v>45432</v>
      </c>
      <c r="C612" s="3" t="n">
        <f aca="false">IF(AK612="","",IF(ISNUMBER(SEARCH("/",AK612)),DATE(VALUE(RIGHT(AK612,4)),VALUE(LEFT(AK612,2)),VALUE(MID(AK612,4,2))),IF(ISNUMBER(SEARCH("-",AK612)),IF(LEN(LEFT(AK612,FIND("-",AK612)-1))=4,DATE(VALUE(LEFT(AK612,4)),VALUE(MID(AK612,6,2)),VALUE(RIGHT(AK612,2))),DATE(VALUE(RIGHT(AK612,4)),VALUE(MID(AK612,4,2)),VALUE(LEFT(AK612,2)))),DATE(VALUE(RIGHT(AK612,4)),MATCH(MID(AK612,4,3),{"Jan","Feb","Mar","Apr","May","Jun","Jul","Aug","Sep","Oct","Nov","Dec"},0),VALUE(LEFT(AK612,2))))))</f>
        <v>45432</v>
      </c>
      <c r="D612" s="4" t="s">
        <v>1706</v>
      </c>
      <c r="E612" s="0" t="str">
        <f aca="false">PROPER(TRIM(AL612))</f>
        <v>Karan Malhotra</v>
      </c>
      <c r="F612" s="0" t="str">
        <f aca="false">PROPER(TRIM(AM612))</f>
        <v>Home Office</v>
      </c>
      <c r="G612" s="0" t="str">
        <f aca="false">IF(TRIM(AN612)="","Unknown",PROPER(TRIM(AN612)))</f>
        <v>West</v>
      </c>
      <c r="H612" s="0" t="str">
        <f aca="false">PROPER(TRIM(AO612))</f>
        <v>Madhya Pradesh</v>
      </c>
      <c r="I612" s="0" t="str">
        <f aca="false">PROPER(TRIM(AP612))</f>
        <v>Indore</v>
      </c>
      <c r="J612" s="0" t="str">
        <f aca="false">PROPER(TRIM(AQ612))</f>
        <v>Furniture</v>
      </c>
      <c r="K612" s="0" t="str">
        <f aca="false">PROPER(TRIM(AR612))</f>
        <v>Chairs</v>
      </c>
      <c r="M612" s="0" t="str">
        <f aca="false">IF(TRIM(AS612)="","Unknown",PROPER(TRIM(AS612)))</f>
        <v>Standard Class</v>
      </c>
      <c r="N612" s="0" t="n">
        <v>1</v>
      </c>
      <c r="O612" s="0" t="n">
        <v>3032.95</v>
      </c>
      <c r="P612" s="5" t="n">
        <f aca="false">IF(AT612="","",IF(ISNUMBER(AT612),AT612,VALUE(SUBSTITUTE(AT612,"%",""))/100))</f>
        <v>0.1</v>
      </c>
      <c r="Q612" s="5" t="n">
        <f aca="false">IF(P612="",IF(AND(N612&lt;&gt;"",O612&lt;&gt;"",R612&lt;&gt;"",S612&lt;&gt;""),0,"REVIEW"),IF(OR(P612&lt;0,P612&gt;0.3),0,P612))</f>
        <v>0.1</v>
      </c>
      <c r="R612" s="0" t="n">
        <v>2729.65</v>
      </c>
      <c r="S612" s="0" t="n">
        <v>1715.36</v>
      </c>
      <c r="T612" s="6" t="n">
        <f aca="false">N612*O612*(1-Q612)</f>
        <v>2729.655</v>
      </c>
      <c r="U612" s="6" t="n">
        <f aca="false">T612-S612</f>
        <v>1014.295</v>
      </c>
      <c r="V612" s="7" t="n">
        <f aca="false">IF(T612=0,0,U612/T612)</f>
        <v>0.371583588402197</v>
      </c>
      <c r="W612" s="4" t="n">
        <f aca="false">C612-B612</f>
        <v>0</v>
      </c>
      <c r="X612" s="0" t="str">
        <f aca="false">TEXT(B612,"mmmm")</f>
        <v>May</v>
      </c>
      <c r="Y612" s="4" t="n">
        <f aca="false">YEAR(B612)</f>
        <v>2024</v>
      </c>
      <c r="Z612" s="0" t="str">
        <f aca="false">PROPER(TRIM(AU612))</f>
        <v>Paid</v>
      </c>
      <c r="AA612" s="0" t="str">
        <f aca="false">PROPER(TRIM(AV612))</f>
        <v>Completed</v>
      </c>
      <c r="AB612" s="0" t="str">
        <f aca="false">IF(TRIM(AN612)="","Yes","No")</f>
        <v>No</v>
      </c>
      <c r="AC612" s="0" t="str">
        <f aca="false">IF(TRIM(AS612)="","Yes","No")</f>
        <v>No</v>
      </c>
      <c r="AD612" s="0" t="str">
        <f aca="false">IF(AT612="","Yes","No")</f>
        <v>No</v>
      </c>
      <c r="AE612" s="0" t="str">
        <f aca="false">IF(W612&lt;0,"Yes","No")</f>
        <v>No</v>
      </c>
      <c r="AF612" s="0" t="str">
        <f aca="false">IF(P612="","No",IF(OR(P612&lt;0,P612&gt;0.3),"Yes","No"))</f>
        <v>No</v>
      </c>
      <c r="AG612" s="4" t="s">
        <v>50</v>
      </c>
      <c r="AH612" s="0" t="str">
        <f aca="false">IF(AND(AA612="Completed",Z612="Paid"),"Yes","No")</f>
        <v>Yes</v>
      </c>
      <c r="AI612" s="0" t="str">
        <f aca="false">IF(OR(AE612="Yes",AF612="Yes",AG612="Yes"),"Invalid",IF(OR(AB612="Yes",AC612="Yes",AD612="Yes"),"Warning","Clean"))</f>
        <v>Clean</v>
      </c>
      <c r="AJ612" s="4" t="s">
        <v>2351</v>
      </c>
      <c r="AK612" s="4" t="s">
        <v>2352</v>
      </c>
      <c r="AL612" s="4" t="s">
        <v>53</v>
      </c>
      <c r="AM612" s="4" t="s">
        <v>134</v>
      </c>
      <c r="AN612" s="4" t="s">
        <v>97</v>
      </c>
      <c r="AO612" s="4" t="s">
        <v>107</v>
      </c>
      <c r="AP612" s="4" t="s">
        <v>108</v>
      </c>
      <c r="AQ612" s="4" t="s">
        <v>72</v>
      </c>
      <c r="AR612" s="4" t="s">
        <v>100</v>
      </c>
      <c r="AS612" s="4" t="s">
        <v>91</v>
      </c>
      <c r="AT612" s="0" t="n">
        <v>0.1</v>
      </c>
      <c r="AU612" s="4" t="s">
        <v>61</v>
      </c>
      <c r="AV612" s="4" t="s">
        <v>62</v>
      </c>
    </row>
    <row r="613" customFormat="false" ht="15" hidden="false" customHeight="false" outlineLevel="0" collapsed="false">
      <c r="A613" s="0" t="s">
        <v>2353</v>
      </c>
      <c r="B613" s="3" t="n">
        <f aca="false">IF(AJ613="","",IF(ISNUMBER(SEARCH("/",AJ613)),DATE(VALUE(RIGHT(AJ613,4)),VALUE(LEFT(AJ613,2)),VALUE(MID(AJ613,4,2))),IF(ISNUMBER(SEARCH("-",AJ613)),IF(LEN(LEFT(AJ613,FIND("-",AJ613)-1))=4,DATE(VALUE(LEFT(AJ613,4)),VALUE(MID(AJ613,6,2)),VALUE(RIGHT(AJ613,2))),DATE(VALUE(RIGHT(AJ613,4)),VALUE(MID(AJ613,4,2)),VALUE(LEFT(AJ613,2)))),DATE(VALUE(RIGHT(AJ613,4)),MATCH(MID(AJ613,4,3),{"Jan","Feb","Mar","Apr","May","Jun","Jul","Aug","Sep","Oct","Nov","Dec"},0),VALUE(LEFT(AJ613,2))))))</f>
        <v>45846</v>
      </c>
      <c r="C613" s="3" t="n">
        <f aca="false">IF(AK613="","",IF(ISNUMBER(SEARCH("/",AK613)),DATE(VALUE(RIGHT(AK613,4)),VALUE(LEFT(AK613,2)),VALUE(MID(AK613,4,2))),IF(ISNUMBER(SEARCH("-",AK613)),IF(LEN(LEFT(AK613,FIND("-",AK613)-1))=4,DATE(VALUE(LEFT(AK613,4)),VALUE(MID(AK613,6,2)),VALUE(RIGHT(AK613,2))),DATE(VALUE(RIGHT(AK613,4)),VALUE(MID(AK613,4,2)),VALUE(LEFT(AK613,2)))),DATE(VALUE(RIGHT(AK613,4)),MATCH(MID(AK613,4,3),{"Jan","Feb","Mar","Apr","May","Jun","Jul","Aug","Sep","Oct","Nov","Dec"},0),VALUE(LEFT(AK613,2))))))</f>
        <v>45853</v>
      </c>
      <c r="D613" s="4" t="s">
        <v>2354</v>
      </c>
      <c r="E613" s="0" t="str">
        <f aca="false">PROPER(TRIM(AL613))</f>
        <v>Ananya Rao</v>
      </c>
      <c r="F613" s="0" t="str">
        <f aca="false">PROPER(TRIM(AM613))</f>
        <v>Small Business</v>
      </c>
      <c r="G613" s="0" t="str">
        <f aca="false">IF(TRIM(AN613)="","Unknown",PROPER(TRIM(AN613)))</f>
        <v>North</v>
      </c>
      <c r="H613" s="0" t="str">
        <f aca="false">PROPER(TRIM(AO613))</f>
        <v>Rajasthan</v>
      </c>
      <c r="I613" s="0" t="str">
        <f aca="false">PROPER(TRIM(AP613))</f>
        <v>Jaipur</v>
      </c>
      <c r="J613" s="0" t="str">
        <f aca="false">PROPER(TRIM(AQ613))</f>
        <v>Office Supplies</v>
      </c>
      <c r="K613" s="0" t="str">
        <f aca="false">PROPER(TRIM(AR613))</f>
        <v>Binders</v>
      </c>
      <c r="M613" s="0" t="str">
        <f aca="false">IF(TRIM(AS613)="","Unknown",PROPER(TRIM(AS613)))</f>
        <v>Same Day</v>
      </c>
      <c r="N613" s="0" t="n">
        <v>8</v>
      </c>
      <c r="O613" s="0" t="n">
        <v>655.28</v>
      </c>
      <c r="P613" s="5" t="n">
        <f aca="false">IF(AT613="","",IF(ISNUMBER(AT613),AT613,VALUE(SUBSTITUTE(AT613,"%",""))/100))</f>
        <v>0.1</v>
      </c>
      <c r="Q613" s="5" t="n">
        <f aca="false">IF(P613="",IF(AND(N613&lt;&gt;"",O613&lt;&gt;"",R613&lt;&gt;"",S613&lt;&gt;""),0,"REVIEW"),IF(OR(P613&lt;0,P613&gt;0.3),0,P613))</f>
        <v>0.1</v>
      </c>
      <c r="R613" s="0" t="n">
        <v>4718.02</v>
      </c>
      <c r="S613" s="0" t="n">
        <v>3908.23</v>
      </c>
      <c r="T613" s="6" t="n">
        <f aca="false">N613*O613*(1-Q613)</f>
        <v>4718.016</v>
      </c>
      <c r="U613" s="6" t="n">
        <f aca="false">T613-S613</f>
        <v>809.786</v>
      </c>
      <c r="V613" s="7" t="n">
        <f aca="false">IF(T613=0,0,U613/T613)</f>
        <v>0.171636976220513</v>
      </c>
      <c r="W613" s="4" t="n">
        <f aca="false">C613-B613</f>
        <v>7</v>
      </c>
      <c r="X613" s="0" t="str">
        <f aca="false">TEXT(B613,"mmmm")</f>
        <v>July</v>
      </c>
      <c r="Y613" s="4" t="n">
        <f aca="false">YEAR(B613)</f>
        <v>2025</v>
      </c>
      <c r="Z613" s="0" t="str">
        <f aca="false">PROPER(TRIM(AU613))</f>
        <v>Paid</v>
      </c>
      <c r="AA613" s="0" t="str">
        <f aca="false">PROPER(TRIM(AV613))</f>
        <v>Completed</v>
      </c>
      <c r="AB613" s="0" t="str">
        <f aca="false">IF(TRIM(AN613)="","Yes","No")</f>
        <v>No</v>
      </c>
      <c r="AC613" s="0" t="str">
        <f aca="false">IF(TRIM(AS613)="","Yes","No")</f>
        <v>No</v>
      </c>
      <c r="AD613" s="0" t="str">
        <f aca="false">IF(AT613="","Yes","No")</f>
        <v>No</v>
      </c>
      <c r="AE613" s="0" t="str">
        <f aca="false">IF(W613&lt;0,"Yes","No")</f>
        <v>No</v>
      </c>
      <c r="AF613" s="0" t="str">
        <f aca="false">IF(P613="","No",IF(OR(P613&lt;0,P613&gt;0.3),"Yes","No"))</f>
        <v>No</v>
      </c>
      <c r="AG613" s="4" t="s">
        <v>50</v>
      </c>
      <c r="AH613" s="0" t="str">
        <f aca="false">IF(AND(AA613="Completed",Z613="Paid"),"Yes","No")</f>
        <v>Yes</v>
      </c>
      <c r="AI613" s="0" t="str">
        <f aca="false">IF(OR(AE613="Yes",AF613="Yes",AG613="Yes"),"Invalid",IF(OR(AB613="Yes",AC613="Yes",AD613="Yes"),"Warning","Clean"))</f>
        <v>Clean</v>
      </c>
      <c r="AJ613" s="4" t="s">
        <v>2126</v>
      </c>
      <c r="AK613" s="4" t="s">
        <v>2355</v>
      </c>
      <c r="AL613" s="4" t="s">
        <v>96</v>
      </c>
      <c r="AM613" s="4" t="s">
        <v>612</v>
      </c>
      <c r="AN613" s="4" t="s">
        <v>168</v>
      </c>
      <c r="AO613" s="4" t="s">
        <v>56</v>
      </c>
      <c r="AP613" s="4" t="s">
        <v>57</v>
      </c>
      <c r="AQ613" s="4" t="s">
        <v>58</v>
      </c>
      <c r="AR613" s="4" t="s">
        <v>206</v>
      </c>
      <c r="AS613" s="4" t="s">
        <v>74</v>
      </c>
      <c r="AT613" s="0" t="n">
        <v>0.1</v>
      </c>
      <c r="AU613" s="4" t="s">
        <v>61</v>
      </c>
      <c r="AV613" s="4" t="s">
        <v>62</v>
      </c>
    </row>
    <row r="614" customFormat="false" ht="15" hidden="false" customHeight="false" outlineLevel="0" collapsed="false">
      <c r="A614" s="0" t="s">
        <v>2356</v>
      </c>
      <c r="B614" s="3" t="n">
        <f aca="false">IF(AJ614="","",IF(ISNUMBER(SEARCH("/",AJ614)),DATE(VALUE(RIGHT(AJ614,4)),VALUE(LEFT(AJ614,2)),VALUE(MID(AJ614,4,2))),IF(ISNUMBER(SEARCH("-",AJ614)),IF(LEN(LEFT(AJ614,FIND("-",AJ614)-1))=4,DATE(VALUE(LEFT(AJ614,4)),VALUE(MID(AJ614,6,2)),VALUE(RIGHT(AJ614,2))),DATE(VALUE(RIGHT(AJ614,4)),VALUE(MID(AJ614,4,2)),VALUE(LEFT(AJ614,2)))),DATE(VALUE(RIGHT(AJ614,4)),MATCH(MID(AJ614,4,3),{"Jan","Feb","Mar","Apr","May","Jun","Jul","Aug","Sep","Oct","Nov","Dec"},0),VALUE(LEFT(AJ614,2))))))</f>
        <v>45753</v>
      </c>
      <c r="C614" s="3" t="n">
        <f aca="false">IF(AK614="","",IF(ISNUMBER(SEARCH("/",AK614)),DATE(VALUE(RIGHT(AK614,4)),VALUE(LEFT(AK614,2)),VALUE(MID(AK614,4,2))),IF(ISNUMBER(SEARCH("-",AK614)),IF(LEN(LEFT(AK614,FIND("-",AK614)-1))=4,DATE(VALUE(LEFT(AK614,4)),VALUE(MID(AK614,6,2)),VALUE(RIGHT(AK614,2))),DATE(VALUE(RIGHT(AK614,4)),VALUE(MID(AK614,4,2)),VALUE(LEFT(AK614,2)))),DATE(VALUE(RIGHT(AK614,4)),MATCH(MID(AK614,4,3),{"Jan","Feb","Mar","Apr","May","Jun","Jul","Aug","Sep","Oct","Nov","Dec"},0),VALUE(LEFT(AK614,2))))))</f>
        <v>45760</v>
      </c>
      <c r="D614" s="4" t="s">
        <v>2357</v>
      </c>
      <c r="E614" s="0" t="str">
        <f aca="false">PROPER(TRIM(AL614))</f>
        <v>Aditi Sen</v>
      </c>
      <c r="F614" s="0" t="str">
        <f aca="false">PROPER(TRIM(AM614))</f>
        <v>Consumer</v>
      </c>
      <c r="G614" s="0" t="str">
        <f aca="false">IF(TRIM(AN614)="","Unknown",PROPER(TRIM(AN614)))</f>
        <v>Unknown</v>
      </c>
      <c r="H614" s="0" t="str">
        <f aca="false">PROPER(TRIM(AO614))</f>
        <v>Odisha</v>
      </c>
      <c r="I614" s="0" t="str">
        <f aca="false">PROPER(TRIM(AP614))</f>
        <v>Bhubaneswar</v>
      </c>
      <c r="J614" s="0" t="str">
        <f aca="false">PROPER(TRIM(AQ614))</f>
        <v>Technology</v>
      </c>
      <c r="K614" s="0" t="str">
        <f aca="false">PROPER(TRIM(AR614))</f>
        <v>Phones</v>
      </c>
      <c r="M614" s="0" t="str">
        <f aca="false">IF(TRIM(AS614)="","Unknown",PROPER(TRIM(AS614)))</f>
        <v>Standard Class</v>
      </c>
      <c r="N614" s="0" t="n">
        <v>1</v>
      </c>
      <c r="O614" s="0" t="n">
        <v>3844.01</v>
      </c>
      <c r="P614" s="5" t="n">
        <f aca="false">IF(AT614="","",IF(ISNUMBER(AT614),AT614,VALUE(SUBSTITUTE(AT614,"%",""))/100))</f>
        <v>0</v>
      </c>
      <c r="Q614" s="5" t="n">
        <f aca="false">IF(P614="",IF(AND(N614&lt;&gt;"",O614&lt;&gt;"",R614&lt;&gt;"",S614&lt;&gt;""),0,"REVIEW"),IF(OR(P614&lt;0,P614&gt;0.3),0,P614))</f>
        <v>0</v>
      </c>
      <c r="R614" s="0" t="n">
        <v>3844.01</v>
      </c>
      <c r="S614" s="0" t="n">
        <v>2195.79</v>
      </c>
      <c r="T614" s="6" t="n">
        <f aca="false">N614*O614*(1-Q614)</f>
        <v>3844.01</v>
      </c>
      <c r="U614" s="6" t="n">
        <f aca="false">T614-S614</f>
        <v>1648.22</v>
      </c>
      <c r="V614" s="7" t="n">
        <f aca="false">IF(T614=0,0,U614/T614)</f>
        <v>0.428776199853799</v>
      </c>
      <c r="W614" s="4" t="n">
        <f aca="false">C614-B614</f>
        <v>7</v>
      </c>
      <c r="X614" s="0" t="str">
        <f aca="false">TEXT(B614,"mmmm")</f>
        <v>April</v>
      </c>
      <c r="Y614" s="4" t="n">
        <f aca="false">YEAR(B614)</f>
        <v>2025</v>
      </c>
      <c r="Z614" s="0" t="str">
        <f aca="false">PROPER(TRIM(AU614))</f>
        <v>Paid</v>
      </c>
      <c r="AA614" s="0" t="str">
        <f aca="false">PROPER(TRIM(AV614))</f>
        <v>Completed</v>
      </c>
      <c r="AB614" s="0" t="str">
        <f aca="false">IF(TRIM(AN614)="","Yes","No")</f>
        <v>Yes</v>
      </c>
      <c r="AC614" s="0" t="str">
        <f aca="false">IF(TRIM(AS614)="","Yes","No")</f>
        <v>No</v>
      </c>
      <c r="AD614" s="0" t="str">
        <f aca="false">IF(AT614="","Yes","No")</f>
        <v>No</v>
      </c>
      <c r="AE614" s="0" t="str">
        <f aca="false">IF(W614&lt;0,"Yes","No")</f>
        <v>No</v>
      </c>
      <c r="AF614" s="0" t="str">
        <f aca="false">IF(P614="","No",IF(OR(P614&lt;0,P614&gt;0.3),"Yes","No"))</f>
        <v>No</v>
      </c>
      <c r="AG614" s="4" t="s">
        <v>50</v>
      </c>
      <c r="AH614" s="0" t="str">
        <f aca="false">IF(AND(AA614="Completed",Z614="Paid"),"Yes","No")</f>
        <v>Yes</v>
      </c>
      <c r="AI614" s="0" t="str">
        <f aca="false">IF(OR(AE614="Yes",AF614="Yes",AG614="Yes"),"Invalid",IF(OR(AB614="Yes",AC614="Yes",AD614="Yes"),"Warning","Clean"))</f>
        <v>Warning</v>
      </c>
      <c r="AJ614" s="4" t="s">
        <v>2358</v>
      </c>
      <c r="AK614" s="4" t="s">
        <v>2359</v>
      </c>
      <c r="AL614" s="4" t="s">
        <v>127</v>
      </c>
      <c r="AM614" s="4" t="s">
        <v>54</v>
      </c>
      <c r="AO614" s="4" t="s">
        <v>70</v>
      </c>
      <c r="AP614" s="4" t="s">
        <v>71</v>
      </c>
      <c r="AQ614" s="4" t="s">
        <v>109</v>
      </c>
      <c r="AR614" s="4" t="s">
        <v>227</v>
      </c>
      <c r="AS614" s="4" t="s">
        <v>91</v>
      </c>
      <c r="AT614" s="0" t="n">
        <v>0</v>
      </c>
      <c r="AU614" s="4" t="s">
        <v>61</v>
      </c>
      <c r="AV614" s="4" t="s">
        <v>62</v>
      </c>
    </row>
    <row r="615" customFormat="false" ht="15" hidden="false" customHeight="false" outlineLevel="0" collapsed="false">
      <c r="A615" s="0" t="s">
        <v>2360</v>
      </c>
      <c r="B615" s="3" t="n">
        <f aca="false">IF(AJ615="","",IF(ISNUMBER(SEARCH("/",AJ615)),DATE(VALUE(RIGHT(AJ615,4)),VALUE(LEFT(AJ615,2)),VALUE(MID(AJ615,4,2))),IF(ISNUMBER(SEARCH("-",AJ615)),IF(LEN(LEFT(AJ615,FIND("-",AJ615)-1))=4,DATE(VALUE(LEFT(AJ615,4)),VALUE(MID(AJ615,6,2)),VALUE(RIGHT(AJ615,2))),DATE(VALUE(RIGHT(AJ615,4)),VALUE(MID(AJ615,4,2)),VALUE(LEFT(AJ615,2)))),DATE(VALUE(RIGHT(AJ615,4)),MATCH(MID(AJ615,4,3),{"Jan","Feb","Mar","Apr","May","Jun","Jul","Aug","Sep","Oct","Nov","Dec"},0),VALUE(LEFT(AJ615,2))))))</f>
        <v>45570</v>
      </c>
      <c r="C615" s="3" t="n">
        <f aca="false">IF(AK615="","",IF(ISNUMBER(SEARCH("/",AK615)),DATE(VALUE(RIGHT(AK615,4)),VALUE(LEFT(AK615,2)),VALUE(MID(AK615,4,2))),IF(ISNUMBER(SEARCH("-",AK615)),IF(LEN(LEFT(AK615,FIND("-",AK615)-1))=4,DATE(VALUE(LEFT(AK615,4)),VALUE(MID(AK615,6,2)),VALUE(RIGHT(AK615,2))),DATE(VALUE(RIGHT(AK615,4)),VALUE(MID(AK615,4,2)),VALUE(LEFT(AK615,2)))),DATE(VALUE(RIGHT(AK615,4)),MATCH(MID(AK615,4,3),{"Jan","Feb","Mar","Apr","May","Jun","Jul","Aug","Sep","Oct","Nov","Dec"},0),VALUE(LEFT(AK615,2))))))</f>
        <v>45575</v>
      </c>
      <c r="D615" s="4" t="s">
        <v>2361</v>
      </c>
      <c r="E615" s="0" t="str">
        <f aca="false">PROPER(TRIM(AL615))</f>
        <v>Diya Patel</v>
      </c>
      <c r="F615" s="0" t="str">
        <f aca="false">PROPER(TRIM(AM615))</f>
        <v>Home Office</v>
      </c>
      <c r="G615" s="0" t="str">
        <f aca="false">IF(TRIM(AN615)="","Unknown",PROPER(TRIM(AN615)))</f>
        <v>West</v>
      </c>
      <c r="H615" s="0" t="str">
        <f aca="false">PROPER(TRIM(AO615))</f>
        <v>Gujarat</v>
      </c>
      <c r="I615" s="0" t="str">
        <f aca="false">PROPER(TRIM(AP615))</f>
        <v>Ahmedabad</v>
      </c>
      <c r="J615" s="0" t="str">
        <f aca="false">PROPER(TRIM(AQ615))</f>
        <v>Technology</v>
      </c>
      <c r="K615" s="0" t="str">
        <f aca="false">PROPER(TRIM(AR615))</f>
        <v>Machines</v>
      </c>
      <c r="M615" s="0" t="str">
        <f aca="false">IF(TRIM(AS615)="","Unknown",PROPER(TRIM(AS615)))</f>
        <v>Same Day</v>
      </c>
      <c r="N615" s="0" t="n">
        <v>9</v>
      </c>
      <c r="O615" s="0" t="n">
        <v>3361.3</v>
      </c>
      <c r="P615" s="5" t="n">
        <f aca="false">IF(AT615="","",IF(ISNUMBER(AT615),AT615,VALUE(SUBSTITUTE(AT615,"%",""))/100))</f>
        <v>0.25</v>
      </c>
      <c r="Q615" s="5" t="n">
        <f aca="false">IF(P615="",IF(AND(N615&lt;&gt;"",O615&lt;&gt;"",R615&lt;&gt;"",S615&lt;&gt;""),0,"REVIEW"),IF(OR(P615&lt;0,P615&gt;0.3),0,P615))</f>
        <v>0.25</v>
      </c>
      <c r="R615" s="0" t="n">
        <v>22688.78</v>
      </c>
      <c r="S615" s="0" t="n">
        <v>14672.41</v>
      </c>
      <c r="T615" s="6" t="n">
        <f aca="false">N615*O615*(1-Q615)</f>
        <v>22688.775</v>
      </c>
      <c r="U615" s="6" t="n">
        <f aca="false">T615-S615</f>
        <v>8016.365</v>
      </c>
      <c r="V615" s="7" t="n">
        <f aca="false">IF(T615=0,0,U615/T615)</f>
        <v>0.353318546285553</v>
      </c>
      <c r="W615" s="4" t="n">
        <f aca="false">C615-B615</f>
        <v>5</v>
      </c>
      <c r="X615" s="0" t="str">
        <f aca="false">TEXT(B615,"mmmm")</f>
        <v>October</v>
      </c>
      <c r="Y615" s="4" t="n">
        <f aca="false">YEAR(B615)</f>
        <v>2024</v>
      </c>
      <c r="Z615" s="0" t="str">
        <f aca="false">PROPER(TRIM(AU615))</f>
        <v>Paid</v>
      </c>
      <c r="AA615" s="0" t="str">
        <f aca="false">PROPER(TRIM(AV615))</f>
        <v>Completed</v>
      </c>
      <c r="AB615" s="0" t="str">
        <f aca="false">IF(TRIM(AN615)="","Yes","No")</f>
        <v>No</v>
      </c>
      <c r="AC615" s="0" t="str">
        <f aca="false">IF(TRIM(AS615)="","Yes","No")</f>
        <v>No</v>
      </c>
      <c r="AD615" s="0" t="str">
        <f aca="false">IF(AT615="","Yes","No")</f>
        <v>No</v>
      </c>
      <c r="AE615" s="0" t="str">
        <f aca="false">IF(W615&lt;0,"Yes","No")</f>
        <v>No</v>
      </c>
      <c r="AF615" s="0" t="str">
        <f aca="false">IF(P615="","No",IF(OR(P615&lt;0,P615&gt;0.3),"Yes","No"))</f>
        <v>No</v>
      </c>
      <c r="AG615" s="4" t="s">
        <v>50</v>
      </c>
      <c r="AH615" s="0" t="str">
        <f aca="false">IF(AND(AA615="Completed",Z615="Paid"),"Yes","No")</f>
        <v>Yes</v>
      </c>
      <c r="AI615" s="0" t="str">
        <f aca="false">IF(OR(AE615="Yes",AF615="Yes",AG615="Yes"),"Invalid",IF(OR(AB615="Yes",AC615="Yes",AD615="Yes"),"Warning","Clean"))</f>
        <v>Clean</v>
      </c>
      <c r="AJ615" s="4" t="s">
        <v>1999</v>
      </c>
      <c r="AK615" s="4" t="s">
        <v>2362</v>
      </c>
      <c r="AL615" s="4" t="s">
        <v>216</v>
      </c>
      <c r="AM615" s="4" t="s">
        <v>134</v>
      </c>
      <c r="AN615" s="4" t="s">
        <v>97</v>
      </c>
      <c r="AO615" s="4" t="s">
        <v>238</v>
      </c>
      <c r="AP615" s="4" t="s">
        <v>239</v>
      </c>
      <c r="AQ615" s="4" t="s">
        <v>109</v>
      </c>
      <c r="AR615" s="4" t="s">
        <v>360</v>
      </c>
      <c r="AS615" s="4" t="s">
        <v>74</v>
      </c>
      <c r="AT615" s="0" t="n">
        <v>0.25</v>
      </c>
      <c r="AU615" s="4" t="s">
        <v>61</v>
      </c>
      <c r="AV615" s="4" t="s">
        <v>62</v>
      </c>
    </row>
    <row r="616" customFormat="false" ht="15" hidden="false" customHeight="false" outlineLevel="0" collapsed="false">
      <c r="A616" s="0" t="s">
        <v>2363</v>
      </c>
      <c r="B616" s="3" t="n">
        <f aca="false">IF(AJ616="","",IF(ISNUMBER(SEARCH("/",AJ616)),DATE(VALUE(RIGHT(AJ616,4)),VALUE(LEFT(AJ616,2)),VALUE(MID(AJ616,4,2))),IF(ISNUMBER(SEARCH("-",AJ616)),IF(LEN(LEFT(AJ616,FIND("-",AJ616)-1))=4,DATE(VALUE(LEFT(AJ616,4)),VALUE(MID(AJ616,6,2)),VALUE(RIGHT(AJ616,2))),DATE(VALUE(RIGHT(AJ616,4)),VALUE(MID(AJ616,4,2)),VALUE(LEFT(AJ616,2)))),DATE(VALUE(RIGHT(AJ616,4)),MATCH(MID(AJ616,4,3),{"Jan","Feb","Mar","Apr","May","Jun","Jul","Aug","Sep","Oct","Nov","Dec"},0),VALUE(LEFT(AJ616,2))))))</f>
        <v>45333</v>
      </c>
      <c r="C616" s="3" t="n">
        <f aca="false">IF(AK616="","",IF(ISNUMBER(SEARCH("/",AK616)),DATE(VALUE(RIGHT(AK616,4)),VALUE(LEFT(AK616,2)),VALUE(MID(AK616,4,2))),IF(ISNUMBER(SEARCH("-",AK616)),IF(LEN(LEFT(AK616,FIND("-",AK616)-1))=4,DATE(VALUE(LEFT(AK616,4)),VALUE(MID(AK616,6,2)),VALUE(RIGHT(AK616,2))),DATE(VALUE(RIGHT(AK616,4)),VALUE(MID(AK616,4,2)),VALUE(LEFT(AK616,2)))),DATE(VALUE(RIGHT(AK616,4)),MATCH(MID(AK616,4,3),{"Jan","Feb","Mar","Apr","May","Jun","Jul","Aug","Sep","Oct","Nov","Dec"},0),VALUE(LEFT(AK616,2))))))</f>
        <v>45341</v>
      </c>
      <c r="D616" s="4" t="s">
        <v>2364</v>
      </c>
      <c r="E616" s="0" t="str">
        <f aca="false">PROPER(TRIM(AL616))</f>
        <v>Ananya Rao</v>
      </c>
      <c r="F616" s="0" t="str">
        <f aca="false">PROPER(TRIM(AM616))</f>
        <v>Home Office</v>
      </c>
      <c r="G616" s="0" t="str">
        <f aca="false">IF(TRIM(AN616)="","Unknown",PROPER(TRIM(AN616)))</f>
        <v>South</v>
      </c>
      <c r="H616" s="0" t="str">
        <f aca="false">PROPER(TRIM(AO616))</f>
        <v>Telangana</v>
      </c>
      <c r="I616" s="0" t="str">
        <f aca="false">PROPER(TRIM(AP616))</f>
        <v>Hyderabad</v>
      </c>
      <c r="J616" s="0" t="str">
        <f aca="false">PROPER(TRIM(AQ616))</f>
        <v>Furniture</v>
      </c>
      <c r="K616" s="0" t="str">
        <f aca="false">PROPER(TRIM(AR616))</f>
        <v>Chairs</v>
      </c>
      <c r="M616" s="0" t="str">
        <f aca="false">IF(TRIM(AS616)="","Unknown",PROPER(TRIM(AS616)))</f>
        <v>Standard Class</v>
      </c>
      <c r="N616" s="0" t="n">
        <v>8</v>
      </c>
      <c r="O616" s="0" t="n">
        <v>3398.32</v>
      </c>
      <c r="P616" s="5" t="n">
        <f aca="false">IF(AT616="","",IF(ISNUMBER(AT616),AT616,VALUE(SUBSTITUTE(AT616,"%",""))/100))</f>
        <v>0.25</v>
      </c>
      <c r="Q616" s="5" t="n">
        <f aca="false">IF(P616="",IF(AND(N616&lt;&gt;"",O616&lt;&gt;"",R616&lt;&gt;"",S616&lt;&gt;""),0,"REVIEW"),IF(OR(P616&lt;0,P616&gt;0.3),0,P616))</f>
        <v>0.25</v>
      </c>
      <c r="R616" s="0" t="n">
        <v>20389.92</v>
      </c>
      <c r="S616" s="0" t="n">
        <v>16661.08</v>
      </c>
      <c r="T616" s="6" t="n">
        <f aca="false">N616*O616*(1-Q616)</f>
        <v>20389.92</v>
      </c>
      <c r="U616" s="6" t="n">
        <f aca="false">T616-S616</f>
        <v>3728.84</v>
      </c>
      <c r="V616" s="7" t="n">
        <f aca="false">IF(T616=0,0,U616/T616)</f>
        <v>0.182876637083422</v>
      </c>
      <c r="W616" s="4" t="n">
        <f aca="false">C616-B616</f>
        <v>8</v>
      </c>
      <c r="X616" s="0" t="str">
        <f aca="false">TEXT(B616,"mmmm")</f>
        <v>February</v>
      </c>
      <c r="Y616" s="4" t="n">
        <f aca="false">YEAR(B616)</f>
        <v>2024</v>
      </c>
      <c r="Z616" s="0" t="str">
        <f aca="false">PROPER(TRIM(AU616))</f>
        <v>Refunded</v>
      </c>
      <c r="AA616" s="0" t="str">
        <f aca="false">PROPER(TRIM(AV616))</f>
        <v>Cancelled</v>
      </c>
      <c r="AB616" s="0" t="str">
        <f aca="false">IF(TRIM(AN616)="","Yes","No")</f>
        <v>No</v>
      </c>
      <c r="AC616" s="0" t="str">
        <f aca="false">IF(TRIM(AS616)="","Yes","No")</f>
        <v>No</v>
      </c>
      <c r="AD616" s="0" t="str">
        <f aca="false">IF(AT616="","Yes","No")</f>
        <v>No</v>
      </c>
      <c r="AE616" s="0" t="str">
        <f aca="false">IF(W616&lt;0,"Yes","No")</f>
        <v>No</v>
      </c>
      <c r="AF616" s="0" t="str">
        <f aca="false">IF(P616="","No",IF(OR(P616&lt;0,P616&gt;0.3),"Yes","No"))</f>
        <v>No</v>
      </c>
      <c r="AG616" s="4" t="s">
        <v>50</v>
      </c>
      <c r="AH616" s="0" t="str">
        <f aca="false">IF(AND(AA616="Completed",Z616="Paid"),"Yes","No")</f>
        <v>No</v>
      </c>
      <c r="AI616" s="0" t="str">
        <f aca="false">IF(OR(AE616="Yes",AF616="Yes",AG616="Yes"),"Invalid",IF(OR(AB616="Yes",AC616="Yes",AD616="Yes"),"Warning","Clean"))</f>
        <v>Clean</v>
      </c>
      <c r="AJ616" s="4" t="s">
        <v>1887</v>
      </c>
      <c r="AK616" s="4" t="s">
        <v>2365</v>
      </c>
      <c r="AL616" s="4" t="s">
        <v>96</v>
      </c>
      <c r="AM616" s="4" t="s">
        <v>134</v>
      </c>
      <c r="AN616" s="4" t="s">
        <v>87</v>
      </c>
      <c r="AO616" s="4" t="s">
        <v>88</v>
      </c>
      <c r="AP616" s="4" t="s">
        <v>89</v>
      </c>
      <c r="AQ616" s="4" t="s">
        <v>72</v>
      </c>
      <c r="AR616" s="4" t="s">
        <v>100</v>
      </c>
      <c r="AS616" s="4" t="s">
        <v>91</v>
      </c>
      <c r="AT616" s="0" t="n">
        <v>0.25</v>
      </c>
      <c r="AU616" s="4" t="s">
        <v>141</v>
      </c>
      <c r="AV616" s="4" t="s">
        <v>101</v>
      </c>
    </row>
    <row r="617" customFormat="false" ht="15" hidden="false" customHeight="false" outlineLevel="0" collapsed="false">
      <c r="A617" s="0" t="s">
        <v>2366</v>
      </c>
      <c r="B617" s="3" t="n">
        <f aca="false">IF(AJ617="","",IF(ISNUMBER(SEARCH("/",AJ617)),DATE(VALUE(RIGHT(AJ617,4)),VALUE(LEFT(AJ617,2)),VALUE(MID(AJ617,4,2))),IF(ISNUMBER(SEARCH("-",AJ617)),IF(LEN(LEFT(AJ617,FIND("-",AJ617)-1))=4,DATE(VALUE(LEFT(AJ617,4)),VALUE(MID(AJ617,6,2)),VALUE(RIGHT(AJ617,2))),DATE(VALUE(RIGHT(AJ617,4)),VALUE(MID(AJ617,4,2)),VALUE(LEFT(AJ617,2)))),DATE(VALUE(RIGHT(AJ617,4)),MATCH(MID(AJ617,4,3),{"Jan","Feb","Mar","Apr","May","Jun","Jul","Aug","Sep","Oct","Nov","Dec"},0),VALUE(LEFT(AJ617,2))))))</f>
        <v>45569</v>
      </c>
      <c r="C617" s="3" t="n">
        <f aca="false">IF(AK617="","",IF(ISNUMBER(SEARCH("/",AK617)),DATE(VALUE(RIGHT(AK617,4)),VALUE(LEFT(AK617,2)),VALUE(MID(AK617,4,2))),IF(ISNUMBER(SEARCH("-",AK617)),IF(LEN(LEFT(AK617,FIND("-",AK617)-1))=4,DATE(VALUE(LEFT(AK617,4)),VALUE(MID(AK617,6,2)),VALUE(RIGHT(AK617,2))),DATE(VALUE(RIGHT(AK617,4)),VALUE(MID(AK617,4,2)),VALUE(LEFT(AK617,2)))),DATE(VALUE(RIGHT(AK617,4)),MATCH(MID(AK617,4,3),{"Jan","Feb","Mar","Apr","May","Jun","Jul","Aug","Sep","Oct","Nov","Dec"},0),VALUE(LEFT(AK617,2))))))</f>
        <v>45572</v>
      </c>
      <c r="D617" s="4" t="s">
        <v>2367</v>
      </c>
      <c r="E617" s="0" t="str">
        <f aca="false">PROPER(TRIM(AL617))</f>
        <v>Rahul Verma</v>
      </c>
      <c r="F617" s="0" t="str">
        <f aca="false">PROPER(TRIM(AM617))</f>
        <v>Corporate</v>
      </c>
      <c r="G617" s="0" t="str">
        <f aca="false">IF(TRIM(AN617)="","Unknown",PROPER(TRIM(AN617)))</f>
        <v>South</v>
      </c>
      <c r="H617" s="0" t="str">
        <f aca="false">PROPER(TRIM(AO617))</f>
        <v>Kerala</v>
      </c>
      <c r="I617" s="0" t="str">
        <f aca="false">PROPER(TRIM(AP617))</f>
        <v>Kochi</v>
      </c>
      <c r="J617" s="0" t="str">
        <f aca="false">PROPER(TRIM(AQ617))</f>
        <v>Office Supplies</v>
      </c>
      <c r="K617" s="0" t="str">
        <f aca="false">PROPER(TRIM(AR617))</f>
        <v>Art</v>
      </c>
      <c r="M617" s="0" t="str">
        <f aca="false">IF(TRIM(AS617)="","Unknown",PROPER(TRIM(AS617)))</f>
        <v>Second Class</v>
      </c>
      <c r="N617" s="0" t="n">
        <v>2</v>
      </c>
      <c r="O617" s="0" t="n">
        <v>3144.38</v>
      </c>
      <c r="P617" s="5" t="n">
        <f aca="false">IF(AT617="","",IF(ISNUMBER(AT617),AT617,VALUE(SUBSTITUTE(AT617,"%",""))/100))</f>
        <v>0.1</v>
      </c>
      <c r="Q617" s="5" t="n">
        <f aca="false">IF(P617="",IF(AND(N617&lt;&gt;"",O617&lt;&gt;"",R617&lt;&gt;"",S617&lt;&gt;""),0,"REVIEW"),IF(OR(P617&lt;0,P617&gt;0.3),0,P617))</f>
        <v>0.1</v>
      </c>
      <c r="R617" s="0" t="n">
        <v>5904.57</v>
      </c>
      <c r="S617" s="0" t="n">
        <v>4337.79</v>
      </c>
      <c r="T617" s="6" t="n">
        <f aca="false">N617*O617*(1-Q617)</f>
        <v>5659.884</v>
      </c>
      <c r="U617" s="6" t="n">
        <f aca="false">T617-S617</f>
        <v>1322.094</v>
      </c>
      <c r="V617" s="7" t="n">
        <f aca="false">IF(T617=0,0,U617/T617)</f>
        <v>0.233590299730525</v>
      </c>
      <c r="W617" s="4" t="n">
        <f aca="false">C617-B617</f>
        <v>3</v>
      </c>
      <c r="X617" s="0" t="str">
        <f aca="false">TEXT(B617,"mmmm")</f>
        <v>October</v>
      </c>
      <c r="Y617" s="4" t="n">
        <f aca="false">YEAR(B617)</f>
        <v>2024</v>
      </c>
      <c r="Z617" s="0" t="str">
        <f aca="false">PROPER(TRIM(AU617))</f>
        <v>Paid</v>
      </c>
      <c r="AA617" s="0" t="str">
        <f aca="false">PROPER(TRIM(AV617))</f>
        <v>Completed</v>
      </c>
      <c r="AB617" s="0" t="str">
        <f aca="false">IF(TRIM(AN617)="","Yes","No")</f>
        <v>No</v>
      </c>
      <c r="AC617" s="0" t="str">
        <f aca="false">IF(TRIM(AS617)="","Yes","No")</f>
        <v>No</v>
      </c>
      <c r="AD617" s="0" t="str">
        <f aca="false">IF(AT617="","Yes","No")</f>
        <v>No</v>
      </c>
      <c r="AE617" s="0" t="str">
        <f aca="false">IF(W617&lt;0,"Yes","No")</f>
        <v>No</v>
      </c>
      <c r="AF617" s="0" t="str">
        <f aca="false">IF(P617="","No",IF(OR(P617&lt;0,P617&gt;0.3),"Yes","No"))</f>
        <v>No</v>
      </c>
      <c r="AG617" s="4" t="s">
        <v>50</v>
      </c>
      <c r="AH617" s="0" t="str">
        <f aca="false">IF(AND(AA617="Completed",Z617="Paid"),"Yes","No")</f>
        <v>Yes</v>
      </c>
      <c r="AI617" s="0" t="str">
        <f aca="false">IF(OR(AE617="Yes",AF617="Yes",AG617="Yes"),"Invalid",IF(OR(AB617="Yes",AC617="Yes",AD617="Yes"),"Warning","Clean"))</f>
        <v>Clean</v>
      </c>
      <c r="AJ617" s="4" t="s">
        <v>2368</v>
      </c>
      <c r="AK617" s="4" t="s">
        <v>2369</v>
      </c>
      <c r="AL617" s="4" t="s">
        <v>163</v>
      </c>
      <c r="AM617" s="4" t="s">
        <v>128</v>
      </c>
      <c r="AN617" s="4" t="s">
        <v>87</v>
      </c>
      <c r="AO617" s="4" t="s">
        <v>244</v>
      </c>
      <c r="AP617" s="4" t="s">
        <v>245</v>
      </c>
      <c r="AQ617" s="4" t="s">
        <v>58</v>
      </c>
      <c r="AR617" s="4" t="s">
        <v>80</v>
      </c>
      <c r="AS617" s="4" t="s">
        <v>60</v>
      </c>
      <c r="AT617" s="0" t="n">
        <v>0.1</v>
      </c>
      <c r="AU617" s="4" t="s">
        <v>61</v>
      </c>
      <c r="AV617" s="4" t="s">
        <v>883</v>
      </c>
    </row>
    <row r="618" customFormat="false" ht="15" hidden="false" customHeight="false" outlineLevel="0" collapsed="false">
      <c r="A618" s="0" t="s">
        <v>2370</v>
      </c>
      <c r="B618" s="3" t="n">
        <f aca="false">IF(AJ618="","",IF(ISNUMBER(SEARCH("/",AJ618)),DATE(VALUE(RIGHT(AJ618,4)),VALUE(LEFT(AJ618,2)),VALUE(MID(AJ618,4,2))),IF(ISNUMBER(SEARCH("-",AJ618)),IF(LEN(LEFT(AJ618,FIND("-",AJ618)-1))=4,DATE(VALUE(LEFT(AJ618,4)),VALUE(MID(AJ618,6,2)),VALUE(RIGHT(AJ618,2))),DATE(VALUE(RIGHT(AJ618,4)),VALUE(MID(AJ618,4,2)),VALUE(LEFT(AJ618,2)))),DATE(VALUE(RIGHT(AJ618,4)),MATCH(MID(AJ618,4,3),{"Jan","Feb","Mar","Apr","May","Jun","Jul","Aug","Sep","Oct","Nov","Dec"},0),VALUE(LEFT(AJ618,2))))))</f>
        <v>45520</v>
      </c>
      <c r="C618" s="3" t="n">
        <f aca="false">IF(AK618="","",IF(ISNUMBER(SEARCH("/",AK618)),DATE(VALUE(RIGHT(AK618,4)),VALUE(LEFT(AK618,2)),VALUE(MID(AK618,4,2))),IF(ISNUMBER(SEARCH("-",AK618)),IF(LEN(LEFT(AK618,FIND("-",AK618)-1))=4,DATE(VALUE(LEFT(AK618,4)),VALUE(MID(AK618,6,2)),VALUE(RIGHT(AK618,2))),DATE(VALUE(RIGHT(AK618,4)),VALUE(MID(AK618,4,2)),VALUE(LEFT(AK618,2)))),DATE(VALUE(RIGHT(AK618,4)),MATCH(MID(AK618,4,3),{"Jan","Feb","Mar","Apr","May","Jun","Jul","Aug","Sep","Oct","Nov","Dec"},0),VALUE(LEFT(AK618,2))))))</f>
        <v>45523</v>
      </c>
      <c r="D618" s="4" t="s">
        <v>2371</v>
      </c>
      <c r="E618" s="0" t="str">
        <f aca="false">PROPER(TRIM(AL618))</f>
        <v>Kabir Singh</v>
      </c>
      <c r="F618" s="0" t="str">
        <f aca="false">PROPER(TRIM(AM618))</f>
        <v>Consumer</v>
      </c>
      <c r="G618" s="0" t="str">
        <f aca="false">IF(TRIM(AN618)="","Unknown",PROPER(TRIM(AN618)))</f>
        <v>South</v>
      </c>
      <c r="H618" s="0" t="str">
        <f aca="false">PROPER(TRIM(AO618))</f>
        <v>Telangana</v>
      </c>
      <c r="I618" s="0" t="str">
        <f aca="false">PROPER(TRIM(AP618))</f>
        <v>Hyderabad</v>
      </c>
      <c r="J618" s="0" t="str">
        <f aca="false">PROPER(TRIM(AQ618))</f>
        <v>Office Supplies</v>
      </c>
      <c r="K618" s="0" t="str">
        <f aca="false">PROPER(TRIM(AR618))</f>
        <v>Paper</v>
      </c>
      <c r="M618" s="0" t="str">
        <f aca="false">IF(TRIM(AS618)="","Unknown",PROPER(TRIM(AS618)))</f>
        <v>Standard Class</v>
      </c>
      <c r="N618" s="0" t="n">
        <v>6</v>
      </c>
      <c r="O618" s="0" t="n">
        <v>3925.55</v>
      </c>
      <c r="P618" s="5" t="n">
        <f aca="false">IF(AT618="","",IF(ISNUMBER(AT618),AT618,VALUE(SUBSTITUTE(AT618,"%",""))/100))</f>
        <v>0.2</v>
      </c>
      <c r="Q618" s="5" t="n">
        <f aca="false">IF(P618="",IF(AND(N618&lt;&gt;"",O618&lt;&gt;"",R618&lt;&gt;"",S618&lt;&gt;""),0,"REVIEW"),IF(OR(P618&lt;0,P618&gt;0.3),0,P618))</f>
        <v>0.2</v>
      </c>
      <c r="R618" s="0" t="n">
        <v>18842.64</v>
      </c>
      <c r="S618" s="0" t="n">
        <v>11840.58</v>
      </c>
      <c r="T618" s="6" t="n">
        <f aca="false">N618*O618*(1-Q618)</f>
        <v>18842.64</v>
      </c>
      <c r="U618" s="6" t="n">
        <f aca="false">T618-S618</f>
        <v>7002.06</v>
      </c>
      <c r="V618" s="7" t="n">
        <f aca="false">IF(T618=0,0,U618/T618)</f>
        <v>0.371607163327432</v>
      </c>
      <c r="W618" s="4" t="n">
        <f aca="false">C618-B618</f>
        <v>3</v>
      </c>
      <c r="X618" s="0" t="str">
        <f aca="false">TEXT(B618,"mmmm")</f>
        <v>August</v>
      </c>
      <c r="Y618" s="4" t="n">
        <f aca="false">YEAR(B618)</f>
        <v>2024</v>
      </c>
      <c r="Z618" s="0" t="str">
        <f aca="false">PROPER(TRIM(AU618))</f>
        <v>Paid</v>
      </c>
      <c r="AA618" s="0" t="str">
        <f aca="false">PROPER(TRIM(AV618))</f>
        <v>Completed</v>
      </c>
      <c r="AB618" s="0" t="str">
        <f aca="false">IF(TRIM(AN618)="","Yes","No")</f>
        <v>No</v>
      </c>
      <c r="AC618" s="0" t="str">
        <f aca="false">IF(TRIM(AS618)="","Yes","No")</f>
        <v>No</v>
      </c>
      <c r="AD618" s="0" t="str">
        <f aca="false">IF(AT618="","Yes","No")</f>
        <v>No</v>
      </c>
      <c r="AE618" s="0" t="str">
        <f aca="false">IF(W618&lt;0,"Yes","No")</f>
        <v>No</v>
      </c>
      <c r="AF618" s="0" t="str">
        <f aca="false">IF(P618="","No",IF(OR(P618&lt;0,P618&gt;0.3),"Yes","No"))</f>
        <v>No</v>
      </c>
      <c r="AG618" s="4" t="s">
        <v>50</v>
      </c>
      <c r="AH618" s="0" t="str">
        <f aca="false">IF(AND(AA618="Completed",Z618="Paid"),"Yes","No")</f>
        <v>Yes</v>
      </c>
      <c r="AI618" s="0" t="str">
        <f aca="false">IF(OR(AE618="Yes",AF618="Yes",AG618="Yes"),"Invalid",IF(OR(AB618="Yes",AC618="Yes",AD618="Yes"),"Warning","Clean"))</f>
        <v>Clean</v>
      </c>
      <c r="AJ618" s="4" t="s">
        <v>2372</v>
      </c>
      <c r="AK618" s="4" t="s">
        <v>2320</v>
      </c>
      <c r="AL618" s="4" t="s">
        <v>347</v>
      </c>
      <c r="AM618" s="4" t="s">
        <v>54</v>
      </c>
      <c r="AN618" s="4" t="s">
        <v>87</v>
      </c>
      <c r="AO618" s="4" t="s">
        <v>88</v>
      </c>
      <c r="AP618" s="4" t="s">
        <v>89</v>
      </c>
      <c r="AQ618" s="4" t="s">
        <v>58</v>
      </c>
      <c r="AR618" s="4" t="s">
        <v>59</v>
      </c>
      <c r="AS618" s="4" t="s">
        <v>91</v>
      </c>
      <c r="AT618" s="0" t="n">
        <v>0.2</v>
      </c>
      <c r="AU618" s="4" t="s">
        <v>61</v>
      </c>
      <c r="AV618" s="4" t="s">
        <v>62</v>
      </c>
    </row>
    <row r="619" customFormat="false" ht="15" hidden="false" customHeight="false" outlineLevel="0" collapsed="false">
      <c r="A619" s="0" t="s">
        <v>2373</v>
      </c>
      <c r="B619" s="3" t="n">
        <f aca="false">IF(AJ619="","",IF(ISNUMBER(SEARCH("/",AJ619)),DATE(VALUE(RIGHT(AJ619,4)),VALUE(LEFT(AJ619,2)),VALUE(MID(AJ619,4,2))),IF(ISNUMBER(SEARCH("-",AJ619)),IF(LEN(LEFT(AJ619,FIND("-",AJ619)-1))=4,DATE(VALUE(LEFT(AJ619,4)),VALUE(MID(AJ619,6,2)),VALUE(RIGHT(AJ619,2))),DATE(VALUE(RIGHT(AJ619,4)),VALUE(MID(AJ619,4,2)),VALUE(LEFT(AJ619,2)))),DATE(VALUE(RIGHT(AJ619,4)),MATCH(MID(AJ619,4,3),{"Jan","Feb","Mar","Apr","May","Jun","Jul","Aug","Sep","Oct","Nov","Dec"},0),VALUE(LEFT(AJ619,2))))))</f>
        <v>45564</v>
      </c>
      <c r="C619" s="3" t="n">
        <f aca="false">IF(AK619="","",IF(ISNUMBER(SEARCH("/",AK619)),DATE(VALUE(RIGHT(AK619,4)),VALUE(LEFT(AK619,2)),VALUE(MID(AK619,4,2))),IF(ISNUMBER(SEARCH("-",AK619)),IF(LEN(LEFT(AK619,FIND("-",AK619)-1))=4,DATE(VALUE(LEFT(AK619,4)),VALUE(MID(AK619,6,2)),VALUE(RIGHT(AK619,2))),DATE(VALUE(RIGHT(AK619,4)),VALUE(MID(AK619,4,2)),VALUE(LEFT(AK619,2)))),DATE(VALUE(RIGHT(AK619,4)),MATCH(MID(AK619,4,3),{"Jan","Feb","Mar","Apr","May","Jun","Jul","Aug","Sep","Oct","Nov","Dec"},0),VALUE(LEFT(AK619,2))))))</f>
        <v>45565</v>
      </c>
      <c r="D619" s="4" t="s">
        <v>2374</v>
      </c>
      <c r="E619" s="0" t="str">
        <f aca="false">PROPER(TRIM(AL619))</f>
        <v>Mira Das</v>
      </c>
      <c r="F619" s="0" t="str">
        <f aca="false">PROPER(TRIM(AM619))</f>
        <v>Home Office</v>
      </c>
      <c r="G619" s="0" t="str">
        <f aca="false">IF(TRIM(AN619)="","Unknown",PROPER(TRIM(AN619)))</f>
        <v>South</v>
      </c>
      <c r="H619" s="0" t="str">
        <f aca="false">PROPER(TRIM(AO619))</f>
        <v>Telangana</v>
      </c>
      <c r="I619" s="0" t="str">
        <f aca="false">PROPER(TRIM(AP619))</f>
        <v>Hyderabad</v>
      </c>
      <c r="J619" s="0" t="str">
        <f aca="false">PROPER(TRIM(AQ619))</f>
        <v>Technology</v>
      </c>
      <c r="K619" s="0" t="str">
        <f aca="false">PROPER(TRIM(AR619))</f>
        <v>Phones</v>
      </c>
      <c r="M619" s="0" t="str">
        <f aca="false">IF(TRIM(AS619)="","Unknown",PROPER(TRIM(AS619)))</f>
        <v>Standard Class</v>
      </c>
      <c r="N619" s="0" t="n">
        <v>9</v>
      </c>
      <c r="O619" s="0" t="n">
        <v>2741.91</v>
      </c>
      <c r="P619" s="5" t="n">
        <f aca="false">IF(AT619="","",IF(ISNUMBER(AT619),AT619,VALUE(SUBSTITUTE(AT619,"%",""))/100))</f>
        <v>0</v>
      </c>
      <c r="Q619" s="5" t="n">
        <f aca="false">IF(P619="",IF(AND(N619&lt;&gt;"",O619&lt;&gt;"",R619&lt;&gt;"",S619&lt;&gt;""),0,"REVIEW"),IF(OR(P619&lt;0,P619&gt;0.3),0,P619))</f>
        <v>0</v>
      </c>
      <c r="R619" s="0" t="n">
        <v>24677.19</v>
      </c>
      <c r="S619" s="0" t="n">
        <v>20350.85</v>
      </c>
      <c r="T619" s="6" t="n">
        <f aca="false">N619*O619*(1-Q619)</f>
        <v>24677.19</v>
      </c>
      <c r="U619" s="6" t="n">
        <f aca="false">T619-S619</f>
        <v>4326.34</v>
      </c>
      <c r="V619" s="7" t="n">
        <f aca="false">IF(T619=0,0,U619/T619)</f>
        <v>0.175317367982335</v>
      </c>
      <c r="W619" s="4" t="n">
        <f aca="false">C619-B619</f>
        <v>1</v>
      </c>
      <c r="X619" s="0" t="str">
        <f aca="false">TEXT(B619,"mmmm")</f>
        <v>September</v>
      </c>
      <c r="Y619" s="4" t="n">
        <f aca="false">YEAR(B619)</f>
        <v>2024</v>
      </c>
      <c r="Z619" s="0" t="str">
        <f aca="false">PROPER(TRIM(AU619))</f>
        <v>Paid</v>
      </c>
      <c r="AA619" s="0" t="str">
        <f aca="false">PROPER(TRIM(AV619))</f>
        <v>Completed</v>
      </c>
      <c r="AB619" s="0" t="str">
        <f aca="false">IF(TRIM(AN619)="","Yes","No")</f>
        <v>No</v>
      </c>
      <c r="AC619" s="0" t="str">
        <f aca="false">IF(TRIM(AS619)="","Yes","No")</f>
        <v>No</v>
      </c>
      <c r="AD619" s="0" t="str">
        <f aca="false">IF(AT619="","Yes","No")</f>
        <v>No</v>
      </c>
      <c r="AE619" s="0" t="str">
        <f aca="false">IF(W619&lt;0,"Yes","No")</f>
        <v>No</v>
      </c>
      <c r="AF619" s="0" t="str">
        <f aca="false">IF(P619="","No",IF(OR(P619&lt;0,P619&gt;0.3),"Yes","No"))</f>
        <v>No</v>
      </c>
      <c r="AG619" s="4" t="s">
        <v>50</v>
      </c>
      <c r="AH619" s="0" t="str">
        <f aca="false">IF(AND(AA619="Completed",Z619="Paid"),"Yes","No")</f>
        <v>Yes</v>
      </c>
      <c r="AI619" s="0" t="str">
        <f aca="false">IF(OR(AE619="Yes",AF619="Yes",AG619="Yes"),"Invalid",IF(OR(AB619="Yes",AC619="Yes",AD619="Yes"),"Warning","Clean"))</f>
        <v>Clean</v>
      </c>
      <c r="AJ619" s="4" t="s">
        <v>2375</v>
      </c>
      <c r="AK619" s="4" t="s">
        <v>839</v>
      </c>
      <c r="AL619" s="4" t="s">
        <v>67</v>
      </c>
      <c r="AM619" s="4" t="s">
        <v>134</v>
      </c>
      <c r="AN619" s="4" t="s">
        <v>87</v>
      </c>
      <c r="AO619" s="4" t="s">
        <v>88</v>
      </c>
      <c r="AP619" s="4" t="s">
        <v>89</v>
      </c>
      <c r="AQ619" s="4" t="s">
        <v>109</v>
      </c>
      <c r="AR619" s="4" t="s">
        <v>227</v>
      </c>
      <c r="AS619" s="4" t="s">
        <v>91</v>
      </c>
      <c r="AT619" s="0" t="n">
        <v>0</v>
      </c>
      <c r="AU619" s="4" t="s">
        <v>61</v>
      </c>
      <c r="AV619" s="4" t="s">
        <v>62</v>
      </c>
    </row>
    <row r="620" customFormat="false" ht="15" hidden="false" customHeight="false" outlineLevel="0" collapsed="false">
      <c r="A620" s="0" t="s">
        <v>2376</v>
      </c>
      <c r="B620" s="3" t="n">
        <f aca="false">IF(AJ620="","",IF(ISNUMBER(SEARCH("/",AJ620)),DATE(VALUE(RIGHT(AJ620,4)),VALUE(LEFT(AJ620,2)),VALUE(MID(AJ620,4,2))),IF(ISNUMBER(SEARCH("-",AJ620)),IF(LEN(LEFT(AJ620,FIND("-",AJ620)-1))=4,DATE(VALUE(LEFT(AJ620,4)),VALUE(MID(AJ620,6,2)),VALUE(RIGHT(AJ620,2))),DATE(VALUE(RIGHT(AJ620,4)),VALUE(MID(AJ620,4,2)),VALUE(LEFT(AJ620,2)))),DATE(VALUE(RIGHT(AJ620,4)),MATCH(MID(AJ620,4,3),{"Jan","Feb","Mar","Apr","May","Jun","Jul","Aug","Sep","Oct","Nov","Dec"},0),VALUE(LEFT(AJ620,2))))))</f>
        <v>45496</v>
      </c>
      <c r="C620" s="3" t="n">
        <f aca="false">IF(AK620="","",IF(ISNUMBER(SEARCH("/",AK620)),DATE(VALUE(RIGHT(AK620,4)),VALUE(LEFT(AK620,2)),VALUE(MID(AK620,4,2))),IF(ISNUMBER(SEARCH("-",AK620)),IF(LEN(LEFT(AK620,FIND("-",AK620)-1))=4,DATE(VALUE(LEFT(AK620,4)),VALUE(MID(AK620,6,2)),VALUE(RIGHT(AK620,2))),DATE(VALUE(RIGHT(AK620,4)),VALUE(MID(AK620,4,2)),VALUE(LEFT(AK620,2)))),DATE(VALUE(RIGHT(AK620,4)),MATCH(MID(AK620,4,3),{"Jan","Feb","Mar","Apr","May","Jun","Jul","Aug","Sep","Oct","Nov","Dec"},0),VALUE(LEFT(AK620,2))))))</f>
        <v>45503</v>
      </c>
      <c r="D620" s="4" t="s">
        <v>2377</v>
      </c>
      <c r="E620" s="0" t="str">
        <f aca="false">PROPER(TRIM(AL620))</f>
        <v>Kabir Singh</v>
      </c>
      <c r="F620" s="0" t="str">
        <f aca="false">PROPER(TRIM(AM620))</f>
        <v>Corporate</v>
      </c>
      <c r="G620" s="0" t="str">
        <f aca="false">IF(TRIM(AN620)="","Unknown",PROPER(TRIM(AN620)))</f>
        <v>North</v>
      </c>
      <c r="H620" s="0" t="str">
        <f aca="false">PROPER(TRIM(AO620))</f>
        <v>Rajasthan</v>
      </c>
      <c r="I620" s="0" t="str">
        <f aca="false">PROPER(TRIM(AP620))</f>
        <v>Jaipur</v>
      </c>
      <c r="J620" s="0" t="str">
        <f aca="false">PROPER(TRIM(AQ620))</f>
        <v>Furniture</v>
      </c>
      <c r="K620" s="0" t="str">
        <f aca="false">PROPER(TRIM(AR620))</f>
        <v>Tables</v>
      </c>
      <c r="M620" s="0" t="str">
        <f aca="false">IF(TRIM(AS620)="","Unknown",PROPER(TRIM(AS620)))</f>
        <v>Same Day</v>
      </c>
      <c r="N620" s="0" t="n">
        <v>9</v>
      </c>
      <c r="O620" s="0" t="n">
        <v>1870.11</v>
      </c>
      <c r="P620" s="5" t="n">
        <f aca="false">IF(AT620="","",IF(ISNUMBER(AT620),AT620,VALUE(SUBSTITUTE(AT620,"%",""))/100))</f>
        <v>0.25</v>
      </c>
      <c r="Q620" s="5" t="n">
        <f aca="false">IF(P620="",IF(AND(N620&lt;&gt;"",O620&lt;&gt;"",R620&lt;&gt;"",S620&lt;&gt;""),0,"REVIEW"),IF(OR(P620&lt;0,P620&gt;0.3),0,P620))</f>
        <v>0.25</v>
      </c>
      <c r="R620" s="0" t="n">
        <v>12623.24</v>
      </c>
      <c r="S620" s="0" t="n">
        <v>10540.8</v>
      </c>
      <c r="T620" s="6" t="n">
        <f aca="false">N620*O620*(1-Q620)</f>
        <v>12623.2425</v>
      </c>
      <c r="U620" s="6" t="n">
        <f aca="false">T620-S620</f>
        <v>2082.4425</v>
      </c>
      <c r="V620" s="7" t="n">
        <f aca="false">IF(T620=0,0,U620/T620)</f>
        <v>0.164968905572399</v>
      </c>
      <c r="W620" s="4" t="n">
        <f aca="false">C620-B620</f>
        <v>7</v>
      </c>
      <c r="X620" s="0" t="str">
        <f aca="false">TEXT(B620,"mmmm")</f>
        <v>July</v>
      </c>
      <c r="Y620" s="4" t="n">
        <f aca="false">YEAR(B620)</f>
        <v>2024</v>
      </c>
      <c r="Z620" s="0" t="str">
        <f aca="false">PROPER(TRIM(AU620))</f>
        <v>Failed</v>
      </c>
      <c r="AA620" s="0" t="str">
        <f aca="false">PROPER(TRIM(AV620))</f>
        <v>Cancelled</v>
      </c>
      <c r="AB620" s="0" t="str">
        <f aca="false">IF(TRIM(AN620)="","Yes","No")</f>
        <v>No</v>
      </c>
      <c r="AC620" s="0" t="str">
        <f aca="false">IF(TRIM(AS620)="","Yes","No")</f>
        <v>No</v>
      </c>
      <c r="AD620" s="0" t="str">
        <f aca="false">IF(AT620="","Yes","No")</f>
        <v>No</v>
      </c>
      <c r="AE620" s="0" t="str">
        <f aca="false">IF(W620&lt;0,"Yes","No")</f>
        <v>No</v>
      </c>
      <c r="AF620" s="0" t="str">
        <f aca="false">IF(P620="","No",IF(OR(P620&lt;0,P620&gt;0.3),"Yes","No"))</f>
        <v>No</v>
      </c>
      <c r="AG620" s="4" t="s">
        <v>50</v>
      </c>
      <c r="AH620" s="0" t="str">
        <f aca="false">IF(AND(AA620="Completed",Z620="Paid"),"Yes","No")</f>
        <v>No</v>
      </c>
      <c r="AI620" s="0" t="str">
        <f aca="false">IF(OR(AE620="Yes",AF620="Yes",AG620="Yes"),"Invalid",IF(OR(AB620="Yes",AC620="Yes",AD620="Yes"),"Warning","Clean"))</f>
        <v>Clean</v>
      </c>
      <c r="AJ620" s="4" t="s">
        <v>2378</v>
      </c>
      <c r="AK620" s="4" t="s">
        <v>481</v>
      </c>
      <c r="AL620" s="4" t="s">
        <v>347</v>
      </c>
      <c r="AM620" s="4" t="s">
        <v>128</v>
      </c>
      <c r="AN620" s="4" t="s">
        <v>168</v>
      </c>
      <c r="AO620" s="4" t="s">
        <v>56</v>
      </c>
      <c r="AP620" s="4" t="s">
        <v>57</v>
      </c>
      <c r="AQ620" s="4" t="s">
        <v>72</v>
      </c>
      <c r="AR620" s="4" t="s">
        <v>73</v>
      </c>
      <c r="AS620" s="4" t="s">
        <v>74</v>
      </c>
      <c r="AT620" s="0" t="n">
        <v>0.25</v>
      </c>
      <c r="AU620" s="4" t="s">
        <v>207</v>
      </c>
      <c r="AV620" s="4" t="s">
        <v>101</v>
      </c>
    </row>
    <row r="621" customFormat="false" ht="15" hidden="false" customHeight="false" outlineLevel="0" collapsed="false">
      <c r="A621" s="0" t="s">
        <v>2379</v>
      </c>
      <c r="B621" s="3" t="n">
        <f aca="false">IF(AJ621="","",IF(ISNUMBER(SEARCH("/",AJ621)),DATE(VALUE(RIGHT(AJ621,4)),VALUE(LEFT(AJ621,2)),VALUE(MID(AJ621,4,2))),IF(ISNUMBER(SEARCH("-",AJ621)),IF(LEN(LEFT(AJ621,FIND("-",AJ621)-1))=4,DATE(VALUE(LEFT(AJ621,4)),VALUE(MID(AJ621,6,2)),VALUE(RIGHT(AJ621,2))),DATE(VALUE(RIGHT(AJ621,4)),VALUE(MID(AJ621,4,2)),VALUE(LEFT(AJ621,2)))),DATE(VALUE(RIGHT(AJ621,4)),MATCH(MID(AJ621,4,3),{"Jan","Feb","Mar","Apr","May","Jun","Jul","Aug","Sep","Oct","Nov","Dec"},0),VALUE(LEFT(AJ621,2))))))</f>
        <v>45618</v>
      </c>
      <c r="C621" s="3" t="n">
        <f aca="false">IF(AK621="","",IF(ISNUMBER(SEARCH("/",AK621)),DATE(VALUE(RIGHT(AK621,4)),VALUE(LEFT(AK621,2)),VALUE(MID(AK621,4,2))),IF(ISNUMBER(SEARCH("-",AK621)),IF(LEN(LEFT(AK621,FIND("-",AK621)-1))=4,DATE(VALUE(LEFT(AK621,4)),VALUE(MID(AK621,6,2)),VALUE(RIGHT(AK621,2))),DATE(VALUE(RIGHT(AK621,4)),VALUE(MID(AK621,4,2)),VALUE(LEFT(AK621,2)))),DATE(VALUE(RIGHT(AK621,4)),MATCH(MID(AK621,4,3),{"Jan","Feb","Mar","Apr","May","Jun","Jul","Aug","Sep","Oct","Nov","Dec"},0),VALUE(LEFT(AK621,2))))))</f>
        <v>45623</v>
      </c>
      <c r="D621" s="4" t="s">
        <v>2380</v>
      </c>
      <c r="E621" s="0" t="str">
        <f aca="false">PROPER(TRIM(AL621))</f>
        <v>Priya Menon</v>
      </c>
      <c r="F621" s="0" t="str">
        <f aca="false">PROPER(TRIM(AM621))</f>
        <v>Corporate</v>
      </c>
      <c r="G621" s="0" t="str">
        <f aca="false">IF(TRIM(AN621)="","Unknown",PROPER(TRIM(AN621)))</f>
        <v>South</v>
      </c>
      <c r="H621" s="0" t="str">
        <f aca="false">PROPER(TRIM(AO621))</f>
        <v>Tamil Nadu</v>
      </c>
      <c r="I621" s="0" t="str">
        <f aca="false">PROPER(TRIM(AP621))</f>
        <v>Chennai</v>
      </c>
      <c r="J621" s="0" t="str">
        <f aca="false">PROPER(TRIM(AQ621))</f>
        <v>Office Supplies</v>
      </c>
      <c r="K621" s="0" t="str">
        <f aca="false">PROPER(TRIM(AR621))</f>
        <v>Binders</v>
      </c>
      <c r="M621" s="0" t="str">
        <f aca="false">IF(TRIM(AS621)="","Unknown",PROPER(TRIM(AS621)))</f>
        <v>First Class</v>
      </c>
      <c r="N621" s="0" t="n">
        <v>1</v>
      </c>
      <c r="O621" s="0" t="n">
        <v>4251.26</v>
      </c>
      <c r="P621" s="5" t="n">
        <f aca="false">IF(AT621="","",IF(ISNUMBER(AT621),AT621,VALUE(SUBSTITUTE(AT621,"%",""))/100))</f>
        <v>0.2</v>
      </c>
      <c r="Q621" s="5" t="n">
        <f aca="false">IF(P621="",IF(AND(N621&lt;&gt;"",O621&lt;&gt;"",R621&lt;&gt;"",S621&lt;&gt;""),0,"REVIEW"),IF(OR(P621&lt;0,P621&gt;0.3),0,P621))</f>
        <v>0.2</v>
      </c>
      <c r="R621" s="0" t="n">
        <v>3401.01</v>
      </c>
      <c r="S621" s="0" t="n">
        <v>2917.54</v>
      </c>
      <c r="T621" s="6" t="n">
        <f aca="false">N621*O621*(1-Q621)</f>
        <v>3401.008</v>
      </c>
      <c r="U621" s="6" t="n">
        <f aca="false">T621-S621</f>
        <v>483.468</v>
      </c>
      <c r="V621" s="7" t="n">
        <f aca="false">IF(T621=0,0,U621/T621)</f>
        <v>0.142154326011583</v>
      </c>
      <c r="W621" s="4" t="n">
        <f aca="false">C621-B621</f>
        <v>5</v>
      </c>
      <c r="X621" s="0" t="str">
        <f aca="false">TEXT(B621,"mmmm")</f>
        <v>November</v>
      </c>
      <c r="Y621" s="4" t="n">
        <f aca="false">YEAR(B621)</f>
        <v>2024</v>
      </c>
      <c r="Z621" s="0" t="str">
        <f aca="false">PROPER(TRIM(AU621))</f>
        <v>Refunded</v>
      </c>
      <c r="AA621" s="0" t="str">
        <f aca="false">PROPER(TRIM(AV621))</f>
        <v>Returned</v>
      </c>
      <c r="AB621" s="0" t="str">
        <f aca="false">IF(TRIM(AN621)="","Yes","No")</f>
        <v>No</v>
      </c>
      <c r="AC621" s="0" t="str">
        <f aca="false">IF(TRIM(AS621)="","Yes","No")</f>
        <v>No</v>
      </c>
      <c r="AD621" s="0" t="str">
        <f aca="false">IF(AT621="","Yes","No")</f>
        <v>No</v>
      </c>
      <c r="AE621" s="0" t="str">
        <f aca="false">IF(W621&lt;0,"Yes","No")</f>
        <v>No</v>
      </c>
      <c r="AF621" s="0" t="str">
        <f aca="false">IF(P621="","No",IF(OR(P621&lt;0,P621&gt;0.3),"Yes","No"))</f>
        <v>No</v>
      </c>
      <c r="AG621" s="4" t="s">
        <v>50</v>
      </c>
      <c r="AH621" s="0" t="str">
        <f aca="false">IF(AND(AA621="Completed",Z621="Paid"),"Yes","No")</f>
        <v>No</v>
      </c>
      <c r="AI621" s="0" t="str">
        <f aca="false">IF(OR(AE621="Yes",AF621="Yes",AG621="Yes"),"Invalid",IF(OR(AB621="Yes",AC621="Yes",AD621="Yes"),"Warning","Clean"))</f>
        <v>Clean</v>
      </c>
      <c r="AJ621" s="4" t="s">
        <v>789</v>
      </c>
      <c r="AK621" s="4" t="s">
        <v>2381</v>
      </c>
      <c r="AL621" s="4" t="s">
        <v>158</v>
      </c>
      <c r="AM621" s="4" t="s">
        <v>128</v>
      </c>
      <c r="AN621" s="4" t="s">
        <v>87</v>
      </c>
      <c r="AO621" s="4" t="s">
        <v>323</v>
      </c>
      <c r="AP621" s="4" t="s">
        <v>324</v>
      </c>
      <c r="AQ621" s="4" t="s">
        <v>58</v>
      </c>
      <c r="AR621" s="4" t="s">
        <v>206</v>
      </c>
      <c r="AS621" s="4" t="s">
        <v>81</v>
      </c>
      <c r="AT621" s="0" t="n">
        <v>0.2</v>
      </c>
      <c r="AU621" s="4" t="s">
        <v>141</v>
      </c>
      <c r="AV621" s="4" t="s">
        <v>142</v>
      </c>
    </row>
    <row r="622" customFormat="false" ht="15" hidden="false" customHeight="false" outlineLevel="0" collapsed="false">
      <c r="A622" s="0" t="s">
        <v>2382</v>
      </c>
      <c r="B622" s="3" t="n">
        <f aca="false">IF(AJ622="","",IF(ISNUMBER(SEARCH("/",AJ622)),DATE(VALUE(RIGHT(AJ622,4)),VALUE(LEFT(AJ622,2)),VALUE(MID(AJ622,4,2))),IF(ISNUMBER(SEARCH("-",AJ622)),IF(LEN(LEFT(AJ622,FIND("-",AJ622)-1))=4,DATE(VALUE(LEFT(AJ622,4)),VALUE(MID(AJ622,6,2)),VALUE(RIGHT(AJ622,2))),DATE(VALUE(RIGHT(AJ622,4)),VALUE(MID(AJ622,4,2)),VALUE(LEFT(AJ622,2)))),DATE(VALUE(RIGHT(AJ622,4)),MATCH(MID(AJ622,4,3),{"Jan","Feb","Mar","Apr","May","Jun","Jul","Aug","Sep","Oct","Nov","Dec"},0),VALUE(LEFT(AJ622,2))))))</f>
        <v>45522</v>
      </c>
      <c r="C622" s="3" t="n">
        <f aca="false">IF(AK622="","",IF(ISNUMBER(SEARCH("/",AK622)),DATE(VALUE(RIGHT(AK622,4)),VALUE(LEFT(AK622,2)),VALUE(MID(AK622,4,2))),IF(ISNUMBER(SEARCH("-",AK622)),IF(LEN(LEFT(AK622,FIND("-",AK622)-1))=4,DATE(VALUE(LEFT(AK622,4)),VALUE(MID(AK622,6,2)),VALUE(RIGHT(AK622,2))),DATE(VALUE(RIGHT(AK622,4)),VALUE(MID(AK622,4,2)),VALUE(LEFT(AK622,2)))),DATE(VALUE(RIGHT(AK622,4)),MATCH(MID(AK622,4,3),{"Jan","Feb","Mar","Apr","May","Jun","Jul","Aug","Sep","Oct","Nov","Dec"},0),VALUE(LEFT(AK622,2))))))</f>
        <v>45525</v>
      </c>
      <c r="D622" s="4" t="s">
        <v>2383</v>
      </c>
      <c r="E622" s="0" t="str">
        <f aca="false">PROPER(TRIM(AL622))</f>
        <v>Vikram Iyer</v>
      </c>
      <c r="F622" s="0" t="str">
        <f aca="false">PROPER(TRIM(AM622))</f>
        <v>Consumer</v>
      </c>
      <c r="G622" s="0" t="str">
        <f aca="false">IF(TRIM(AN622)="","Unknown",PROPER(TRIM(AN622)))</f>
        <v>North</v>
      </c>
      <c r="H622" s="0" t="str">
        <f aca="false">PROPER(TRIM(AO622))</f>
        <v>Uttar Pradesh</v>
      </c>
      <c r="I622" s="0" t="str">
        <f aca="false">PROPER(TRIM(AP622))</f>
        <v>Noida</v>
      </c>
      <c r="J622" s="0" t="str">
        <f aca="false">PROPER(TRIM(AQ622))</f>
        <v>Technology</v>
      </c>
      <c r="K622" s="0" t="str">
        <f aca="false">PROPER(TRIM(AR622))</f>
        <v>Machines</v>
      </c>
      <c r="M622" s="0" t="str">
        <f aca="false">IF(TRIM(AS622)="","Unknown",PROPER(TRIM(AS622)))</f>
        <v>Standard Class</v>
      </c>
      <c r="N622" s="0" t="n">
        <v>9</v>
      </c>
      <c r="O622" s="0" t="n">
        <v>734.34</v>
      </c>
      <c r="P622" s="5" t="n">
        <f aca="false">IF(AT622="","",IF(ISNUMBER(AT622),AT622,VALUE(SUBSTITUTE(AT622,"%",""))/100))</f>
        <v>0</v>
      </c>
      <c r="Q622" s="5" t="n">
        <f aca="false">IF(P622="",IF(AND(N622&lt;&gt;"",O622&lt;&gt;"",R622&lt;&gt;"",S622&lt;&gt;""),0,"REVIEW"),IF(OR(P622&lt;0,P622&gt;0.3),0,P622))</f>
        <v>0</v>
      </c>
      <c r="R622" s="0" t="n">
        <v>6609.06</v>
      </c>
      <c r="S622" s="0" t="n">
        <v>4946.78</v>
      </c>
      <c r="T622" s="6" t="n">
        <f aca="false">N622*O622*(1-Q622)</f>
        <v>6609.06</v>
      </c>
      <c r="U622" s="6" t="n">
        <f aca="false">T622-S622</f>
        <v>1662.28</v>
      </c>
      <c r="V622" s="7" t="n">
        <f aca="false">IF(T622=0,0,U622/T622)</f>
        <v>0.251515344088267</v>
      </c>
      <c r="W622" s="4" t="n">
        <f aca="false">C622-B622</f>
        <v>3</v>
      </c>
      <c r="X622" s="0" t="str">
        <f aca="false">TEXT(B622,"mmmm")</f>
        <v>August</v>
      </c>
      <c r="Y622" s="4" t="n">
        <f aca="false">YEAR(B622)</f>
        <v>2024</v>
      </c>
      <c r="Z622" s="0" t="str">
        <f aca="false">PROPER(TRIM(AU622))</f>
        <v>Paid</v>
      </c>
      <c r="AA622" s="0" t="str">
        <f aca="false">PROPER(TRIM(AV622))</f>
        <v>Completed</v>
      </c>
      <c r="AB622" s="0" t="str">
        <f aca="false">IF(TRIM(AN622)="","Yes","No")</f>
        <v>No</v>
      </c>
      <c r="AC622" s="0" t="str">
        <f aca="false">IF(TRIM(AS622)="","Yes","No")</f>
        <v>No</v>
      </c>
      <c r="AD622" s="0" t="str">
        <f aca="false">IF(AT622="","Yes","No")</f>
        <v>No</v>
      </c>
      <c r="AE622" s="0" t="str">
        <f aca="false">IF(W622&lt;0,"Yes","No")</f>
        <v>No</v>
      </c>
      <c r="AF622" s="0" t="str">
        <f aca="false">IF(P622="","No",IF(OR(P622&lt;0,P622&gt;0.3),"Yes","No"))</f>
        <v>No</v>
      </c>
      <c r="AG622" s="4" t="s">
        <v>50</v>
      </c>
      <c r="AH622" s="0" t="str">
        <f aca="false">IF(AND(AA622="Completed",Z622="Paid"),"Yes","No")</f>
        <v>Yes</v>
      </c>
      <c r="AI622" s="0" t="str">
        <f aca="false">IF(OR(AE622="Yes",AF622="Yes",AG622="Yes"),"Invalid",IF(OR(AB622="Yes",AC622="Yes",AD622="Yes"),"Warning","Clean"))</f>
        <v>Clean</v>
      </c>
      <c r="AJ622" s="4" t="s">
        <v>2384</v>
      </c>
      <c r="AK622" s="4" t="s">
        <v>2385</v>
      </c>
      <c r="AL622" s="4" t="s">
        <v>106</v>
      </c>
      <c r="AM622" s="4" t="s">
        <v>54</v>
      </c>
      <c r="AN622" s="4" t="s">
        <v>168</v>
      </c>
      <c r="AO622" s="4" t="s">
        <v>186</v>
      </c>
      <c r="AP622" s="4" t="s">
        <v>187</v>
      </c>
      <c r="AQ622" s="4" t="s">
        <v>109</v>
      </c>
      <c r="AR622" s="4" t="s">
        <v>360</v>
      </c>
      <c r="AS622" s="4" t="s">
        <v>91</v>
      </c>
      <c r="AT622" s="0" t="n">
        <v>0</v>
      </c>
      <c r="AU622" s="4" t="s">
        <v>61</v>
      </c>
      <c r="AV622" s="4" t="s">
        <v>62</v>
      </c>
    </row>
    <row r="623" customFormat="false" ht="15" hidden="false" customHeight="false" outlineLevel="0" collapsed="false">
      <c r="A623" s="0" t="s">
        <v>2386</v>
      </c>
      <c r="B623" s="3" t="n">
        <f aca="false">IF(AJ623="","",IF(ISNUMBER(SEARCH("/",AJ623)),DATE(VALUE(RIGHT(AJ623,4)),VALUE(LEFT(AJ623,2)),VALUE(MID(AJ623,4,2))),IF(ISNUMBER(SEARCH("-",AJ623)),IF(LEN(LEFT(AJ623,FIND("-",AJ623)-1))=4,DATE(VALUE(LEFT(AJ623,4)),VALUE(MID(AJ623,6,2)),VALUE(RIGHT(AJ623,2))),DATE(VALUE(RIGHT(AJ623,4)),VALUE(MID(AJ623,4,2)),VALUE(LEFT(AJ623,2)))),DATE(VALUE(RIGHT(AJ623,4)),MATCH(MID(AJ623,4,3),{"Jan","Feb","Mar","Apr","May","Jun","Jul","Aug","Sep","Oct","Nov","Dec"},0),VALUE(LEFT(AJ623,2))))))</f>
        <v>45624</v>
      </c>
      <c r="C623" s="3" t="n">
        <f aca="false">IF(AK623="","",IF(ISNUMBER(SEARCH("/",AK623)),DATE(VALUE(RIGHT(AK623,4)),VALUE(LEFT(AK623,2)),VALUE(MID(AK623,4,2))),IF(ISNUMBER(SEARCH("-",AK623)),IF(LEN(LEFT(AK623,FIND("-",AK623)-1))=4,DATE(VALUE(LEFT(AK623,4)),VALUE(MID(AK623,6,2)),VALUE(RIGHT(AK623,2))),DATE(VALUE(RIGHT(AK623,4)),VALUE(MID(AK623,4,2)),VALUE(LEFT(AK623,2)))),DATE(VALUE(RIGHT(AK623,4)),MATCH(MID(AK623,4,3),{"Jan","Feb","Mar","Apr","May","Jun","Jul","Aug","Sep","Oct","Nov","Dec"},0),VALUE(LEFT(AK623,2))))))</f>
        <v>45632</v>
      </c>
      <c r="D623" s="4" t="s">
        <v>2387</v>
      </c>
      <c r="E623" s="0" t="str">
        <f aca="false">PROPER(TRIM(AL623))</f>
        <v>Aditi Sen</v>
      </c>
      <c r="F623" s="0" t="str">
        <f aca="false">PROPER(TRIM(AM623))</f>
        <v>Consumer</v>
      </c>
      <c r="G623" s="0" t="str">
        <f aca="false">IF(TRIM(AN623)="","Unknown",PROPER(TRIM(AN623)))</f>
        <v>West</v>
      </c>
      <c r="H623" s="0" t="str">
        <f aca="false">PROPER(TRIM(AO623))</f>
        <v>Maharashtra</v>
      </c>
      <c r="I623" s="0" t="str">
        <f aca="false">PROPER(TRIM(AP623))</f>
        <v>Mumbai</v>
      </c>
      <c r="J623" s="0" t="str">
        <f aca="false">PROPER(TRIM(AQ623))</f>
        <v>Furniture</v>
      </c>
      <c r="K623" s="0" t="str">
        <f aca="false">PROPER(TRIM(AR623))</f>
        <v>Chairs</v>
      </c>
      <c r="M623" s="0" t="str">
        <f aca="false">IF(TRIM(AS623)="","Unknown",PROPER(TRIM(AS623)))</f>
        <v>Same Day</v>
      </c>
      <c r="N623" s="0" t="n">
        <v>5</v>
      </c>
      <c r="O623" s="0" t="n">
        <v>1092.84</v>
      </c>
      <c r="P623" s="5" t="str">
        <f aca="false">IF(AT623="","",IF(ISNUMBER(AT623),AT623,VALUE(SUBSTITUTE(AT623,"%",""))/100))</f>
        <v/>
      </c>
      <c r="Q623" s="5" t="n">
        <f aca="false">IF(P623="",IF(AND(N623&lt;&gt;"",O623&lt;&gt;"",R623&lt;&gt;"",S623&lt;&gt;""),0,"REVIEW"),IF(OR(P623&lt;0,P623&gt;0.3),0,P623))</f>
        <v>0</v>
      </c>
      <c r="R623" s="0" t="n">
        <v>5464.2</v>
      </c>
      <c r="S623" s="0" t="n">
        <v>3318.09</v>
      </c>
      <c r="T623" s="6" t="n">
        <f aca="false">N623*O623*(1-Q623)</f>
        <v>5464.2</v>
      </c>
      <c r="U623" s="6" t="n">
        <f aca="false">T623-S623</f>
        <v>2146.11</v>
      </c>
      <c r="V623" s="7" t="n">
        <f aca="false">IF(T623=0,0,U623/T623)</f>
        <v>0.392758317777534</v>
      </c>
      <c r="W623" s="4" t="n">
        <f aca="false">C623-B623</f>
        <v>8</v>
      </c>
      <c r="X623" s="0" t="str">
        <f aca="false">TEXT(B623,"mmmm")</f>
        <v>November</v>
      </c>
      <c r="Y623" s="4" t="n">
        <f aca="false">YEAR(B623)</f>
        <v>2024</v>
      </c>
      <c r="Z623" s="0" t="str">
        <f aca="false">PROPER(TRIM(AU623))</f>
        <v>Paid</v>
      </c>
      <c r="AA623" s="0" t="str">
        <f aca="false">PROPER(TRIM(AV623))</f>
        <v>Completed</v>
      </c>
      <c r="AB623" s="0" t="str">
        <f aca="false">IF(TRIM(AN623)="","Yes","No")</f>
        <v>No</v>
      </c>
      <c r="AC623" s="0" t="str">
        <f aca="false">IF(TRIM(AS623)="","Yes","No")</f>
        <v>No</v>
      </c>
      <c r="AD623" s="0" t="str">
        <f aca="false">IF(AT623="","Yes","No")</f>
        <v>Yes</v>
      </c>
      <c r="AE623" s="0" t="str">
        <f aca="false">IF(W623&lt;0,"Yes","No")</f>
        <v>No</v>
      </c>
      <c r="AF623" s="0" t="str">
        <f aca="false">IF(P623="","No",IF(OR(P623&lt;0,P623&gt;0.3),"Yes","No"))</f>
        <v>No</v>
      </c>
      <c r="AG623" s="4" t="s">
        <v>50</v>
      </c>
      <c r="AH623" s="0" t="str">
        <f aca="false">IF(AND(AA623="Completed",Z623="Paid"),"Yes","No")</f>
        <v>Yes</v>
      </c>
      <c r="AI623" s="0" t="str">
        <f aca="false">IF(OR(AE623="Yes",AF623="Yes",AG623="Yes"),"Invalid",IF(OR(AB623="Yes",AC623="Yes",AD623="Yes"),"Warning","Clean"))</f>
        <v>Warning</v>
      </c>
      <c r="AJ623" s="4" t="s">
        <v>84</v>
      </c>
      <c r="AK623" s="4" t="s">
        <v>2388</v>
      </c>
      <c r="AL623" s="4" t="s">
        <v>127</v>
      </c>
      <c r="AM623" s="4" t="s">
        <v>54</v>
      </c>
      <c r="AN623" s="4" t="s">
        <v>97</v>
      </c>
      <c r="AO623" s="4" t="s">
        <v>98</v>
      </c>
      <c r="AP623" s="4" t="s">
        <v>99</v>
      </c>
      <c r="AQ623" s="4" t="s">
        <v>72</v>
      </c>
      <c r="AR623" s="4" t="s">
        <v>100</v>
      </c>
      <c r="AS623" s="4" t="s">
        <v>74</v>
      </c>
      <c r="AU623" s="4" t="s">
        <v>61</v>
      </c>
      <c r="AV623" s="4" t="s">
        <v>62</v>
      </c>
    </row>
    <row r="624" customFormat="false" ht="15" hidden="false" customHeight="false" outlineLevel="0" collapsed="false">
      <c r="A624" s="0" t="s">
        <v>2389</v>
      </c>
      <c r="B624" s="3" t="n">
        <f aca="false">IF(AJ624="","",IF(ISNUMBER(SEARCH("/",AJ624)),DATE(VALUE(RIGHT(AJ624,4)),VALUE(LEFT(AJ624,2)),VALUE(MID(AJ624,4,2))),IF(ISNUMBER(SEARCH("-",AJ624)),IF(LEN(LEFT(AJ624,FIND("-",AJ624)-1))=4,DATE(VALUE(LEFT(AJ624,4)),VALUE(MID(AJ624,6,2)),VALUE(RIGHT(AJ624,2))),DATE(VALUE(RIGHT(AJ624,4)),VALUE(MID(AJ624,4,2)),VALUE(LEFT(AJ624,2)))),DATE(VALUE(RIGHT(AJ624,4)),MATCH(MID(AJ624,4,3),{"Jan","Feb","Mar","Apr","May","Jun","Jul","Aug","Sep","Oct","Nov","Dec"},0),VALUE(LEFT(AJ624,2))))))</f>
        <v>45686</v>
      </c>
      <c r="C624" s="3" t="n">
        <f aca="false">IF(AK624="","",IF(ISNUMBER(SEARCH("/",AK624)),DATE(VALUE(RIGHT(AK624,4)),VALUE(LEFT(AK624,2)),VALUE(MID(AK624,4,2))),IF(ISNUMBER(SEARCH("-",AK624)),IF(LEN(LEFT(AK624,FIND("-",AK624)-1))=4,DATE(VALUE(LEFT(AK624,4)),VALUE(MID(AK624,6,2)),VALUE(RIGHT(AK624,2))),DATE(VALUE(RIGHT(AK624,4)),VALUE(MID(AK624,4,2)),VALUE(LEFT(AK624,2)))),DATE(VALUE(RIGHT(AK624,4)),MATCH(MID(AK624,4,3),{"Jan","Feb","Mar","Apr","May","Jun","Jul","Aug","Sep","Oct","Nov","Dec"},0),VALUE(LEFT(AK624,2))))))</f>
        <v>45694</v>
      </c>
      <c r="D624" s="4" t="s">
        <v>2390</v>
      </c>
      <c r="E624" s="0" t="str">
        <f aca="false">PROPER(TRIM(AL624))</f>
        <v>Vikram Iyer</v>
      </c>
      <c r="F624" s="0" t="str">
        <f aca="false">PROPER(TRIM(AM624))</f>
        <v>Consumer</v>
      </c>
      <c r="G624" s="0" t="str">
        <f aca="false">IF(TRIM(AN624)="","Unknown",PROPER(TRIM(AN624)))</f>
        <v>East</v>
      </c>
      <c r="H624" s="0" t="str">
        <f aca="false">PROPER(TRIM(AO624))</f>
        <v>Bihar</v>
      </c>
      <c r="I624" s="0" t="str">
        <f aca="false">PROPER(TRIM(AP624))</f>
        <v>Patna</v>
      </c>
      <c r="J624" s="0" t="str">
        <f aca="false">PROPER(TRIM(AQ624))</f>
        <v>Office Supplies</v>
      </c>
      <c r="K624" s="0" t="str">
        <f aca="false">PROPER(TRIM(AR624))</f>
        <v>Storage</v>
      </c>
      <c r="M624" s="0" t="str">
        <f aca="false">IF(TRIM(AS624)="","Unknown",PROPER(TRIM(AS624)))</f>
        <v>Standard Class</v>
      </c>
      <c r="N624" s="0" t="n">
        <v>4</v>
      </c>
      <c r="O624" s="0" t="n">
        <v>2759.01</v>
      </c>
      <c r="P624" s="5" t="n">
        <f aca="false">IF(AT624="","",IF(ISNUMBER(AT624),AT624,VALUE(SUBSTITUTE(AT624,"%",""))/100))</f>
        <v>0.05</v>
      </c>
      <c r="Q624" s="5" t="n">
        <f aca="false">IF(P624="",IF(AND(N624&lt;&gt;"",O624&lt;&gt;"",R624&lt;&gt;"",S624&lt;&gt;""),0,"REVIEW"),IF(OR(P624&lt;0,P624&gt;0.3),0,P624))</f>
        <v>0.05</v>
      </c>
      <c r="R624" s="0" t="n">
        <v>10484.24</v>
      </c>
      <c r="S624" s="0" t="n">
        <v>6680.15</v>
      </c>
      <c r="T624" s="6" t="n">
        <f aca="false">N624*O624*(1-Q624)</f>
        <v>10484.238</v>
      </c>
      <c r="U624" s="6" t="n">
        <f aca="false">T624-S624</f>
        <v>3804.088</v>
      </c>
      <c r="V624" s="7" t="n">
        <f aca="false">IF(T624=0,0,U624/T624)</f>
        <v>0.362838768063068</v>
      </c>
      <c r="W624" s="4" t="n">
        <f aca="false">C624-B624</f>
        <v>8</v>
      </c>
      <c r="X624" s="0" t="str">
        <f aca="false">TEXT(B624,"mmmm")</f>
        <v>January</v>
      </c>
      <c r="Y624" s="4" t="n">
        <f aca="false">YEAR(B624)</f>
        <v>2025</v>
      </c>
      <c r="Z624" s="0" t="str">
        <f aca="false">PROPER(TRIM(AU624))</f>
        <v>Paid</v>
      </c>
      <c r="AA624" s="0" t="str">
        <f aca="false">PROPER(TRIM(AV624))</f>
        <v>Completed</v>
      </c>
      <c r="AB624" s="0" t="str">
        <f aca="false">IF(TRIM(AN624)="","Yes","No")</f>
        <v>No</v>
      </c>
      <c r="AC624" s="0" t="str">
        <f aca="false">IF(TRIM(AS624)="","Yes","No")</f>
        <v>No</v>
      </c>
      <c r="AD624" s="0" t="str">
        <f aca="false">IF(AT624="","Yes","No")</f>
        <v>No</v>
      </c>
      <c r="AE624" s="0" t="str">
        <f aca="false">IF(W624&lt;0,"Yes","No")</f>
        <v>No</v>
      </c>
      <c r="AF624" s="0" t="str">
        <f aca="false">IF(P624="","No",IF(OR(P624&lt;0,P624&gt;0.3),"Yes","No"))</f>
        <v>No</v>
      </c>
      <c r="AG624" s="4" t="s">
        <v>50</v>
      </c>
      <c r="AH624" s="0" t="str">
        <f aca="false">IF(AND(AA624="Completed",Z624="Paid"),"Yes","No")</f>
        <v>Yes</v>
      </c>
      <c r="AI624" s="0" t="str">
        <f aca="false">IF(OR(AE624="Yes",AF624="Yes",AG624="Yes"),"Invalid",IF(OR(AB624="Yes",AC624="Yes",AD624="Yes"),"Warning","Clean"))</f>
        <v>Clean</v>
      </c>
      <c r="AJ624" s="4" t="s">
        <v>2391</v>
      </c>
      <c r="AK624" s="4" t="s">
        <v>2392</v>
      </c>
      <c r="AL624" s="4" t="s">
        <v>106</v>
      </c>
      <c r="AM624" s="4" t="s">
        <v>54</v>
      </c>
      <c r="AN624" s="4" t="s">
        <v>69</v>
      </c>
      <c r="AO624" s="4" t="s">
        <v>196</v>
      </c>
      <c r="AP624" s="4" t="s">
        <v>197</v>
      </c>
      <c r="AQ624" s="4" t="s">
        <v>58</v>
      </c>
      <c r="AR624" s="4" t="s">
        <v>171</v>
      </c>
      <c r="AS624" s="4" t="s">
        <v>91</v>
      </c>
      <c r="AT624" s="0" t="n">
        <v>0.05</v>
      </c>
      <c r="AU624" s="4" t="s">
        <v>61</v>
      </c>
      <c r="AV624" s="4" t="s">
        <v>62</v>
      </c>
    </row>
    <row r="625" customFormat="false" ht="15" hidden="false" customHeight="false" outlineLevel="0" collapsed="false">
      <c r="A625" s="0" t="s">
        <v>2393</v>
      </c>
      <c r="B625" s="3" t="n">
        <f aca="false">IF(AJ625="","",IF(ISNUMBER(SEARCH("/",AJ625)),DATE(VALUE(RIGHT(AJ625,4)),VALUE(LEFT(AJ625,2)),VALUE(MID(AJ625,4,2))),IF(ISNUMBER(SEARCH("-",AJ625)),IF(LEN(LEFT(AJ625,FIND("-",AJ625)-1))=4,DATE(VALUE(LEFT(AJ625,4)),VALUE(MID(AJ625,6,2)),VALUE(RIGHT(AJ625,2))),DATE(VALUE(RIGHT(AJ625,4)),VALUE(MID(AJ625,4,2)),VALUE(LEFT(AJ625,2)))),DATE(VALUE(RIGHT(AJ625,4)),MATCH(MID(AJ625,4,3),{"Jan","Feb","Mar","Apr","May","Jun","Jul","Aug","Sep","Oct","Nov","Dec"},0),VALUE(LEFT(AJ625,2))))))</f>
        <v>45512</v>
      </c>
      <c r="C625" s="3" t="n">
        <f aca="false">IF(AK625="","",IF(ISNUMBER(SEARCH("/",AK625)),DATE(VALUE(RIGHT(AK625,4)),VALUE(LEFT(AK625,2)),VALUE(MID(AK625,4,2))),IF(ISNUMBER(SEARCH("-",AK625)),IF(LEN(LEFT(AK625,FIND("-",AK625)-1))=4,DATE(VALUE(LEFT(AK625,4)),VALUE(MID(AK625,6,2)),VALUE(RIGHT(AK625,2))),DATE(VALUE(RIGHT(AK625,4)),VALUE(MID(AK625,4,2)),VALUE(LEFT(AK625,2)))),DATE(VALUE(RIGHT(AK625,4)),MATCH(MID(AK625,4,3),{"Jan","Feb","Mar","Apr","May","Jun","Jul","Aug","Sep","Oct","Nov","Dec"},0),VALUE(LEFT(AK625,2))))))</f>
        <v>45518</v>
      </c>
      <c r="D625" s="4" t="s">
        <v>2394</v>
      </c>
      <c r="E625" s="0" t="str">
        <f aca="false">PROPER(TRIM(AL625))</f>
        <v>Vikram Iyer</v>
      </c>
      <c r="F625" s="0" t="str">
        <f aca="false">PROPER(TRIM(AM625))</f>
        <v>Home Office</v>
      </c>
      <c r="G625" s="0" t="str">
        <f aca="false">IF(TRIM(AN625)="","Unknown",PROPER(TRIM(AN625)))</f>
        <v>North</v>
      </c>
      <c r="H625" s="0" t="str">
        <f aca="false">PROPER(TRIM(AO625))</f>
        <v>Punjab</v>
      </c>
      <c r="I625" s="0" t="str">
        <f aca="false">PROPER(TRIM(AP625))</f>
        <v>Ludhiana</v>
      </c>
      <c r="J625" s="0" t="str">
        <f aca="false">PROPER(TRIM(AQ625))</f>
        <v>Office Supplies</v>
      </c>
      <c r="K625" s="0" t="str">
        <f aca="false">PROPER(TRIM(AR625))</f>
        <v>Storage</v>
      </c>
      <c r="M625" s="0" t="str">
        <f aca="false">IF(TRIM(AS625)="","Unknown",PROPER(TRIM(AS625)))</f>
        <v>Second Class</v>
      </c>
      <c r="N625" s="0" t="n">
        <v>8</v>
      </c>
      <c r="O625" s="0" t="n">
        <v>1359.19</v>
      </c>
      <c r="P625" s="5" t="n">
        <f aca="false">IF(AT625="","",IF(ISNUMBER(AT625),AT625,VALUE(SUBSTITUTE(AT625,"%",""))/100))</f>
        <v>0.05</v>
      </c>
      <c r="Q625" s="5" t="n">
        <f aca="false">IF(P625="",IF(AND(N625&lt;&gt;"",O625&lt;&gt;"",R625&lt;&gt;"",S625&lt;&gt;""),0,"REVIEW"),IF(OR(P625&lt;0,P625&gt;0.3),0,P625))</f>
        <v>0.05</v>
      </c>
      <c r="R625" s="0" t="n">
        <v>10329.84</v>
      </c>
      <c r="S625" s="0" t="n">
        <v>7512.22</v>
      </c>
      <c r="T625" s="6" t="n">
        <f aca="false">N625*O625*(1-Q625)</f>
        <v>10329.844</v>
      </c>
      <c r="U625" s="6" t="n">
        <f aca="false">T625-S625</f>
        <v>2817.624</v>
      </c>
      <c r="V625" s="7" t="n">
        <f aca="false">IF(T625=0,0,U625/T625)</f>
        <v>0.272765397037942</v>
      </c>
      <c r="W625" s="4" t="n">
        <f aca="false">C625-B625</f>
        <v>6</v>
      </c>
      <c r="X625" s="0" t="str">
        <f aca="false">TEXT(B625,"mmmm")</f>
        <v>August</v>
      </c>
      <c r="Y625" s="4" t="n">
        <f aca="false">YEAR(B625)</f>
        <v>2024</v>
      </c>
      <c r="Z625" s="0" t="str">
        <f aca="false">PROPER(TRIM(AU625))</f>
        <v>Paid</v>
      </c>
      <c r="AA625" s="0" t="str">
        <f aca="false">PROPER(TRIM(AV625))</f>
        <v>Completed</v>
      </c>
      <c r="AB625" s="0" t="str">
        <f aca="false">IF(TRIM(AN625)="","Yes","No")</f>
        <v>No</v>
      </c>
      <c r="AC625" s="0" t="str">
        <f aca="false">IF(TRIM(AS625)="","Yes","No")</f>
        <v>No</v>
      </c>
      <c r="AD625" s="0" t="str">
        <f aca="false">IF(AT625="","Yes","No")</f>
        <v>No</v>
      </c>
      <c r="AE625" s="0" t="str">
        <f aca="false">IF(W625&lt;0,"Yes","No")</f>
        <v>No</v>
      </c>
      <c r="AF625" s="0" t="str">
        <f aca="false">IF(P625="","No",IF(OR(P625&lt;0,P625&gt;0.3),"Yes","No"))</f>
        <v>No</v>
      </c>
      <c r="AG625" s="4" t="s">
        <v>50</v>
      </c>
      <c r="AH625" s="0" t="str">
        <f aca="false">IF(AND(AA625="Completed",Z625="Paid"),"Yes","No")</f>
        <v>Yes</v>
      </c>
      <c r="AI625" s="0" t="str">
        <f aca="false">IF(OR(AE625="Yes",AF625="Yes",AG625="Yes"),"Invalid",IF(OR(AB625="Yes",AC625="Yes",AD625="Yes"),"Warning","Clean"))</f>
        <v>Clean</v>
      </c>
      <c r="AJ625" s="4" t="s">
        <v>2395</v>
      </c>
      <c r="AK625" s="4" t="s">
        <v>2396</v>
      </c>
      <c r="AL625" s="4" t="s">
        <v>106</v>
      </c>
      <c r="AM625" s="4" t="s">
        <v>134</v>
      </c>
      <c r="AN625" s="4" t="s">
        <v>168</v>
      </c>
      <c r="AO625" s="4" t="s">
        <v>169</v>
      </c>
      <c r="AP625" s="4" t="s">
        <v>170</v>
      </c>
      <c r="AQ625" s="4" t="s">
        <v>58</v>
      </c>
      <c r="AR625" s="4" t="s">
        <v>171</v>
      </c>
      <c r="AS625" s="4" t="s">
        <v>60</v>
      </c>
      <c r="AT625" s="0" t="n">
        <v>0.05</v>
      </c>
      <c r="AU625" s="4" t="s">
        <v>61</v>
      </c>
      <c r="AV625" s="4" t="s">
        <v>62</v>
      </c>
    </row>
    <row r="626" customFormat="false" ht="15" hidden="false" customHeight="false" outlineLevel="0" collapsed="false">
      <c r="A626" s="0" t="s">
        <v>2397</v>
      </c>
      <c r="B626" s="3" t="n">
        <f aca="false">IF(AJ626="","",IF(ISNUMBER(SEARCH("/",AJ626)),DATE(VALUE(RIGHT(AJ626,4)),VALUE(LEFT(AJ626,2)),VALUE(MID(AJ626,4,2))),IF(ISNUMBER(SEARCH("-",AJ626)),IF(LEN(LEFT(AJ626,FIND("-",AJ626)-1))=4,DATE(VALUE(LEFT(AJ626,4)),VALUE(MID(AJ626,6,2)),VALUE(RIGHT(AJ626,2))),DATE(VALUE(RIGHT(AJ626,4)),VALUE(MID(AJ626,4,2)),VALUE(LEFT(AJ626,2)))),DATE(VALUE(RIGHT(AJ626,4)),MATCH(MID(AJ626,4,3),{"Jan","Feb","Mar","Apr","May","Jun","Jul","Aug","Sep","Oct","Nov","Dec"},0),VALUE(LEFT(AJ626,2))))))</f>
        <v>45321</v>
      </c>
      <c r="C626" s="3" t="n">
        <f aca="false">IF(AK626="","",IF(ISNUMBER(SEARCH("/",AK626)),DATE(VALUE(RIGHT(AK626,4)),VALUE(LEFT(AK626,2)),VALUE(MID(AK626,4,2))),IF(ISNUMBER(SEARCH("-",AK626)),IF(LEN(LEFT(AK626,FIND("-",AK626)-1))=4,DATE(VALUE(LEFT(AK626,4)),VALUE(MID(AK626,6,2)),VALUE(RIGHT(AK626,2))),DATE(VALUE(RIGHT(AK626,4)),VALUE(MID(AK626,4,2)),VALUE(LEFT(AK626,2)))),DATE(VALUE(RIGHT(AK626,4)),MATCH(MID(AK626,4,3),{"Jan","Feb","Mar","Apr","May","Jun","Jul","Aug","Sep","Oct","Nov","Dec"},0),VALUE(LEFT(AK626,2))))))</f>
        <v>45323</v>
      </c>
      <c r="D626" s="4" t="s">
        <v>2398</v>
      </c>
      <c r="E626" s="0" t="str">
        <f aca="false">PROPER(TRIM(AL626))</f>
        <v>Neha Gupta</v>
      </c>
      <c r="F626" s="0" t="str">
        <f aca="false">PROPER(TRIM(AM626))</f>
        <v>Home Office</v>
      </c>
      <c r="G626" s="0" t="str">
        <f aca="false">IF(TRIM(AN626)="","Unknown",PROPER(TRIM(AN626)))</f>
        <v>East</v>
      </c>
      <c r="H626" s="0" t="str">
        <f aca="false">PROPER(TRIM(AO626))</f>
        <v>Assam</v>
      </c>
      <c r="I626" s="0" t="str">
        <f aca="false">PROPER(TRIM(AP626))</f>
        <v>Guwahati</v>
      </c>
      <c r="J626" s="0" t="str">
        <f aca="false">PROPER(TRIM(AQ626))</f>
        <v>Furniture</v>
      </c>
      <c r="K626" s="0" t="str">
        <f aca="false">PROPER(TRIM(AR626))</f>
        <v>Chairs</v>
      </c>
      <c r="M626" s="0" t="str">
        <f aca="false">IF(TRIM(AS626)="","Unknown",PROPER(TRIM(AS626)))</f>
        <v>First Class</v>
      </c>
      <c r="N626" s="0" t="n">
        <v>2</v>
      </c>
      <c r="O626" s="0" t="n">
        <v>4451.03</v>
      </c>
      <c r="P626" s="5" t="n">
        <f aca="false">IF(AT626="","",IF(ISNUMBER(AT626),AT626,VALUE(SUBSTITUTE(AT626,"%",""))/100))</f>
        <v>0.05</v>
      </c>
      <c r="Q626" s="5" t="n">
        <f aca="false">IF(P626="",IF(AND(N626&lt;&gt;"",O626&lt;&gt;"",R626&lt;&gt;"",S626&lt;&gt;""),0,"REVIEW"),IF(OR(P626&lt;0,P626&gt;0.3),0,P626))</f>
        <v>0.05</v>
      </c>
      <c r="R626" s="0" t="n">
        <v>8456.96</v>
      </c>
      <c r="S626" s="0" t="n">
        <v>5462.85</v>
      </c>
      <c r="T626" s="6" t="n">
        <f aca="false">N626*O626*(1-Q626)</f>
        <v>8456.957</v>
      </c>
      <c r="U626" s="6" t="n">
        <f aca="false">T626-S626</f>
        <v>2994.107</v>
      </c>
      <c r="V626" s="7" t="n">
        <f aca="false">IF(T626=0,0,U626/T626)</f>
        <v>0.354040702820175</v>
      </c>
      <c r="W626" s="4" t="n">
        <f aca="false">C626-B626</f>
        <v>2</v>
      </c>
      <c r="X626" s="0" t="str">
        <f aca="false">TEXT(B626,"mmmm")</f>
        <v>January</v>
      </c>
      <c r="Y626" s="4" t="n">
        <f aca="false">YEAR(B626)</f>
        <v>2024</v>
      </c>
      <c r="Z626" s="0" t="str">
        <f aca="false">PROPER(TRIM(AU626))</f>
        <v>Paid</v>
      </c>
      <c r="AA626" s="0" t="str">
        <f aca="false">PROPER(TRIM(AV626))</f>
        <v>Completed</v>
      </c>
      <c r="AB626" s="0" t="str">
        <f aca="false">IF(TRIM(AN626)="","Yes","No")</f>
        <v>No</v>
      </c>
      <c r="AC626" s="0" t="str">
        <f aca="false">IF(TRIM(AS626)="","Yes","No")</f>
        <v>No</v>
      </c>
      <c r="AD626" s="0" t="str">
        <f aca="false">IF(AT626="","Yes","No")</f>
        <v>No</v>
      </c>
      <c r="AE626" s="0" t="str">
        <f aca="false">IF(W626&lt;0,"Yes","No")</f>
        <v>No</v>
      </c>
      <c r="AF626" s="0" t="str">
        <f aca="false">IF(P626="","No",IF(OR(P626&lt;0,P626&gt;0.3),"Yes","No"))</f>
        <v>No</v>
      </c>
      <c r="AG626" s="4" t="s">
        <v>50</v>
      </c>
      <c r="AH626" s="0" t="str">
        <f aca="false">IF(AND(AA626="Completed",Z626="Paid"),"Yes","No")</f>
        <v>Yes</v>
      </c>
      <c r="AI626" s="0" t="str">
        <f aca="false">IF(OR(AE626="Yes",AF626="Yes",AG626="Yes"),"Invalid",IF(OR(AB626="Yes",AC626="Yes",AD626="Yes"),"Warning","Clean"))</f>
        <v>Clean</v>
      </c>
      <c r="AJ626" s="4" t="s">
        <v>2399</v>
      </c>
      <c r="AK626" s="4" t="s">
        <v>2400</v>
      </c>
      <c r="AL626" s="4" t="s">
        <v>115</v>
      </c>
      <c r="AM626" s="4" t="s">
        <v>134</v>
      </c>
      <c r="AN626" s="4" t="s">
        <v>69</v>
      </c>
      <c r="AO626" s="4" t="s">
        <v>221</v>
      </c>
      <c r="AP626" s="4" t="s">
        <v>222</v>
      </c>
      <c r="AQ626" s="4" t="s">
        <v>72</v>
      </c>
      <c r="AR626" s="4" t="s">
        <v>100</v>
      </c>
      <c r="AS626" s="4" t="s">
        <v>81</v>
      </c>
      <c r="AT626" s="0" t="n">
        <v>0.05</v>
      </c>
      <c r="AU626" s="4" t="s">
        <v>61</v>
      </c>
      <c r="AV626" s="4" t="s">
        <v>62</v>
      </c>
    </row>
    <row r="627" customFormat="false" ht="15" hidden="false" customHeight="false" outlineLevel="0" collapsed="false">
      <c r="A627" s="0" t="s">
        <v>2401</v>
      </c>
      <c r="B627" s="3" t="n">
        <f aca="false">IF(AJ627="","",IF(ISNUMBER(SEARCH("/",AJ627)),DATE(VALUE(RIGHT(AJ627,4)),VALUE(LEFT(AJ627,2)),VALUE(MID(AJ627,4,2))),IF(ISNUMBER(SEARCH("-",AJ627)),IF(LEN(LEFT(AJ627,FIND("-",AJ627)-1))=4,DATE(VALUE(LEFT(AJ627,4)),VALUE(MID(AJ627,6,2)),VALUE(RIGHT(AJ627,2))),DATE(VALUE(RIGHT(AJ627,4)),VALUE(MID(AJ627,4,2)),VALUE(LEFT(AJ627,2)))),DATE(VALUE(RIGHT(AJ627,4)),MATCH(MID(AJ627,4,3),{"Jan","Feb","Mar","Apr","May","Jun","Jul","Aug","Sep","Oct","Nov","Dec"},0),VALUE(LEFT(AJ627,2))))))</f>
        <v>45641</v>
      </c>
      <c r="C627" s="3" t="n">
        <f aca="false">IF(AK627="","",IF(ISNUMBER(SEARCH("/",AK627)),DATE(VALUE(RIGHT(AK627,4)),VALUE(LEFT(AK627,2)),VALUE(MID(AK627,4,2))),IF(ISNUMBER(SEARCH("-",AK627)),IF(LEN(LEFT(AK627,FIND("-",AK627)-1))=4,DATE(VALUE(LEFT(AK627,4)),VALUE(MID(AK627,6,2)),VALUE(RIGHT(AK627,2))),DATE(VALUE(RIGHT(AK627,4)),VALUE(MID(AK627,4,2)),VALUE(LEFT(AK627,2)))),DATE(VALUE(RIGHT(AK627,4)),MATCH(MID(AK627,4,3),{"Jan","Feb","Mar","Apr","May","Jun","Jul","Aug","Sep","Oct","Nov","Dec"},0),VALUE(LEFT(AK627,2))))))</f>
        <v>45647</v>
      </c>
      <c r="D627" s="4" t="s">
        <v>2402</v>
      </c>
      <c r="E627" s="0" t="str">
        <f aca="false">PROPER(TRIM(AL627))</f>
        <v>Diya Patel</v>
      </c>
      <c r="F627" s="0" t="str">
        <f aca="false">PROPER(TRIM(AM627))</f>
        <v>Corporate</v>
      </c>
      <c r="G627" s="0" t="str">
        <f aca="false">IF(TRIM(AN627)="","Unknown",PROPER(TRIM(AN627)))</f>
        <v>West</v>
      </c>
      <c r="H627" s="0" t="str">
        <f aca="false">PROPER(TRIM(AO627))</f>
        <v>Rajasthan</v>
      </c>
      <c r="I627" s="0" t="str">
        <f aca="false">PROPER(TRIM(AP627))</f>
        <v>Udaipur</v>
      </c>
      <c r="J627" s="0" t="str">
        <f aca="false">PROPER(TRIM(AQ627))</f>
        <v>Furniture</v>
      </c>
      <c r="K627" s="0" t="str">
        <f aca="false">PROPER(TRIM(AR627))</f>
        <v>Chairs</v>
      </c>
      <c r="M627" s="0" t="str">
        <f aca="false">IF(TRIM(AS627)="","Unknown",PROPER(TRIM(AS627)))</f>
        <v>Same Day</v>
      </c>
      <c r="N627" s="0" t="n">
        <v>3</v>
      </c>
      <c r="O627" s="0" t="n">
        <v>527.67</v>
      </c>
      <c r="P627" s="5" t="n">
        <f aca="false">IF(AT627="","",IF(ISNUMBER(AT627),AT627,VALUE(SUBSTITUTE(AT627,"%",""))/100))</f>
        <v>0.2</v>
      </c>
      <c r="Q627" s="5" t="n">
        <f aca="false">IF(P627="",IF(AND(N627&lt;&gt;"",O627&lt;&gt;"",R627&lt;&gt;"",S627&lt;&gt;""),0,"REVIEW"),IF(OR(P627&lt;0,P627&gt;0.3),0,P627))</f>
        <v>0.2</v>
      </c>
      <c r="R627" s="0" t="n">
        <v>1266.41</v>
      </c>
      <c r="S627" s="0" t="n">
        <v>983.92</v>
      </c>
      <c r="T627" s="6" t="n">
        <f aca="false">N627*O627*(1-Q627)</f>
        <v>1266.408</v>
      </c>
      <c r="U627" s="6" t="n">
        <f aca="false">T627-S627</f>
        <v>282.488</v>
      </c>
      <c r="V627" s="7" t="n">
        <f aca="false">IF(T627=0,0,U627/T627)</f>
        <v>0.223062393794101</v>
      </c>
      <c r="W627" s="4" t="n">
        <f aca="false">C627-B627</f>
        <v>6</v>
      </c>
      <c r="X627" s="0" t="str">
        <f aca="false">TEXT(B627,"mmmm")</f>
        <v>December</v>
      </c>
      <c r="Y627" s="4" t="n">
        <f aca="false">YEAR(B627)</f>
        <v>2024</v>
      </c>
      <c r="Z627" s="0" t="str">
        <f aca="false">PROPER(TRIM(AU627))</f>
        <v>Paid</v>
      </c>
      <c r="AA627" s="0" t="str">
        <f aca="false">PROPER(TRIM(AV627))</f>
        <v>Completed</v>
      </c>
      <c r="AB627" s="0" t="str">
        <f aca="false">IF(TRIM(AN627)="","Yes","No")</f>
        <v>No</v>
      </c>
      <c r="AC627" s="0" t="str">
        <f aca="false">IF(TRIM(AS627)="","Yes","No")</f>
        <v>No</v>
      </c>
      <c r="AD627" s="0" t="str">
        <f aca="false">IF(AT627="","Yes","No")</f>
        <v>No</v>
      </c>
      <c r="AE627" s="0" t="str">
        <f aca="false">IF(W627&lt;0,"Yes","No")</f>
        <v>No</v>
      </c>
      <c r="AF627" s="0" t="str">
        <f aca="false">IF(P627="","No",IF(OR(P627&lt;0,P627&gt;0.3),"Yes","No"))</f>
        <v>No</v>
      </c>
      <c r="AG627" s="4" t="s">
        <v>50</v>
      </c>
      <c r="AH627" s="0" t="str">
        <f aca="false">IF(AND(AA627="Completed",Z627="Paid"),"Yes","No")</f>
        <v>Yes</v>
      </c>
      <c r="AI627" s="0" t="str">
        <f aca="false">IF(OR(AE627="Yes",AF627="Yes",AG627="Yes"),"Invalid",IF(OR(AB627="Yes",AC627="Yes",AD627="Yes"),"Warning","Clean"))</f>
        <v>Clean</v>
      </c>
      <c r="AJ627" s="4" t="s">
        <v>2403</v>
      </c>
      <c r="AK627" s="4" t="s">
        <v>1180</v>
      </c>
      <c r="AL627" s="4" t="s">
        <v>216</v>
      </c>
      <c r="AM627" s="4" t="s">
        <v>128</v>
      </c>
      <c r="AN627" s="4" t="s">
        <v>97</v>
      </c>
      <c r="AO627" s="4" t="s">
        <v>56</v>
      </c>
      <c r="AP627" s="4" t="s">
        <v>152</v>
      </c>
      <c r="AQ627" s="4" t="s">
        <v>72</v>
      </c>
      <c r="AR627" s="4" t="s">
        <v>100</v>
      </c>
      <c r="AS627" s="4" t="s">
        <v>74</v>
      </c>
      <c r="AT627" s="0" t="n">
        <v>0.2</v>
      </c>
      <c r="AU627" s="4" t="s">
        <v>61</v>
      </c>
      <c r="AV627" s="4" t="s">
        <v>62</v>
      </c>
    </row>
    <row r="628" customFormat="false" ht="15" hidden="false" customHeight="false" outlineLevel="0" collapsed="false">
      <c r="A628" s="0" t="s">
        <v>2404</v>
      </c>
      <c r="B628" s="3" t="n">
        <f aca="false">IF(AJ628="","",IF(ISNUMBER(SEARCH("/",AJ628)),DATE(VALUE(RIGHT(AJ628,4)),VALUE(LEFT(AJ628,2)),VALUE(MID(AJ628,4,2))),IF(ISNUMBER(SEARCH("-",AJ628)),IF(LEN(LEFT(AJ628,FIND("-",AJ628)-1))=4,DATE(VALUE(LEFT(AJ628,4)),VALUE(MID(AJ628,6,2)),VALUE(RIGHT(AJ628,2))),DATE(VALUE(RIGHT(AJ628,4)),VALUE(MID(AJ628,4,2)),VALUE(LEFT(AJ628,2)))),DATE(VALUE(RIGHT(AJ628,4)),MATCH(MID(AJ628,4,3),{"Jan","Feb","Mar","Apr","May","Jun","Jul","Aug","Sep","Oct","Nov","Dec"},0),VALUE(LEFT(AJ628,2))))))</f>
        <v>45812</v>
      </c>
      <c r="C628" s="3" t="n">
        <f aca="false">IF(AK628="","",IF(ISNUMBER(SEARCH("/",AK628)),DATE(VALUE(RIGHT(AK628,4)),VALUE(LEFT(AK628,2)),VALUE(MID(AK628,4,2))),IF(ISNUMBER(SEARCH("-",AK628)),IF(LEN(LEFT(AK628,FIND("-",AK628)-1))=4,DATE(VALUE(LEFT(AK628,4)),VALUE(MID(AK628,6,2)),VALUE(RIGHT(AK628,2))),DATE(VALUE(RIGHT(AK628,4)),VALUE(MID(AK628,4,2)),VALUE(LEFT(AK628,2)))),DATE(VALUE(RIGHT(AK628,4)),MATCH(MID(AK628,4,3),{"Jan","Feb","Mar","Apr","May","Jun","Jul","Aug","Sep","Oct","Nov","Dec"},0),VALUE(LEFT(AK628,2))))))</f>
        <v>45815</v>
      </c>
      <c r="D628" s="4" t="s">
        <v>2405</v>
      </c>
      <c r="E628" s="0" t="str">
        <f aca="false">PROPER(TRIM(AL628))</f>
        <v>Sneha Kapoor</v>
      </c>
      <c r="F628" s="0" t="str">
        <f aca="false">PROPER(TRIM(AM628))</f>
        <v>Home Office</v>
      </c>
      <c r="G628" s="0" t="str">
        <f aca="false">IF(TRIM(AN628)="","Unknown",PROPER(TRIM(AN628)))</f>
        <v>East</v>
      </c>
      <c r="H628" s="0" t="str">
        <f aca="false">PROPER(TRIM(AO628))</f>
        <v>Assam</v>
      </c>
      <c r="I628" s="0" t="str">
        <f aca="false">PROPER(TRIM(AP628))</f>
        <v>Guwahati</v>
      </c>
      <c r="J628" s="0" t="str">
        <f aca="false">PROPER(TRIM(AQ628))</f>
        <v>Technology</v>
      </c>
      <c r="K628" s="0" t="str">
        <f aca="false">PROPER(TRIM(AR628))</f>
        <v>Machines</v>
      </c>
      <c r="M628" s="0" t="str">
        <f aca="false">IF(TRIM(AS628)="","Unknown",PROPER(TRIM(AS628)))</f>
        <v>Standard Class</v>
      </c>
      <c r="N628" s="0" t="n">
        <v>8</v>
      </c>
      <c r="O628" s="0" t="n">
        <v>1434.13</v>
      </c>
      <c r="P628" s="5" t="n">
        <f aca="false">IF(AT628="","",IF(ISNUMBER(AT628),AT628,VALUE(SUBSTITUTE(AT628,"%",""))/100))</f>
        <v>0</v>
      </c>
      <c r="Q628" s="5" t="n">
        <f aca="false">IF(P628="",IF(AND(N628&lt;&gt;"",O628&lt;&gt;"",R628&lt;&gt;"",S628&lt;&gt;""),0,"REVIEW"),IF(OR(P628&lt;0,P628&gt;0.3),0,P628))</f>
        <v>0</v>
      </c>
      <c r="R628" s="0" t="n">
        <v>11473.04</v>
      </c>
      <c r="S628" s="0" t="n">
        <v>8931.33</v>
      </c>
      <c r="T628" s="6" t="n">
        <f aca="false">N628*O628*(1-Q628)</f>
        <v>11473.04</v>
      </c>
      <c r="U628" s="6" t="n">
        <f aca="false">T628-S628</f>
        <v>2541.71</v>
      </c>
      <c r="V628" s="7" t="n">
        <f aca="false">IF(T628=0,0,U628/T628)</f>
        <v>0.221537622112361</v>
      </c>
      <c r="W628" s="4" t="n">
        <f aca="false">C628-B628</f>
        <v>3</v>
      </c>
      <c r="X628" s="0" t="str">
        <f aca="false">TEXT(B628,"mmmm")</f>
        <v>June</v>
      </c>
      <c r="Y628" s="4" t="n">
        <f aca="false">YEAR(B628)</f>
        <v>2025</v>
      </c>
      <c r="Z628" s="0" t="str">
        <f aca="false">PROPER(TRIM(AU628))</f>
        <v>Pending</v>
      </c>
      <c r="AA628" s="0" t="str">
        <f aca="false">PROPER(TRIM(AV628))</f>
        <v>Returned</v>
      </c>
      <c r="AB628" s="0" t="str">
        <f aca="false">IF(TRIM(AN628)="","Yes","No")</f>
        <v>No</v>
      </c>
      <c r="AC628" s="0" t="str">
        <f aca="false">IF(TRIM(AS628)="","Yes","No")</f>
        <v>No</v>
      </c>
      <c r="AD628" s="0" t="str">
        <f aca="false">IF(AT628="","Yes","No")</f>
        <v>No</v>
      </c>
      <c r="AE628" s="0" t="str">
        <f aca="false">IF(W628&lt;0,"Yes","No")</f>
        <v>No</v>
      </c>
      <c r="AF628" s="0" t="str">
        <f aca="false">IF(P628="","No",IF(OR(P628&lt;0,P628&gt;0.3),"Yes","No"))</f>
        <v>No</v>
      </c>
      <c r="AG628" s="4" t="s">
        <v>50</v>
      </c>
      <c r="AH628" s="0" t="str">
        <f aca="false">IF(AND(AA628="Completed",Z628="Paid"),"Yes","No")</f>
        <v>No</v>
      </c>
      <c r="AI628" s="0" t="str">
        <f aca="false">IF(OR(AE628="Yes",AF628="Yes",AG628="Yes"),"Invalid",IF(OR(AB628="Yes",AC628="Yes",AD628="Yes"),"Warning","Clean"))</f>
        <v>Clean</v>
      </c>
      <c r="AJ628" s="4" t="s">
        <v>1169</v>
      </c>
      <c r="AK628" s="4" t="s">
        <v>2406</v>
      </c>
      <c r="AL628" s="4" t="s">
        <v>181</v>
      </c>
      <c r="AM628" s="4" t="s">
        <v>134</v>
      </c>
      <c r="AN628" s="4" t="s">
        <v>69</v>
      </c>
      <c r="AO628" s="4" t="s">
        <v>221</v>
      </c>
      <c r="AP628" s="4" t="s">
        <v>222</v>
      </c>
      <c r="AQ628" s="4" t="s">
        <v>2407</v>
      </c>
      <c r="AR628" s="4" t="s">
        <v>360</v>
      </c>
      <c r="AS628" s="4" t="s">
        <v>91</v>
      </c>
      <c r="AT628" s="0" t="n">
        <v>0</v>
      </c>
      <c r="AU628" s="4" t="s">
        <v>153</v>
      </c>
      <c r="AV628" s="4" t="s">
        <v>142</v>
      </c>
    </row>
    <row r="629" customFormat="false" ht="15" hidden="false" customHeight="false" outlineLevel="0" collapsed="false">
      <c r="A629" s="0" t="s">
        <v>2408</v>
      </c>
      <c r="B629" s="3" t="n">
        <f aca="false">IF(AJ629="","",IF(ISNUMBER(SEARCH("/",AJ629)),DATE(VALUE(RIGHT(AJ629,4)),VALUE(LEFT(AJ629,2)),VALUE(MID(AJ629,4,2))),IF(ISNUMBER(SEARCH("-",AJ629)),IF(LEN(LEFT(AJ629,FIND("-",AJ629)-1))=4,DATE(VALUE(LEFT(AJ629,4)),VALUE(MID(AJ629,6,2)),VALUE(RIGHT(AJ629,2))),DATE(VALUE(RIGHT(AJ629,4)),VALUE(MID(AJ629,4,2)),VALUE(LEFT(AJ629,2)))),DATE(VALUE(RIGHT(AJ629,4)),MATCH(MID(AJ629,4,3),{"Jan","Feb","Mar","Apr","May","Jun","Jul","Aug","Sep","Oct","Nov","Dec"},0),VALUE(LEFT(AJ629,2))))))</f>
        <v>45701</v>
      </c>
      <c r="C629" s="3" t="n">
        <f aca="false">IF(AK629="","",IF(ISNUMBER(SEARCH("/",AK629)),DATE(VALUE(RIGHT(AK629,4)),VALUE(LEFT(AK629,2)),VALUE(MID(AK629,4,2))),IF(ISNUMBER(SEARCH("-",AK629)),IF(LEN(LEFT(AK629,FIND("-",AK629)-1))=4,DATE(VALUE(LEFT(AK629,4)),VALUE(MID(AK629,6,2)),VALUE(RIGHT(AK629,2))),DATE(VALUE(RIGHT(AK629,4)),VALUE(MID(AK629,4,2)),VALUE(LEFT(AK629,2)))),DATE(VALUE(RIGHT(AK629,4)),MATCH(MID(AK629,4,3),{"Jan","Feb","Mar","Apr","May","Jun","Jul","Aug","Sep","Oct","Nov","Dec"},0),VALUE(LEFT(AK629,2))))))</f>
        <v>45709</v>
      </c>
      <c r="D629" s="4" t="s">
        <v>2409</v>
      </c>
      <c r="E629" s="0" t="str">
        <f aca="false">PROPER(TRIM(AL629))</f>
        <v>Karan Malhotra</v>
      </c>
      <c r="F629" s="0" t="str">
        <f aca="false">PROPER(TRIM(AM629))</f>
        <v>Small Business</v>
      </c>
      <c r="G629" s="0" t="str">
        <f aca="false">IF(TRIM(AN629)="","Unknown",PROPER(TRIM(AN629)))</f>
        <v>South</v>
      </c>
      <c r="H629" s="0" t="str">
        <f aca="false">PROPER(TRIM(AO629))</f>
        <v>Kerala</v>
      </c>
      <c r="I629" s="0" t="str">
        <f aca="false">PROPER(TRIM(AP629))</f>
        <v>Kochi</v>
      </c>
      <c r="J629" s="0" t="str">
        <f aca="false">PROPER(TRIM(AQ629))</f>
        <v>Technology</v>
      </c>
      <c r="K629" s="0" t="str">
        <f aca="false">PROPER(TRIM(AR629))</f>
        <v>Phones</v>
      </c>
      <c r="M629" s="0" t="str">
        <f aca="false">IF(TRIM(AS629)="","Unknown",PROPER(TRIM(AS629)))</f>
        <v>Second Class</v>
      </c>
      <c r="N629" s="0" t="n">
        <v>2</v>
      </c>
      <c r="O629" s="0" t="n">
        <v>2360.02</v>
      </c>
      <c r="P629" s="5" t="n">
        <f aca="false">IF(AT629="","",IF(ISNUMBER(AT629),AT629,VALUE(SUBSTITUTE(AT629,"%",""))/100))</f>
        <v>0.15</v>
      </c>
      <c r="Q629" s="5" t="n">
        <f aca="false">IF(P629="",IF(AND(N629&lt;&gt;"",O629&lt;&gt;"",R629&lt;&gt;"",S629&lt;&gt;""),0,"REVIEW"),IF(OR(P629&lt;0,P629&gt;0.3),0,P629))</f>
        <v>0.15</v>
      </c>
      <c r="R629" s="0" t="n">
        <v>4012.03</v>
      </c>
      <c r="S629" s="0" t="n">
        <v>3142.92</v>
      </c>
      <c r="T629" s="6" t="n">
        <f aca="false">N629*O629*(1-Q629)</f>
        <v>4012.034</v>
      </c>
      <c r="U629" s="6" t="n">
        <f aca="false">T629-S629</f>
        <v>869.114</v>
      </c>
      <c r="V629" s="7" t="n">
        <f aca="false">IF(T629=0,0,U629/T629)</f>
        <v>0.216626778337372</v>
      </c>
      <c r="W629" s="4" t="n">
        <f aca="false">C629-B629</f>
        <v>8</v>
      </c>
      <c r="X629" s="0" t="str">
        <f aca="false">TEXT(B629,"mmmm")</f>
        <v>February</v>
      </c>
      <c r="Y629" s="4" t="n">
        <f aca="false">YEAR(B629)</f>
        <v>2025</v>
      </c>
      <c r="Z629" s="0" t="str">
        <f aca="false">PROPER(TRIM(AU629))</f>
        <v>Pending</v>
      </c>
      <c r="AA629" s="0" t="str">
        <f aca="false">PROPER(TRIM(AV629))</f>
        <v>Cancelled</v>
      </c>
      <c r="AB629" s="0" t="str">
        <f aca="false">IF(TRIM(AN629)="","Yes","No")</f>
        <v>No</v>
      </c>
      <c r="AC629" s="0" t="str">
        <f aca="false">IF(TRIM(AS629)="","Yes","No")</f>
        <v>No</v>
      </c>
      <c r="AD629" s="0" t="str">
        <f aca="false">IF(AT629="","Yes","No")</f>
        <v>No</v>
      </c>
      <c r="AE629" s="0" t="str">
        <f aca="false">IF(W629&lt;0,"Yes","No")</f>
        <v>No</v>
      </c>
      <c r="AF629" s="0" t="str">
        <f aca="false">IF(P629="","No",IF(OR(P629&lt;0,P629&gt;0.3),"Yes","No"))</f>
        <v>No</v>
      </c>
      <c r="AG629" s="4" t="s">
        <v>50</v>
      </c>
      <c r="AH629" s="0" t="str">
        <f aca="false">IF(AND(AA629="Completed",Z629="Paid"),"Yes","No")</f>
        <v>No</v>
      </c>
      <c r="AI629" s="0" t="str">
        <f aca="false">IF(OR(AE629="Yes",AF629="Yes",AG629="Yes"),"Invalid",IF(OR(AB629="Yes",AC629="Yes",AD629="Yes"),"Warning","Clean"))</f>
        <v>Clean</v>
      </c>
      <c r="AJ629" s="4" t="s">
        <v>1188</v>
      </c>
      <c r="AK629" s="4" t="s">
        <v>1471</v>
      </c>
      <c r="AL629" s="4" t="s">
        <v>53</v>
      </c>
      <c r="AM629" s="4" t="s">
        <v>68</v>
      </c>
      <c r="AN629" s="4" t="s">
        <v>87</v>
      </c>
      <c r="AO629" s="4" t="s">
        <v>244</v>
      </c>
      <c r="AP629" s="4" t="s">
        <v>245</v>
      </c>
      <c r="AQ629" s="4" t="s">
        <v>109</v>
      </c>
      <c r="AR629" s="4" t="s">
        <v>227</v>
      </c>
      <c r="AS629" s="4" t="s">
        <v>60</v>
      </c>
      <c r="AT629" s="0" t="n">
        <v>0.15</v>
      </c>
      <c r="AU629" s="4" t="s">
        <v>153</v>
      </c>
      <c r="AV629" s="4" t="s">
        <v>101</v>
      </c>
    </row>
    <row r="630" customFormat="false" ht="15" hidden="false" customHeight="false" outlineLevel="0" collapsed="false">
      <c r="A630" s="0" t="s">
        <v>2410</v>
      </c>
      <c r="B630" s="3" t="n">
        <f aca="false">IF(AJ630="","",IF(ISNUMBER(SEARCH("/",AJ630)),DATE(VALUE(RIGHT(AJ630,4)),VALUE(LEFT(AJ630,2)),VALUE(MID(AJ630,4,2))),IF(ISNUMBER(SEARCH("-",AJ630)),IF(LEN(LEFT(AJ630,FIND("-",AJ630)-1))=4,DATE(VALUE(LEFT(AJ630,4)),VALUE(MID(AJ630,6,2)),VALUE(RIGHT(AJ630,2))),DATE(VALUE(RIGHT(AJ630,4)),VALUE(MID(AJ630,4,2)),VALUE(LEFT(AJ630,2)))),DATE(VALUE(RIGHT(AJ630,4)),MATCH(MID(AJ630,4,3),{"Jan","Feb","Mar","Apr","May","Jun","Jul","Aug","Sep","Oct","Nov","Dec"},0),VALUE(LEFT(AJ630,2))))))</f>
        <v>45935</v>
      </c>
      <c r="C630" s="3" t="n">
        <f aca="false">IF(AK630="","",IF(ISNUMBER(SEARCH("/",AK630)),DATE(VALUE(RIGHT(AK630,4)),VALUE(LEFT(AK630,2)),VALUE(MID(AK630,4,2))),IF(ISNUMBER(SEARCH("-",AK630)),IF(LEN(LEFT(AK630,FIND("-",AK630)-1))=4,DATE(VALUE(LEFT(AK630,4)),VALUE(MID(AK630,6,2)),VALUE(RIGHT(AK630,2))),DATE(VALUE(RIGHT(AK630,4)),VALUE(MID(AK630,4,2)),VALUE(LEFT(AK630,2)))),DATE(VALUE(RIGHT(AK630,4)),MATCH(MID(AK630,4,3),{"Jan","Feb","Mar","Apr","May","Jun","Jul","Aug","Sep","Oct","Nov","Dec"},0),VALUE(LEFT(AK630,2))))))</f>
        <v>45942</v>
      </c>
      <c r="D630" s="4" t="s">
        <v>2411</v>
      </c>
      <c r="E630" s="0" t="str">
        <f aca="false">PROPER(TRIM(AL630))</f>
        <v>Ananya Rao</v>
      </c>
      <c r="F630" s="0" t="str">
        <f aca="false">PROPER(TRIM(AM630))</f>
        <v>Home Office</v>
      </c>
      <c r="G630" s="0" t="str">
        <f aca="false">IF(TRIM(AN630)="","Unknown",PROPER(TRIM(AN630)))</f>
        <v>East</v>
      </c>
      <c r="H630" s="0" t="str">
        <f aca="false">PROPER(TRIM(AO630))</f>
        <v>Jharkhand</v>
      </c>
      <c r="I630" s="0" t="str">
        <f aca="false">PROPER(TRIM(AP630))</f>
        <v>Ranchi</v>
      </c>
      <c r="J630" s="0" t="str">
        <f aca="false">PROPER(TRIM(AQ630))</f>
        <v>Technology</v>
      </c>
      <c r="K630" s="0" t="str">
        <f aca="false">PROPER(TRIM(AR630))</f>
        <v>Accessories</v>
      </c>
      <c r="M630" s="0" t="str">
        <f aca="false">IF(TRIM(AS630)="","Unknown",PROPER(TRIM(AS630)))</f>
        <v>Same Day</v>
      </c>
      <c r="N630" s="0" t="n">
        <v>7</v>
      </c>
      <c r="O630" s="0" t="n">
        <v>806.67</v>
      </c>
      <c r="P630" s="5" t="n">
        <f aca="false">IF(AT630="","",IF(ISNUMBER(AT630),AT630,VALUE(SUBSTITUTE(AT630,"%",""))/100))</f>
        <v>0.05</v>
      </c>
      <c r="Q630" s="5" t="n">
        <f aca="false">IF(P630="",IF(AND(N630&lt;&gt;"",O630&lt;&gt;"",R630&lt;&gt;"",S630&lt;&gt;""),0,"REVIEW"),IF(OR(P630&lt;0,P630&gt;0.3),0,P630))</f>
        <v>0.05</v>
      </c>
      <c r="R630" s="0" t="n">
        <v>5364.36</v>
      </c>
      <c r="S630" s="0" t="n">
        <v>4391.29</v>
      </c>
      <c r="T630" s="6" t="n">
        <f aca="false">N630*O630*(1-Q630)</f>
        <v>5364.3555</v>
      </c>
      <c r="U630" s="6" t="n">
        <f aca="false">T630-S630</f>
        <v>973.0655</v>
      </c>
      <c r="V630" s="7" t="n">
        <f aca="false">IF(T630=0,0,U630/T630)</f>
        <v>0.181394670804349</v>
      </c>
      <c r="W630" s="4" t="n">
        <f aca="false">C630-B630</f>
        <v>7</v>
      </c>
      <c r="X630" s="0" t="str">
        <f aca="false">TEXT(B630,"mmmm")</f>
        <v>October</v>
      </c>
      <c r="Y630" s="4" t="n">
        <f aca="false">YEAR(B630)</f>
        <v>2025</v>
      </c>
      <c r="Z630" s="0" t="str">
        <f aca="false">PROPER(TRIM(AU630))</f>
        <v>Paid</v>
      </c>
      <c r="AA630" s="0" t="str">
        <f aca="false">PROPER(TRIM(AV630))</f>
        <v>Completed</v>
      </c>
      <c r="AB630" s="0" t="str">
        <f aca="false">IF(TRIM(AN630)="","Yes","No")</f>
        <v>No</v>
      </c>
      <c r="AC630" s="0" t="str">
        <f aca="false">IF(TRIM(AS630)="","Yes","No")</f>
        <v>No</v>
      </c>
      <c r="AD630" s="0" t="str">
        <f aca="false">IF(AT630="","Yes","No")</f>
        <v>No</v>
      </c>
      <c r="AE630" s="0" t="str">
        <f aca="false">IF(W630&lt;0,"Yes","No")</f>
        <v>No</v>
      </c>
      <c r="AF630" s="0" t="str">
        <f aca="false">IF(P630="","No",IF(OR(P630&lt;0,P630&gt;0.3),"Yes","No"))</f>
        <v>No</v>
      </c>
      <c r="AG630" s="4" t="s">
        <v>50</v>
      </c>
      <c r="AH630" s="0" t="str">
        <f aca="false">IF(AND(AA630="Completed",Z630="Paid"),"Yes","No")</f>
        <v>Yes</v>
      </c>
      <c r="AI630" s="0" t="str">
        <f aca="false">IF(OR(AE630="Yes",AF630="Yes",AG630="Yes"),"Invalid",IF(OR(AB630="Yes",AC630="Yes",AD630="Yes"),"Warning","Clean"))</f>
        <v>Clean</v>
      </c>
      <c r="AJ630" s="4" t="s">
        <v>2081</v>
      </c>
      <c r="AK630" s="4" t="s">
        <v>2412</v>
      </c>
      <c r="AL630" s="4" t="s">
        <v>96</v>
      </c>
      <c r="AM630" s="4" t="s">
        <v>134</v>
      </c>
      <c r="AN630" s="4" t="s">
        <v>69</v>
      </c>
      <c r="AO630" s="4" t="s">
        <v>300</v>
      </c>
      <c r="AP630" s="4" t="s">
        <v>301</v>
      </c>
      <c r="AQ630" s="4" t="s">
        <v>109</v>
      </c>
      <c r="AR630" s="4" t="s">
        <v>110</v>
      </c>
      <c r="AS630" s="4" t="s">
        <v>74</v>
      </c>
      <c r="AT630" s="0" t="n">
        <v>0.05</v>
      </c>
      <c r="AU630" s="4" t="s">
        <v>61</v>
      </c>
      <c r="AV630" s="4" t="s">
        <v>62</v>
      </c>
    </row>
    <row r="631" customFormat="false" ht="15" hidden="false" customHeight="false" outlineLevel="0" collapsed="false">
      <c r="A631" s="0" t="s">
        <v>2413</v>
      </c>
      <c r="B631" s="3" t="n">
        <f aca="false">IF(AJ631="","",IF(ISNUMBER(SEARCH("/",AJ631)),DATE(VALUE(RIGHT(AJ631,4)),VALUE(LEFT(AJ631,2)),VALUE(MID(AJ631,4,2))),IF(ISNUMBER(SEARCH("-",AJ631)),IF(LEN(LEFT(AJ631,FIND("-",AJ631)-1))=4,DATE(VALUE(LEFT(AJ631,4)),VALUE(MID(AJ631,6,2)),VALUE(RIGHT(AJ631,2))),DATE(VALUE(RIGHT(AJ631,4)),VALUE(MID(AJ631,4,2)),VALUE(LEFT(AJ631,2)))),DATE(VALUE(RIGHT(AJ631,4)),MATCH(MID(AJ631,4,3),{"Jan","Feb","Mar","Apr","May","Jun","Jul","Aug","Sep","Oct","Nov","Dec"},0),VALUE(LEFT(AJ631,2))))))</f>
        <v>45910</v>
      </c>
      <c r="C631" s="3" t="n">
        <f aca="false">IF(AK631="","",IF(ISNUMBER(SEARCH("/",AK631)),DATE(VALUE(RIGHT(AK631,4)),VALUE(LEFT(AK631,2)),VALUE(MID(AK631,4,2))),IF(ISNUMBER(SEARCH("-",AK631)),IF(LEN(LEFT(AK631,FIND("-",AK631)-1))=4,DATE(VALUE(LEFT(AK631,4)),VALUE(MID(AK631,6,2)),VALUE(RIGHT(AK631,2))),DATE(VALUE(RIGHT(AK631,4)),VALUE(MID(AK631,4,2)),VALUE(LEFT(AK631,2)))),DATE(VALUE(RIGHT(AK631,4)),MATCH(MID(AK631,4,3),{"Jan","Feb","Mar","Apr","May","Jun","Jul","Aug","Sep","Oct","Nov","Dec"},0),VALUE(LEFT(AK631,2))))))</f>
        <v>45914</v>
      </c>
      <c r="D631" s="4" t="s">
        <v>2414</v>
      </c>
      <c r="E631" s="0" t="str">
        <f aca="false">PROPER(TRIM(AL631))</f>
        <v>Arjun Bose</v>
      </c>
      <c r="F631" s="0" t="str">
        <f aca="false">PROPER(TRIM(AM631))</f>
        <v>Home Office</v>
      </c>
      <c r="G631" s="0" t="str">
        <f aca="false">IF(TRIM(AN631)="","Unknown",PROPER(TRIM(AN631)))</f>
        <v>West</v>
      </c>
      <c r="H631" s="0" t="str">
        <f aca="false">PROPER(TRIM(AO631))</f>
        <v>Gujarat</v>
      </c>
      <c r="I631" s="0" t="str">
        <f aca="false">PROPER(TRIM(AP631))</f>
        <v>Ahmedabad</v>
      </c>
      <c r="J631" s="0" t="str">
        <f aca="false">PROPER(TRIM(AQ631))</f>
        <v>Furniture</v>
      </c>
      <c r="K631" s="0" t="str">
        <f aca="false">PROPER(TRIM(AR631))</f>
        <v>Tables</v>
      </c>
      <c r="M631" s="0" t="str">
        <f aca="false">IF(TRIM(AS631)="","Unknown",PROPER(TRIM(AS631)))</f>
        <v>Same Day</v>
      </c>
      <c r="N631" s="0" t="n">
        <v>3</v>
      </c>
      <c r="O631" s="0" t="n">
        <v>4198.46</v>
      </c>
      <c r="P631" s="5" t="n">
        <f aca="false">IF(AT631="","",IF(ISNUMBER(AT631),AT631,VALUE(SUBSTITUTE(AT631,"%",""))/100))</f>
        <v>0.15</v>
      </c>
      <c r="Q631" s="5" t="n">
        <f aca="false">IF(P631="",IF(AND(N631&lt;&gt;"",O631&lt;&gt;"",R631&lt;&gt;"",S631&lt;&gt;""),0,"REVIEW"),IF(OR(P631&lt;0,P631&gt;0.3),0,P631))</f>
        <v>0.15</v>
      </c>
      <c r="R631" s="0" t="n">
        <v>10706.07</v>
      </c>
      <c r="S631" s="0" t="n">
        <v>5927.1</v>
      </c>
      <c r="T631" s="6" t="n">
        <f aca="false">N631*O631*(1-Q631)</f>
        <v>10706.073</v>
      </c>
      <c r="U631" s="6" t="n">
        <f aca="false">T631-S631</f>
        <v>4778.973</v>
      </c>
      <c r="V631" s="7" t="n">
        <f aca="false">IF(T631=0,0,U631/T631)</f>
        <v>0.446379638920826</v>
      </c>
      <c r="W631" s="4" t="n">
        <f aca="false">C631-B631</f>
        <v>4</v>
      </c>
      <c r="X631" s="0" t="str">
        <f aca="false">TEXT(B631,"mmmm")</f>
        <v>September</v>
      </c>
      <c r="Y631" s="4" t="n">
        <f aca="false">YEAR(B631)</f>
        <v>2025</v>
      </c>
      <c r="Z631" s="0" t="str">
        <f aca="false">PROPER(TRIM(AU631))</f>
        <v>Paid</v>
      </c>
      <c r="AA631" s="0" t="str">
        <f aca="false">PROPER(TRIM(AV631))</f>
        <v>Completed</v>
      </c>
      <c r="AB631" s="0" t="str">
        <f aca="false">IF(TRIM(AN631)="","Yes","No")</f>
        <v>No</v>
      </c>
      <c r="AC631" s="0" t="str">
        <f aca="false">IF(TRIM(AS631)="","Yes","No")</f>
        <v>No</v>
      </c>
      <c r="AD631" s="0" t="str">
        <f aca="false">IF(AT631="","Yes","No")</f>
        <v>No</v>
      </c>
      <c r="AE631" s="0" t="str">
        <f aca="false">IF(W631&lt;0,"Yes","No")</f>
        <v>No</v>
      </c>
      <c r="AF631" s="0" t="str">
        <f aca="false">IF(P631="","No",IF(OR(P631&lt;0,P631&gt;0.3),"Yes","No"))</f>
        <v>No</v>
      </c>
      <c r="AG631" s="4" t="s">
        <v>50</v>
      </c>
      <c r="AH631" s="0" t="str">
        <f aca="false">IF(AND(AA631="Completed",Z631="Paid"),"Yes","No")</f>
        <v>Yes</v>
      </c>
      <c r="AI631" s="0" t="str">
        <f aca="false">IF(OR(AE631="Yes",AF631="Yes",AG631="Yes"),"Invalid",IF(OR(AB631="Yes",AC631="Yes",AD631="Yes"),"Warning","Clean"))</f>
        <v>Clean</v>
      </c>
      <c r="AJ631" s="4" t="s">
        <v>516</v>
      </c>
      <c r="AK631" s="4" t="s">
        <v>2415</v>
      </c>
      <c r="AL631" s="4" t="s">
        <v>86</v>
      </c>
      <c r="AM631" s="4" t="s">
        <v>134</v>
      </c>
      <c r="AN631" s="4" t="s">
        <v>97</v>
      </c>
      <c r="AO631" s="4" t="s">
        <v>238</v>
      </c>
      <c r="AP631" s="4" t="s">
        <v>239</v>
      </c>
      <c r="AQ631" s="4" t="s">
        <v>72</v>
      </c>
      <c r="AR631" s="4" t="s">
        <v>73</v>
      </c>
      <c r="AS631" s="4" t="s">
        <v>74</v>
      </c>
      <c r="AT631" s="0" t="n">
        <v>0.15</v>
      </c>
      <c r="AU631" s="4" t="s">
        <v>61</v>
      </c>
      <c r="AV631" s="4" t="s">
        <v>62</v>
      </c>
    </row>
    <row r="632" customFormat="false" ht="15" hidden="false" customHeight="false" outlineLevel="0" collapsed="false">
      <c r="A632" s="0" t="s">
        <v>2416</v>
      </c>
      <c r="B632" s="3" t="n">
        <f aca="false">IF(AJ632="","",IF(ISNUMBER(SEARCH("/",AJ632)),DATE(VALUE(RIGHT(AJ632,4)),VALUE(LEFT(AJ632,2)),VALUE(MID(AJ632,4,2))),IF(ISNUMBER(SEARCH("-",AJ632)),IF(LEN(LEFT(AJ632,FIND("-",AJ632)-1))=4,DATE(VALUE(LEFT(AJ632,4)),VALUE(MID(AJ632,6,2)),VALUE(RIGHT(AJ632,2))),DATE(VALUE(RIGHT(AJ632,4)),VALUE(MID(AJ632,4,2)),VALUE(LEFT(AJ632,2)))),DATE(VALUE(RIGHT(AJ632,4)),MATCH(MID(AJ632,4,3),{"Jan","Feb","Mar","Apr","May","Jun","Jul","Aug","Sep","Oct","Nov","Dec"},0),VALUE(LEFT(AJ632,2))))))</f>
        <v>45391</v>
      </c>
      <c r="C632" s="3" t="n">
        <f aca="false">IF(AK632="","",IF(ISNUMBER(SEARCH("/",AK632)),DATE(VALUE(RIGHT(AK632,4)),VALUE(LEFT(AK632,2)),VALUE(MID(AK632,4,2))),IF(ISNUMBER(SEARCH("-",AK632)),IF(LEN(LEFT(AK632,FIND("-",AK632)-1))=4,DATE(VALUE(LEFT(AK632,4)),VALUE(MID(AK632,6,2)),VALUE(RIGHT(AK632,2))),DATE(VALUE(RIGHT(AK632,4)),VALUE(MID(AK632,4,2)),VALUE(LEFT(AK632,2)))),DATE(VALUE(RIGHT(AK632,4)),MATCH(MID(AK632,4,3),{"Jan","Feb","Mar","Apr","May","Jun","Jul","Aug","Sep","Oct","Nov","Dec"},0),VALUE(LEFT(AK632,2))))))</f>
        <v>45392</v>
      </c>
      <c r="D632" s="4" t="s">
        <v>2417</v>
      </c>
      <c r="E632" s="0" t="str">
        <f aca="false">PROPER(TRIM(AL632))</f>
        <v>Priya Menon</v>
      </c>
      <c r="F632" s="0" t="str">
        <f aca="false">PROPER(TRIM(AM632))</f>
        <v>Corporate</v>
      </c>
      <c r="G632" s="0" t="str">
        <f aca="false">IF(TRIM(AN632)="","Unknown",PROPER(TRIM(AN632)))</f>
        <v>East</v>
      </c>
      <c r="H632" s="0" t="str">
        <f aca="false">PROPER(TRIM(AO632))</f>
        <v>Assam</v>
      </c>
      <c r="I632" s="0" t="str">
        <f aca="false">PROPER(TRIM(AP632))</f>
        <v>Guwahati</v>
      </c>
      <c r="J632" s="0" t="str">
        <f aca="false">PROPER(TRIM(AQ632))</f>
        <v>Office Supplies</v>
      </c>
      <c r="K632" s="0" t="str">
        <f aca="false">PROPER(TRIM(AR632))</f>
        <v>Paper</v>
      </c>
      <c r="M632" s="0" t="str">
        <f aca="false">IF(TRIM(AS632)="","Unknown",PROPER(TRIM(AS632)))</f>
        <v>Standard Class</v>
      </c>
      <c r="N632" s="0" t="n">
        <v>4</v>
      </c>
      <c r="O632" s="0" t="n">
        <v>3047.05</v>
      </c>
      <c r="P632" s="5" t="n">
        <f aca="false">IF(AT632="","",IF(ISNUMBER(AT632),AT632,VALUE(SUBSTITUTE(AT632,"%",""))/100))</f>
        <v>0.1</v>
      </c>
      <c r="Q632" s="5" t="n">
        <f aca="false">IF(P632="",IF(AND(N632&lt;&gt;"",O632&lt;&gt;"",R632&lt;&gt;"",S632&lt;&gt;""),0,"REVIEW"),IF(OR(P632&lt;0,P632&gt;0.3),0,P632))</f>
        <v>0.1</v>
      </c>
      <c r="R632" s="0" t="n">
        <v>10969.38</v>
      </c>
      <c r="S632" s="0" t="n">
        <v>9254.46</v>
      </c>
      <c r="T632" s="6" t="n">
        <f aca="false">N632*O632*(1-Q632)</f>
        <v>10969.38</v>
      </c>
      <c r="U632" s="6" t="n">
        <f aca="false">T632-S632</f>
        <v>1714.92</v>
      </c>
      <c r="V632" s="7" t="n">
        <f aca="false">IF(T632=0,0,U632/T632)</f>
        <v>0.156337003549882</v>
      </c>
      <c r="W632" s="4" t="n">
        <f aca="false">C632-B632</f>
        <v>1</v>
      </c>
      <c r="X632" s="0" t="str">
        <f aca="false">TEXT(B632,"mmmm")</f>
        <v>April</v>
      </c>
      <c r="Y632" s="4" t="n">
        <f aca="false">YEAR(B632)</f>
        <v>2024</v>
      </c>
      <c r="Z632" s="0" t="str">
        <f aca="false">PROPER(TRIM(AU632))</f>
        <v>Paid</v>
      </c>
      <c r="AA632" s="0" t="str">
        <f aca="false">PROPER(TRIM(AV632))</f>
        <v>Completed</v>
      </c>
      <c r="AB632" s="0" t="str">
        <f aca="false">IF(TRIM(AN632)="","Yes","No")</f>
        <v>No</v>
      </c>
      <c r="AC632" s="0" t="str">
        <f aca="false">IF(TRIM(AS632)="","Yes","No")</f>
        <v>No</v>
      </c>
      <c r="AD632" s="0" t="str">
        <f aca="false">IF(AT632="","Yes","No")</f>
        <v>No</v>
      </c>
      <c r="AE632" s="0" t="str">
        <f aca="false">IF(W632&lt;0,"Yes","No")</f>
        <v>No</v>
      </c>
      <c r="AF632" s="0" t="str">
        <f aca="false">IF(P632="","No",IF(OR(P632&lt;0,P632&gt;0.3),"Yes","No"))</f>
        <v>No</v>
      </c>
      <c r="AG632" s="4" t="s">
        <v>50</v>
      </c>
      <c r="AH632" s="0" t="str">
        <f aca="false">IF(AND(AA632="Completed",Z632="Paid"),"Yes","No")</f>
        <v>Yes</v>
      </c>
      <c r="AI632" s="0" t="str">
        <f aca="false">IF(OR(AE632="Yes",AF632="Yes",AG632="Yes"),"Invalid",IF(OR(AB632="Yes",AC632="Yes",AD632="Yes"),"Warning","Clean"))</f>
        <v>Clean</v>
      </c>
      <c r="AJ632" s="4" t="s">
        <v>1994</v>
      </c>
      <c r="AK632" s="4" t="s">
        <v>1254</v>
      </c>
      <c r="AL632" s="4" t="s">
        <v>158</v>
      </c>
      <c r="AM632" s="4" t="s">
        <v>128</v>
      </c>
      <c r="AN632" s="4" t="s">
        <v>69</v>
      </c>
      <c r="AO632" s="4" t="s">
        <v>221</v>
      </c>
      <c r="AP632" s="4" t="s">
        <v>222</v>
      </c>
      <c r="AQ632" s="4" t="s">
        <v>58</v>
      </c>
      <c r="AR632" s="4" t="s">
        <v>59</v>
      </c>
      <c r="AS632" s="4" t="s">
        <v>91</v>
      </c>
      <c r="AT632" s="0" t="n">
        <v>0.1</v>
      </c>
      <c r="AU632" s="4" t="s">
        <v>61</v>
      </c>
      <c r="AV632" s="4" t="s">
        <v>62</v>
      </c>
    </row>
    <row r="633" customFormat="false" ht="15" hidden="false" customHeight="false" outlineLevel="0" collapsed="false">
      <c r="A633" s="0" t="s">
        <v>2418</v>
      </c>
      <c r="B633" s="3" t="n">
        <f aca="false">IF(AJ633="","",IF(ISNUMBER(SEARCH("/",AJ633)),DATE(VALUE(RIGHT(AJ633,4)),VALUE(LEFT(AJ633,2)),VALUE(MID(AJ633,4,2))),IF(ISNUMBER(SEARCH("-",AJ633)),IF(LEN(LEFT(AJ633,FIND("-",AJ633)-1))=4,DATE(VALUE(LEFT(AJ633,4)),VALUE(MID(AJ633,6,2)),VALUE(RIGHT(AJ633,2))),DATE(VALUE(RIGHT(AJ633,4)),VALUE(MID(AJ633,4,2)),VALUE(LEFT(AJ633,2)))),DATE(VALUE(RIGHT(AJ633,4)),MATCH(MID(AJ633,4,3),{"Jan","Feb","Mar","Apr","May","Jun","Jul","Aug","Sep","Oct","Nov","Dec"},0),VALUE(LEFT(AJ633,2))))))</f>
        <v>45392</v>
      </c>
      <c r="C633" s="3" t="n">
        <f aca="false">IF(AK633="","",IF(ISNUMBER(SEARCH("/",AK633)),DATE(VALUE(RIGHT(AK633,4)),VALUE(LEFT(AK633,2)),VALUE(MID(AK633,4,2))),IF(ISNUMBER(SEARCH("-",AK633)),IF(LEN(LEFT(AK633,FIND("-",AK633)-1))=4,DATE(VALUE(LEFT(AK633,4)),VALUE(MID(AK633,6,2)),VALUE(RIGHT(AK633,2))),DATE(VALUE(RIGHT(AK633,4)),VALUE(MID(AK633,4,2)),VALUE(LEFT(AK633,2)))),DATE(VALUE(RIGHT(AK633,4)),MATCH(MID(AK633,4,3),{"Jan","Feb","Mar","Apr","May","Jun","Jul","Aug","Sep","Oct","Nov","Dec"},0),VALUE(LEFT(AK633,2))))))</f>
        <v>45397</v>
      </c>
      <c r="D633" s="4" t="s">
        <v>2419</v>
      </c>
      <c r="E633" s="0" t="str">
        <f aca="false">PROPER(TRIM(AL633))</f>
        <v>Aarav Sharma</v>
      </c>
      <c r="F633" s="0" t="str">
        <f aca="false">PROPER(TRIM(AM633))</f>
        <v>Home Office</v>
      </c>
      <c r="G633" s="0" t="str">
        <f aca="false">IF(TRIM(AN633)="","Unknown",PROPER(TRIM(AN633)))</f>
        <v>West</v>
      </c>
      <c r="H633" s="0" t="str">
        <f aca="false">PROPER(TRIM(AO633))</f>
        <v>Rajasthan</v>
      </c>
      <c r="I633" s="0" t="str">
        <f aca="false">PROPER(TRIM(AP633))</f>
        <v>Udaipur</v>
      </c>
      <c r="J633" s="0" t="str">
        <f aca="false">PROPER(TRIM(AQ633))</f>
        <v>Furniture</v>
      </c>
      <c r="K633" s="0" t="str">
        <f aca="false">PROPER(TRIM(AR633))</f>
        <v>Chairs</v>
      </c>
      <c r="M633" s="0" t="str">
        <f aca="false">IF(TRIM(AS633)="","Unknown",PROPER(TRIM(AS633)))</f>
        <v>Standard Class</v>
      </c>
      <c r="N633" s="0" t="n">
        <v>8</v>
      </c>
      <c r="O633" s="0" t="n">
        <v>4362.48</v>
      </c>
      <c r="P633" s="5" t="n">
        <f aca="false">IF(AT633="","",IF(ISNUMBER(AT633),AT633,VALUE(SUBSTITUTE(AT633,"%",""))/100))</f>
        <v>0.1</v>
      </c>
      <c r="Q633" s="5" t="n">
        <f aca="false">IF(P633="",IF(AND(N633&lt;&gt;"",O633&lt;&gt;"",R633&lt;&gt;"",S633&lt;&gt;""),0,"REVIEW"),IF(OR(P633&lt;0,P633&gt;0.3),0,P633))</f>
        <v>0.1</v>
      </c>
      <c r="R633" s="0" t="n">
        <v>31409.86</v>
      </c>
      <c r="S633" s="0" t="n">
        <v>22523.54</v>
      </c>
      <c r="T633" s="6" t="n">
        <f aca="false">N633*O633*(1-Q633)</f>
        <v>31409.856</v>
      </c>
      <c r="U633" s="6" t="n">
        <f aca="false">T633-S633</f>
        <v>8886.316</v>
      </c>
      <c r="V633" s="7" t="n">
        <f aca="false">IF(T633=0,0,U633/T633)</f>
        <v>0.28291489142771</v>
      </c>
      <c r="W633" s="4" t="n">
        <f aca="false">C633-B633</f>
        <v>5</v>
      </c>
      <c r="X633" s="0" t="str">
        <f aca="false">TEXT(B633,"mmmm")</f>
        <v>April</v>
      </c>
      <c r="Y633" s="4" t="n">
        <f aca="false">YEAR(B633)</f>
        <v>2024</v>
      </c>
      <c r="Z633" s="0" t="str">
        <f aca="false">PROPER(TRIM(AU633))</f>
        <v>Paid</v>
      </c>
      <c r="AA633" s="0" t="str">
        <f aca="false">PROPER(TRIM(AV633))</f>
        <v>Completed</v>
      </c>
      <c r="AB633" s="0" t="str">
        <f aca="false">IF(TRIM(AN633)="","Yes","No")</f>
        <v>No</v>
      </c>
      <c r="AC633" s="0" t="str">
        <f aca="false">IF(TRIM(AS633)="","Yes","No")</f>
        <v>No</v>
      </c>
      <c r="AD633" s="0" t="str">
        <f aca="false">IF(AT633="","Yes","No")</f>
        <v>No</v>
      </c>
      <c r="AE633" s="0" t="str">
        <f aca="false">IF(W633&lt;0,"Yes","No")</f>
        <v>No</v>
      </c>
      <c r="AF633" s="0" t="str">
        <f aca="false">IF(P633="","No",IF(OR(P633&lt;0,P633&gt;0.3),"Yes","No"))</f>
        <v>No</v>
      </c>
      <c r="AG633" s="4" t="s">
        <v>50</v>
      </c>
      <c r="AH633" s="0" t="str">
        <f aca="false">IF(AND(AA633="Completed",Z633="Paid"),"Yes","No")</f>
        <v>Yes</v>
      </c>
      <c r="AI633" s="0" t="str">
        <f aca="false">IF(OR(AE633="Yes",AF633="Yes",AG633="Yes"),"Invalid",IF(OR(AB633="Yes",AC633="Yes",AD633="Yes"),"Warning","Clean"))</f>
        <v>Clean</v>
      </c>
      <c r="AJ633" s="4" t="s">
        <v>1209</v>
      </c>
      <c r="AK633" s="4" t="s">
        <v>1288</v>
      </c>
      <c r="AL633" s="4" t="s">
        <v>176</v>
      </c>
      <c r="AM633" s="4" t="s">
        <v>134</v>
      </c>
      <c r="AN633" s="4" t="s">
        <v>97</v>
      </c>
      <c r="AO633" s="4" t="s">
        <v>56</v>
      </c>
      <c r="AP633" s="4" t="s">
        <v>152</v>
      </c>
      <c r="AQ633" s="4" t="s">
        <v>72</v>
      </c>
      <c r="AR633" s="4" t="s">
        <v>100</v>
      </c>
      <c r="AS633" s="4" t="s">
        <v>91</v>
      </c>
      <c r="AT633" s="0" t="n">
        <v>0.1</v>
      </c>
      <c r="AU633" s="4" t="s">
        <v>61</v>
      </c>
      <c r="AV633" s="4" t="s">
        <v>62</v>
      </c>
    </row>
    <row r="634" customFormat="false" ht="15" hidden="false" customHeight="false" outlineLevel="0" collapsed="false">
      <c r="A634" s="0" t="s">
        <v>2420</v>
      </c>
      <c r="B634" s="3" t="n">
        <f aca="false">IF(AJ634="","",IF(ISNUMBER(SEARCH("/",AJ634)),DATE(VALUE(RIGHT(AJ634,4)),VALUE(LEFT(AJ634,2)),VALUE(MID(AJ634,4,2))),IF(ISNUMBER(SEARCH("-",AJ634)),IF(LEN(LEFT(AJ634,FIND("-",AJ634)-1))=4,DATE(VALUE(LEFT(AJ634,4)),VALUE(MID(AJ634,6,2)),VALUE(RIGHT(AJ634,2))),DATE(VALUE(RIGHT(AJ634,4)),VALUE(MID(AJ634,4,2)),VALUE(LEFT(AJ634,2)))),DATE(VALUE(RIGHT(AJ634,4)),MATCH(MID(AJ634,4,3),{"Jan","Feb","Mar","Apr","May","Jun","Jul","Aug","Sep","Oct","Nov","Dec"},0),VALUE(LEFT(AJ634,2))))))</f>
        <v>45762</v>
      </c>
      <c r="C634" s="3" t="n">
        <f aca="false">IF(AK634="","",IF(ISNUMBER(SEARCH("/",AK634)),DATE(VALUE(RIGHT(AK634,4)),VALUE(LEFT(AK634,2)),VALUE(MID(AK634,4,2))),IF(ISNUMBER(SEARCH("-",AK634)),IF(LEN(LEFT(AK634,FIND("-",AK634)-1))=4,DATE(VALUE(LEFT(AK634,4)),VALUE(MID(AK634,6,2)),VALUE(RIGHT(AK634,2))),DATE(VALUE(RIGHT(AK634,4)),VALUE(MID(AK634,4,2)),VALUE(LEFT(AK634,2)))),DATE(VALUE(RIGHT(AK634,4)),MATCH(MID(AK634,4,3),{"Jan","Feb","Mar","Apr","May","Jun","Jul","Aug","Sep","Oct","Nov","Dec"},0),VALUE(LEFT(AK634,2))))))</f>
        <v>45763</v>
      </c>
      <c r="D634" s="4" t="s">
        <v>2421</v>
      </c>
      <c r="E634" s="0" t="str">
        <f aca="false">PROPER(TRIM(AL634))</f>
        <v>Sneha Kapoor</v>
      </c>
      <c r="F634" s="0" t="str">
        <f aca="false">PROPER(TRIM(AM634))</f>
        <v>Small Business</v>
      </c>
      <c r="G634" s="0" t="str">
        <f aca="false">IF(TRIM(AN634)="","Unknown",PROPER(TRIM(AN634)))</f>
        <v>South</v>
      </c>
      <c r="H634" s="0" t="str">
        <f aca="false">PROPER(TRIM(AO634))</f>
        <v>Karnataka</v>
      </c>
      <c r="I634" s="0" t="str">
        <f aca="false">PROPER(TRIM(AP634))</f>
        <v>Bengaluru</v>
      </c>
      <c r="J634" s="0" t="str">
        <f aca="false">PROPER(TRIM(AQ634))</f>
        <v>Furniture</v>
      </c>
      <c r="K634" s="0" t="str">
        <f aca="false">PROPER(TRIM(AR634))</f>
        <v>Furnishings</v>
      </c>
      <c r="M634" s="0" t="str">
        <f aca="false">IF(TRIM(AS634)="","Unknown",PROPER(TRIM(AS634)))</f>
        <v>First Class</v>
      </c>
      <c r="N634" s="0" t="n">
        <v>5</v>
      </c>
      <c r="O634" s="0" t="n">
        <v>2850.53</v>
      </c>
      <c r="P634" s="5" t="n">
        <f aca="false">IF(AT634="","",IF(ISNUMBER(AT634),AT634,VALUE(SUBSTITUTE(AT634,"%",""))/100))</f>
        <v>0</v>
      </c>
      <c r="Q634" s="5" t="n">
        <f aca="false">IF(P634="",IF(AND(N634&lt;&gt;"",O634&lt;&gt;"",R634&lt;&gt;"",S634&lt;&gt;""),0,"REVIEW"),IF(OR(P634&lt;0,P634&gt;0.3),0,P634))</f>
        <v>0</v>
      </c>
      <c r="R634" s="0" t="n">
        <v>14252.65</v>
      </c>
      <c r="S634" s="0" t="n">
        <v>11558.31</v>
      </c>
      <c r="T634" s="6" t="n">
        <f aca="false">N634*O634*(1-Q634)</f>
        <v>14252.65</v>
      </c>
      <c r="U634" s="6" t="n">
        <f aca="false">T634-S634</f>
        <v>2694.34</v>
      </c>
      <c r="V634" s="7" t="n">
        <f aca="false">IF(T634=0,0,U634/T634)</f>
        <v>0.189041336172572</v>
      </c>
      <c r="W634" s="4" t="n">
        <f aca="false">C634-B634</f>
        <v>1</v>
      </c>
      <c r="X634" s="0" t="str">
        <f aca="false">TEXT(B634,"mmmm")</f>
        <v>April</v>
      </c>
      <c r="Y634" s="4" t="n">
        <f aca="false">YEAR(B634)</f>
        <v>2025</v>
      </c>
      <c r="Z634" s="0" t="str">
        <f aca="false">PROPER(TRIM(AU634))</f>
        <v>Paid</v>
      </c>
      <c r="AA634" s="0" t="str">
        <f aca="false">PROPER(TRIM(AV634))</f>
        <v>Completed</v>
      </c>
      <c r="AB634" s="0" t="str">
        <f aca="false">IF(TRIM(AN634)="","Yes","No")</f>
        <v>No</v>
      </c>
      <c r="AC634" s="0" t="str">
        <f aca="false">IF(TRIM(AS634)="","Yes","No")</f>
        <v>No</v>
      </c>
      <c r="AD634" s="0" t="str">
        <f aca="false">IF(AT634="","Yes","No")</f>
        <v>No</v>
      </c>
      <c r="AE634" s="0" t="str">
        <f aca="false">IF(W634&lt;0,"Yes","No")</f>
        <v>No</v>
      </c>
      <c r="AF634" s="0" t="str">
        <f aca="false">IF(P634="","No",IF(OR(P634&lt;0,P634&gt;0.3),"Yes","No"))</f>
        <v>No</v>
      </c>
      <c r="AG634" s="4" t="s">
        <v>50</v>
      </c>
      <c r="AH634" s="0" t="str">
        <f aca="false">IF(AND(AA634="Completed",Z634="Paid"),"Yes","No")</f>
        <v>Yes</v>
      </c>
      <c r="AI634" s="0" t="str">
        <f aca="false">IF(OR(AE634="Yes",AF634="Yes",AG634="Yes"),"Invalid",IF(OR(AB634="Yes",AC634="Yes",AD634="Yes"),"Warning","Clean"))</f>
        <v>Clean</v>
      </c>
      <c r="AJ634" s="4" t="s">
        <v>2422</v>
      </c>
      <c r="AK634" s="4" t="s">
        <v>2423</v>
      </c>
      <c r="AL634" s="4" t="s">
        <v>181</v>
      </c>
      <c r="AM634" s="4" t="s">
        <v>68</v>
      </c>
      <c r="AN634" s="4" t="s">
        <v>87</v>
      </c>
      <c r="AO634" s="4" t="s">
        <v>233</v>
      </c>
      <c r="AP634" s="4" t="s">
        <v>234</v>
      </c>
      <c r="AQ634" s="4" t="s">
        <v>72</v>
      </c>
      <c r="AR634" s="4" t="s">
        <v>90</v>
      </c>
      <c r="AS634" s="4" t="s">
        <v>81</v>
      </c>
      <c r="AT634" s="0" t="n">
        <v>0</v>
      </c>
      <c r="AU634" s="4" t="s">
        <v>61</v>
      </c>
      <c r="AV634" s="4" t="s">
        <v>62</v>
      </c>
    </row>
    <row r="635" customFormat="false" ht="15" hidden="false" customHeight="false" outlineLevel="0" collapsed="false">
      <c r="A635" s="0" t="s">
        <v>2424</v>
      </c>
      <c r="B635" s="3" t="n">
        <f aca="false">IF(AJ635="","",IF(ISNUMBER(SEARCH("/",AJ635)),DATE(VALUE(RIGHT(AJ635,4)),VALUE(LEFT(AJ635,2)),VALUE(MID(AJ635,4,2))),IF(ISNUMBER(SEARCH("-",AJ635)),IF(LEN(LEFT(AJ635,FIND("-",AJ635)-1))=4,DATE(VALUE(LEFT(AJ635,4)),VALUE(MID(AJ635,6,2)),VALUE(RIGHT(AJ635,2))),DATE(VALUE(RIGHT(AJ635,4)),VALUE(MID(AJ635,4,2)),VALUE(LEFT(AJ635,2)))),DATE(VALUE(RIGHT(AJ635,4)),MATCH(MID(AJ635,4,3),{"Jan","Feb","Mar","Apr","May","Jun","Jul","Aug","Sep","Oct","Nov","Dec"},0),VALUE(LEFT(AJ635,2))))))</f>
        <v>45765</v>
      </c>
      <c r="C635" s="3" t="n">
        <f aca="false">IF(AK635="","",IF(ISNUMBER(SEARCH("/",AK635)),DATE(VALUE(RIGHT(AK635,4)),VALUE(LEFT(AK635,2)),VALUE(MID(AK635,4,2))),IF(ISNUMBER(SEARCH("-",AK635)),IF(LEN(LEFT(AK635,FIND("-",AK635)-1))=4,DATE(VALUE(LEFT(AK635,4)),VALUE(MID(AK635,6,2)),VALUE(RIGHT(AK635,2))),DATE(VALUE(RIGHT(AK635,4)),VALUE(MID(AK635,4,2)),VALUE(LEFT(AK635,2)))),DATE(VALUE(RIGHT(AK635,4)),MATCH(MID(AK635,4,3),{"Jan","Feb","Mar","Apr","May","Jun","Jul","Aug","Sep","Oct","Nov","Dec"},0),VALUE(LEFT(AK635,2))))))</f>
        <v>45767</v>
      </c>
      <c r="D635" s="4" t="s">
        <v>2425</v>
      </c>
      <c r="E635" s="0" t="str">
        <f aca="false">PROPER(TRIM(AL635))</f>
        <v>Aarav Sharma</v>
      </c>
      <c r="F635" s="0" t="str">
        <f aca="false">PROPER(TRIM(AM635))</f>
        <v>Small Business</v>
      </c>
      <c r="G635" s="0" t="str">
        <f aca="false">IF(TRIM(AN635)="","Unknown",PROPER(TRIM(AN635)))</f>
        <v>South</v>
      </c>
      <c r="H635" s="0" t="str">
        <f aca="false">PROPER(TRIM(AO635))</f>
        <v>Tamil Nadu</v>
      </c>
      <c r="I635" s="0" t="str">
        <f aca="false">PROPER(TRIM(AP635))</f>
        <v>Chennai</v>
      </c>
      <c r="J635" s="0" t="str">
        <f aca="false">PROPER(TRIM(AQ635))</f>
        <v>Technology</v>
      </c>
      <c r="K635" s="0" t="str">
        <f aca="false">PROPER(TRIM(AR635))</f>
        <v>Accessories</v>
      </c>
      <c r="M635" s="0" t="str">
        <f aca="false">IF(TRIM(AS635)="","Unknown",PROPER(TRIM(AS635)))</f>
        <v>Second Class</v>
      </c>
      <c r="N635" s="0" t="n">
        <v>1</v>
      </c>
      <c r="O635" s="0" t="n">
        <v>1626.08</v>
      </c>
      <c r="P635" s="5" t="n">
        <f aca="false">IF(AT635="","",IF(ISNUMBER(AT635),AT635,VALUE(SUBSTITUTE(AT635,"%",""))/100))</f>
        <v>0.15</v>
      </c>
      <c r="Q635" s="5" t="n">
        <f aca="false">IF(P635="",IF(AND(N635&lt;&gt;"",O635&lt;&gt;"",R635&lt;&gt;"",S635&lt;&gt;""),0,"REVIEW"),IF(OR(P635&lt;0,P635&gt;0.3),0,P635))</f>
        <v>0.15</v>
      </c>
      <c r="R635" s="0" t="n">
        <v>1382.17</v>
      </c>
      <c r="S635" s="0" t="n">
        <v>810.03</v>
      </c>
      <c r="T635" s="6" t="n">
        <f aca="false">N635*O635*(1-Q635)</f>
        <v>1382.168</v>
      </c>
      <c r="U635" s="6" t="n">
        <f aca="false">T635-S635</f>
        <v>572.138</v>
      </c>
      <c r="V635" s="7" t="n">
        <f aca="false">IF(T635=0,0,U635/T635)</f>
        <v>0.413942444044429</v>
      </c>
      <c r="W635" s="4" t="n">
        <f aca="false">C635-B635</f>
        <v>2</v>
      </c>
      <c r="X635" s="0" t="str">
        <f aca="false">TEXT(B635,"mmmm")</f>
        <v>April</v>
      </c>
      <c r="Y635" s="4" t="n">
        <f aca="false">YEAR(B635)</f>
        <v>2025</v>
      </c>
      <c r="Z635" s="0" t="str">
        <f aca="false">PROPER(TRIM(AU635))</f>
        <v>Paid</v>
      </c>
      <c r="AA635" s="0" t="str">
        <f aca="false">PROPER(TRIM(AV635))</f>
        <v>Completed</v>
      </c>
      <c r="AB635" s="0" t="str">
        <f aca="false">IF(TRIM(AN635)="","Yes","No")</f>
        <v>No</v>
      </c>
      <c r="AC635" s="0" t="str">
        <f aca="false">IF(TRIM(AS635)="","Yes","No")</f>
        <v>No</v>
      </c>
      <c r="AD635" s="0" t="str">
        <f aca="false">IF(AT635="","Yes","No")</f>
        <v>No</v>
      </c>
      <c r="AE635" s="0" t="str">
        <f aca="false">IF(W635&lt;0,"Yes","No")</f>
        <v>No</v>
      </c>
      <c r="AF635" s="0" t="str">
        <f aca="false">IF(P635="","No",IF(OR(P635&lt;0,P635&gt;0.3),"Yes","No"))</f>
        <v>No</v>
      </c>
      <c r="AG635" s="4" t="s">
        <v>50</v>
      </c>
      <c r="AH635" s="0" t="str">
        <f aca="false">IF(AND(AA635="Completed",Z635="Paid"),"Yes","No")</f>
        <v>Yes</v>
      </c>
      <c r="AI635" s="0" t="str">
        <f aca="false">IF(OR(AE635="Yes",AF635="Yes",AG635="Yes"),"Invalid",IF(OR(AB635="Yes",AC635="Yes",AD635="Yes"),"Warning","Clean"))</f>
        <v>Clean</v>
      </c>
      <c r="AJ635" s="4" t="s">
        <v>2426</v>
      </c>
      <c r="AK635" s="4" t="s">
        <v>2427</v>
      </c>
      <c r="AL635" s="4" t="s">
        <v>176</v>
      </c>
      <c r="AM635" s="4" t="s">
        <v>68</v>
      </c>
      <c r="AN635" s="4" t="s">
        <v>87</v>
      </c>
      <c r="AO635" s="4" t="s">
        <v>323</v>
      </c>
      <c r="AP635" s="4" t="s">
        <v>324</v>
      </c>
      <c r="AQ635" s="4" t="s">
        <v>109</v>
      </c>
      <c r="AR635" s="4" t="s">
        <v>110</v>
      </c>
      <c r="AS635" s="4" t="s">
        <v>60</v>
      </c>
      <c r="AT635" s="0" t="n">
        <v>0.15</v>
      </c>
      <c r="AU635" s="4" t="s">
        <v>61</v>
      </c>
      <c r="AV635" s="4" t="s">
        <v>62</v>
      </c>
    </row>
    <row r="636" customFormat="false" ht="15" hidden="false" customHeight="false" outlineLevel="0" collapsed="false">
      <c r="A636" s="0" t="s">
        <v>2428</v>
      </c>
      <c r="B636" s="3" t="n">
        <f aca="false">IF(AJ636="","",IF(ISNUMBER(SEARCH("/",AJ636)),DATE(VALUE(RIGHT(AJ636,4)),VALUE(LEFT(AJ636,2)),VALUE(MID(AJ636,4,2))),IF(ISNUMBER(SEARCH("-",AJ636)),IF(LEN(LEFT(AJ636,FIND("-",AJ636)-1))=4,DATE(VALUE(LEFT(AJ636,4)),VALUE(MID(AJ636,6,2)),VALUE(RIGHT(AJ636,2))),DATE(VALUE(RIGHT(AJ636,4)),VALUE(MID(AJ636,4,2)),VALUE(LEFT(AJ636,2)))),DATE(VALUE(RIGHT(AJ636,4)),MATCH(MID(AJ636,4,3),{"Jan","Feb","Mar","Apr","May","Jun","Jul","Aug","Sep","Oct","Nov","Dec"},0),VALUE(LEFT(AJ636,2))))))</f>
        <v>45668</v>
      </c>
      <c r="C636" s="3" t="n">
        <f aca="false">IF(AK636="","",IF(ISNUMBER(SEARCH("/",AK636)),DATE(VALUE(RIGHT(AK636,4)),VALUE(LEFT(AK636,2)),VALUE(MID(AK636,4,2))),IF(ISNUMBER(SEARCH("-",AK636)),IF(LEN(LEFT(AK636,FIND("-",AK636)-1))=4,DATE(VALUE(LEFT(AK636,4)),VALUE(MID(AK636,6,2)),VALUE(RIGHT(AK636,2))),DATE(VALUE(RIGHT(AK636,4)),VALUE(MID(AK636,4,2)),VALUE(LEFT(AK636,2)))),DATE(VALUE(RIGHT(AK636,4)),MATCH(MID(AK636,4,3),{"Jan","Feb","Mar","Apr","May","Jun","Jul","Aug","Sep","Oct","Nov","Dec"},0),VALUE(LEFT(AK636,2))))))</f>
        <v>45669</v>
      </c>
      <c r="D636" s="4" t="s">
        <v>2429</v>
      </c>
      <c r="E636" s="0" t="str">
        <f aca="false">PROPER(TRIM(AL636))</f>
        <v>Aditi Sen</v>
      </c>
      <c r="F636" s="0" t="str">
        <f aca="false">PROPER(TRIM(AM636))</f>
        <v>Consumer</v>
      </c>
      <c r="G636" s="0" t="str">
        <f aca="false">IF(TRIM(AN636)="","Unknown",PROPER(TRIM(AN636)))</f>
        <v>South</v>
      </c>
      <c r="H636" s="0" t="str">
        <f aca="false">PROPER(TRIM(AO636))</f>
        <v>Telangana</v>
      </c>
      <c r="I636" s="0" t="str">
        <f aca="false">PROPER(TRIM(AP636))</f>
        <v>Hyderabad</v>
      </c>
      <c r="J636" s="0" t="str">
        <f aca="false">PROPER(TRIM(AQ636))</f>
        <v>Furniture</v>
      </c>
      <c r="K636" s="0" t="str">
        <f aca="false">PROPER(TRIM(AR636))</f>
        <v>Chairs</v>
      </c>
      <c r="M636" s="0" t="str">
        <f aca="false">IF(TRIM(AS636)="","Unknown",PROPER(TRIM(AS636)))</f>
        <v>Second Class</v>
      </c>
      <c r="N636" s="0" t="n">
        <v>4</v>
      </c>
      <c r="O636" s="0" t="n">
        <v>2427.15</v>
      </c>
      <c r="P636" s="5" t="n">
        <f aca="false">IF(AT636="","",IF(ISNUMBER(AT636),AT636,VALUE(SUBSTITUTE(AT636,"%",""))/100))</f>
        <v>0.05</v>
      </c>
      <c r="Q636" s="5" t="n">
        <f aca="false">IF(P636="",IF(AND(N636&lt;&gt;"",O636&lt;&gt;"",R636&lt;&gt;"",S636&lt;&gt;""),0,"REVIEW"),IF(OR(P636&lt;0,P636&gt;0.3),0,P636))</f>
        <v>0.05</v>
      </c>
      <c r="R636" s="0" t="n">
        <v>9223.17</v>
      </c>
      <c r="S636" s="0" t="n">
        <v>5103.7</v>
      </c>
      <c r="T636" s="6" t="n">
        <f aca="false">N636*O636*(1-Q636)</f>
        <v>9223.17</v>
      </c>
      <c r="U636" s="6" t="n">
        <f aca="false">T636-S636</f>
        <v>4119.47</v>
      </c>
      <c r="V636" s="7" t="n">
        <f aca="false">IF(T636=0,0,U636/T636)</f>
        <v>0.446643616023558</v>
      </c>
      <c r="W636" s="4" t="n">
        <f aca="false">C636-B636</f>
        <v>1</v>
      </c>
      <c r="X636" s="0" t="str">
        <f aca="false">TEXT(B636,"mmmm")</f>
        <v>January</v>
      </c>
      <c r="Y636" s="4" t="n">
        <f aca="false">YEAR(B636)</f>
        <v>2025</v>
      </c>
      <c r="Z636" s="0" t="str">
        <f aca="false">PROPER(TRIM(AU636))</f>
        <v>Paid</v>
      </c>
      <c r="AA636" s="0" t="str">
        <f aca="false">PROPER(TRIM(AV636))</f>
        <v>Completed</v>
      </c>
      <c r="AB636" s="0" t="str">
        <f aca="false">IF(TRIM(AN636)="","Yes","No")</f>
        <v>No</v>
      </c>
      <c r="AC636" s="0" t="str">
        <f aca="false">IF(TRIM(AS636)="","Yes","No")</f>
        <v>No</v>
      </c>
      <c r="AD636" s="0" t="str">
        <f aca="false">IF(AT636="","Yes","No")</f>
        <v>No</v>
      </c>
      <c r="AE636" s="0" t="str">
        <f aca="false">IF(W636&lt;0,"Yes","No")</f>
        <v>No</v>
      </c>
      <c r="AF636" s="0" t="str">
        <f aca="false">IF(P636="","No",IF(OR(P636&lt;0,P636&gt;0.3),"Yes","No"))</f>
        <v>No</v>
      </c>
      <c r="AG636" s="4" t="s">
        <v>50</v>
      </c>
      <c r="AH636" s="0" t="str">
        <f aca="false">IF(AND(AA636="Completed",Z636="Paid"),"Yes","No")</f>
        <v>Yes</v>
      </c>
      <c r="AI636" s="0" t="str">
        <f aca="false">IF(OR(AE636="Yes",AF636="Yes",AG636="Yes"),"Invalid",IF(OR(AB636="Yes",AC636="Yes",AD636="Yes"),"Warning","Clean"))</f>
        <v>Clean</v>
      </c>
      <c r="AJ636" s="4" t="s">
        <v>2430</v>
      </c>
      <c r="AK636" s="4" t="s">
        <v>1788</v>
      </c>
      <c r="AL636" s="4" t="s">
        <v>127</v>
      </c>
      <c r="AM636" s="4" t="s">
        <v>54</v>
      </c>
      <c r="AN636" s="4" t="s">
        <v>87</v>
      </c>
      <c r="AO636" s="4" t="s">
        <v>88</v>
      </c>
      <c r="AP636" s="4" t="s">
        <v>89</v>
      </c>
      <c r="AQ636" s="4" t="s">
        <v>72</v>
      </c>
      <c r="AR636" s="4" t="s">
        <v>100</v>
      </c>
      <c r="AS636" s="4" t="s">
        <v>60</v>
      </c>
      <c r="AT636" s="0" t="n">
        <v>0.05</v>
      </c>
      <c r="AU636" s="4" t="s">
        <v>61</v>
      </c>
      <c r="AV636" s="4" t="s">
        <v>62</v>
      </c>
    </row>
    <row r="637" customFormat="false" ht="15" hidden="false" customHeight="false" outlineLevel="0" collapsed="false">
      <c r="A637" s="0" t="s">
        <v>2431</v>
      </c>
      <c r="B637" s="3" t="n">
        <f aca="false">IF(AJ637="","",IF(ISNUMBER(SEARCH("/",AJ637)),DATE(VALUE(RIGHT(AJ637,4)),VALUE(LEFT(AJ637,2)),VALUE(MID(AJ637,4,2))),IF(ISNUMBER(SEARCH("-",AJ637)),IF(LEN(LEFT(AJ637,FIND("-",AJ637)-1))=4,DATE(VALUE(LEFT(AJ637,4)),VALUE(MID(AJ637,6,2)),VALUE(RIGHT(AJ637,2))),DATE(VALUE(RIGHT(AJ637,4)),VALUE(MID(AJ637,4,2)),VALUE(LEFT(AJ637,2)))),DATE(VALUE(RIGHT(AJ637,4)),MATCH(MID(AJ637,4,3),{"Jan","Feb","Mar","Apr","May","Jun","Jul","Aug","Sep","Oct","Nov","Dec"},0),VALUE(LEFT(AJ637,2))))))</f>
        <v>45432</v>
      </c>
      <c r="C637" s="3" t="n">
        <f aca="false">IF(AK637="","",IF(ISNUMBER(SEARCH("/",AK637)),DATE(VALUE(RIGHT(AK637,4)),VALUE(LEFT(AK637,2)),VALUE(MID(AK637,4,2))),IF(ISNUMBER(SEARCH("-",AK637)),IF(LEN(LEFT(AK637,FIND("-",AK637)-1))=4,DATE(VALUE(LEFT(AK637,4)),VALUE(MID(AK637,6,2)),VALUE(RIGHT(AK637,2))),DATE(VALUE(RIGHT(AK637,4)),VALUE(MID(AK637,4,2)),VALUE(LEFT(AK637,2)))),DATE(VALUE(RIGHT(AK637,4)),MATCH(MID(AK637,4,3),{"Jan","Feb","Mar","Apr","May","Jun","Jul","Aug","Sep","Oct","Nov","Dec"},0),VALUE(LEFT(AK637,2))))))</f>
        <v>45437</v>
      </c>
      <c r="D637" s="4" t="s">
        <v>2432</v>
      </c>
      <c r="E637" s="0" t="str">
        <f aca="false">PROPER(TRIM(AL637))</f>
        <v>Mira Das</v>
      </c>
      <c r="F637" s="0" t="str">
        <f aca="false">PROPER(TRIM(AM637))</f>
        <v>Corporate</v>
      </c>
      <c r="G637" s="0" t="str">
        <f aca="false">IF(TRIM(AN637)="","Unknown",PROPER(TRIM(AN637)))</f>
        <v>South</v>
      </c>
      <c r="H637" s="0" t="str">
        <f aca="false">PROPER(TRIM(AO637))</f>
        <v>Andhra Pradesh</v>
      </c>
      <c r="I637" s="0" t="str">
        <f aca="false">PROPER(TRIM(AP637))</f>
        <v>Vijayawada</v>
      </c>
      <c r="J637" s="0" t="str">
        <f aca="false">PROPER(TRIM(AQ637))</f>
        <v>Furniture</v>
      </c>
      <c r="K637" s="0" t="str">
        <f aca="false">PROPER(TRIM(AR637))</f>
        <v>Chairs</v>
      </c>
      <c r="M637" s="0" t="str">
        <f aca="false">IF(TRIM(AS637)="","Unknown",PROPER(TRIM(AS637)))</f>
        <v>Same Day</v>
      </c>
      <c r="N637" s="0" t="n">
        <v>7</v>
      </c>
      <c r="O637" s="0" t="n">
        <v>3122.85</v>
      </c>
      <c r="P637" s="5" t="n">
        <f aca="false">IF(AT637="","",IF(ISNUMBER(AT637),AT637,VALUE(SUBSTITUTE(AT637,"%",""))/100))</f>
        <v>0.25</v>
      </c>
      <c r="Q637" s="5" t="n">
        <f aca="false">IF(P637="",IF(AND(N637&lt;&gt;"",O637&lt;&gt;"",R637&lt;&gt;"",S637&lt;&gt;""),0,"REVIEW"),IF(OR(P637&lt;0,P637&gt;0.3),0,P637))</f>
        <v>0.25</v>
      </c>
      <c r="R637" s="0" t="n">
        <v>16394.96</v>
      </c>
      <c r="S637" s="0" t="n">
        <v>10404.17</v>
      </c>
      <c r="T637" s="6" t="n">
        <f aca="false">N637*O637*(1-Q637)</f>
        <v>16394.9625</v>
      </c>
      <c r="U637" s="6" t="n">
        <f aca="false">T637-S637</f>
        <v>5990.7925</v>
      </c>
      <c r="V637" s="7" t="n">
        <f aca="false">IF(T637=0,0,U637/T637)</f>
        <v>0.365404464938544</v>
      </c>
      <c r="W637" s="4" t="n">
        <f aca="false">C637-B637</f>
        <v>5</v>
      </c>
      <c r="X637" s="0" t="str">
        <f aca="false">TEXT(B637,"mmmm")</f>
        <v>May</v>
      </c>
      <c r="Y637" s="4" t="n">
        <f aca="false">YEAR(B637)</f>
        <v>2024</v>
      </c>
      <c r="Z637" s="0" t="str">
        <f aca="false">PROPER(TRIM(AU637))</f>
        <v>Paid</v>
      </c>
      <c r="AA637" s="0" t="str">
        <f aca="false">PROPER(TRIM(AV637))</f>
        <v>Completed</v>
      </c>
      <c r="AB637" s="0" t="str">
        <f aca="false">IF(TRIM(AN637)="","Yes","No")</f>
        <v>No</v>
      </c>
      <c r="AC637" s="0" t="str">
        <f aca="false">IF(TRIM(AS637)="","Yes","No")</f>
        <v>No</v>
      </c>
      <c r="AD637" s="0" t="str">
        <f aca="false">IF(AT637="","Yes","No")</f>
        <v>No</v>
      </c>
      <c r="AE637" s="0" t="str">
        <f aca="false">IF(W637&lt;0,"Yes","No")</f>
        <v>No</v>
      </c>
      <c r="AF637" s="0" t="str">
        <f aca="false">IF(P637="","No",IF(OR(P637&lt;0,P637&gt;0.3),"Yes","No"))</f>
        <v>No</v>
      </c>
      <c r="AG637" s="4" t="s">
        <v>50</v>
      </c>
      <c r="AH637" s="0" t="str">
        <f aca="false">IF(AND(AA637="Completed",Z637="Paid"),"Yes","No")</f>
        <v>Yes</v>
      </c>
      <c r="AI637" s="0" t="str">
        <f aca="false">IF(OR(AE637="Yes",AF637="Yes",AG637="Yes"),"Invalid",IF(OR(AB637="Yes",AC637="Yes",AD637="Yes"),"Warning","Clean"))</f>
        <v>Clean</v>
      </c>
      <c r="AJ637" s="4" t="s">
        <v>2351</v>
      </c>
      <c r="AK637" s="4" t="s">
        <v>2433</v>
      </c>
      <c r="AL637" s="4" t="s">
        <v>67</v>
      </c>
      <c r="AM637" s="4" t="s">
        <v>128</v>
      </c>
      <c r="AN637" s="4" t="s">
        <v>87</v>
      </c>
      <c r="AO637" s="4" t="s">
        <v>121</v>
      </c>
      <c r="AP637" s="4" t="s">
        <v>122</v>
      </c>
      <c r="AQ637" s="4" t="s">
        <v>72</v>
      </c>
      <c r="AR637" s="4" t="s">
        <v>100</v>
      </c>
      <c r="AS637" s="4" t="s">
        <v>74</v>
      </c>
      <c r="AT637" s="0" t="n">
        <v>0.25</v>
      </c>
      <c r="AU637" s="4" t="s">
        <v>61</v>
      </c>
      <c r="AV637" s="4" t="s">
        <v>62</v>
      </c>
    </row>
    <row r="638" customFormat="false" ht="15" hidden="false" customHeight="false" outlineLevel="0" collapsed="false">
      <c r="A638" s="0" t="s">
        <v>2434</v>
      </c>
      <c r="B638" s="3" t="n">
        <f aca="false">IF(AJ638="","",IF(ISNUMBER(SEARCH("/",AJ638)),DATE(VALUE(RIGHT(AJ638,4)),VALUE(LEFT(AJ638,2)),VALUE(MID(AJ638,4,2))),IF(ISNUMBER(SEARCH("-",AJ638)),IF(LEN(LEFT(AJ638,FIND("-",AJ638)-1))=4,DATE(VALUE(LEFT(AJ638,4)),VALUE(MID(AJ638,6,2)),VALUE(RIGHT(AJ638,2))),DATE(VALUE(RIGHT(AJ638,4)),VALUE(MID(AJ638,4,2)),VALUE(LEFT(AJ638,2)))),DATE(VALUE(RIGHT(AJ638,4)),MATCH(MID(AJ638,4,3),{"Jan","Feb","Mar","Apr","May","Jun","Jul","Aug","Sep","Oct","Nov","Dec"},0),VALUE(LEFT(AJ638,2))))))</f>
        <v>45567</v>
      </c>
      <c r="C638" s="3" t="n">
        <f aca="false">IF(AK638="","",IF(ISNUMBER(SEARCH("/",AK638)),DATE(VALUE(RIGHT(AK638,4)),VALUE(LEFT(AK638,2)),VALUE(MID(AK638,4,2))),IF(ISNUMBER(SEARCH("-",AK638)),IF(LEN(LEFT(AK638,FIND("-",AK638)-1))=4,DATE(VALUE(LEFT(AK638,4)),VALUE(MID(AK638,6,2)),VALUE(RIGHT(AK638,2))),DATE(VALUE(RIGHT(AK638,4)),VALUE(MID(AK638,4,2)),VALUE(LEFT(AK638,2)))),DATE(VALUE(RIGHT(AK638,4)),MATCH(MID(AK638,4,3),{"Jan","Feb","Mar","Apr","May","Jun","Jul","Aug","Sep","Oct","Nov","Dec"},0),VALUE(LEFT(AK638,2))))))</f>
        <v>45574</v>
      </c>
      <c r="D638" s="4" t="s">
        <v>2435</v>
      </c>
      <c r="E638" s="0" t="str">
        <f aca="false">PROPER(TRIM(AL638))</f>
        <v>Ananya Rao</v>
      </c>
      <c r="F638" s="0" t="str">
        <f aca="false">PROPER(TRIM(AM638))</f>
        <v>Consumer</v>
      </c>
      <c r="G638" s="0" t="str">
        <f aca="false">IF(TRIM(AN638)="","Unknown",PROPER(TRIM(AN638)))</f>
        <v>South</v>
      </c>
      <c r="H638" s="0" t="str">
        <f aca="false">PROPER(TRIM(AO638))</f>
        <v>Tamil Nadu</v>
      </c>
      <c r="I638" s="0" t="str">
        <f aca="false">PROPER(TRIM(AP638))</f>
        <v>Chennai</v>
      </c>
      <c r="J638" s="0" t="str">
        <f aca="false">PROPER(TRIM(AQ638))</f>
        <v>Office Supplies</v>
      </c>
      <c r="K638" s="0" t="str">
        <f aca="false">PROPER(TRIM(AR638))</f>
        <v>Paper</v>
      </c>
      <c r="M638" s="0" t="str">
        <f aca="false">IF(TRIM(AS638)="","Unknown",PROPER(TRIM(AS638)))</f>
        <v>Standard Class</v>
      </c>
      <c r="N638" s="0" t="n">
        <v>8</v>
      </c>
      <c r="O638" s="0" t="n">
        <v>1910.31</v>
      </c>
      <c r="P638" s="5" t="n">
        <f aca="false">IF(AT638="","",IF(ISNUMBER(AT638),AT638,VALUE(SUBSTITUTE(AT638,"%",""))/100))</f>
        <v>0.15</v>
      </c>
      <c r="Q638" s="5" t="n">
        <f aca="false">IF(P638="",IF(AND(N638&lt;&gt;"",O638&lt;&gt;"",R638&lt;&gt;"",S638&lt;&gt;""),0,"REVIEW"),IF(OR(P638&lt;0,P638&gt;0.3),0,P638))</f>
        <v>0.15</v>
      </c>
      <c r="R638" s="0" t="n">
        <v>12990.11</v>
      </c>
      <c r="S638" s="0" t="n">
        <v>10200.8</v>
      </c>
      <c r="T638" s="6" t="n">
        <f aca="false">N638*O638*(1-Q638)</f>
        <v>12990.108</v>
      </c>
      <c r="U638" s="6" t="n">
        <f aca="false">T638-S638</f>
        <v>2789.308</v>
      </c>
      <c r="V638" s="7" t="n">
        <f aca="false">IF(T638=0,0,U638/T638)</f>
        <v>0.214725543467383</v>
      </c>
      <c r="W638" s="4" t="n">
        <f aca="false">C638-B638</f>
        <v>7</v>
      </c>
      <c r="X638" s="0" t="str">
        <f aca="false">TEXT(B638,"mmmm")</f>
        <v>October</v>
      </c>
      <c r="Y638" s="4" t="n">
        <f aca="false">YEAR(B638)</f>
        <v>2024</v>
      </c>
      <c r="Z638" s="0" t="str">
        <f aca="false">PROPER(TRIM(AU638))</f>
        <v>Paid</v>
      </c>
      <c r="AA638" s="0" t="str">
        <f aca="false">PROPER(TRIM(AV638))</f>
        <v>Completed</v>
      </c>
      <c r="AB638" s="0" t="str">
        <f aca="false">IF(TRIM(AN638)="","Yes","No")</f>
        <v>No</v>
      </c>
      <c r="AC638" s="0" t="str">
        <f aca="false">IF(TRIM(AS638)="","Yes","No")</f>
        <v>No</v>
      </c>
      <c r="AD638" s="0" t="str">
        <f aca="false">IF(AT638="","Yes","No")</f>
        <v>No</v>
      </c>
      <c r="AE638" s="0" t="str">
        <f aca="false">IF(W638&lt;0,"Yes","No")</f>
        <v>No</v>
      </c>
      <c r="AF638" s="0" t="str">
        <f aca="false">IF(P638="","No",IF(OR(P638&lt;0,P638&gt;0.3),"Yes","No"))</f>
        <v>No</v>
      </c>
      <c r="AG638" s="4" t="s">
        <v>50</v>
      </c>
      <c r="AH638" s="0" t="str">
        <f aca="false">IF(AND(AA638="Completed",Z638="Paid"),"Yes","No")</f>
        <v>Yes</v>
      </c>
      <c r="AI638" s="0" t="str">
        <f aca="false">IF(OR(AE638="Yes",AF638="Yes",AG638="Yes"),"Invalid",IF(OR(AB638="Yes",AC638="Yes",AD638="Yes"),"Warning","Clean"))</f>
        <v>Clean</v>
      </c>
      <c r="AJ638" s="4" t="s">
        <v>2436</v>
      </c>
      <c r="AK638" s="4" t="s">
        <v>2437</v>
      </c>
      <c r="AL638" s="4" t="s">
        <v>96</v>
      </c>
      <c r="AM638" s="4" t="s">
        <v>54</v>
      </c>
      <c r="AN638" s="4" t="s">
        <v>87</v>
      </c>
      <c r="AO638" s="4" t="s">
        <v>323</v>
      </c>
      <c r="AP638" s="4" t="s">
        <v>324</v>
      </c>
      <c r="AQ638" s="4" t="s">
        <v>58</v>
      </c>
      <c r="AR638" s="4" t="s">
        <v>59</v>
      </c>
      <c r="AS638" s="4" t="s">
        <v>91</v>
      </c>
      <c r="AT638" s="0" t="n">
        <v>0.15</v>
      </c>
      <c r="AU638" s="4" t="s">
        <v>61</v>
      </c>
      <c r="AV638" s="4" t="s">
        <v>62</v>
      </c>
    </row>
    <row r="639" customFormat="false" ht="15" hidden="false" customHeight="false" outlineLevel="0" collapsed="false">
      <c r="A639" s="0" t="s">
        <v>2438</v>
      </c>
      <c r="B639" s="3" t="n">
        <f aca="false">IF(AJ639="","",IF(ISNUMBER(SEARCH("/",AJ639)),DATE(VALUE(RIGHT(AJ639,4)),VALUE(LEFT(AJ639,2)),VALUE(MID(AJ639,4,2))),IF(ISNUMBER(SEARCH("-",AJ639)),IF(LEN(LEFT(AJ639,FIND("-",AJ639)-1))=4,DATE(VALUE(LEFT(AJ639,4)),VALUE(MID(AJ639,6,2)),VALUE(RIGHT(AJ639,2))),DATE(VALUE(RIGHT(AJ639,4)),VALUE(MID(AJ639,4,2)),VALUE(LEFT(AJ639,2)))),DATE(VALUE(RIGHT(AJ639,4)),MATCH(MID(AJ639,4,3),{"Jan","Feb","Mar","Apr","May","Jun","Jul","Aug","Sep","Oct","Nov","Dec"},0),VALUE(LEFT(AJ639,2))))))</f>
        <v>45438</v>
      </c>
      <c r="C639" s="3" t="n">
        <f aca="false">IF(AK639="","",IF(ISNUMBER(SEARCH("/",AK639)),DATE(VALUE(RIGHT(AK639,4)),VALUE(LEFT(AK639,2)),VALUE(MID(AK639,4,2))),IF(ISNUMBER(SEARCH("-",AK639)),IF(LEN(LEFT(AK639,FIND("-",AK639)-1))=4,DATE(VALUE(LEFT(AK639,4)),VALUE(MID(AK639,6,2)),VALUE(RIGHT(AK639,2))),DATE(VALUE(RIGHT(AK639,4)),VALUE(MID(AK639,4,2)),VALUE(LEFT(AK639,2)))),DATE(VALUE(RIGHT(AK639,4)),MATCH(MID(AK639,4,3),{"Jan","Feb","Mar","Apr","May","Jun","Jul","Aug","Sep","Oct","Nov","Dec"},0),VALUE(LEFT(AK639,2))))))</f>
        <v>45438</v>
      </c>
      <c r="D639" s="4" t="s">
        <v>2439</v>
      </c>
      <c r="E639" s="0" t="str">
        <f aca="false">PROPER(TRIM(AL639))</f>
        <v>Rahul Verma</v>
      </c>
      <c r="F639" s="0" t="str">
        <f aca="false">PROPER(TRIM(AM639))</f>
        <v>Small Business</v>
      </c>
      <c r="G639" s="0" t="str">
        <f aca="false">IF(TRIM(AN639)="","Unknown",PROPER(TRIM(AN639)))</f>
        <v>West</v>
      </c>
      <c r="H639" s="0" t="str">
        <f aca="false">PROPER(TRIM(AO639))</f>
        <v>Goa</v>
      </c>
      <c r="I639" s="0" t="str">
        <f aca="false">PROPER(TRIM(AP639))</f>
        <v>Panaji</v>
      </c>
      <c r="J639" s="0" t="str">
        <f aca="false">PROPER(TRIM(AQ639))</f>
        <v>Technology</v>
      </c>
      <c r="K639" s="0" t="str">
        <f aca="false">PROPER(TRIM(AR639))</f>
        <v>Copiers</v>
      </c>
      <c r="M639" s="0" t="str">
        <f aca="false">IF(TRIM(AS639)="","Unknown",PROPER(TRIM(AS639)))</f>
        <v>First Class</v>
      </c>
      <c r="N639" s="0" t="n">
        <v>2</v>
      </c>
      <c r="O639" s="0" t="n">
        <v>3192.47</v>
      </c>
      <c r="P639" s="5" t="n">
        <f aca="false">IF(AT639="","",IF(ISNUMBER(AT639),AT639,VALUE(SUBSTITUTE(AT639,"%",""))/100))</f>
        <v>0.2</v>
      </c>
      <c r="Q639" s="5" t="n">
        <f aca="false">IF(P639="",IF(AND(N639&lt;&gt;"",O639&lt;&gt;"",R639&lt;&gt;"",S639&lt;&gt;""),0,"REVIEW"),IF(OR(P639&lt;0,P639&gt;0.3),0,P639))</f>
        <v>0.2</v>
      </c>
      <c r="R639" s="0" t="n">
        <v>5107.95</v>
      </c>
      <c r="S639" s="0" t="n">
        <v>3133.08</v>
      </c>
      <c r="T639" s="6" t="n">
        <f aca="false">N639*O639*(1-Q639)</f>
        <v>5107.952</v>
      </c>
      <c r="U639" s="6" t="n">
        <f aca="false">T639-S639</f>
        <v>1974.872</v>
      </c>
      <c r="V639" s="7" t="n">
        <f aca="false">IF(T639=0,0,U639/T639)</f>
        <v>0.386626969086632</v>
      </c>
      <c r="W639" s="4" t="n">
        <f aca="false">C639-B639</f>
        <v>0</v>
      </c>
      <c r="X639" s="0" t="str">
        <f aca="false">TEXT(B639,"mmmm")</f>
        <v>May</v>
      </c>
      <c r="Y639" s="4" t="n">
        <f aca="false">YEAR(B639)</f>
        <v>2024</v>
      </c>
      <c r="Z639" s="0" t="str">
        <f aca="false">PROPER(TRIM(AU639))</f>
        <v>Paid</v>
      </c>
      <c r="AA639" s="0" t="str">
        <f aca="false">PROPER(TRIM(AV639))</f>
        <v>Completed</v>
      </c>
      <c r="AB639" s="0" t="str">
        <f aca="false">IF(TRIM(AN639)="","Yes","No")</f>
        <v>No</v>
      </c>
      <c r="AC639" s="0" t="str">
        <f aca="false">IF(TRIM(AS639)="","Yes","No")</f>
        <v>No</v>
      </c>
      <c r="AD639" s="0" t="str">
        <f aca="false">IF(AT639="","Yes","No")</f>
        <v>No</v>
      </c>
      <c r="AE639" s="0" t="str">
        <f aca="false">IF(W639&lt;0,"Yes","No")</f>
        <v>No</v>
      </c>
      <c r="AF639" s="0" t="str">
        <f aca="false">IF(P639="","No",IF(OR(P639&lt;0,P639&gt;0.3),"Yes","No"))</f>
        <v>No</v>
      </c>
      <c r="AG639" s="4" t="s">
        <v>50</v>
      </c>
      <c r="AH639" s="0" t="str">
        <f aca="false">IF(AND(AA639="Completed",Z639="Paid"),"Yes","No")</f>
        <v>Yes</v>
      </c>
      <c r="AI639" s="0" t="str">
        <f aca="false">IF(OR(AE639="Yes",AF639="Yes",AG639="Yes"),"Invalid",IF(OR(AB639="Yes",AC639="Yes",AD639="Yes"),"Warning","Clean"))</f>
        <v>Clean</v>
      </c>
      <c r="AJ639" s="4" t="s">
        <v>2440</v>
      </c>
      <c r="AK639" s="4" t="s">
        <v>2441</v>
      </c>
      <c r="AL639" s="4" t="s">
        <v>163</v>
      </c>
      <c r="AM639" s="4" t="s">
        <v>68</v>
      </c>
      <c r="AN639" s="4" t="s">
        <v>97</v>
      </c>
      <c r="AO639" s="4" t="s">
        <v>250</v>
      </c>
      <c r="AP639" s="4" t="s">
        <v>251</v>
      </c>
      <c r="AQ639" s="4" t="s">
        <v>109</v>
      </c>
      <c r="AR639" s="4" t="s">
        <v>116</v>
      </c>
      <c r="AS639" s="4" t="s">
        <v>81</v>
      </c>
      <c r="AT639" s="0" t="n">
        <v>0.2</v>
      </c>
      <c r="AU639" s="4" t="s">
        <v>61</v>
      </c>
      <c r="AV639" s="4" t="s">
        <v>62</v>
      </c>
    </row>
    <row r="640" customFormat="false" ht="15" hidden="false" customHeight="false" outlineLevel="0" collapsed="false">
      <c r="A640" s="0" t="s">
        <v>2442</v>
      </c>
      <c r="B640" s="3" t="n">
        <f aca="false">IF(AJ640="","",IF(ISNUMBER(SEARCH("/",AJ640)),DATE(VALUE(RIGHT(AJ640,4)),VALUE(LEFT(AJ640,2)),VALUE(MID(AJ640,4,2))),IF(ISNUMBER(SEARCH("-",AJ640)),IF(LEN(LEFT(AJ640,FIND("-",AJ640)-1))=4,DATE(VALUE(LEFT(AJ640,4)),VALUE(MID(AJ640,6,2)),VALUE(RIGHT(AJ640,2))),DATE(VALUE(RIGHT(AJ640,4)),VALUE(MID(AJ640,4,2)),VALUE(LEFT(AJ640,2)))),DATE(VALUE(RIGHT(AJ640,4)),MATCH(MID(AJ640,4,3),{"Jan","Feb","Mar","Apr","May","Jun","Jul","Aug","Sep","Oct","Nov","Dec"},0),VALUE(LEFT(AJ640,2))))))</f>
        <v>45317</v>
      </c>
      <c r="C640" s="3" t="n">
        <f aca="false">IF(AK640="","",IF(ISNUMBER(SEARCH("/",AK640)),DATE(VALUE(RIGHT(AK640,4)),VALUE(LEFT(AK640,2)),VALUE(MID(AK640,4,2))),IF(ISNUMBER(SEARCH("-",AK640)),IF(LEN(LEFT(AK640,FIND("-",AK640)-1))=4,DATE(VALUE(LEFT(AK640,4)),VALUE(MID(AK640,6,2)),VALUE(RIGHT(AK640,2))),DATE(VALUE(RIGHT(AK640,4)),VALUE(MID(AK640,4,2)),VALUE(LEFT(AK640,2)))),DATE(VALUE(RIGHT(AK640,4)),MATCH(MID(AK640,4,3),{"Jan","Feb","Mar","Apr","May","Jun","Jul","Aug","Sep","Oct","Nov","Dec"},0),VALUE(LEFT(AK640,2))))))</f>
        <v>45322</v>
      </c>
      <c r="D640" s="4" t="s">
        <v>2443</v>
      </c>
      <c r="E640" s="0" t="str">
        <f aca="false">PROPER(TRIM(AL640))</f>
        <v>Karan Malhotra</v>
      </c>
      <c r="F640" s="0" t="str">
        <f aca="false">PROPER(TRIM(AM640))</f>
        <v>Corporate</v>
      </c>
      <c r="G640" s="0" t="str">
        <f aca="false">IF(TRIM(AN640)="","Unknown",PROPER(TRIM(AN640)))</f>
        <v>South</v>
      </c>
      <c r="H640" s="0" t="str">
        <f aca="false">PROPER(TRIM(AO640))</f>
        <v>Kerala</v>
      </c>
      <c r="I640" s="0" t="str">
        <f aca="false">PROPER(TRIM(AP640))</f>
        <v>Kochi</v>
      </c>
      <c r="J640" s="0" t="str">
        <f aca="false">PROPER(TRIM(AQ640))</f>
        <v>Office Supplies</v>
      </c>
      <c r="K640" s="0" t="str">
        <f aca="false">PROPER(TRIM(AR640))</f>
        <v>Storage</v>
      </c>
      <c r="M640" s="0" t="str">
        <f aca="false">IF(TRIM(AS640)="","Unknown",PROPER(TRIM(AS640)))</f>
        <v>Second Class</v>
      </c>
      <c r="N640" s="0" t="n">
        <v>3</v>
      </c>
      <c r="O640" s="0" t="n">
        <v>3224.32</v>
      </c>
      <c r="P640" s="5" t="n">
        <f aca="false">IF(AT640="","",IF(ISNUMBER(AT640),AT640,VALUE(SUBSTITUTE(AT640,"%",""))/100))</f>
        <v>0.2</v>
      </c>
      <c r="Q640" s="5" t="n">
        <f aca="false">IF(P640="",IF(AND(N640&lt;&gt;"",O640&lt;&gt;"",R640&lt;&gt;"",S640&lt;&gt;""),0,"REVIEW"),IF(OR(P640&lt;0,P640&gt;0.3),0,P640))</f>
        <v>0.2</v>
      </c>
      <c r="R640" s="0" t="n">
        <v>7738.37</v>
      </c>
      <c r="S640" s="0" t="n">
        <v>4626.85</v>
      </c>
      <c r="T640" s="6" t="n">
        <f aca="false">N640*O640*(1-Q640)</f>
        <v>7738.368</v>
      </c>
      <c r="U640" s="6" t="n">
        <f aca="false">T640-S640</f>
        <v>3111.518</v>
      </c>
      <c r="V640" s="7" t="n">
        <f aca="false">IF(T640=0,0,U640/T640)</f>
        <v>0.402089691263067</v>
      </c>
      <c r="W640" s="4" t="n">
        <f aca="false">C640-B640</f>
        <v>5</v>
      </c>
      <c r="X640" s="0" t="str">
        <f aca="false">TEXT(B640,"mmmm")</f>
        <v>January</v>
      </c>
      <c r="Y640" s="4" t="n">
        <f aca="false">YEAR(B640)</f>
        <v>2024</v>
      </c>
      <c r="Z640" s="0" t="str">
        <f aca="false">PROPER(TRIM(AU640))</f>
        <v>Failed</v>
      </c>
      <c r="AA640" s="0" t="str">
        <f aca="false">PROPER(TRIM(AV640))</f>
        <v>Returned</v>
      </c>
      <c r="AB640" s="0" t="str">
        <f aca="false">IF(TRIM(AN640)="","Yes","No")</f>
        <v>No</v>
      </c>
      <c r="AC640" s="0" t="str">
        <f aca="false">IF(TRIM(AS640)="","Yes","No")</f>
        <v>No</v>
      </c>
      <c r="AD640" s="0" t="str">
        <f aca="false">IF(AT640="","Yes","No")</f>
        <v>No</v>
      </c>
      <c r="AE640" s="0" t="str">
        <f aca="false">IF(W640&lt;0,"Yes","No")</f>
        <v>No</v>
      </c>
      <c r="AF640" s="0" t="str">
        <f aca="false">IF(P640="","No",IF(OR(P640&lt;0,P640&gt;0.3),"Yes","No"))</f>
        <v>No</v>
      </c>
      <c r="AG640" s="4" t="s">
        <v>50</v>
      </c>
      <c r="AH640" s="0" t="str">
        <f aca="false">IF(AND(AA640="Completed",Z640="Paid"),"Yes","No")</f>
        <v>No</v>
      </c>
      <c r="AI640" s="0" t="str">
        <f aca="false">IF(OR(AE640="Yes",AF640="Yes",AG640="Yes"),"Invalid",IF(OR(AB640="Yes",AC640="Yes",AD640="Yes"),"Warning","Clean"))</f>
        <v>Clean</v>
      </c>
      <c r="AJ640" s="4" t="s">
        <v>2327</v>
      </c>
      <c r="AK640" s="4" t="s">
        <v>2444</v>
      </c>
      <c r="AL640" s="4" t="s">
        <v>53</v>
      </c>
      <c r="AM640" s="4" t="s">
        <v>128</v>
      </c>
      <c r="AN640" s="4" t="s">
        <v>87</v>
      </c>
      <c r="AO640" s="4" t="s">
        <v>244</v>
      </c>
      <c r="AP640" s="4" t="s">
        <v>245</v>
      </c>
      <c r="AQ640" s="4" t="s">
        <v>58</v>
      </c>
      <c r="AR640" s="4" t="s">
        <v>171</v>
      </c>
      <c r="AS640" s="4" t="s">
        <v>60</v>
      </c>
      <c r="AT640" s="0" t="n">
        <v>0.2</v>
      </c>
      <c r="AU640" s="4" t="s">
        <v>207</v>
      </c>
      <c r="AV640" s="4" t="s">
        <v>142</v>
      </c>
    </row>
    <row r="641" customFormat="false" ht="15" hidden="false" customHeight="false" outlineLevel="0" collapsed="false">
      <c r="A641" s="0" t="s">
        <v>2445</v>
      </c>
      <c r="B641" s="3" t="n">
        <f aca="false">IF(AJ641="","",IF(ISNUMBER(SEARCH("/",AJ641)),DATE(VALUE(RIGHT(AJ641,4)),VALUE(LEFT(AJ641,2)),VALUE(MID(AJ641,4,2))),IF(ISNUMBER(SEARCH("-",AJ641)),IF(LEN(LEFT(AJ641,FIND("-",AJ641)-1))=4,DATE(VALUE(LEFT(AJ641,4)),VALUE(MID(AJ641,6,2)),VALUE(RIGHT(AJ641,2))),DATE(VALUE(RIGHT(AJ641,4)),VALUE(MID(AJ641,4,2)),VALUE(LEFT(AJ641,2)))),DATE(VALUE(RIGHT(AJ641,4)),MATCH(MID(AJ641,4,3),{"Jan","Feb","Mar","Apr","May","Jun","Jul","Aug","Sep","Oct","Nov","Dec"},0),VALUE(LEFT(AJ641,2))))))</f>
        <v>45653</v>
      </c>
      <c r="C641" s="3" t="n">
        <f aca="false">IF(AK641="","",IF(ISNUMBER(SEARCH("/",AK641)),DATE(VALUE(RIGHT(AK641,4)),VALUE(LEFT(AK641,2)),VALUE(MID(AK641,4,2))),IF(ISNUMBER(SEARCH("-",AK641)),IF(LEN(LEFT(AK641,FIND("-",AK641)-1))=4,DATE(VALUE(LEFT(AK641,4)),VALUE(MID(AK641,6,2)),VALUE(RIGHT(AK641,2))),DATE(VALUE(RIGHT(AK641,4)),VALUE(MID(AK641,4,2)),VALUE(LEFT(AK641,2)))),DATE(VALUE(RIGHT(AK641,4)),MATCH(MID(AK641,4,3),{"Jan","Feb","Mar","Apr","May","Jun","Jul","Aug","Sep","Oct","Nov","Dec"},0),VALUE(LEFT(AK641,2))))))</f>
        <v>45657</v>
      </c>
      <c r="D641" s="4" t="s">
        <v>2446</v>
      </c>
      <c r="E641" s="0" t="str">
        <f aca="false">PROPER(TRIM(AL641))</f>
        <v>Isha Nair</v>
      </c>
      <c r="F641" s="0" t="str">
        <f aca="false">PROPER(TRIM(AM641))</f>
        <v>Small Business</v>
      </c>
      <c r="G641" s="0" t="str">
        <f aca="false">IF(TRIM(AN641)="","Unknown",PROPER(TRIM(AN641)))</f>
        <v>East</v>
      </c>
      <c r="H641" s="0" t="str">
        <f aca="false">PROPER(TRIM(AO641))</f>
        <v>Odisha</v>
      </c>
      <c r="I641" s="0" t="str">
        <f aca="false">PROPER(TRIM(AP641))</f>
        <v>Bhubaneswar</v>
      </c>
      <c r="J641" s="0" t="str">
        <f aca="false">PROPER(TRIM(AQ641))</f>
        <v>Furniture</v>
      </c>
      <c r="K641" s="0" t="str">
        <f aca="false">PROPER(TRIM(AR641))</f>
        <v>Chairs</v>
      </c>
      <c r="M641" s="0" t="str">
        <f aca="false">IF(TRIM(AS641)="","Unknown",PROPER(TRIM(AS641)))</f>
        <v>Second Class</v>
      </c>
      <c r="N641" s="0" t="n">
        <v>1</v>
      </c>
      <c r="O641" s="0" t="n">
        <v>1594.7</v>
      </c>
      <c r="P641" s="5" t="n">
        <f aca="false">IF(AT641="","",IF(ISNUMBER(AT641),AT641,VALUE(SUBSTITUTE(AT641,"%",""))/100))</f>
        <v>0.05</v>
      </c>
      <c r="Q641" s="5" t="n">
        <f aca="false">IF(P641="",IF(AND(N641&lt;&gt;"",O641&lt;&gt;"",R641&lt;&gt;"",S641&lt;&gt;""),0,"REVIEW"),IF(OR(P641&lt;0,P641&gt;0.3),0,P641))</f>
        <v>0.05</v>
      </c>
      <c r="R641" s="0" t="n">
        <v>1514.96</v>
      </c>
      <c r="S641" s="0" t="n">
        <v>1046.17</v>
      </c>
      <c r="T641" s="6" t="n">
        <f aca="false">N641*O641*(1-Q641)</f>
        <v>1514.965</v>
      </c>
      <c r="U641" s="6" t="n">
        <f aca="false">T641-S641</f>
        <v>468.795</v>
      </c>
      <c r="V641" s="7" t="n">
        <f aca="false">IF(T641=0,0,U641/T641)</f>
        <v>0.309442792407745</v>
      </c>
      <c r="W641" s="4" t="n">
        <f aca="false">C641-B641</f>
        <v>4</v>
      </c>
      <c r="X641" s="0" t="str">
        <f aca="false">TEXT(B641,"mmmm")</f>
        <v>December</v>
      </c>
      <c r="Y641" s="4" t="n">
        <f aca="false">YEAR(B641)</f>
        <v>2024</v>
      </c>
      <c r="Z641" s="0" t="str">
        <f aca="false">PROPER(TRIM(AU641))</f>
        <v>Paid</v>
      </c>
      <c r="AA641" s="0" t="str">
        <f aca="false">PROPER(TRIM(AV641))</f>
        <v>Completed</v>
      </c>
      <c r="AB641" s="0" t="str">
        <f aca="false">IF(TRIM(AN641)="","Yes","No")</f>
        <v>No</v>
      </c>
      <c r="AC641" s="0" t="str">
        <f aca="false">IF(TRIM(AS641)="","Yes","No")</f>
        <v>No</v>
      </c>
      <c r="AD641" s="0" t="str">
        <f aca="false">IF(AT641="","Yes","No")</f>
        <v>No</v>
      </c>
      <c r="AE641" s="0" t="str">
        <f aca="false">IF(W641&lt;0,"Yes","No")</f>
        <v>No</v>
      </c>
      <c r="AF641" s="0" t="str">
        <f aca="false">IF(P641="","No",IF(OR(P641&lt;0,P641&gt;0.3),"Yes","No"))</f>
        <v>No</v>
      </c>
      <c r="AG641" s="4" t="s">
        <v>50</v>
      </c>
      <c r="AH641" s="0" t="str">
        <f aca="false">IF(AND(AA641="Completed",Z641="Paid"),"Yes","No")</f>
        <v>Yes</v>
      </c>
      <c r="AI641" s="0" t="str">
        <f aca="false">IF(OR(AE641="Yes",AF641="Yes",AG641="Yes"),"Invalid",IF(OR(AB641="Yes",AC641="Yes",AD641="Yes"),"Warning","Clean"))</f>
        <v>Clean</v>
      </c>
      <c r="AJ641" s="4" t="s">
        <v>2447</v>
      </c>
      <c r="AK641" s="4" t="s">
        <v>1545</v>
      </c>
      <c r="AL641" s="4" t="s">
        <v>79</v>
      </c>
      <c r="AM641" s="4" t="s">
        <v>68</v>
      </c>
      <c r="AN641" s="4" t="s">
        <v>69</v>
      </c>
      <c r="AO641" s="4" t="s">
        <v>70</v>
      </c>
      <c r="AP641" s="4" t="s">
        <v>71</v>
      </c>
      <c r="AQ641" s="4" t="s">
        <v>72</v>
      </c>
      <c r="AR641" s="4" t="s">
        <v>100</v>
      </c>
      <c r="AS641" s="4" t="s">
        <v>60</v>
      </c>
      <c r="AT641" s="0" t="n">
        <v>0.05</v>
      </c>
      <c r="AU641" s="4" t="s">
        <v>61</v>
      </c>
      <c r="AV641" s="4" t="s">
        <v>62</v>
      </c>
    </row>
    <row r="642" customFormat="false" ht="15" hidden="false" customHeight="false" outlineLevel="0" collapsed="false">
      <c r="A642" s="0" t="s">
        <v>2448</v>
      </c>
      <c r="B642" s="3" t="n">
        <f aca="false">IF(AJ642="","",IF(ISNUMBER(SEARCH("/",AJ642)),DATE(VALUE(RIGHT(AJ642,4)),VALUE(LEFT(AJ642,2)),VALUE(MID(AJ642,4,2))),IF(ISNUMBER(SEARCH("-",AJ642)),IF(LEN(LEFT(AJ642,FIND("-",AJ642)-1))=4,DATE(VALUE(LEFT(AJ642,4)),VALUE(MID(AJ642,6,2)),VALUE(RIGHT(AJ642,2))),DATE(VALUE(RIGHT(AJ642,4)),VALUE(MID(AJ642,4,2)),VALUE(LEFT(AJ642,2)))),DATE(VALUE(RIGHT(AJ642,4)),MATCH(MID(AJ642,4,3),{"Jan","Feb","Mar","Apr","May","Jun","Jul","Aug","Sep","Oct","Nov","Dec"},0),VALUE(LEFT(AJ642,2))))))</f>
        <v>45671</v>
      </c>
      <c r="C642" s="3" t="n">
        <f aca="false">IF(AK642="","",IF(ISNUMBER(SEARCH("/",AK642)),DATE(VALUE(RIGHT(AK642,4)),VALUE(LEFT(AK642,2)),VALUE(MID(AK642,4,2))),IF(ISNUMBER(SEARCH("-",AK642)),IF(LEN(LEFT(AK642,FIND("-",AK642)-1))=4,DATE(VALUE(LEFT(AK642,4)),VALUE(MID(AK642,6,2)),VALUE(RIGHT(AK642,2))),DATE(VALUE(RIGHT(AK642,4)),VALUE(MID(AK642,4,2)),VALUE(LEFT(AK642,2)))),DATE(VALUE(RIGHT(AK642,4)),MATCH(MID(AK642,4,3),{"Jan","Feb","Mar","Apr","May","Jun","Jul","Aug","Sep","Oct","Nov","Dec"},0),VALUE(LEFT(AK642,2))))))</f>
        <v>45674</v>
      </c>
      <c r="D642" s="4" t="s">
        <v>2449</v>
      </c>
      <c r="E642" s="0" t="str">
        <f aca="false">PROPER(TRIM(AL642))</f>
        <v>Vikram Iyer</v>
      </c>
      <c r="F642" s="0" t="str">
        <f aca="false">PROPER(TRIM(AM642))</f>
        <v>Consumer</v>
      </c>
      <c r="G642" s="0" t="str">
        <f aca="false">IF(TRIM(AN642)="","Unknown",PROPER(TRIM(AN642)))</f>
        <v>West</v>
      </c>
      <c r="H642" s="0" t="str">
        <f aca="false">PROPER(TRIM(AO642))</f>
        <v>Goa</v>
      </c>
      <c r="I642" s="0" t="str">
        <f aca="false">PROPER(TRIM(AP642))</f>
        <v>Panaji</v>
      </c>
      <c r="J642" s="0" t="str">
        <f aca="false">PROPER(TRIM(AQ642))</f>
        <v>Office Supplies</v>
      </c>
      <c r="K642" s="0" t="str">
        <f aca="false">PROPER(TRIM(AR642))</f>
        <v>Storage</v>
      </c>
      <c r="M642" s="0" t="str">
        <f aca="false">IF(TRIM(AS642)="","Unknown",PROPER(TRIM(AS642)))</f>
        <v>First Class</v>
      </c>
      <c r="N642" s="0" t="n">
        <v>1</v>
      </c>
      <c r="O642" s="0" t="n">
        <v>1584.12</v>
      </c>
      <c r="P642" s="5" t="n">
        <f aca="false">IF(AT642="","",IF(ISNUMBER(AT642),AT642,VALUE(SUBSTITUTE(AT642,"%",""))/100))</f>
        <v>0.2</v>
      </c>
      <c r="Q642" s="5" t="n">
        <f aca="false">IF(P642="",IF(AND(N642&lt;&gt;"",O642&lt;&gt;"",R642&lt;&gt;"",S642&lt;&gt;""),0,"REVIEW"),IF(OR(P642&lt;0,P642&gt;0.3),0,P642))</f>
        <v>0.2</v>
      </c>
      <c r="R642" s="0" t="n">
        <v>1267.3</v>
      </c>
      <c r="S642" s="0" t="n">
        <v>923.53</v>
      </c>
      <c r="T642" s="6" t="n">
        <f aca="false">N642*O642*(1-Q642)</f>
        <v>1267.296</v>
      </c>
      <c r="U642" s="6" t="n">
        <f aca="false">T642-S642</f>
        <v>343.766</v>
      </c>
      <c r="V642" s="7" t="n">
        <f aca="false">IF(T642=0,0,U642/T642)</f>
        <v>0.271259437416357</v>
      </c>
      <c r="W642" s="4" t="n">
        <f aca="false">C642-B642</f>
        <v>3</v>
      </c>
      <c r="X642" s="0" t="str">
        <f aca="false">TEXT(B642,"mmmm")</f>
        <v>January</v>
      </c>
      <c r="Y642" s="4" t="n">
        <f aca="false">YEAR(B642)</f>
        <v>2025</v>
      </c>
      <c r="Z642" s="0" t="str">
        <f aca="false">PROPER(TRIM(AU642))</f>
        <v>Paid</v>
      </c>
      <c r="AA642" s="0" t="str">
        <f aca="false">PROPER(TRIM(AV642))</f>
        <v>Completed</v>
      </c>
      <c r="AB642" s="0" t="str">
        <f aca="false">IF(TRIM(AN642)="","Yes","No")</f>
        <v>No</v>
      </c>
      <c r="AC642" s="0" t="str">
        <f aca="false">IF(TRIM(AS642)="","Yes","No")</f>
        <v>No</v>
      </c>
      <c r="AD642" s="0" t="str">
        <f aca="false">IF(AT642="","Yes","No")</f>
        <v>No</v>
      </c>
      <c r="AE642" s="0" t="str">
        <f aca="false">IF(W642&lt;0,"Yes","No")</f>
        <v>No</v>
      </c>
      <c r="AF642" s="0" t="str">
        <f aca="false">IF(P642="","No",IF(OR(P642&lt;0,P642&gt;0.3),"Yes","No"))</f>
        <v>No</v>
      </c>
      <c r="AG642" s="4" t="s">
        <v>50</v>
      </c>
      <c r="AH642" s="0" t="str">
        <f aca="false">IF(AND(AA642="Completed",Z642="Paid"),"Yes","No")</f>
        <v>Yes</v>
      </c>
      <c r="AI642" s="0" t="str">
        <f aca="false">IF(OR(AE642="Yes",AF642="Yes",AG642="Yes"),"Invalid",IF(OR(AB642="Yes",AC642="Yes",AD642="Yes"),"Warning","Clean"))</f>
        <v>Clean</v>
      </c>
      <c r="AJ642" s="4" t="s">
        <v>2450</v>
      </c>
      <c r="AK642" s="4" t="s">
        <v>2451</v>
      </c>
      <c r="AL642" s="4" t="s">
        <v>106</v>
      </c>
      <c r="AM642" s="4" t="s">
        <v>54</v>
      </c>
      <c r="AN642" s="4" t="s">
        <v>97</v>
      </c>
      <c r="AO642" s="4" t="s">
        <v>250</v>
      </c>
      <c r="AP642" s="4" t="s">
        <v>251</v>
      </c>
      <c r="AQ642" s="4" t="s">
        <v>58</v>
      </c>
      <c r="AR642" s="4" t="s">
        <v>171</v>
      </c>
      <c r="AS642" s="4" t="s">
        <v>81</v>
      </c>
      <c r="AT642" s="0" t="n">
        <v>0.2</v>
      </c>
      <c r="AU642" s="4" t="s">
        <v>61</v>
      </c>
      <c r="AV642" s="4" t="s">
        <v>62</v>
      </c>
    </row>
    <row r="643" customFormat="false" ht="15" hidden="false" customHeight="false" outlineLevel="0" collapsed="false">
      <c r="A643" s="0" t="s">
        <v>2452</v>
      </c>
      <c r="B643" s="3" t="n">
        <f aca="false">IF(AJ643="","",IF(ISNUMBER(SEARCH("/",AJ643)),DATE(VALUE(RIGHT(AJ643,4)),VALUE(LEFT(AJ643,2)),VALUE(MID(AJ643,4,2))),IF(ISNUMBER(SEARCH("-",AJ643)),IF(LEN(LEFT(AJ643,FIND("-",AJ643)-1))=4,DATE(VALUE(LEFT(AJ643,4)),VALUE(MID(AJ643,6,2)),VALUE(RIGHT(AJ643,2))),DATE(VALUE(RIGHT(AJ643,4)),VALUE(MID(AJ643,4,2)),VALUE(LEFT(AJ643,2)))),DATE(VALUE(RIGHT(AJ643,4)),MATCH(MID(AJ643,4,3),{"Jan","Feb","Mar","Apr","May","Jun","Jul","Aug","Sep","Oct","Nov","Dec"},0),VALUE(LEFT(AJ643,2))))))</f>
        <v>45756</v>
      </c>
      <c r="C643" s="3" t="n">
        <f aca="false">IF(AK643="","",IF(ISNUMBER(SEARCH("/",AK643)),DATE(VALUE(RIGHT(AK643,4)),VALUE(LEFT(AK643,2)),VALUE(MID(AK643,4,2))),IF(ISNUMBER(SEARCH("-",AK643)),IF(LEN(LEFT(AK643,FIND("-",AK643)-1))=4,DATE(VALUE(LEFT(AK643,4)),VALUE(MID(AK643,6,2)),VALUE(RIGHT(AK643,2))),DATE(VALUE(RIGHT(AK643,4)),VALUE(MID(AK643,4,2)),VALUE(LEFT(AK643,2)))),DATE(VALUE(RIGHT(AK643,4)),MATCH(MID(AK643,4,3),{"Jan","Feb","Mar","Apr","May","Jun","Jul","Aug","Sep","Oct","Nov","Dec"},0),VALUE(LEFT(AK643,2))))))</f>
        <v>45761</v>
      </c>
      <c r="D643" s="4" t="s">
        <v>2453</v>
      </c>
      <c r="E643" s="0" t="str">
        <f aca="false">PROPER(TRIM(AL643))</f>
        <v>Karan Malhotra</v>
      </c>
      <c r="F643" s="0" t="str">
        <f aca="false">PROPER(TRIM(AM643))</f>
        <v>Consumer</v>
      </c>
      <c r="G643" s="0" t="str">
        <f aca="false">IF(TRIM(AN643)="","Unknown",PROPER(TRIM(AN643)))</f>
        <v>North</v>
      </c>
      <c r="H643" s="0" t="str">
        <f aca="false">PROPER(TRIM(AO643))</f>
        <v>Delhi</v>
      </c>
      <c r="I643" s="0" t="str">
        <f aca="false">PROPER(TRIM(AP643))</f>
        <v>New Delhi</v>
      </c>
      <c r="J643" s="0" t="str">
        <f aca="false">PROPER(TRIM(AQ643))</f>
        <v>Furniture</v>
      </c>
      <c r="K643" s="0" t="str">
        <f aca="false">PROPER(TRIM(AR643))</f>
        <v>Furnishings</v>
      </c>
      <c r="M643" s="0" t="str">
        <f aca="false">IF(TRIM(AS643)="","Unknown",PROPER(TRIM(AS643)))</f>
        <v>Same Day</v>
      </c>
      <c r="N643" s="0" t="n">
        <v>2</v>
      </c>
      <c r="O643" s="0" t="n">
        <v>3202.87</v>
      </c>
      <c r="P643" s="5" t="n">
        <f aca="false">IF(AT643="","",IF(ISNUMBER(AT643),AT643,VALUE(SUBSTITUTE(AT643,"%",""))/100))</f>
        <v>0</v>
      </c>
      <c r="Q643" s="5" t="n">
        <f aca="false">IF(P643="",IF(AND(N643&lt;&gt;"",O643&lt;&gt;"",R643&lt;&gt;"",S643&lt;&gt;""),0,"REVIEW"),IF(OR(P643&lt;0,P643&gt;0.3),0,P643))</f>
        <v>0</v>
      </c>
      <c r="R643" s="0" t="n">
        <v>6405.74</v>
      </c>
      <c r="S643" s="0" t="n">
        <v>3561.87</v>
      </c>
      <c r="T643" s="6" t="n">
        <f aca="false">N643*O643*(1-Q643)</f>
        <v>6405.74</v>
      </c>
      <c r="U643" s="6" t="n">
        <f aca="false">T643-S643</f>
        <v>2843.87</v>
      </c>
      <c r="V643" s="7" t="n">
        <f aca="false">IF(T643=0,0,U643/T643)</f>
        <v>0.443956514001505</v>
      </c>
      <c r="W643" s="4" t="n">
        <f aca="false">C643-B643</f>
        <v>5</v>
      </c>
      <c r="X643" s="0" t="str">
        <f aca="false">TEXT(B643,"mmmm")</f>
        <v>April</v>
      </c>
      <c r="Y643" s="4" t="n">
        <f aca="false">YEAR(B643)</f>
        <v>2025</v>
      </c>
      <c r="Z643" s="0" t="str">
        <f aca="false">PROPER(TRIM(AU643))</f>
        <v>Paid</v>
      </c>
      <c r="AA643" s="0" t="str">
        <f aca="false">PROPER(TRIM(AV643))</f>
        <v>Completed</v>
      </c>
      <c r="AB643" s="0" t="str">
        <f aca="false">IF(TRIM(AN643)="","Yes","No")</f>
        <v>No</v>
      </c>
      <c r="AC643" s="0" t="str">
        <f aca="false">IF(TRIM(AS643)="","Yes","No")</f>
        <v>No</v>
      </c>
      <c r="AD643" s="0" t="str">
        <f aca="false">IF(AT643="","Yes","No")</f>
        <v>No</v>
      </c>
      <c r="AE643" s="0" t="str">
        <f aca="false">IF(W643&lt;0,"Yes","No")</f>
        <v>No</v>
      </c>
      <c r="AF643" s="0" t="str">
        <f aca="false">IF(P643="","No",IF(OR(P643&lt;0,P643&gt;0.3),"Yes","No"))</f>
        <v>No</v>
      </c>
      <c r="AG643" s="4" t="s">
        <v>50</v>
      </c>
      <c r="AH643" s="0" t="str">
        <f aca="false">IF(AND(AA643="Completed",Z643="Paid"),"Yes","No")</f>
        <v>Yes</v>
      </c>
      <c r="AI643" s="0" t="str">
        <f aca="false">IF(OR(AE643="Yes",AF643="Yes",AG643="Yes"),"Invalid",IF(OR(AB643="Yes",AC643="Yes",AD643="Yes"),"Warning","Clean"))</f>
        <v>Clean</v>
      </c>
      <c r="AJ643" s="4" t="s">
        <v>2454</v>
      </c>
      <c r="AK643" s="4" t="s">
        <v>1615</v>
      </c>
      <c r="AL643" s="4" t="s">
        <v>53</v>
      </c>
      <c r="AM643" s="4" t="s">
        <v>54</v>
      </c>
      <c r="AN643" s="4" t="s">
        <v>168</v>
      </c>
      <c r="AO643" s="4" t="s">
        <v>461</v>
      </c>
      <c r="AP643" s="4" t="s">
        <v>462</v>
      </c>
      <c r="AQ643" s="4" t="s">
        <v>72</v>
      </c>
      <c r="AR643" s="4" t="s">
        <v>90</v>
      </c>
      <c r="AS643" s="4" t="s">
        <v>74</v>
      </c>
      <c r="AT643" s="0" t="n">
        <v>0</v>
      </c>
      <c r="AU643" s="4" t="s">
        <v>61</v>
      </c>
      <c r="AV643" s="4" t="s">
        <v>62</v>
      </c>
    </row>
    <row r="644" customFormat="false" ht="15" hidden="false" customHeight="false" outlineLevel="0" collapsed="false">
      <c r="A644" s="0" t="s">
        <v>2455</v>
      </c>
      <c r="B644" s="3" t="n">
        <f aca="false">IF(AJ644="","",IF(ISNUMBER(SEARCH("/",AJ644)),DATE(VALUE(RIGHT(AJ644,4)),VALUE(LEFT(AJ644,2)),VALUE(MID(AJ644,4,2))),IF(ISNUMBER(SEARCH("-",AJ644)),IF(LEN(LEFT(AJ644,FIND("-",AJ644)-1))=4,DATE(VALUE(LEFT(AJ644,4)),VALUE(MID(AJ644,6,2)),VALUE(RIGHT(AJ644,2))),DATE(VALUE(RIGHT(AJ644,4)),VALUE(MID(AJ644,4,2)),VALUE(LEFT(AJ644,2)))),DATE(VALUE(RIGHT(AJ644,4)),MATCH(MID(AJ644,4,3),{"Jan","Feb","Mar","Apr","May","Jun","Jul","Aug","Sep","Oct","Nov","Dec"},0),VALUE(LEFT(AJ644,2))))))</f>
        <v>45533</v>
      </c>
      <c r="C644" s="3" t="n">
        <f aca="false">IF(AK644="","",IF(ISNUMBER(SEARCH("/",AK644)),DATE(VALUE(RIGHT(AK644,4)),VALUE(LEFT(AK644,2)),VALUE(MID(AK644,4,2))),IF(ISNUMBER(SEARCH("-",AK644)),IF(LEN(LEFT(AK644,FIND("-",AK644)-1))=4,DATE(VALUE(LEFT(AK644,4)),VALUE(MID(AK644,6,2)),VALUE(RIGHT(AK644,2))),DATE(VALUE(RIGHT(AK644,4)),VALUE(MID(AK644,4,2)),VALUE(LEFT(AK644,2)))),DATE(VALUE(RIGHT(AK644,4)),MATCH(MID(AK644,4,3),{"Jan","Feb","Mar","Apr","May","Jun","Jul","Aug","Sep","Oct","Nov","Dec"},0),VALUE(LEFT(AK644,2))))))</f>
        <v>45535</v>
      </c>
      <c r="D644" s="4" t="s">
        <v>2456</v>
      </c>
      <c r="E644" s="0" t="str">
        <f aca="false">PROPER(TRIM(AL644))</f>
        <v>Isha Nair</v>
      </c>
      <c r="F644" s="0" t="str">
        <f aca="false">PROPER(TRIM(AM644))</f>
        <v>Home Office</v>
      </c>
      <c r="G644" s="0" t="str">
        <f aca="false">IF(TRIM(AN644)="","Unknown",PROPER(TRIM(AN644)))</f>
        <v>East</v>
      </c>
      <c r="H644" s="0" t="str">
        <f aca="false">PROPER(TRIM(AO644))</f>
        <v>Assam</v>
      </c>
      <c r="I644" s="0" t="str">
        <f aca="false">PROPER(TRIM(AP644))</f>
        <v>Guwahati</v>
      </c>
      <c r="J644" s="0" t="str">
        <f aca="false">PROPER(TRIM(AQ644))</f>
        <v>Office Supplies</v>
      </c>
      <c r="K644" s="0" t="str">
        <f aca="false">PROPER(TRIM(AR644))</f>
        <v>Binders</v>
      </c>
      <c r="M644" s="0" t="str">
        <f aca="false">IF(TRIM(AS644)="","Unknown",PROPER(TRIM(AS644)))</f>
        <v>Second Class</v>
      </c>
      <c r="N644" s="0" t="n">
        <v>9</v>
      </c>
      <c r="O644" s="0" t="n">
        <v>1275.21</v>
      </c>
      <c r="P644" s="5" t="n">
        <f aca="false">IF(AT644="","",IF(ISNUMBER(AT644),AT644,VALUE(SUBSTITUTE(AT644,"%",""))/100))</f>
        <v>0.25</v>
      </c>
      <c r="Q644" s="5" t="n">
        <f aca="false">IF(P644="",IF(AND(N644&lt;&gt;"",O644&lt;&gt;"",R644&lt;&gt;"",S644&lt;&gt;""),0,"REVIEW"),IF(OR(P644&lt;0,P644&gt;0.3),0,P644))</f>
        <v>0.25</v>
      </c>
      <c r="R644" s="0" t="n">
        <v>8607.67</v>
      </c>
      <c r="S644" s="0" t="n">
        <v>5337.64</v>
      </c>
      <c r="T644" s="6" t="n">
        <f aca="false">N644*O644*(1-Q644)</f>
        <v>8607.6675</v>
      </c>
      <c r="U644" s="6" t="n">
        <f aca="false">T644-S644</f>
        <v>3270.0275</v>
      </c>
      <c r="V644" s="7" t="n">
        <f aca="false">IF(T644=0,0,U644/T644)</f>
        <v>0.379897051088463</v>
      </c>
      <c r="W644" s="4" t="n">
        <f aca="false">C644-B644</f>
        <v>2</v>
      </c>
      <c r="X644" s="0" t="str">
        <f aca="false">TEXT(B644,"mmmm")</f>
        <v>August</v>
      </c>
      <c r="Y644" s="4" t="n">
        <f aca="false">YEAR(B644)</f>
        <v>2024</v>
      </c>
      <c r="Z644" s="0" t="str">
        <f aca="false">PROPER(TRIM(AU644))</f>
        <v>Failed</v>
      </c>
      <c r="AA644" s="0" t="str">
        <f aca="false">PROPER(TRIM(AV644))</f>
        <v>Returned</v>
      </c>
      <c r="AB644" s="0" t="str">
        <f aca="false">IF(TRIM(AN644)="","Yes","No")</f>
        <v>No</v>
      </c>
      <c r="AC644" s="0" t="str">
        <f aca="false">IF(TRIM(AS644)="","Yes","No")</f>
        <v>No</v>
      </c>
      <c r="AD644" s="0" t="str">
        <f aca="false">IF(AT644="","Yes","No")</f>
        <v>No</v>
      </c>
      <c r="AE644" s="0" t="str">
        <f aca="false">IF(W644&lt;0,"Yes","No")</f>
        <v>No</v>
      </c>
      <c r="AF644" s="0" t="str">
        <f aca="false">IF(P644="","No",IF(OR(P644&lt;0,P644&gt;0.3),"Yes","No"))</f>
        <v>No</v>
      </c>
      <c r="AG644" s="4" t="s">
        <v>50</v>
      </c>
      <c r="AH644" s="0" t="str">
        <f aca="false">IF(AND(AA644="Completed",Z644="Paid"),"Yes","No")</f>
        <v>No</v>
      </c>
      <c r="AI644" s="0" t="str">
        <f aca="false">IF(OR(AE644="Yes",AF644="Yes",AG644="Yes"),"Invalid",IF(OR(AB644="Yes",AC644="Yes",AD644="Yes"),"Warning","Clean"))</f>
        <v>Clean</v>
      </c>
      <c r="AJ644" s="4" t="s">
        <v>1606</v>
      </c>
      <c r="AK644" s="4" t="s">
        <v>65</v>
      </c>
      <c r="AL644" s="4" t="s">
        <v>79</v>
      </c>
      <c r="AM644" s="4" t="s">
        <v>134</v>
      </c>
      <c r="AN644" s="4" t="s">
        <v>69</v>
      </c>
      <c r="AO644" s="4" t="s">
        <v>221</v>
      </c>
      <c r="AP644" s="4" t="s">
        <v>222</v>
      </c>
      <c r="AQ644" s="4" t="s">
        <v>58</v>
      </c>
      <c r="AR644" s="4" t="s">
        <v>2457</v>
      </c>
      <c r="AS644" s="4" t="s">
        <v>60</v>
      </c>
      <c r="AT644" s="0" t="n">
        <v>0.25</v>
      </c>
      <c r="AU644" s="4" t="s">
        <v>207</v>
      </c>
      <c r="AV644" s="4" t="s">
        <v>142</v>
      </c>
    </row>
    <row r="645" customFormat="false" ht="15" hidden="false" customHeight="false" outlineLevel="0" collapsed="false">
      <c r="A645" s="0" t="s">
        <v>2458</v>
      </c>
      <c r="B645" s="3" t="n">
        <f aca="false">IF(AJ645="","",IF(ISNUMBER(SEARCH("/",AJ645)),DATE(VALUE(RIGHT(AJ645,4)),VALUE(LEFT(AJ645,2)),VALUE(MID(AJ645,4,2))),IF(ISNUMBER(SEARCH("-",AJ645)),IF(LEN(LEFT(AJ645,FIND("-",AJ645)-1))=4,DATE(VALUE(LEFT(AJ645,4)),VALUE(MID(AJ645,6,2)),VALUE(RIGHT(AJ645,2))),DATE(VALUE(RIGHT(AJ645,4)),VALUE(MID(AJ645,4,2)),VALUE(LEFT(AJ645,2)))),DATE(VALUE(RIGHT(AJ645,4)),MATCH(MID(AJ645,4,3),{"Jan","Feb","Mar","Apr","May","Jun","Jul","Aug","Sep","Oct","Nov","Dec"},0),VALUE(LEFT(AJ645,2))))))</f>
        <v>45327</v>
      </c>
      <c r="C645" s="3" t="n">
        <f aca="false">IF(AK645="","",IF(ISNUMBER(SEARCH("/",AK645)),DATE(VALUE(RIGHT(AK645,4)),VALUE(LEFT(AK645,2)),VALUE(MID(AK645,4,2))),IF(ISNUMBER(SEARCH("-",AK645)),IF(LEN(LEFT(AK645,FIND("-",AK645)-1))=4,DATE(VALUE(LEFT(AK645,4)),VALUE(MID(AK645,6,2)),VALUE(RIGHT(AK645,2))),DATE(VALUE(RIGHT(AK645,4)),VALUE(MID(AK645,4,2)),VALUE(LEFT(AK645,2)))),DATE(VALUE(RIGHT(AK645,4)),MATCH(MID(AK645,4,3),{"Jan","Feb","Mar","Apr","May","Jun","Jul","Aug","Sep","Oct","Nov","Dec"},0),VALUE(LEFT(AK645,2))))))</f>
        <v>45335</v>
      </c>
      <c r="D645" s="4" t="s">
        <v>933</v>
      </c>
      <c r="E645" s="0" t="str">
        <f aca="false">PROPER(TRIM(AL645))</f>
        <v>Aarav Sharma</v>
      </c>
      <c r="F645" s="0" t="str">
        <f aca="false">PROPER(TRIM(AM645))</f>
        <v>Home Office</v>
      </c>
      <c r="G645" s="0" t="str">
        <f aca="false">IF(TRIM(AN645)="","Unknown",PROPER(TRIM(AN645)))</f>
        <v>North</v>
      </c>
      <c r="H645" s="0" t="str">
        <f aca="false">PROPER(TRIM(AO645))</f>
        <v>Uttar Pradesh</v>
      </c>
      <c r="I645" s="0" t="str">
        <f aca="false">PROPER(TRIM(AP645))</f>
        <v>Noida</v>
      </c>
      <c r="J645" s="0" t="str">
        <f aca="false">PROPER(TRIM(AQ645))</f>
        <v>Office Supplies</v>
      </c>
      <c r="K645" s="0" t="str">
        <f aca="false">PROPER(TRIM(AR645))</f>
        <v>Labels</v>
      </c>
      <c r="M645" s="0" t="str">
        <f aca="false">IF(TRIM(AS645)="","Unknown",PROPER(TRIM(AS645)))</f>
        <v>Standard Class</v>
      </c>
      <c r="N645" s="0" t="n">
        <v>8</v>
      </c>
      <c r="O645" s="0" t="n">
        <v>3871.18</v>
      </c>
      <c r="P645" s="5" t="n">
        <f aca="false">IF(AT645="","",IF(ISNUMBER(AT645),AT645,VALUE(SUBSTITUTE(AT645,"%",""))/100))</f>
        <v>0.15</v>
      </c>
      <c r="Q645" s="5" t="n">
        <f aca="false">IF(P645="",IF(AND(N645&lt;&gt;"",O645&lt;&gt;"",R645&lt;&gt;"",S645&lt;&gt;""),0,"REVIEW"),IF(OR(P645&lt;0,P645&gt;0.3),0,P645))</f>
        <v>0.15</v>
      </c>
      <c r="R645" s="0" t="n">
        <v>26324.02</v>
      </c>
      <c r="S645" s="0" t="n">
        <v>16277.96</v>
      </c>
      <c r="T645" s="6" t="n">
        <f aca="false">N645*O645*(1-Q645)</f>
        <v>26324.024</v>
      </c>
      <c r="U645" s="6" t="n">
        <f aca="false">T645-S645</f>
        <v>10046.064</v>
      </c>
      <c r="V645" s="7" t="n">
        <f aca="false">IF(T645=0,0,U645/T645)</f>
        <v>0.381631015075811</v>
      </c>
      <c r="W645" s="4" t="n">
        <f aca="false">C645-B645</f>
        <v>8</v>
      </c>
      <c r="X645" s="0" t="str">
        <f aca="false">TEXT(B645,"mmmm")</f>
        <v>February</v>
      </c>
      <c r="Y645" s="4" t="n">
        <f aca="false">YEAR(B645)</f>
        <v>2024</v>
      </c>
      <c r="Z645" s="0" t="str">
        <f aca="false">PROPER(TRIM(AU645))</f>
        <v>Failed</v>
      </c>
      <c r="AA645" s="0" t="str">
        <f aca="false">PROPER(TRIM(AV645))</f>
        <v>Returned</v>
      </c>
      <c r="AB645" s="0" t="str">
        <f aca="false">IF(TRIM(AN645)="","Yes","No")</f>
        <v>No</v>
      </c>
      <c r="AC645" s="0" t="str">
        <f aca="false">IF(TRIM(AS645)="","Yes","No")</f>
        <v>No</v>
      </c>
      <c r="AD645" s="0" t="str">
        <f aca="false">IF(AT645="","Yes","No")</f>
        <v>No</v>
      </c>
      <c r="AE645" s="0" t="str">
        <f aca="false">IF(W645&lt;0,"Yes","No")</f>
        <v>No</v>
      </c>
      <c r="AF645" s="0" t="str">
        <f aca="false">IF(P645="","No",IF(OR(P645&lt;0,P645&gt;0.3),"Yes","No"))</f>
        <v>No</v>
      </c>
      <c r="AG645" s="4" t="s">
        <v>50</v>
      </c>
      <c r="AH645" s="0" t="str">
        <f aca="false">IF(AND(AA645="Completed",Z645="Paid"),"Yes","No")</f>
        <v>No</v>
      </c>
      <c r="AI645" s="0" t="str">
        <f aca="false">IF(OR(AE645="Yes",AF645="Yes",AG645="Yes"),"Invalid",IF(OR(AB645="Yes",AC645="Yes",AD645="Yes"),"Warning","Clean"))</f>
        <v>Clean</v>
      </c>
      <c r="AJ645" s="4" t="s">
        <v>2459</v>
      </c>
      <c r="AK645" s="4" t="s">
        <v>2460</v>
      </c>
      <c r="AL645" s="4" t="s">
        <v>176</v>
      </c>
      <c r="AM645" s="4" t="s">
        <v>134</v>
      </c>
      <c r="AN645" s="4" t="s">
        <v>168</v>
      </c>
      <c r="AO645" s="4" t="s">
        <v>186</v>
      </c>
      <c r="AP645" s="4" t="s">
        <v>187</v>
      </c>
      <c r="AQ645" s="4" t="s">
        <v>58</v>
      </c>
      <c r="AR645" s="4" t="s">
        <v>129</v>
      </c>
      <c r="AS645" s="4" t="s">
        <v>91</v>
      </c>
      <c r="AT645" s="0" t="n">
        <v>0.15</v>
      </c>
      <c r="AU645" s="4" t="s">
        <v>207</v>
      </c>
      <c r="AV645" s="4" t="s">
        <v>142</v>
      </c>
    </row>
    <row r="646" customFormat="false" ht="15" hidden="false" customHeight="false" outlineLevel="0" collapsed="false">
      <c r="A646" s="0" t="s">
        <v>2461</v>
      </c>
      <c r="B646" s="3" t="n">
        <f aca="false">IF(AJ646="","",IF(ISNUMBER(SEARCH("/",AJ646)),DATE(VALUE(RIGHT(AJ646,4)),VALUE(LEFT(AJ646,2)),VALUE(MID(AJ646,4,2))),IF(ISNUMBER(SEARCH("-",AJ646)),IF(LEN(LEFT(AJ646,FIND("-",AJ646)-1))=4,DATE(VALUE(LEFT(AJ646,4)),VALUE(MID(AJ646,6,2)),VALUE(RIGHT(AJ646,2))),DATE(VALUE(RIGHT(AJ646,4)),VALUE(MID(AJ646,4,2)),VALUE(LEFT(AJ646,2)))),DATE(VALUE(RIGHT(AJ646,4)),MATCH(MID(AJ646,4,3),{"Jan","Feb","Mar","Apr","May","Jun","Jul","Aug","Sep","Oct","Nov","Dec"},0),VALUE(LEFT(AJ646,2))))))</f>
        <v>45757</v>
      </c>
      <c r="C646" s="3" t="n">
        <f aca="false">IF(AK646="","",IF(ISNUMBER(SEARCH("/",AK646)),DATE(VALUE(RIGHT(AK646,4)),VALUE(LEFT(AK646,2)),VALUE(MID(AK646,4,2))),IF(ISNUMBER(SEARCH("-",AK646)),IF(LEN(LEFT(AK646,FIND("-",AK646)-1))=4,DATE(VALUE(LEFT(AK646,4)),VALUE(MID(AK646,6,2)),VALUE(RIGHT(AK646,2))),DATE(VALUE(RIGHT(AK646,4)),VALUE(MID(AK646,4,2)),VALUE(LEFT(AK646,2)))),DATE(VALUE(RIGHT(AK646,4)),MATCH(MID(AK646,4,3),{"Jan","Feb","Mar","Apr","May","Jun","Jul","Aug","Sep","Oct","Nov","Dec"},0),VALUE(LEFT(AK646,2))))))</f>
        <v>45764</v>
      </c>
      <c r="D646" s="4" t="s">
        <v>2462</v>
      </c>
      <c r="E646" s="0" t="str">
        <f aca="false">PROPER(TRIM(AL646))</f>
        <v>Vikram Iyer</v>
      </c>
      <c r="F646" s="0" t="str">
        <f aca="false">PROPER(TRIM(AM646))</f>
        <v>Consumer</v>
      </c>
      <c r="G646" s="0" t="str">
        <f aca="false">IF(TRIM(AN646)="","Unknown",PROPER(TRIM(AN646)))</f>
        <v>East</v>
      </c>
      <c r="H646" s="0" t="str">
        <f aca="false">PROPER(TRIM(AO646))</f>
        <v>West Bengal</v>
      </c>
      <c r="I646" s="0" t="str">
        <f aca="false">PROPER(TRIM(AP646))</f>
        <v>Kolkata</v>
      </c>
      <c r="J646" s="0" t="str">
        <f aca="false">PROPER(TRIM(AQ646))</f>
        <v>Furniture</v>
      </c>
      <c r="K646" s="0" t="str">
        <f aca="false">PROPER(TRIM(AR646))</f>
        <v>Chairs</v>
      </c>
      <c r="M646" s="0" t="str">
        <f aca="false">IF(TRIM(AS646)="","Unknown",PROPER(TRIM(AS646)))</f>
        <v>Standard Class</v>
      </c>
      <c r="N646" s="0" t="n">
        <v>4</v>
      </c>
      <c r="O646" s="0" t="n">
        <v>3750.02</v>
      </c>
      <c r="P646" s="5" t="n">
        <f aca="false">IF(AT646="","",IF(ISNUMBER(AT646),AT646,VALUE(SUBSTITUTE(AT646,"%",""))/100))</f>
        <v>0.05</v>
      </c>
      <c r="Q646" s="5" t="n">
        <f aca="false">IF(P646="",IF(AND(N646&lt;&gt;"",O646&lt;&gt;"",R646&lt;&gt;"",S646&lt;&gt;""),0,"REVIEW"),IF(OR(P646&lt;0,P646&gt;0.3),0,P646))</f>
        <v>0.05</v>
      </c>
      <c r="R646" s="0" t="n">
        <v>14250.08</v>
      </c>
      <c r="S646" s="0" t="n">
        <v>10914.92</v>
      </c>
      <c r="T646" s="6" t="n">
        <f aca="false">N646*O646*(1-Q646)</f>
        <v>14250.076</v>
      </c>
      <c r="U646" s="6" t="n">
        <f aca="false">T646-S646</f>
        <v>3335.156</v>
      </c>
      <c r="V646" s="7" t="n">
        <f aca="false">IF(T646=0,0,U646/T646)</f>
        <v>0.234044786848856</v>
      </c>
      <c r="W646" s="4" t="n">
        <f aca="false">C646-B646</f>
        <v>7</v>
      </c>
      <c r="X646" s="0" t="str">
        <f aca="false">TEXT(B646,"mmmm")</f>
        <v>April</v>
      </c>
      <c r="Y646" s="4" t="n">
        <f aca="false">YEAR(B646)</f>
        <v>2025</v>
      </c>
      <c r="Z646" s="0" t="str">
        <f aca="false">PROPER(TRIM(AU646))</f>
        <v>Paid</v>
      </c>
      <c r="AA646" s="0" t="str">
        <f aca="false">PROPER(TRIM(AV646))</f>
        <v>Completed</v>
      </c>
      <c r="AB646" s="0" t="str">
        <f aca="false">IF(TRIM(AN646)="","Yes","No")</f>
        <v>No</v>
      </c>
      <c r="AC646" s="0" t="str">
        <f aca="false">IF(TRIM(AS646)="","Yes","No")</f>
        <v>No</v>
      </c>
      <c r="AD646" s="0" t="str">
        <f aca="false">IF(AT646="","Yes","No")</f>
        <v>No</v>
      </c>
      <c r="AE646" s="0" t="str">
        <f aca="false">IF(W646&lt;0,"Yes","No")</f>
        <v>No</v>
      </c>
      <c r="AF646" s="0" t="str">
        <f aca="false">IF(P646="","No",IF(OR(P646&lt;0,P646&gt;0.3),"Yes","No"))</f>
        <v>No</v>
      </c>
      <c r="AG646" s="4" t="s">
        <v>50</v>
      </c>
      <c r="AH646" s="0" t="str">
        <f aca="false">IF(AND(AA646="Completed",Z646="Paid"),"Yes","No")</f>
        <v>Yes</v>
      </c>
      <c r="AI646" s="0" t="str">
        <f aca="false">IF(OR(AE646="Yes",AF646="Yes",AG646="Yes"),"Invalid",IF(OR(AB646="Yes",AC646="Yes",AD646="Yes"),"Warning","Clean"))</f>
        <v>Clean</v>
      </c>
      <c r="AJ646" s="4" t="s">
        <v>2110</v>
      </c>
      <c r="AK646" s="4" t="s">
        <v>2463</v>
      </c>
      <c r="AL646" s="4" t="s">
        <v>106</v>
      </c>
      <c r="AM646" s="4" t="s">
        <v>54</v>
      </c>
      <c r="AN646" s="4" t="s">
        <v>69</v>
      </c>
      <c r="AO646" s="4" t="s">
        <v>139</v>
      </c>
      <c r="AP646" s="4" t="s">
        <v>140</v>
      </c>
      <c r="AQ646" s="4" t="s">
        <v>72</v>
      </c>
      <c r="AR646" s="4" t="s">
        <v>100</v>
      </c>
      <c r="AS646" s="4" t="s">
        <v>91</v>
      </c>
      <c r="AT646" s="0" t="n">
        <v>0.05</v>
      </c>
      <c r="AU646" s="4" t="s">
        <v>61</v>
      </c>
      <c r="AV646" s="4" t="s">
        <v>62</v>
      </c>
    </row>
    <row r="647" customFormat="false" ht="15" hidden="false" customHeight="false" outlineLevel="0" collapsed="false">
      <c r="A647" s="0" t="s">
        <v>2464</v>
      </c>
      <c r="B647" s="3" t="n">
        <f aca="false">IF(AJ647="","",IF(ISNUMBER(SEARCH("/",AJ647)),DATE(VALUE(RIGHT(AJ647,4)),VALUE(LEFT(AJ647,2)),VALUE(MID(AJ647,4,2))),IF(ISNUMBER(SEARCH("-",AJ647)),IF(LEN(LEFT(AJ647,FIND("-",AJ647)-1))=4,DATE(VALUE(LEFT(AJ647,4)),VALUE(MID(AJ647,6,2)),VALUE(RIGHT(AJ647,2))),DATE(VALUE(RIGHT(AJ647,4)),VALUE(MID(AJ647,4,2)),VALUE(LEFT(AJ647,2)))),DATE(VALUE(RIGHT(AJ647,4)),MATCH(MID(AJ647,4,3),{"Jan","Feb","Mar","Apr","May","Jun","Jul","Aug","Sep","Oct","Nov","Dec"},0),VALUE(LEFT(AJ647,2))))))</f>
        <v>45295</v>
      </c>
      <c r="C647" s="3" t="n">
        <f aca="false">IF(AK647="","",IF(ISNUMBER(SEARCH("/",AK647)),DATE(VALUE(RIGHT(AK647,4)),VALUE(LEFT(AK647,2)),VALUE(MID(AK647,4,2))),IF(ISNUMBER(SEARCH("-",AK647)),IF(LEN(LEFT(AK647,FIND("-",AK647)-1))=4,DATE(VALUE(LEFT(AK647,4)),VALUE(MID(AK647,6,2)),VALUE(RIGHT(AK647,2))),DATE(VALUE(RIGHT(AK647,4)),VALUE(MID(AK647,4,2)),VALUE(LEFT(AK647,2)))),DATE(VALUE(RIGHT(AK647,4)),MATCH(MID(AK647,4,3),{"Jan","Feb","Mar","Apr","May","Jun","Jul","Aug","Sep","Oct","Nov","Dec"},0),VALUE(LEFT(AK647,2))))))</f>
        <v>45300</v>
      </c>
      <c r="D647" s="4" t="s">
        <v>2465</v>
      </c>
      <c r="E647" s="0" t="str">
        <f aca="false">PROPER(TRIM(AL647))</f>
        <v>Kabir Singh</v>
      </c>
      <c r="F647" s="0" t="str">
        <f aca="false">PROPER(TRIM(AM647))</f>
        <v>Consumer</v>
      </c>
      <c r="G647" s="0" t="str">
        <f aca="false">IF(TRIM(AN647)="","Unknown",PROPER(TRIM(AN647)))</f>
        <v>East</v>
      </c>
      <c r="H647" s="0" t="str">
        <f aca="false">PROPER(TRIM(AO647))</f>
        <v>Bihar</v>
      </c>
      <c r="I647" s="0" t="str">
        <f aca="false">PROPER(TRIM(AP647))</f>
        <v>Patna</v>
      </c>
      <c r="J647" s="0" t="str">
        <f aca="false">PROPER(TRIM(AQ647))</f>
        <v>Furniture</v>
      </c>
      <c r="K647" s="0" t="str">
        <f aca="false">PROPER(TRIM(AR647))</f>
        <v>Chairs</v>
      </c>
      <c r="M647" s="0" t="str">
        <f aca="false">IF(TRIM(AS647)="","Unknown",PROPER(TRIM(AS647)))</f>
        <v>Second Class</v>
      </c>
      <c r="N647" s="0" t="n">
        <v>6</v>
      </c>
      <c r="O647" s="0" t="n">
        <v>2423.61</v>
      </c>
      <c r="P647" s="5" t="n">
        <f aca="false">IF(AT647="","",IF(ISNUMBER(AT647),AT647,VALUE(SUBSTITUTE(AT647,"%",""))/100))</f>
        <v>0.1</v>
      </c>
      <c r="Q647" s="5" t="n">
        <f aca="false">IF(P647="",IF(AND(N647&lt;&gt;"",O647&lt;&gt;"",R647&lt;&gt;"",S647&lt;&gt;""),0,"REVIEW"),IF(OR(P647&lt;0,P647&gt;0.3),0,P647))</f>
        <v>0.1</v>
      </c>
      <c r="R647" s="0" t="n">
        <v>13087.49</v>
      </c>
      <c r="S647" s="0" t="n">
        <v>7608.89</v>
      </c>
      <c r="T647" s="6" t="n">
        <f aca="false">N647*O647*(1-Q647)</f>
        <v>13087.494</v>
      </c>
      <c r="U647" s="6" t="n">
        <f aca="false">T647-S647</f>
        <v>5478.604</v>
      </c>
      <c r="V647" s="7" t="n">
        <f aca="false">IF(T647=0,0,U647/T647)</f>
        <v>0.418613678065488</v>
      </c>
      <c r="W647" s="4" t="n">
        <f aca="false">C647-B647</f>
        <v>5</v>
      </c>
      <c r="X647" s="0" t="str">
        <f aca="false">TEXT(B647,"mmmm")</f>
        <v>January</v>
      </c>
      <c r="Y647" s="4" t="n">
        <f aca="false">YEAR(B647)</f>
        <v>2024</v>
      </c>
      <c r="Z647" s="0" t="str">
        <f aca="false">PROPER(TRIM(AU647))</f>
        <v>Paid</v>
      </c>
      <c r="AA647" s="0" t="str">
        <f aca="false">PROPER(TRIM(AV647))</f>
        <v>Completed</v>
      </c>
      <c r="AB647" s="0" t="str">
        <f aca="false">IF(TRIM(AN647)="","Yes","No")</f>
        <v>No</v>
      </c>
      <c r="AC647" s="0" t="str">
        <f aca="false">IF(TRIM(AS647)="","Yes","No")</f>
        <v>No</v>
      </c>
      <c r="AD647" s="0" t="str">
        <f aca="false">IF(AT647="","Yes","No")</f>
        <v>No</v>
      </c>
      <c r="AE647" s="0" t="str">
        <f aca="false">IF(W647&lt;0,"Yes","No")</f>
        <v>No</v>
      </c>
      <c r="AF647" s="0" t="str">
        <f aca="false">IF(P647="","No",IF(OR(P647&lt;0,P647&gt;0.3),"Yes","No"))</f>
        <v>No</v>
      </c>
      <c r="AG647" s="4" t="s">
        <v>50</v>
      </c>
      <c r="AH647" s="0" t="str">
        <f aca="false">IF(AND(AA647="Completed",Z647="Paid"),"Yes","No")</f>
        <v>Yes</v>
      </c>
      <c r="AI647" s="0" t="str">
        <f aca="false">IF(OR(AE647="Yes",AF647="Yes",AG647="Yes"),"Invalid",IF(OR(AB647="Yes",AC647="Yes",AD647="Yes"),"Warning","Clean"))</f>
        <v>Clean</v>
      </c>
      <c r="AJ647" s="4" t="s">
        <v>2466</v>
      </c>
      <c r="AK647" s="4" t="s">
        <v>2229</v>
      </c>
      <c r="AL647" s="4" t="s">
        <v>347</v>
      </c>
      <c r="AM647" s="4" t="s">
        <v>54</v>
      </c>
      <c r="AN647" s="4" t="s">
        <v>69</v>
      </c>
      <c r="AO647" s="4" t="s">
        <v>196</v>
      </c>
      <c r="AP647" s="4" t="s">
        <v>197</v>
      </c>
      <c r="AQ647" s="4" t="s">
        <v>72</v>
      </c>
      <c r="AR647" s="4" t="s">
        <v>100</v>
      </c>
      <c r="AS647" s="4" t="s">
        <v>60</v>
      </c>
      <c r="AT647" s="0" t="n">
        <v>0.1</v>
      </c>
      <c r="AU647" s="4" t="s">
        <v>61</v>
      </c>
      <c r="AV647" s="4" t="s">
        <v>62</v>
      </c>
    </row>
    <row r="648" customFormat="false" ht="15" hidden="false" customHeight="false" outlineLevel="0" collapsed="false">
      <c r="A648" s="0" t="s">
        <v>2467</v>
      </c>
      <c r="B648" s="3" t="n">
        <f aca="false">IF(AJ648="","",IF(ISNUMBER(SEARCH("/",AJ648)),DATE(VALUE(RIGHT(AJ648,4)),VALUE(LEFT(AJ648,2)),VALUE(MID(AJ648,4,2))),IF(ISNUMBER(SEARCH("-",AJ648)),IF(LEN(LEFT(AJ648,FIND("-",AJ648)-1))=4,DATE(VALUE(LEFT(AJ648,4)),VALUE(MID(AJ648,6,2)),VALUE(RIGHT(AJ648,2))),DATE(VALUE(RIGHT(AJ648,4)),VALUE(MID(AJ648,4,2)),VALUE(LEFT(AJ648,2)))),DATE(VALUE(RIGHT(AJ648,4)),MATCH(MID(AJ648,4,3),{"Jan","Feb","Mar","Apr","May","Jun","Jul","Aug","Sep","Oct","Nov","Dec"},0),VALUE(LEFT(AJ648,2))))))</f>
        <v>45553</v>
      </c>
      <c r="C648" s="3" t="n">
        <f aca="false">IF(AK648="","",IF(ISNUMBER(SEARCH("/",AK648)),DATE(VALUE(RIGHT(AK648,4)),VALUE(LEFT(AK648,2)),VALUE(MID(AK648,4,2))),IF(ISNUMBER(SEARCH("-",AK648)),IF(LEN(LEFT(AK648,FIND("-",AK648)-1))=4,DATE(VALUE(LEFT(AK648,4)),VALUE(MID(AK648,6,2)),VALUE(RIGHT(AK648,2))),DATE(VALUE(RIGHT(AK648,4)),VALUE(MID(AK648,4,2)),VALUE(LEFT(AK648,2)))),DATE(VALUE(RIGHT(AK648,4)),MATCH(MID(AK648,4,3),{"Jan","Feb","Mar","Apr","May","Jun","Jul","Aug","Sep","Oct","Nov","Dec"},0),VALUE(LEFT(AK648,2))))))</f>
        <v>45559</v>
      </c>
      <c r="D648" s="4" t="s">
        <v>2468</v>
      </c>
      <c r="E648" s="0" t="str">
        <f aca="false">PROPER(TRIM(AL648))</f>
        <v>Vikram Iyer</v>
      </c>
      <c r="F648" s="0" t="str">
        <f aca="false">PROPER(TRIM(AM648))</f>
        <v>Small Business</v>
      </c>
      <c r="G648" s="0" t="str">
        <f aca="false">IF(TRIM(AN648)="","Unknown",PROPER(TRIM(AN648)))</f>
        <v>East</v>
      </c>
      <c r="H648" s="0" t="str">
        <f aca="false">PROPER(TRIM(AO648))</f>
        <v>Jharkhand</v>
      </c>
      <c r="I648" s="0" t="str">
        <f aca="false">PROPER(TRIM(AP648))</f>
        <v>Ranchi</v>
      </c>
      <c r="J648" s="0" t="str">
        <f aca="false">PROPER(TRIM(AQ648))</f>
        <v>Technology</v>
      </c>
      <c r="K648" s="0" t="str">
        <f aca="false">PROPER(TRIM(AR648))</f>
        <v>Machines</v>
      </c>
      <c r="M648" s="0" t="str">
        <f aca="false">IF(TRIM(AS648)="","Unknown",PROPER(TRIM(AS648)))</f>
        <v>First Class</v>
      </c>
      <c r="N648" s="0" t="n">
        <v>3</v>
      </c>
      <c r="O648" s="0" t="n">
        <v>729.14</v>
      </c>
      <c r="P648" s="5" t="n">
        <f aca="false">IF(AT648="","",IF(ISNUMBER(AT648),AT648,VALUE(SUBSTITUTE(AT648,"%",""))/100))</f>
        <v>0.25</v>
      </c>
      <c r="Q648" s="5" t="n">
        <f aca="false">IF(P648="",IF(AND(N648&lt;&gt;"",O648&lt;&gt;"",R648&lt;&gt;"",S648&lt;&gt;""),0,"REVIEW"),IF(OR(P648&lt;0,P648&gt;0.3),0,P648))</f>
        <v>0.25</v>
      </c>
      <c r="R648" s="0" t="n">
        <v>1640.57</v>
      </c>
      <c r="S648" s="0" t="n">
        <v>1136.98</v>
      </c>
      <c r="T648" s="6" t="n">
        <f aca="false">N648*O648*(1-Q648)</f>
        <v>1640.565</v>
      </c>
      <c r="U648" s="6" t="n">
        <f aca="false">T648-S648</f>
        <v>503.585</v>
      </c>
      <c r="V648" s="7" t="n">
        <f aca="false">IF(T648=0,0,U648/T648)</f>
        <v>0.306958273521622</v>
      </c>
      <c r="W648" s="4" t="n">
        <f aca="false">C648-B648</f>
        <v>6</v>
      </c>
      <c r="X648" s="0" t="str">
        <f aca="false">TEXT(B648,"mmmm")</f>
        <v>September</v>
      </c>
      <c r="Y648" s="4" t="n">
        <f aca="false">YEAR(B648)</f>
        <v>2024</v>
      </c>
      <c r="Z648" s="0" t="str">
        <f aca="false">PROPER(TRIM(AU648))</f>
        <v>Paid</v>
      </c>
      <c r="AA648" s="0" t="str">
        <f aca="false">PROPER(TRIM(AV648))</f>
        <v>Completed</v>
      </c>
      <c r="AB648" s="0" t="str">
        <f aca="false">IF(TRIM(AN648)="","Yes","No")</f>
        <v>No</v>
      </c>
      <c r="AC648" s="0" t="str">
        <f aca="false">IF(TRIM(AS648)="","Yes","No")</f>
        <v>No</v>
      </c>
      <c r="AD648" s="0" t="str">
        <f aca="false">IF(AT648="","Yes","No")</f>
        <v>No</v>
      </c>
      <c r="AE648" s="0" t="str">
        <f aca="false">IF(W648&lt;0,"Yes","No")</f>
        <v>No</v>
      </c>
      <c r="AF648" s="0" t="str">
        <f aca="false">IF(P648="","No",IF(OR(P648&lt;0,P648&gt;0.3),"Yes","No"))</f>
        <v>No</v>
      </c>
      <c r="AG648" s="4" t="s">
        <v>50</v>
      </c>
      <c r="AH648" s="0" t="str">
        <f aca="false">IF(AND(AA648="Completed",Z648="Paid"),"Yes","No")</f>
        <v>Yes</v>
      </c>
      <c r="AI648" s="0" t="str">
        <f aca="false">IF(OR(AE648="Yes",AF648="Yes",AG648="Yes"),"Invalid",IF(OR(AB648="Yes",AC648="Yes",AD648="Yes"),"Warning","Clean"))</f>
        <v>Clean</v>
      </c>
      <c r="AJ648" s="4" t="s">
        <v>2469</v>
      </c>
      <c r="AK648" s="4" t="s">
        <v>2470</v>
      </c>
      <c r="AL648" s="4" t="s">
        <v>106</v>
      </c>
      <c r="AM648" s="4" t="s">
        <v>68</v>
      </c>
      <c r="AN648" s="4" t="s">
        <v>69</v>
      </c>
      <c r="AO648" s="4" t="s">
        <v>300</v>
      </c>
      <c r="AP648" s="4" t="s">
        <v>301</v>
      </c>
      <c r="AQ648" s="4" t="s">
        <v>109</v>
      </c>
      <c r="AR648" s="4" t="s">
        <v>360</v>
      </c>
      <c r="AS648" s="4" t="s">
        <v>81</v>
      </c>
      <c r="AT648" s="0" t="n">
        <v>0.25</v>
      </c>
      <c r="AU648" s="4" t="s">
        <v>61</v>
      </c>
      <c r="AV648" s="4" t="s">
        <v>62</v>
      </c>
    </row>
    <row r="649" customFormat="false" ht="15" hidden="false" customHeight="false" outlineLevel="0" collapsed="false">
      <c r="A649" s="0" t="s">
        <v>2471</v>
      </c>
      <c r="B649" s="3" t="n">
        <f aca="false">IF(AJ649="","",IF(ISNUMBER(SEARCH("/",AJ649)),DATE(VALUE(RIGHT(AJ649,4)),VALUE(LEFT(AJ649,2)),VALUE(MID(AJ649,4,2))),IF(ISNUMBER(SEARCH("-",AJ649)),IF(LEN(LEFT(AJ649,FIND("-",AJ649)-1))=4,DATE(VALUE(LEFT(AJ649,4)),VALUE(MID(AJ649,6,2)),VALUE(RIGHT(AJ649,2))),DATE(VALUE(RIGHT(AJ649,4)),VALUE(MID(AJ649,4,2)),VALUE(LEFT(AJ649,2)))),DATE(VALUE(RIGHT(AJ649,4)),MATCH(MID(AJ649,4,3),{"Jan","Feb","Mar","Apr","May","Jun","Jul","Aug","Sep","Oct","Nov","Dec"},0),VALUE(LEFT(AJ649,2))))))</f>
        <v>45658</v>
      </c>
      <c r="C649" s="3" t="n">
        <f aca="false">IF(AK649="","",IF(ISNUMBER(SEARCH("/",AK649)),DATE(VALUE(RIGHT(AK649,4)),VALUE(LEFT(AK649,2)),VALUE(MID(AK649,4,2))),IF(ISNUMBER(SEARCH("-",AK649)),IF(LEN(LEFT(AK649,FIND("-",AK649)-1))=4,DATE(VALUE(LEFT(AK649,4)),VALUE(MID(AK649,6,2)),VALUE(RIGHT(AK649,2))),DATE(VALUE(RIGHT(AK649,4)),VALUE(MID(AK649,4,2)),VALUE(LEFT(AK649,2)))),DATE(VALUE(RIGHT(AK649,4)),MATCH(MID(AK649,4,3),{"Jan","Feb","Mar","Apr","May","Jun","Jul","Aug","Sep","Oct","Nov","Dec"},0),VALUE(LEFT(AK649,2))))))</f>
        <v>45666</v>
      </c>
      <c r="D649" s="4" t="s">
        <v>2472</v>
      </c>
      <c r="E649" s="0" t="str">
        <f aca="false">PROPER(TRIM(AL649))</f>
        <v>Rohan Mehta</v>
      </c>
      <c r="F649" s="0" t="str">
        <f aca="false">PROPER(TRIM(AM649))</f>
        <v>Small Business</v>
      </c>
      <c r="G649" s="0" t="str">
        <f aca="false">IF(TRIM(AN649)="","Unknown",PROPER(TRIM(AN649)))</f>
        <v>North</v>
      </c>
      <c r="H649" s="0" t="str">
        <f aca="false">PROPER(TRIM(AO649))</f>
        <v>Punjab</v>
      </c>
      <c r="I649" s="0" t="str">
        <f aca="false">PROPER(TRIM(AP649))</f>
        <v>Ludhiana</v>
      </c>
      <c r="J649" s="0" t="str">
        <f aca="false">PROPER(TRIM(AQ649))</f>
        <v>Office Supplies</v>
      </c>
      <c r="K649" s="0" t="str">
        <f aca="false">PROPER(TRIM(AR649))</f>
        <v>Art</v>
      </c>
      <c r="M649" s="0" t="str">
        <f aca="false">IF(TRIM(AS649)="","Unknown",PROPER(TRIM(AS649)))</f>
        <v>First Class</v>
      </c>
      <c r="N649" s="0" t="n">
        <v>8</v>
      </c>
      <c r="O649" s="0" t="n">
        <v>2123.81</v>
      </c>
      <c r="P649" s="5" t="n">
        <f aca="false">IF(AT649="","",IF(ISNUMBER(AT649),AT649,VALUE(SUBSTITUTE(AT649,"%",""))/100))</f>
        <v>0.15</v>
      </c>
      <c r="Q649" s="5" t="n">
        <f aca="false">IF(P649="",IF(AND(N649&lt;&gt;"",O649&lt;&gt;"",R649&lt;&gt;"",S649&lt;&gt;""),0,"REVIEW"),IF(OR(P649&lt;0,P649&gt;0.3),0,P649))</f>
        <v>0.15</v>
      </c>
      <c r="R649" s="0" t="n">
        <v>14441.91</v>
      </c>
      <c r="S649" s="0" t="n">
        <v>10872.89</v>
      </c>
      <c r="T649" s="6" t="n">
        <f aca="false">N649*O649*(1-Q649)</f>
        <v>14441.908</v>
      </c>
      <c r="U649" s="6" t="n">
        <f aca="false">T649-S649</f>
        <v>3569.018</v>
      </c>
      <c r="V649" s="7" t="n">
        <f aca="false">IF(T649=0,0,U649/T649)</f>
        <v>0.247129257436067</v>
      </c>
      <c r="W649" s="4" t="n">
        <f aca="false">C649-B649</f>
        <v>8</v>
      </c>
      <c r="X649" s="0" t="str">
        <f aca="false">TEXT(B649,"mmmm")</f>
        <v>January</v>
      </c>
      <c r="Y649" s="4" t="n">
        <f aca="false">YEAR(B649)</f>
        <v>2025</v>
      </c>
      <c r="Z649" s="0" t="str">
        <f aca="false">PROPER(TRIM(AU649))</f>
        <v>Paid</v>
      </c>
      <c r="AA649" s="0" t="str">
        <f aca="false">PROPER(TRIM(AV649))</f>
        <v>Completed</v>
      </c>
      <c r="AB649" s="0" t="str">
        <f aca="false">IF(TRIM(AN649)="","Yes","No")</f>
        <v>No</v>
      </c>
      <c r="AC649" s="0" t="str">
        <f aca="false">IF(TRIM(AS649)="","Yes","No")</f>
        <v>No</v>
      </c>
      <c r="AD649" s="0" t="str">
        <f aca="false">IF(AT649="","Yes","No")</f>
        <v>No</v>
      </c>
      <c r="AE649" s="0" t="str">
        <f aca="false">IF(W649&lt;0,"Yes","No")</f>
        <v>No</v>
      </c>
      <c r="AF649" s="0" t="str">
        <f aca="false">IF(P649="","No",IF(OR(P649&lt;0,P649&gt;0.3),"Yes","No"))</f>
        <v>No</v>
      </c>
      <c r="AG649" s="4" t="s">
        <v>50</v>
      </c>
      <c r="AH649" s="0" t="str">
        <f aca="false">IF(AND(AA649="Completed",Z649="Paid"),"Yes","No")</f>
        <v>Yes</v>
      </c>
      <c r="AI649" s="0" t="str">
        <f aca="false">IF(OR(AE649="Yes",AF649="Yes",AG649="Yes"),"Invalid",IF(OR(AB649="Yes",AC649="Yes",AD649="Yes"),"Warning","Clean"))</f>
        <v>Clean</v>
      </c>
      <c r="AJ649" s="4" t="s">
        <v>1121</v>
      </c>
      <c r="AK649" s="4" t="s">
        <v>2473</v>
      </c>
      <c r="AL649" s="4" t="s">
        <v>2474</v>
      </c>
      <c r="AM649" s="4" t="s">
        <v>68</v>
      </c>
      <c r="AN649" s="4" t="s">
        <v>168</v>
      </c>
      <c r="AO649" s="4" t="s">
        <v>169</v>
      </c>
      <c r="AP649" s="4" t="s">
        <v>170</v>
      </c>
      <c r="AQ649" s="4" t="s">
        <v>58</v>
      </c>
      <c r="AR649" s="4" t="s">
        <v>80</v>
      </c>
      <c r="AS649" s="4" t="s">
        <v>81</v>
      </c>
      <c r="AT649" s="0" t="n">
        <v>0.15</v>
      </c>
      <c r="AU649" s="4" t="s">
        <v>61</v>
      </c>
      <c r="AV649" s="4" t="s">
        <v>62</v>
      </c>
    </row>
    <row r="650" customFormat="false" ht="15" hidden="false" customHeight="false" outlineLevel="0" collapsed="false">
      <c r="A650" s="0" t="s">
        <v>2475</v>
      </c>
      <c r="B650" s="3" t="n">
        <f aca="false">IF(AJ650="","",IF(ISNUMBER(SEARCH("/",AJ650)),DATE(VALUE(RIGHT(AJ650,4)),VALUE(LEFT(AJ650,2)),VALUE(MID(AJ650,4,2))),IF(ISNUMBER(SEARCH("-",AJ650)),IF(LEN(LEFT(AJ650,FIND("-",AJ650)-1))=4,DATE(VALUE(LEFT(AJ650,4)),VALUE(MID(AJ650,6,2)),VALUE(RIGHT(AJ650,2))),DATE(VALUE(RIGHT(AJ650,4)),VALUE(MID(AJ650,4,2)),VALUE(LEFT(AJ650,2)))),DATE(VALUE(RIGHT(AJ650,4)),MATCH(MID(AJ650,4,3),{"Jan","Feb","Mar","Apr","May","Jun","Jul","Aug","Sep","Oct","Nov","Dec"},0),VALUE(LEFT(AJ650,2))))))</f>
        <v>45403</v>
      </c>
      <c r="C650" s="3" t="n">
        <f aca="false">IF(AK650="","",IF(ISNUMBER(SEARCH("/",AK650)),DATE(VALUE(RIGHT(AK650,4)),VALUE(LEFT(AK650,2)),VALUE(MID(AK650,4,2))),IF(ISNUMBER(SEARCH("-",AK650)),IF(LEN(LEFT(AK650,FIND("-",AK650)-1))=4,DATE(VALUE(LEFT(AK650,4)),VALUE(MID(AK650,6,2)),VALUE(RIGHT(AK650,2))),DATE(VALUE(RIGHT(AK650,4)),VALUE(MID(AK650,4,2)),VALUE(LEFT(AK650,2)))),DATE(VALUE(RIGHT(AK650,4)),MATCH(MID(AK650,4,3),{"Jan","Feb","Mar","Apr","May","Jun","Jul","Aug","Sep","Oct","Nov","Dec"},0),VALUE(LEFT(AK650,2))))))</f>
        <v>45406</v>
      </c>
      <c r="D650" s="4" t="s">
        <v>2476</v>
      </c>
      <c r="E650" s="0" t="str">
        <f aca="false">PROPER(TRIM(AL650))</f>
        <v>Neha Gupta</v>
      </c>
      <c r="F650" s="0" t="str">
        <f aca="false">PROPER(TRIM(AM650))</f>
        <v>Small Business</v>
      </c>
      <c r="G650" s="0" t="str">
        <f aca="false">IF(TRIM(AN650)="","Unknown",PROPER(TRIM(AN650)))</f>
        <v>South</v>
      </c>
      <c r="H650" s="0" t="str">
        <f aca="false">PROPER(TRIM(AO650))</f>
        <v>Andhra Pradesh</v>
      </c>
      <c r="I650" s="0" t="str">
        <f aca="false">PROPER(TRIM(AP650))</f>
        <v>Vijayawada</v>
      </c>
      <c r="J650" s="0" t="str">
        <f aca="false">PROPER(TRIM(AQ650))</f>
        <v>Office Supplies</v>
      </c>
      <c r="K650" s="0" t="str">
        <f aca="false">PROPER(TRIM(AR650))</f>
        <v>Art</v>
      </c>
      <c r="M650" s="0" t="str">
        <f aca="false">IF(TRIM(AS650)="","Unknown",PROPER(TRIM(AS650)))</f>
        <v>Same Day</v>
      </c>
      <c r="N650" s="0" t="n">
        <v>9</v>
      </c>
      <c r="O650" s="0" t="n">
        <v>703.59</v>
      </c>
      <c r="P650" s="5" t="n">
        <f aca="false">IF(AT650="","",IF(ISNUMBER(AT650),AT650,VALUE(SUBSTITUTE(AT650,"%",""))/100))</f>
        <v>0.2</v>
      </c>
      <c r="Q650" s="5" t="n">
        <f aca="false">IF(P650="",IF(AND(N650&lt;&gt;"",O650&lt;&gt;"",R650&lt;&gt;"",S650&lt;&gt;""),0,"REVIEW"),IF(OR(P650&lt;0,P650&gt;0.3),0,P650))</f>
        <v>0.2</v>
      </c>
      <c r="R650" s="0" t="n">
        <v>5065.85</v>
      </c>
      <c r="S650" s="0" t="n">
        <v>3517.23</v>
      </c>
      <c r="T650" s="6" t="n">
        <f aca="false">N650*O650*(1-Q650)</f>
        <v>5065.848</v>
      </c>
      <c r="U650" s="6" t="n">
        <f aca="false">T650-S650</f>
        <v>1548.618</v>
      </c>
      <c r="V650" s="7" t="n">
        <f aca="false">IF(T650=0,0,U650/T650)</f>
        <v>0.305697683783643</v>
      </c>
      <c r="W650" s="4" t="n">
        <f aca="false">C650-B650</f>
        <v>3</v>
      </c>
      <c r="X650" s="0" t="str">
        <f aca="false">TEXT(B650,"mmmm")</f>
        <v>April</v>
      </c>
      <c r="Y650" s="4" t="n">
        <f aca="false">YEAR(B650)</f>
        <v>2024</v>
      </c>
      <c r="Z650" s="0" t="str">
        <f aca="false">PROPER(TRIM(AU650))</f>
        <v>Failed</v>
      </c>
      <c r="AA650" s="0" t="str">
        <f aca="false">PROPER(TRIM(AV650))</f>
        <v>Returned</v>
      </c>
      <c r="AB650" s="0" t="str">
        <f aca="false">IF(TRIM(AN650)="","Yes","No")</f>
        <v>No</v>
      </c>
      <c r="AC650" s="0" t="str">
        <f aca="false">IF(TRIM(AS650)="","Yes","No")</f>
        <v>No</v>
      </c>
      <c r="AD650" s="0" t="str">
        <f aca="false">IF(AT650="","Yes","No")</f>
        <v>No</v>
      </c>
      <c r="AE650" s="0" t="str">
        <f aca="false">IF(W650&lt;0,"Yes","No")</f>
        <v>No</v>
      </c>
      <c r="AF650" s="0" t="str">
        <f aca="false">IF(P650="","No",IF(OR(P650&lt;0,P650&gt;0.3),"Yes","No"))</f>
        <v>No</v>
      </c>
      <c r="AG650" s="4" t="s">
        <v>50</v>
      </c>
      <c r="AH650" s="0" t="str">
        <f aca="false">IF(AND(AA650="Completed",Z650="Paid"),"Yes","No")</f>
        <v>No</v>
      </c>
      <c r="AI650" s="0" t="str">
        <f aca="false">IF(OR(AE650="Yes",AF650="Yes",AG650="Yes"),"Invalid",IF(OR(AB650="Yes",AC650="Yes",AD650="Yes"),"Warning","Clean"))</f>
        <v>Clean</v>
      </c>
      <c r="AJ650" s="4" t="s">
        <v>2477</v>
      </c>
      <c r="AK650" s="4" t="s">
        <v>340</v>
      </c>
      <c r="AL650" s="4" t="s">
        <v>115</v>
      </c>
      <c r="AM650" s="4" t="s">
        <v>68</v>
      </c>
      <c r="AN650" s="4" t="s">
        <v>87</v>
      </c>
      <c r="AO650" s="4" t="s">
        <v>121</v>
      </c>
      <c r="AP650" s="4" t="s">
        <v>122</v>
      </c>
      <c r="AQ650" s="4" t="s">
        <v>58</v>
      </c>
      <c r="AR650" s="4" t="s">
        <v>80</v>
      </c>
      <c r="AS650" s="4" t="s">
        <v>74</v>
      </c>
      <c r="AT650" s="0" t="n">
        <v>0.2</v>
      </c>
      <c r="AU650" s="4" t="s">
        <v>207</v>
      </c>
      <c r="AV650" s="4" t="s">
        <v>142</v>
      </c>
    </row>
    <row r="651" customFormat="false" ht="15" hidden="false" customHeight="false" outlineLevel="0" collapsed="false">
      <c r="A651" s="0" t="s">
        <v>2478</v>
      </c>
      <c r="B651" s="3" t="n">
        <f aca="false">IF(AJ651="","",IF(ISNUMBER(SEARCH("/",AJ651)),DATE(VALUE(RIGHT(AJ651,4)),VALUE(LEFT(AJ651,2)),VALUE(MID(AJ651,4,2))),IF(ISNUMBER(SEARCH("-",AJ651)),IF(LEN(LEFT(AJ651,FIND("-",AJ651)-1))=4,DATE(VALUE(LEFT(AJ651,4)),VALUE(MID(AJ651,6,2)),VALUE(RIGHT(AJ651,2))),DATE(VALUE(RIGHT(AJ651,4)),VALUE(MID(AJ651,4,2)),VALUE(LEFT(AJ651,2)))),DATE(VALUE(RIGHT(AJ651,4)),MATCH(MID(AJ651,4,3),{"Jan","Feb","Mar","Apr","May","Jun","Jul","Aug","Sep","Oct","Nov","Dec"},0),VALUE(LEFT(AJ651,2))))))</f>
        <v>45880</v>
      </c>
      <c r="C651" s="3" t="n">
        <f aca="false">IF(AK651="","",IF(ISNUMBER(SEARCH("/",AK651)),DATE(VALUE(RIGHT(AK651,4)),VALUE(LEFT(AK651,2)),VALUE(MID(AK651,4,2))),IF(ISNUMBER(SEARCH("-",AK651)),IF(LEN(LEFT(AK651,FIND("-",AK651)-1))=4,DATE(VALUE(LEFT(AK651,4)),VALUE(MID(AK651,6,2)),VALUE(RIGHT(AK651,2))),DATE(VALUE(RIGHT(AK651,4)),VALUE(MID(AK651,4,2)),VALUE(LEFT(AK651,2)))),DATE(VALUE(RIGHT(AK651,4)),MATCH(MID(AK651,4,3),{"Jan","Feb","Mar","Apr","May","Jun","Jul","Aug","Sep","Oct","Nov","Dec"},0),VALUE(LEFT(AK651,2))))))</f>
        <v>45888</v>
      </c>
      <c r="D651" s="4" t="s">
        <v>2479</v>
      </c>
      <c r="E651" s="0" t="str">
        <f aca="false">PROPER(TRIM(AL651))</f>
        <v>Kabir Singh</v>
      </c>
      <c r="F651" s="0" t="str">
        <f aca="false">PROPER(TRIM(AM651))</f>
        <v>Small Business</v>
      </c>
      <c r="G651" s="0" t="str">
        <f aca="false">IF(TRIM(AN651)="","Unknown",PROPER(TRIM(AN651)))</f>
        <v>South</v>
      </c>
      <c r="H651" s="0" t="str">
        <f aca="false">PROPER(TRIM(AO651))</f>
        <v>Kerala</v>
      </c>
      <c r="I651" s="0" t="str">
        <f aca="false">PROPER(TRIM(AP651))</f>
        <v>Kochi</v>
      </c>
      <c r="J651" s="0" t="str">
        <f aca="false">PROPER(TRIM(AQ651))</f>
        <v>Technology</v>
      </c>
      <c r="K651" s="0" t="str">
        <f aca="false">PROPER(TRIM(AR651))</f>
        <v>Accessories</v>
      </c>
      <c r="M651" s="0" t="str">
        <f aca="false">IF(TRIM(AS651)="","Unknown",PROPER(TRIM(AS651)))</f>
        <v>Standard Class</v>
      </c>
      <c r="N651" s="0" t="n">
        <v>4</v>
      </c>
      <c r="O651" s="0" t="n">
        <v>2258.96</v>
      </c>
      <c r="P651" s="5" t="n">
        <f aca="false">IF(AT651="","",IF(ISNUMBER(AT651),AT651,VALUE(SUBSTITUTE(AT651,"%",""))/100))</f>
        <v>0.25</v>
      </c>
      <c r="Q651" s="5" t="n">
        <f aca="false">IF(P651="",IF(AND(N651&lt;&gt;"",O651&lt;&gt;"",R651&lt;&gt;"",S651&lt;&gt;""),0,"REVIEW"),IF(OR(P651&lt;0,P651&gt;0.3),0,P651))</f>
        <v>0.25</v>
      </c>
      <c r="R651" s="0" t="n">
        <v>6776.88</v>
      </c>
      <c r="S651" s="0" t="n">
        <v>3836.24</v>
      </c>
      <c r="T651" s="6" t="n">
        <f aca="false">N651*O651*(1-Q651)</f>
        <v>6776.88</v>
      </c>
      <c r="U651" s="6" t="n">
        <f aca="false">T651-S651</f>
        <v>2940.64</v>
      </c>
      <c r="V651" s="7" t="n">
        <f aca="false">IF(T651=0,0,U651/T651)</f>
        <v>0.433922394966415</v>
      </c>
      <c r="W651" s="4" t="n">
        <f aca="false">C651-B651</f>
        <v>8</v>
      </c>
      <c r="X651" s="0" t="str">
        <f aca="false">TEXT(B651,"mmmm")</f>
        <v>August</v>
      </c>
      <c r="Y651" s="4" t="n">
        <f aca="false">YEAR(B651)</f>
        <v>2025</v>
      </c>
      <c r="Z651" s="0" t="str">
        <f aca="false">PROPER(TRIM(AU651))</f>
        <v>Paid</v>
      </c>
      <c r="AA651" s="0" t="str">
        <f aca="false">PROPER(TRIM(AV651))</f>
        <v>Completed</v>
      </c>
      <c r="AB651" s="0" t="str">
        <f aca="false">IF(TRIM(AN651)="","Yes","No")</f>
        <v>No</v>
      </c>
      <c r="AC651" s="0" t="str">
        <f aca="false">IF(TRIM(AS651)="","Yes","No")</f>
        <v>No</v>
      </c>
      <c r="AD651" s="0" t="str">
        <f aca="false">IF(AT651="","Yes","No")</f>
        <v>No</v>
      </c>
      <c r="AE651" s="0" t="str">
        <f aca="false">IF(W651&lt;0,"Yes","No")</f>
        <v>No</v>
      </c>
      <c r="AF651" s="0" t="str">
        <f aca="false">IF(P651="","No",IF(OR(P651&lt;0,P651&gt;0.3),"Yes","No"))</f>
        <v>No</v>
      </c>
      <c r="AG651" s="4" t="s">
        <v>50</v>
      </c>
      <c r="AH651" s="0" t="str">
        <f aca="false">IF(AND(AA651="Completed",Z651="Paid"),"Yes","No")</f>
        <v>Yes</v>
      </c>
      <c r="AI651" s="0" t="str">
        <f aca="false">IF(OR(AE651="Yes",AF651="Yes",AG651="Yes"),"Invalid",IF(OR(AB651="Yes",AC651="Yes",AD651="Yes"),"Warning","Clean"))</f>
        <v>Clean</v>
      </c>
      <c r="AJ651" s="4" t="s">
        <v>2480</v>
      </c>
      <c r="AK651" s="4" t="s">
        <v>2481</v>
      </c>
      <c r="AL651" s="4" t="s">
        <v>347</v>
      </c>
      <c r="AM651" s="4" t="s">
        <v>68</v>
      </c>
      <c r="AN651" s="4" t="s">
        <v>87</v>
      </c>
      <c r="AO651" s="4" t="s">
        <v>244</v>
      </c>
      <c r="AP651" s="4" t="s">
        <v>245</v>
      </c>
      <c r="AQ651" s="4" t="s">
        <v>109</v>
      </c>
      <c r="AR651" s="4" t="s">
        <v>110</v>
      </c>
      <c r="AS651" s="4" t="s">
        <v>91</v>
      </c>
      <c r="AT651" s="0" t="n">
        <v>0.25</v>
      </c>
      <c r="AU651" s="4" t="s">
        <v>61</v>
      </c>
      <c r="AV651" s="4" t="s">
        <v>62</v>
      </c>
    </row>
    <row r="652" customFormat="false" ht="15" hidden="false" customHeight="false" outlineLevel="0" collapsed="false">
      <c r="A652" s="0" t="s">
        <v>2482</v>
      </c>
      <c r="B652" s="3" t="n">
        <f aca="false">IF(AJ652="","",IF(ISNUMBER(SEARCH("/",AJ652)),DATE(VALUE(RIGHT(AJ652,4)),VALUE(LEFT(AJ652,2)),VALUE(MID(AJ652,4,2))),IF(ISNUMBER(SEARCH("-",AJ652)),IF(LEN(LEFT(AJ652,FIND("-",AJ652)-1))=4,DATE(VALUE(LEFT(AJ652,4)),VALUE(MID(AJ652,6,2)),VALUE(RIGHT(AJ652,2))),DATE(VALUE(RIGHT(AJ652,4)),VALUE(MID(AJ652,4,2)),VALUE(LEFT(AJ652,2)))),DATE(VALUE(RIGHT(AJ652,4)),MATCH(MID(AJ652,4,3),{"Jan","Feb","Mar","Apr","May","Jun","Jul","Aug","Sep","Oct","Nov","Dec"},0),VALUE(LEFT(AJ652,2))))))</f>
        <v>45395</v>
      </c>
      <c r="C652" s="3" t="n">
        <f aca="false">IF(AK652="","",IF(ISNUMBER(SEARCH("/",AK652)),DATE(VALUE(RIGHT(AK652,4)),VALUE(LEFT(AK652,2)),VALUE(MID(AK652,4,2))),IF(ISNUMBER(SEARCH("-",AK652)),IF(LEN(LEFT(AK652,FIND("-",AK652)-1))=4,DATE(VALUE(LEFT(AK652,4)),VALUE(MID(AK652,6,2)),VALUE(RIGHT(AK652,2))),DATE(VALUE(RIGHT(AK652,4)),VALUE(MID(AK652,4,2)),VALUE(LEFT(AK652,2)))),DATE(VALUE(RIGHT(AK652,4)),MATCH(MID(AK652,4,3),{"Jan","Feb","Mar","Apr","May","Jun","Jul","Aug","Sep","Oct","Nov","Dec"},0),VALUE(LEFT(AK652,2))))))</f>
        <v>45403</v>
      </c>
      <c r="D652" s="4" t="s">
        <v>494</v>
      </c>
      <c r="E652" s="0" t="str">
        <f aca="false">PROPER(TRIM(AL652))</f>
        <v>Aarav Sharma</v>
      </c>
      <c r="F652" s="0" t="str">
        <f aca="false">PROPER(TRIM(AM652))</f>
        <v>Home Office</v>
      </c>
      <c r="G652" s="0" t="str">
        <f aca="false">IF(TRIM(AN652)="","Unknown",PROPER(TRIM(AN652)))</f>
        <v>East</v>
      </c>
      <c r="H652" s="0" t="str">
        <f aca="false">PROPER(TRIM(AO652))</f>
        <v>Bihar</v>
      </c>
      <c r="I652" s="0" t="str">
        <f aca="false">PROPER(TRIM(AP652))</f>
        <v>Patna</v>
      </c>
      <c r="J652" s="0" t="str">
        <f aca="false">PROPER(TRIM(AQ652))</f>
        <v>Technology</v>
      </c>
      <c r="K652" s="0" t="str">
        <f aca="false">PROPER(TRIM(AR652))</f>
        <v>Accessories</v>
      </c>
      <c r="M652" s="0" t="str">
        <f aca="false">IF(TRIM(AS652)="","Unknown",PROPER(TRIM(AS652)))</f>
        <v>Same Day</v>
      </c>
      <c r="N652" s="0" t="n">
        <v>7</v>
      </c>
      <c r="O652" s="0" t="n">
        <v>2648.76</v>
      </c>
      <c r="P652" s="5" t="n">
        <f aca="false">IF(AT652="","",IF(ISNUMBER(AT652),AT652,VALUE(SUBSTITUTE(AT652,"%",""))/100))</f>
        <v>0.15</v>
      </c>
      <c r="Q652" s="5" t="n">
        <f aca="false">IF(P652="",IF(AND(N652&lt;&gt;"",O652&lt;&gt;"",R652&lt;&gt;"",S652&lt;&gt;""),0,"REVIEW"),IF(OR(P652&lt;0,P652&gt;0.3),0,P652))</f>
        <v>0.15</v>
      </c>
      <c r="R652" s="0" t="n">
        <v>15760.12</v>
      </c>
      <c r="S652" s="0" t="n">
        <v>9931.53</v>
      </c>
      <c r="T652" s="6" t="n">
        <f aca="false">N652*O652*(1-Q652)</f>
        <v>15760.122</v>
      </c>
      <c r="U652" s="6" t="n">
        <f aca="false">T652-S652</f>
        <v>5828.592</v>
      </c>
      <c r="V652" s="7" t="n">
        <f aca="false">IF(T652=0,0,U652/T652)</f>
        <v>0.369831654856479</v>
      </c>
      <c r="W652" s="4" t="n">
        <f aca="false">C652-B652</f>
        <v>8</v>
      </c>
      <c r="X652" s="0" t="str">
        <f aca="false">TEXT(B652,"mmmm")</f>
        <v>April</v>
      </c>
      <c r="Y652" s="4" t="n">
        <f aca="false">YEAR(B652)</f>
        <v>2024</v>
      </c>
      <c r="Z652" s="0" t="str">
        <f aca="false">PROPER(TRIM(AU652))</f>
        <v>Failed</v>
      </c>
      <c r="AA652" s="0" t="str">
        <f aca="false">PROPER(TRIM(AV652))</f>
        <v>Returned</v>
      </c>
      <c r="AB652" s="0" t="str">
        <f aca="false">IF(TRIM(AN652)="","Yes","No")</f>
        <v>No</v>
      </c>
      <c r="AC652" s="0" t="str">
        <f aca="false">IF(TRIM(AS652)="","Yes","No")</f>
        <v>No</v>
      </c>
      <c r="AD652" s="0" t="str">
        <f aca="false">IF(AT652="","Yes","No")</f>
        <v>No</v>
      </c>
      <c r="AE652" s="0" t="str">
        <f aca="false">IF(W652&lt;0,"Yes","No")</f>
        <v>No</v>
      </c>
      <c r="AF652" s="0" t="str">
        <f aca="false">IF(P652="","No",IF(OR(P652&lt;0,P652&gt;0.3),"Yes","No"))</f>
        <v>No</v>
      </c>
      <c r="AG652" s="4" t="s">
        <v>50</v>
      </c>
      <c r="AH652" s="0" t="str">
        <f aca="false">IF(AND(AA652="Completed",Z652="Paid"),"Yes","No")</f>
        <v>No</v>
      </c>
      <c r="AI652" s="0" t="str">
        <f aca="false">IF(OR(AE652="Yes",AF652="Yes",AG652="Yes"),"Invalid",IF(OR(AB652="Yes",AC652="Yes",AD652="Yes"),"Warning","Clean"))</f>
        <v>Clean</v>
      </c>
      <c r="AJ652" s="4" t="s">
        <v>2483</v>
      </c>
      <c r="AK652" s="4" t="s">
        <v>2484</v>
      </c>
      <c r="AL652" s="4" t="s">
        <v>176</v>
      </c>
      <c r="AM652" s="4" t="s">
        <v>134</v>
      </c>
      <c r="AN652" s="4" t="s">
        <v>69</v>
      </c>
      <c r="AO652" s="4" t="s">
        <v>196</v>
      </c>
      <c r="AP652" s="4" t="s">
        <v>197</v>
      </c>
      <c r="AQ652" s="4" t="s">
        <v>109</v>
      </c>
      <c r="AR652" s="4" t="s">
        <v>110</v>
      </c>
      <c r="AS652" s="4" t="s">
        <v>74</v>
      </c>
      <c r="AT652" s="0" t="n">
        <v>0.15</v>
      </c>
      <c r="AU652" s="4" t="s">
        <v>207</v>
      </c>
      <c r="AV652" s="4" t="s">
        <v>142</v>
      </c>
    </row>
    <row r="653" customFormat="false" ht="15" hidden="false" customHeight="false" outlineLevel="0" collapsed="false">
      <c r="A653" s="0" t="s">
        <v>2485</v>
      </c>
      <c r="B653" s="3" t="n">
        <f aca="false">IF(AJ653="","",IF(ISNUMBER(SEARCH("/",AJ653)),DATE(VALUE(RIGHT(AJ653,4)),VALUE(LEFT(AJ653,2)),VALUE(MID(AJ653,4,2))),IF(ISNUMBER(SEARCH("-",AJ653)),IF(LEN(LEFT(AJ653,FIND("-",AJ653)-1))=4,DATE(VALUE(LEFT(AJ653,4)),VALUE(MID(AJ653,6,2)),VALUE(RIGHT(AJ653,2))),DATE(VALUE(RIGHT(AJ653,4)),VALUE(MID(AJ653,4,2)),VALUE(LEFT(AJ653,2)))),DATE(VALUE(RIGHT(AJ653,4)),MATCH(MID(AJ653,4,3),{"Jan","Feb","Mar","Apr","May","Jun","Jul","Aug","Sep","Oct","Nov","Dec"},0),VALUE(LEFT(AJ653,2))))))</f>
        <v>45875</v>
      </c>
      <c r="C653" s="3" t="n">
        <f aca="false">IF(AK653="","",IF(ISNUMBER(SEARCH("/",AK653)),DATE(VALUE(RIGHT(AK653,4)),VALUE(LEFT(AK653,2)),VALUE(MID(AK653,4,2))),IF(ISNUMBER(SEARCH("-",AK653)),IF(LEN(LEFT(AK653,FIND("-",AK653)-1))=4,DATE(VALUE(LEFT(AK653,4)),VALUE(MID(AK653,6,2)),VALUE(RIGHT(AK653,2))),DATE(VALUE(RIGHT(AK653,4)),VALUE(MID(AK653,4,2)),VALUE(LEFT(AK653,2)))),DATE(VALUE(RIGHT(AK653,4)),MATCH(MID(AK653,4,3),{"Jan","Feb","Mar","Apr","May","Jun","Jul","Aug","Sep","Oct","Nov","Dec"},0),VALUE(LEFT(AK653,2))))))</f>
        <v>45878</v>
      </c>
      <c r="D653" s="4" t="s">
        <v>2486</v>
      </c>
      <c r="E653" s="0" t="str">
        <f aca="false">PROPER(TRIM(AL653))</f>
        <v>Mira Das</v>
      </c>
      <c r="F653" s="0" t="str">
        <f aca="false">PROPER(TRIM(AM653))</f>
        <v>Small Business</v>
      </c>
      <c r="G653" s="0" t="str">
        <f aca="false">IF(TRIM(AN653)="","Unknown",PROPER(TRIM(AN653)))</f>
        <v>South</v>
      </c>
      <c r="H653" s="0" t="str">
        <f aca="false">PROPER(TRIM(AO653))</f>
        <v>Andhra Pradesh</v>
      </c>
      <c r="I653" s="0" t="str">
        <f aca="false">PROPER(TRIM(AP653))</f>
        <v>Vijayawada</v>
      </c>
      <c r="J653" s="0" t="str">
        <f aca="false">PROPER(TRIM(AQ653))</f>
        <v>Office Supplies</v>
      </c>
      <c r="K653" s="0" t="str">
        <f aca="false">PROPER(TRIM(AR653))</f>
        <v>Paper</v>
      </c>
      <c r="M653" s="0" t="str">
        <f aca="false">IF(TRIM(AS653)="","Unknown",PROPER(TRIM(AS653)))</f>
        <v>Second Class</v>
      </c>
      <c r="N653" s="0" t="n">
        <v>3</v>
      </c>
      <c r="O653" s="0" t="n">
        <v>598.55</v>
      </c>
      <c r="P653" s="5" t="n">
        <f aca="false">IF(AT653="","",IF(ISNUMBER(AT653),AT653,VALUE(SUBSTITUTE(AT653,"%",""))/100))</f>
        <v>0</v>
      </c>
      <c r="Q653" s="5" t="n">
        <f aca="false">IF(P653="",IF(AND(N653&lt;&gt;"",O653&lt;&gt;"",R653&lt;&gt;"",S653&lt;&gt;""),0,"REVIEW"),IF(OR(P653&lt;0,P653&gt;0.3),0,P653))</f>
        <v>0</v>
      </c>
      <c r="R653" s="0" t="n">
        <v>1795.65</v>
      </c>
      <c r="S653" s="0" t="n">
        <v>996.72</v>
      </c>
      <c r="T653" s="6" t="n">
        <f aca="false">N653*O653*(1-Q653)</f>
        <v>1795.65</v>
      </c>
      <c r="U653" s="6" t="n">
        <f aca="false">T653-S653</f>
        <v>798.93</v>
      </c>
      <c r="V653" s="7" t="n">
        <f aca="false">IF(T653=0,0,U653/T653)</f>
        <v>0.444925235986968</v>
      </c>
      <c r="W653" s="4" t="n">
        <f aca="false">C653-B653</f>
        <v>3</v>
      </c>
      <c r="X653" s="0" t="str">
        <f aca="false">TEXT(B653,"mmmm")</f>
        <v>August</v>
      </c>
      <c r="Y653" s="4" t="n">
        <f aca="false">YEAR(B653)</f>
        <v>2025</v>
      </c>
      <c r="Z653" s="0" t="str">
        <f aca="false">PROPER(TRIM(AU653))</f>
        <v>Paid</v>
      </c>
      <c r="AA653" s="0" t="str">
        <f aca="false">PROPER(TRIM(AV653))</f>
        <v>Completed</v>
      </c>
      <c r="AB653" s="0" t="str">
        <f aca="false">IF(TRIM(AN653)="","Yes","No")</f>
        <v>No</v>
      </c>
      <c r="AC653" s="0" t="str">
        <f aca="false">IF(TRIM(AS653)="","Yes","No")</f>
        <v>No</v>
      </c>
      <c r="AD653" s="0" t="str">
        <f aca="false">IF(AT653="","Yes","No")</f>
        <v>No</v>
      </c>
      <c r="AE653" s="0" t="str">
        <f aca="false">IF(W653&lt;0,"Yes","No")</f>
        <v>No</v>
      </c>
      <c r="AF653" s="0" t="str">
        <f aca="false">IF(P653="","No",IF(OR(P653&lt;0,P653&gt;0.3),"Yes","No"))</f>
        <v>No</v>
      </c>
      <c r="AG653" s="4" t="s">
        <v>50</v>
      </c>
      <c r="AH653" s="0" t="str">
        <f aca="false">IF(AND(AA653="Completed",Z653="Paid"),"Yes","No")</f>
        <v>Yes</v>
      </c>
      <c r="AI653" s="0" t="str">
        <f aca="false">IF(OR(AE653="Yes",AF653="Yes",AG653="Yes"),"Invalid",IF(OR(AB653="Yes",AC653="Yes",AD653="Yes"),"Warning","Clean"))</f>
        <v>Clean</v>
      </c>
      <c r="AJ653" s="4" t="s">
        <v>1154</v>
      </c>
      <c r="AK653" s="4" t="s">
        <v>2487</v>
      </c>
      <c r="AL653" s="4" t="s">
        <v>67</v>
      </c>
      <c r="AM653" s="4" t="s">
        <v>68</v>
      </c>
      <c r="AN653" s="4" t="s">
        <v>87</v>
      </c>
      <c r="AO653" s="4" t="s">
        <v>121</v>
      </c>
      <c r="AP653" s="4" t="s">
        <v>122</v>
      </c>
      <c r="AQ653" s="4" t="s">
        <v>58</v>
      </c>
      <c r="AR653" s="4" t="s">
        <v>59</v>
      </c>
      <c r="AS653" s="4" t="s">
        <v>60</v>
      </c>
      <c r="AT653" s="0" t="n">
        <v>0</v>
      </c>
      <c r="AU653" s="4" t="s">
        <v>61</v>
      </c>
      <c r="AV653" s="4" t="s">
        <v>62</v>
      </c>
    </row>
    <row r="654" customFormat="false" ht="15" hidden="false" customHeight="false" outlineLevel="0" collapsed="false">
      <c r="A654" s="0" t="s">
        <v>2488</v>
      </c>
      <c r="B654" s="3" t="n">
        <f aca="false">IF(AJ654="","",IF(ISNUMBER(SEARCH("/",AJ654)),DATE(VALUE(RIGHT(AJ654,4)),VALUE(LEFT(AJ654,2)),VALUE(MID(AJ654,4,2))),IF(ISNUMBER(SEARCH("-",AJ654)),IF(LEN(LEFT(AJ654,FIND("-",AJ654)-1))=4,DATE(VALUE(LEFT(AJ654,4)),VALUE(MID(AJ654,6,2)),VALUE(RIGHT(AJ654,2))),DATE(VALUE(RIGHT(AJ654,4)),VALUE(MID(AJ654,4,2)),VALUE(LEFT(AJ654,2)))),DATE(VALUE(RIGHT(AJ654,4)),MATCH(MID(AJ654,4,3),{"Jan","Feb","Mar","Apr","May","Jun","Jul","Aug","Sep","Oct","Nov","Dec"},0),VALUE(LEFT(AJ654,2))))))</f>
        <v>45733</v>
      </c>
      <c r="C654" s="3" t="n">
        <f aca="false">IF(AK654="","",IF(ISNUMBER(SEARCH("/",AK654)),DATE(VALUE(RIGHT(AK654,4)),VALUE(LEFT(AK654,2)),VALUE(MID(AK654,4,2))),IF(ISNUMBER(SEARCH("-",AK654)),IF(LEN(LEFT(AK654,FIND("-",AK654)-1))=4,DATE(VALUE(LEFT(AK654,4)),VALUE(MID(AK654,6,2)),VALUE(RIGHT(AK654,2))),DATE(VALUE(RIGHT(AK654,4)),VALUE(MID(AK654,4,2)),VALUE(LEFT(AK654,2)))),DATE(VALUE(RIGHT(AK654,4)),MATCH(MID(AK654,4,3),{"Jan","Feb","Mar","Apr","May","Jun","Jul","Aug","Sep","Oct","Nov","Dec"},0),VALUE(LEFT(AK654,2))))))</f>
        <v>45737</v>
      </c>
      <c r="D654" s="4" t="s">
        <v>2089</v>
      </c>
      <c r="E654" s="0" t="str">
        <f aca="false">PROPER(TRIM(AL654))</f>
        <v>Sneha Kapoor</v>
      </c>
      <c r="F654" s="0" t="str">
        <f aca="false">PROPER(TRIM(AM654))</f>
        <v>Consumer</v>
      </c>
      <c r="G654" s="0" t="str">
        <f aca="false">IF(TRIM(AN654)="","Unknown",PROPER(TRIM(AN654)))</f>
        <v>North</v>
      </c>
      <c r="H654" s="0" t="str">
        <f aca="false">PROPER(TRIM(AO654))</f>
        <v>Uttar Pradesh</v>
      </c>
      <c r="I654" s="0" t="str">
        <f aca="false">PROPER(TRIM(AP654))</f>
        <v>Noida</v>
      </c>
      <c r="J654" s="0" t="str">
        <f aca="false">PROPER(TRIM(AQ654))</f>
        <v>Office Supplies</v>
      </c>
      <c r="K654" s="0" t="str">
        <f aca="false">PROPER(TRIM(AR654))</f>
        <v>Binders</v>
      </c>
      <c r="M654" s="0" t="str">
        <f aca="false">IF(TRIM(AS654)="","Unknown",PROPER(TRIM(AS654)))</f>
        <v>Standard Class</v>
      </c>
      <c r="N654" s="0" t="n">
        <v>5</v>
      </c>
      <c r="O654" s="0" t="n">
        <v>4320.59</v>
      </c>
      <c r="P654" s="5" t="n">
        <f aca="false">IF(AT654="","",IF(ISNUMBER(AT654),AT654,VALUE(SUBSTITUTE(AT654,"%",""))/100))</f>
        <v>0.15</v>
      </c>
      <c r="Q654" s="5" t="n">
        <f aca="false">IF(P654="",IF(AND(N654&lt;&gt;"",O654&lt;&gt;"",R654&lt;&gt;"",S654&lt;&gt;""),0,"REVIEW"),IF(OR(P654&lt;0,P654&gt;0.3),0,P654))</f>
        <v>0.15</v>
      </c>
      <c r="R654" s="0" t="n">
        <v>18362.51</v>
      </c>
      <c r="S654" s="0" t="n">
        <v>11133.97</v>
      </c>
      <c r="T654" s="6" t="n">
        <f aca="false">N654*O654*(1-Q654)</f>
        <v>18362.5075</v>
      </c>
      <c r="U654" s="6" t="n">
        <f aca="false">T654-S654</f>
        <v>7228.5375</v>
      </c>
      <c r="V654" s="7" t="n">
        <f aca="false">IF(T654=0,0,U654/T654)</f>
        <v>0.393657429411533</v>
      </c>
      <c r="W654" s="4" t="n">
        <f aca="false">C654-B654</f>
        <v>4</v>
      </c>
      <c r="X654" s="0" t="str">
        <f aca="false">TEXT(B654,"mmmm")</f>
        <v>March</v>
      </c>
      <c r="Y654" s="4" t="n">
        <f aca="false">YEAR(B654)</f>
        <v>2025</v>
      </c>
      <c r="Z654" s="0" t="str">
        <f aca="false">PROPER(TRIM(AU654))</f>
        <v>Paid</v>
      </c>
      <c r="AA654" s="0" t="str">
        <f aca="false">PROPER(TRIM(AV654))</f>
        <v>Completed</v>
      </c>
      <c r="AB654" s="0" t="str">
        <f aca="false">IF(TRIM(AN654)="","Yes","No")</f>
        <v>No</v>
      </c>
      <c r="AC654" s="0" t="str">
        <f aca="false">IF(TRIM(AS654)="","Yes","No")</f>
        <v>No</v>
      </c>
      <c r="AD654" s="0" t="str">
        <f aca="false">IF(AT654="","Yes","No")</f>
        <v>No</v>
      </c>
      <c r="AE654" s="0" t="str">
        <f aca="false">IF(W654&lt;0,"Yes","No")</f>
        <v>No</v>
      </c>
      <c r="AF654" s="0" t="str">
        <f aca="false">IF(P654="","No",IF(OR(P654&lt;0,P654&gt;0.3),"Yes","No"))</f>
        <v>No</v>
      </c>
      <c r="AG654" s="4" t="s">
        <v>50</v>
      </c>
      <c r="AH654" s="0" t="str">
        <f aca="false">IF(AND(AA654="Completed",Z654="Paid"),"Yes","No")</f>
        <v>Yes</v>
      </c>
      <c r="AI654" s="0" t="str">
        <f aca="false">IF(OR(AE654="Yes",AF654="Yes",AG654="Yes"),"Invalid",IF(OR(AB654="Yes",AC654="Yes",AD654="Yes"),"Warning","Clean"))</f>
        <v>Clean</v>
      </c>
      <c r="AJ654" s="4" t="s">
        <v>2489</v>
      </c>
      <c r="AK654" s="4" t="s">
        <v>2490</v>
      </c>
      <c r="AL654" s="4" t="s">
        <v>181</v>
      </c>
      <c r="AM654" s="4" t="s">
        <v>54</v>
      </c>
      <c r="AN654" s="4" t="s">
        <v>168</v>
      </c>
      <c r="AO654" s="4" t="s">
        <v>186</v>
      </c>
      <c r="AP654" s="4" t="s">
        <v>187</v>
      </c>
      <c r="AQ654" s="4" t="s">
        <v>58</v>
      </c>
      <c r="AR654" s="4" t="s">
        <v>206</v>
      </c>
      <c r="AS654" s="4" t="s">
        <v>91</v>
      </c>
      <c r="AT654" s="0" t="n">
        <v>0.15</v>
      </c>
      <c r="AU654" s="4" t="s">
        <v>61</v>
      </c>
      <c r="AV654" s="4" t="s">
        <v>62</v>
      </c>
    </row>
    <row r="655" customFormat="false" ht="15" hidden="false" customHeight="false" outlineLevel="0" collapsed="false">
      <c r="A655" s="0" t="s">
        <v>2491</v>
      </c>
      <c r="B655" s="3" t="n">
        <f aca="false">IF(AJ655="","",IF(ISNUMBER(SEARCH("/",AJ655)),DATE(VALUE(RIGHT(AJ655,4)),VALUE(LEFT(AJ655,2)),VALUE(MID(AJ655,4,2))),IF(ISNUMBER(SEARCH("-",AJ655)),IF(LEN(LEFT(AJ655,FIND("-",AJ655)-1))=4,DATE(VALUE(LEFT(AJ655,4)),VALUE(MID(AJ655,6,2)),VALUE(RIGHT(AJ655,2))),DATE(VALUE(RIGHT(AJ655,4)),VALUE(MID(AJ655,4,2)),VALUE(LEFT(AJ655,2)))),DATE(VALUE(RIGHT(AJ655,4)),MATCH(MID(AJ655,4,3),{"Jan","Feb","Mar","Apr","May","Jun","Jul","Aug","Sep","Oct","Nov","Dec"},0),VALUE(LEFT(AJ655,2))))))</f>
        <v>45751</v>
      </c>
      <c r="C655" s="3" t="n">
        <f aca="false">IF(AK655="","",IF(ISNUMBER(SEARCH("/",AK655)),DATE(VALUE(RIGHT(AK655,4)),VALUE(LEFT(AK655,2)),VALUE(MID(AK655,4,2))),IF(ISNUMBER(SEARCH("-",AK655)),IF(LEN(LEFT(AK655,FIND("-",AK655)-1))=4,DATE(VALUE(LEFT(AK655,4)),VALUE(MID(AK655,6,2)),VALUE(RIGHT(AK655,2))),DATE(VALUE(RIGHT(AK655,4)),VALUE(MID(AK655,4,2)),VALUE(LEFT(AK655,2)))),DATE(VALUE(RIGHT(AK655,4)),MATCH(MID(AK655,4,3),{"Jan","Feb","Mar","Apr","May","Jun","Jul","Aug","Sep","Oct","Nov","Dec"},0),VALUE(LEFT(AK655,2))))))</f>
        <v>45754</v>
      </c>
      <c r="D655" s="4" t="s">
        <v>2492</v>
      </c>
      <c r="E655" s="0" t="str">
        <f aca="false">PROPER(TRIM(AL655))</f>
        <v>Priya Menon</v>
      </c>
      <c r="F655" s="0" t="str">
        <f aca="false">PROPER(TRIM(AM655))</f>
        <v>Small Business</v>
      </c>
      <c r="G655" s="0" t="str">
        <f aca="false">IF(TRIM(AN655)="","Unknown",PROPER(TRIM(AN655)))</f>
        <v>South</v>
      </c>
      <c r="H655" s="0" t="str">
        <f aca="false">PROPER(TRIM(AO655))</f>
        <v>Tamil Nadu</v>
      </c>
      <c r="I655" s="0" t="str">
        <f aca="false">PROPER(TRIM(AP655))</f>
        <v>Chennai</v>
      </c>
      <c r="J655" s="0" t="str">
        <f aca="false">PROPER(TRIM(AQ655))</f>
        <v>Technology</v>
      </c>
      <c r="K655" s="0" t="str">
        <f aca="false">PROPER(TRIM(AR655))</f>
        <v>Copiers</v>
      </c>
      <c r="M655" s="0" t="str">
        <f aca="false">IF(TRIM(AS655)="","Unknown",PROPER(TRIM(AS655)))</f>
        <v>Second Class</v>
      </c>
      <c r="N655" s="0" t="n">
        <v>7</v>
      </c>
      <c r="O655" s="0" t="n">
        <v>4457.93</v>
      </c>
      <c r="P655" s="5" t="n">
        <f aca="false">IF(AT655="","",IF(ISNUMBER(AT655),AT655,VALUE(SUBSTITUTE(AT655,"%",""))/100))</f>
        <v>0.15</v>
      </c>
      <c r="Q655" s="5" t="n">
        <f aca="false">IF(P655="",IF(AND(N655&lt;&gt;"",O655&lt;&gt;"",R655&lt;&gt;"",S655&lt;&gt;""),0,"REVIEW"),IF(OR(P655&lt;0,P655&gt;0.3),0,P655))</f>
        <v>0.15</v>
      </c>
      <c r="R655" s="0" t="n">
        <v>26524.68</v>
      </c>
      <c r="S655" s="0" t="n">
        <v>20574.3</v>
      </c>
      <c r="T655" s="6" t="n">
        <f aca="false">N655*O655*(1-Q655)</f>
        <v>26524.6835</v>
      </c>
      <c r="U655" s="6" t="n">
        <f aca="false">T655-S655</f>
        <v>5950.3835</v>
      </c>
      <c r="V655" s="7" t="n">
        <f aca="false">IF(T655=0,0,U655/T655)</f>
        <v>0.224333817215953</v>
      </c>
      <c r="W655" s="4" t="n">
        <f aca="false">C655-B655</f>
        <v>3</v>
      </c>
      <c r="X655" s="0" t="str">
        <f aca="false">TEXT(B655,"mmmm")</f>
        <v>April</v>
      </c>
      <c r="Y655" s="4" t="n">
        <f aca="false">YEAR(B655)</f>
        <v>2025</v>
      </c>
      <c r="Z655" s="0" t="str">
        <f aca="false">PROPER(TRIM(AU655))</f>
        <v>Paid</v>
      </c>
      <c r="AA655" s="0" t="str">
        <f aca="false">PROPER(TRIM(AV655))</f>
        <v>Completed</v>
      </c>
      <c r="AB655" s="0" t="str">
        <f aca="false">IF(TRIM(AN655)="","Yes","No")</f>
        <v>No</v>
      </c>
      <c r="AC655" s="0" t="str">
        <f aca="false">IF(TRIM(AS655)="","Yes","No")</f>
        <v>No</v>
      </c>
      <c r="AD655" s="0" t="str">
        <f aca="false">IF(AT655="","Yes","No")</f>
        <v>No</v>
      </c>
      <c r="AE655" s="0" t="str">
        <f aca="false">IF(W655&lt;0,"Yes","No")</f>
        <v>No</v>
      </c>
      <c r="AF655" s="0" t="str">
        <f aca="false">IF(P655="","No",IF(OR(P655&lt;0,P655&gt;0.3),"Yes","No"))</f>
        <v>No</v>
      </c>
      <c r="AG655" s="4" t="s">
        <v>50</v>
      </c>
      <c r="AH655" s="0" t="str">
        <f aca="false">IF(AND(AA655="Completed",Z655="Paid"),"Yes","No")</f>
        <v>Yes</v>
      </c>
      <c r="AI655" s="0" t="str">
        <f aca="false">IF(OR(AE655="Yes",AF655="Yes",AG655="Yes"),"Invalid",IF(OR(AB655="Yes",AC655="Yes",AD655="Yes"),"Warning","Clean"))</f>
        <v>Clean</v>
      </c>
      <c r="AJ655" s="4" t="s">
        <v>2493</v>
      </c>
      <c r="AK655" s="4" t="s">
        <v>2494</v>
      </c>
      <c r="AL655" s="4" t="s">
        <v>158</v>
      </c>
      <c r="AM655" s="4" t="s">
        <v>68</v>
      </c>
      <c r="AN655" s="4" t="s">
        <v>87</v>
      </c>
      <c r="AO655" s="4" t="s">
        <v>323</v>
      </c>
      <c r="AP655" s="4" t="s">
        <v>324</v>
      </c>
      <c r="AQ655" s="4" t="s">
        <v>109</v>
      </c>
      <c r="AR655" s="4" t="s">
        <v>116</v>
      </c>
      <c r="AS655" s="4" t="s">
        <v>60</v>
      </c>
      <c r="AT655" s="0" t="n">
        <v>0.15</v>
      </c>
      <c r="AU655" s="4" t="s">
        <v>61</v>
      </c>
      <c r="AV655" s="4" t="s">
        <v>62</v>
      </c>
    </row>
    <row r="656" customFormat="false" ht="15" hidden="false" customHeight="false" outlineLevel="0" collapsed="false">
      <c r="A656" s="0" t="s">
        <v>2495</v>
      </c>
      <c r="B656" s="3" t="n">
        <f aca="false">IF(AJ656="","",IF(ISNUMBER(SEARCH("/",AJ656)),DATE(VALUE(RIGHT(AJ656,4)),VALUE(LEFT(AJ656,2)),VALUE(MID(AJ656,4,2))),IF(ISNUMBER(SEARCH("-",AJ656)),IF(LEN(LEFT(AJ656,FIND("-",AJ656)-1))=4,DATE(VALUE(LEFT(AJ656,4)),VALUE(MID(AJ656,6,2)),VALUE(RIGHT(AJ656,2))),DATE(VALUE(RIGHT(AJ656,4)),VALUE(MID(AJ656,4,2)),VALUE(LEFT(AJ656,2)))),DATE(VALUE(RIGHT(AJ656,4)),MATCH(MID(AJ656,4,3),{"Jan","Feb","Mar","Apr","May","Jun","Jul","Aug","Sep","Oct","Nov","Dec"},0),VALUE(LEFT(AJ656,2))))))</f>
        <v>45942</v>
      </c>
      <c r="C656" s="3" t="n">
        <f aca="false">IF(AK656="","",IF(ISNUMBER(SEARCH("/",AK656)),DATE(VALUE(RIGHT(AK656,4)),VALUE(LEFT(AK656,2)),VALUE(MID(AK656,4,2))),IF(ISNUMBER(SEARCH("-",AK656)),IF(LEN(LEFT(AK656,FIND("-",AK656)-1))=4,DATE(VALUE(LEFT(AK656,4)),VALUE(MID(AK656,6,2)),VALUE(RIGHT(AK656,2))),DATE(VALUE(RIGHT(AK656,4)),VALUE(MID(AK656,4,2)),VALUE(LEFT(AK656,2)))),DATE(VALUE(RIGHT(AK656,4)),MATCH(MID(AK656,4,3),{"Jan","Feb","Mar","Apr","May","Jun","Jul","Aug","Sep","Oct","Nov","Dec"},0),VALUE(LEFT(AK656,2))))))</f>
        <v>45946</v>
      </c>
      <c r="D656" s="4" t="s">
        <v>1187</v>
      </c>
      <c r="E656" s="0" t="str">
        <f aca="false">PROPER(TRIM(AL656))</f>
        <v>Diya Patel</v>
      </c>
      <c r="F656" s="0" t="str">
        <f aca="false">PROPER(TRIM(AM656))</f>
        <v>Corporate</v>
      </c>
      <c r="G656" s="0" t="str">
        <f aca="false">IF(TRIM(AN656)="","Unknown",PROPER(TRIM(AN656)))</f>
        <v>East</v>
      </c>
      <c r="H656" s="0" t="str">
        <f aca="false">PROPER(TRIM(AO656))</f>
        <v>Bihar</v>
      </c>
      <c r="I656" s="0" t="str">
        <f aca="false">PROPER(TRIM(AP656))</f>
        <v>Patna</v>
      </c>
      <c r="J656" s="0" t="str">
        <f aca="false">PROPER(TRIM(AQ656))</f>
        <v>Technology</v>
      </c>
      <c r="K656" s="0" t="str">
        <f aca="false">PROPER(TRIM(AR656))</f>
        <v>Machines</v>
      </c>
      <c r="M656" s="0" t="str">
        <f aca="false">IF(TRIM(AS656)="","Unknown",PROPER(TRIM(AS656)))</f>
        <v>Same Day</v>
      </c>
      <c r="N656" s="0" t="n">
        <v>1</v>
      </c>
      <c r="O656" s="0" t="n">
        <v>2570.06</v>
      </c>
      <c r="P656" s="5" t="n">
        <f aca="false">IF(AT656="","",IF(ISNUMBER(AT656),AT656,VALUE(SUBSTITUTE(AT656,"%",""))/100))</f>
        <v>0.2</v>
      </c>
      <c r="Q656" s="5" t="n">
        <f aca="false">IF(P656="",IF(AND(N656&lt;&gt;"",O656&lt;&gt;"",R656&lt;&gt;"",S656&lt;&gt;""),0,"REVIEW"),IF(OR(P656&lt;0,P656&gt;0.3),0,P656))</f>
        <v>0.2</v>
      </c>
      <c r="R656" s="0" t="n">
        <v>2056.05</v>
      </c>
      <c r="S656" s="0" t="n">
        <v>1662.39</v>
      </c>
      <c r="T656" s="6" t="n">
        <f aca="false">N656*O656*(1-Q656)</f>
        <v>2056.048</v>
      </c>
      <c r="U656" s="6" t="n">
        <f aca="false">T656-S656</f>
        <v>393.658</v>
      </c>
      <c r="V656" s="7" t="n">
        <f aca="false">IF(T656=0,0,U656/T656)</f>
        <v>0.191463428869365</v>
      </c>
      <c r="W656" s="4" t="n">
        <f aca="false">C656-B656</f>
        <v>4</v>
      </c>
      <c r="X656" s="0" t="str">
        <f aca="false">TEXT(B656,"mmmm")</f>
        <v>October</v>
      </c>
      <c r="Y656" s="4" t="n">
        <f aca="false">YEAR(B656)</f>
        <v>2025</v>
      </c>
      <c r="Z656" s="0" t="str">
        <f aca="false">PROPER(TRIM(AU656))</f>
        <v>Paid</v>
      </c>
      <c r="AA656" s="0" t="str">
        <f aca="false">PROPER(TRIM(AV656))</f>
        <v>Completed</v>
      </c>
      <c r="AB656" s="0" t="str">
        <f aca="false">IF(TRIM(AN656)="","Yes","No")</f>
        <v>No</v>
      </c>
      <c r="AC656" s="0" t="str">
        <f aca="false">IF(TRIM(AS656)="","Yes","No")</f>
        <v>No</v>
      </c>
      <c r="AD656" s="0" t="str">
        <f aca="false">IF(AT656="","Yes","No")</f>
        <v>No</v>
      </c>
      <c r="AE656" s="0" t="str">
        <f aca="false">IF(W656&lt;0,"Yes","No")</f>
        <v>No</v>
      </c>
      <c r="AF656" s="0" t="str">
        <f aca="false">IF(P656="","No",IF(OR(P656&lt;0,P656&gt;0.3),"Yes","No"))</f>
        <v>No</v>
      </c>
      <c r="AG656" s="4" t="s">
        <v>50</v>
      </c>
      <c r="AH656" s="0" t="str">
        <f aca="false">IF(AND(AA656="Completed",Z656="Paid"),"Yes","No")</f>
        <v>Yes</v>
      </c>
      <c r="AI656" s="0" t="str">
        <f aca="false">IF(OR(AE656="Yes",AF656="Yes",AG656="Yes"),"Invalid",IF(OR(AB656="Yes",AC656="Yes",AD656="Yes"),"Warning","Clean"))</f>
        <v>Clean</v>
      </c>
      <c r="AJ656" s="4" t="s">
        <v>2496</v>
      </c>
      <c r="AK656" s="4" t="s">
        <v>157</v>
      </c>
      <c r="AL656" s="4" t="s">
        <v>216</v>
      </c>
      <c r="AM656" s="4" t="s">
        <v>128</v>
      </c>
      <c r="AN656" s="4" t="s">
        <v>69</v>
      </c>
      <c r="AO656" s="4" t="s">
        <v>196</v>
      </c>
      <c r="AP656" s="4" t="s">
        <v>197</v>
      </c>
      <c r="AQ656" s="4" t="s">
        <v>109</v>
      </c>
      <c r="AR656" s="4" t="s">
        <v>360</v>
      </c>
      <c r="AS656" s="4" t="s">
        <v>74</v>
      </c>
      <c r="AT656" s="0" t="n">
        <v>0.2</v>
      </c>
      <c r="AU656" s="4" t="s">
        <v>61</v>
      </c>
      <c r="AV656" s="4" t="s">
        <v>62</v>
      </c>
    </row>
    <row r="657" customFormat="false" ht="15" hidden="false" customHeight="false" outlineLevel="0" collapsed="false">
      <c r="A657" s="0" t="s">
        <v>2497</v>
      </c>
      <c r="B657" s="3" t="n">
        <f aca="false">IF(AJ657="","",IF(ISNUMBER(SEARCH("/",AJ657)),DATE(VALUE(RIGHT(AJ657,4)),VALUE(LEFT(AJ657,2)),VALUE(MID(AJ657,4,2))),IF(ISNUMBER(SEARCH("-",AJ657)),IF(LEN(LEFT(AJ657,FIND("-",AJ657)-1))=4,DATE(VALUE(LEFT(AJ657,4)),VALUE(MID(AJ657,6,2)),VALUE(RIGHT(AJ657,2))),DATE(VALUE(RIGHT(AJ657,4)),VALUE(MID(AJ657,4,2)),VALUE(LEFT(AJ657,2)))),DATE(VALUE(RIGHT(AJ657,4)),MATCH(MID(AJ657,4,3),{"Jan","Feb","Mar","Apr","May","Jun","Jul","Aug","Sep","Oct","Nov","Dec"},0),VALUE(LEFT(AJ657,2))))))</f>
        <v>45895</v>
      </c>
      <c r="C657" s="3" t="n">
        <f aca="false">IF(AK657="","",IF(ISNUMBER(SEARCH("/",AK657)),DATE(VALUE(RIGHT(AK657,4)),VALUE(LEFT(AK657,2)),VALUE(MID(AK657,4,2))),IF(ISNUMBER(SEARCH("-",AK657)),IF(LEN(LEFT(AK657,FIND("-",AK657)-1))=4,DATE(VALUE(LEFT(AK657,4)),VALUE(MID(AK657,6,2)),VALUE(RIGHT(AK657,2))),DATE(VALUE(RIGHT(AK657,4)),VALUE(MID(AK657,4,2)),VALUE(LEFT(AK657,2)))),DATE(VALUE(RIGHT(AK657,4)),MATCH(MID(AK657,4,3),{"Jan","Feb","Mar","Apr","May","Jun","Jul","Aug","Sep","Oct","Nov","Dec"},0),VALUE(LEFT(AK657,2))))))</f>
        <v>45895</v>
      </c>
      <c r="D657" s="4" t="s">
        <v>2498</v>
      </c>
      <c r="E657" s="0" t="str">
        <f aca="false">PROPER(TRIM(AL657))</f>
        <v>Neha Gupta</v>
      </c>
      <c r="F657" s="0" t="str">
        <f aca="false">PROPER(TRIM(AM657))</f>
        <v>Home Office</v>
      </c>
      <c r="G657" s="0" t="str">
        <f aca="false">IF(TRIM(AN657)="","Unknown",PROPER(TRIM(AN657)))</f>
        <v>East</v>
      </c>
      <c r="H657" s="0" t="str">
        <f aca="false">PROPER(TRIM(AO657))</f>
        <v>West Bengal</v>
      </c>
      <c r="I657" s="0" t="str">
        <f aca="false">PROPER(TRIM(AP657))</f>
        <v>Kolkata</v>
      </c>
      <c r="J657" s="0" t="str">
        <f aca="false">PROPER(TRIM(AQ657))</f>
        <v>Furniture</v>
      </c>
      <c r="K657" s="0" t="str">
        <f aca="false">PROPER(TRIM(AR657))</f>
        <v>Furnishings</v>
      </c>
      <c r="M657" s="0" t="str">
        <f aca="false">IF(TRIM(AS657)="","Unknown",PROPER(TRIM(AS657)))</f>
        <v>Standard Class</v>
      </c>
      <c r="N657" s="0" t="n">
        <v>4</v>
      </c>
      <c r="O657" s="0" t="n">
        <v>2151.82</v>
      </c>
      <c r="P657" s="5" t="n">
        <f aca="false">IF(AT657="","",IF(ISNUMBER(AT657),AT657,VALUE(SUBSTITUTE(AT657,"%",""))/100))</f>
        <v>0</v>
      </c>
      <c r="Q657" s="5" t="n">
        <f aca="false">IF(P657="",IF(AND(N657&lt;&gt;"",O657&lt;&gt;"",R657&lt;&gt;"",S657&lt;&gt;""),0,"REVIEW"),IF(OR(P657&lt;0,P657&gt;0.3),0,P657))</f>
        <v>0</v>
      </c>
      <c r="R657" s="0" t="n">
        <v>8607.28</v>
      </c>
      <c r="S657" s="0" t="n">
        <v>5124.01</v>
      </c>
      <c r="T657" s="6" t="n">
        <f aca="false">N657*O657*(1-Q657)</f>
        <v>8607.28</v>
      </c>
      <c r="U657" s="6" t="n">
        <f aca="false">T657-S657</f>
        <v>3483.27</v>
      </c>
      <c r="V657" s="7" t="n">
        <f aca="false">IF(T657=0,0,U657/T657)</f>
        <v>0.404688821555706</v>
      </c>
      <c r="W657" s="4" t="n">
        <f aca="false">C657-B657</f>
        <v>0</v>
      </c>
      <c r="X657" s="0" t="str">
        <f aca="false">TEXT(B657,"mmmm")</f>
        <v>August</v>
      </c>
      <c r="Y657" s="4" t="n">
        <f aca="false">YEAR(B657)</f>
        <v>2025</v>
      </c>
      <c r="Z657" s="0" t="str">
        <f aca="false">PROPER(TRIM(AU657))</f>
        <v>Paid</v>
      </c>
      <c r="AA657" s="0" t="str">
        <f aca="false">PROPER(TRIM(AV657))</f>
        <v>Completed</v>
      </c>
      <c r="AB657" s="0" t="str">
        <f aca="false">IF(TRIM(AN657)="","Yes","No")</f>
        <v>No</v>
      </c>
      <c r="AC657" s="0" t="str">
        <f aca="false">IF(TRIM(AS657)="","Yes","No")</f>
        <v>No</v>
      </c>
      <c r="AD657" s="0" t="str">
        <f aca="false">IF(AT657="","Yes","No")</f>
        <v>No</v>
      </c>
      <c r="AE657" s="0" t="str">
        <f aca="false">IF(W657&lt;0,"Yes","No")</f>
        <v>No</v>
      </c>
      <c r="AF657" s="0" t="str">
        <f aca="false">IF(P657="","No",IF(OR(P657&lt;0,P657&gt;0.3),"Yes","No"))</f>
        <v>No</v>
      </c>
      <c r="AG657" s="4" t="s">
        <v>50</v>
      </c>
      <c r="AH657" s="0" t="str">
        <f aca="false">IF(AND(AA657="Completed",Z657="Paid"),"Yes","No")</f>
        <v>Yes</v>
      </c>
      <c r="AI657" s="0" t="str">
        <f aca="false">IF(OR(AE657="Yes",AF657="Yes",AG657="Yes"),"Invalid",IF(OR(AB657="Yes",AC657="Yes",AD657="Yes"),"Warning","Clean"))</f>
        <v>Clean</v>
      </c>
      <c r="AJ657" s="4" t="s">
        <v>619</v>
      </c>
      <c r="AK657" s="4" t="s">
        <v>619</v>
      </c>
      <c r="AL657" s="4" t="s">
        <v>115</v>
      </c>
      <c r="AM657" s="4" t="s">
        <v>134</v>
      </c>
      <c r="AN657" s="4" t="s">
        <v>69</v>
      </c>
      <c r="AO657" s="4" t="s">
        <v>139</v>
      </c>
      <c r="AP657" s="4" t="s">
        <v>140</v>
      </c>
      <c r="AQ657" s="4" t="s">
        <v>72</v>
      </c>
      <c r="AR657" s="4" t="s">
        <v>90</v>
      </c>
      <c r="AS657" s="4" t="s">
        <v>91</v>
      </c>
      <c r="AT657" s="0" t="n">
        <v>0</v>
      </c>
      <c r="AU657" s="4" t="s">
        <v>61</v>
      </c>
      <c r="AV657" s="4" t="s">
        <v>62</v>
      </c>
    </row>
    <row r="658" customFormat="false" ht="15" hidden="false" customHeight="false" outlineLevel="0" collapsed="false">
      <c r="A658" s="0" t="s">
        <v>2499</v>
      </c>
      <c r="B658" s="3" t="n">
        <f aca="false">IF(AJ658="","",IF(ISNUMBER(SEARCH("/",AJ658)),DATE(VALUE(RIGHT(AJ658,4)),VALUE(LEFT(AJ658,2)),VALUE(MID(AJ658,4,2))),IF(ISNUMBER(SEARCH("-",AJ658)),IF(LEN(LEFT(AJ658,FIND("-",AJ658)-1))=4,DATE(VALUE(LEFT(AJ658,4)),VALUE(MID(AJ658,6,2)),VALUE(RIGHT(AJ658,2))),DATE(VALUE(RIGHT(AJ658,4)),VALUE(MID(AJ658,4,2)),VALUE(LEFT(AJ658,2)))),DATE(VALUE(RIGHT(AJ658,4)),MATCH(MID(AJ658,4,3),{"Jan","Feb","Mar","Apr","May","Jun","Jul","Aug","Sep","Oct","Nov","Dec"},0),VALUE(LEFT(AJ658,2))))))</f>
        <v>45419</v>
      </c>
      <c r="C658" s="3" t="n">
        <f aca="false">IF(AK658="","",IF(ISNUMBER(SEARCH("/",AK658)),DATE(VALUE(RIGHT(AK658,4)),VALUE(LEFT(AK658,2)),VALUE(MID(AK658,4,2))),IF(ISNUMBER(SEARCH("-",AK658)),IF(LEN(LEFT(AK658,FIND("-",AK658)-1))=4,DATE(VALUE(LEFT(AK658,4)),VALUE(MID(AK658,6,2)),VALUE(RIGHT(AK658,2))),DATE(VALUE(RIGHT(AK658,4)),VALUE(MID(AK658,4,2)),VALUE(LEFT(AK658,2)))),DATE(VALUE(RIGHT(AK658,4)),MATCH(MID(AK658,4,3),{"Jan","Feb","Mar","Apr","May","Jun","Jul","Aug","Sep","Oct","Nov","Dec"},0),VALUE(LEFT(AK658,2))))))</f>
        <v>45426</v>
      </c>
      <c r="D658" s="4" t="s">
        <v>2500</v>
      </c>
      <c r="E658" s="0" t="str">
        <f aca="false">PROPER(TRIM(AL658))</f>
        <v>Neha Gupta</v>
      </c>
      <c r="F658" s="0" t="str">
        <f aca="false">PROPER(TRIM(AM658))</f>
        <v>Small Business</v>
      </c>
      <c r="G658" s="0" t="str">
        <f aca="false">IF(TRIM(AN658)="","Unknown",PROPER(TRIM(AN658)))</f>
        <v>North</v>
      </c>
      <c r="H658" s="0" t="str">
        <f aca="false">PROPER(TRIM(AO658))</f>
        <v>Haryana</v>
      </c>
      <c r="I658" s="0" t="str">
        <f aca="false">PROPER(TRIM(AP658))</f>
        <v>Gurugram</v>
      </c>
      <c r="J658" s="0" t="str">
        <f aca="false">PROPER(TRIM(AQ658))</f>
        <v>Technology</v>
      </c>
      <c r="K658" s="0" t="str">
        <f aca="false">PROPER(TRIM(AR658))</f>
        <v>Machines</v>
      </c>
      <c r="M658" s="0" t="str">
        <f aca="false">IF(TRIM(AS658)="","Unknown",PROPER(TRIM(AS658)))</f>
        <v>Same Day</v>
      </c>
      <c r="N658" s="0" t="n">
        <v>4</v>
      </c>
      <c r="O658" s="0" t="n">
        <v>2751.1</v>
      </c>
      <c r="P658" s="5" t="n">
        <f aca="false">IF(AT658="","",IF(ISNUMBER(AT658),AT658,VALUE(SUBSTITUTE(AT658,"%",""))/100))</f>
        <v>-0.05</v>
      </c>
      <c r="Q658" s="5" t="n">
        <f aca="false">IF(P658="",IF(AND(N658&lt;&gt;"",O658&lt;&gt;"",R658&lt;&gt;"",S658&lt;&gt;""),0,"REVIEW"),IF(OR(P658&lt;0,P658&gt;0.3),0,P658))</f>
        <v>0</v>
      </c>
      <c r="R658" s="0" t="n">
        <v>9903.96</v>
      </c>
      <c r="S658" s="0" t="n">
        <v>7696.28</v>
      </c>
      <c r="T658" s="6" t="n">
        <f aca="false">N658*O658*(1-Q658)</f>
        <v>11004.4</v>
      </c>
      <c r="U658" s="6" t="n">
        <f aca="false">T658-S658</f>
        <v>3308.12</v>
      </c>
      <c r="V658" s="7" t="n">
        <f aca="false">IF(T658=0,0,U658/T658)</f>
        <v>0.300617934644324</v>
      </c>
      <c r="W658" s="4" t="n">
        <f aca="false">C658-B658</f>
        <v>7</v>
      </c>
      <c r="X658" s="0" t="str">
        <f aca="false">TEXT(B658,"mmmm")</f>
        <v>May</v>
      </c>
      <c r="Y658" s="4" t="n">
        <f aca="false">YEAR(B658)</f>
        <v>2024</v>
      </c>
      <c r="Z658" s="0" t="str">
        <f aca="false">PROPER(TRIM(AU658))</f>
        <v>Paid</v>
      </c>
      <c r="AA658" s="0" t="str">
        <f aca="false">PROPER(TRIM(AV658))</f>
        <v>Completed</v>
      </c>
      <c r="AB658" s="0" t="str">
        <f aca="false">IF(TRIM(AN658)="","Yes","No")</f>
        <v>No</v>
      </c>
      <c r="AC658" s="0" t="str">
        <f aca="false">IF(TRIM(AS658)="","Yes","No")</f>
        <v>No</v>
      </c>
      <c r="AD658" s="0" t="str">
        <f aca="false">IF(AT658="","Yes","No")</f>
        <v>No</v>
      </c>
      <c r="AE658" s="0" t="str">
        <f aca="false">IF(W658&lt;0,"Yes","No")</f>
        <v>No</v>
      </c>
      <c r="AF658" s="0" t="str">
        <f aca="false">IF(P658="","No",IF(OR(P658&lt;0,P658&gt;0.3),"Yes","No"))</f>
        <v>Yes</v>
      </c>
      <c r="AG658" s="4" t="s">
        <v>50</v>
      </c>
      <c r="AH658" s="0" t="str">
        <f aca="false">IF(AND(AA658="Completed",Z658="Paid"),"Yes","No")</f>
        <v>Yes</v>
      </c>
      <c r="AI658" s="0" t="str">
        <f aca="false">IF(OR(AE658="Yes",AF658="Yes",AG658="Yes"),"Invalid",IF(OR(AB658="Yes",AC658="Yes",AD658="Yes"),"Warning","Clean"))</f>
        <v>Invalid</v>
      </c>
      <c r="AJ658" s="4" t="s">
        <v>2501</v>
      </c>
      <c r="AK658" s="4" t="s">
        <v>1905</v>
      </c>
      <c r="AL658" s="4" t="s">
        <v>115</v>
      </c>
      <c r="AM658" s="4" t="s">
        <v>68</v>
      </c>
      <c r="AN658" s="4" t="s">
        <v>168</v>
      </c>
      <c r="AO658" s="4" t="s">
        <v>310</v>
      </c>
      <c r="AP658" s="4" t="s">
        <v>311</v>
      </c>
      <c r="AQ658" s="4" t="s">
        <v>109</v>
      </c>
      <c r="AR658" s="4" t="s">
        <v>360</v>
      </c>
      <c r="AS658" s="4" t="s">
        <v>74</v>
      </c>
      <c r="AT658" s="0" t="n">
        <v>-0.05</v>
      </c>
      <c r="AU658" s="4" t="s">
        <v>61</v>
      </c>
      <c r="AV658" s="4" t="s">
        <v>62</v>
      </c>
    </row>
    <row r="659" customFormat="false" ht="15" hidden="false" customHeight="false" outlineLevel="0" collapsed="false">
      <c r="A659" s="0" t="s">
        <v>2502</v>
      </c>
      <c r="B659" s="3" t="n">
        <f aca="false">IF(AJ659="","",IF(ISNUMBER(SEARCH("/",AJ659)),DATE(VALUE(RIGHT(AJ659,4)),VALUE(LEFT(AJ659,2)),VALUE(MID(AJ659,4,2))),IF(ISNUMBER(SEARCH("-",AJ659)),IF(LEN(LEFT(AJ659,FIND("-",AJ659)-1))=4,DATE(VALUE(LEFT(AJ659,4)),VALUE(MID(AJ659,6,2)),VALUE(RIGHT(AJ659,2))),DATE(VALUE(RIGHT(AJ659,4)),VALUE(MID(AJ659,4,2)),VALUE(LEFT(AJ659,2)))),DATE(VALUE(RIGHT(AJ659,4)),MATCH(MID(AJ659,4,3),{"Jan","Feb","Mar","Apr","May","Jun","Jul","Aug","Sep","Oct","Nov","Dec"},0),VALUE(LEFT(AJ659,2))))))</f>
        <v>45876</v>
      </c>
      <c r="C659" s="3" t="n">
        <f aca="false">IF(AK659="","",IF(ISNUMBER(SEARCH("/",AK659)),DATE(VALUE(RIGHT(AK659,4)),VALUE(LEFT(AK659,2)),VALUE(MID(AK659,4,2))),IF(ISNUMBER(SEARCH("-",AK659)),IF(LEN(LEFT(AK659,FIND("-",AK659)-1))=4,DATE(VALUE(LEFT(AK659,4)),VALUE(MID(AK659,6,2)),VALUE(RIGHT(AK659,2))),DATE(VALUE(RIGHT(AK659,4)),VALUE(MID(AK659,4,2)),VALUE(LEFT(AK659,2)))),DATE(VALUE(RIGHT(AK659,4)),MATCH(MID(AK659,4,3),{"Jan","Feb","Mar","Apr","May","Jun","Jul","Aug","Sep","Oct","Nov","Dec"},0),VALUE(LEFT(AK659,2))))))</f>
        <v>45879</v>
      </c>
      <c r="D659" s="4" t="s">
        <v>2503</v>
      </c>
      <c r="E659" s="0" t="str">
        <f aca="false">PROPER(TRIM(AL659))</f>
        <v>Aditi Sen</v>
      </c>
      <c r="F659" s="0" t="str">
        <f aca="false">PROPER(TRIM(AM659))</f>
        <v>Home Office</v>
      </c>
      <c r="G659" s="0" t="str">
        <f aca="false">IF(TRIM(AN659)="","Unknown",PROPER(TRIM(AN659)))</f>
        <v>East</v>
      </c>
      <c r="H659" s="0" t="str">
        <f aca="false">PROPER(TRIM(AO659))</f>
        <v>Bihar</v>
      </c>
      <c r="I659" s="0" t="str">
        <f aca="false">PROPER(TRIM(AP659))</f>
        <v>Patna</v>
      </c>
      <c r="J659" s="0" t="str">
        <f aca="false">PROPER(TRIM(AQ659))</f>
        <v>Office Supplies</v>
      </c>
      <c r="K659" s="0" t="str">
        <f aca="false">PROPER(TRIM(AR659))</f>
        <v>Storage</v>
      </c>
      <c r="M659" s="0" t="str">
        <f aca="false">IF(TRIM(AS659)="","Unknown",PROPER(TRIM(AS659)))</f>
        <v>Second Class</v>
      </c>
      <c r="N659" s="0" t="n">
        <v>1</v>
      </c>
      <c r="O659" s="0" t="n">
        <v>2541.25</v>
      </c>
      <c r="P659" s="5" t="n">
        <f aca="false">IF(AT659="","",IF(ISNUMBER(AT659),AT659,VALUE(SUBSTITUTE(AT659,"%",""))/100))</f>
        <v>0.2</v>
      </c>
      <c r="Q659" s="5" t="n">
        <f aca="false">IF(P659="",IF(AND(N659&lt;&gt;"",O659&lt;&gt;"",R659&lt;&gt;"",S659&lt;&gt;""),0,"REVIEW"),IF(OR(P659&lt;0,P659&gt;0.3),0,P659))</f>
        <v>0.2</v>
      </c>
      <c r="R659" s="0" t="n">
        <v>2033</v>
      </c>
      <c r="S659" s="0" t="n">
        <v>1291.41</v>
      </c>
      <c r="T659" s="6" t="n">
        <f aca="false">N659*O659*(1-Q659)</f>
        <v>2033</v>
      </c>
      <c r="U659" s="6" t="n">
        <f aca="false">T659-S659</f>
        <v>741.59</v>
      </c>
      <c r="V659" s="7" t="n">
        <f aca="false">IF(T659=0,0,U659/T659)</f>
        <v>0.364776192818495</v>
      </c>
      <c r="W659" s="4" t="n">
        <f aca="false">C659-B659</f>
        <v>3</v>
      </c>
      <c r="X659" s="0" t="str">
        <f aca="false">TEXT(B659,"mmmm")</f>
        <v>August</v>
      </c>
      <c r="Y659" s="4" t="n">
        <f aca="false">YEAR(B659)</f>
        <v>2025</v>
      </c>
      <c r="Z659" s="0" t="str">
        <f aca="false">PROPER(TRIM(AU659))</f>
        <v>Paid</v>
      </c>
      <c r="AA659" s="0" t="str">
        <f aca="false">PROPER(TRIM(AV659))</f>
        <v>Completed</v>
      </c>
      <c r="AB659" s="0" t="str">
        <f aca="false">IF(TRIM(AN659)="","Yes","No")</f>
        <v>No</v>
      </c>
      <c r="AC659" s="0" t="str">
        <f aca="false">IF(TRIM(AS659)="","Yes","No")</f>
        <v>No</v>
      </c>
      <c r="AD659" s="0" t="str">
        <f aca="false">IF(AT659="","Yes","No")</f>
        <v>No</v>
      </c>
      <c r="AE659" s="0" t="str">
        <f aca="false">IF(W659&lt;0,"Yes","No")</f>
        <v>No</v>
      </c>
      <c r="AF659" s="0" t="str">
        <f aca="false">IF(P659="","No",IF(OR(P659&lt;0,P659&gt;0.3),"Yes","No"))</f>
        <v>No</v>
      </c>
      <c r="AG659" s="4" t="s">
        <v>50</v>
      </c>
      <c r="AH659" s="0" t="str">
        <f aca="false">IF(AND(AA659="Completed",Z659="Paid"),"Yes","No")</f>
        <v>Yes</v>
      </c>
      <c r="AI659" s="0" t="str">
        <f aca="false">IF(OR(AE659="Yes",AF659="Yes",AG659="Yes"),"Invalid",IF(OR(AB659="Yes",AC659="Yes",AD659="Yes"),"Warning","Clean"))</f>
        <v>Clean</v>
      </c>
      <c r="AJ659" s="4" t="s">
        <v>2504</v>
      </c>
      <c r="AK659" s="4" t="s">
        <v>2505</v>
      </c>
      <c r="AL659" s="4" t="s">
        <v>127</v>
      </c>
      <c r="AM659" s="4" t="s">
        <v>134</v>
      </c>
      <c r="AN659" s="4" t="s">
        <v>69</v>
      </c>
      <c r="AO659" s="4" t="s">
        <v>196</v>
      </c>
      <c r="AP659" s="4" t="s">
        <v>197</v>
      </c>
      <c r="AQ659" s="4" t="s">
        <v>58</v>
      </c>
      <c r="AR659" s="4" t="s">
        <v>171</v>
      </c>
      <c r="AS659" s="4" t="s">
        <v>60</v>
      </c>
      <c r="AT659" s="0" t="n">
        <v>0.2</v>
      </c>
      <c r="AU659" s="4" t="s">
        <v>61</v>
      </c>
      <c r="AV659" s="4" t="s">
        <v>62</v>
      </c>
    </row>
    <row r="660" customFormat="false" ht="15" hidden="false" customHeight="false" outlineLevel="0" collapsed="false">
      <c r="A660" s="0" t="s">
        <v>2506</v>
      </c>
      <c r="B660" s="3" t="n">
        <f aca="false">IF(AJ660="","",IF(ISNUMBER(SEARCH("/",AJ660)),DATE(VALUE(RIGHT(AJ660,4)),VALUE(LEFT(AJ660,2)),VALUE(MID(AJ660,4,2))),IF(ISNUMBER(SEARCH("-",AJ660)),IF(LEN(LEFT(AJ660,FIND("-",AJ660)-1))=4,DATE(VALUE(LEFT(AJ660,4)),VALUE(MID(AJ660,6,2)),VALUE(RIGHT(AJ660,2))),DATE(VALUE(RIGHT(AJ660,4)),VALUE(MID(AJ660,4,2)),VALUE(LEFT(AJ660,2)))),DATE(VALUE(RIGHT(AJ660,4)),MATCH(MID(AJ660,4,3),{"Jan","Feb","Mar","Apr","May","Jun","Jul","Aug","Sep","Oct","Nov","Dec"},0),VALUE(LEFT(AJ660,2))))))</f>
        <v>45817</v>
      </c>
      <c r="C660" s="3" t="n">
        <f aca="false">IF(AK660="","",IF(ISNUMBER(SEARCH("/",AK660)),DATE(VALUE(RIGHT(AK660,4)),VALUE(LEFT(AK660,2)),VALUE(MID(AK660,4,2))),IF(ISNUMBER(SEARCH("-",AK660)),IF(LEN(LEFT(AK660,FIND("-",AK660)-1))=4,DATE(VALUE(LEFT(AK660,4)),VALUE(MID(AK660,6,2)),VALUE(RIGHT(AK660,2))),DATE(VALUE(RIGHT(AK660,4)),VALUE(MID(AK660,4,2)),VALUE(LEFT(AK660,2)))),DATE(VALUE(RIGHT(AK660,4)),MATCH(MID(AK660,4,3),{"Jan","Feb","Mar","Apr","May","Jun","Jul","Aug","Sep","Oct","Nov","Dec"},0),VALUE(LEFT(AK660,2))))))</f>
        <v>45820</v>
      </c>
      <c r="D660" s="4" t="s">
        <v>2507</v>
      </c>
      <c r="E660" s="0" t="str">
        <f aca="false">PROPER(TRIM(AL660))</f>
        <v>Sneha Kapoor</v>
      </c>
      <c r="F660" s="0" t="str">
        <f aca="false">PROPER(TRIM(AM660))</f>
        <v>Consumer</v>
      </c>
      <c r="G660" s="0" t="str">
        <f aca="false">IF(TRIM(AN660)="","Unknown",PROPER(TRIM(AN660)))</f>
        <v>Unknown</v>
      </c>
      <c r="H660" s="0" t="str">
        <f aca="false">PROPER(TRIM(AO660))</f>
        <v>Bihar</v>
      </c>
      <c r="I660" s="0" t="str">
        <f aca="false">PROPER(TRIM(AP660))</f>
        <v>Patna</v>
      </c>
      <c r="J660" s="0" t="str">
        <f aca="false">PROPER(TRIM(AQ660))</f>
        <v>Office Supplies</v>
      </c>
      <c r="K660" s="0" t="str">
        <f aca="false">PROPER(TRIM(AR660))</f>
        <v>Art</v>
      </c>
      <c r="M660" s="0" t="str">
        <f aca="false">IF(TRIM(AS660)="","Unknown",PROPER(TRIM(AS660)))</f>
        <v>First Class</v>
      </c>
      <c r="N660" s="0" t="n">
        <v>7</v>
      </c>
      <c r="O660" s="0" t="n">
        <v>2852.42</v>
      </c>
      <c r="P660" s="5" t="n">
        <f aca="false">IF(AT660="","",IF(ISNUMBER(AT660),AT660,VALUE(SUBSTITUTE(AT660,"%",""))/100))</f>
        <v>0</v>
      </c>
      <c r="Q660" s="5" t="n">
        <f aca="false">IF(P660="",IF(AND(N660&lt;&gt;"",O660&lt;&gt;"",R660&lt;&gt;"",S660&lt;&gt;""),0,"REVIEW"),IF(OR(P660&lt;0,P660&gt;0.3),0,P660))</f>
        <v>0</v>
      </c>
      <c r="R660" s="0" t="n">
        <v>19966.94</v>
      </c>
      <c r="S660" s="0" t="n">
        <v>12690.83</v>
      </c>
      <c r="T660" s="6" t="n">
        <f aca="false">N660*O660*(1-Q660)</f>
        <v>19966.94</v>
      </c>
      <c r="U660" s="6" t="n">
        <f aca="false">T660-S660</f>
        <v>7276.11</v>
      </c>
      <c r="V660" s="7" t="n">
        <f aca="false">IF(T660=0,0,U660/T660)</f>
        <v>0.364407866202833</v>
      </c>
      <c r="W660" s="4" t="n">
        <f aca="false">C660-B660</f>
        <v>3</v>
      </c>
      <c r="X660" s="0" t="str">
        <f aca="false">TEXT(B660,"mmmm")</f>
        <v>June</v>
      </c>
      <c r="Y660" s="4" t="n">
        <f aca="false">YEAR(B660)</f>
        <v>2025</v>
      </c>
      <c r="Z660" s="0" t="str">
        <f aca="false">PROPER(TRIM(AU660))</f>
        <v>Refunded</v>
      </c>
      <c r="AA660" s="0" t="str">
        <f aca="false">PROPER(TRIM(AV660))</f>
        <v>Cancelled</v>
      </c>
      <c r="AB660" s="0" t="str">
        <f aca="false">IF(TRIM(AN660)="","Yes","No")</f>
        <v>Yes</v>
      </c>
      <c r="AC660" s="0" t="str">
        <f aca="false">IF(TRIM(AS660)="","Yes","No")</f>
        <v>No</v>
      </c>
      <c r="AD660" s="0" t="str">
        <f aca="false">IF(AT660="","Yes","No")</f>
        <v>No</v>
      </c>
      <c r="AE660" s="0" t="str">
        <f aca="false">IF(W660&lt;0,"Yes","No")</f>
        <v>No</v>
      </c>
      <c r="AF660" s="0" t="str">
        <f aca="false">IF(P660="","No",IF(OR(P660&lt;0,P660&gt;0.3),"Yes","No"))</f>
        <v>No</v>
      </c>
      <c r="AG660" s="4" t="s">
        <v>50</v>
      </c>
      <c r="AH660" s="0" t="str">
        <f aca="false">IF(AND(AA660="Completed",Z660="Paid"),"Yes","No")</f>
        <v>No</v>
      </c>
      <c r="AI660" s="0" t="str">
        <f aca="false">IF(OR(AE660="Yes",AF660="Yes",AG660="Yes"),"Invalid",IF(OR(AB660="Yes",AC660="Yes",AD660="Yes"),"Warning","Clean"))</f>
        <v>Warning</v>
      </c>
      <c r="AJ660" s="4" t="s">
        <v>2508</v>
      </c>
      <c r="AK660" s="4" t="s">
        <v>1815</v>
      </c>
      <c r="AL660" s="4" t="s">
        <v>181</v>
      </c>
      <c r="AM660" s="4" t="s">
        <v>54</v>
      </c>
      <c r="AO660" s="4" t="s">
        <v>196</v>
      </c>
      <c r="AP660" s="4" t="s">
        <v>197</v>
      </c>
      <c r="AQ660" s="4" t="s">
        <v>58</v>
      </c>
      <c r="AR660" s="4" t="s">
        <v>80</v>
      </c>
      <c r="AS660" s="4" t="s">
        <v>81</v>
      </c>
      <c r="AT660" s="0" t="n">
        <v>0</v>
      </c>
      <c r="AU660" s="4" t="s">
        <v>141</v>
      </c>
      <c r="AV660" s="4" t="s">
        <v>101</v>
      </c>
    </row>
    <row r="661" customFormat="false" ht="15" hidden="false" customHeight="false" outlineLevel="0" collapsed="false">
      <c r="A661" s="0" t="s">
        <v>2509</v>
      </c>
      <c r="B661" s="3" t="n">
        <f aca="false">IF(AJ661="","",IF(ISNUMBER(SEARCH("/",AJ661)),DATE(VALUE(RIGHT(AJ661,4)),VALUE(LEFT(AJ661,2)),VALUE(MID(AJ661,4,2))),IF(ISNUMBER(SEARCH("-",AJ661)),IF(LEN(LEFT(AJ661,FIND("-",AJ661)-1))=4,DATE(VALUE(LEFT(AJ661,4)),VALUE(MID(AJ661,6,2)),VALUE(RIGHT(AJ661,2))),DATE(VALUE(RIGHT(AJ661,4)),VALUE(MID(AJ661,4,2)),VALUE(LEFT(AJ661,2)))),DATE(VALUE(RIGHT(AJ661,4)),MATCH(MID(AJ661,4,3),{"Jan","Feb","Mar","Apr","May","Jun","Jul","Aug","Sep","Oct","Nov","Dec"},0),VALUE(LEFT(AJ661,2))))))</f>
        <v>45678</v>
      </c>
      <c r="C661" s="3" t="n">
        <f aca="false">IF(AK661="","",IF(ISNUMBER(SEARCH("/",AK661)),DATE(VALUE(RIGHT(AK661,4)),VALUE(LEFT(AK661,2)),VALUE(MID(AK661,4,2))),IF(ISNUMBER(SEARCH("-",AK661)),IF(LEN(LEFT(AK661,FIND("-",AK661)-1))=4,DATE(VALUE(LEFT(AK661,4)),VALUE(MID(AK661,6,2)),VALUE(RIGHT(AK661,2))),DATE(VALUE(RIGHT(AK661,4)),VALUE(MID(AK661,4,2)),VALUE(LEFT(AK661,2)))),DATE(VALUE(RIGHT(AK661,4)),MATCH(MID(AK661,4,3),{"Jan","Feb","Mar","Apr","May","Jun","Jul","Aug","Sep","Oct","Nov","Dec"},0),VALUE(LEFT(AK661,2))))))</f>
        <v>45679</v>
      </c>
      <c r="D661" s="4" t="s">
        <v>2510</v>
      </c>
      <c r="E661" s="0" t="str">
        <f aca="false">PROPER(TRIM(AL661))</f>
        <v>Diya Patel</v>
      </c>
      <c r="F661" s="0" t="str">
        <f aca="false">PROPER(TRIM(AM661))</f>
        <v>Corporate</v>
      </c>
      <c r="G661" s="0" t="str">
        <f aca="false">IF(TRIM(AN661)="","Unknown",PROPER(TRIM(AN661)))</f>
        <v>South</v>
      </c>
      <c r="H661" s="0" t="str">
        <f aca="false">PROPER(TRIM(AO661))</f>
        <v>Karnataka</v>
      </c>
      <c r="I661" s="0" t="str">
        <f aca="false">PROPER(TRIM(AP661))</f>
        <v>Bengaluru</v>
      </c>
      <c r="J661" s="0" t="str">
        <f aca="false">PROPER(TRIM(AQ661))</f>
        <v>Technology</v>
      </c>
      <c r="K661" s="0" t="str">
        <f aca="false">PROPER(TRIM(AR661))</f>
        <v>Phones</v>
      </c>
      <c r="M661" s="0" t="str">
        <f aca="false">IF(TRIM(AS661)="","Unknown",PROPER(TRIM(AS661)))</f>
        <v>Second Class</v>
      </c>
      <c r="N661" s="0" t="n">
        <v>2</v>
      </c>
      <c r="O661" s="0" t="n">
        <v>444.31</v>
      </c>
      <c r="P661" s="5" t="n">
        <f aca="false">IF(AT661="","",IF(ISNUMBER(AT661),AT661,VALUE(SUBSTITUTE(AT661,"%",""))/100))</f>
        <v>0.2</v>
      </c>
      <c r="Q661" s="5" t="n">
        <f aca="false">IF(P661="",IF(AND(N661&lt;&gt;"",O661&lt;&gt;"",R661&lt;&gt;"",S661&lt;&gt;""),0,"REVIEW"),IF(OR(P661&lt;0,P661&gt;0.3),0,P661))</f>
        <v>0.2</v>
      </c>
      <c r="R661" s="0" t="n">
        <v>710.9</v>
      </c>
      <c r="S661" s="0" t="n">
        <v>513.88</v>
      </c>
      <c r="T661" s="6" t="n">
        <f aca="false">N661*O661*(1-Q661)</f>
        <v>710.896</v>
      </c>
      <c r="U661" s="6" t="n">
        <f aca="false">T661-S661</f>
        <v>197.016</v>
      </c>
      <c r="V661" s="7" t="n">
        <f aca="false">IF(T661=0,0,U661/T661)</f>
        <v>0.277137584119196</v>
      </c>
      <c r="W661" s="4" t="n">
        <f aca="false">C661-B661</f>
        <v>1</v>
      </c>
      <c r="X661" s="0" t="str">
        <f aca="false">TEXT(B661,"mmmm")</f>
        <v>January</v>
      </c>
      <c r="Y661" s="4" t="n">
        <f aca="false">YEAR(B661)</f>
        <v>2025</v>
      </c>
      <c r="Z661" s="0" t="str">
        <f aca="false">PROPER(TRIM(AU661))</f>
        <v>Refunded</v>
      </c>
      <c r="AA661" s="0" t="str">
        <f aca="false">PROPER(TRIM(AV661))</f>
        <v>Cancelled</v>
      </c>
      <c r="AB661" s="0" t="str">
        <f aca="false">IF(TRIM(AN661)="","Yes","No")</f>
        <v>No</v>
      </c>
      <c r="AC661" s="0" t="str">
        <f aca="false">IF(TRIM(AS661)="","Yes","No")</f>
        <v>No</v>
      </c>
      <c r="AD661" s="0" t="str">
        <f aca="false">IF(AT661="","Yes","No")</f>
        <v>No</v>
      </c>
      <c r="AE661" s="0" t="str">
        <f aca="false">IF(W661&lt;0,"Yes","No")</f>
        <v>No</v>
      </c>
      <c r="AF661" s="0" t="str">
        <f aca="false">IF(P661="","No",IF(OR(P661&lt;0,P661&gt;0.3),"Yes","No"))</f>
        <v>No</v>
      </c>
      <c r="AG661" s="4" t="s">
        <v>50</v>
      </c>
      <c r="AH661" s="0" t="str">
        <f aca="false">IF(AND(AA661="Completed",Z661="Paid"),"Yes","No")</f>
        <v>No</v>
      </c>
      <c r="AI661" s="0" t="str">
        <f aca="false">IF(OR(AE661="Yes",AF661="Yes",AG661="Yes"),"Invalid",IF(OR(AB661="Yes",AC661="Yes",AD661="Yes"),"Warning","Clean"))</f>
        <v>Clean</v>
      </c>
      <c r="AJ661" s="4" t="s">
        <v>194</v>
      </c>
      <c r="AK661" s="4" t="s">
        <v>1520</v>
      </c>
      <c r="AL661" s="4" t="s">
        <v>216</v>
      </c>
      <c r="AM661" s="4" t="s">
        <v>128</v>
      </c>
      <c r="AN661" s="4" t="s">
        <v>87</v>
      </c>
      <c r="AO661" s="4" t="s">
        <v>233</v>
      </c>
      <c r="AP661" s="4" t="s">
        <v>234</v>
      </c>
      <c r="AQ661" s="4" t="s">
        <v>109</v>
      </c>
      <c r="AR661" s="4" t="s">
        <v>227</v>
      </c>
      <c r="AS661" s="4" t="s">
        <v>60</v>
      </c>
      <c r="AT661" s="0" t="n">
        <v>0.2</v>
      </c>
      <c r="AU661" s="4" t="s">
        <v>141</v>
      </c>
      <c r="AV661" s="4" t="s">
        <v>101</v>
      </c>
    </row>
    <row r="662" customFormat="false" ht="15" hidden="false" customHeight="false" outlineLevel="0" collapsed="false">
      <c r="A662" s="0" t="s">
        <v>2511</v>
      </c>
      <c r="B662" s="3" t="n">
        <f aca="false">IF(AJ662="","",IF(ISNUMBER(SEARCH("/",AJ662)),DATE(VALUE(RIGHT(AJ662,4)),VALUE(LEFT(AJ662,2)),VALUE(MID(AJ662,4,2))),IF(ISNUMBER(SEARCH("-",AJ662)),IF(LEN(LEFT(AJ662,FIND("-",AJ662)-1))=4,DATE(VALUE(LEFT(AJ662,4)),VALUE(MID(AJ662,6,2)),VALUE(RIGHT(AJ662,2))),DATE(VALUE(RIGHT(AJ662,4)),VALUE(MID(AJ662,4,2)),VALUE(LEFT(AJ662,2)))),DATE(VALUE(RIGHT(AJ662,4)),MATCH(MID(AJ662,4,3),{"Jan","Feb","Mar","Apr","May","Jun","Jul","Aug","Sep","Oct","Nov","Dec"},0),VALUE(LEFT(AJ662,2))))))</f>
        <v>45853</v>
      </c>
      <c r="C662" s="3" t="n">
        <f aca="false">IF(AK662="","",IF(ISNUMBER(SEARCH("/",AK662)),DATE(VALUE(RIGHT(AK662,4)),VALUE(LEFT(AK662,2)),VALUE(MID(AK662,4,2))),IF(ISNUMBER(SEARCH("-",AK662)),IF(LEN(LEFT(AK662,FIND("-",AK662)-1))=4,DATE(VALUE(LEFT(AK662,4)),VALUE(MID(AK662,6,2)),VALUE(RIGHT(AK662,2))),DATE(VALUE(RIGHT(AK662,4)),VALUE(MID(AK662,4,2)),VALUE(LEFT(AK662,2)))),DATE(VALUE(RIGHT(AK662,4)),MATCH(MID(AK662,4,3),{"Jan","Feb","Mar","Apr","May","Jun","Jul","Aug","Sep","Oct","Nov","Dec"},0),VALUE(LEFT(AK662,2))))))</f>
        <v>45853</v>
      </c>
      <c r="D662" s="4" t="s">
        <v>2512</v>
      </c>
      <c r="E662" s="0" t="str">
        <f aca="false">PROPER(TRIM(AL662))</f>
        <v>Arjun Bose</v>
      </c>
      <c r="F662" s="0" t="str">
        <f aca="false">PROPER(TRIM(AM662))</f>
        <v>Small Business</v>
      </c>
      <c r="G662" s="0" t="str">
        <f aca="false">IF(TRIM(AN662)="","Unknown",PROPER(TRIM(AN662)))</f>
        <v>East</v>
      </c>
      <c r="H662" s="0" t="str">
        <f aca="false">PROPER(TRIM(AO662))</f>
        <v>Jharkhand</v>
      </c>
      <c r="I662" s="0" t="str">
        <f aca="false">PROPER(TRIM(AP662))</f>
        <v>Ranchi</v>
      </c>
      <c r="J662" s="0" t="str">
        <f aca="false">PROPER(TRIM(AQ662))</f>
        <v>Technology</v>
      </c>
      <c r="K662" s="0" t="str">
        <f aca="false">PROPER(TRIM(AR662))</f>
        <v>Phones</v>
      </c>
      <c r="M662" s="0" t="str">
        <f aca="false">IF(TRIM(AS662)="","Unknown",PROPER(TRIM(AS662)))</f>
        <v>Same Day</v>
      </c>
      <c r="N662" s="0" t="n">
        <v>4</v>
      </c>
      <c r="O662" s="0" t="n">
        <v>4442.91</v>
      </c>
      <c r="P662" s="5" t="n">
        <f aca="false">IF(AT662="","",IF(ISNUMBER(AT662),AT662,VALUE(SUBSTITUTE(AT662,"%",""))/100))</f>
        <v>0.1</v>
      </c>
      <c r="Q662" s="5" t="n">
        <f aca="false">IF(P662="",IF(AND(N662&lt;&gt;"",O662&lt;&gt;"",R662&lt;&gt;"",S662&lt;&gt;""),0,"REVIEW"),IF(OR(P662&lt;0,P662&gt;0.3),0,P662))</f>
        <v>0.1</v>
      </c>
      <c r="R662" s="0" t="n">
        <v>15994.48</v>
      </c>
      <c r="S662" s="0" t="n">
        <v>9224.28</v>
      </c>
      <c r="T662" s="6" t="n">
        <f aca="false">N662*O662*(1-Q662)</f>
        <v>15994.476</v>
      </c>
      <c r="U662" s="6" t="n">
        <f aca="false">T662-S662</f>
        <v>6770.196</v>
      </c>
      <c r="V662" s="7" t="n">
        <f aca="false">IF(T662=0,0,U662/T662)</f>
        <v>0.423283388589911</v>
      </c>
      <c r="W662" s="4" t="n">
        <f aca="false">C662-B662</f>
        <v>0</v>
      </c>
      <c r="X662" s="0" t="str">
        <f aca="false">TEXT(B662,"mmmm")</f>
        <v>July</v>
      </c>
      <c r="Y662" s="4" t="n">
        <f aca="false">YEAR(B662)</f>
        <v>2025</v>
      </c>
      <c r="Z662" s="0" t="str">
        <f aca="false">PROPER(TRIM(AU662))</f>
        <v>Paid</v>
      </c>
      <c r="AA662" s="0" t="str">
        <f aca="false">PROPER(TRIM(AV662))</f>
        <v>Completed</v>
      </c>
      <c r="AB662" s="0" t="str">
        <f aca="false">IF(TRIM(AN662)="","Yes","No")</f>
        <v>No</v>
      </c>
      <c r="AC662" s="0" t="str">
        <f aca="false">IF(TRIM(AS662)="","Yes","No")</f>
        <v>No</v>
      </c>
      <c r="AD662" s="0" t="str">
        <f aca="false">IF(AT662="","Yes","No")</f>
        <v>No</v>
      </c>
      <c r="AE662" s="0" t="str">
        <f aca="false">IF(W662&lt;0,"Yes","No")</f>
        <v>No</v>
      </c>
      <c r="AF662" s="0" t="str">
        <f aca="false">IF(P662="","No",IF(OR(P662&lt;0,P662&gt;0.3),"Yes","No"))</f>
        <v>No</v>
      </c>
      <c r="AG662" s="4" t="s">
        <v>50</v>
      </c>
      <c r="AH662" s="0" t="str">
        <f aca="false">IF(AND(AA662="Completed",Z662="Paid"),"Yes","No")</f>
        <v>Yes</v>
      </c>
      <c r="AI662" s="0" t="str">
        <f aca="false">IF(OR(AE662="Yes",AF662="Yes",AG662="Yes"),"Invalid",IF(OR(AB662="Yes",AC662="Yes",AD662="Yes"),"Warning","Clean"))</f>
        <v>Clean</v>
      </c>
      <c r="AJ662" s="4" t="s">
        <v>184</v>
      </c>
      <c r="AK662" s="4" t="s">
        <v>2513</v>
      </c>
      <c r="AL662" s="4" t="s">
        <v>86</v>
      </c>
      <c r="AM662" s="4" t="s">
        <v>68</v>
      </c>
      <c r="AN662" s="4" t="s">
        <v>69</v>
      </c>
      <c r="AO662" s="4" t="s">
        <v>300</v>
      </c>
      <c r="AP662" s="4" t="s">
        <v>301</v>
      </c>
      <c r="AQ662" s="4" t="s">
        <v>109</v>
      </c>
      <c r="AR662" s="4" t="s">
        <v>227</v>
      </c>
      <c r="AS662" s="4" t="s">
        <v>74</v>
      </c>
      <c r="AT662" s="0" t="n">
        <v>0.1</v>
      </c>
      <c r="AU662" s="4" t="s">
        <v>61</v>
      </c>
      <c r="AV662" s="4" t="s">
        <v>62</v>
      </c>
    </row>
    <row r="663" customFormat="false" ht="15" hidden="false" customHeight="false" outlineLevel="0" collapsed="false">
      <c r="A663" s="0" t="s">
        <v>2514</v>
      </c>
      <c r="B663" s="3" t="n">
        <f aca="false">IF(AJ663="","",IF(ISNUMBER(SEARCH("/",AJ663)),DATE(VALUE(RIGHT(AJ663,4)),VALUE(LEFT(AJ663,2)),VALUE(MID(AJ663,4,2))),IF(ISNUMBER(SEARCH("-",AJ663)),IF(LEN(LEFT(AJ663,FIND("-",AJ663)-1))=4,DATE(VALUE(LEFT(AJ663,4)),VALUE(MID(AJ663,6,2)),VALUE(RIGHT(AJ663,2))),DATE(VALUE(RIGHT(AJ663,4)),VALUE(MID(AJ663,4,2)),VALUE(LEFT(AJ663,2)))),DATE(VALUE(RIGHT(AJ663,4)),MATCH(MID(AJ663,4,3),{"Jan","Feb","Mar","Apr","May","Jun","Jul","Aug","Sep","Oct","Nov","Dec"},0),VALUE(LEFT(AJ663,2))))))</f>
        <v>45429</v>
      </c>
      <c r="C663" s="3" t="n">
        <f aca="false">IF(AK663="","",IF(ISNUMBER(SEARCH("/",AK663)),DATE(VALUE(RIGHT(AK663,4)),VALUE(LEFT(AK663,2)),VALUE(MID(AK663,4,2))),IF(ISNUMBER(SEARCH("-",AK663)),IF(LEN(LEFT(AK663,FIND("-",AK663)-1))=4,DATE(VALUE(LEFT(AK663,4)),VALUE(MID(AK663,6,2)),VALUE(RIGHT(AK663,2))),DATE(VALUE(RIGHT(AK663,4)),VALUE(MID(AK663,4,2)),VALUE(LEFT(AK663,2)))),DATE(VALUE(RIGHT(AK663,4)),MATCH(MID(AK663,4,3),{"Jan","Feb","Mar","Apr","May","Jun","Jul","Aug","Sep","Oct","Nov","Dec"},0),VALUE(LEFT(AK663,2))))))</f>
        <v>45434</v>
      </c>
      <c r="D663" s="4" t="s">
        <v>2515</v>
      </c>
      <c r="E663" s="0" t="str">
        <f aca="false">PROPER(TRIM(AL663))</f>
        <v>Sneha Kapoor</v>
      </c>
      <c r="F663" s="0" t="str">
        <f aca="false">PROPER(TRIM(AM663))</f>
        <v>Consumer</v>
      </c>
      <c r="G663" s="0" t="str">
        <f aca="false">IF(TRIM(AN663)="","Unknown",PROPER(TRIM(AN663)))</f>
        <v>South</v>
      </c>
      <c r="H663" s="0" t="str">
        <f aca="false">PROPER(TRIM(AO663))</f>
        <v>Andhra Pradesh</v>
      </c>
      <c r="I663" s="0" t="str">
        <f aca="false">PROPER(TRIM(AP663))</f>
        <v>Vijayawada</v>
      </c>
      <c r="J663" s="0" t="str">
        <f aca="false">PROPER(TRIM(AQ663))</f>
        <v>Technology</v>
      </c>
      <c r="K663" s="0" t="str">
        <f aca="false">PROPER(TRIM(AR663))</f>
        <v>Machines</v>
      </c>
      <c r="M663" s="0" t="str">
        <f aca="false">IF(TRIM(AS663)="","Unknown",PROPER(TRIM(AS663)))</f>
        <v>Second Class</v>
      </c>
      <c r="N663" s="0" t="n">
        <v>7</v>
      </c>
      <c r="O663" s="0" t="n">
        <v>232.5</v>
      </c>
      <c r="P663" s="5" t="n">
        <f aca="false">IF(AT663="","",IF(ISNUMBER(AT663),AT663,VALUE(SUBSTITUTE(AT663,"%",""))/100))</f>
        <v>0</v>
      </c>
      <c r="Q663" s="5" t="n">
        <f aca="false">IF(P663="",IF(AND(N663&lt;&gt;"",O663&lt;&gt;"",R663&lt;&gt;"",S663&lt;&gt;""),0,"REVIEW"),IF(OR(P663&lt;0,P663&gt;0.3),0,P663))</f>
        <v>0</v>
      </c>
      <c r="R663" s="0" t="n">
        <v>1627.5</v>
      </c>
      <c r="S663" s="0" t="n">
        <v>939.9</v>
      </c>
      <c r="T663" s="6" t="n">
        <f aca="false">N663*O663*(1-Q663)</f>
        <v>1627.5</v>
      </c>
      <c r="U663" s="6" t="n">
        <f aca="false">T663-S663</f>
        <v>687.6</v>
      </c>
      <c r="V663" s="7" t="n">
        <f aca="false">IF(T663=0,0,U663/T663)</f>
        <v>0.422488479262673</v>
      </c>
      <c r="W663" s="4" t="n">
        <f aca="false">C663-B663</f>
        <v>5</v>
      </c>
      <c r="X663" s="0" t="str">
        <f aca="false">TEXT(B663,"mmmm")</f>
        <v>May</v>
      </c>
      <c r="Y663" s="4" t="n">
        <f aca="false">YEAR(B663)</f>
        <v>2024</v>
      </c>
      <c r="Z663" s="0" t="str">
        <f aca="false">PROPER(TRIM(AU663))</f>
        <v>Paid</v>
      </c>
      <c r="AA663" s="0" t="str">
        <f aca="false">PROPER(TRIM(AV663))</f>
        <v>Completed</v>
      </c>
      <c r="AB663" s="0" t="str">
        <f aca="false">IF(TRIM(AN663)="","Yes","No")</f>
        <v>No</v>
      </c>
      <c r="AC663" s="0" t="str">
        <f aca="false">IF(TRIM(AS663)="","Yes","No")</f>
        <v>No</v>
      </c>
      <c r="AD663" s="0" t="str">
        <f aca="false">IF(AT663="","Yes","No")</f>
        <v>No</v>
      </c>
      <c r="AE663" s="0" t="str">
        <f aca="false">IF(W663&lt;0,"Yes","No")</f>
        <v>No</v>
      </c>
      <c r="AF663" s="0" t="str">
        <f aca="false">IF(P663="","No",IF(OR(P663&lt;0,P663&gt;0.3),"Yes","No"))</f>
        <v>No</v>
      </c>
      <c r="AG663" s="4" t="s">
        <v>50</v>
      </c>
      <c r="AH663" s="0" t="str">
        <f aca="false">IF(AND(AA663="Completed",Z663="Paid"),"Yes","No")</f>
        <v>Yes</v>
      </c>
      <c r="AI663" s="0" t="str">
        <f aca="false">IF(OR(AE663="Yes",AF663="Yes",AG663="Yes"),"Invalid",IF(OR(AB663="Yes",AC663="Yes",AD663="Yes"),"Warning","Clean"))</f>
        <v>Clean</v>
      </c>
      <c r="AJ663" s="4" t="s">
        <v>2516</v>
      </c>
      <c r="AK663" s="4" t="s">
        <v>2517</v>
      </c>
      <c r="AL663" s="4" t="s">
        <v>181</v>
      </c>
      <c r="AM663" s="4" t="s">
        <v>54</v>
      </c>
      <c r="AN663" s="4" t="s">
        <v>87</v>
      </c>
      <c r="AO663" s="4" t="s">
        <v>121</v>
      </c>
      <c r="AP663" s="4" t="s">
        <v>122</v>
      </c>
      <c r="AQ663" s="4" t="s">
        <v>109</v>
      </c>
      <c r="AR663" s="4" t="s">
        <v>360</v>
      </c>
      <c r="AS663" s="4" t="s">
        <v>60</v>
      </c>
      <c r="AT663" s="0" t="n">
        <v>0</v>
      </c>
      <c r="AU663" s="4" t="s">
        <v>61</v>
      </c>
      <c r="AV663" s="4" t="s">
        <v>62</v>
      </c>
    </row>
    <row r="664" customFormat="false" ht="15" hidden="false" customHeight="false" outlineLevel="0" collapsed="false">
      <c r="A664" s="0" t="s">
        <v>2518</v>
      </c>
      <c r="B664" s="3" t="n">
        <f aca="false">IF(AJ664="","",IF(ISNUMBER(SEARCH("/",AJ664)),DATE(VALUE(RIGHT(AJ664,4)),VALUE(LEFT(AJ664,2)),VALUE(MID(AJ664,4,2))),IF(ISNUMBER(SEARCH("-",AJ664)),IF(LEN(LEFT(AJ664,FIND("-",AJ664)-1))=4,DATE(VALUE(LEFT(AJ664,4)),VALUE(MID(AJ664,6,2)),VALUE(RIGHT(AJ664,2))),DATE(VALUE(RIGHT(AJ664,4)),VALUE(MID(AJ664,4,2)),VALUE(LEFT(AJ664,2)))),DATE(VALUE(RIGHT(AJ664,4)),MATCH(MID(AJ664,4,3),{"Jan","Feb","Mar","Apr","May","Jun","Jul","Aug","Sep","Oct","Nov","Dec"},0),VALUE(LEFT(AJ664,2))))))</f>
        <v>45305</v>
      </c>
      <c r="C664" s="3" t="n">
        <f aca="false">IF(AK664="","",IF(ISNUMBER(SEARCH("/",AK664)),DATE(VALUE(RIGHT(AK664,4)),VALUE(LEFT(AK664,2)),VALUE(MID(AK664,4,2))),IF(ISNUMBER(SEARCH("-",AK664)),IF(LEN(LEFT(AK664,FIND("-",AK664)-1))=4,DATE(VALUE(LEFT(AK664,4)),VALUE(MID(AK664,6,2)),VALUE(RIGHT(AK664,2))),DATE(VALUE(RIGHT(AK664,4)),VALUE(MID(AK664,4,2)),VALUE(LEFT(AK664,2)))),DATE(VALUE(RIGHT(AK664,4)),MATCH(MID(AK664,4,3),{"Jan","Feb","Mar","Apr","May","Jun","Jul","Aug","Sep","Oct","Nov","Dec"},0),VALUE(LEFT(AK664,2))))))</f>
        <v>45309</v>
      </c>
      <c r="D664" s="4" t="s">
        <v>2519</v>
      </c>
      <c r="E664" s="0" t="str">
        <f aca="false">PROPER(TRIM(AL664))</f>
        <v>Mira Das</v>
      </c>
      <c r="F664" s="0" t="str">
        <f aca="false">PROPER(TRIM(AM664))</f>
        <v>Home Office</v>
      </c>
      <c r="G664" s="0" t="str">
        <f aca="false">IF(TRIM(AN664)="","Unknown",PROPER(TRIM(AN664)))</f>
        <v>West</v>
      </c>
      <c r="H664" s="0" t="str">
        <f aca="false">PROPER(TRIM(AO664))</f>
        <v>Rajasthan</v>
      </c>
      <c r="I664" s="0" t="str">
        <f aca="false">PROPER(TRIM(AP664))</f>
        <v>Udaipur</v>
      </c>
      <c r="J664" s="0" t="str">
        <f aca="false">PROPER(TRIM(AQ664))</f>
        <v>Technology</v>
      </c>
      <c r="K664" s="0" t="str">
        <f aca="false">PROPER(TRIM(AR664))</f>
        <v>Machines</v>
      </c>
      <c r="M664" s="0" t="str">
        <f aca="false">IF(TRIM(AS664)="","Unknown",PROPER(TRIM(AS664)))</f>
        <v>Same Day</v>
      </c>
      <c r="N664" s="0" t="n">
        <v>6</v>
      </c>
      <c r="O664" s="0" t="n">
        <v>1784.8</v>
      </c>
      <c r="P664" s="5" t="n">
        <f aca="false">IF(AT664="","",IF(ISNUMBER(AT664),AT664,VALUE(SUBSTITUTE(AT664,"%",""))/100))</f>
        <v>0.1</v>
      </c>
      <c r="Q664" s="5" t="n">
        <f aca="false">IF(P664="",IF(AND(N664&lt;&gt;"",O664&lt;&gt;"",R664&lt;&gt;"",S664&lt;&gt;""),0,"REVIEW"),IF(OR(P664&lt;0,P664&gt;0.3),0,P664))</f>
        <v>0.1</v>
      </c>
      <c r="R664" s="0" t="n">
        <v>9637.92</v>
      </c>
      <c r="S664" s="0" t="n">
        <v>7329.29</v>
      </c>
      <c r="T664" s="6" t="n">
        <f aca="false">N664*O664*(1-Q664)</f>
        <v>9637.92</v>
      </c>
      <c r="U664" s="6" t="n">
        <f aca="false">T664-S664</f>
        <v>2308.63</v>
      </c>
      <c r="V664" s="7" t="n">
        <f aca="false">IF(T664=0,0,U664/T664)</f>
        <v>0.239536123976958</v>
      </c>
      <c r="W664" s="4" t="n">
        <f aca="false">C664-B664</f>
        <v>4</v>
      </c>
      <c r="X664" s="0" t="str">
        <f aca="false">TEXT(B664,"mmmm")</f>
        <v>January</v>
      </c>
      <c r="Y664" s="4" t="n">
        <f aca="false">YEAR(B664)</f>
        <v>2024</v>
      </c>
      <c r="Z664" s="0" t="str">
        <f aca="false">PROPER(TRIM(AU664))</f>
        <v>Paid</v>
      </c>
      <c r="AA664" s="0" t="str">
        <f aca="false">PROPER(TRIM(AV664))</f>
        <v>Completed</v>
      </c>
      <c r="AB664" s="0" t="str">
        <f aca="false">IF(TRIM(AN664)="","Yes","No")</f>
        <v>No</v>
      </c>
      <c r="AC664" s="0" t="str">
        <f aca="false">IF(TRIM(AS664)="","Yes","No")</f>
        <v>No</v>
      </c>
      <c r="AD664" s="0" t="str">
        <f aca="false">IF(AT664="","Yes","No")</f>
        <v>No</v>
      </c>
      <c r="AE664" s="0" t="str">
        <f aca="false">IF(W664&lt;0,"Yes","No")</f>
        <v>No</v>
      </c>
      <c r="AF664" s="0" t="str">
        <f aca="false">IF(P664="","No",IF(OR(P664&lt;0,P664&gt;0.3),"Yes","No"))</f>
        <v>No</v>
      </c>
      <c r="AG664" s="4" t="s">
        <v>50</v>
      </c>
      <c r="AH664" s="0" t="str">
        <f aca="false">IF(AND(AA664="Completed",Z664="Paid"),"Yes","No")</f>
        <v>Yes</v>
      </c>
      <c r="AI664" s="0" t="str">
        <f aca="false">IF(OR(AE664="Yes",AF664="Yes",AG664="Yes"),"Invalid",IF(OR(AB664="Yes",AC664="Yes",AD664="Yes"),"Warning","Clean"))</f>
        <v>Clean</v>
      </c>
      <c r="AJ664" s="4" t="s">
        <v>2520</v>
      </c>
      <c r="AK664" s="4" t="s">
        <v>2521</v>
      </c>
      <c r="AL664" s="4" t="s">
        <v>67</v>
      </c>
      <c r="AM664" s="4" t="s">
        <v>134</v>
      </c>
      <c r="AN664" s="4" t="s">
        <v>97</v>
      </c>
      <c r="AO664" s="4" t="s">
        <v>56</v>
      </c>
      <c r="AP664" s="4" t="s">
        <v>152</v>
      </c>
      <c r="AQ664" s="4" t="s">
        <v>109</v>
      </c>
      <c r="AR664" s="4" t="s">
        <v>360</v>
      </c>
      <c r="AS664" s="4" t="s">
        <v>74</v>
      </c>
      <c r="AT664" s="0" t="n">
        <v>0.1</v>
      </c>
      <c r="AU664" s="4" t="s">
        <v>61</v>
      </c>
      <c r="AV664" s="4" t="s">
        <v>62</v>
      </c>
    </row>
    <row r="665" customFormat="false" ht="15" hidden="false" customHeight="false" outlineLevel="0" collapsed="false">
      <c r="A665" s="0" t="s">
        <v>2522</v>
      </c>
      <c r="B665" s="3" t="n">
        <f aca="false">IF(AJ665="","",IF(ISNUMBER(SEARCH("/",AJ665)),DATE(VALUE(RIGHT(AJ665,4)),VALUE(LEFT(AJ665,2)),VALUE(MID(AJ665,4,2))),IF(ISNUMBER(SEARCH("-",AJ665)),IF(LEN(LEFT(AJ665,FIND("-",AJ665)-1))=4,DATE(VALUE(LEFT(AJ665,4)),VALUE(MID(AJ665,6,2)),VALUE(RIGHT(AJ665,2))),DATE(VALUE(RIGHT(AJ665,4)),VALUE(MID(AJ665,4,2)),VALUE(LEFT(AJ665,2)))),DATE(VALUE(RIGHT(AJ665,4)),MATCH(MID(AJ665,4,3),{"Jan","Feb","Mar","Apr","May","Jun","Jul","Aug","Sep","Oct","Nov","Dec"},0),VALUE(LEFT(AJ665,2))))))</f>
        <v>45414</v>
      </c>
      <c r="C665" s="3" t="n">
        <f aca="false">IF(AK665="","",IF(ISNUMBER(SEARCH("/",AK665)),DATE(VALUE(RIGHT(AK665,4)),VALUE(LEFT(AK665,2)),VALUE(MID(AK665,4,2))),IF(ISNUMBER(SEARCH("-",AK665)),IF(LEN(LEFT(AK665,FIND("-",AK665)-1))=4,DATE(VALUE(LEFT(AK665,4)),VALUE(MID(AK665,6,2)),VALUE(RIGHT(AK665,2))),DATE(VALUE(RIGHT(AK665,4)),VALUE(MID(AK665,4,2)),VALUE(LEFT(AK665,2)))),DATE(VALUE(RIGHT(AK665,4)),MATCH(MID(AK665,4,3),{"Jan","Feb","Mar","Apr","May","Jun","Jul","Aug","Sep","Oct","Nov","Dec"},0),VALUE(LEFT(AK665,2))))))</f>
        <v>45420</v>
      </c>
      <c r="D665" s="4" t="s">
        <v>2523</v>
      </c>
      <c r="E665" s="0" t="str">
        <f aca="false">PROPER(TRIM(AL665))</f>
        <v>Rahul Verma</v>
      </c>
      <c r="F665" s="0" t="str">
        <f aca="false">PROPER(TRIM(AM665))</f>
        <v>Home Office</v>
      </c>
      <c r="G665" s="0" t="str">
        <f aca="false">IF(TRIM(AN665)="","Unknown",PROPER(TRIM(AN665)))</f>
        <v>East</v>
      </c>
      <c r="H665" s="0" t="str">
        <f aca="false">PROPER(TRIM(AO665))</f>
        <v>Jharkhand</v>
      </c>
      <c r="I665" s="0" t="str">
        <f aca="false">PROPER(TRIM(AP665))</f>
        <v>Ranchi</v>
      </c>
      <c r="J665" s="0" t="str">
        <f aca="false">PROPER(TRIM(AQ665))</f>
        <v>Technology</v>
      </c>
      <c r="K665" s="0" t="str">
        <f aca="false">PROPER(TRIM(AR665))</f>
        <v>Copiers</v>
      </c>
      <c r="M665" s="0" t="str">
        <f aca="false">IF(TRIM(AS665)="","Unknown",PROPER(TRIM(AS665)))</f>
        <v>Second Class</v>
      </c>
      <c r="N665" s="0" t="n">
        <v>2</v>
      </c>
      <c r="O665" s="0" t="n">
        <v>3185.01</v>
      </c>
      <c r="P665" s="5" t="n">
        <f aca="false">IF(AT665="","",IF(ISNUMBER(AT665),AT665,VALUE(SUBSTITUTE(AT665,"%",""))/100))</f>
        <v>-0.24</v>
      </c>
      <c r="Q665" s="5" t="n">
        <f aca="false">IF(P665="",IF(AND(N665&lt;&gt;"",O665&lt;&gt;"",R665&lt;&gt;"",S665&lt;&gt;""),0,"REVIEW"),IF(OR(P665&lt;0,P665&gt;0.3),0,P665))</f>
        <v>0</v>
      </c>
      <c r="R665" s="0" t="n">
        <v>4777.52</v>
      </c>
      <c r="S665" s="0" t="n">
        <v>3152.98</v>
      </c>
      <c r="T665" s="6" t="n">
        <f aca="false">N665*O665*(1-Q665)</f>
        <v>6370.02</v>
      </c>
      <c r="U665" s="6" t="n">
        <f aca="false">T665-S665</f>
        <v>3217.04</v>
      </c>
      <c r="V665" s="7" t="n">
        <f aca="false">IF(T665=0,0,U665/T665)</f>
        <v>0.505028241669571</v>
      </c>
      <c r="W665" s="4" t="n">
        <f aca="false">C665-B665</f>
        <v>6</v>
      </c>
      <c r="X665" s="0" t="str">
        <f aca="false">TEXT(B665,"mmmm")</f>
        <v>May</v>
      </c>
      <c r="Y665" s="4" t="n">
        <f aca="false">YEAR(B665)</f>
        <v>2024</v>
      </c>
      <c r="Z665" s="0" t="str">
        <f aca="false">PROPER(TRIM(AU665))</f>
        <v>Paid</v>
      </c>
      <c r="AA665" s="0" t="str">
        <f aca="false">PROPER(TRIM(AV665))</f>
        <v>Completed</v>
      </c>
      <c r="AB665" s="0" t="str">
        <f aca="false">IF(TRIM(AN665)="","Yes","No")</f>
        <v>No</v>
      </c>
      <c r="AC665" s="0" t="str">
        <f aca="false">IF(TRIM(AS665)="","Yes","No")</f>
        <v>No</v>
      </c>
      <c r="AD665" s="0" t="str">
        <f aca="false">IF(AT665="","Yes","No")</f>
        <v>No</v>
      </c>
      <c r="AE665" s="0" t="str">
        <f aca="false">IF(W665&lt;0,"Yes","No")</f>
        <v>No</v>
      </c>
      <c r="AF665" s="0" t="str">
        <f aca="false">IF(P665="","No",IF(OR(P665&lt;0,P665&gt;0.3),"Yes","No"))</f>
        <v>Yes</v>
      </c>
      <c r="AG665" s="4" t="s">
        <v>50</v>
      </c>
      <c r="AH665" s="0" t="str">
        <f aca="false">IF(AND(AA665="Completed",Z665="Paid"),"Yes","No")</f>
        <v>Yes</v>
      </c>
      <c r="AI665" s="0" t="str">
        <f aca="false">IF(OR(AE665="Yes",AF665="Yes",AG665="Yes"),"Invalid",IF(OR(AB665="Yes",AC665="Yes",AD665="Yes"),"Warning","Clean"))</f>
        <v>Invalid</v>
      </c>
      <c r="AJ665" s="4" t="s">
        <v>1040</v>
      </c>
      <c r="AK665" s="4" t="s">
        <v>2180</v>
      </c>
      <c r="AL665" s="4" t="s">
        <v>163</v>
      </c>
      <c r="AM665" s="4" t="s">
        <v>134</v>
      </c>
      <c r="AN665" s="4" t="s">
        <v>69</v>
      </c>
      <c r="AO665" s="4" t="s">
        <v>300</v>
      </c>
      <c r="AP665" s="4" t="s">
        <v>301</v>
      </c>
      <c r="AQ665" s="4" t="s">
        <v>109</v>
      </c>
      <c r="AR665" s="4" t="s">
        <v>116</v>
      </c>
      <c r="AS665" s="4" t="s">
        <v>60</v>
      </c>
      <c r="AT665" s="0" t="n">
        <v>-0.24</v>
      </c>
      <c r="AU665" s="4" t="s">
        <v>61</v>
      </c>
      <c r="AV665" s="4" t="s">
        <v>62</v>
      </c>
    </row>
    <row r="666" customFormat="false" ht="15" hidden="false" customHeight="false" outlineLevel="0" collapsed="false">
      <c r="A666" s="0" t="s">
        <v>2524</v>
      </c>
      <c r="B666" s="3" t="n">
        <f aca="false">IF(AJ666="","",IF(ISNUMBER(SEARCH("/",AJ666)),DATE(VALUE(RIGHT(AJ666,4)),VALUE(LEFT(AJ666,2)),VALUE(MID(AJ666,4,2))),IF(ISNUMBER(SEARCH("-",AJ666)),IF(LEN(LEFT(AJ666,FIND("-",AJ666)-1))=4,DATE(VALUE(LEFT(AJ666,4)),VALUE(MID(AJ666,6,2)),VALUE(RIGHT(AJ666,2))),DATE(VALUE(RIGHT(AJ666,4)),VALUE(MID(AJ666,4,2)),VALUE(LEFT(AJ666,2)))),DATE(VALUE(RIGHT(AJ666,4)),MATCH(MID(AJ666,4,3),{"Jan","Feb","Mar","Apr","May","Jun","Jul","Aug","Sep","Oct","Nov","Dec"},0),VALUE(LEFT(AJ666,2))))))</f>
        <v>45633</v>
      </c>
      <c r="C666" s="3" t="n">
        <f aca="false">IF(AK666="","",IF(ISNUMBER(SEARCH("/",AK666)),DATE(VALUE(RIGHT(AK666,4)),VALUE(LEFT(AK666,2)),VALUE(MID(AK666,4,2))),IF(ISNUMBER(SEARCH("-",AK666)),IF(LEN(LEFT(AK666,FIND("-",AK666)-1))=4,DATE(VALUE(LEFT(AK666,4)),VALUE(MID(AK666,6,2)),VALUE(RIGHT(AK666,2))),DATE(VALUE(RIGHT(AK666,4)),VALUE(MID(AK666,4,2)),VALUE(LEFT(AK666,2)))),DATE(VALUE(RIGHT(AK666,4)),MATCH(MID(AK666,4,3),{"Jan","Feb","Mar","Apr","May","Jun","Jul","Aug","Sep","Oct","Nov","Dec"},0),VALUE(LEFT(AK666,2))))))</f>
        <v>45636</v>
      </c>
      <c r="D666" s="4" t="s">
        <v>2525</v>
      </c>
      <c r="E666" s="0" t="str">
        <f aca="false">PROPER(TRIM(AL666))</f>
        <v>Mira Das</v>
      </c>
      <c r="F666" s="0" t="str">
        <f aca="false">PROPER(TRIM(AM666))</f>
        <v>Home Office</v>
      </c>
      <c r="G666" s="0" t="str">
        <f aca="false">IF(TRIM(AN666)="","Unknown",PROPER(TRIM(AN666)))</f>
        <v>South</v>
      </c>
      <c r="H666" s="0" t="str">
        <f aca="false">PROPER(TRIM(AO666))</f>
        <v>Telangana</v>
      </c>
      <c r="I666" s="0" t="str">
        <f aca="false">PROPER(TRIM(AP666))</f>
        <v>Hyderabad</v>
      </c>
      <c r="J666" s="0" t="str">
        <f aca="false">PROPER(TRIM(AQ666))</f>
        <v>Technology</v>
      </c>
      <c r="K666" s="0" t="str">
        <f aca="false">PROPER(TRIM(AR666))</f>
        <v>Accessories</v>
      </c>
      <c r="M666" s="0" t="str">
        <f aca="false">IF(TRIM(AS666)="","Unknown",PROPER(TRIM(AS666)))</f>
        <v>Standard Class</v>
      </c>
      <c r="N666" s="0" t="n">
        <v>1</v>
      </c>
      <c r="O666" s="0" t="n">
        <v>1908.83</v>
      </c>
      <c r="P666" s="5" t="n">
        <f aca="false">IF(AT666="","",IF(ISNUMBER(AT666),AT666,VALUE(SUBSTITUTE(AT666,"%",""))/100))</f>
        <v>0.2</v>
      </c>
      <c r="Q666" s="5" t="n">
        <f aca="false">IF(P666="",IF(AND(N666&lt;&gt;"",O666&lt;&gt;"",R666&lt;&gt;"",S666&lt;&gt;""),0,"REVIEW"),IF(OR(P666&lt;0,P666&gt;0.3),0,P666))</f>
        <v>0.2</v>
      </c>
      <c r="R666" s="0" t="n">
        <v>1527.06</v>
      </c>
      <c r="S666" s="0" t="n">
        <v>1055.89</v>
      </c>
      <c r="T666" s="6" t="n">
        <f aca="false">N666*O666*(1-Q666)</f>
        <v>1527.064</v>
      </c>
      <c r="U666" s="6" t="n">
        <f aca="false">T666-S666</f>
        <v>471.174</v>
      </c>
      <c r="V666" s="7" t="n">
        <f aca="false">IF(T666=0,0,U666/T666)</f>
        <v>0.308548954071342</v>
      </c>
      <c r="W666" s="4" t="n">
        <f aca="false">C666-B666</f>
        <v>3</v>
      </c>
      <c r="X666" s="0" t="str">
        <f aca="false">TEXT(B666,"mmmm")</f>
        <v>December</v>
      </c>
      <c r="Y666" s="4" t="n">
        <f aca="false">YEAR(B666)</f>
        <v>2024</v>
      </c>
      <c r="Z666" s="0" t="str">
        <f aca="false">PROPER(TRIM(AU666))</f>
        <v>Paid</v>
      </c>
      <c r="AA666" s="0" t="str">
        <f aca="false">PROPER(TRIM(AV666))</f>
        <v>Completed</v>
      </c>
      <c r="AB666" s="0" t="str">
        <f aca="false">IF(TRIM(AN666)="","Yes","No")</f>
        <v>No</v>
      </c>
      <c r="AC666" s="0" t="str">
        <f aca="false">IF(TRIM(AS666)="","Yes","No")</f>
        <v>No</v>
      </c>
      <c r="AD666" s="0" t="str">
        <f aca="false">IF(AT666="","Yes","No")</f>
        <v>No</v>
      </c>
      <c r="AE666" s="0" t="str">
        <f aca="false">IF(W666&lt;0,"Yes","No")</f>
        <v>No</v>
      </c>
      <c r="AF666" s="0" t="str">
        <f aca="false">IF(P666="","No",IF(OR(P666&lt;0,P666&gt;0.3),"Yes","No"))</f>
        <v>No</v>
      </c>
      <c r="AG666" s="4" t="s">
        <v>50</v>
      </c>
      <c r="AH666" s="0" t="str">
        <f aca="false">IF(AND(AA666="Completed",Z666="Paid"),"Yes","No")</f>
        <v>Yes</v>
      </c>
      <c r="AI666" s="0" t="str">
        <f aca="false">IF(OR(AE666="Yes",AF666="Yes",AG666="Yes"),"Invalid",IF(OR(AB666="Yes",AC666="Yes",AD666="Yes"),"Warning","Clean"))</f>
        <v>Clean</v>
      </c>
      <c r="AJ666" s="4" t="s">
        <v>2526</v>
      </c>
      <c r="AK666" s="4" t="s">
        <v>2527</v>
      </c>
      <c r="AL666" s="4" t="s">
        <v>67</v>
      </c>
      <c r="AM666" s="4" t="s">
        <v>134</v>
      </c>
      <c r="AN666" s="4" t="s">
        <v>87</v>
      </c>
      <c r="AO666" s="4" t="s">
        <v>88</v>
      </c>
      <c r="AP666" s="4" t="s">
        <v>89</v>
      </c>
      <c r="AQ666" s="4" t="s">
        <v>109</v>
      </c>
      <c r="AR666" s="4" t="s">
        <v>110</v>
      </c>
      <c r="AS666" s="4" t="s">
        <v>91</v>
      </c>
      <c r="AT666" s="0" t="n">
        <v>0.2</v>
      </c>
      <c r="AU666" s="4" t="s">
        <v>61</v>
      </c>
      <c r="AV666" s="4" t="s">
        <v>62</v>
      </c>
    </row>
    <row r="667" customFormat="false" ht="15" hidden="false" customHeight="false" outlineLevel="0" collapsed="false">
      <c r="A667" s="0" t="s">
        <v>2528</v>
      </c>
      <c r="B667" s="3" t="n">
        <f aca="false">IF(AJ667="","",IF(ISNUMBER(SEARCH("/",AJ667)),DATE(VALUE(RIGHT(AJ667,4)),VALUE(LEFT(AJ667,2)),VALUE(MID(AJ667,4,2))),IF(ISNUMBER(SEARCH("-",AJ667)),IF(LEN(LEFT(AJ667,FIND("-",AJ667)-1))=4,DATE(VALUE(LEFT(AJ667,4)),VALUE(MID(AJ667,6,2)),VALUE(RIGHT(AJ667,2))),DATE(VALUE(RIGHT(AJ667,4)),VALUE(MID(AJ667,4,2)),VALUE(LEFT(AJ667,2)))),DATE(VALUE(RIGHT(AJ667,4)),MATCH(MID(AJ667,4,3),{"Jan","Feb","Mar","Apr","May","Jun","Jul","Aug","Sep","Oct","Nov","Dec"},0),VALUE(LEFT(AJ667,2))))))</f>
        <v>45670</v>
      </c>
      <c r="C667" s="3" t="n">
        <f aca="false">IF(AK667="","",IF(ISNUMBER(SEARCH("/",AK667)),DATE(VALUE(RIGHT(AK667,4)),VALUE(LEFT(AK667,2)),VALUE(MID(AK667,4,2))),IF(ISNUMBER(SEARCH("-",AK667)),IF(LEN(LEFT(AK667,FIND("-",AK667)-1))=4,DATE(VALUE(LEFT(AK667,4)),VALUE(MID(AK667,6,2)),VALUE(RIGHT(AK667,2))),DATE(VALUE(RIGHT(AK667,4)),VALUE(MID(AK667,4,2)),VALUE(LEFT(AK667,2)))),DATE(VALUE(RIGHT(AK667,4)),MATCH(MID(AK667,4,3),{"Jan","Feb","Mar","Apr","May","Jun","Jul","Aug","Sep","Oct","Nov","Dec"},0),VALUE(LEFT(AK667,2))))))</f>
        <v>45670</v>
      </c>
      <c r="D667" s="4" t="s">
        <v>2529</v>
      </c>
      <c r="E667" s="0" t="str">
        <f aca="false">PROPER(TRIM(AL667))</f>
        <v>Rahul Verma</v>
      </c>
      <c r="F667" s="0" t="str">
        <f aca="false">PROPER(TRIM(AM667))</f>
        <v>Home Office</v>
      </c>
      <c r="G667" s="0" t="str">
        <f aca="false">IF(TRIM(AN667)="","Unknown",PROPER(TRIM(AN667)))</f>
        <v>West</v>
      </c>
      <c r="H667" s="0" t="str">
        <f aca="false">PROPER(TRIM(AO667))</f>
        <v>Gujarat</v>
      </c>
      <c r="I667" s="0" t="str">
        <f aca="false">PROPER(TRIM(AP667))</f>
        <v>Ahmedabad</v>
      </c>
      <c r="J667" s="0" t="str">
        <f aca="false">PROPER(TRIM(AQ667))</f>
        <v>Office Supplies</v>
      </c>
      <c r="K667" s="0" t="str">
        <f aca="false">PROPER(TRIM(AR667))</f>
        <v>Art</v>
      </c>
      <c r="M667" s="0" t="str">
        <f aca="false">IF(TRIM(AS667)="","Unknown",PROPER(TRIM(AS667)))</f>
        <v>Standard Class</v>
      </c>
      <c r="N667" s="0" t="n">
        <v>3</v>
      </c>
      <c r="O667" s="0" t="n">
        <v>2110.52</v>
      </c>
      <c r="P667" s="5" t="n">
        <f aca="false">IF(AT667="","",IF(ISNUMBER(AT667),AT667,VALUE(SUBSTITUTE(AT667,"%",""))/100))</f>
        <v>0.1</v>
      </c>
      <c r="Q667" s="5" t="n">
        <f aca="false">IF(P667="",IF(AND(N667&lt;&gt;"",O667&lt;&gt;"",R667&lt;&gt;"",S667&lt;&gt;""),0,"REVIEW"),IF(OR(P667&lt;0,P667&gt;0.3),0,P667))</f>
        <v>0.1</v>
      </c>
      <c r="R667" s="0" t="n">
        <v>5698.4</v>
      </c>
      <c r="S667" s="0" t="n">
        <v>3640.89</v>
      </c>
      <c r="T667" s="6" t="n">
        <f aca="false">N667*O667*(1-Q667)</f>
        <v>5698.404</v>
      </c>
      <c r="U667" s="6" t="n">
        <f aca="false">T667-S667</f>
        <v>2057.514</v>
      </c>
      <c r="V667" s="7" t="n">
        <f aca="false">IF(T667=0,0,U667/T667)</f>
        <v>0.361068467591978</v>
      </c>
      <c r="W667" s="4" t="n">
        <f aca="false">C667-B667</f>
        <v>0</v>
      </c>
      <c r="X667" s="0" t="str">
        <f aca="false">TEXT(B667,"mmmm")</f>
        <v>January</v>
      </c>
      <c r="Y667" s="4" t="n">
        <f aca="false">YEAR(B667)</f>
        <v>2025</v>
      </c>
      <c r="Z667" s="0" t="str">
        <f aca="false">PROPER(TRIM(AU667))</f>
        <v>Failed</v>
      </c>
      <c r="AA667" s="0" t="str">
        <f aca="false">PROPER(TRIM(AV667))</f>
        <v>Cancelled</v>
      </c>
      <c r="AB667" s="0" t="str">
        <f aca="false">IF(TRIM(AN667)="","Yes","No")</f>
        <v>No</v>
      </c>
      <c r="AC667" s="0" t="str">
        <f aca="false">IF(TRIM(AS667)="","Yes","No")</f>
        <v>No</v>
      </c>
      <c r="AD667" s="0" t="str">
        <f aca="false">IF(AT667="","Yes","No")</f>
        <v>No</v>
      </c>
      <c r="AE667" s="0" t="str">
        <f aca="false">IF(W667&lt;0,"Yes","No")</f>
        <v>No</v>
      </c>
      <c r="AF667" s="0" t="str">
        <f aca="false">IF(P667="","No",IF(OR(P667&lt;0,P667&gt;0.3),"Yes","No"))</f>
        <v>No</v>
      </c>
      <c r="AG667" s="4" t="s">
        <v>50</v>
      </c>
      <c r="AH667" s="0" t="str">
        <f aca="false">IF(AND(AA667="Completed",Z667="Paid"),"Yes","No")</f>
        <v>No</v>
      </c>
      <c r="AI667" s="0" t="str">
        <f aca="false">IF(OR(AE667="Yes",AF667="Yes",AG667="Yes"),"Invalid",IF(OR(AB667="Yes",AC667="Yes",AD667="Yes"),"Warning","Clean"))</f>
        <v>Clean</v>
      </c>
      <c r="AJ667" s="4" t="s">
        <v>2530</v>
      </c>
      <c r="AK667" s="4" t="s">
        <v>2531</v>
      </c>
      <c r="AL667" s="4" t="s">
        <v>2532</v>
      </c>
      <c r="AM667" s="4" t="s">
        <v>134</v>
      </c>
      <c r="AN667" s="4" t="s">
        <v>97</v>
      </c>
      <c r="AO667" s="4" t="s">
        <v>238</v>
      </c>
      <c r="AP667" s="4" t="s">
        <v>239</v>
      </c>
      <c r="AQ667" s="4" t="s">
        <v>58</v>
      </c>
      <c r="AR667" s="4" t="s">
        <v>80</v>
      </c>
      <c r="AS667" s="4" t="s">
        <v>91</v>
      </c>
      <c r="AT667" s="0" t="n">
        <v>0.1</v>
      </c>
      <c r="AU667" s="4" t="s">
        <v>207</v>
      </c>
      <c r="AV667" s="4" t="s">
        <v>101</v>
      </c>
    </row>
    <row r="668" customFormat="false" ht="15" hidden="false" customHeight="false" outlineLevel="0" collapsed="false">
      <c r="A668" s="0" t="s">
        <v>2533</v>
      </c>
      <c r="B668" s="3" t="n">
        <f aca="false">IF(AJ668="","",IF(ISNUMBER(SEARCH("/",AJ668)),DATE(VALUE(RIGHT(AJ668,4)),VALUE(LEFT(AJ668,2)),VALUE(MID(AJ668,4,2))),IF(ISNUMBER(SEARCH("-",AJ668)),IF(LEN(LEFT(AJ668,FIND("-",AJ668)-1))=4,DATE(VALUE(LEFT(AJ668,4)),VALUE(MID(AJ668,6,2)),VALUE(RIGHT(AJ668,2))),DATE(VALUE(RIGHT(AJ668,4)),VALUE(MID(AJ668,4,2)),VALUE(LEFT(AJ668,2)))),DATE(VALUE(RIGHT(AJ668,4)),MATCH(MID(AJ668,4,3),{"Jan","Feb","Mar","Apr","May","Jun","Jul","Aug","Sep","Oct","Nov","Dec"},0),VALUE(LEFT(AJ668,2))))))</f>
        <v>45464</v>
      </c>
      <c r="C668" s="3" t="n">
        <f aca="false">IF(AK668="","",IF(ISNUMBER(SEARCH("/",AK668)),DATE(VALUE(RIGHT(AK668,4)),VALUE(LEFT(AK668,2)),VALUE(MID(AK668,4,2))),IF(ISNUMBER(SEARCH("-",AK668)),IF(LEN(LEFT(AK668,FIND("-",AK668)-1))=4,DATE(VALUE(LEFT(AK668,4)),VALUE(MID(AK668,6,2)),VALUE(RIGHT(AK668,2))),DATE(VALUE(RIGHT(AK668,4)),VALUE(MID(AK668,4,2)),VALUE(LEFT(AK668,2)))),DATE(VALUE(RIGHT(AK668,4)),MATCH(MID(AK668,4,3),{"Jan","Feb","Mar","Apr","May","Jun","Jul","Aug","Sep","Oct","Nov","Dec"},0),VALUE(LEFT(AK668,2))))))</f>
        <v>45469</v>
      </c>
      <c r="D668" s="4" t="s">
        <v>2534</v>
      </c>
      <c r="E668" s="0" t="str">
        <f aca="false">PROPER(TRIM(AL668))</f>
        <v>Rohan Mehta</v>
      </c>
      <c r="F668" s="0" t="str">
        <f aca="false">PROPER(TRIM(AM668))</f>
        <v>Small Business</v>
      </c>
      <c r="G668" s="0" t="str">
        <f aca="false">IF(TRIM(AN668)="","Unknown",PROPER(TRIM(AN668)))</f>
        <v>North</v>
      </c>
      <c r="H668" s="0" t="str">
        <f aca="false">PROPER(TRIM(AO668))</f>
        <v>Punjab</v>
      </c>
      <c r="I668" s="0" t="str">
        <f aca="false">PROPER(TRIM(AP668))</f>
        <v>Ludhiana</v>
      </c>
      <c r="J668" s="0" t="str">
        <f aca="false">PROPER(TRIM(AQ668))</f>
        <v>Technology</v>
      </c>
      <c r="K668" s="0" t="str">
        <f aca="false">PROPER(TRIM(AR668))</f>
        <v>Copiers</v>
      </c>
      <c r="M668" s="0" t="str">
        <f aca="false">IF(TRIM(AS668)="","Unknown",PROPER(TRIM(AS668)))</f>
        <v>Same Day</v>
      </c>
      <c r="N668" s="0" t="n">
        <v>1</v>
      </c>
      <c r="O668" s="0" t="n">
        <v>279.83</v>
      </c>
      <c r="P668" s="5" t="n">
        <f aca="false">IF(AT668="","",IF(ISNUMBER(AT668),AT668,VALUE(SUBSTITUTE(AT668,"%",""))/100))</f>
        <v>0.05</v>
      </c>
      <c r="Q668" s="5" t="n">
        <f aca="false">IF(P668="",IF(AND(N668&lt;&gt;"",O668&lt;&gt;"",R668&lt;&gt;"",S668&lt;&gt;""),0,"REVIEW"),IF(OR(P668&lt;0,P668&gt;0.3),0,P668))</f>
        <v>0.05</v>
      </c>
      <c r="R668" s="0" t="n">
        <v>265.84</v>
      </c>
      <c r="S668" s="0" t="n">
        <v>223.49</v>
      </c>
      <c r="T668" s="6" t="n">
        <f aca="false">N668*O668*(1-Q668)</f>
        <v>265.8385</v>
      </c>
      <c r="U668" s="6" t="n">
        <f aca="false">T668-S668</f>
        <v>42.3484999999999</v>
      </c>
      <c r="V668" s="7" t="n">
        <f aca="false">IF(T668=0,0,U668/T668)</f>
        <v>0.15930160605029</v>
      </c>
      <c r="W668" s="4" t="n">
        <f aca="false">C668-B668</f>
        <v>5</v>
      </c>
      <c r="X668" s="0" t="str">
        <f aca="false">TEXT(B668,"mmmm")</f>
        <v>June</v>
      </c>
      <c r="Y668" s="4" t="n">
        <f aca="false">YEAR(B668)</f>
        <v>2024</v>
      </c>
      <c r="Z668" s="0" t="str">
        <f aca="false">PROPER(TRIM(AU668))</f>
        <v>Paid</v>
      </c>
      <c r="AA668" s="0" t="str">
        <f aca="false">PROPER(TRIM(AV668))</f>
        <v>Completed</v>
      </c>
      <c r="AB668" s="0" t="str">
        <f aca="false">IF(TRIM(AN668)="","Yes","No")</f>
        <v>No</v>
      </c>
      <c r="AC668" s="0" t="str">
        <f aca="false">IF(TRIM(AS668)="","Yes","No")</f>
        <v>No</v>
      </c>
      <c r="AD668" s="0" t="str">
        <f aca="false">IF(AT668="","Yes","No")</f>
        <v>No</v>
      </c>
      <c r="AE668" s="0" t="str">
        <f aca="false">IF(W668&lt;0,"Yes","No")</f>
        <v>No</v>
      </c>
      <c r="AF668" s="0" t="str">
        <f aca="false">IF(P668="","No",IF(OR(P668&lt;0,P668&gt;0.3),"Yes","No"))</f>
        <v>No</v>
      </c>
      <c r="AG668" s="4" t="s">
        <v>50</v>
      </c>
      <c r="AH668" s="0" t="str">
        <f aca="false">IF(AND(AA668="Completed",Z668="Paid"),"Yes","No")</f>
        <v>Yes</v>
      </c>
      <c r="AI668" s="0" t="str">
        <f aca="false">IF(OR(AE668="Yes",AF668="Yes",AG668="Yes"),"Invalid",IF(OR(AB668="Yes",AC668="Yes",AD668="Yes"),"Warning","Clean"))</f>
        <v>Clean</v>
      </c>
      <c r="AJ668" s="4" t="s">
        <v>1767</v>
      </c>
      <c r="AK668" s="4" t="s">
        <v>1720</v>
      </c>
      <c r="AL668" s="4" t="s">
        <v>191</v>
      </c>
      <c r="AM668" s="4" t="s">
        <v>68</v>
      </c>
      <c r="AN668" s="4" t="s">
        <v>168</v>
      </c>
      <c r="AO668" s="4" t="s">
        <v>169</v>
      </c>
      <c r="AP668" s="4" t="s">
        <v>170</v>
      </c>
      <c r="AQ668" s="4" t="s">
        <v>109</v>
      </c>
      <c r="AR668" s="4" t="s">
        <v>116</v>
      </c>
      <c r="AS668" s="4" t="s">
        <v>74</v>
      </c>
      <c r="AT668" s="0" t="n">
        <v>0.05</v>
      </c>
      <c r="AU668" s="4" t="s">
        <v>61</v>
      </c>
      <c r="AV668" s="4" t="s">
        <v>62</v>
      </c>
    </row>
    <row r="669" customFormat="false" ht="15" hidden="false" customHeight="false" outlineLevel="0" collapsed="false">
      <c r="A669" s="0" t="s">
        <v>2535</v>
      </c>
      <c r="B669" s="3" t="n">
        <f aca="false">IF(AJ669="","",IF(ISNUMBER(SEARCH("/",AJ669)),DATE(VALUE(RIGHT(AJ669,4)),VALUE(LEFT(AJ669,2)),VALUE(MID(AJ669,4,2))),IF(ISNUMBER(SEARCH("-",AJ669)),IF(LEN(LEFT(AJ669,FIND("-",AJ669)-1))=4,DATE(VALUE(LEFT(AJ669,4)),VALUE(MID(AJ669,6,2)),VALUE(RIGHT(AJ669,2))),DATE(VALUE(RIGHT(AJ669,4)),VALUE(MID(AJ669,4,2)),VALUE(LEFT(AJ669,2)))),DATE(VALUE(RIGHT(AJ669,4)),MATCH(MID(AJ669,4,3),{"Jan","Feb","Mar","Apr","May","Jun","Jul","Aug","Sep","Oct","Nov","Dec"},0),VALUE(LEFT(AJ669,2))))))</f>
        <v>45797</v>
      </c>
      <c r="C669" s="3" t="n">
        <f aca="false">IF(AK669="","",IF(ISNUMBER(SEARCH("/",AK669)),DATE(VALUE(RIGHT(AK669,4)),VALUE(LEFT(AK669,2)),VALUE(MID(AK669,4,2))),IF(ISNUMBER(SEARCH("-",AK669)),IF(LEN(LEFT(AK669,FIND("-",AK669)-1))=4,DATE(VALUE(LEFT(AK669,4)),VALUE(MID(AK669,6,2)),VALUE(RIGHT(AK669,2))),DATE(VALUE(RIGHT(AK669,4)),VALUE(MID(AK669,4,2)),VALUE(LEFT(AK669,2)))),DATE(VALUE(RIGHT(AK669,4)),MATCH(MID(AK669,4,3),{"Jan","Feb","Mar","Apr","May","Jun","Jul","Aug","Sep","Oct","Nov","Dec"},0),VALUE(LEFT(AK669,2))))))</f>
        <v>45804</v>
      </c>
      <c r="D669" s="4" t="s">
        <v>2536</v>
      </c>
      <c r="E669" s="0" t="str">
        <f aca="false">PROPER(TRIM(AL669))</f>
        <v>Diya Patel</v>
      </c>
      <c r="F669" s="0" t="str">
        <f aca="false">PROPER(TRIM(AM669))</f>
        <v>Small Business</v>
      </c>
      <c r="G669" s="0" t="str">
        <f aca="false">IF(TRIM(AN669)="","Unknown",PROPER(TRIM(AN669)))</f>
        <v>East</v>
      </c>
      <c r="H669" s="0" t="str">
        <f aca="false">PROPER(TRIM(AO669))</f>
        <v>Bihar</v>
      </c>
      <c r="I669" s="0" t="str">
        <f aca="false">PROPER(TRIM(AP669))</f>
        <v>Patna</v>
      </c>
      <c r="J669" s="0" t="str">
        <f aca="false">PROPER(TRIM(AQ669))</f>
        <v>Technology</v>
      </c>
      <c r="K669" s="0" t="str">
        <f aca="false">PROPER(TRIM(AR669))</f>
        <v>Machines</v>
      </c>
      <c r="M669" s="0" t="str">
        <f aca="false">IF(TRIM(AS669)="","Unknown",PROPER(TRIM(AS669)))</f>
        <v>Standard Class</v>
      </c>
      <c r="N669" s="0" t="n">
        <v>1</v>
      </c>
      <c r="O669" s="0" t="n">
        <v>3959.14</v>
      </c>
      <c r="P669" s="5" t="n">
        <f aca="false">IF(AT669="","",IF(ISNUMBER(AT669),AT669,VALUE(SUBSTITUTE(AT669,"%",""))/100))</f>
        <v>0</v>
      </c>
      <c r="Q669" s="5" t="n">
        <f aca="false">IF(P669="",IF(AND(N669&lt;&gt;"",O669&lt;&gt;"",R669&lt;&gt;"",S669&lt;&gt;""),0,"REVIEW"),IF(OR(P669&lt;0,P669&gt;0.3),0,P669))</f>
        <v>0</v>
      </c>
      <c r="R669" s="0" t="n">
        <v>3959.14</v>
      </c>
      <c r="S669" s="0" t="n">
        <v>3239.53</v>
      </c>
      <c r="T669" s="6" t="n">
        <f aca="false">N669*O669*(1-Q669)</f>
        <v>3959.14</v>
      </c>
      <c r="U669" s="6" t="n">
        <f aca="false">T669-S669</f>
        <v>719.61</v>
      </c>
      <c r="V669" s="7" t="n">
        <f aca="false">IF(T669=0,0,U669/T669)</f>
        <v>0.18175916992074</v>
      </c>
      <c r="W669" s="4" t="n">
        <f aca="false">C669-B669</f>
        <v>7</v>
      </c>
      <c r="X669" s="0" t="str">
        <f aca="false">TEXT(B669,"mmmm")</f>
        <v>May</v>
      </c>
      <c r="Y669" s="4" t="n">
        <f aca="false">YEAR(B669)</f>
        <v>2025</v>
      </c>
      <c r="Z669" s="0" t="str">
        <f aca="false">PROPER(TRIM(AU669))</f>
        <v>Pending</v>
      </c>
      <c r="AA669" s="0" t="str">
        <f aca="false">PROPER(TRIM(AV669))</f>
        <v>Returned</v>
      </c>
      <c r="AB669" s="0" t="str">
        <f aca="false">IF(TRIM(AN669)="","Yes","No")</f>
        <v>No</v>
      </c>
      <c r="AC669" s="0" t="str">
        <f aca="false">IF(TRIM(AS669)="","Yes","No")</f>
        <v>No</v>
      </c>
      <c r="AD669" s="0" t="str">
        <f aca="false">IF(AT669="","Yes","No")</f>
        <v>No</v>
      </c>
      <c r="AE669" s="0" t="str">
        <f aca="false">IF(W669&lt;0,"Yes","No")</f>
        <v>No</v>
      </c>
      <c r="AF669" s="0" t="str">
        <f aca="false">IF(P669="","No",IF(OR(P669&lt;0,P669&gt;0.3),"Yes","No"))</f>
        <v>No</v>
      </c>
      <c r="AG669" s="4" t="s">
        <v>50</v>
      </c>
      <c r="AH669" s="0" t="str">
        <f aca="false">IF(AND(AA669="Completed",Z669="Paid"),"Yes","No")</f>
        <v>No</v>
      </c>
      <c r="AI669" s="0" t="str">
        <f aca="false">IF(OR(AE669="Yes",AF669="Yes",AG669="Yes"),"Invalid",IF(OR(AB669="Yes",AC669="Yes",AD669="Yes"),"Warning","Clean"))</f>
        <v>Clean</v>
      </c>
      <c r="AJ669" s="4" t="s">
        <v>2537</v>
      </c>
      <c r="AK669" s="4" t="s">
        <v>2538</v>
      </c>
      <c r="AL669" s="4" t="s">
        <v>216</v>
      </c>
      <c r="AM669" s="4" t="s">
        <v>68</v>
      </c>
      <c r="AN669" s="4" t="s">
        <v>69</v>
      </c>
      <c r="AO669" s="4" t="s">
        <v>196</v>
      </c>
      <c r="AP669" s="4" t="s">
        <v>197</v>
      </c>
      <c r="AQ669" s="4" t="s">
        <v>109</v>
      </c>
      <c r="AR669" s="4" t="s">
        <v>360</v>
      </c>
      <c r="AS669" s="4" t="s">
        <v>91</v>
      </c>
      <c r="AT669" s="0" t="n">
        <v>0</v>
      </c>
      <c r="AU669" s="4" t="s">
        <v>153</v>
      </c>
      <c r="AV669" s="4" t="s">
        <v>142</v>
      </c>
    </row>
    <row r="670" customFormat="false" ht="15" hidden="false" customHeight="false" outlineLevel="0" collapsed="false">
      <c r="A670" s="0" t="s">
        <v>2539</v>
      </c>
      <c r="B670" s="3" t="n">
        <f aca="false">IF(AJ670="","",IF(ISNUMBER(SEARCH("/",AJ670)),DATE(VALUE(RIGHT(AJ670,4)),VALUE(LEFT(AJ670,2)),VALUE(MID(AJ670,4,2))),IF(ISNUMBER(SEARCH("-",AJ670)),IF(LEN(LEFT(AJ670,FIND("-",AJ670)-1))=4,DATE(VALUE(LEFT(AJ670,4)),VALUE(MID(AJ670,6,2)),VALUE(RIGHT(AJ670,2))),DATE(VALUE(RIGHT(AJ670,4)),VALUE(MID(AJ670,4,2)),VALUE(LEFT(AJ670,2)))),DATE(VALUE(RIGHT(AJ670,4)),MATCH(MID(AJ670,4,3),{"Jan","Feb","Mar","Apr","May","Jun","Jul","Aug","Sep","Oct","Nov","Dec"},0),VALUE(LEFT(AJ670,2))))))</f>
        <v>45617</v>
      </c>
      <c r="C670" s="3" t="n">
        <f aca="false">IF(AK670="","",IF(ISNUMBER(SEARCH("/",AK670)),DATE(VALUE(RIGHT(AK670,4)),VALUE(LEFT(AK670,2)),VALUE(MID(AK670,4,2))),IF(ISNUMBER(SEARCH("-",AK670)),IF(LEN(LEFT(AK670,FIND("-",AK670)-1))=4,DATE(VALUE(LEFT(AK670,4)),VALUE(MID(AK670,6,2)),VALUE(RIGHT(AK670,2))),DATE(VALUE(RIGHT(AK670,4)),VALUE(MID(AK670,4,2)),VALUE(LEFT(AK670,2)))),DATE(VALUE(RIGHT(AK670,4)),MATCH(MID(AK670,4,3),{"Jan","Feb","Mar","Apr","May","Jun","Jul","Aug","Sep","Oct","Nov","Dec"},0),VALUE(LEFT(AK670,2))))))</f>
        <v>45619</v>
      </c>
      <c r="D670" s="4" t="s">
        <v>2540</v>
      </c>
      <c r="E670" s="0" t="str">
        <f aca="false">PROPER(TRIM(AL670))</f>
        <v>Mira Das</v>
      </c>
      <c r="F670" s="0" t="str">
        <f aca="false">PROPER(TRIM(AM670))</f>
        <v>Corporate</v>
      </c>
      <c r="G670" s="0" t="str">
        <f aca="false">IF(TRIM(AN670)="","Unknown",PROPER(TRIM(AN670)))</f>
        <v>West</v>
      </c>
      <c r="H670" s="0" t="str">
        <f aca="false">PROPER(TRIM(AO670))</f>
        <v>Gujarat</v>
      </c>
      <c r="I670" s="0" t="str">
        <f aca="false">PROPER(TRIM(AP670))</f>
        <v>Ahmedabad</v>
      </c>
      <c r="J670" s="0" t="str">
        <f aca="false">PROPER(TRIM(AQ670))</f>
        <v>Office Supplies</v>
      </c>
      <c r="K670" s="0" t="str">
        <f aca="false">PROPER(TRIM(AR670))</f>
        <v>Paper</v>
      </c>
      <c r="M670" s="0" t="str">
        <f aca="false">IF(TRIM(AS670)="","Unknown",PROPER(TRIM(AS670)))</f>
        <v>Second Class</v>
      </c>
      <c r="N670" s="0" t="n">
        <v>5</v>
      </c>
      <c r="O670" s="0" t="n">
        <v>600.46</v>
      </c>
      <c r="P670" s="5" t="n">
        <f aca="false">IF(AT670="","",IF(ISNUMBER(AT670),AT670,VALUE(SUBSTITUTE(AT670,"%",""))/100))</f>
        <v>0.2</v>
      </c>
      <c r="Q670" s="5" t="n">
        <f aca="false">IF(P670="",IF(AND(N670&lt;&gt;"",O670&lt;&gt;"",R670&lt;&gt;"",S670&lt;&gt;""),0,"REVIEW"),IF(OR(P670&lt;0,P670&gt;0.3),0,P670))</f>
        <v>0.2</v>
      </c>
      <c r="R670" s="0" t="n">
        <v>2401.84</v>
      </c>
      <c r="S670" s="0" t="n">
        <v>1873.11</v>
      </c>
      <c r="T670" s="6" t="n">
        <f aca="false">N670*O670*(1-Q670)</f>
        <v>2401.84</v>
      </c>
      <c r="U670" s="6" t="n">
        <f aca="false">T670-S670</f>
        <v>528.73</v>
      </c>
      <c r="V670" s="7" t="n">
        <f aca="false">IF(T670=0,0,U670/T670)</f>
        <v>0.22013539619625</v>
      </c>
      <c r="W670" s="4" t="n">
        <f aca="false">C670-B670</f>
        <v>2</v>
      </c>
      <c r="X670" s="0" t="str">
        <f aca="false">TEXT(B670,"mmmm")</f>
        <v>November</v>
      </c>
      <c r="Y670" s="4" t="n">
        <f aca="false">YEAR(B670)</f>
        <v>2024</v>
      </c>
      <c r="Z670" s="0" t="str">
        <f aca="false">PROPER(TRIM(AU670))</f>
        <v>Paid</v>
      </c>
      <c r="AA670" s="0" t="str">
        <f aca="false">PROPER(TRIM(AV670))</f>
        <v>Completed</v>
      </c>
      <c r="AB670" s="0" t="str">
        <f aca="false">IF(TRIM(AN670)="","Yes","No")</f>
        <v>No</v>
      </c>
      <c r="AC670" s="0" t="str">
        <f aca="false">IF(TRIM(AS670)="","Yes","No")</f>
        <v>No</v>
      </c>
      <c r="AD670" s="0" t="str">
        <f aca="false">IF(AT670="","Yes","No")</f>
        <v>No</v>
      </c>
      <c r="AE670" s="0" t="str">
        <f aca="false">IF(W670&lt;0,"Yes","No")</f>
        <v>No</v>
      </c>
      <c r="AF670" s="0" t="str">
        <f aca="false">IF(P670="","No",IF(OR(P670&lt;0,P670&gt;0.3),"Yes","No"))</f>
        <v>No</v>
      </c>
      <c r="AG670" s="4" t="s">
        <v>50</v>
      </c>
      <c r="AH670" s="0" t="str">
        <f aca="false">IF(AND(AA670="Completed",Z670="Paid"),"Yes","No")</f>
        <v>Yes</v>
      </c>
      <c r="AI670" s="0" t="str">
        <f aca="false">IF(OR(AE670="Yes",AF670="Yes",AG670="Yes"),"Invalid",IF(OR(AB670="Yes",AC670="Yes",AD670="Yes"),"Warning","Clean"))</f>
        <v>Clean</v>
      </c>
      <c r="AJ670" s="4" t="s">
        <v>2541</v>
      </c>
      <c r="AK670" s="4" t="s">
        <v>226</v>
      </c>
      <c r="AL670" s="4" t="s">
        <v>67</v>
      </c>
      <c r="AM670" s="4" t="s">
        <v>128</v>
      </c>
      <c r="AN670" s="4" t="s">
        <v>97</v>
      </c>
      <c r="AO670" s="4" t="s">
        <v>238</v>
      </c>
      <c r="AP670" s="4" t="s">
        <v>239</v>
      </c>
      <c r="AQ670" s="4" t="s">
        <v>58</v>
      </c>
      <c r="AR670" s="4" t="s">
        <v>59</v>
      </c>
      <c r="AS670" s="4" t="s">
        <v>60</v>
      </c>
      <c r="AT670" s="0" t="n">
        <v>0.2</v>
      </c>
      <c r="AU670" s="4" t="s">
        <v>61</v>
      </c>
      <c r="AV670" s="4" t="s">
        <v>62</v>
      </c>
    </row>
    <row r="671" customFormat="false" ht="15" hidden="false" customHeight="false" outlineLevel="0" collapsed="false">
      <c r="A671" s="0" t="s">
        <v>2542</v>
      </c>
      <c r="B671" s="3" t="n">
        <f aca="false">IF(AJ671="","",IF(ISNUMBER(SEARCH("/",AJ671)),DATE(VALUE(RIGHT(AJ671,4)),VALUE(LEFT(AJ671,2)),VALUE(MID(AJ671,4,2))),IF(ISNUMBER(SEARCH("-",AJ671)),IF(LEN(LEFT(AJ671,FIND("-",AJ671)-1))=4,DATE(VALUE(LEFT(AJ671,4)),VALUE(MID(AJ671,6,2)),VALUE(RIGHT(AJ671,2))),DATE(VALUE(RIGHT(AJ671,4)),VALUE(MID(AJ671,4,2)),VALUE(LEFT(AJ671,2)))),DATE(VALUE(RIGHT(AJ671,4)),MATCH(MID(AJ671,4,3),{"Jan","Feb","Mar","Apr","May","Jun","Jul","Aug","Sep","Oct","Nov","Dec"},0),VALUE(LEFT(AJ671,2))))))</f>
        <v>45375</v>
      </c>
      <c r="C671" s="3" t="n">
        <f aca="false">IF(AK671="","",IF(ISNUMBER(SEARCH("/",AK671)),DATE(VALUE(RIGHT(AK671,4)),VALUE(LEFT(AK671,2)),VALUE(MID(AK671,4,2))),IF(ISNUMBER(SEARCH("-",AK671)),IF(LEN(LEFT(AK671,FIND("-",AK671)-1))=4,DATE(VALUE(LEFT(AK671,4)),VALUE(MID(AK671,6,2)),VALUE(RIGHT(AK671,2))),DATE(VALUE(RIGHT(AK671,4)),VALUE(MID(AK671,4,2)),VALUE(LEFT(AK671,2)))),DATE(VALUE(RIGHT(AK671,4)),MATCH(MID(AK671,4,3),{"Jan","Feb","Mar","Apr","May","Jun","Jul","Aug","Sep","Oct","Nov","Dec"},0),VALUE(LEFT(AK671,2))))))</f>
        <v>45383</v>
      </c>
      <c r="D671" s="4" t="s">
        <v>2543</v>
      </c>
      <c r="E671" s="0" t="str">
        <f aca="false">PROPER(TRIM(AL671))</f>
        <v>Ananya Rao</v>
      </c>
      <c r="F671" s="0" t="str">
        <f aca="false">PROPER(TRIM(AM671))</f>
        <v>Home Office</v>
      </c>
      <c r="G671" s="0" t="str">
        <f aca="false">IF(TRIM(AN671)="","Unknown",PROPER(TRIM(AN671)))</f>
        <v>West</v>
      </c>
      <c r="H671" s="0" t="str">
        <f aca="false">PROPER(TRIM(AO671))</f>
        <v>Maharashtra</v>
      </c>
      <c r="I671" s="0" t="str">
        <f aca="false">PROPER(TRIM(AP671))</f>
        <v>Mumbai</v>
      </c>
      <c r="J671" s="0" t="str">
        <f aca="false">PROPER(TRIM(AQ671))</f>
        <v>Furniture</v>
      </c>
      <c r="K671" s="0" t="str">
        <f aca="false">PROPER(TRIM(AR671))</f>
        <v>Tables</v>
      </c>
      <c r="M671" s="0" t="str">
        <f aca="false">IF(TRIM(AS671)="","Unknown",PROPER(TRIM(AS671)))</f>
        <v>Second Class</v>
      </c>
      <c r="N671" s="0" t="n">
        <v>4</v>
      </c>
      <c r="O671" s="0" t="n">
        <v>1700.72</v>
      </c>
      <c r="P671" s="5" t="n">
        <f aca="false">IF(AT671="","",IF(ISNUMBER(AT671),AT671,VALUE(SUBSTITUTE(AT671,"%",""))/100))</f>
        <v>0.25</v>
      </c>
      <c r="Q671" s="5" t="n">
        <f aca="false">IF(P671="",IF(AND(N671&lt;&gt;"",O671&lt;&gt;"",R671&lt;&gt;"",S671&lt;&gt;""),0,"REVIEW"),IF(OR(P671&lt;0,P671&gt;0.3),0,P671))</f>
        <v>0.25</v>
      </c>
      <c r="R671" s="0" t="n">
        <v>5102.16</v>
      </c>
      <c r="S671" s="0" t="n">
        <v>3226.45</v>
      </c>
      <c r="T671" s="6" t="n">
        <f aca="false">N671*O671*(1-Q671)</f>
        <v>5102.16</v>
      </c>
      <c r="U671" s="6" t="n">
        <f aca="false">T671-S671</f>
        <v>1875.71</v>
      </c>
      <c r="V671" s="7" t="n">
        <f aca="false">IF(T671=0,0,U671/T671)</f>
        <v>0.367630572149835</v>
      </c>
      <c r="W671" s="4" t="n">
        <f aca="false">C671-B671</f>
        <v>8</v>
      </c>
      <c r="X671" s="0" t="str">
        <f aca="false">TEXT(B671,"mmmm")</f>
        <v>March</v>
      </c>
      <c r="Y671" s="4" t="n">
        <f aca="false">YEAR(B671)</f>
        <v>2024</v>
      </c>
      <c r="Z671" s="0" t="str">
        <f aca="false">PROPER(TRIM(AU671))</f>
        <v>Paid</v>
      </c>
      <c r="AA671" s="0" t="str">
        <f aca="false">PROPER(TRIM(AV671))</f>
        <v>Completed</v>
      </c>
      <c r="AB671" s="0" t="str">
        <f aca="false">IF(TRIM(AN671)="","Yes","No")</f>
        <v>No</v>
      </c>
      <c r="AC671" s="0" t="str">
        <f aca="false">IF(TRIM(AS671)="","Yes","No")</f>
        <v>No</v>
      </c>
      <c r="AD671" s="0" t="str">
        <f aca="false">IF(AT671="","Yes","No")</f>
        <v>No</v>
      </c>
      <c r="AE671" s="0" t="str">
        <f aca="false">IF(W671&lt;0,"Yes","No")</f>
        <v>No</v>
      </c>
      <c r="AF671" s="0" t="str">
        <f aca="false">IF(P671="","No",IF(OR(P671&lt;0,P671&gt;0.3),"Yes","No"))</f>
        <v>No</v>
      </c>
      <c r="AG671" s="4" t="s">
        <v>50</v>
      </c>
      <c r="AH671" s="0" t="str">
        <f aca="false">IF(AND(AA671="Completed",Z671="Paid"),"Yes","No")</f>
        <v>Yes</v>
      </c>
      <c r="AI671" s="0" t="str">
        <f aca="false">IF(OR(AE671="Yes",AF671="Yes",AG671="Yes"),"Invalid",IF(OR(AB671="Yes",AC671="Yes",AD671="Yes"),"Warning","Clean"))</f>
        <v>Clean</v>
      </c>
      <c r="AJ671" s="4" t="s">
        <v>2544</v>
      </c>
      <c r="AK671" s="4" t="s">
        <v>2545</v>
      </c>
      <c r="AL671" s="4" t="s">
        <v>96</v>
      </c>
      <c r="AM671" s="4" t="s">
        <v>134</v>
      </c>
      <c r="AN671" s="4" t="s">
        <v>97</v>
      </c>
      <c r="AO671" s="4" t="s">
        <v>98</v>
      </c>
      <c r="AP671" s="4" t="s">
        <v>99</v>
      </c>
      <c r="AQ671" s="4" t="s">
        <v>72</v>
      </c>
      <c r="AR671" s="4" t="s">
        <v>73</v>
      </c>
      <c r="AS671" s="4" t="s">
        <v>60</v>
      </c>
      <c r="AT671" s="0" t="n">
        <v>0.25</v>
      </c>
      <c r="AU671" s="4" t="s">
        <v>61</v>
      </c>
      <c r="AV671" s="4" t="s">
        <v>62</v>
      </c>
    </row>
    <row r="672" customFormat="false" ht="15" hidden="false" customHeight="false" outlineLevel="0" collapsed="false">
      <c r="A672" s="0" t="s">
        <v>2546</v>
      </c>
      <c r="B672" s="3" t="n">
        <f aca="false">IF(AJ672="","",IF(ISNUMBER(SEARCH("/",AJ672)),DATE(VALUE(RIGHT(AJ672,4)),VALUE(LEFT(AJ672,2)),VALUE(MID(AJ672,4,2))),IF(ISNUMBER(SEARCH("-",AJ672)),IF(LEN(LEFT(AJ672,FIND("-",AJ672)-1))=4,DATE(VALUE(LEFT(AJ672,4)),VALUE(MID(AJ672,6,2)),VALUE(RIGHT(AJ672,2))),DATE(VALUE(RIGHT(AJ672,4)),VALUE(MID(AJ672,4,2)),VALUE(LEFT(AJ672,2)))),DATE(VALUE(RIGHT(AJ672,4)),MATCH(MID(AJ672,4,3),{"Jan","Feb","Mar","Apr","May","Jun","Jul","Aug","Sep","Oct","Nov","Dec"},0),VALUE(LEFT(AJ672,2))))))</f>
        <v>45690</v>
      </c>
      <c r="C672" s="3" t="n">
        <f aca="false">IF(AK672="","",IF(ISNUMBER(SEARCH("/",AK672)),DATE(VALUE(RIGHT(AK672,4)),VALUE(LEFT(AK672,2)),VALUE(MID(AK672,4,2))),IF(ISNUMBER(SEARCH("-",AK672)),IF(LEN(LEFT(AK672,FIND("-",AK672)-1))=4,DATE(VALUE(LEFT(AK672,4)),VALUE(MID(AK672,6,2)),VALUE(RIGHT(AK672,2))),DATE(VALUE(RIGHT(AK672,4)),VALUE(MID(AK672,4,2)),VALUE(LEFT(AK672,2)))),DATE(VALUE(RIGHT(AK672,4)),MATCH(MID(AK672,4,3),{"Jan","Feb","Mar","Apr","May","Jun","Jul","Aug","Sep","Oct","Nov","Dec"},0),VALUE(LEFT(AK672,2))))))</f>
        <v>45694</v>
      </c>
      <c r="D672" s="4" t="s">
        <v>1983</v>
      </c>
      <c r="E672" s="0" t="str">
        <f aca="false">PROPER(TRIM(AL672))</f>
        <v>Sneha Kapoor</v>
      </c>
      <c r="F672" s="0" t="str">
        <f aca="false">PROPER(TRIM(AM672))</f>
        <v>Corporate</v>
      </c>
      <c r="G672" s="0" t="str">
        <f aca="false">IF(TRIM(AN672)="","Unknown",PROPER(TRIM(AN672)))</f>
        <v>North</v>
      </c>
      <c r="H672" s="0" t="str">
        <f aca="false">PROPER(TRIM(AO672))</f>
        <v>Uttar Pradesh</v>
      </c>
      <c r="I672" s="0" t="str">
        <f aca="false">PROPER(TRIM(AP672))</f>
        <v>Noida</v>
      </c>
      <c r="J672" s="0" t="str">
        <f aca="false">PROPER(TRIM(AQ672))</f>
        <v>Furniture</v>
      </c>
      <c r="K672" s="0" t="str">
        <f aca="false">PROPER(TRIM(AR672))</f>
        <v>Tables</v>
      </c>
      <c r="M672" s="0" t="str">
        <f aca="false">IF(TRIM(AS672)="","Unknown",PROPER(TRIM(AS672)))</f>
        <v>Standard Class</v>
      </c>
      <c r="N672" s="0" t="n">
        <v>8</v>
      </c>
      <c r="O672" s="0" t="n">
        <v>857.86</v>
      </c>
      <c r="P672" s="5" t="n">
        <f aca="false">IF(AT672="","",IF(ISNUMBER(AT672),AT672,VALUE(SUBSTITUTE(AT672,"%",""))/100))</f>
        <v>0.1</v>
      </c>
      <c r="Q672" s="5" t="n">
        <f aca="false">IF(P672="",IF(AND(N672&lt;&gt;"",O672&lt;&gt;"",R672&lt;&gt;"",S672&lt;&gt;""),0,"REVIEW"),IF(OR(P672&lt;0,P672&gt;0.3),0,P672))</f>
        <v>0.1</v>
      </c>
      <c r="R672" s="0" t="n">
        <v>6176.59</v>
      </c>
      <c r="S672" s="0" t="n">
        <v>3560.96</v>
      </c>
      <c r="T672" s="6" t="n">
        <f aca="false">N672*O672*(1-Q672)</f>
        <v>6176.592</v>
      </c>
      <c r="U672" s="6" t="n">
        <f aca="false">T672-S672</f>
        <v>2615.632</v>
      </c>
      <c r="V672" s="7" t="n">
        <f aca="false">IF(T672=0,0,U672/T672)</f>
        <v>0.423474951882851</v>
      </c>
      <c r="W672" s="4" t="n">
        <f aca="false">C672-B672</f>
        <v>4</v>
      </c>
      <c r="X672" s="0" t="str">
        <f aca="false">TEXT(B672,"mmmm")</f>
        <v>February</v>
      </c>
      <c r="Y672" s="4" t="n">
        <f aca="false">YEAR(B672)</f>
        <v>2025</v>
      </c>
      <c r="Z672" s="0" t="str">
        <f aca="false">PROPER(TRIM(AU672))</f>
        <v>Paid</v>
      </c>
      <c r="AA672" s="0" t="str">
        <f aca="false">PROPER(TRIM(AV672))</f>
        <v>Completed</v>
      </c>
      <c r="AB672" s="0" t="str">
        <f aca="false">IF(TRIM(AN672)="","Yes","No")</f>
        <v>No</v>
      </c>
      <c r="AC672" s="0" t="str">
        <f aca="false">IF(TRIM(AS672)="","Yes","No")</f>
        <v>No</v>
      </c>
      <c r="AD672" s="0" t="str">
        <f aca="false">IF(AT672="","Yes","No")</f>
        <v>No</v>
      </c>
      <c r="AE672" s="0" t="str">
        <f aca="false">IF(W672&lt;0,"Yes","No")</f>
        <v>No</v>
      </c>
      <c r="AF672" s="0" t="str">
        <f aca="false">IF(P672="","No",IF(OR(P672&lt;0,P672&gt;0.3),"Yes","No"))</f>
        <v>No</v>
      </c>
      <c r="AG672" s="4" t="s">
        <v>50</v>
      </c>
      <c r="AH672" s="0" t="str">
        <f aca="false">IF(AND(AA672="Completed",Z672="Paid"),"Yes","No")</f>
        <v>Yes</v>
      </c>
      <c r="AI672" s="0" t="str">
        <f aca="false">IF(OR(AE672="Yes",AF672="Yes",AG672="Yes"),"Invalid",IF(OR(AB672="Yes",AC672="Yes",AD672="Yes"),"Warning","Clean"))</f>
        <v>Clean</v>
      </c>
      <c r="AJ672" s="4" t="s">
        <v>2547</v>
      </c>
      <c r="AK672" s="4" t="s">
        <v>2392</v>
      </c>
      <c r="AL672" s="4" t="s">
        <v>181</v>
      </c>
      <c r="AM672" s="4" t="s">
        <v>151</v>
      </c>
      <c r="AN672" s="4" t="s">
        <v>168</v>
      </c>
      <c r="AO672" s="4" t="s">
        <v>186</v>
      </c>
      <c r="AP672" s="4" t="s">
        <v>187</v>
      </c>
      <c r="AQ672" s="4" t="s">
        <v>72</v>
      </c>
      <c r="AR672" s="4" t="s">
        <v>73</v>
      </c>
      <c r="AS672" s="4" t="s">
        <v>91</v>
      </c>
      <c r="AT672" s="0" t="n">
        <v>0.1</v>
      </c>
      <c r="AU672" s="4" t="s">
        <v>61</v>
      </c>
      <c r="AV672" s="4" t="s">
        <v>62</v>
      </c>
    </row>
    <row r="673" customFormat="false" ht="15" hidden="false" customHeight="false" outlineLevel="0" collapsed="false">
      <c r="A673" s="0" t="s">
        <v>2548</v>
      </c>
      <c r="B673" s="3" t="n">
        <f aca="false">IF(AJ673="","",IF(ISNUMBER(SEARCH("/",AJ673)),DATE(VALUE(RIGHT(AJ673,4)),VALUE(LEFT(AJ673,2)),VALUE(MID(AJ673,4,2))),IF(ISNUMBER(SEARCH("-",AJ673)),IF(LEN(LEFT(AJ673,FIND("-",AJ673)-1))=4,DATE(VALUE(LEFT(AJ673,4)),VALUE(MID(AJ673,6,2)),VALUE(RIGHT(AJ673,2))),DATE(VALUE(RIGHT(AJ673,4)),VALUE(MID(AJ673,4,2)),VALUE(LEFT(AJ673,2)))),DATE(VALUE(RIGHT(AJ673,4)),MATCH(MID(AJ673,4,3),{"Jan","Feb","Mar","Apr","May","Jun","Jul","Aug","Sep","Oct","Nov","Dec"},0),VALUE(LEFT(AJ673,2))))))</f>
        <v>45373</v>
      </c>
      <c r="C673" s="3" t="n">
        <f aca="false">IF(AK673="","",IF(ISNUMBER(SEARCH("/",AK673)),DATE(VALUE(RIGHT(AK673,4)),VALUE(LEFT(AK673,2)),VALUE(MID(AK673,4,2))),IF(ISNUMBER(SEARCH("-",AK673)),IF(LEN(LEFT(AK673,FIND("-",AK673)-1))=4,DATE(VALUE(LEFT(AK673,4)),VALUE(MID(AK673,6,2)),VALUE(RIGHT(AK673,2))),DATE(VALUE(RIGHT(AK673,4)),VALUE(MID(AK673,4,2)),VALUE(LEFT(AK673,2)))),DATE(VALUE(RIGHT(AK673,4)),MATCH(MID(AK673,4,3),{"Jan","Feb","Mar","Apr","May","Jun","Jul","Aug","Sep","Oct","Nov","Dec"},0),VALUE(LEFT(AK673,2))))))</f>
        <v>45378</v>
      </c>
      <c r="D673" s="4" t="s">
        <v>2549</v>
      </c>
      <c r="E673" s="0" t="str">
        <f aca="false">PROPER(TRIM(AL673))</f>
        <v>Aditi Sen</v>
      </c>
      <c r="F673" s="0" t="str">
        <f aca="false">PROPER(TRIM(AM673))</f>
        <v>Home Office</v>
      </c>
      <c r="G673" s="0" t="str">
        <f aca="false">IF(TRIM(AN673)="","Unknown",PROPER(TRIM(AN673)))</f>
        <v>West</v>
      </c>
      <c r="H673" s="0" t="str">
        <f aca="false">PROPER(TRIM(AO673))</f>
        <v>Goa</v>
      </c>
      <c r="I673" s="0" t="str">
        <f aca="false">PROPER(TRIM(AP673))</f>
        <v>Panaji</v>
      </c>
      <c r="J673" s="0" t="str">
        <f aca="false">PROPER(TRIM(AQ673))</f>
        <v>Technology</v>
      </c>
      <c r="K673" s="0" t="str">
        <f aca="false">PROPER(TRIM(AR673))</f>
        <v>Copiers</v>
      </c>
      <c r="M673" s="0" t="str">
        <f aca="false">IF(TRIM(AS673)="","Unknown",PROPER(TRIM(AS673)))</f>
        <v>Second Class</v>
      </c>
      <c r="N673" s="0" t="n">
        <v>9</v>
      </c>
      <c r="O673" s="0" t="n">
        <v>3649.51</v>
      </c>
      <c r="P673" s="5" t="n">
        <f aca="false">IF(AT673="","",IF(ISNUMBER(AT673),AT673,VALUE(SUBSTITUTE(AT673,"%",""))/100))</f>
        <v>0.05</v>
      </c>
      <c r="Q673" s="5" t="n">
        <f aca="false">IF(P673="",IF(AND(N673&lt;&gt;"",O673&lt;&gt;"",R673&lt;&gt;"",S673&lt;&gt;""),0,"REVIEW"),IF(OR(P673&lt;0,P673&gt;0.3),0,P673))</f>
        <v>0.05</v>
      </c>
      <c r="R673" s="0" t="n">
        <v>31203.31</v>
      </c>
      <c r="S673" s="0" t="n">
        <v>17738.13</v>
      </c>
      <c r="T673" s="6" t="n">
        <f aca="false">N673*O673*(1-Q673)</f>
        <v>31203.3105</v>
      </c>
      <c r="U673" s="6" t="n">
        <f aca="false">T673-S673</f>
        <v>13465.1805</v>
      </c>
      <c r="V673" s="7" t="n">
        <f aca="false">IF(T673=0,0,U673/T673)</f>
        <v>0.431530510200192</v>
      </c>
      <c r="W673" s="4" t="n">
        <f aca="false">C673-B673</f>
        <v>5</v>
      </c>
      <c r="X673" s="0" t="str">
        <f aca="false">TEXT(B673,"mmmm")</f>
        <v>March</v>
      </c>
      <c r="Y673" s="4" t="n">
        <f aca="false">YEAR(B673)</f>
        <v>2024</v>
      </c>
      <c r="Z673" s="0" t="str">
        <f aca="false">PROPER(TRIM(AU673))</f>
        <v>Paid</v>
      </c>
      <c r="AA673" s="0" t="str">
        <f aca="false">PROPER(TRIM(AV673))</f>
        <v>Completed</v>
      </c>
      <c r="AB673" s="0" t="str">
        <f aca="false">IF(TRIM(AN673)="","Yes","No")</f>
        <v>No</v>
      </c>
      <c r="AC673" s="0" t="str">
        <f aca="false">IF(TRIM(AS673)="","Yes","No")</f>
        <v>No</v>
      </c>
      <c r="AD673" s="0" t="str">
        <f aca="false">IF(AT673="","Yes","No")</f>
        <v>No</v>
      </c>
      <c r="AE673" s="0" t="str">
        <f aca="false">IF(W673&lt;0,"Yes","No")</f>
        <v>No</v>
      </c>
      <c r="AF673" s="0" t="str">
        <f aca="false">IF(P673="","No",IF(OR(P673&lt;0,P673&gt;0.3),"Yes","No"))</f>
        <v>No</v>
      </c>
      <c r="AG673" s="4" t="s">
        <v>50</v>
      </c>
      <c r="AH673" s="0" t="str">
        <f aca="false">IF(AND(AA673="Completed",Z673="Paid"),"Yes","No")</f>
        <v>Yes</v>
      </c>
      <c r="AI673" s="0" t="str">
        <f aca="false">IF(OR(AE673="Yes",AF673="Yes",AG673="Yes"),"Invalid",IF(OR(AB673="Yes",AC673="Yes",AD673="Yes"),"Warning","Clean"))</f>
        <v>Clean</v>
      </c>
      <c r="AJ673" s="4" t="s">
        <v>2550</v>
      </c>
      <c r="AK673" s="4" t="s">
        <v>2551</v>
      </c>
      <c r="AL673" s="4" t="s">
        <v>127</v>
      </c>
      <c r="AM673" s="4" t="s">
        <v>134</v>
      </c>
      <c r="AN673" s="4" t="s">
        <v>97</v>
      </c>
      <c r="AO673" s="4" t="s">
        <v>250</v>
      </c>
      <c r="AP673" s="4" t="s">
        <v>251</v>
      </c>
      <c r="AQ673" s="4" t="s">
        <v>109</v>
      </c>
      <c r="AR673" s="4" t="s">
        <v>2552</v>
      </c>
      <c r="AS673" s="4" t="s">
        <v>60</v>
      </c>
      <c r="AT673" s="0" t="n">
        <v>0.05</v>
      </c>
      <c r="AU673" s="4" t="s">
        <v>61</v>
      </c>
      <c r="AV673" s="4" t="s">
        <v>62</v>
      </c>
    </row>
    <row r="674" customFormat="false" ht="15" hidden="false" customHeight="false" outlineLevel="0" collapsed="false">
      <c r="A674" s="0" t="s">
        <v>2553</v>
      </c>
      <c r="B674" s="3" t="n">
        <f aca="false">IF(AJ674="","",IF(ISNUMBER(SEARCH("/",AJ674)),DATE(VALUE(RIGHT(AJ674,4)),VALUE(LEFT(AJ674,2)),VALUE(MID(AJ674,4,2))),IF(ISNUMBER(SEARCH("-",AJ674)),IF(LEN(LEFT(AJ674,FIND("-",AJ674)-1))=4,DATE(VALUE(LEFT(AJ674,4)),VALUE(MID(AJ674,6,2)),VALUE(RIGHT(AJ674,2))),DATE(VALUE(RIGHT(AJ674,4)),VALUE(MID(AJ674,4,2)),VALUE(LEFT(AJ674,2)))),DATE(VALUE(RIGHT(AJ674,4)),MATCH(MID(AJ674,4,3),{"Jan","Feb","Mar","Apr","May","Jun","Jul","Aug","Sep","Oct","Nov","Dec"},0),VALUE(LEFT(AJ674,2))))))</f>
        <v>45539</v>
      </c>
      <c r="C674" s="3" t="n">
        <f aca="false">IF(AK674="","",IF(ISNUMBER(SEARCH("/",AK674)),DATE(VALUE(RIGHT(AK674,4)),VALUE(LEFT(AK674,2)),VALUE(MID(AK674,4,2))),IF(ISNUMBER(SEARCH("-",AK674)),IF(LEN(LEFT(AK674,FIND("-",AK674)-1))=4,DATE(VALUE(LEFT(AK674,4)),VALUE(MID(AK674,6,2)),VALUE(RIGHT(AK674,2))),DATE(VALUE(RIGHT(AK674,4)),VALUE(MID(AK674,4,2)),VALUE(LEFT(AK674,2)))),DATE(VALUE(RIGHT(AK674,4)),MATCH(MID(AK674,4,3),{"Jan","Feb","Mar","Apr","May","Jun","Jul","Aug","Sep","Oct","Nov","Dec"},0),VALUE(LEFT(AK674,2))))))</f>
        <v>45540</v>
      </c>
      <c r="D674" s="4" t="s">
        <v>2554</v>
      </c>
      <c r="E674" s="0" t="str">
        <f aca="false">PROPER(TRIM(AL674))</f>
        <v>Aditi Sen</v>
      </c>
      <c r="F674" s="0" t="str">
        <f aca="false">PROPER(TRIM(AM674))</f>
        <v>Corporate</v>
      </c>
      <c r="G674" s="0" t="str">
        <f aca="false">IF(TRIM(AN674)="","Unknown",PROPER(TRIM(AN674)))</f>
        <v>West</v>
      </c>
      <c r="H674" s="0" t="str">
        <f aca="false">PROPER(TRIM(AO674))</f>
        <v>Madhya Pradesh</v>
      </c>
      <c r="I674" s="0" t="str">
        <f aca="false">PROPER(TRIM(AP674))</f>
        <v>Indore</v>
      </c>
      <c r="J674" s="0" t="str">
        <f aca="false">PROPER(TRIM(AQ674))</f>
        <v>Furniture</v>
      </c>
      <c r="K674" s="0" t="str">
        <f aca="false">PROPER(TRIM(AR674))</f>
        <v>Chairs</v>
      </c>
      <c r="M674" s="0" t="str">
        <f aca="false">IF(TRIM(AS674)="","Unknown",PROPER(TRIM(AS674)))</f>
        <v>Standard Class</v>
      </c>
      <c r="N674" s="0" t="n">
        <v>5</v>
      </c>
      <c r="O674" s="0" t="n">
        <v>2528.53</v>
      </c>
      <c r="P674" s="5" t="n">
        <f aca="false">IF(AT674="","",IF(ISNUMBER(AT674),AT674,VALUE(SUBSTITUTE(AT674,"%",""))/100))</f>
        <v>0.05</v>
      </c>
      <c r="Q674" s="5" t="n">
        <f aca="false">IF(P674="",IF(AND(N674&lt;&gt;"",O674&lt;&gt;"",R674&lt;&gt;"",S674&lt;&gt;""),0,"REVIEW"),IF(OR(P674&lt;0,P674&gt;0.3),0,P674))</f>
        <v>0.05</v>
      </c>
      <c r="R674" s="0" t="n">
        <v>12010.52</v>
      </c>
      <c r="S674" s="0" t="n">
        <v>7864.61</v>
      </c>
      <c r="T674" s="6" t="n">
        <f aca="false">N674*O674*(1-Q674)</f>
        <v>12010.5175</v>
      </c>
      <c r="U674" s="6" t="n">
        <f aca="false">T674-S674</f>
        <v>4145.9075</v>
      </c>
      <c r="V674" s="7" t="n">
        <f aca="false">IF(T674=0,0,U674/T674)</f>
        <v>0.34518974723612</v>
      </c>
      <c r="W674" s="4" t="n">
        <f aca="false">C674-B674</f>
        <v>1</v>
      </c>
      <c r="X674" s="0" t="str">
        <f aca="false">TEXT(B674,"mmmm")</f>
        <v>September</v>
      </c>
      <c r="Y674" s="4" t="n">
        <f aca="false">YEAR(B674)</f>
        <v>2024</v>
      </c>
      <c r="Z674" s="0" t="str">
        <f aca="false">PROPER(TRIM(AU674))</f>
        <v>Paid</v>
      </c>
      <c r="AA674" s="0" t="str">
        <f aca="false">PROPER(TRIM(AV674))</f>
        <v>Returned</v>
      </c>
      <c r="AB674" s="0" t="str">
        <f aca="false">IF(TRIM(AN674)="","Yes","No")</f>
        <v>No</v>
      </c>
      <c r="AC674" s="0" t="str">
        <f aca="false">IF(TRIM(AS674)="","Yes","No")</f>
        <v>No</v>
      </c>
      <c r="AD674" s="0" t="str">
        <f aca="false">IF(AT674="","Yes","No")</f>
        <v>No</v>
      </c>
      <c r="AE674" s="0" t="str">
        <f aca="false">IF(W674&lt;0,"Yes","No")</f>
        <v>No</v>
      </c>
      <c r="AF674" s="0" t="str">
        <f aca="false">IF(P674="","No",IF(OR(P674&lt;0,P674&gt;0.3),"Yes","No"))</f>
        <v>No</v>
      </c>
      <c r="AG674" s="4" t="s">
        <v>50</v>
      </c>
      <c r="AH674" s="0" t="str">
        <f aca="false">IF(AND(AA674="Completed",Z674="Paid"),"Yes","No")</f>
        <v>No</v>
      </c>
      <c r="AI674" s="0" t="str">
        <f aca="false">IF(OR(AE674="Yes",AF674="Yes",AG674="Yes"),"Invalid",IF(OR(AB674="Yes",AC674="Yes",AD674="Yes"),"Warning","Clean"))</f>
        <v>Clean</v>
      </c>
      <c r="AJ674" s="4" t="s">
        <v>2555</v>
      </c>
      <c r="AK674" s="4" t="s">
        <v>2556</v>
      </c>
      <c r="AL674" s="4" t="s">
        <v>127</v>
      </c>
      <c r="AM674" s="4" t="s">
        <v>128</v>
      </c>
      <c r="AN674" s="4" t="s">
        <v>97</v>
      </c>
      <c r="AO674" s="4" t="s">
        <v>107</v>
      </c>
      <c r="AP674" s="4" t="s">
        <v>108</v>
      </c>
      <c r="AQ674" s="4" t="s">
        <v>72</v>
      </c>
      <c r="AR674" s="4" t="s">
        <v>100</v>
      </c>
      <c r="AS674" s="4" t="s">
        <v>91</v>
      </c>
      <c r="AT674" s="0" t="n">
        <v>0.05</v>
      </c>
      <c r="AU674" s="4" t="s">
        <v>61</v>
      </c>
      <c r="AV674" s="4" t="s">
        <v>142</v>
      </c>
    </row>
    <row r="675" customFormat="false" ht="15" hidden="false" customHeight="false" outlineLevel="0" collapsed="false">
      <c r="A675" s="0" t="s">
        <v>2557</v>
      </c>
      <c r="B675" s="3" t="n">
        <f aca="false">IF(AJ675="","",IF(ISNUMBER(SEARCH("/",AJ675)),DATE(VALUE(RIGHT(AJ675,4)),VALUE(LEFT(AJ675,2)),VALUE(MID(AJ675,4,2))),IF(ISNUMBER(SEARCH("-",AJ675)),IF(LEN(LEFT(AJ675,FIND("-",AJ675)-1))=4,DATE(VALUE(LEFT(AJ675,4)),VALUE(MID(AJ675,6,2)),VALUE(RIGHT(AJ675,2))),DATE(VALUE(RIGHT(AJ675,4)),VALUE(MID(AJ675,4,2)),VALUE(LEFT(AJ675,2)))),DATE(VALUE(RIGHT(AJ675,4)),MATCH(MID(AJ675,4,3),{"Jan","Feb","Mar","Apr","May","Jun","Jul","Aug","Sep","Oct","Nov","Dec"},0),VALUE(LEFT(AJ675,2))))))</f>
        <v>45701</v>
      </c>
      <c r="C675" s="3" t="n">
        <f aca="false">IF(AK675="","",IF(ISNUMBER(SEARCH("/",AK675)),DATE(VALUE(RIGHT(AK675,4)),VALUE(LEFT(AK675,2)),VALUE(MID(AK675,4,2))),IF(ISNUMBER(SEARCH("-",AK675)),IF(LEN(LEFT(AK675,FIND("-",AK675)-1))=4,DATE(VALUE(LEFT(AK675,4)),VALUE(MID(AK675,6,2)),VALUE(RIGHT(AK675,2))),DATE(VALUE(RIGHT(AK675,4)),VALUE(MID(AK675,4,2)),VALUE(LEFT(AK675,2)))),DATE(VALUE(RIGHT(AK675,4)),MATCH(MID(AK675,4,3),{"Jan","Feb","Mar","Apr","May","Jun","Jul","Aug","Sep","Oct","Nov","Dec"},0),VALUE(LEFT(AK675,2))))))</f>
        <v>45704</v>
      </c>
      <c r="D675" s="4" t="s">
        <v>2558</v>
      </c>
      <c r="E675" s="0" t="str">
        <f aca="false">PROPER(TRIM(AL675))</f>
        <v>Arjun Bose</v>
      </c>
      <c r="F675" s="0" t="str">
        <f aca="false">PROPER(TRIM(AM675))</f>
        <v>Small Business</v>
      </c>
      <c r="G675" s="0" t="str">
        <f aca="false">IF(TRIM(AN675)="","Unknown",PROPER(TRIM(AN675)))</f>
        <v>West</v>
      </c>
      <c r="H675" s="0" t="str">
        <f aca="false">PROPER(TRIM(AO675))</f>
        <v>Rajasthan</v>
      </c>
      <c r="I675" s="0" t="str">
        <f aca="false">PROPER(TRIM(AP675))</f>
        <v>Udaipur</v>
      </c>
      <c r="J675" s="0" t="str">
        <f aca="false">PROPER(TRIM(AQ675))</f>
        <v>Furniture</v>
      </c>
      <c r="K675" s="0" t="str">
        <f aca="false">PROPER(TRIM(AR675))</f>
        <v>Bookcases</v>
      </c>
      <c r="M675" s="0" t="str">
        <f aca="false">IF(TRIM(AS675)="","Unknown",PROPER(TRIM(AS675)))</f>
        <v>Second Class</v>
      </c>
      <c r="N675" s="0" t="n">
        <v>4</v>
      </c>
      <c r="O675" s="0" t="n">
        <v>4072.9</v>
      </c>
      <c r="P675" s="5" t="n">
        <f aca="false">IF(AT675="","",IF(ISNUMBER(AT675),AT675,VALUE(SUBSTITUTE(AT675,"%",""))/100))</f>
        <v>0.15</v>
      </c>
      <c r="Q675" s="5" t="n">
        <f aca="false">IF(P675="",IF(AND(N675&lt;&gt;"",O675&lt;&gt;"",R675&lt;&gt;"",S675&lt;&gt;""),0,"REVIEW"),IF(OR(P675&lt;0,P675&gt;0.3),0,P675))</f>
        <v>0.15</v>
      </c>
      <c r="R675" s="0" t="n">
        <v>13847.86</v>
      </c>
      <c r="S675" s="0" t="n">
        <v>8471.78</v>
      </c>
      <c r="T675" s="6" t="n">
        <f aca="false">N675*O675*(1-Q675)</f>
        <v>13847.86</v>
      </c>
      <c r="U675" s="6" t="n">
        <f aca="false">T675-S675</f>
        <v>5376.08</v>
      </c>
      <c r="V675" s="7" t="n">
        <f aca="false">IF(T675=0,0,U675/T675)</f>
        <v>0.388224606545705</v>
      </c>
      <c r="W675" s="4" t="n">
        <f aca="false">C675-B675</f>
        <v>3</v>
      </c>
      <c r="X675" s="0" t="str">
        <f aca="false">TEXT(B675,"mmmm")</f>
        <v>February</v>
      </c>
      <c r="Y675" s="4" t="n">
        <f aca="false">YEAR(B675)</f>
        <v>2025</v>
      </c>
      <c r="Z675" s="0" t="str">
        <f aca="false">PROPER(TRIM(AU675))</f>
        <v>Paid</v>
      </c>
      <c r="AA675" s="0" t="str">
        <f aca="false">PROPER(TRIM(AV675))</f>
        <v>Completed</v>
      </c>
      <c r="AB675" s="0" t="str">
        <f aca="false">IF(TRIM(AN675)="","Yes","No")</f>
        <v>No</v>
      </c>
      <c r="AC675" s="0" t="str">
        <f aca="false">IF(TRIM(AS675)="","Yes","No")</f>
        <v>No</v>
      </c>
      <c r="AD675" s="0" t="str">
        <f aca="false">IF(AT675="","Yes","No")</f>
        <v>No</v>
      </c>
      <c r="AE675" s="0" t="str">
        <f aca="false">IF(W675&lt;0,"Yes","No")</f>
        <v>No</v>
      </c>
      <c r="AF675" s="0" t="str">
        <f aca="false">IF(P675="","No",IF(OR(P675&lt;0,P675&gt;0.3),"Yes","No"))</f>
        <v>No</v>
      </c>
      <c r="AG675" s="4" t="s">
        <v>50</v>
      </c>
      <c r="AH675" s="0" t="str">
        <f aca="false">IF(AND(AA675="Completed",Z675="Paid"),"Yes","No")</f>
        <v>Yes</v>
      </c>
      <c r="AI675" s="0" t="str">
        <f aca="false">IF(OR(AE675="Yes",AF675="Yes",AG675="Yes"),"Invalid",IF(OR(AB675="Yes",AC675="Yes",AD675="Yes"),"Warning","Clean"))</f>
        <v>Clean</v>
      </c>
      <c r="AJ675" s="4" t="s">
        <v>1961</v>
      </c>
      <c r="AK675" s="4" t="s">
        <v>2559</v>
      </c>
      <c r="AL675" s="4" t="s">
        <v>86</v>
      </c>
      <c r="AM675" s="4" t="s">
        <v>68</v>
      </c>
      <c r="AN675" s="4" t="s">
        <v>97</v>
      </c>
      <c r="AO675" s="4" t="s">
        <v>56</v>
      </c>
      <c r="AP675" s="4" t="s">
        <v>152</v>
      </c>
      <c r="AQ675" s="4" t="s">
        <v>72</v>
      </c>
      <c r="AR675" s="4" t="s">
        <v>211</v>
      </c>
      <c r="AS675" s="4" t="s">
        <v>60</v>
      </c>
      <c r="AT675" s="0" t="n">
        <v>0.15</v>
      </c>
      <c r="AU675" s="4" t="s">
        <v>61</v>
      </c>
      <c r="AV675" s="4" t="s">
        <v>62</v>
      </c>
    </row>
    <row r="676" customFormat="false" ht="15" hidden="false" customHeight="false" outlineLevel="0" collapsed="false">
      <c r="A676" s="0" t="s">
        <v>2560</v>
      </c>
      <c r="B676" s="3" t="n">
        <f aca="false">IF(AJ676="","",IF(ISNUMBER(SEARCH("/",AJ676)),DATE(VALUE(RIGHT(AJ676,4)),VALUE(LEFT(AJ676,2)),VALUE(MID(AJ676,4,2))),IF(ISNUMBER(SEARCH("-",AJ676)),IF(LEN(LEFT(AJ676,FIND("-",AJ676)-1))=4,DATE(VALUE(LEFT(AJ676,4)),VALUE(MID(AJ676,6,2)),VALUE(RIGHT(AJ676,2))),DATE(VALUE(RIGHT(AJ676,4)),VALUE(MID(AJ676,4,2)),VALUE(LEFT(AJ676,2)))),DATE(VALUE(RIGHT(AJ676,4)),MATCH(MID(AJ676,4,3),{"Jan","Feb","Mar","Apr","May","Jun","Jul","Aug","Sep","Oct","Nov","Dec"},0),VALUE(LEFT(AJ676,2))))))</f>
        <v>45430</v>
      </c>
      <c r="C676" s="3" t="n">
        <f aca="false">IF(AK676="","",IF(ISNUMBER(SEARCH("/",AK676)),DATE(VALUE(RIGHT(AK676,4)),VALUE(LEFT(AK676,2)),VALUE(MID(AK676,4,2))),IF(ISNUMBER(SEARCH("-",AK676)),IF(LEN(LEFT(AK676,FIND("-",AK676)-1))=4,DATE(VALUE(LEFT(AK676,4)),VALUE(MID(AK676,6,2)),VALUE(RIGHT(AK676,2))),DATE(VALUE(RIGHT(AK676,4)),VALUE(MID(AK676,4,2)),VALUE(LEFT(AK676,2)))),DATE(VALUE(RIGHT(AK676,4)),MATCH(MID(AK676,4,3),{"Jan","Feb","Mar","Apr","May","Jun","Jul","Aug","Sep","Oct","Nov","Dec"},0),VALUE(LEFT(AK676,2))))))</f>
        <v>45433</v>
      </c>
      <c r="D676" s="4" t="s">
        <v>2561</v>
      </c>
      <c r="E676" s="0" t="str">
        <f aca="false">PROPER(TRIM(AL676))</f>
        <v>Vikram Iyer</v>
      </c>
      <c r="F676" s="0" t="str">
        <f aca="false">PROPER(TRIM(AM676))</f>
        <v>Corporate</v>
      </c>
      <c r="G676" s="0" t="str">
        <f aca="false">IF(TRIM(AN676)="","Unknown",PROPER(TRIM(AN676)))</f>
        <v>East</v>
      </c>
      <c r="H676" s="0" t="str">
        <f aca="false">PROPER(TRIM(AO676))</f>
        <v>Jharkhand</v>
      </c>
      <c r="I676" s="0" t="str">
        <f aca="false">PROPER(TRIM(AP676))</f>
        <v>Ranchi</v>
      </c>
      <c r="J676" s="0" t="str">
        <f aca="false">PROPER(TRIM(AQ676))</f>
        <v>Technology</v>
      </c>
      <c r="K676" s="0" t="str">
        <f aca="false">PROPER(TRIM(AR676))</f>
        <v>Accessories</v>
      </c>
      <c r="M676" s="0" t="str">
        <f aca="false">IF(TRIM(AS676)="","Unknown",PROPER(TRIM(AS676)))</f>
        <v>Second Class</v>
      </c>
      <c r="N676" s="0" t="n">
        <v>1</v>
      </c>
      <c r="O676" s="0" t="n">
        <v>1033.71</v>
      </c>
      <c r="P676" s="5" t="n">
        <f aca="false">IF(AT676="","",IF(ISNUMBER(AT676),AT676,VALUE(SUBSTITUTE(AT676,"%",""))/100))</f>
        <v>0</v>
      </c>
      <c r="Q676" s="5" t="n">
        <f aca="false">IF(P676="",IF(AND(N676&lt;&gt;"",O676&lt;&gt;"",R676&lt;&gt;"",S676&lt;&gt;""),0,"REVIEW"),IF(OR(P676&lt;0,P676&gt;0.3),0,P676))</f>
        <v>0</v>
      </c>
      <c r="R676" s="0" t="n">
        <v>1033.71</v>
      </c>
      <c r="S676" s="0" t="n">
        <v>630.82</v>
      </c>
      <c r="T676" s="6" t="n">
        <f aca="false">N676*O676*(1-Q676)</f>
        <v>1033.71</v>
      </c>
      <c r="U676" s="6" t="n">
        <f aca="false">T676-S676</f>
        <v>402.89</v>
      </c>
      <c r="V676" s="7" t="n">
        <f aca="false">IF(T676=0,0,U676/T676)</f>
        <v>0.389751477687166</v>
      </c>
      <c r="W676" s="4" t="n">
        <f aca="false">C676-B676</f>
        <v>3</v>
      </c>
      <c r="X676" s="0" t="str">
        <f aca="false">TEXT(B676,"mmmm")</f>
        <v>May</v>
      </c>
      <c r="Y676" s="4" t="n">
        <f aca="false">YEAR(B676)</f>
        <v>2024</v>
      </c>
      <c r="Z676" s="0" t="str">
        <f aca="false">PROPER(TRIM(AU676))</f>
        <v>Pending</v>
      </c>
      <c r="AA676" s="0" t="str">
        <f aca="false">PROPER(TRIM(AV676))</f>
        <v>Returned</v>
      </c>
      <c r="AB676" s="0" t="str">
        <f aca="false">IF(TRIM(AN676)="","Yes","No")</f>
        <v>No</v>
      </c>
      <c r="AC676" s="0" t="str">
        <f aca="false">IF(TRIM(AS676)="","Yes","No")</f>
        <v>No</v>
      </c>
      <c r="AD676" s="0" t="str">
        <f aca="false">IF(AT676="","Yes","No")</f>
        <v>No</v>
      </c>
      <c r="AE676" s="0" t="str">
        <f aca="false">IF(W676&lt;0,"Yes","No")</f>
        <v>No</v>
      </c>
      <c r="AF676" s="0" t="str">
        <f aca="false">IF(P676="","No",IF(OR(P676&lt;0,P676&gt;0.3),"Yes","No"))</f>
        <v>No</v>
      </c>
      <c r="AG676" s="4" t="s">
        <v>50</v>
      </c>
      <c r="AH676" s="0" t="str">
        <f aca="false">IF(AND(AA676="Completed",Z676="Paid"),"Yes","No")</f>
        <v>No</v>
      </c>
      <c r="AI676" s="0" t="str">
        <f aca="false">IF(OR(AE676="Yes",AF676="Yes",AG676="Yes"),"Invalid",IF(OR(AB676="Yes",AC676="Yes",AD676="Yes"),"Warning","Clean"))</f>
        <v>Clean</v>
      </c>
      <c r="AJ676" s="4" t="s">
        <v>2562</v>
      </c>
      <c r="AK676" s="4" t="s">
        <v>2563</v>
      </c>
      <c r="AL676" s="4" t="s">
        <v>106</v>
      </c>
      <c r="AM676" s="4" t="s">
        <v>128</v>
      </c>
      <c r="AN676" s="4" t="s">
        <v>69</v>
      </c>
      <c r="AO676" s="4" t="s">
        <v>300</v>
      </c>
      <c r="AP676" s="4" t="s">
        <v>301</v>
      </c>
      <c r="AQ676" s="4" t="s">
        <v>109</v>
      </c>
      <c r="AR676" s="4" t="s">
        <v>110</v>
      </c>
      <c r="AS676" s="4" t="s">
        <v>60</v>
      </c>
      <c r="AT676" s="0" t="n">
        <v>0</v>
      </c>
      <c r="AU676" s="4" t="s">
        <v>153</v>
      </c>
      <c r="AV676" s="4" t="s">
        <v>142</v>
      </c>
    </row>
    <row r="677" customFormat="false" ht="15" hidden="false" customHeight="false" outlineLevel="0" collapsed="false">
      <c r="A677" s="0" t="s">
        <v>2564</v>
      </c>
      <c r="B677" s="3" t="n">
        <f aca="false">IF(AJ677="","",IF(ISNUMBER(SEARCH("/",AJ677)),DATE(VALUE(RIGHT(AJ677,4)),VALUE(LEFT(AJ677,2)),VALUE(MID(AJ677,4,2))),IF(ISNUMBER(SEARCH("-",AJ677)),IF(LEN(LEFT(AJ677,FIND("-",AJ677)-1))=4,DATE(VALUE(LEFT(AJ677,4)),VALUE(MID(AJ677,6,2)),VALUE(RIGHT(AJ677,2))),DATE(VALUE(RIGHT(AJ677,4)),VALUE(MID(AJ677,4,2)),VALUE(LEFT(AJ677,2)))),DATE(VALUE(RIGHT(AJ677,4)),MATCH(MID(AJ677,4,3),{"Jan","Feb","Mar","Apr","May","Jun","Jul","Aug","Sep","Oct","Nov","Dec"},0),VALUE(LEFT(AJ677,2))))))</f>
        <v>45815</v>
      </c>
      <c r="C677" s="3" t="n">
        <f aca="false">IF(AK677="","",IF(ISNUMBER(SEARCH("/",AK677)),DATE(VALUE(RIGHT(AK677,4)),VALUE(LEFT(AK677,2)),VALUE(MID(AK677,4,2))),IF(ISNUMBER(SEARCH("-",AK677)),IF(LEN(LEFT(AK677,FIND("-",AK677)-1))=4,DATE(VALUE(LEFT(AK677,4)),VALUE(MID(AK677,6,2)),VALUE(RIGHT(AK677,2))),DATE(VALUE(RIGHT(AK677,4)),VALUE(MID(AK677,4,2)),VALUE(LEFT(AK677,2)))),DATE(VALUE(RIGHT(AK677,4)),MATCH(MID(AK677,4,3),{"Jan","Feb","Mar","Apr","May","Jun","Jul","Aug","Sep","Oct","Nov","Dec"},0),VALUE(LEFT(AK677,2))))))</f>
        <v>45818</v>
      </c>
      <c r="D677" s="4" t="s">
        <v>2449</v>
      </c>
      <c r="E677" s="0" t="str">
        <f aca="false">PROPER(TRIM(AL677))</f>
        <v>Aarav Sharma</v>
      </c>
      <c r="F677" s="0" t="str">
        <f aca="false">PROPER(TRIM(AM677))</f>
        <v>Consumer</v>
      </c>
      <c r="G677" s="0" t="str">
        <f aca="false">IF(TRIM(AN677)="","Unknown",PROPER(TRIM(AN677)))</f>
        <v>North</v>
      </c>
      <c r="H677" s="0" t="str">
        <f aca="false">PROPER(TRIM(AO677))</f>
        <v>Rajasthan</v>
      </c>
      <c r="I677" s="0" t="str">
        <f aca="false">PROPER(TRIM(AP677))</f>
        <v>Jaipur</v>
      </c>
      <c r="J677" s="0" t="str">
        <f aca="false">PROPER(TRIM(AQ677))</f>
        <v>Furniture</v>
      </c>
      <c r="K677" s="0" t="str">
        <f aca="false">PROPER(TRIM(AR677))</f>
        <v>Furnishings</v>
      </c>
      <c r="M677" s="0" t="str">
        <f aca="false">IF(TRIM(AS677)="","Unknown",PROPER(TRIM(AS677)))</f>
        <v>Same Day</v>
      </c>
      <c r="N677" s="0" t="n">
        <v>3</v>
      </c>
      <c r="O677" s="0" t="n">
        <v>963.26</v>
      </c>
      <c r="P677" s="5" t="n">
        <f aca="false">IF(AT677="","",IF(ISNUMBER(AT677),AT677,VALUE(SUBSTITUTE(AT677,"%",""))/100))</f>
        <v>0</v>
      </c>
      <c r="Q677" s="5" t="n">
        <f aca="false">IF(P677="",IF(AND(N677&lt;&gt;"",O677&lt;&gt;"",R677&lt;&gt;"",S677&lt;&gt;""),0,"REVIEW"),IF(OR(P677&lt;0,P677&gt;0.3),0,P677))</f>
        <v>0</v>
      </c>
      <c r="R677" s="0" t="n">
        <v>2889.78</v>
      </c>
      <c r="S677" s="0" t="n">
        <v>1811.23</v>
      </c>
      <c r="T677" s="6" t="n">
        <f aca="false">N677*O677*(1-Q677)</f>
        <v>2889.78</v>
      </c>
      <c r="U677" s="6" t="n">
        <f aca="false">T677-S677</f>
        <v>1078.55</v>
      </c>
      <c r="V677" s="7" t="n">
        <f aca="false">IF(T677=0,0,U677/T677)</f>
        <v>0.373229103945629</v>
      </c>
      <c r="W677" s="4" t="n">
        <f aca="false">C677-B677</f>
        <v>3</v>
      </c>
      <c r="X677" s="0" t="str">
        <f aca="false">TEXT(B677,"mmmm")</f>
        <v>June</v>
      </c>
      <c r="Y677" s="4" t="n">
        <f aca="false">YEAR(B677)</f>
        <v>2025</v>
      </c>
      <c r="Z677" s="0" t="str">
        <f aca="false">PROPER(TRIM(AU677))</f>
        <v>Paid</v>
      </c>
      <c r="AA677" s="0" t="str">
        <f aca="false">PROPER(TRIM(AV677))</f>
        <v>Completed</v>
      </c>
      <c r="AB677" s="0" t="str">
        <f aca="false">IF(TRIM(AN677)="","Yes","No")</f>
        <v>No</v>
      </c>
      <c r="AC677" s="0" t="str">
        <f aca="false">IF(TRIM(AS677)="","Yes","No")</f>
        <v>No</v>
      </c>
      <c r="AD677" s="0" t="str">
        <f aca="false">IF(AT677="","Yes","No")</f>
        <v>No</v>
      </c>
      <c r="AE677" s="0" t="str">
        <f aca="false">IF(W677&lt;0,"Yes","No")</f>
        <v>No</v>
      </c>
      <c r="AF677" s="0" t="str">
        <f aca="false">IF(P677="","No",IF(OR(P677&lt;0,P677&gt;0.3),"Yes","No"))</f>
        <v>No</v>
      </c>
      <c r="AG677" s="4" t="s">
        <v>50</v>
      </c>
      <c r="AH677" s="0" t="str">
        <f aca="false">IF(AND(AA677="Completed",Z677="Paid"),"Yes","No")</f>
        <v>Yes</v>
      </c>
      <c r="AI677" s="0" t="str">
        <f aca="false">IF(OR(AE677="Yes",AF677="Yes",AG677="Yes"),"Invalid",IF(OR(AB677="Yes",AC677="Yes",AD677="Yes"),"Warning","Clean"))</f>
        <v>Clean</v>
      </c>
      <c r="AJ677" s="4" t="s">
        <v>2565</v>
      </c>
      <c r="AK677" s="4" t="s">
        <v>2566</v>
      </c>
      <c r="AL677" s="4" t="s">
        <v>176</v>
      </c>
      <c r="AM677" s="4" t="s">
        <v>54</v>
      </c>
      <c r="AN677" s="4" t="s">
        <v>168</v>
      </c>
      <c r="AO677" s="4" t="s">
        <v>56</v>
      </c>
      <c r="AP677" s="4" t="s">
        <v>57</v>
      </c>
      <c r="AQ677" s="4" t="s">
        <v>72</v>
      </c>
      <c r="AR677" s="4" t="s">
        <v>90</v>
      </c>
      <c r="AS677" s="4" t="s">
        <v>74</v>
      </c>
      <c r="AT677" s="0" t="n">
        <v>0</v>
      </c>
      <c r="AU677" s="4" t="s">
        <v>61</v>
      </c>
      <c r="AV677" s="4" t="s">
        <v>62</v>
      </c>
    </row>
    <row r="678" customFormat="false" ht="15" hidden="false" customHeight="false" outlineLevel="0" collapsed="false">
      <c r="A678" s="0" t="s">
        <v>2567</v>
      </c>
      <c r="B678" s="3" t="n">
        <f aca="false">IF(AJ678="","",IF(ISNUMBER(SEARCH("/",AJ678)),DATE(VALUE(RIGHT(AJ678,4)),VALUE(LEFT(AJ678,2)),VALUE(MID(AJ678,4,2))),IF(ISNUMBER(SEARCH("-",AJ678)),IF(LEN(LEFT(AJ678,FIND("-",AJ678)-1))=4,DATE(VALUE(LEFT(AJ678,4)),VALUE(MID(AJ678,6,2)),VALUE(RIGHT(AJ678,2))),DATE(VALUE(RIGHT(AJ678,4)),VALUE(MID(AJ678,4,2)),VALUE(LEFT(AJ678,2)))),DATE(VALUE(RIGHT(AJ678,4)),MATCH(MID(AJ678,4,3),{"Jan","Feb","Mar","Apr","May","Jun","Jul","Aug","Sep","Oct","Nov","Dec"},0),VALUE(LEFT(AJ678,2))))))</f>
        <v>45911</v>
      </c>
      <c r="C678" s="3" t="n">
        <f aca="false">IF(AK678="","",IF(ISNUMBER(SEARCH("/",AK678)),DATE(VALUE(RIGHT(AK678,4)),VALUE(LEFT(AK678,2)),VALUE(MID(AK678,4,2))),IF(ISNUMBER(SEARCH("-",AK678)),IF(LEN(LEFT(AK678,FIND("-",AK678)-1))=4,DATE(VALUE(LEFT(AK678,4)),VALUE(MID(AK678,6,2)),VALUE(RIGHT(AK678,2))),DATE(VALUE(RIGHT(AK678,4)),VALUE(MID(AK678,4,2)),VALUE(LEFT(AK678,2)))),DATE(VALUE(RIGHT(AK678,4)),MATCH(MID(AK678,4,3),{"Jan","Feb","Mar","Apr","May","Jun","Jul","Aug","Sep","Oct","Nov","Dec"},0),VALUE(LEFT(AK678,2))))))</f>
        <v>45918</v>
      </c>
      <c r="D678" s="4" t="s">
        <v>2568</v>
      </c>
      <c r="E678" s="0" t="str">
        <f aca="false">PROPER(TRIM(AL678))</f>
        <v>Rahul Verma</v>
      </c>
      <c r="F678" s="0" t="str">
        <f aca="false">PROPER(TRIM(AM678))</f>
        <v>Small Business</v>
      </c>
      <c r="G678" s="0" t="str">
        <f aca="false">IF(TRIM(AN678)="","Unknown",PROPER(TRIM(AN678)))</f>
        <v>North</v>
      </c>
      <c r="H678" s="0" t="str">
        <f aca="false">PROPER(TRIM(AO678))</f>
        <v>Delhi</v>
      </c>
      <c r="I678" s="0" t="str">
        <f aca="false">PROPER(TRIM(AP678))</f>
        <v>New Delhi</v>
      </c>
      <c r="J678" s="0" t="str">
        <f aca="false">PROPER(TRIM(AQ678))</f>
        <v>Technology</v>
      </c>
      <c r="K678" s="0" t="str">
        <f aca="false">PROPER(TRIM(AR678))</f>
        <v>Phones</v>
      </c>
      <c r="M678" s="0" t="str">
        <f aca="false">IF(TRIM(AS678)="","Unknown",PROPER(TRIM(AS678)))</f>
        <v>Same Day</v>
      </c>
      <c r="N678" s="0" t="n">
        <v>7</v>
      </c>
      <c r="O678" s="0" t="n">
        <v>3411.21</v>
      </c>
      <c r="P678" s="5" t="n">
        <f aca="false">IF(AT678="","",IF(ISNUMBER(AT678),AT678,VALUE(SUBSTITUTE(AT678,"%",""))/100))</f>
        <v>0.15</v>
      </c>
      <c r="Q678" s="5" t="n">
        <f aca="false">IF(P678="",IF(AND(N678&lt;&gt;"",O678&lt;&gt;"",R678&lt;&gt;"",S678&lt;&gt;""),0,"REVIEW"),IF(OR(P678&lt;0,P678&gt;0.3),0,P678))</f>
        <v>0.15</v>
      </c>
      <c r="R678" s="0" t="n">
        <v>20296.7</v>
      </c>
      <c r="S678" s="0" t="n">
        <v>14920.87</v>
      </c>
      <c r="T678" s="6" t="n">
        <f aca="false">N678*O678*(1-Q678)</f>
        <v>20296.6995</v>
      </c>
      <c r="U678" s="6" t="n">
        <f aca="false">T678-S678</f>
        <v>5375.8295</v>
      </c>
      <c r="V678" s="7" t="n">
        <f aca="false">IF(T678=0,0,U678/T678)</f>
        <v>0.264862250140719</v>
      </c>
      <c r="W678" s="4" t="n">
        <f aca="false">C678-B678</f>
        <v>7</v>
      </c>
      <c r="X678" s="0" t="str">
        <f aca="false">TEXT(B678,"mmmm")</f>
        <v>September</v>
      </c>
      <c r="Y678" s="4" t="n">
        <f aca="false">YEAR(B678)</f>
        <v>2025</v>
      </c>
      <c r="Z678" s="0" t="str">
        <f aca="false">PROPER(TRIM(AU678))</f>
        <v>Paid</v>
      </c>
      <c r="AA678" s="0" t="str">
        <f aca="false">PROPER(TRIM(AV678))</f>
        <v>Completed</v>
      </c>
      <c r="AB678" s="0" t="str">
        <f aca="false">IF(TRIM(AN678)="","Yes","No")</f>
        <v>No</v>
      </c>
      <c r="AC678" s="0" t="str">
        <f aca="false">IF(TRIM(AS678)="","Yes","No")</f>
        <v>No</v>
      </c>
      <c r="AD678" s="0" t="str">
        <f aca="false">IF(AT678="","Yes","No")</f>
        <v>No</v>
      </c>
      <c r="AE678" s="0" t="str">
        <f aca="false">IF(W678&lt;0,"Yes","No")</f>
        <v>No</v>
      </c>
      <c r="AF678" s="0" t="str">
        <f aca="false">IF(P678="","No",IF(OR(P678&lt;0,P678&gt;0.3),"Yes","No"))</f>
        <v>No</v>
      </c>
      <c r="AG678" s="4" t="s">
        <v>50</v>
      </c>
      <c r="AH678" s="0" t="str">
        <f aca="false">IF(AND(AA678="Completed",Z678="Paid"),"Yes","No")</f>
        <v>Yes</v>
      </c>
      <c r="AI678" s="0" t="str">
        <f aca="false">IF(OR(AE678="Yes",AF678="Yes",AG678="Yes"),"Invalid",IF(OR(AB678="Yes",AC678="Yes",AD678="Yes"),"Warning","Clean"))</f>
        <v>Clean</v>
      </c>
      <c r="AJ678" s="4" t="s">
        <v>2569</v>
      </c>
      <c r="AK678" s="4" t="s">
        <v>2570</v>
      </c>
      <c r="AL678" s="4" t="s">
        <v>163</v>
      </c>
      <c r="AM678" s="4" t="s">
        <v>68</v>
      </c>
      <c r="AN678" s="4" t="s">
        <v>168</v>
      </c>
      <c r="AO678" s="4" t="s">
        <v>461</v>
      </c>
      <c r="AP678" s="4" t="s">
        <v>462</v>
      </c>
      <c r="AQ678" s="4" t="s">
        <v>109</v>
      </c>
      <c r="AR678" s="4" t="s">
        <v>227</v>
      </c>
      <c r="AS678" s="4" t="s">
        <v>74</v>
      </c>
      <c r="AT678" s="0" t="n">
        <v>0.15</v>
      </c>
      <c r="AU678" s="4" t="s">
        <v>61</v>
      </c>
      <c r="AV678" s="4" t="s">
        <v>62</v>
      </c>
    </row>
    <row r="679" customFormat="false" ht="15" hidden="false" customHeight="false" outlineLevel="0" collapsed="false">
      <c r="A679" s="0" t="s">
        <v>2571</v>
      </c>
      <c r="B679" s="3" t="n">
        <f aca="false">IF(AJ679="","",IF(ISNUMBER(SEARCH("/",AJ679)),DATE(VALUE(RIGHT(AJ679,4)),VALUE(LEFT(AJ679,2)),VALUE(MID(AJ679,4,2))),IF(ISNUMBER(SEARCH("-",AJ679)),IF(LEN(LEFT(AJ679,FIND("-",AJ679)-1))=4,DATE(VALUE(LEFT(AJ679,4)),VALUE(MID(AJ679,6,2)),VALUE(RIGHT(AJ679,2))),DATE(VALUE(RIGHT(AJ679,4)),VALUE(MID(AJ679,4,2)),VALUE(LEFT(AJ679,2)))),DATE(VALUE(RIGHT(AJ679,4)),MATCH(MID(AJ679,4,3),{"Jan","Feb","Mar","Apr","May","Jun","Jul","Aug","Sep","Oct","Nov","Dec"},0),VALUE(LEFT(AJ679,2))))))</f>
        <v>45465</v>
      </c>
      <c r="C679" s="3" t="n">
        <f aca="false">IF(AK679="","",IF(ISNUMBER(SEARCH("/",AK679)),DATE(VALUE(RIGHT(AK679,4)),VALUE(LEFT(AK679,2)),VALUE(MID(AK679,4,2))),IF(ISNUMBER(SEARCH("-",AK679)),IF(LEN(LEFT(AK679,FIND("-",AK679)-1))=4,DATE(VALUE(LEFT(AK679,4)),VALUE(MID(AK679,6,2)),VALUE(RIGHT(AK679,2))),DATE(VALUE(RIGHT(AK679,4)),VALUE(MID(AK679,4,2)),VALUE(LEFT(AK679,2)))),DATE(VALUE(RIGHT(AK679,4)),MATCH(MID(AK679,4,3),{"Jan","Feb","Mar","Apr","May","Jun","Jul","Aug","Sep","Oct","Nov","Dec"},0),VALUE(LEFT(AK679,2))))))</f>
        <v>45470</v>
      </c>
      <c r="D679" s="4" t="s">
        <v>49</v>
      </c>
      <c r="E679" s="0" t="str">
        <f aca="false">PROPER(TRIM(AL679))</f>
        <v>Isha Nair</v>
      </c>
      <c r="F679" s="0" t="str">
        <f aca="false">PROPER(TRIM(AM679))</f>
        <v>Home Office</v>
      </c>
      <c r="G679" s="0" t="str">
        <f aca="false">IF(TRIM(AN679)="","Unknown",PROPER(TRIM(AN679)))</f>
        <v>South</v>
      </c>
      <c r="H679" s="0" t="str">
        <f aca="false">PROPER(TRIM(AO679))</f>
        <v>Karnataka</v>
      </c>
      <c r="I679" s="0" t="str">
        <f aca="false">PROPER(TRIM(AP679))</f>
        <v>Bengaluru</v>
      </c>
      <c r="J679" s="0" t="str">
        <f aca="false">PROPER(TRIM(AQ679))</f>
        <v>Furniture</v>
      </c>
      <c r="K679" s="0" t="str">
        <f aca="false">PROPER(TRIM(AR679))</f>
        <v>Chairs</v>
      </c>
      <c r="M679" s="0" t="str">
        <f aca="false">IF(TRIM(AS679)="","Unknown",PROPER(TRIM(AS679)))</f>
        <v>Same Day</v>
      </c>
      <c r="N679" s="0" t="n">
        <v>7</v>
      </c>
      <c r="O679" s="0" t="n">
        <v>2623.48</v>
      </c>
      <c r="P679" s="5" t="n">
        <f aca="false">IF(AT679="","",IF(ISNUMBER(AT679),AT679,VALUE(SUBSTITUTE(AT679,"%",""))/100))</f>
        <v>0</v>
      </c>
      <c r="Q679" s="5" t="n">
        <f aca="false">IF(P679="",IF(AND(N679&lt;&gt;"",O679&lt;&gt;"",R679&lt;&gt;"",S679&lt;&gt;""),0,"REVIEW"),IF(OR(P679&lt;0,P679&gt;0.3),0,P679))</f>
        <v>0</v>
      </c>
      <c r="R679" s="0" t="n">
        <v>18364.36</v>
      </c>
      <c r="S679" s="0" t="n">
        <v>15445.81</v>
      </c>
      <c r="T679" s="6" t="n">
        <f aca="false">N679*O679*(1-Q679)</f>
        <v>18364.36</v>
      </c>
      <c r="U679" s="6" t="n">
        <f aca="false">T679-S679</f>
        <v>2918.55</v>
      </c>
      <c r="V679" s="7" t="n">
        <f aca="false">IF(T679=0,0,U679/T679)</f>
        <v>0.158924678017639</v>
      </c>
      <c r="W679" s="4" t="n">
        <f aca="false">C679-B679</f>
        <v>5</v>
      </c>
      <c r="X679" s="0" t="str">
        <f aca="false">TEXT(B679,"mmmm")</f>
        <v>June</v>
      </c>
      <c r="Y679" s="4" t="n">
        <f aca="false">YEAR(B679)</f>
        <v>2024</v>
      </c>
      <c r="Z679" s="0" t="str">
        <f aca="false">PROPER(TRIM(AU679))</f>
        <v>Paid</v>
      </c>
      <c r="AA679" s="0" t="str">
        <f aca="false">PROPER(TRIM(AV679))</f>
        <v>Completed</v>
      </c>
      <c r="AB679" s="0" t="str">
        <f aca="false">IF(TRIM(AN679)="","Yes","No")</f>
        <v>No</v>
      </c>
      <c r="AC679" s="0" t="str">
        <f aca="false">IF(TRIM(AS679)="","Yes","No")</f>
        <v>No</v>
      </c>
      <c r="AD679" s="0" t="str">
        <f aca="false">IF(AT679="","Yes","No")</f>
        <v>No</v>
      </c>
      <c r="AE679" s="0" t="str">
        <f aca="false">IF(W679&lt;0,"Yes","No")</f>
        <v>No</v>
      </c>
      <c r="AF679" s="0" t="str">
        <f aca="false">IF(P679="","No",IF(OR(P679&lt;0,P679&gt;0.3),"Yes","No"))</f>
        <v>No</v>
      </c>
      <c r="AG679" s="4" t="s">
        <v>50</v>
      </c>
      <c r="AH679" s="0" t="str">
        <f aca="false">IF(AND(AA679="Completed",Z679="Paid"),"Yes","No")</f>
        <v>Yes</v>
      </c>
      <c r="AI679" s="0" t="str">
        <f aca="false">IF(OR(AE679="Yes",AF679="Yes",AG679="Yes"),"Invalid",IF(OR(AB679="Yes",AC679="Yes",AD679="Yes"),"Warning","Clean"))</f>
        <v>Clean</v>
      </c>
      <c r="AJ679" s="4" t="s">
        <v>2572</v>
      </c>
      <c r="AK679" s="4" t="s">
        <v>2573</v>
      </c>
      <c r="AL679" s="4" t="s">
        <v>79</v>
      </c>
      <c r="AM679" s="4" t="s">
        <v>134</v>
      </c>
      <c r="AN679" s="4" t="s">
        <v>87</v>
      </c>
      <c r="AO679" s="4" t="s">
        <v>233</v>
      </c>
      <c r="AP679" s="4" t="s">
        <v>234</v>
      </c>
      <c r="AQ679" s="4" t="s">
        <v>72</v>
      </c>
      <c r="AR679" s="4" t="s">
        <v>100</v>
      </c>
      <c r="AS679" s="4" t="s">
        <v>74</v>
      </c>
      <c r="AT679" s="0" t="n">
        <v>0</v>
      </c>
      <c r="AU679" s="4" t="s">
        <v>61</v>
      </c>
      <c r="AV679" s="4" t="s">
        <v>62</v>
      </c>
    </row>
    <row r="680" customFormat="false" ht="15" hidden="false" customHeight="false" outlineLevel="0" collapsed="false">
      <c r="A680" s="0" t="s">
        <v>2574</v>
      </c>
      <c r="B680" s="3" t="n">
        <f aca="false">IF(AJ680="","",IF(ISNUMBER(SEARCH("/",AJ680)),DATE(VALUE(RIGHT(AJ680,4)),VALUE(LEFT(AJ680,2)),VALUE(MID(AJ680,4,2))),IF(ISNUMBER(SEARCH("-",AJ680)),IF(LEN(LEFT(AJ680,FIND("-",AJ680)-1))=4,DATE(VALUE(LEFT(AJ680,4)),VALUE(MID(AJ680,6,2)),VALUE(RIGHT(AJ680,2))),DATE(VALUE(RIGHT(AJ680,4)),VALUE(MID(AJ680,4,2)),VALUE(LEFT(AJ680,2)))),DATE(VALUE(RIGHT(AJ680,4)),MATCH(MID(AJ680,4,3),{"Jan","Feb","Mar","Apr","May","Jun","Jul","Aug","Sep","Oct","Nov","Dec"},0),VALUE(LEFT(AJ680,2))))))</f>
        <v>45620</v>
      </c>
      <c r="C680" s="3" t="n">
        <f aca="false">IF(AK680="","",IF(ISNUMBER(SEARCH("/",AK680)),DATE(VALUE(RIGHT(AK680,4)),VALUE(LEFT(AK680,2)),VALUE(MID(AK680,4,2))),IF(ISNUMBER(SEARCH("-",AK680)),IF(LEN(LEFT(AK680,FIND("-",AK680)-1))=4,DATE(VALUE(LEFT(AK680,4)),VALUE(MID(AK680,6,2)),VALUE(RIGHT(AK680,2))),DATE(VALUE(RIGHT(AK680,4)),VALUE(MID(AK680,4,2)),VALUE(LEFT(AK680,2)))),DATE(VALUE(RIGHT(AK680,4)),MATCH(MID(AK680,4,3),{"Jan","Feb","Mar","Apr","May","Jun","Jul","Aug","Sep","Oct","Nov","Dec"},0),VALUE(LEFT(AK680,2))))))</f>
        <v>45627</v>
      </c>
      <c r="D680" s="4" t="s">
        <v>2575</v>
      </c>
      <c r="E680" s="0" t="str">
        <f aca="false">PROPER(TRIM(AL680))</f>
        <v>Kabir Singh</v>
      </c>
      <c r="F680" s="0" t="str">
        <f aca="false">PROPER(TRIM(AM680))</f>
        <v>Corporate</v>
      </c>
      <c r="G680" s="0" t="str">
        <f aca="false">IF(TRIM(AN680)="","Unknown",PROPER(TRIM(AN680)))</f>
        <v>South</v>
      </c>
      <c r="H680" s="0" t="str">
        <f aca="false">PROPER(TRIM(AO680))</f>
        <v>Karnataka</v>
      </c>
      <c r="I680" s="0" t="str">
        <f aca="false">PROPER(TRIM(AP680))</f>
        <v>Bengaluru</v>
      </c>
      <c r="J680" s="0" t="str">
        <f aca="false">PROPER(TRIM(AQ680))</f>
        <v>Furniture</v>
      </c>
      <c r="K680" s="0" t="str">
        <f aca="false">PROPER(TRIM(AR680))</f>
        <v>Tables</v>
      </c>
      <c r="M680" s="0" t="str">
        <f aca="false">IF(TRIM(AS680)="","Unknown",PROPER(TRIM(AS680)))</f>
        <v>Second Class</v>
      </c>
      <c r="N680" s="0" t="n">
        <v>9</v>
      </c>
      <c r="O680" s="0" t="n">
        <v>2763.61</v>
      </c>
      <c r="P680" s="5" t="n">
        <f aca="false">IF(AT680="","",IF(ISNUMBER(AT680),AT680,VALUE(SUBSTITUTE(AT680,"%",""))/100))</f>
        <v>0.15</v>
      </c>
      <c r="Q680" s="5" t="n">
        <f aca="false">IF(P680="",IF(AND(N680&lt;&gt;"",O680&lt;&gt;"",R680&lt;&gt;"",S680&lt;&gt;""),0,"REVIEW"),IF(OR(P680&lt;0,P680&gt;0.3),0,P680))</f>
        <v>0.15</v>
      </c>
      <c r="R680" s="0" t="n">
        <v>21141.62</v>
      </c>
      <c r="S680" s="0" t="n">
        <v>11676.33</v>
      </c>
      <c r="T680" s="6" t="n">
        <f aca="false">N680*O680*(1-Q680)</f>
        <v>21141.6165</v>
      </c>
      <c r="U680" s="6" t="n">
        <f aca="false">T680-S680</f>
        <v>9465.2865</v>
      </c>
      <c r="V680" s="7" t="n">
        <f aca="false">IF(T680=0,0,U680/T680)</f>
        <v>0.447708740719992</v>
      </c>
      <c r="W680" s="4" t="n">
        <f aca="false">C680-B680</f>
        <v>7</v>
      </c>
      <c r="X680" s="0" t="str">
        <f aca="false">TEXT(B680,"mmmm")</f>
        <v>November</v>
      </c>
      <c r="Y680" s="4" t="n">
        <f aca="false">YEAR(B680)</f>
        <v>2024</v>
      </c>
      <c r="Z680" s="0" t="str">
        <f aca="false">PROPER(TRIM(AU680))</f>
        <v>Paid</v>
      </c>
      <c r="AA680" s="0" t="str">
        <f aca="false">PROPER(TRIM(AV680))</f>
        <v>Completed</v>
      </c>
      <c r="AB680" s="0" t="str">
        <f aca="false">IF(TRIM(AN680)="","Yes","No")</f>
        <v>No</v>
      </c>
      <c r="AC680" s="0" t="str">
        <f aca="false">IF(TRIM(AS680)="","Yes","No")</f>
        <v>No</v>
      </c>
      <c r="AD680" s="0" t="str">
        <f aca="false">IF(AT680="","Yes","No")</f>
        <v>No</v>
      </c>
      <c r="AE680" s="0" t="str">
        <f aca="false">IF(W680&lt;0,"Yes","No")</f>
        <v>No</v>
      </c>
      <c r="AF680" s="0" t="str">
        <f aca="false">IF(P680="","No",IF(OR(P680&lt;0,P680&gt;0.3),"Yes","No"))</f>
        <v>No</v>
      </c>
      <c r="AG680" s="4" t="s">
        <v>50</v>
      </c>
      <c r="AH680" s="0" t="str">
        <f aca="false">IF(AND(AA680="Completed",Z680="Paid"),"Yes","No")</f>
        <v>Yes</v>
      </c>
      <c r="AI680" s="0" t="str">
        <f aca="false">IF(OR(AE680="Yes",AF680="Yes",AG680="Yes"),"Invalid",IF(OR(AB680="Yes",AC680="Yes",AD680="Yes"),"Warning","Clean"))</f>
        <v>Clean</v>
      </c>
      <c r="AJ680" s="4" t="s">
        <v>2576</v>
      </c>
      <c r="AK680" s="4" t="s">
        <v>2577</v>
      </c>
      <c r="AL680" s="4" t="s">
        <v>347</v>
      </c>
      <c r="AM680" s="4" t="s">
        <v>128</v>
      </c>
      <c r="AN680" s="4" t="s">
        <v>87</v>
      </c>
      <c r="AO680" s="4" t="s">
        <v>233</v>
      </c>
      <c r="AP680" s="4" t="s">
        <v>234</v>
      </c>
      <c r="AQ680" s="4" t="s">
        <v>72</v>
      </c>
      <c r="AR680" s="4" t="s">
        <v>73</v>
      </c>
      <c r="AS680" s="4" t="s">
        <v>60</v>
      </c>
      <c r="AT680" s="0" t="n">
        <v>0.15</v>
      </c>
      <c r="AU680" s="4" t="s">
        <v>61</v>
      </c>
      <c r="AV680" s="4" t="s">
        <v>62</v>
      </c>
    </row>
    <row r="681" customFormat="false" ht="15" hidden="false" customHeight="false" outlineLevel="0" collapsed="false">
      <c r="A681" s="0" t="s">
        <v>2578</v>
      </c>
      <c r="B681" s="3" t="n">
        <f aca="false">IF(AJ681="","",IF(ISNUMBER(SEARCH("/",AJ681)),DATE(VALUE(RIGHT(AJ681,4)),VALUE(LEFT(AJ681,2)),VALUE(MID(AJ681,4,2))),IF(ISNUMBER(SEARCH("-",AJ681)),IF(LEN(LEFT(AJ681,FIND("-",AJ681)-1))=4,DATE(VALUE(LEFT(AJ681,4)),VALUE(MID(AJ681,6,2)),VALUE(RIGHT(AJ681,2))),DATE(VALUE(RIGHT(AJ681,4)),VALUE(MID(AJ681,4,2)),VALUE(LEFT(AJ681,2)))),DATE(VALUE(RIGHT(AJ681,4)),MATCH(MID(AJ681,4,3),{"Jan","Feb","Mar","Apr","May","Jun","Jul","Aug","Sep","Oct","Nov","Dec"},0),VALUE(LEFT(AJ681,2))))))</f>
        <v>45885</v>
      </c>
      <c r="C681" s="3" t="n">
        <f aca="false">IF(AK681="","",IF(ISNUMBER(SEARCH("/",AK681)),DATE(VALUE(RIGHT(AK681,4)),VALUE(LEFT(AK681,2)),VALUE(MID(AK681,4,2))),IF(ISNUMBER(SEARCH("-",AK681)),IF(LEN(LEFT(AK681,FIND("-",AK681)-1))=4,DATE(VALUE(LEFT(AK681,4)),VALUE(MID(AK681,6,2)),VALUE(RIGHT(AK681,2))),DATE(VALUE(RIGHT(AK681,4)),VALUE(MID(AK681,4,2)),VALUE(LEFT(AK681,2)))),DATE(VALUE(RIGHT(AK681,4)),MATCH(MID(AK681,4,3),{"Jan","Feb","Mar","Apr","May","Jun","Jul","Aug","Sep","Oct","Nov","Dec"},0),VALUE(LEFT(AK681,2))))))</f>
        <v>45892</v>
      </c>
      <c r="D681" s="4" t="s">
        <v>2579</v>
      </c>
      <c r="E681" s="0" t="str">
        <f aca="false">PROPER(TRIM(AL681))</f>
        <v>Rohan Mehta</v>
      </c>
      <c r="F681" s="0" t="str">
        <f aca="false">PROPER(TRIM(AM681))</f>
        <v>Corporate</v>
      </c>
      <c r="G681" s="0" t="str">
        <f aca="false">IF(TRIM(AN681)="","Unknown",PROPER(TRIM(AN681)))</f>
        <v>North</v>
      </c>
      <c r="H681" s="0" t="str">
        <f aca="false">PROPER(TRIM(AO681))</f>
        <v>Punjab</v>
      </c>
      <c r="I681" s="0" t="str">
        <f aca="false">PROPER(TRIM(AP681))</f>
        <v>Ludhiana</v>
      </c>
      <c r="J681" s="0" t="str">
        <f aca="false">PROPER(TRIM(AQ681))</f>
        <v>Technology</v>
      </c>
      <c r="K681" s="0" t="str">
        <f aca="false">PROPER(TRIM(AR681))</f>
        <v>Copiers</v>
      </c>
      <c r="M681" s="0" t="str">
        <f aca="false">IF(TRIM(AS681)="","Unknown",PROPER(TRIM(AS681)))</f>
        <v>Same Day</v>
      </c>
      <c r="N681" s="0" t="n">
        <v>4</v>
      </c>
      <c r="O681" s="0" t="n">
        <v>1410.57</v>
      </c>
      <c r="P681" s="5" t="n">
        <f aca="false">IF(AT681="","",IF(ISNUMBER(AT681),AT681,VALUE(SUBSTITUTE(AT681,"%",""))/100))</f>
        <v>0.7</v>
      </c>
      <c r="Q681" s="5" t="n">
        <f aca="false">IF(P681="",IF(AND(N681&lt;&gt;"",O681&lt;&gt;"",R681&lt;&gt;"",S681&lt;&gt;""),0,"REVIEW"),IF(OR(P681&lt;0,P681&gt;0.3),0,P681))</f>
        <v>0</v>
      </c>
      <c r="R681" s="0" t="n">
        <v>5360.17</v>
      </c>
      <c r="S681" s="0" t="n">
        <v>3881.51</v>
      </c>
      <c r="T681" s="6" t="n">
        <f aca="false">N681*O681*(1-Q681)</f>
        <v>5642.28</v>
      </c>
      <c r="U681" s="6" t="n">
        <f aca="false">T681-S681</f>
        <v>1760.77</v>
      </c>
      <c r="V681" s="7" t="n">
        <f aca="false">IF(T681=0,0,U681/T681)</f>
        <v>0.312067107623159</v>
      </c>
      <c r="W681" s="4" t="n">
        <f aca="false">C681-B681</f>
        <v>7</v>
      </c>
      <c r="X681" s="0" t="str">
        <f aca="false">TEXT(B681,"mmmm")</f>
        <v>August</v>
      </c>
      <c r="Y681" s="4" t="n">
        <f aca="false">YEAR(B681)</f>
        <v>2025</v>
      </c>
      <c r="Z681" s="0" t="str">
        <f aca="false">PROPER(TRIM(AU681))</f>
        <v>Refunded</v>
      </c>
      <c r="AA681" s="0" t="str">
        <f aca="false">PROPER(TRIM(AV681))</f>
        <v>Cancelled</v>
      </c>
      <c r="AB681" s="0" t="str">
        <f aca="false">IF(TRIM(AN681)="","Yes","No")</f>
        <v>No</v>
      </c>
      <c r="AC681" s="0" t="str">
        <f aca="false">IF(TRIM(AS681)="","Yes","No")</f>
        <v>No</v>
      </c>
      <c r="AD681" s="0" t="str">
        <f aca="false">IF(AT681="","Yes","No")</f>
        <v>No</v>
      </c>
      <c r="AE681" s="0" t="str">
        <f aca="false">IF(W681&lt;0,"Yes","No")</f>
        <v>No</v>
      </c>
      <c r="AF681" s="0" t="str">
        <f aca="false">IF(P681="","No",IF(OR(P681&lt;0,P681&gt;0.3),"Yes","No"))</f>
        <v>Yes</v>
      </c>
      <c r="AG681" s="4" t="s">
        <v>50</v>
      </c>
      <c r="AH681" s="0" t="str">
        <f aca="false">IF(AND(AA681="Completed",Z681="Paid"),"Yes","No")</f>
        <v>No</v>
      </c>
      <c r="AI681" s="0" t="str">
        <f aca="false">IF(OR(AE681="Yes",AF681="Yes",AG681="Yes"),"Invalid",IF(OR(AB681="Yes",AC681="Yes",AD681="Yes"),"Warning","Clean"))</f>
        <v>Invalid</v>
      </c>
      <c r="AJ681" s="4" t="s">
        <v>2580</v>
      </c>
      <c r="AK681" s="4" t="s">
        <v>570</v>
      </c>
      <c r="AL681" s="4" t="s">
        <v>191</v>
      </c>
      <c r="AM681" s="4" t="s">
        <v>128</v>
      </c>
      <c r="AN681" s="4" t="s">
        <v>168</v>
      </c>
      <c r="AO681" s="4" t="s">
        <v>169</v>
      </c>
      <c r="AP681" s="4" t="s">
        <v>170</v>
      </c>
      <c r="AQ681" s="4" t="s">
        <v>109</v>
      </c>
      <c r="AR681" s="4" t="s">
        <v>116</v>
      </c>
      <c r="AS681" s="4" t="s">
        <v>74</v>
      </c>
      <c r="AT681" s="4" t="s">
        <v>602</v>
      </c>
      <c r="AU681" s="4" t="s">
        <v>141</v>
      </c>
      <c r="AV681" s="4" t="s">
        <v>101</v>
      </c>
    </row>
    <row r="682" customFormat="false" ht="15" hidden="false" customHeight="false" outlineLevel="0" collapsed="false">
      <c r="A682" s="0" t="s">
        <v>2581</v>
      </c>
      <c r="B682" s="3" t="n">
        <f aca="false">IF(AJ682="","",IF(ISNUMBER(SEARCH("/",AJ682)),DATE(VALUE(RIGHT(AJ682,4)),VALUE(LEFT(AJ682,2)),VALUE(MID(AJ682,4,2))),IF(ISNUMBER(SEARCH("-",AJ682)),IF(LEN(LEFT(AJ682,FIND("-",AJ682)-1))=4,DATE(VALUE(LEFT(AJ682,4)),VALUE(MID(AJ682,6,2)),VALUE(RIGHT(AJ682,2))),DATE(VALUE(RIGHT(AJ682,4)),VALUE(MID(AJ682,4,2)),VALUE(LEFT(AJ682,2)))),DATE(VALUE(RIGHT(AJ682,4)),MATCH(MID(AJ682,4,3),{"Jan","Feb","Mar","Apr","May","Jun","Jul","Aug","Sep","Oct","Nov","Dec"},0),VALUE(LEFT(AJ682,2))))))</f>
        <v>45441</v>
      </c>
      <c r="C682" s="3" t="n">
        <f aca="false">IF(AK682="","",IF(ISNUMBER(SEARCH("/",AK682)),DATE(VALUE(RIGHT(AK682,4)),VALUE(LEFT(AK682,2)),VALUE(MID(AK682,4,2))),IF(ISNUMBER(SEARCH("-",AK682)),IF(LEN(LEFT(AK682,FIND("-",AK682)-1))=4,DATE(VALUE(LEFT(AK682,4)),VALUE(MID(AK682,6,2)),VALUE(RIGHT(AK682,2))),DATE(VALUE(RIGHT(AK682,4)),VALUE(MID(AK682,4,2)),VALUE(LEFT(AK682,2)))),DATE(VALUE(RIGHT(AK682,4)),MATCH(MID(AK682,4,3),{"Jan","Feb","Mar","Apr","May","Jun","Jul","Aug","Sep","Oct","Nov","Dec"},0),VALUE(LEFT(AK682,2))))))</f>
        <v>45448</v>
      </c>
      <c r="D682" s="4" t="s">
        <v>2582</v>
      </c>
      <c r="E682" s="0" t="str">
        <f aca="false">PROPER(TRIM(AL682))</f>
        <v>Kabir Singh</v>
      </c>
      <c r="F682" s="0" t="str">
        <f aca="false">PROPER(TRIM(AM682))</f>
        <v>Corporate</v>
      </c>
      <c r="G682" s="0" t="str">
        <f aca="false">IF(TRIM(AN682)="","Unknown",PROPER(TRIM(AN682)))</f>
        <v>South</v>
      </c>
      <c r="H682" s="0" t="str">
        <f aca="false">PROPER(TRIM(AO682))</f>
        <v>Tamil Nadu</v>
      </c>
      <c r="I682" s="0" t="str">
        <f aca="false">PROPER(TRIM(AP682))</f>
        <v>Chennai</v>
      </c>
      <c r="J682" s="0" t="str">
        <f aca="false">PROPER(TRIM(AQ682))</f>
        <v>Technology</v>
      </c>
      <c r="K682" s="0" t="str">
        <f aca="false">PROPER(TRIM(AR682))</f>
        <v>Accessories</v>
      </c>
      <c r="M682" s="0" t="str">
        <f aca="false">IF(TRIM(AS682)="","Unknown",PROPER(TRIM(AS682)))</f>
        <v>First Class</v>
      </c>
      <c r="N682" s="0" t="n">
        <v>4</v>
      </c>
      <c r="O682" s="0" t="n">
        <v>3700.24</v>
      </c>
      <c r="P682" s="5" t="n">
        <f aca="false">IF(AT682="","",IF(ISNUMBER(AT682),AT682,VALUE(SUBSTITUTE(AT682,"%",""))/100))</f>
        <v>0</v>
      </c>
      <c r="Q682" s="5" t="n">
        <f aca="false">IF(P682="",IF(AND(N682&lt;&gt;"",O682&lt;&gt;"",R682&lt;&gt;"",S682&lt;&gt;""),0,"REVIEW"),IF(OR(P682&lt;0,P682&gt;0.3),0,P682))</f>
        <v>0</v>
      </c>
      <c r="R682" s="0" t="n">
        <v>14800.96</v>
      </c>
      <c r="S682" s="0" t="n">
        <v>12048.39</v>
      </c>
      <c r="T682" s="6" t="n">
        <f aca="false">N682*O682*(1-Q682)</f>
        <v>14800.96</v>
      </c>
      <c r="U682" s="6" t="n">
        <f aca="false">T682-S682</f>
        <v>2752.57</v>
      </c>
      <c r="V682" s="7" t="n">
        <f aca="false">IF(T682=0,0,U682/T682)</f>
        <v>0.185972396385099</v>
      </c>
      <c r="W682" s="4" t="n">
        <f aca="false">C682-B682</f>
        <v>7</v>
      </c>
      <c r="X682" s="0" t="str">
        <f aca="false">TEXT(B682,"mmmm")</f>
        <v>May</v>
      </c>
      <c r="Y682" s="4" t="n">
        <f aca="false">YEAR(B682)</f>
        <v>2024</v>
      </c>
      <c r="Z682" s="0" t="str">
        <f aca="false">PROPER(TRIM(AU682))</f>
        <v>Paid</v>
      </c>
      <c r="AA682" s="0" t="str">
        <f aca="false">PROPER(TRIM(AV682))</f>
        <v>Completed</v>
      </c>
      <c r="AB682" s="0" t="str">
        <f aca="false">IF(TRIM(AN682)="","Yes","No")</f>
        <v>No</v>
      </c>
      <c r="AC682" s="0" t="str">
        <f aca="false">IF(TRIM(AS682)="","Yes","No")</f>
        <v>No</v>
      </c>
      <c r="AD682" s="0" t="str">
        <f aca="false">IF(AT682="","Yes","No")</f>
        <v>No</v>
      </c>
      <c r="AE682" s="0" t="str">
        <f aca="false">IF(W682&lt;0,"Yes","No")</f>
        <v>No</v>
      </c>
      <c r="AF682" s="0" t="str">
        <f aca="false">IF(P682="","No",IF(OR(P682&lt;0,P682&gt;0.3),"Yes","No"))</f>
        <v>No</v>
      </c>
      <c r="AG682" s="4" t="s">
        <v>50</v>
      </c>
      <c r="AH682" s="0" t="str">
        <f aca="false">IF(AND(AA682="Completed",Z682="Paid"),"Yes","No")</f>
        <v>Yes</v>
      </c>
      <c r="AI682" s="0" t="str">
        <f aca="false">IF(OR(AE682="Yes",AF682="Yes",AG682="Yes"),"Invalid",IF(OR(AB682="Yes",AC682="Yes",AD682="Yes"),"Warning","Clean"))</f>
        <v>Clean</v>
      </c>
      <c r="AJ682" s="4" t="s">
        <v>271</v>
      </c>
      <c r="AK682" s="4" t="s">
        <v>519</v>
      </c>
      <c r="AL682" s="4" t="s">
        <v>347</v>
      </c>
      <c r="AM682" s="4" t="s">
        <v>128</v>
      </c>
      <c r="AN682" s="4" t="s">
        <v>87</v>
      </c>
      <c r="AO682" s="4" t="s">
        <v>323</v>
      </c>
      <c r="AP682" s="4" t="s">
        <v>324</v>
      </c>
      <c r="AQ682" s="4" t="s">
        <v>109</v>
      </c>
      <c r="AR682" s="4" t="s">
        <v>110</v>
      </c>
      <c r="AS682" s="4" t="s">
        <v>81</v>
      </c>
      <c r="AT682" s="0" t="n">
        <v>0</v>
      </c>
      <c r="AU682" s="4" t="s">
        <v>61</v>
      </c>
      <c r="AV682" s="4" t="s">
        <v>62</v>
      </c>
    </row>
    <row r="683" customFormat="false" ht="15" hidden="false" customHeight="false" outlineLevel="0" collapsed="false">
      <c r="A683" s="0" t="s">
        <v>2583</v>
      </c>
      <c r="B683" s="3" t="n">
        <f aca="false">IF(AJ683="","",IF(ISNUMBER(SEARCH("/",AJ683)),DATE(VALUE(RIGHT(AJ683,4)),VALUE(LEFT(AJ683,2)),VALUE(MID(AJ683,4,2))),IF(ISNUMBER(SEARCH("-",AJ683)),IF(LEN(LEFT(AJ683,FIND("-",AJ683)-1))=4,DATE(VALUE(LEFT(AJ683,4)),VALUE(MID(AJ683,6,2)),VALUE(RIGHT(AJ683,2))),DATE(VALUE(RIGHT(AJ683,4)),VALUE(MID(AJ683,4,2)),VALUE(LEFT(AJ683,2)))),DATE(VALUE(RIGHT(AJ683,4)),MATCH(MID(AJ683,4,3),{"Jan","Feb","Mar","Apr","May","Jun","Jul","Aug","Sep","Oct","Nov","Dec"},0),VALUE(LEFT(AJ683,2))))))</f>
        <v>45477</v>
      </c>
      <c r="C683" s="3" t="n">
        <f aca="false">IF(AK683="","",IF(ISNUMBER(SEARCH("/",AK683)),DATE(VALUE(RIGHT(AK683,4)),VALUE(LEFT(AK683,2)),VALUE(MID(AK683,4,2))),IF(ISNUMBER(SEARCH("-",AK683)),IF(LEN(LEFT(AK683,FIND("-",AK683)-1))=4,DATE(VALUE(LEFT(AK683,4)),VALUE(MID(AK683,6,2)),VALUE(RIGHT(AK683,2))),DATE(VALUE(RIGHT(AK683,4)),VALUE(MID(AK683,4,2)),VALUE(LEFT(AK683,2)))),DATE(VALUE(RIGHT(AK683,4)),MATCH(MID(AK683,4,3),{"Jan","Feb","Mar","Apr","May","Jun","Jul","Aug","Sep","Oct","Nov","Dec"},0),VALUE(LEFT(AK683,2))))))</f>
        <v>45483</v>
      </c>
      <c r="D683" s="4" t="s">
        <v>2584</v>
      </c>
      <c r="E683" s="0" t="str">
        <f aca="false">PROPER(TRIM(AL683))</f>
        <v>Vikram Iyer</v>
      </c>
      <c r="F683" s="0" t="str">
        <f aca="false">PROPER(TRIM(AM683))</f>
        <v>Corporate</v>
      </c>
      <c r="G683" s="0" t="str">
        <f aca="false">IF(TRIM(AN683)="","Unknown",PROPER(TRIM(AN683)))</f>
        <v>North</v>
      </c>
      <c r="H683" s="0" t="str">
        <f aca="false">PROPER(TRIM(AO683))</f>
        <v>Delhi</v>
      </c>
      <c r="I683" s="0" t="str">
        <f aca="false">PROPER(TRIM(AP683))</f>
        <v>New Delhi</v>
      </c>
      <c r="J683" s="0" t="str">
        <f aca="false">PROPER(TRIM(AQ683))</f>
        <v>Furniture</v>
      </c>
      <c r="K683" s="0" t="str">
        <f aca="false">PROPER(TRIM(AR683))</f>
        <v>Tables</v>
      </c>
      <c r="M683" s="0" t="str">
        <f aca="false">IF(TRIM(AS683)="","Unknown",PROPER(TRIM(AS683)))</f>
        <v>Second Class</v>
      </c>
      <c r="N683" s="0" t="n">
        <v>5</v>
      </c>
      <c r="O683" s="0" t="n">
        <v>1200.27</v>
      </c>
      <c r="P683" s="5" t="n">
        <f aca="false">IF(AT683="","",IF(ISNUMBER(AT683),AT683,VALUE(SUBSTITUTE(AT683,"%",""))/100))</f>
        <v>0</v>
      </c>
      <c r="Q683" s="5" t="n">
        <f aca="false">IF(P683="",IF(AND(N683&lt;&gt;"",O683&lt;&gt;"",R683&lt;&gt;"",S683&lt;&gt;""),0,"REVIEW"),IF(OR(P683&lt;0,P683&gt;0.3),0,P683))</f>
        <v>0</v>
      </c>
      <c r="R683" s="0" t="n">
        <v>6001.35</v>
      </c>
      <c r="S683" s="0" t="n">
        <v>4182.99</v>
      </c>
      <c r="T683" s="6" t="n">
        <f aca="false">N683*O683*(1-Q683)</f>
        <v>6001.35</v>
      </c>
      <c r="U683" s="6" t="n">
        <f aca="false">T683-S683</f>
        <v>1818.36</v>
      </c>
      <c r="V683" s="7" t="n">
        <f aca="false">IF(T683=0,0,U683/T683)</f>
        <v>0.302991826838961</v>
      </c>
      <c r="W683" s="4" t="n">
        <f aca="false">C683-B683</f>
        <v>6</v>
      </c>
      <c r="X683" s="0" t="str">
        <f aca="false">TEXT(B683,"mmmm")</f>
        <v>July</v>
      </c>
      <c r="Y683" s="4" t="n">
        <f aca="false">YEAR(B683)</f>
        <v>2024</v>
      </c>
      <c r="Z683" s="0" t="str">
        <f aca="false">PROPER(TRIM(AU683))</f>
        <v>Paid</v>
      </c>
      <c r="AA683" s="0" t="str">
        <f aca="false">PROPER(TRIM(AV683))</f>
        <v>Cancelled</v>
      </c>
      <c r="AB683" s="0" t="str">
        <f aca="false">IF(TRIM(AN683)="","Yes","No")</f>
        <v>No</v>
      </c>
      <c r="AC683" s="0" t="str">
        <f aca="false">IF(TRIM(AS683)="","Yes","No")</f>
        <v>No</v>
      </c>
      <c r="AD683" s="0" t="str">
        <f aca="false">IF(AT683="","Yes","No")</f>
        <v>No</v>
      </c>
      <c r="AE683" s="0" t="str">
        <f aca="false">IF(W683&lt;0,"Yes","No")</f>
        <v>No</v>
      </c>
      <c r="AF683" s="0" t="str">
        <f aca="false">IF(P683="","No",IF(OR(P683&lt;0,P683&gt;0.3),"Yes","No"))</f>
        <v>No</v>
      </c>
      <c r="AG683" s="4" t="s">
        <v>50</v>
      </c>
      <c r="AH683" s="0" t="str">
        <f aca="false">IF(AND(AA683="Completed",Z683="Paid"),"Yes","No")</f>
        <v>No</v>
      </c>
      <c r="AI683" s="0" t="str">
        <f aca="false">IF(OR(AE683="Yes",AF683="Yes",AG683="Yes"),"Invalid",IF(OR(AB683="Yes",AC683="Yes",AD683="Yes"),"Warning","Clean"))</f>
        <v>Clean</v>
      </c>
      <c r="AJ683" s="4" t="s">
        <v>2585</v>
      </c>
      <c r="AK683" s="4" t="s">
        <v>2586</v>
      </c>
      <c r="AL683" s="4" t="s">
        <v>106</v>
      </c>
      <c r="AM683" s="4" t="s">
        <v>128</v>
      </c>
      <c r="AN683" s="4" t="s">
        <v>168</v>
      </c>
      <c r="AO683" s="4" t="s">
        <v>461</v>
      </c>
      <c r="AP683" s="4" t="s">
        <v>462</v>
      </c>
      <c r="AQ683" s="4" t="s">
        <v>72</v>
      </c>
      <c r="AR683" s="4" t="s">
        <v>73</v>
      </c>
      <c r="AS683" s="4" t="s">
        <v>60</v>
      </c>
      <c r="AT683" s="0" t="n">
        <v>0</v>
      </c>
      <c r="AU683" s="4" t="s">
        <v>61</v>
      </c>
      <c r="AV683" s="4" t="s">
        <v>101</v>
      </c>
    </row>
    <row r="684" customFormat="false" ht="15" hidden="false" customHeight="false" outlineLevel="0" collapsed="false">
      <c r="A684" s="0" t="s">
        <v>2587</v>
      </c>
      <c r="B684" s="3" t="n">
        <f aca="false">IF(AJ684="","",IF(ISNUMBER(SEARCH("/",AJ684)),DATE(VALUE(RIGHT(AJ684,4)),VALUE(LEFT(AJ684,2)),VALUE(MID(AJ684,4,2))),IF(ISNUMBER(SEARCH("-",AJ684)),IF(LEN(LEFT(AJ684,FIND("-",AJ684)-1))=4,DATE(VALUE(LEFT(AJ684,4)),VALUE(MID(AJ684,6,2)),VALUE(RIGHT(AJ684,2))),DATE(VALUE(RIGHT(AJ684,4)),VALUE(MID(AJ684,4,2)),VALUE(LEFT(AJ684,2)))),DATE(VALUE(RIGHT(AJ684,4)),MATCH(MID(AJ684,4,3),{"Jan","Feb","Mar","Apr","May","Jun","Jul","Aug","Sep","Oct","Nov","Dec"},0),VALUE(LEFT(AJ684,2))))))</f>
        <v>45693</v>
      </c>
      <c r="C684" s="3" t="n">
        <f aca="false">IF(AK684="","",IF(ISNUMBER(SEARCH("/",AK684)),DATE(VALUE(RIGHT(AK684,4)),VALUE(LEFT(AK684,2)),VALUE(MID(AK684,4,2))),IF(ISNUMBER(SEARCH("-",AK684)),IF(LEN(LEFT(AK684,FIND("-",AK684)-1))=4,DATE(VALUE(LEFT(AK684,4)),VALUE(MID(AK684,6,2)),VALUE(RIGHT(AK684,2))),DATE(VALUE(RIGHT(AK684,4)),VALUE(MID(AK684,4,2)),VALUE(LEFT(AK684,2)))),DATE(VALUE(RIGHT(AK684,4)),MATCH(MID(AK684,4,3),{"Jan","Feb","Mar","Apr","May","Jun","Jul","Aug","Sep","Oct","Nov","Dec"},0),VALUE(LEFT(AK684,2))))))</f>
        <v>45693</v>
      </c>
      <c r="D684" s="4" t="s">
        <v>2588</v>
      </c>
      <c r="E684" s="0" t="str">
        <f aca="false">PROPER(TRIM(AL684))</f>
        <v>Ananya Rao</v>
      </c>
      <c r="F684" s="0" t="str">
        <f aca="false">PROPER(TRIM(AM684))</f>
        <v>Corporate</v>
      </c>
      <c r="G684" s="0" t="str">
        <f aca="false">IF(TRIM(AN684)="","Unknown",PROPER(TRIM(AN684)))</f>
        <v>North</v>
      </c>
      <c r="H684" s="0" t="str">
        <f aca="false">PROPER(TRIM(AO684))</f>
        <v>Haryana</v>
      </c>
      <c r="I684" s="0" t="str">
        <f aca="false">PROPER(TRIM(AP684))</f>
        <v>Gurugram</v>
      </c>
      <c r="J684" s="0" t="str">
        <f aca="false">PROPER(TRIM(AQ684))</f>
        <v>Office Supplies</v>
      </c>
      <c r="K684" s="0" t="str">
        <f aca="false">PROPER(TRIM(AR684))</f>
        <v>Storage</v>
      </c>
      <c r="M684" s="0" t="str">
        <f aca="false">IF(TRIM(AS684)="","Unknown",PROPER(TRIM(AS684)))</f>
        <v>Same Day</v>
      </c>
      <c r="N684" s="0" t="n">
        <v>3</v>
      </c>
      <c r="O684" s="0" t="n">
        <v>2590.78</v>
      </c>
      <c r="P684" s="5" t="str">
        <f aca="false">IF(AT684="","",IF(ISNUMBER(AT684),AT684,VALUE(SUBSTITUTE(AT684,"%",""))/100))</f>
        <v/>
      </c>
      <c r="Q684" s="5" t="n">
        <f aca="false">IF(P684="",IF(AND(N684&lt;&gt;"",O684&lt;&gt;"",R684&lt;&gt;"",S684&lt;&gt;""),0,"REVIEW"),IF(OR(P684&lt;0,P684&gt;0.3),0,P684))</f>
        <v>0</v>
      </c>
      <c r="R684" s="0" t="n">
        <v>7383.72</v>
      </c>
      <c r="S684" s="0" t="n">
        <v>4113.66</v>
      </c>
      <c r="T684" s="6" t="n">
        <f aca="false">N684*O684*(1-Q684)</f>
        <v>7772.34</v>
      </c>
      <c r="U684" s="6" t="n">
        <f aca="false">T684-S684</f>
        <v>3658.68</v>
      </c>
      <c r="V684" s="7" t="n">
        <f aca="false">IF(T684=0,0,U684/T684)</f>
        <v>0.470730822377817</v>
      </c>
      <c r="W684" s="4" t="n">
        <f aca="false">C684-B684</f>
        <v>0</v>
      </c>
      <c r="X684" s="0" t="str">
        <f aca="false">TEXT(B684,"mmmm")</f>
        <v>February</v>
      </c>
      <c r="Y684" s="4" t="n">
        <f aca="false">YEAR(B684)</f>
        <v>2025</v>
      </c>
      <c r="Z684" s="0" t="str">
        <f aca="false">PROPER(TRIM(AU684))</f>
        <v>Paid</v>
      </c>
      <c r="AA684" s="0" t="str">
        <f aca="false">PROPER(TRIM(AV684))</f>
        <v>Completed</v>
      </c>
      <c r="AB684" s="0" t="str">
        <f aca="false">IF(TRIM(AN684)="","Yes","No")</f>
        <v>No</v>
      </c>
      <c r="AC684" s="0" t="str">
        <f aca="false">IF(TRIM(AS684)="","Yes","No")</f>
        <v>No</v>
      </c>
      <c r="AD684" s="0" t="str">
        <f aca="false">IF(AT684="","Yes","No")</f>
        <v>Yes</v>
      </c>
      <c r="AE684" s="0" t="str">
        <f aca="false">IF(W684&lt;0,"Yes","No")</f>
        <v>No</v>
      </c>
      <c r="AF684" s="0" t="str">
        <f aca="false">IF(P684="","No",IF(OR(P684&lt;0,P684&gt;0.3),"Yes","No"))</f>
        <v>No</v>
      </c>
      <c r="AG684" s="4" t="s">
        <v>50</v>
      </c>
      <c r="AH684" s="0" t="str">
        <f aca="false">IF(AND(AA684="Completed",Z684="Paid"),"Yes","No")</f>
        <v>Yes</v>
      </c>
      <c r="AI684" s="0" t="str">
        <f aca="false">IF(OR(AE684="Yes",AF684="Yes",AG684="Yes"),"Invalid",IF(OR(AB684="Yes",AC684="Yes",AD684="Yes"),"Warning","Clean"))</f>
        <v>Warning</v>
      </c>
      <c r="AJ684" s="4" t="s">
        <v>328</v>
      </c>
      <c r="AK684" s="4" t="s">
        <v>2337</v>
      </c>
      <c r="AL684" s="4" t="s">
        <v>2589</v>
      </c>
      <c r="AM684" s="4" t="s">
        <v>128</v>
      </c>
      <c r="AN684" s="4" t="s">
        <v>168</v>
      </c>
      <c r="AO684" s="4" t="s">
        <v>310</v>
      </c>
      <c r="AP684" s="4" t="s">
        <v>311</v>
      </c>
      <c r="AQ684" s="4" t="s">
        <v>58</v>
      </c>
      <c r="AR684" s="4" t="s">
        <v>171</v>
      </c>
      <c r="AS684" s="4" t="s">
        <v>74</v>
      </c>
      <c r="AU684" s="4" t="s">
        <v>61</v>
      </c>
      <c r="AV684" s="4" t="s">
        <v>62</v>
      </c>
    </row>
    <row r="685" customFormat="false" ht="15" hidden="false" customHeight="false" outlineLevel="0" collapsed="false">
      <c r="A685" s="0" t="s">
        <v>2590</v>
      </c>
      <c r="B685" s="3" t="n">
        <f aca="false">IF(AJ685="","",IF(ISNUMBER(SEARCH("/",AJ685)),DATE(VALUE(RIGHT(AJ685,4)),VALUE(LEFT(AJ685,2)),VALUE(MID(AJ685,4,2))),IF(ISNUMBER(SEARCH("-",AJ685)),IF(LEN(LEFT(AJ685,FIND("-",AJ685)-1))=4,DATE(VALUE(LEFT(AJ685,4)),VALUE(MID(AJ685,6,2)),VALUE(RIGHT(AJ685,2))),DATE(VALUE(RIGHT(AJ685,4)),VALUE(MID(AJ685,4,2)),VALUE(LEFT(AJ685,2)))),DATE(VALUE(RIGHT(AJ685,4)),MATCH(MID(AJ685,4,3),{"Jan","Feb","Mar","Apr","May","Jun","Jul","Aug","Sep","Oct","Nov","Dec"},0),VALUE(LEFT(AJ685,2))))))</f>
        <v>45858</v>
      </c>
      <c r="C685" s="3" t="n">
        <f aca="false">IF(AK685="","",IF(ISNUMBER(SEARCH("/",AK685)),DATE(VALUE(RIGHT(AK685,4)),VALUE(LEFT(AK685,2)),VALUE(MID(AK685,4,2))),IF(ISNUMBER(SEARCH("-",AK685)),IF(LEN(LEFT(AK685,FIND("-",AK685)-1))=4,DATE(VALUE(LEFT(AK685,4)),VALUE(MID(AK685,6,2)),VALUE(RIGHT(AK685,2))),DATE(VALUE(RIGHT(AK685,4)),VALUE(MID(AK685,4,2)),VALUE(LEFT(AK685,2)))),DATE(VALUE(RIGHT(AK685,4)),MATCH(MID(AK685,4,3),{"Jan","Feb","Mar","Apr","May","Jun","Jul","Aug","Sep","Oct","Nov","Dec"},0),VALUE(LEFT(AK685,2))))))</f>
        <v>45862</v>
      </c>
      <c r="D685" s="4" t="s">
        <v>2591</v>
      </c>
      <c r="E685" s="0" t="str">
        <f aca="false">PROPER(TRIM(AL685))</f>
        <v>Arjun Bose</v>
      </c>
      <c r="F685" s="0" t="str">
        <f aca="false">PROPER(TRIM(AM685))</f>
        <v>Small Business</v>
      </c>
      <c r="G685" s="0" t="str">
        <f aca="false">IF(TRIM(AN685)="","Unknown",PROPER(TRIM(AN685)))</f>
        <v>South</v>
      </c>
      <c r="H685" s="0" t="str">
        <f aca="false">PROPER(TRIM(AO685))</f>
        <v>Telangana</v>
      </c>
      <c r="I685" s="0" t="str">
        <f aca="false">PROPER(TRIM(AP685))</f>
        <v>Hyderabad</v>
      </c>
      <c r="J685" s="0" t="str">
        <f aca="false">PROPER(TRIM(AQ685))</f>
        <v>Furniture</v>
      </c>
      <c r="K685" s="0" t="str">
        <f aca="false">PROPER(TRIM(AR685))</f>
        <v>Furnishings</v>
      </c>
      <c r="M685" s="0" t="str">
        <f aca="false">IF(TRIM(AS685)="","Unknown",PROPER(TRIM(AS685)))</f>
        <v>Second Class</v>
      </c>
      <c r="N685" s="0" t="n">
        <v>6</v>
      </c>
      <c r="O685" s="0" t="n">
        <v>1646.45</v>
      </c>
      <c r="P685" s="5" t="n">
        <f aca="false">IF(AT685="","",IF(ISNUMBER(AT685),AT685,VALUE(SUBSTITUTE(AT685,"%",""))/100))</f>
        <v>0.2</v>
      </c>
      <c r="Q685" s="5" t="n">
        <f aca="false">IF(P685="",IF(AND(N685&lt;&gt;"",O685&lt;&gt;"",R685&lt;&gt;"",S685&lt;&gt;""),0,"REVIEW"),IF(OR(P685&lt;0,P685&gt;0.3),0,P685))</f>
        <v>0.2</v>
      </c>
      <c r="R685" s="0" t="n">
        <v>7902.96</v>
      </c>
      <c r="S685" s="0" t="n">
        <v>5512.03</v>
      </c>
      <c r="T685" s="6" t="n">
        <f aca="false">N685*O685*(1-Q685)</f>
        <v>7902.96</v>
      </c>
      <c r="U685" s="6" t="n">
        <f aca="false">T685-S685</f>
        <v>2390.93</v>
      </c>
      <c r="V685" s="7" t="n">
        <f aca="false">IF(T685=0,0,U685/T685)</f>
        <v>0.302536011823418</v>
      </c>
      <c r="W685" s="4" t="n">
        <f aca="false">C685-B685</f>
        <v>4</v>
      </c>
      <c r="X685" s="0" t="str">
        <f aca="false">TEXT(B685,"mmmm")</f>
        <v>July</v>
      </c>
      <c r="Y685" s="4" t="n">
        <f aca="false">YEAR(B685)</f>
        <v>2025</v>
      </c>
      <c r="Z685" s="0" t="str">
        <f aca="false">PROPER(TRIM(AU685))</f>
        <v>Refunded</v>
      </c>
      <c r="AA685" s="0" t="str">
        <f aca="false">PROPER(TRIM(AV685))</f>
        <v>Cancelled</v>
      </c>
      <c r="AB685" s="0" t="str">
        <f aca="false">IF(TRIM(AN685)="","Yes","No")</f>
        <v>No</v>
      </c>
      <c r="AC685" s="0" t="str">
        <f aca="false">IF(TRIM(AS685)="","Yes","No")</f>
        <v>No</v>
      </c>
      <c r="AD685" s="0" t="str">
        <f aca="false">IF(AT685="","Yes","No")</f>
        <v>No</v>
      </c>
      <c r="AE685" s="0" t="str">
        <f aca="false">IF(W685&lt;0,"Yes","No")</f>
        <v>No</v>
      </c>
      <c r="AF685" s="0" t="str">
        <f aca="false">IF(P685="","No",IF(OR(P685&lt;0,P685&gt;0.3),"Yes","No"))</f>
        <v>No</v>
      </c>
      <c r="AG685" s="4" t="s">
        <v>50</v>
      </c>
      <c r="AH685" s="0" t="str">
        <f aca="false">IF(AND(AA685="Completed",Z685="Paid"),"Yes","No")</f>
        <v>No</v>
      </c>
      <c r="AI685" s="0" t="str">
        <f aca="false">IF(OR(AE685="Yes",AF685="Yes",AG685="Yes"),"Invalid",IF(OR(AB685="Yes",AC685="Yes",AD685="Yes"),"Warning","Clean"))</f>
        <v>Clean</v>
      </c>
      <c r="AJ685" s="4" t="s">
        <v>2592</v>
      </c>
      <c r="AK685" s="4" t="s">
        <v>1436</v>
      </c>
      <c r="AL685" s="4" t="s">
        <v>86</v>
      </c>
      <c r="AM685" s="4" t="s">
        <v>68</v>
      </c>
      <c r="AN685" s="4" t="s">
        <v>87</v>
      </c>
      <c r="AO685" s="4" t="s">
        <v>88</v>
      </c>
      <c r="AP685" s="4" t="s">
        <v>89</v>
      </c>
      <c r="AQ685" s="4" t="s">
        <v>72</v>
      </c>
      <c r="AR685" s="4" t="s">
        <v>90</v>
      </c>
      <c r="AS685" s="4" t="s">
        <v>60</v>
      </c>
      <c r="AT685" s="0" t="n">
        <v>0.2</v>
      </c>
      <c r="AU685" s="4" t="s">
        <v>141</v>
      </c>
      <c r="AV685" s="4" t="s">
        <v>101</v>
      </c>
    </row>
    <row r="686" customFormat="false" ht="15" hidden="false" customHeight="false" outlineLevel="0" collapsed="false">
      <c r="A686" s="0" t="s">
        <v>2593</v>
      </c>
      <c r="B686" s="3" t="n">
        <f aca="false">IF(AJ686="","",IF(ISNUMBER(SEARCH("/",AJ686)),DATE(VALUE(RIGHT(AJ686,4)),VALUE(LEFT(AJ686,2)),VALUE(MID(AJ686,4,2))),IF(ISNUMBER(SEARCH("-",AJ686)),IF(LEN(LEFT(AJ686,FIND("-",AJ686)-1))=4,DATE(VALUE(LEFT(AJ686,4)),VALUE(MID(AJ686,6,2)),VALUE(RIGHT(AJ686,2))),DATE(VALUE(RIGHT(AJ686,4)),VALUE(MID(AJ686,4,2)),VALUE(LEFT(AJ686,2)))),DATE(VALUE(RIGHT(AJ686,4)),MATCH(MID(AJ686,4,3),{"Jan","Feb","Mar","Apr","May","Jun","Jul","Aug","Sep","Oct","Nov","Dec"},0),VALUE(LEFT(AJ686,2))))))</f>
        <v>45859</v>
      </c>
      <c r="C686" s="3" t="n">
        <f aca="false">IF(AK686="","",IF(ISNUMBER(SEARCH("/",AK686)),DATE(VALUE(RIGHT(AK686,4)),VALUE(LEFT(AK686,2)),VALUE(MID(AK686,4,2))),IF(ISNUMBER(SEARCH("-",AK686)),IF(LEN(LEFT(AK686,FIND("-",AK686)-1))=4,DATE(VALUE(LEFT(AK686,4)),VALUE(MID(AK686,6,2)),VALUE(RIGHT(AK686,2))),DATE(VALUE(RIGHT(AK686,4)),VALUE(MID(AK686,4,2)),VALUE(LEFT(AK686,2)))),DATE(VALUE(RIGHT(AK686,4)),MATCH(MID(AK686,4,3),{"Jan","Feb","Mar","Apr","May","Jun","Jul","Aug","Sep","Oct","Nov","Dec"},0),VALUE(LEFT(AK686,2))))))</f>
        <v>45859</v>
      </c>
      <c r="D686" s="4" t="s">
        <v>2594</v>
      </c>
      <c r="E686" s="0" t="str">
        <f aca="false">PROPER(TRIM(AL686))</f>
        <v>Isha Nair</v>
      </c>
      <c r="F686" s="0" t="str">
        <f aca="false">PROPER(TRIM(AM686))</f>
        <v>Home Office</v>
      </c>
      <c r="G686" s="0" t="str">
        <f aca="false">IF(TRIM(AN686)="","Unknown",PROPER(TRIM(AN686)))</f>
        <v>South</v>
      </c>
      <c r="H686" s="0" t="str">
        <f aca="false">PROPER(TRIM(AO686))</f>
        <v>Tamil Nadu</v>
      </c>
      <c r="I686" s="0" t="str">
        <f aca="false">PROPER(TRIM(AP686))</f>
        <v>Chennai</v>
      </c>
      <c r="J686" s="0" t="str">
        <f aca="false">PROPER(TRIM(AQ686))</f>
        <v>Furniture</v>
      </c>
      <c r="K686" s="0" t="str">
        <f aca="false">PROPER(TRIM(AR686))</f>
        <v>Bookcases</v>
      </c>
      <c r="M686" s="0" t="str">
        <f aca="false">IF(TRIM(AS686)="","Unknown",PROPER(TRIM(AS686)))</f>
        <v>First Class</v>
      </c>
      <c r="N686" s="0" t="n">
        <v>7</v>
      </c>
      <c r="O686" s="0" t="n">
        <v>4396.65</v>
      </c>
      <c r="P686" s="5" t="n">
        <f aca="false">IF(AT686="","",IF(ISNUMBER(AT686),AT686,VALUE(SUBSTITUTE(AT686,"%",""))/100))</f>
        <v>0.2</v>
      </c>
      <c r="Q686" s="5" t="n">
        <f aca="false">IF(P686="",IF(AND(N686&lt;&gt;"",O686&lt;&gt;"",R686&lt;&gt;"",S686&lt;&gt;""),0,"REVIEW"),IF(OR(P686&lt;0,P686&gt;0.3),0,P686))</f>
        <v>0.2</v>
      </c>
      <c r="R686" s="0" t="n">
        <v>24621.24</v>
      </c>
      <c r="S686" s="0" t="n">
        <v>17155.48</v>
      </c>
      <c r="T686" s="6" t="n">
        <f aca="false">N686*O686*(1-Q686)</f>
        <v>24621.24</v>
      </c>
      <c r="U686" s="6" t="n">
        <f aca="false">T686-S686</f>
        <v>7465.76</v>
      </c>
      <c r="V686" s="7" t="n">
        <f aca="false">IF(T686=0,0,U686/T686)</f>
        <v>0.303224370502867</v>
      </c>
      <c r="W686" s="4" t="n">
        <f aca="false">C686-B686</f>
        <v>0</v>
      </c>
      <c r="X686" s="0" t="str">
        <f aca="false">TEXT(B686,"mmmm")</f>
        <v>July</v>
      </c>
      <c r="Y686" s="4" t="n">
        <f aca="false">YEAR(B686)</f>
        <v>2025</v>
      </c>
      <c r="Z686" s="0" t="str">
        <f aca="false">PROPER(TRIM(AU686))</f>
        <v>Refunded</v>
      </c>
      <c r="AA686" s="0" t="str">
        <f aca="false">PROPER(TRIM(AV686))</f>
        <v>Cancelled</v>
      </c>
      <c r="AB686" s="0" t="str">
        <f aca="false">IF(TRIM(AN686)="","Yes","No")</f>
        <v>No</v>
      </c>
      <c r="AC686" s="0" t="str">
        <f aca="false">IF(TRIM(AS686)="","Yes","No")</f>
        <v>No</v>
      </c>
      <c r="AD686" s="0" t="str">
        <f aca="false">IF(AT686="","Yes","No")</f>
        <v>No</v>
      </c>
      <c r="AE686" s="0" t="str">
        <f aca="false">IF(W686&lt;0,"Yes","No")</f>
        <v>No</v>
      </c>
      <c r="AF686" s="0" t="str">
        <f aca="false">IF(P686="","No",IF(OR(P686&lt;0,P686&gt;0.3),"Yes","No"))</f>
        <v>No</v>
      </c>
      <c r="AG686" s="4" t="s">
        <v>50</v>
      </c>
      <c r="AH686" s="0" t="str">
        <f aca="false">IF(AND(AA686="Completed",Z686="Paid"),"Yes","No")</f>
        <v>No</v>
      </c>
      <c r="AI686" s="0" t="str">
        <f aca="false">IF(OR(AE686="Yes",AF686="Yes",AG686="Yes"),"Invalid",IF(OR(AB686="Yes",AC686="Yes",AD686="Yes"),"Warning","Clean"))</f>
        <v>Clean</v>
      </c>
      <c r="AJ686" s="4" t="s">
        <v>2595</v>
      </c>
      <c r="AK686" s="4" t="s">
        <v>451</v>
      </c>
      <c r="AL686" s="4" t="s">
        <v>79</v>
      </c>
      <c r="AM686" s="4" t="s">
        <v>134</v>
      </c>
      <c r="AN686" s="4" t="s">
        <v>87</v>
      </c>
      <c r="AO686" s="4" t="s">
        <v>323</v>
      </c>
      <c r="AP686" s="4" t="s">
        <v>324</v>
      </c>
      <c r="AQ686" s="4" t="s">
        <v>72</v>
      </c>
      <c r="AR686" s="4" t="s">
        <v>211</v>
      </c>
      <c r="AS686" s="4" t="s">
        <v>81</v>
      </c>
      <c r="AT686" s="0" t="n">
        <v>0.2</v>
      </c>
      <c r="AU686" s="4" t="s">
        <v>141</v>
      </c>
      <c r="AV686" s="4" t="s">
        <v>101</v>
      </c>
    </row>
    <row r="687" customFormat="false" ht="15" hidden="false" customHeight="false" outlineLevel="0" collapsed="false">
      <c r="A687" s="0" t="s">
        <v>2596</v>
      </c>
      <c r="B687" s="3" t="n">
        <f aca="false">IF(AJ687="","",IF(ISNUMBER(SEARCH("/",AJ687)),DATE(VALUE(RIGHT(AJ687,4)),VALUE(LEFT(AJ687,2)),VALUE(MID(AJ687,4,2))),IF(ISNUMBER(SEARCH("-",AJ687)),IF(LEN(LEFT(AJ687,FIND("-",AJ687)-1))=4,DATE(VALUE(LEFT(AJ687,4)),VALUE(MID(AJ687,6,2)),VALUE(RIGHT(AJ687,2))),DATE(VALUE(RIGHT(AJ687,4)),VALUE(MID(AJ687,4,2)),VALUE(LEFT(AJ687,2)))),DATE(VALUE(RIGHT(AJ687,4)),MATCH(MID(AJ687,4,3),{"Jan","Feb","Mar","Apr","May","Jun","Jul","Aug","Sep","Oct","Nov","Dec"},0),VALUE(LEFT(AJ687,2))))))</f>
        <v>45931</v>
      </c>
      <c r="C687" s="3" t="n">
        <f aca="false">IF(AK687="","",IF(ISNUMBER(SEARCH("/",AK687)),DATE(VALUE(RIGHT(AK687,4)),VALUE(LEFT(AK687,2)),VALUE(MID(AK687,4,2))),IF(ISNUMBER(SEARCH("-",AK687)),IF(LEN(LEFT(AK687,FIND("-",AK687)-1))=4,DATE(VALUE(LEFT(AK687,4)),VALUE(MID(AK687,6,2)),VALUE(RIGHT(AK687,2))),DATE(VALUE(RIGHT(AK687,4)),VALUE(MID(AK687,4,2)),VALUE(LEFT(AK687,2)))),DATE(VALUE(RIGHT(AK687,4)),MATCH(MID(AK687,4,3),{"Jan","Feb","Mar","Apr","May","Jun","Jul","Aug","Sep","Oct","Nov","Dec"},0),VALUE(LEFT(AK687,2))))))</f>
        <v>45933</v>
      </c>
      <c r="D687" s="4" t="s">
        <v>2218</v>
      </c>
      <c r="E687" s="0" t="str">
        <f aca="false">PROPER(TRIM(AL687))</f>
        <v>Neha Gupta</v>
      </c>
      <c r="F687" s="0" t="str">
        <f aca="false">PROPER(TRIM(AM687))</f>
        <v>Corporate</v>
      </c>
      <c r="G687" s="0" t="str">
        <f aca="false">IF(TRIM(AN687)="","Unknown",PROPER(TRIM(AN687)))</f>
        <v>West</v>
      </c>
      <c r="H687" s="0" t="str">
        <f aca="false">PROPER(TRIM(AO687))</f>
        <v>Goa</v>
      </c>
      <c r="I687" s="0" t="str">
        <f aca="false">PROPER(TRIM(AP687))</f>
        <v>Panaji</v>
      </c>
      <c r="J687" s="0" t="str">
        <f aca="false">PROPER(TRIM(AQ687))</f>
        <v>Office Supplies</v>
      </c>
      <c r="K687" s="0" t="str">
        <f aca="false">PROPER(TRIM(AR687))</f>
        <v>Art</v>
      </c>
      <c r="M687" s="0" t="str">
        <f aca="false">IF(TRIM(AS687)="","Unknown",PROPER(TRIM(AS687)))</f>
        <v>Standard Class</v>
      </c>
      <c r="N687" s="0" t="n">
        <v>9</v>
      </c>
      <c r="O687" s="0" t="n">
        <v>818.15</v>
      </c>
      <c r="P687" s="5" t="n">
        <f aca="false">IF(AT687="","",IF(ISNUMBER(AT687),AT687,VALUE(SUBSTITUTE(AT687,"%",""))/100))</f>
        <v>0.55</v>
      </c>
      <c r="Q687" s="5" t="n">
        <f aca="false">IF(P687="",IF(AND(N687&lt;&gt;"",O687&lt;&gt;"",R687&lt;&gt;"",S687&lt;&gt;""),0,"REVIEW"),IF(OR(P687&lt;0,P687&gt;0.3),0,P687))</f>
        <v>0</v>
      </c>
      <c r="R687" s="0" t="n">
        <v>6627.01</v>
      </c>
      <c r="S687" s="0" t="n">
        <v>5606.79</v>
      </c>
      <c r="T687" s="6" t="n">
        <f aca="false">N687*O687*(1-Q687)</f>
        <v>7363.35</v>
      </c>
      <c r="U687" s="6" t="n">
        <f aca="false">T687-S687</f>
        <v>1756.56</v>
      </c>
      <c r="V687" s="7" t="n">
        <f aca="false">IF(T687=0,0,U687/T687)</f>
        <v>0.238554462303164</v>
      </c>
      <c r="W687" s="4" t="n">
        <f aca="false">C687-B687</f>
        <v>2</v>
      </c>
      <c r="X687" s="0" t="str">
        <f aca="false">TEXT(B687,"mmmm")</f>
        <v>October</v>
      </c>
      <c r="Y687" s="4" t="n">
        <f aca="false">YEAR(B687)</f>
        <v>2025</v>
      </c>
      <c r="Z687" s="0" t="str">
        <f aca="false">PROPER(TRIM(AU687))</f>
        <v>Failed</v>
      </c>
      <c r="AA687" s="0" t="str">
        <f aca="false">PROPER(TRIM(AV687))</f>
        <v>Cancelled</v>
      </c>
      <c r="AB687" s="0" t="str">
        <f aca="false">IF(TRIM(AN687)="","Yes","No")</f>
        <v>No</v>
      </c>
      <c r="AC687" s="0" t="str">
        <f aca="false">IF(TRIM(AS687)="","Yes","No")</f>
        <v>No</v>
      </c>
      <c r="AD687" s="0" t="str">
        <f aca="false">IF(AT687="","Yes","No")</f>
        <v>No</v>
      </c>
      <c r="AE687" s="0" t="str">
        <f aca="false">IF(W687&lt;0,"Yes","No")</f>
        <v>No</v>
      </c>
      <c r="AF687" s="0" t="str">
        <f aca="false">IF(P687="","No",IF(OR(P687&lt;0,P687&gt;0.3),"Yes","No"))</f>
        <v>Yes</v>
      </c>
      <c r="AG687" s="4" t="s">
        <v>50</v>
      </c>
      <c r="AH687" s="0" t="str">
        <f aca="false">IF(AND(AA687="Completed",Z687="Paid"),"Yes","No")</f>
        <v>No</v>
      </c>
      <c r="AI687" s="0" t="str">
        <f aca="false">IF(OR(AE687="Yes",AF687="Yes",AG687="Yes"),"Invalid",IF(OR(AB687="Yes",AC687="Yes",AD687="Yes"),"Warning","Clean"))</f>
        <v>Invalid</v>
      </c>
      <c r="AJ687" s="4" t="s">
        <v>2597</v>
      </c>
      <c r="AK687" s="4" t="s">
        <v>455</v>
      </c>
      <c r="AL687" s="4" t="s">
        <v>115</v>
      </c>
      <c r="AM687" s="4" t="s">
        <v>128</v>
      </c>
      <c r="AN687" s="4" t="s">
        <v>97</v>
      </c>
      <c r="AO687" s="4" t="s">
        <v>250</v>
      </c>
      <c r="AP687" s="4" t="s">
        <v>251</v>
      </c>
      <c r="AQ687" s="4" t="s">
        <v>58</v>
      </c>
      <c r="AR687" s="4" t="s">
        <v>80</v>
      </c>
      <c r="AS687" s="4" t="s">
        <v>91</v>
      </c>
      <c r="AT687" s="0" t="n">
        <v>0.55</v>
      </c>
      <c r="AU687" s="4" t="s">
        <v>207</v>
      </c>
      <c r="AV687" s="4" t="s">
        <v>101</v>
      </c>
    </row>
    <row r="688" customFormat="false" ht="15" hidden="false" customHeight="false" outlineLevel="0" collapsed="false">
      <c r="A688" s="0" t="s">
        <v>2598</v>
      </c>
      <c r="B688" s="3" t="n">
        <f aca="false">IF(AJ688="","",IF(ISNUMBER(SEARCH("/",AJ688)),DATE(VALUE(RIGHT(AJ688,4)),VALUE(LEFT(AJ688,2)),VALUE(MID(AJ688,4,2))),IF(ISNUMBER(SEARCH("-",AJ688)),IF(LEN(LEFT(AJ688,FIND("-",AJ688)-1))=4,DATE(VALUE(LEFT(AJ688,4)),VALUE(MID(AJ688,6,2)),VALUE(RIGHT(AJ688,2))),DATE(VALUE(RIGHT(AJ688,4)),VALUE(MID(AJ688,4,2)),VALUE(LEFT(AJ688,2)))),DATE(VALUE(RIGHT(AJ688,4)),MATCH(MID(AJ688,4,3),{"Jan","Feb","Mar","Apr","May","Jun","Jul","Aug","Sep","Oct","Nov","Dec"},0),VALUE(LEFT(AJ688,2))))))</f>
        <v>45376</v>
      </c>
      <c r="C688" s="3" t="n">
        <f aca="false">IF(AK688="","",IF(ISNUMBER(SEARCH("/",AK688)),DATE(VALUE(RIGHT(AK688,4)),VALUE(LEFT(AK688,2)),VALUE(MID(AK688,4,2))),IF(ISNUMBER(SEARCH("-",AK688)),IF(LEN(LEFT(AK688,FIND("-",AK688)-1))=4,DATE(VALUE(LEFT(AK688,4)),VALUE(MID(AK688,6,2)),VALUE(RIGHT(AK688,2))),DATE(VALUE(RIGHT(AK688,4)),VALUE(MID(AK688,4,2)),VALUE(LEFT(AK688,2)))),DATE(VALUE(RIGHT(AK688,4)),MATCH(MID(AK688,4,3),{"Jan","Feb","Mar","Apr","May","Jun","Jul","Aug","Sep","Oct","Nov","Dec"},0),VALUE(LEFT(AK688,2))))))</f>
        <v>45384</v>
      </c>
      <c r="D688" s="4" t="s">
        <v>2599</v>
      </c>
      <c r="E688" s="0" t="str">
        <f aca="false">PROPER(TRIM(AL688))</f>
        <v>Sneha Kapoor</v>
      </c>
      <c r="F688" s="0" t="str">
        <f aca="false">PROPER(TRIM(AM688))</f>
        <v>Home Office</v>
      </c>
      <c r="G688" s="0" t="str">
        <f aca="false">IF(TRIM(AN688)="","Unknown",PROPER(TRIM(AN688)))</f>
        <v>South</v>
      </c>
      <c r="H688" s="0" t="str">
        <f aca="false">PROPER(TRIM(AO688))</f>
        <v>Tamil Nadu</v>
      </c>
      <c r="I688" s="0" t="str">
        <f aca="false">PROPER(TRIM(AP688))</f>
        <v>Chennai</v>
      </c>
      <c r="J688" s="0" t="str">
        <f aca="false">PROPER(TRIM(AQ688))</f>
        <v>Technology</v>
      </c>
      <c r="K688" s="0" t="str">
        <f aca="false">PROPER(TRIM(AR688))</f>
        <v>Copiers</v>
      </c>
      <c r="M688" s="0" t="str">
        <f aca="false">IF(TRIM(AS688)="","Unknown",PROPER(TRIM(AS688)))</f>
        <v>Standard Class</v>
      </c>
      <c r="N688" s="0" t="n">
        <v>2</v>
      </c>
      <c r="O688" s="0" t="n">
        <v>2349.13</v>
      </c>
      <c r="P688" s="5" t="n">
        <f aca="false">IF(AT688="","",IF(ISNUMBER(AT688),AT688,VALUE(SUBSTITUTE(AT688,"%",""))/100))</f>
        <v>0</v>
      </c>
      <c r="Q688" s="5" t="n">
        <f aca="false">IF(P688="",IF(AND(N688&lt;&gt;"",O688&lt;&gt;"",R688&lt;&gt;"",S688&lt;&gt;""),0,"REVIEW"),IF(OR(P688&lt;0,P688&gt;0.3),0,P688))</f>
        <v>0</v>
      </c>
      <c r="R688" s="0" t="n">
        <v>4698.26</v>
      </c>
      <c r="S688" s="0" t="n">
        <v>2654.92</v>
      </c>
      <c r="T688" s="6" t="n">
        <f aca="false">N688*O688*(1-Q688)</f>
        <v>4698.26</v>
      </c>
      <c r="U688" s="6" t="n">
        <f aca="false">T688-S688</f>
        <v>2043.34</v>
      </c>
      <c r="V688" s="7" t="n">
        <f aca="false">IF(T688=0,0,U688/T688)</f>
        <v>0.434914202279142</v>
      </c>
      <c r="W688" s="4" t="n">
        <f aca="false">C688-B688</f>
        <v>8</v>
      </c>
      <c r="X688" s="0" t="str">
        <f aca="false">TEXT(B688,"mmmm")</f>
        <v>March</v>
      </c>
      <c r="Y688" s="4" t="n">
        <f aca="false">YEAR(B688)</f>
        <v>2024</v>
      </c>
      <c r="Z688" s="0" t="str">
        <f aca="false">PROPER(TRIM(AU688))</f>
        <v>Paid</v>
      </c>
      <c r="AA688" s="0" t="str">
        <f aca="false">PROPER(TRIM(AV688))</f>
        <v>Completed</v>
      </c>
      <c r="AB688" s="0" t="str">
        <f aca="false">IF(TRIM(AN688)="","Yes","No")</f>
        <v>No</v>
      </c>
      <c r="AC688" s="0" t="str">
        <f aca="false">IF(TRIM(AS688)="","Yes","No")</f>
        <v>No</v>
      </c>
      <c r="AD688" s="0" t="str">
        <f aca="false">IF(AT688="","Yes","No")</f>
        <v>No</v>
      </c>
      <c r="AE688" s="0" t="str">
        <f aca="false">IF(W688&lt;0,"Yes","No")</f>
        <v>No</v>
      </c>
      <c r="AF688" s="0" t="str">
        <f aca="false">IF(P688="","No",IF(OR(P688&lt;0,P688&gt;0.3),"Yes","No"))</f>
        <v>No</v>
      </c>
      <c r="AG688" s="4" t="s">
        <v>50</v>
      </c>
      <c r="AH688" s="0" t="str">
        <f aca="false">IF(AND(AA688="Completed",Z688="Paid"),"Yes","No")</f>
        <v>Yes</v>
      </c>
      <c r="AI688" s="0" t="str">
        <f aca="false">IF(OR(AE688="Yes",AF688="Yes",AG688="Yes"),"Invalid",IF(OR(AB688="Yes",AC688="Yes",AD688="Yes"),"Warning","Clean"))</f>
        <v>Clean</v>
      </c>
      <c r="AJ688" s="4" t="s">
        <v>2600</v>
      </c>
      <c r="AK688" s="4" t="s">
        <v>1781</v>
      </c>
      <c r="AL688" s="4" t="s">
        <v>181</v>
      </c>
      <c r="AM688" s="4" t="s">
        <v>134</v>
      </c>
      <c r="AN688" s="4" t="s">
        <v>87</v>
      </c>
      <c r="AO688" s="4" t="s">
        <v>323</v>
      </c>
      <c r="AP688" s="4" t="s">
        <v>324</v>
      </c>
      <c r="AQ688" s="4" t="s">
        <v>109</v>
      </c>
      <c r="AR688" s="4" t="s">
        <v>116</v>
      </c>
      <c r="AS688" s="4" t="s">
        <v>91</v>
      </c>
      <c r="AT688" s="0" t="n">
        <v>0</v>
      </c>
      <c r="AU688" s="4" t="s">
        <v>61</v>
      </c>
      <c r="AV688" s="4" t="s">
        <v>62</v>
      </c>
    </row>
    <row r="689" customFormat="false" ht="15" hidden="false" customHeight="false" outlineLevel="0" collapsed="false">
      <c r="A689" s="0" t="s">
        <v>2601</v>
      </c>
      <c r="B689" s="3" t="n">
        <f aca="false">IF(AJ689="","",IF(ISNUMBER(SEARCH("/",AJ689)),DATE(VALUE(RIGHT(AJ689,4)),VALUE(LEFT(AJ689,2)),VALUE(MID(AJ689,4,2))),IF(ISNUMBER(SEARCH("-",AJ689)),IF(LEN(LEFT(AJ689,FIND("-",AJ689)-1))=4,DATE(VALUE(LEFT(AJ689,4)),VALUE(MID(AJ689,6,2)),VALUE(RIGHT(AJ689,2))),DATE(VALUE(RIGHT(AJ689,4)),VALUE(MID(AJ689,4,2)),VALUE(LEFT(AJ689,2)))),DATE(VALUE(RIGHT(AJ689,4)),MATCH(MID(AJ689,4,3),{"Jan","Feb","Mar","Apr","May","Jun","Jul","Aug","Sep","Oct","Nov","Dec"},0),VALUE(LEFT(AJ689,2))))))</f>
        <v>45938</v>
      </c>
      <c r="C689" s="3" t="n">
        <f aca="false">IF(AK689="","",IF(ISNUMBER(SEARCH("/",AK689)),DATE(VALUE(RIGHT(AK689,4)),VALUE(LEFT(AK689,2)),VALUE(MID(AK689,4,2))),IF(ISNUMBER(SEARCH("-",AK689)),IF(LEN(LEFT(AK689,FIND("-",AK689)-1))=4,DATE(VALUE(LEFT(AK689,4)),VALUE(MID(AK689,6,2)),VALUE(RIGHT(AK689,2))),DATE(VALUE(RIGHT(AK689,4)),VALUE(MID(AK689,4,2)),VALUE(LEFT(AK689,2)))),DATE(VALUE(RIGHT(AK689,4)),MATCH(MID(AK689,4,3),{"Jan","Feb","Mar","Apr","May","Jun","Jul","Aug","Sep","Oct","Nov","Dec"},0),VALUE(LEFT(AK689,2))))))</f>
        <v>45943</v>
      </c>
      <c r="D689" s="4" t="s">
        <v>2602</v>
      </c>
      <c r="E689" s="0" t="str">
        <f aca="false">PROPER(TRIM(AL689))</f>
        <v>Mira Das</v>
      </c>
      <c r="F689" s="0" t="str">
        <f aca="false">PROPER(TRIM(AM689))</f>
        <v>Home Office</v>
      </c>
      <c r="G689" s="0" t="str">
        <f aca="false">IF(TRIM(AN689)="","Unknown",PROPER(TRIM(AN689)))</f>
        <v>North</v>
      </c>
      <c r="H689" s="0" t="str">
        <f aca="false">PROPER(TRIM(AO689))</f>
        <v>Punjab</v>
      </c>
      <c r="I689" s="0" t="str">
        <f aca="false">PROPER(TRIM(AP689))</f>
        <v>Ludhiana</v>
      </c>
      <c r="J689" s="0" t="str">
        <f aca="false">PROPER(TRIM(AQ689))</f>
        <v>Furniture</v>
      </c>
      <c r="K689" s="0" t="str">
        <f aca="false">PROPER(TRIM(AR689))</f>
        <v>Tables</v>
      </c>
      <c r="M689" s="0" t="str">
        <f aca="false">IF(TRIM(AS689)="","Unknown",PROPER(TRIM(AS689)))</f>
        <v>First Class</v>
      </c>
      <c r="N689" s="0" t="n">
        <v>4</v>
      </c>
      <c r="O689" s="0" t="n">
        <v>172.05</v>
      </c>
      <c r="P689" s="5" t="n">
        <f aca="false">IF(AT689="","",IF(ISNUMBER(AT689),AT689,VALUE(SUBSTITUTE(AT689,"%",""))/100))</f>
        <v>0</v>
      </c>
      <c r="Q689" s="5" t="n">
        <f aca="false">IF(P689="",IF(AND(N689&lt;&gt;"",O689&lt;&gt;"",R689&lt;&gt;"",S689&lt;&gt;""),0,"REVIEW"),IF(OR(P689&lt;0,P689&gt;0.3),0,P689))</f>
        <v>0</v>
      </c>
      <c r="R689" s="0" t="n">
        <v>688.2</v>
      </c>
      <c r="S689" s="0" t="n">
        <v>497.68</v>
      </c>
      <c r="T689" s="6" t="n">
        <f aca="false">N689*O689*(1-Q689)</f>
        <v>688.2</v>
      </c>
      <c r="U689" s="6" t="n">
        <f aca="false">T689-S689</f>
        <v>190.52</v>
      </c>
      <c r="V689" s="7" t="n">
        <f aca="false">IF(T689=0,0,U689/T689)</f>
        <v>0.276838128451032</v>
      </c>
      <c r="W689" s="4" t="n">
        <f aca="false">C689-B689</f>
        <v>5</v>
      </c>
      <c r="X689" s="0" t="str">
        <f aca="false">TEXT(B689,"mmmm")</f>
        <v>October</v>
      </c>
      <c r="Y689" s="4" t="n">
        <f aca="false">YEAR(B689)</f>
        <v>2025</v>
      </c>
      <c r="Z689" s="0" t="str">
        <f aca="false">PROPER(TRIM(AU689))</f>
        <v>Failed</v>
      </c>
      <c r="AA689" s="0" t="str">
        <f aca="false">PROPER(TRIM(AV689))</f>
        <v>Cancelled</v>
      </c>
      <c r="AB689" s="0" t="str">
        <f aca="false">IF(TRIM(AN689)="","Yes","No")</f>
        <v>No</v>
      </c>
      <c r="AC689" s="0" t="str">
        <f aca="false">IF(TRIM(AS689)="","Yes","No")</f>
        <v>No</v>
      </c>
      <c r="AD689" s="0" t="str">
        <f aca="false">IF(AT689="","Yes","No")</f>
        <v>No</v>
      </c>
      <c r="AE689" s="0" t="str">
        <f aca="false">IF(W689&lt;0,"Yes","No")</f>
        <v>No</v>
      </c>
      <c r="AF689" s="0" t="str">
        <f aca="false">IF(P689="","No",IF(OR(P689&lt;0,P689&gt;0.3),"Yes","No"))</f>
        <v>No</v>
      </c>
      <c r="AG689" s="4" t="s">
        <v>50</v>
      </c>
      <c r="AH689" s="0" t="str">
        <f aca="false">IF(AND(AA689="Completed",Z689="Paid"),"Yes","No")</f>
        <v>No</v>
      </c>
      <c r="AI689" s="0" t="str">
        <f aca="false">IF(OR(AE689="Yes",AF689="Yes",AG689="Yes"),"Invalid",IF(OR(AB689="Yes",AC689="Yes",AD689="Yes"),"Warning","Clean"))</f>
        <v>Clean</v>
      </c>
      <c r="AJ689" s="4" t="s">
        <v>1013</v>
      </c>
      <c r="AK689" s="4" t="s">
        <v>2603</v>
      </c>
      <c r="AL689" s="4" t="s">
        <v>67</v>
      </c>
      <c r="AM689" s="4" t="s">
        <v>134</v>
      </c>
      <c r="AN689" s="4" t="s">
        <v>168</v>
      </c>
      <c r="AO689" s="4" t="s">
        <v>169</v>
      </c>
      <c r="AP689" s="4" t="s">
        <v>170</v>
      </c>
      <c r="AQ689" s="4" t="s">
        <v>72</v>
      </c>
      <c r="AR689" s="4" t="s">
        <v>73</v>
      </c>
      <c r="AS689" s="4" t="s">
        <v>81</v>
      </c>
      <c r="AT689" s="0" t="n">
        <v>0</v>
      </c>
      <c r="AU689" s="4" t="s">
        <v>207</v>
      </c>
      <c r="AV689" s="4" t="s">
        <v>101</v>
      </c>
    </row>
    <row r="690" customFormat="false" ht="15" hidden="false" customHeight="false" outlineLevel="0" collapsed="false">
      <c r="A690" s="0" t="s">
        <v>2604</v>
      </c>
      <c r="B690" s="3" t="n">
        <f aca="false">IF(AJ690="","",IF(ISNUMBER(SEARCH("/",AJ690)),DATE(VALUE(RIGHT(AJ690,4)),VALUE(LEFT(AJ690,2)),VALUE(MID(AJ690,4,2))),IF(ISNUMBER(SEARCH("-",AJ690)),IF(LEN(LEFT(AJ690,FIND("-",AJ690)-1))=4,DATE(VALUE(LEFT(AJ690,4)),VALUE(MID(AJ690,6,2)),VALUE(RIGHT(AJ690,2))),DATE(VALUE(RIGHT(AJ690,4)),VALUE(MID(AJ690,4,2)),VALUE(LEFT(AJ690,2)))),DATE(VALUE(RIGHT(AJ690,4)),MATCH(MID(AJ690,4,3),{"Jan","Feb","Mar","Apr","May","Jun","Jul","Aug","Sep","Oct","Nov","Dec"},0),VALUE(LEFT(AJ690,2))))))</f>
        <v>45714</v>
      </c>
      <c r="C690" s="3" t="n">
        <f aca="false">IF(AK690="","",IF(ISNUMBER(SEARCH("/",AK690)),DATE(VALUE(RIGHT(AK690,4)),VALUE(LEFT(AK690,2)),VALUE(MID(AK690,4,2))),IF(ISNUMBER(SEARCH("-",AK690)),IF(LEN(LEFT(AK690,FIND("-",AK690)-1))=4,DATE(VALUE(LEFT(AK690,4)),VALUE(MID(AK690,6,2)),VALUE(RIGHT(AK690,2))),DATE(VALUE(RIGHT(AK690,4)),VALUE(MID(AK690,4,2)),VALUE(LEFT(AK690,2)))),DATE(VALUE(RIGHT(AK690,4)),MATCH(MID(AK690,4,3),{"Jan","Feb","Mar","Apr","May","Jun","Jul","Aug","Sep","Oct","Nov","Dec"},0),VALUE(LEFT(AK690,2))))))</f>
        <v>45715</v>
      </c>
      <c r="D690" s="4" t="s">
        <v>2605</v>
      </c>
      <c r="E690" s="0" t="str">
        <f aca="false">PROPER(TRIM(AL690))</f>
        <v>Neha Gupta</v>
      </c>
      <c r="F690" s="0" t="str">
        <f aca="false">PROPER(TRIM(AM690))</f>
        <v>Home Office</v>
      </c>
      <c r="G690" s="0" t="str">
        <f aca="false">IF(TRIM(AN690)="","Unknown",PROPER(TRIM(AN690)))</f>
        <v>North</v>
      </c>
      <c r="H690" s="0" t="str">
        <f aca="false">PROPER(TRIM(AO690))</f>
        <v>Haryana</v>
      </c>
      <c r="I690" s="0" t="str">
        <f aca="false">PROPER(TRIM(AP690))</f>
        <v>Gurugram</v>
      </c>
      <c r="J690" s="0" t="str">
        <f aca="false">PROPER(TRIM(AQ690))</f>
        <v>Office Supplies</v>
      </c>
      <c r="K690" s="0" t="str">
        <f aca="false">PROPER(TRIM(AR690))</f>
        <v>Art</v>
      </c>
      <c r="M690" s="0" t="str">
        <f aca="false">IF(TRIM(AS690)="","Unknown",PROPER(TRIM(AS690)))</f>
        <v>Second Class</v>
      </c>
      <c r="N690" s="0" t="n">
        <v>6</v>
      </c>
      <c r="O690" s="0" t="n">
        <v>3037.66</v>
      </c>
      <c r="P690" s="5" t="n">
        <f aca="false">IF(AT690="","",IF(ISNUMBER(AT690),AT690,VALUE(SUBSTITUTE(AT690,"%",""))/100))</f>
        <v>0.15</v>
      </c>
      <c r="Q690" s="5" t="n">
        <f aca="false">IF(P690="",IF(AND(N690&lt;&gt;"",O690&lt;&gt;"",R690&lt;&gt;"",S690&lt;&gt;""),0,"REVIEW"),IF(OR(P690&lt;0,P690&gt;0.3),0,P690))</f>
        <v>0.15</v>
      </c>
      <c r="R690" s="0" t="n">
        <v>15492.07</v>
      </c>
      <c r="S690" s="0" t="n">
        <v>12581.23</v>
      </c>
      <c r="T690" s="6" t="n">
        <f aca="false">N690*O690*(1-Q690)</f>
        <v>15492.066</v>
      </c>
      <c r="U690" s="6" t="n">
        <f aca="false">T690-S690</f>
        <v>2910.836</v>
      </c>
      <c r="V690" s="7" t="n">
        <f aca="false">IF(T690=0,0,U690/T690)</f>
        <v>0.187892047451902</v>
      </c>
      <c r="W690" s="4" t="n">
        <f aca="false">C690-B690</f>
        <v>1</v>
      </c>
      <c r="X690" s="0" t="str">
        <f aca="false">TEXT(B690,"mmmm")</f>
        <v>February</v>
      </c>
      <c r="Y690" s="4" t="n">
        <f aca="false">YEAR(B690)</f>
        <v>2025</v>
      </c>
      <c r="Z690" s="0" t="str">
        <f aca="false">PROPER(TRIM(AU690))</f>
        <v>Paid</v>
      </c>
      <c r="AA690" s="0" t="str">
        <f aca="false">PROPER(TRIM(AV690))</f>
        <v>Completed</v>
      </c>
      <c r="AB690" s="0" t="str">
        <f aca="false">IF(TRIM(AN690)="","Yes","No")</f>
        <v>No</v>
      </c>
      <c r="AC690" s="0" t="str">
        <f aca="false">IF(TRIM(AS690)="","Yes","No")</f>
        <v>No</v>
      </c>
      <c r="AD690" s="0" t="str">
        <f aca="false">IF(AT690="","Yes","No")</f>
        <v>No</v>
      </c>
      <c r="AE690" s="0" t="str">
        <f aca="false">IF(W690&lt;0,"Yes","No")</f>
        <v>No</v>
      </c>
      <c r="AF690" s="0" t="str">
        <f aca="false">IF(P690="","No",IF(OR(P690&lt;0,P690&gt;0.3),"Yes","No"))</f>
        <v>No</v>
      </c>
      <c r="AG690" s="4" t="s">
        <v>50</v>
      </c>
      <c r="AH690" s="0" t="str">
        <f aca="false">IF(AND(AA690="Completed",Z690="Paid"),"Yes","No")</f>
        <v>Yes</v>
      </c>
      <c r="AI690" s="0" t="str">
        <f aca="false">IF(OR(AE690="Yes",AF690="Yes",AG690="Yes"),"Invalid",IF(OR(AB690="Yes",AC690="Yes",AD690="Yes"),"Warning","Clean"))</f>
        <v>Clean</v>
      </c>
      <c r="AJ690" s="4" t="s">
        <v>990</v>
      </c>
      <c r="AK690" s="4" t="s">
        <v>2606</v>
      </c>
      <c r="AL690" s="4" t="s">
        <v>115</v>
      </c>
      <c r="AM690" s="4" t="s">
        <v>134</v>
      </c>
      <c r="AN690" s="4" t="s">
        <v>168</v>
      </c>
      <c r="AO690" s="4" t="s">
        <v>310</v>
      </c>
      <c r="AP690" s="4" t="s">
        <v>311</v>
      </c>
      <c r="AQ690" s="4" t="s">
        <v>58</v>
      </c>
      <c r="AR690" s="4" t="s">
        <v>80</v>
      </c>
      <c r="AS690" s="4" t="s">
        <v>60</v>
      </c>
      <c r="AT690" s="0" t="n">
        <v>0.15</v>
      </c>
      <c r="AU690" s="4" t="s">
        <v>61</v>
      </c>
      <c r="AV690" s="4" t="s">
        <v>62</v>
      </c>
    </row>
    <row r="691" customFormat="false" ht="15" hidden="false" customHeight="false" outlineLevel="0" collapsed="false">
      <c r="A691" s="0" t="s">
        <v>2607</v>
      </c>
      <c r="B691" s="3" t="n">
        <f aca="false">IF(AJ691="","",IF(ISNUMBER(SEARCH("/",AJ691)),DATE(VALUE(RIGHT(AJ691,4)),VALUE(LEFT(AJ691,2)),VALUE(MID(AJ691,4,2))),IF(ISNUMBER(SEARCH("-",AJ691)),IF(LEN(LEFT(AJ691,FIND("-",AJ691)-1))=4,DATE(VALUE(LEFT(AJ691,4)),VALUE(MID(AJ691,6,2)),VALUE(RIGHT(AJ691,2))),DATE(VALUE(RIGHT(AJ691,4)),VALUE(MID(AJ691,4,2)),VALUE(LEFT(AJ691,2)))),DATE(VALUE(RIGHT(AJ691,4)),MATCH(MID(AJ691,4,3),{"Jan","Feb","Mar","Apr","May","Jun","Jul","Aug","Sep","Oct","Nov","Dec"},0),VALUE(LEFT(AJ691,2))))))</f>
        <v>45570</v>
      </c>
      <c r="C691" s="3" t="n">
        <f aca="false">IF(AK691="","",IF(ISNUMBER(SEARCH("/",AK691)),DATE(VALUE(RIGHT(AK691,4)),VALUE(LEFT(AK691,2)),VALUE(MID(AK691,4,2))),IF(ISNUMBER(SEARCH("-",AK691)),IF(LEN(LEFT(AK691,FIND("-",AK691)-1))=4,DATE(VALUE(LEFT(AK691,4)),VALUE(MID(AK691,6,2)),VALUE(RIGHT(AK691,2))),DATE(VALUE(RIGHT(AK691,4)),VALUE(MID(AK691,4,2)),VALUE(LEFT(AK691,2)))),DATE(VALUE(RIGHT(AK691,4)),MATCH(MID(AK691,4,3),{"Jan","Feb","Mar","Apr","May","Jun","Jul","Aug","Sep","Oct","Nov","Dec"},0),VALUE(LEFT(AK691,2))))))</f>
        <v>45571</v>
      </c>
      <c r="D691" s="4" t="s">
        <v>2608</v>
      </c>
      <c r="E691" s="0" t="str">
        <f aca="false">PROPER(TRIM(AL691))</f>
        <v>Rohan Mehta</v>
      </c>
      <c r="F691" s="0" t="str">
        <f aca="false">PROPER(TRIM(AM691))</f>
        <v>Small Business</v>
      </c>
      <c r="G691" s="0" t="str">
        <f aca="false">IF(TRIM(AN691)="","Unknown",PROPER(TRIM(AN691)))</f>
        <v>North</v>
      </c>
      <c r="H691" s="0" t="str">
        <f aca="false">PROPER(TRIM(AO691))</f>
        <v>Punjab</v>
      </c>
      <c r="I691" s="0" t="str">
        <f aca="false">PROPER(TRIM(AP691))</f>
        <v>Ludhiana</v>
      </c>
      <c r="J691" s="0" t="str">
        <f aca="false">PROPER(TRIM(AQ691))</f>
        <v>Furniture</v>
      </c>
      <c r="K691" s="0" t="str">
        <f aca="false">PROPER(TRIM(AR691))</f>
        <v>Tables</v>
      </c>
      <c r="M691" s="0" t="str">
        <f aca="false">IF(TRIM(AS691)="","Unknown",PROPER(TRIM(AS691)))</f>
        <v>Standard Class</v>
      </c>
      <c r="N691" s="0" t="n">
        <v>9</v>
      </c>
      <c r="O691" s="0" t="n">
        <v>489.58</v>
      </c>
      <c r="P691" s="5" t="n">
        <f aca="false">IF(AT691="","",IF(ISNUMBER(AT691),AT691,VALUE(SUBSTITUTE(AT691,"%",""))/100))</f>
        <v>0.15</v>
      </c>
      <c r="Q691" s="5" t="n">
        <f aca="false">IF(P691="",IF(AND(N691&lt;&gt;"",O691&lt;&gt;"",R691&lt;&gt;"",S691&lt;&gt;""),0,"REVIEW"),IF(OR(P691&lt;0,P691&gt;0.3),0,P691))</f>
        <v>0.15</v>
      </c>
      <c r="R691" s="0" t="n">
        <v>3745.29</v>
      </c>
      <c r="S691" s="0" t="n">
        <v>2302.65</v>
      </c>
      <c r="T691" s="6" t="n">
        <f aca="false">N691*O691*(1-Q691)</f>
        <v>3745.287</v>
      </c>
      <c r="U691" s="6" t="n">
        <f aca="false">T691-S691</f>
        <v>1442.637</v>
      </c>
      <c r="V691" s="7" t="n">
        <f aca="false">IF(T691=0,0,U691/T691)</f>
        <v>0.385187303402917</v>
      </c>
      <c r="W691" s="4" t="n">
        <f aca="false">C691-B691</f>
        <v>1</v>
      </c>
      <c r="X691" s="0" t="str">
        <f aca="false">TEXT(B691,"mmmm")</f>
        <v>October</v>
      </c>
      <c r="Y691" s="4" t="n">
        <f aca="false">YEAR(B691)</f>
        <v>2024</v>
      </c>
      <c r="Z691" s="0" t="str">
        <f aca="false">PROPER(TRIM(AU691))</f>
        <v>Failed</v>
      </c>
      <c r="AA691" s="0" t="str">
        <f aca="false">PROPER(TRIM(AV691))</f>
        <v>Cancelled</v>
      </c>
      <c r="AB691" s="0" t="str">
        <f aca="false">IF(TRIM(AN691)="","Yes","No")</f>
        <v>No</v>
      </c>
      <c r="AC691" s="0" t="str">
        <f aca="false">IF(TRIM(AS691)="","Yes","No")</f>
        <v>No</v>
      </c>
      <c r="AD691" s="0" t="str">
        <f aca="false">IF(AT691="","Yes","No")</f>
        <v>No</v>
      </c>
      <c r="AE691" s="0" t="str">
        <f aca="false">IF(W691&lt;0,"Yes","No")</f>
        <v>No</v>
      </c>
      <c r="AF691" s="0" t="str">
        <f aca="false">IF(P691="","No",IF(OR(P691&lt;0,P691&gt;0.3),"Yes","No"))</f>
        <v>No</v>
      </c>
      <c r="AG691" s="4" t="s">
        <v>50</v>
      </c>
      <c r="AH691" s="0" t="str">
        <f aca="false">IF(AND(AA691="Completed",Z691="Paid"),"Yes","No")</f>
        <v>No</v>
      </c>
      <c r="AI691" s="0" t="str">
        <f aca="false">IF(OR(AE691="Yes",AF691="Yes",AG691="Yes"),"Invalid",IF(OR(AB691="Yes",AC691="Yes",AD691="Yes"),"Warning","Clean"))</f>
        <v>Clean</v>
      </c>
      <c r="AJ691" s="4" t="s">
        <v>2609</v>
      </c>
      <c r="AK691" s="4" t="s">
        <v>2610</v>
      </c>
      <c r="AL691" s="4" t="s">
        <v>191</v>
      </c>
      <c r="AM691" s="4" t="s">
        <v>68</v>
      </c>
      <c r="AN691" s="4" t="s">
        <v>168</v>
      </c>
      <c r="AO691" s="4" t="s">
        <v>169</v>
      </c>
      <c r="AP691" s="4" t="s">
        <v>170</v>
      </c>
      <c r="AQ691" s="4" t="s">
        <v>72</v>
      </c>
      <c r="AR691" s="4" t="s">
        <v>73</v>
      </c>
      <c r="AS691" s="4" t="s">
        <v>91</v>
      </c>
      <c r="AT691" s="0" t="n">
        <v>0.15</v>
      </c>
      <c r="AU691" s="4" t="s">
        <v>207</v>
      </c>
      <c r="AV691" s="4" t="s">
        <v>101</v>
      </c>
    </row>
    <row r="692" customFormat="false" ht="15" hidden="false" customHeight="false" outlineLevel="0" collapsed="false">
      <c r="A692" s="0" t="s">
        <v>2611</v>
      </c>
      <c r="B692" s="3" t="n">
        <f aca="false">IF(AJ692="","",IF(ISNUMBER(SEARCH("/",AJ692)),DATE(VALUE(RIGHT(AJ692,4)),VALUE(LEFT(AJ692,2)),VALUE(MID(AJ692,4,2))),IF(ISNUMBER(SEARCH("-",AJ692)),IF(LEN(LEFT(AJ692,FIND("-",AJ692)-1))=4,DATE(VALUE(LEFT(AJ692,4)),VALUE(MID(AJ692,6,2)),VALUE(RIGHT(AJ692,2))),DATE(VALUE(RIGHT(AJ692,4)),VALUE(MID(AJ692,4,2)),VALUE(LEFT(AJ692,2)))),DATE(VALUE(RIGHT(AJ692,4)),MATCH(MID(AJ692,4,3),{"Jan","Feb","Mar","Apr","May","Jun","Jul","Aug","Sep","Oct","Nov","Dec"},0),VALUE(LEFT(AJ692,2))))))</f>
        <v>45546</v>
      </c>
      <c r="C692" s="3" t="n">
        <f aca="false">IF(AK692="","",IF(ISNUMBER(SEARCH("/",AK692)),DATE(VALUE(RIGHT(AK692,4)),VALUE(LEFT(AK692,2)),VALUE(MID(AK692,4,2))),IF(ISNUMBER(SEARCH("-",AK692)),IF(LEN(LEFT(AK692,FIND("-",AK692)-1))=4,DATE(VALUE(LEFT(AK692,4)),VALUE(MID(AK692,6,2)),VALUE(RIGHT(AK692,2))),DATE(VALUE(RIGHT(AK692,4)),VALUE(MID(AK692,4,2)),VALUE(LEFT(AK692,2)))),DATE(VALUE(RIGHT(AK692,4)),MATCH(MID(AK692,4,3),{"Jan","Feb","Mar","Apr","May","Jun","Jul","Aug","Sep","Oct","Nov","Dec"},0),VALUE(LEFT(AK692,2))))))</f>
        <v>45550</v>
      </c>
      <c r="D692" s="4" t="s">
        <v>2612</v>
      </c>
      <c r="E692" s="0" t="str">
        <f aca="false">PROPER(TRIM(AL692))</f>
        <v>Sneha Kapoor</v>
      </c>
      <c r="F692" s="0" t="str">
        <f aca="false">PROPER(TRIM(AM692))</f>
        <v>Corporate</v>
      </c>
      <c r="G692" s="0" t="str">
        <f aca="false">IF(TRIM(AN692)="","Unknown",PROPER(TRIM(AN692)))</f>
        <v>South</v>
      </c>
      <c r="H692" s="0" t="str">
        <f aca="false">PROPER(TRIM(AO692))</f>
        <v>Tamil Nadu</v>
      </c>
      <c r="I692" s="0" t="str">
        <f aca="false">PROPER(TRIM(AP692))</f>
        <v>Chennai</v>
      </c>
      <c r="J692" s="0" t="str">
        <f aca="false">PROPER(TRIM(AQ692))</f>
        <v>Office Supplies</v>
      </c>
      <c r="K692" s="0" t="str">
        <f aca="false">PROPER(TRIM(AR692))</f>
        <v>Art</v>
      </c>
      <c r="M692" s="0" t="str">
        <f aca="false">IF(TRIM(AS692)="","Unknown",PROPER(TRIM(AS692)))</f>
        <v>Standard Class</v>
      </c>
      <c r="N692" s="0" t="n">
        <v>4</v>
      </c>
      <c r="O692" s="0" t="n">
        <v>865.63</v>
      </c>
      <c r="P692" s="5" t="n">
        <f aca="false">IF(AT692="","",IF(ISNUMBER(AT692),AT692,VALUE(SUBSTITUTE(AT692,"%",""))/100))</f>
        <v>0</v>
      </c>
      <c r="Q692" s="5" t="n">
        <f aca="false">IF(P692="",IF(AND(N692&lt;&gt;"",O692&lt;&gt;"",R692&lt;&gt;"",S692&lt;&gt;""),0,"REVIEW"),IF(OR(P692&lt;0,P692&gt;0.3),0,P692))</f>
        <v>0</v>
      </c>
      <c r="R692" s="0" t="n">
        <v>3462.52</v>
      </c>
      <c r="S692" s="0" t="n">
        <v>2797.29</v>
      </c>
      <c r="T692" s="6" t="n">
        <f aca="false">N692*O692*(1-Q692)</f>
        <v>3462.52</v>
      </c>
      <c r="U692" s="6" t="n">
        <f aca="false">T692-S692</f>
        <v>665.23</v>
      </c>
      <c r="V692" s="7" t="n">
        <f aca="false">IF(T692=0,0,U692/T692)</f>
        <v>0.192123077989441</v>
      </c>
      <c r="W692" s="4" t="n">
        <f aca="false">C692-B692</f>
        <v>4</v>
      </c>
      <c r="X692" s="0" t="str">
        <f aca="false">TEXT(B692,"mmmm")</f>
        <v>September</v>
      </c>
      <c r="Y692" s="4" t="n">
        <f aca="false">YEAR(B692)</f>
        <v>2024</v>
      </c>
      <c r="Z692" s="0" t="str">
        <f aca="false">PROPER(TRIM(AU692))</f>
        <v>Failed</v>
      </c>
      <c r="AA692" s="0" t="str">
        <f aca="false">PROPER(TRIM(AV692))</f>
        <v>Returned</v>
      </c>
      <c r="AB692" s="0" t="str">
        <f aca="false">IF(TRIM(AN692)="","Yes","No")</f>
        <v>No</v>
      </c>
      <c r="AC692" s="0" t="str">
        <f aca="false">IF(TRIM(AS692)="","Yes","No")</f>
        <v>No</v>
      </c>
      <c r="AD692" s="0" t="str">
        <f aca="false">IF(AT692="","Yes","No")</f>
        <v>No</v>
      </c>
      <c r="AE692" s="0" t="str">
        <f aca="false">IF(W692&lt;0,"Yes","No")</f>
        <v>No</v>
      </c>
      <c r="AF692" s="0" t="str">
        <f aca="false">IF(P692="","No",IF(OR(P692&lt;0,P692&gt;0.3),"Yes","No"))</f>
        <v>No</v>
      </c>
      <c r="AG692" s="4" t="s">
        <v>50</v>
      </c>
      <c r="AH692" s="0" t="str">
        <f aca="false">IF(AND(AA692="Completed",Z692="Paid"),"Yes","No")</f>
        <v>No</v>
      </c>
      <c r="AI692" s="0" t="str">
        <f aca="false">IF(OR(AE692="Yes",AF692="Yes",AG692="Yes"),"Invalid",IF(OR(AB692="Yes",AC692="Yes",AD692="Yes"),"Warning","Clean"))</f>
        <v>Clean</v>
      </c>
      <c r="AJ692" s="4" t="s">
        <v>762</v>
      </c>
      <c r="AK692" s="4" t="s">
        <v>2613</v>
      </c>
      <c r="AL692" s="4" t="s">
        <v>181</v>
      </c>
      <c r="AM692" s="4" t="s">
        <v>128</v>
      </c>
      <c r="AN692" s="4" t="s">
        <v>87</v>
      </c>
      <c r="AO692" s="4" t="s">
        <v>323</v>
      </c>
      <c r="AP692" s="4" t="s">
        <v>324</v>
      </c>
      <c r="AQ692" s="4" t="s">
        <v>58</v>
      </c>
      <c r="AR692" s="4" t="s">
        <v>80</v>
      </c>
      <c r="AS692" s="4" t="s">
        <v>91</v>
      </c>
      <c r="AT692" s="0" t="n">
        <v>0</v>
      </c>
      <c r="AU692" s="4" t="s">
        <v>207</v>
      </c>
      <c r="AV692" s="4" t="s">
        <v>142</v>
      </c>
    </row>
    <row r="693" customFormat="false" ht="15" hidden="false" customHeight="false" outlineLevel="0" collapsed="false">
      <c r="A693" s="0" t="s">
        <v>2614</v>
      </c>
      <c r="B693" s="3" t="n">
        <f aca="false">IF(AJ693="","",IF(ISNUMBER(SEARCH("/",AJ693)),DATE(VALUE(RIGHT(AJ693,4)),VALUE(LEFT(AJ693,2)),VALUE(MID(AJ693,4,2))),IF(ISNUMBER(SEARCH("-",AJ693)),IF(LEN(LEFT(AJ693,FIND("-",AJ693)-1))=4,DATE(VALUE(LEFT(AJ693,4)),VALUE(MID(AJ693,6,2)),VALUE(RIGHT(AJ693,2))),DATE(VALUE(RIGHT(AJ693,4)),VALUE(MID(AJ693,4,2)),VALUE(LEFT(AJ693,2)))),DATE(VALUE(RIGHT(AJ693,4)),MATCH(MID(AJ693,4,3),{"Jan","Feb","Mar","Apr","May","Jun","Jul","Aug","Sep","Oct","Nov","Dec"},0),VALUE(LEFT(AJ693,2))))))</f>
        <v>45641</v>
      </c>
      <c r="C693" s="3" t="n">
        <f aca="false">IF(AK693="","",IF(ISNUMBER(SEARCH("/",AK693)),DATE(VALUE(RIGHT(AK693,4)),VALUE(LEFT(AK693,2)),VALUE(MID(AK693,4,2))),IF(ISNUMBER(SEARCH("-",AK693)),IF(LEN(LEFT(AK693,FIND("-",AK693)-1))=4,DATE(VALUE(LEFT(AK693,4)),VALUE(MID(AK693,6,2)),VALUE(RIGHT(AK693,2))),DATE(VALUE(RIGHT(AK693,4)),VALUE(MID(AK693,4,2)),VALUE(LEFT(AK693,2)))),DATE(VALUE(RIGHT(AK693,4)),MATCH(MID(AK693,4,3),{"Jan","Feb","Mar","Apr","May","Jun","Jul","Aug","Sep","Oct","Nov","Dec"},0),VALUE(LEFT(AK693,2))))))</f>
        <v>45642</v>
      </c>
      <c r="D693" s="4" t="s">
        <v>2615</v>
      </c>
      <c r="E693" s="0" t="str">
        <f aca="false">PROPER(TRIM(AL693))</f>
        <v>Rohan Mehta</v>
      </c>
      <c r="F693" s="0" t="str">
        <f aca="false">PROPER(TRIM(AM693))</f>
        <v>Consumer</v>
      </c>
      <c r="G693" s="0" t="str">
        <f aca="false">IF(TRIM(AN693)="","Unknown",PROPER(TRIM(AN693)))</f>
        <v>East</v>
      </c>
      <c r="H693" s="0" t="str">
        <f aca="false">PROPER(TRIM(AO693))</f>
        <v>Odisha</v>
      </c>
      <c r="I693" s="0" t="str">
        <f aca="false">PROPER(TRIM(AP693))</f>
        <v>Bhubaneswar</v>
      </c>
      <c r="J693" s="0" t="str">
        <f aca="false">PROPER(TRIM(AQ693))</f>
        <v>Technology</v>
      </c>
      <c r="K693" s="0" t="str">
        <f aca="false">PROPER(TRIM(AR693))</f>
        <v>Copiers</v>
      </c>
      <c r="M693" s="0" t="str">
        <f aca="false">IF(TRIM(AS693)="","Unknown",PROPER(TRIM(AS693)))</f>
        <v>Second Class</v>
      </c>
      <c r="N693" s="0" t="n">
        <v>6</v>
      </c>
      <c r="O693" s="0" t="n">
        <v>1538.1</v>
      </c>
      <c r="P693" s="5" t="n">
        <f aca="false">IF(AT693="","",IF(ISNUMBER(AT693),AT693,VALUE(SUBSTITUTE(AT693,"%",""))/100))</f>
        <v>0.05</v>
      </c>
      <c r="Q693" s="5" t="n">
        <f aca="false">IF(P693="",IF(AND(N693&lt;&gt;"",O693&lt;&gt;"",R693&lt;&gt;"",S693&lt;&gt;""),0,"REVIEW"),IF(OR(P693&lt;0,P693&gt;0.3),0,P693))</f>
        <v>0.05</v>
      </c>
      <c r="R693" s="0" t="n">
        <v>8767.17</v>
      </c>
      <c r="S693" s="0" t="n">
        <v>5098.2</v>
      </c>
      <c r="T693" s="6" t="n">
        <f aca="false">N693*O693*(1-Q693)</f>
        <v>8767.17</v>
      </c>
      <c r="U693" s="6" t="n">
        <f aca="false">T693-S693</f>
        <v>3668.97</v>
      </c>
      <c r="V693" s="7" t="n">
        <f aca="false">IF(T693=0,0,U693/T693)</f>
        <v>0.418489660859776</v>
      </c>
      <c r="W693" s="4" t="n">
        <f aca="false">C693-B693</f>
        <v>1</v>
      </c>
      <c r="X693" s="0" t="str">
        <f aca="false">TEXT(B693,"mmmm")</f>
        <v>December</v>
      </c>
      <c r="Y693" s="4" t="n">
        <f aca="false">YEAR(B693)</f>
        <v>2024</v>
      </c>
      <c r="Z693" s="0" t="str">
        <f aca="false">PROPER(TRIM(AU693))</f>
        <v>Paid</v>
      </c>
      <c r="AA693" s="0" t="str">
        <f aca="false">PROPER(TRIM(AV693))</f>
        <v>Completed</v>
      </c>
      <c r="AB693" s="0" t="str">
        <f aca="false">IF(TRIM(AN693)="","Yes","No")</f>
        <v>No</v>
      </c>
      <c r="AC693" s="0" t="str">
        <f aca="false">IF(TRIM(AS693)="","Yes","No")</f>
        <v>No</v>
      </c>
      <c r="AD693" s="0" t="str">
        <f aca="false">IF(AT693="","Yes","No")</f>
        <v>No</v>
      </c>
      <c r="AE693" s="0" t="str">
        <f aca="false">IF(W693&lt;0,"Yes","No")</f>
        <v>No</v>
      </c>
      <c r="AF693" s="0" t="str">
        <f aca="false">IF(P693="","No",IF(OR(P693&lt;0,P693&gt;0.3),"Yes","No"))</f>
        <v>No</v>
      </c>
      <c r="AG693" s="4" t="s">
        <v>50</v>
      </c>
      <c r="AH693" s="0" t="str">
        <f aca="false">IF(AND(AA693="Completed",Z693="Paid"),"Yes","No")</f>
        <v>Yes</v>
      </c>
      <c r="AI693" s="0" t="str">
        <f aca="false">IF(OR(AE693="Yes",AF693="Yes",AG693="Yes"),"Invalid",IF(OR(AB693="Yes",AC693="Yes",AD693="Yes"),"Warning","Clean"))</f>
        <v>Clean</v>
      </c>
      <c r="AJ693" s="4" t="s">
        <v>2009</v>
      </c>
      <c r="AK693" s="4" t="s">
        <v>2616</v>
      </c>
      <c r="AL693" s="4" t="s">
        <v>191</v>
      </c>
      <c r="AM693" s="4" t="s">
        <v>54</v>
      </c>
      <c r="AN693" s="4" t="s">
        <v>69</v>
      </c>
      <c r="AO693" s="4" t="s">
        <v>70</v>
      </c>
      <c r="AP693" s="4" t="s">
        <v>71</v>
      </c>
      <c r="AQ693" s="4" t="s">
        <v>109</v>
      </c>
      <c r="AR693" s="4" t="s">
        <v>116</v>
      </c>
      <c r="AS693" s="4" t="s">
        <v>60</v>
      </c>
      <c r="AT693" s="0" t="n">
        <v>0.05</v>
      </c>
      <c r="AU693" s="4" t="s">
        <v>61</v>
      </c>
      <c r="AV693" s="4" t="s">
        <v>62</v>
      </c>
    </row>
    <row r="694" customFormat="false" ht="15" hidden="false" customHeight="false" outlineLevel="0" collapsed="false">
      <c r="A694" s="0" t="s">
        <v>2617</v>
      </c>
      <c r="B694" s="3" t="n">
        <f aca="false">IF(AJ694="","",IF(ISNUMBER(SEARCH("/",AJ694)),DATE(VALUE(RIGHT(AJ694,4)),VALUE(LEFT(AJ694,2)),VALUE(MID(AJ694,4,2))),IF(ISNUMBER(SEARCH("-",AJ694)),IF(LEN(LEFT(AJ694,FIND("-",AJ694)-1))=4,DATE(VALUE(LEFT(AJ694,4)),VALUE(MID(AJ694,6,2)),VALUE(RIGHT(AJ694,2))),DATE(VALUE(RIGHT(AJ694,4)),VALUE(MID(AJ694,4,2)),VALUE(LEFT(AJ694,2)))),DATE(VALUE(RIGHT(AJ694,4)),MATCH(MID(AJ694,4,3),{"Jan","Feb","Mar","Apr","May","Jun","Jul","Aug","Sep","Oct","Nov","Dec"},0),VALUE(LEFT(AJ694,2))))))</f>
        <v>45935</v>
      </c>
      <c r="C694" s="3" t="n">
        <f aca="false">IF(AK694="","",IF(ISNUMBER(SEARCH("/",AK694)),DATE(VALUE(RIGHT(AK694,4)),VALUE(LEFT(AK694,2)),VALUE(MID(AK694,4,2))),IF(ISNUMBER(SEARCH("-",AK694)),IF(LEN(LEFT(AK694,FIND("-",AK694)-1))=4,DATE(VALUE(LEFT(AK694,4)),VALUE(MID(AK694,6,2)),VALUE(RIGHT(AK694,2))),DATE(VALUE(RIGHT(AK694,4)),VALUE(MID(AK694,4,2)),VALUE(LEFT(AK694,2)))),DATE(VALUE(RIGHT(AK694,4)),MATCH(MID(AK694,4,3),{"Jan","Feb","Mar","Apr","May","Jun","Jul","Aug","Sep","Oct","Nov","Dec"},0),VALUE(LEFT(AK694,2))))))</f>
        <v>45940</v>
      </c>
      <c r="D694" s="4" t="s">
        <v>2618</v>
      </c>
      <c r="E694" s="0" t="str">
        <f aca="false">PROPER(TRIM(AL694))</f>
        <v>Isha Nair</v>
      </c>
      <c r="F694" s="0" t="str">
        <f aca="false">PROPER(TRIM(AM694))</f>
        <v>Corporate</v>
      </c>
      <c r="G694" s="0" t="str">
        <f aca="false">IF(TRIM(AN694)="","Unknown",PROPER(TRIM(AN694)))</f>
        <v>South</v>
      </c>
      <c r="H694" s="0" t="str">
        <f aca="false">PROPER(TRIM(AO694))</f>
        <v>Karnataka</v>
      </c>
      <c r="I694" s="0" t="str">
        <f aca="false">PROPER(TRIM(AP694))</f>
        <v>Bengaluru</v>
      </c>
      <c r="J694" s="0" t="str">
        <f aca="false">PROPER(TRIM(AQ694))</f>
        <v>Furniture</v>
      </c>
      <c r="K694" s="0" t="str">
        <f aca="false">PROPER(TRIM(AR694))</f>
        <v>Furnishings</v>
      </c>
      <c r="M694" s="0" t="str">
        <f aca="false">IF(TRIM(AS694)="","Unknown",PROPER(TRIM(AS694)))</f>
        <v>Second Class</v>
      </c>
      <c r="N694" s="0" t="n">
        <v>4</v>
      </c>
      <c r="O694" s="0" t="n">
        <v>2365.68</v>
      </c>
      <c r="P694" s="5" t="n">
        <f aca="false">IF(AT694="","",IF(ISNUMBER(AT694),AT694,VALUE(SUBSTITUTE(AT694,"%",""))/100))</f>
        <v>0.1</v>
      </c>
      <c r="Q694" s="5" t="n">
        <f aca="false">IF(P694="",IF(AND(N694&lt;&gt;"",O694&lt;&gt;"",R694&lt;&gt;"",S694&lt;&gt;""),0,"REVIEW"),IF(OR(P694&lt;0,P694&gt;0.3),0,P694))</f>
        <v>0.1</v>
      </c>
      <c r="R694" s="0" t="n">
        <v>8516.45</v>
      </c>
      <c r="S694" s="0" t="n">
        <v>5903.81</v>
      </c>
      <c r="T694" s="6" t="n">
        <f aca="false">N694*O694*(1-Q694)</f>
        <v>8516.448</v>
      </c>
      <c r="U694" s="6" t="n">
        <f aca="false">T694-S694</f>
        <v>2612.638</v>
      </c>
      <c r="V694" s="7" t="n">
        <f aca="false">IF(T694=0,0,U694/T694)</f>
        <v>0.306775547740091</v>
      </c>
      <c r="W694" s="4" t="n">
        <f aca="false">C694-B694</f>
        <v>5</v>
      </c>
      <c r="X694" s="0" t="str">
        <f aca="false">TEXT(B694,"mmmm")</f>
        <v>October</v>
      </c>
      <c r="Y694" s="4" t="n">
        <f aca="false">YEAR(B694)</f>
        <v>2025</v>
      </c>
      <c r="Z694" s="0" t="str">
        <f aca="false">PROPER(TRIM(AU694))</f>
        <v>Paid</v>
      </c>
      <c r="AA694" s="0" t="str">
        <f aca="false">PROPER(TRIM(AV694))</f>
        <v>Completed</v>
      </c>
      <c r="AB694" s="0" t="str">
        <f aca="false">IF(TRIM(AN694)="","Yes","No")</f>
        <v>No</v>
      </c>
      <c r="AC694" s="0" t="str">
        <f aca="false">IF(TRIM(AS694)="","Yes","No")</f>
        <v>No</v>
      </c>
      <c r="AD694" s="0" t="str">
        <f aca="false">IF(AT694="","Yes","No")</f>
        <v>No</v>
      </c>
      <c r="AE694" s="0" t="str">
        <f aca="false">IF(W694&lt;0,"Yes","No")</f>
        <v>No</v>
      </c>
      <c r="AF694" s="0" t="str">
        <f aca="false">IF(P694="","No",IF(OR(P694&lt;0,P694&gt;0.3),"Yes","No"))</f>
        <v>No</v>
      </c>
      <c r="AG694" s="4" t="s">
        <v>50</v>
      </c>
      <c r="AH694" s="0" t="str">
        <f aca="false">IF(AND(AA694="Completed",Z694="Paid"),"Yes","No")</f>
        <v>Yes</v>
      </c>
      <c r="AI694" s="0" t="str">
        <f aca="false">IF(OR(AE694="Yes",AF694="Yes",AG694="Yes"),"Invalid",IF(OR(AB694="Yes",AC694="Yes",AD694="Yes"),"Warning","Clean"))</f>
        <v>Clean</v>
      </c>
      <c r="AJ694" s="4" t="s">
        <v>232</v>
      </c>
      <c r="AK694" s="4" t="s">
        <v>2619</v>
      </c>
      <c r="AL694" s="4" t="s">
        <v>79</v>
      </c>
      <c r="AM694" s="4" t="s">
        <v>1475</v>
      </c>
      <c r="AN694" s="4" t="s">
        <v>87</v>
      </c>
      <c r="AO694" s="4" t="s">
        <v>233</v>
      </c>
      <c r="AP694" s="4" t="s">
        <v>234</v>
      </c>
      <c r="AQ694" s="4" t="s">
        <v>72</v>
      </c>
      <c r="AR694" s="4" t="s">
        <v>90</v>
      </c>
      <c r="AS694" s="4" t="s">
        <v>60</v>
      </c>
      <c r="AT694" s="0" t="n">
        <v>0.1</v>
      </c>
      <c r="AU694" s="4" t="s">
        <v>61</v>
      </c>
      <c r="AV694" s="4" t="s">
        <v>62</v>
      </c>
    </row>
    <row r="695" customFormat="false" ht="15" hidden="false" customHeight="false" outlineLevel="0" collapsed="false">
      <c r="A695" s="0" t="s">
        <v>2620</v>
      </c>
      <c r="B695" s="3" t="n">
        <f aca="false">IF(AJ695="","",IF(ISNUMBER(SEARCH("/",AJ695)),DATE(VALUE(RIGHT(AJ695,4)),VALUE(LEFT(AJ695,2)),VALUE(MID(AJ695,4,2))),IF(ISNUMBER(SEARCH("-",AJ695)),IF(LEN(LEFT(AJ695,FIND("-",AJ695)-1))=4,DATE(VALUE(LEFT(AJ695,4)),VALUE(MID(AJ695,6,2)),VALUE(RIGHT(AJ695,2))),DATE(VALUE(RIGHT(AJ695,4)),VALUE(MID(AJ695,4,2)),VALUE(LEFT(AJ695,2)))),DATE(VALUE(RIGHT(AJ695,4)),MATCH(MID(AJ695,4,3),{"Jan","Feb","Mar","Apr","May","Jun","Jul","Aug","Sep","Oct","Nov","Dec"},0),VALUE(LEFT(AJ695,2))))))</f>
        <v>45750</v>
      </c>
      <c r="C695" s="3" t="n">
        <f aca="false">IF(AK695="","",IF(ISNUMBER(SEARCH("/",AK695)),DATE(VALUE(RIGHT(AK695,4)),VALUE(LEFT(AK695,2)),VALUE(MID(AK695,4,2))),IF(ISNUMBER(SEARCH("-",AK695)),IF(LEN(LEFT(AK695,FIND("-",AK695)-1))=4,DATE(VALUE(LEFT(AK695,4)),VALUE(MID(AK695,6,2)),VALUE(RIGHT(AK695,2))),DATE(VALUE(RIGHT(AK695,4)),VALUE(MID(AK695,4,2)),VALUE(LEFT(AK695,2)))),DATE(VALUE(RIGHT(AK695,4)),MATCH(MID(AK695,4,3),{"Jan","Feb","Mar","Apr","May","Jun","Jul","Aug","Sep","Oct","Nov","Dec"},0),VALUE(LEFT(AK695,2))))))</f>
        <v>45758</v>
      </c>
      <c r="D695" s="4" t="s">
        <v>2621</v>
      </c>
      <c r="E695" s="0" t="str">
        <f aca="false">PROPER(TRIM(AL695))</f>
        <v>Arjun Bose</v>
      </c>
      <c r="F695" s="0" t="str">
        <f aca="false">PROPER(TRIM(AM695))</f>
        <v>Consumer</v>
      </c>
      <c r="G695" s="0" t="str">
        <f aca="false">IF(TRIM(AN695)="","Unknown",PROPER(TRIM(AN695)))</f>
        <v>South</v>
      </c>
      <c r="H695" s="0" t="str">
        <f aca="false">PROPER(TRIM(AO695))</f>
        <v>Tamil Nadu</v>
      </c>
      <c r="I695" s="0" t="str">
        <f aca="false">PROPER(TRIM(AP695))</f>
        <v>Chennai</v>
      </c>
      <c r="J695" s="0" t="str">
        <f aca="false">PROPER(TRIM(AQ695))</f>
        <v>Furniture</v>
      </c>
      <c r="K695" s="0" t="str">
        <f aca="false">PROPER(TRIM(AR695))</f>
        <v>Bookcases</v>
      </c>
      <c r="M695" s="0" t="str">
        <f aca="false">IF(TRIM(AS695)="","Unknown",PROPER(TRIM(AS695)))</f>
        <v>Second Class</v>
      </c>
      <c r="N695" s="0" t="n">
        <v>3</v>
      </c>
      <c r="O695" s="0" t="n">
        <v>4149.77</v>
      </c>
      <c r="P695" s="5" t="n">
        <f aca="false">IF(AT695="","",IF(ISNUMBER(AT695),AT695,VALUE(SUBSTITUTE(AT695,"%",""))/100))</f>
        <v>0.05</v>
      </c>
      <c r="Q695" s="5" t="n">
        <f aca="false">IF(P695="",IF(AND(N695&lt;&gt;"",O695&lt;&gt;"",R695&lt;&gt;"",S695&lt;&gt;""),0,"REVIEW"),IF(OR(P695&lt;0,P695&gt;0.3),0,P695))</f>
        <v>0.05</v>
      </c>
      <c r="R695" s="0" t="n">
        <v>11826.84</v>
      </c>
      <c r="S695" s="0" t="n">
        <v>8035.96</v>
      </c>
      <c r="T695" s="6" t="n">
        <f aca="false">N695*O695*(1-Q695)</f>
        <v>11826.8445</v>
      </c>
      <c r="U695" s="6" t="n">
        <f aca="false">T695-S695</f>
        <v>3790.8845</v>
      </c>
      <c r="V695" s="7" t="n">
        <f aca="false">IF(T695=0,0,U695/T695)</f>
        <v>0.320532201129388</v>
      </c>
      <c r="W695" s="4" t="n">
        <f aca="false">C695-B695</f>
        <v>8</v>
      </c>
      <c r="X695" s="0" t="str">
        <f aca="false">TEXT(B695,"mmmm")</f>
        <v>April</v>
      </c>
      <c r="Y695" s="4" t="n">
        <f aca="false">YEAR(B695)</f>
        <v>2025</v>
      </c>
      <c r="Z695" s="0" t="str">
        <f aca="false">PROPER(TRIM(AU695))</f>
        <v>Paid</v>
      </c>
      <c r="AA695" s="0" t="str">
        <f aca="false">PROPER(TRIM(AV695))</f>
        <v>Completed</v>
      </c>
      <c r="AB695" s="0" t="str">
        <f aca="false">IF(TRIM(AN695)="","Yes","No")</f>
        <v>No</v>
      </c>
      <c r="AC695" s="0" t="str">
        <f aca="false">IF(TRIM(AS695)="","Yes","No")</f>
        <v>No</v>
      </c>
      <c r="AD695" s="0" t="str">
        <f aca="false">IF(AT695="","Yes","No")</f>
        <v>No</v>
      </c>
      <c r="AE695" s="0" t="str">
        <f aca="false">IF(W695&lt;0,"Yes","No")</f>
        <v>No</v>
      </c>
      <c r="AF695" s="0" t="str">
        <f aca="false">IF(P695="","No",IF(OR(P695&lt;0,P695&gt;0.3),"Yes","No"))</f>
        <v>No</v>
      </c>
      <c r="AG695" s="4" t="s">
        <v>50</v>
      </c>
      <c r="AH695" s="0" t="str">
        <f aca="false">IF(AND(AA695="Completed",Z695="Paid"),"Yes","No")</f>
        <v>Yes</v>
      </c>
      <c r="AI695" s="0" t="str">
        <f aca="false">IF(OR(AE695="Yes",AF695="Yes",AG695="Yes"),"Invalid",IF(OR(AB695="Yes",AC695="Yes",AD695="Yes"),"Warning","Clean"))</f>
        <v>Clean</v>
      </c>
      <c r="AJ695" s="4" t="s">
        <v>2622</v>
      </c>
      <c r="AK695" s="4" t="s">
        <v>2038</v>
      </c>
      <c r="AL695" s="4" t="s">
        <v>86</v>
      </c>
      <c r="AM695" s="4" t="s">
        <v>54</v>
      </c>
      <c r="AN695" s="4" t="s">
        <v>87</v>
      </c>
      <c r="AO695" s="4" t="s">
        <v>323</v>
      </c>
      <c r="AP695" s="4" t="s">
        <v>324</v>
      </c>
      <c r="AQ695" s="4" t="s">
        <v>72</v>
      </c>
      <c r="AR695" s="4" t="s">
        <v>211</v>
      </c>
      <c r="AS695" s="4" t="s">
        <v>60</v>
      </c>
      <c r="AT695" s="0" t="n">
        <v>0.05</v>
      </c>
      <c r="AU695" s="4" t="s">
        <v>61</v>
      </c>
      <c r="AV695" s="4" t="s">
        <v>62</v>
      </c>
    </row>
    <row r="696" customFormat="false" ht="15" hidden="false" customHeight="false" outlineLevel="0" collapsed="false">
      <c r="A696" s="0" t="s">
        <v>2623</v>
      </c>
      <c r="B696" s="3" t="n">
        <f aca="false">IF(AJ696="","",IF(ISNUMBER(SEARCH("/",AJ696)),DATE(VALUE(RIGHT(AJ696,4)),VALUE(LEFT(AJ696,2)),VALUE(MID(AJ696,4,2))),IF(ISNUMBER(SEARCH("-",AJ696)),IF(LEN(LEFT(AJ696,FIND("-",AJ696)-1))=4,DATE(VALUE(LEFT(AJ696,4)),VALUE(MID(AJ696,6,2)),VALUE(RIGHT(AJ696,2))),DATE(VALUE(RIGHT(AJ696,4)),VALUE(MID(AJ696,4,2)),VALUE(LEFT(AJ696,2)))),DATE(VALUE(RIGHT(AJ696,4)),MATCH(MID(AJ696,4,3),{"Jan","Feb","Mar","Apr","May","Jun","Jul","Aug","Sep","Oct","Nov","Dec"},0),VALUE(LEFT(AJ696,2))))))</f>
        <v>45870</v>
      </c>
      <c r="C696" s="3" t="n">
        <f aca="false">IF(AK696="","",IF(ISNUMBER(SEARCH("/",AK696)),DATE(VALUE(RIGHT(AK696,4)),VALUE(LEFT(AK696,2)),VALUE(MID(AK696,4,2))),IF(ISNUMBER(SEARCH("-",AK696)),IF(LEN(LEFT(AK696,FIND("-",AK696)-1))=4,DATE(VALUE(LEFT(AK696,4)),VALUE(MID(AK696,6,2)),VALUE(RIGHT(AK696,2))),DATE(VALUE(RIGHT(AK696,4)),VALUE(MID(AK696,4,2)),VALUE(LEFT(AK696,2)))),DATE(VALUE(RIGHT(AK696,4)),MATCH(MID(AK696,4,3),{"Jan","Feb","Mar","Apr","May","Jun","Jul","Aug","Sep","Oct","Nov","Dec"},0),VALUE(LEFT(AK696,2))))))</f>
        <v>45878</v>
      </c>
      <c r="D696" s="4" t="s">
        <v>1442</v>
      </c>
      <c r="E696" s="0" t="str">
        <f aca="false">PROPER(TRIM(AL696))</f>
        <v>Isha Nair</v>
      </c>
      <c r="F696" s="0" t="str">
        <f aca="false">PROPER(TRIM(AM696))</f>
        <v>Consumer</v>
      </c>
      <c r="G696" s="0" t="str">
        <f aca="false">IF(TRIM(AN696)="","Unknown",PROPER(TRIM(AN696)))</f>
        <v>South</v>
      </c>
      <c r="H696" s="0" t="str">
        <f aca="false">PROPER(TRIM(AO696))</f>
        <v>Andhra Pradesh</v>
      </c>
      <c r="I696" s="0" t="str">
        <f aca="false">PROPER(TRIM(AP696))</f>
        <v>Vijayawada</v>
      </c>
      <c r="J696" s="0" t="str">
        <f aca="false">PROPER(TRIM(AQ696))</f>
        <v>Office Supplies</v>
      </c>
      <c r="K696" s="0" t="str">
        <f aca="false">PROPER(TRIM(AR696))</f>
        <v>Storage</v>
      </c>
      <c r="M696" s="0" t="str">
        <f aca="false">IF(TRIM(AS696)="","Unknown",PROPER(TRIM(AS696)))</f>
        <v>First Class</v>
      </c>
      <c r="N696" s="0" t="n">
        <v>5</v>
      </c>
      <c r="O696" s="0" t="n">
        <v>2736.24</v>
      </c>
      <c r="P696" s="5" t="n">
        <f aca="false">IF(AT696="","",IF(ISNUMBER(AT696),AT696,VALUE(SUBSTITUTE(AT696,"%",""))/100))</f>
        <v>0.15</v>
      </c>
      <c r="Q696" s="5" t="n">
        <f aca="false">IF(P696="",IF(AND(N696&lt;&gt;"",O696&lt;&gt;"",R696&lt;&gt;"",S696&lt;&gt;""),0,"REVIEW"),IF(OR(P696&lt;0,P696&gt;0.3),0,P696))</f>
        <v>0.15</v>
      </c>
      <c r="R696" s="0" t="n">
        <v>11629.02</v>
      </c>
      <c r="S696" s="0" t="n">
        <v>9627.21</v>
      </c>
      <c r="T696" s="6" t="n">
        <f aca="false">N696*O696*(1-Q696)</f>
        <v>11629.02</v>
      </c>
      <c r="U696" s="6" t="n">
        <f aca="false">T696-S696</f>
        <v>2001.81</v>
      </c>
      <c r="V696" s="7" t="n">
        <f aca="false">IF(T696=0,0,U696/T696)</f>
        <v>0.172139182837419</v>
      </c>
      <c r="W696" s="4" t="n">
        <f aca="false">C696-B696</f>
        <v>8</v>
      </c>
      <c r="X696" s="0" t="str">
        <f aca="false">TEXT(B696,"mmmm")</f>
        <v>August</v>
      </c>
      <c r="Y696" s="4" t="n">
        <f aca="false">YEAR(B696)</f>
        <v>2025</v>
      </c>
      <c r="Z696" s="0" t="str">
        <f aca="false">PROPER(TRIM(AU696))</f>
        <v>Paid</v>
      </c>
      <c r="AA696" s="0" t="str">
        <f aca="false">PROPER(TRIM(AV696))</f>
        <v>Completed</v>
      </c>
      <c r="AB696" s="0" t="str">
        <f aca="false">IF(TRIM(AN696)="","Yes","No")</f>
        <v>No</v>
      </c>
      <c r="AC696" s="0" t="str">
        <f aca="false">IF(TRIM(AS696)="","Yes","No")</f>
        <v>No</v>
      </c>
      <c r="AD696" s="0" t="str">
        <f aca="false">IF(AT696="","Yes","No")</f>
        <v>No</v>
      </c>
      <c r="AE696" s="0" t="str">
        <f aca="false">IF(W696&lt;0,"Yes","No")</f>
        <v>No</v>
      </c>
      <c r="AF696" s="0" t="str">
        <f aca="false">IF(P696="","No",IF(OR(P696&lt;0,P696&gt;0.3),"Yes","No"))</f>
        <v>No</v>
      </c>
      <c r="AG696" s="4" t="s">
        <v>50</v>
      </c>
      <c r="AH696" s="0" t="str">
        <f aca="false">IF(AND(AA696="Completed",Z696="Paid"),"Yes","No")</f>
        <v>Yes</v>
      </c>
      <c r="AI696" s="0" t="str">
        <f aca="false">IF(OR(AE696="Yes",AF696="Yes",AG696="Yes"),"Invalid",IF(OR(AB696="Yes",AC696="Yes",AD696="Yes"),"Warning","Clean"))</f>
        <v>Clean</v>
      </c>
      <c r="AJ696" s="4" t="s">
        <v>1437</v>
      </c>
      <c r="AK696" s="4" t="s">
        <v>2487</v>
      </c>
      <c r="AL696" s="4" t="s">
        <v>79</v>
      </c>
      <c r="AM696" s="4" t="s">
        <v>54</v>
      </c>
      <c r="AN696" s="4" t="s">
        <v>87</v>
      </c>
      <c r="AO696" s="4" t="s">
        <v>121</v>
      </c>
      <c r="AP696" s="4" t="s">
        <v>122</v>
      </c>
      <c r="AQ696" s="4" t="s">
        <v>58</v>
      </c>
      <c r="AR696" s="4" t="s">
        <v>171</v>
      </c>
      <c r="AS696" s="4" t="s">
        <v>81</v>
      </c>
      <c r="AT696" s="0" t="n">
        <v>0.15</v>
      </c>
      <c r="AU696" s="4" t="s">
        <v>61</v>
      </c>
      <c r="AV696" s="4" t="s">
        <v>62</v>
      </c>
    </row>
    <row r="697" customFormat="false" ht="15" hidden="false" customHeight="false" outlineLevel="0" collapsed="false">
      <c r="A697" s="0" t="s">
        <v>2624</v>
      </c>
      <c r="B697" s="3" t="n">
        <f aca="false">IF(AJ697="","",IF(ISNUMBER(SEARCH("/",AJ697)),DATE(VALUE(RIGHT(AJ697,4)),VALUE(LEFT(AJ697,2)),VALUE(MID(AJ697,4,2))),IF(ISNUMBER(SEARCH("-",AJ697)),IF(LEN(LEFT(AJ697,FIND("-",AJ697)-1))=4,DATE(VALUE(LEFT(AJ697,4)),VALUE(MID(AJ697,6,2)),VALUE(RIGHT(AJ697,2))),DATE(VALUE(RIGHT(AJ697,4)),VALUE(MID(AJ697,4,2)),VALUE(LEFT(AJ697,2)))),DATE(VALUE(RIGHT(AJ697,4)),MATCH(MID(AJ697,4,3),{"Jan","Feb","Mar","Apr","May","Jun","Jul","Aug","Sep","Oct","Nov","Dec"},0),VALUE(LEFT(AJ697,2))))))</f>
        <v>45474</v>
      </c>
      <c r="C697" s="3" t="n">
        <f aca="false">IF(AK697="","",IF(ISNUMBER(SEARCH("/",AK697)),DATE(VALUE(RIGHT(AK697,4)),VALUE(LEFT(AK697,2)),VALUE(MID(AK697,4,2))),IF(ISNUMBER(SEARCH("-",AK697)),IF(LEN(LEFT(AK697,FIND("-",AK697)-1))=4,DATE(VALUE(LEFT(AK697,4)),VALUE(MID(AK697,6,2)),VALUE(RIGHT(AK697,2))),DATE(VALUE(RIGHT(AK697,4)),VALUE(MID(AK697,4,2)),VALUE(LEFT(AK697,2)))),DATE(VALUE(RIGHT(AK697,4)),MATCH(MID(AK697,4,3),{"Jan","Feb","Mar","Apr","May","Jun","Jul","Aug","Sep","Oct","Nov","Dec"},0),VALUE(LEFT(AK697,2))))))</f>
        <v>45474</v>
      </c>
      <c r="D697" s="4" t="s">
        <v>2625</v>
      </c>
      <c r="E697" s="0" t="str">
        <f aca="false">PROPER(TRIM(AL697))</f>
        <v>Aarav Sharma</v>
      </c>
      <c r="F697" s="0" t="str">
        <f aca="false">PROPER(TRIM(AM697))</f>
        <v>Consumer</v>
      </c>
      <c r="G697" s="0" t="str">
        <f aca="false">IF(TRIM(AN697)="","Unknown",PROPER(TRIM(AN697)))</f>
        <v>West</v>
      </c>
      <c r="H697" s="0" t="str">
        <f aca="false">PROPER(TRIM(AO697))</f>
        <v>Madhya Pradesh</v>
      </c>
      <c r="I697" s="0" t="str">
        <f aca="false">PROPER(TRIM(AP697))</f>
        <v>Indore</v>
      </c>
      <c r="J697" s="0" t="str">
        <f aca="false">PROPER(TRIM(AQ697))</f>
        <v>Technology</v>
      </c>
      <c r="K697" s="0" t="str">
        <f aca="false">PROPER(TRIM(AR697))</f>
        <v>Machines</v>
      </c>
      <c r="M697" s="0" t="str">
        <f aca="false">IF(TRIM(AS697)="","Unknown",PROPER(TRIM(AS697)))</f>
        <v>Standard Class</v>
      </c>
      <c r="N697" s="0" t="n">
        <v>4</v>
      </c>
      <c r="O697" s="0" t="n">
        <v>257.39</v>
      </c>
      <c r="P697" s="5" t="n">
        <f aca="false">IF(AT697="","",IF(ISNUMBER(AT697),AT697,VALUE(SUBSTITUTE(AT697,"%",""))/100))</f>
        <v>0</v>
      </c>
      <c r="Q697" s="5" t="n">
        <f aca="false">IF(P697="",IF(AND(N697&lt;&gt;"",O697&lt;&gt;"",R697&lt;&gt;"",S697&lt;&gt;""),0,"REVIEW"),IF(OR(P697&lt;0,P697&gt;0.3),0,P697))</f>
        <v>0</v>
      </c>
      <c r="R697" s="0" t="n">
        <v>1029.56</v>
      </c>
      <c r="S697" s="0" t="n">
        <v>626.33</v>
      </c>
      <c r="T697" s="6" t="n">
        <f aca="false">N697*O697*(1-Q697)</f>
        <v>1029.56</v>
      </c>
      <c r="U697" s="6" t="n">
        <f aca="false">T697-S697</f>
        <v>403.23</v>
      </c>
      <c r="V697" s="7" t="n">
        <f aca="false">IF(T697=0,0,U697/T697)</f>
        <v>0.391652744861883</v>
      </c>
      <c r="W697" s="4" t="n">
        <f aca="false">C697-B697</f>
        <v>0</v>
      </c>
      <c r="X697" s="0" t="str">
        <f aca="false">TEXT(B697,"mmmm")</f>
        <v>July</v>
      </c>
      <c r="Y697" s="4" t="n">
        <f aca="false">YEAR(B697)</f>
        <v>2024</v>
      </c>
      <c r="Z697" s="0" t="str">
        <f aca="false">PROPER(TRIM(AU697))</f>
        <v>Paid</v>
      </c>
      <c r="AA697" s="0" t="str">
        <f aca="false">PROPER(TRIM(AV697))</f>
        <v>Completed</v>
      </c>
      <c r="AB697" s="0" t="str">
        <f aca="false">IF(TRIM(AN697)="","Yes","No")</f>
        <v>No</v>
      </c>
      <c r="AC697" s="0" t="str">
        <f aca="false">IF(TRIM(AS697)="","Yes","No")</f>
        <v>No</v>
      </c>
      <c r="AD697" s="0" t="str">
        <f aca="false">IF(AT697="","Yes","No")</f>
        <v>No</v>
      </c>
      <c r="AE697" s="0" t="str">
        <f aca="false">IF(W697&lt;0,"Yes","No")</f>
        <v>No</v>
      </c>
      <c r="AF697" s="0" t="str">
        <f aca="false">IF(P697="","No",IF(OR(P697&lt;0,P697&gt;0.3),"Yes","No"))</f>
        <v>No</v>
      </c>
      <c r="AG697" s="4" t="s">
        <v>50</v>
      </c>
      <c r="AH697" s="0" t="str">
        <f aca="false">IF(AND(AA697="Completed",Z697="Paid"),"Yes","No")</f>
        <v>Yes</v>
      </c>
      <c r="AI697" s="0" t="str">
        <f aca="false">IF(OR(AE697="Yes",AF697="Yes",AG697="Yes"),"Invalid",IF(OR(AB697="Yes",AC697="Yes",AD697="Yes"),"Warning","Clean"))</f>
        <v>Clean</v>
      </c>
      <c r="AJ697" s="4" t="s">
        <v>2626</v>
      </c>
      <c r="AK697" s="4" t="s">
        <v>1729</v>
      </c>
      <c r="AL697" s="4" t="s">
        <v>176</v>
      </c>
      <c r="AM697" s="4" t="s">
        <v>54</v>
      </c>
      <c r="AN697" s="4" t="s">
        <v>97</v>
      </c>
      <c r="AO697" s="4" t="s">
        <v>107</v>
      </c>
      <c r="AP697" s="4" t="s">
        <v>108</v>
      </c>
      <c r="AQ697" s="4" t="s">
        <v>109</v>
      </c>
      <c r="AR697" s="4" t="s">
        <v>2627</v>
      </c>
      <c r="AS697" s="4" t="s">
        <v>91</v>
      </c>
      <c r="AT697" s="0" t="n">
        <v>0</v>
      </c>
      <c r="AU697" s="4" t="s">
        <v>61</v>
      </c>
      <c r="AV697" s="4" t="s">
        <v>62</v>
      </c>
    </row>
    <row r="698" customFormat="false" ht="15" hidden="false" customHeight="false" outlineLevel="0" collapsed="false">
      <c r="A698" s="0" t="s">
        <v>2628</v>
      </c>
      <c r="B698" s="3" t="n">
        <f aca="false">IF(AJ698="","",IF(ISNUMBER(SEARCH("/",AJ698)),DATE(VALUE(RIGHT(AJ698,4)),VALUE(LEFT(AJ698,2)),VALUE(MID(AJ698,4,2))),IF(ISNUMBER(SEARCH("-",AJ698)),IF(LEN(LEFT(AJ698,FIND("-",AJ698)-1))=4,DATE(VALUE(LEFT(AJ698,4)),VALUE(MID(AJ698,6,2)),VALUE(RIGHT(AJ698,2))),DATE(VALUE(RIGHT(AJ698,4)),VALUE(MID(AJ698,4,2)),VALUE(LEFT(AJ698,2)))),DATE(VALUE(RIGHT(AJ698,4)),MATCH(MID(AJ698,4,3),{"Jan","Feb","Mar","Apr","May","Jun","Jul","Aug","Sep","Oct","Nov","Dec"},0),VALUE(LEFT(AJ698,2))))))</f>
        <v>45922</v>
      </c>
      <c r="C698" s="3" t="n">
        <f aca="false">IF(AK698="","",IF(ISNUMBER(SEARCH("/",AK698)),DATE(VALUE(RIGHT(AK698,4)),VALUE(LEFT(AK698,2)),VALUE(MID(AK698,4,2))),IF(ISNUMBER(SEARCH("-",AK698)),IF(LEN(LEFT(AK698,FIND("-",AK698)-1))=4,DATE(VALUE(LEFT(AK698,4)),VALUE(MID(AK698,6,2)),VALUE(RIGHT(AK698,2))),DATE(VALUE(RIGHT(AK698,4)),VALUE(MID(AK698,4,2)),VALUE(LEFT(AK698,2)))),DATE(VALUE(RIGHT(AK698,4)),MATCH(MID(AK698,4,3),{"Jan","Feb","Mar","Apr","May","Jun","Jul","Aug","Sep","Oct","Nov","Dec"},0),VALUE(LEFT(AK698,2))))))</f>
        <v>45925</v>
      </c>
      <c r="D698" s="4" t="s">
        <v>2629</v>
      </c>
      <c r="E698" s="0" t="str">
        <f aca="false">PROPER(TRIM(AL698))</f>
        <v>Isha Nair</v>
      </c>
      <c r="F698" s="0" t="str">
        <f aca="false">PROPER(TRIM(AM698))</f>
        <v>Small Business</v>
      </c>
      <c r="G698" s="0" t="str">
        <f aca="false">IF(TRIM(AN698)="","Unknown",PROPER(TRIM(AN698)))</f>
        <v>South</v>
      </c>
      <c r="H698" s="0" t="str">
        <f aca="false">PROPER(TRIM(AO698))</f>
        <v>Kerala</v>
      </c>
      <c r="I698" s="0" t="str">
        <f aca="false">PROPER(TRIM(AP698))</f>
        <v>Kochi</v>
      </c>
      <c r="J698" s="0" t="str">
        <f aca="false">PROPER(TRIM(AQ698))</f>
        <v>Technology</v>
      </c>
      <c r="K698" s="0" t="str">
        <f aca="false">PROPER(TRIM(AR698))</f>
        <v>Phones</v>
      </c>
      <c r="M698" s="0" t="str">
        <f aca="false">IF(TRIM(AS698)="","Unknown",PROPER(TRIM(AS698)))</f>
        <v>Unknown</v>
      </c>
      <c r="N698" s="0" t="n">
        <v>4</v>
      </c>
      <c r="O698" s="0" t="n">
        <v>1178.84</v>
      </c>
      <c r="P698" s="5" t="n">
        <f aca="false">IF(AT698="","",IF(ISNUMBER(AT698),AT698,VALUE(SUBSTITUTE(AT698,"%",""))/100))</f>
        <v>0.25</v>
      </c>
      <c r="Q698" s="5" t="n">
        <f aca="false">IF(P698="",IF(AND(N698&lt;&gt;"",O698&lt;&gt;"",R698&lt;&gt;"",S698&lt;&gt;""),0,"REVIEW"),IF(OR(P698&lt;0,P698&gt;0.3),0,P698))</f>
        <v>0.25</v>
      </c>
      <c r="R698" s="0" t="n">
        <v>3536.52</v>
      </c>
      <c r="S698" s="0" t="n">
        <v>2102.41</v>
      </c>
      <c r="T698" s="6" t="n">
        <f aca="false">N698*O698*(1-Q698)</f>
        <v>3536.52</v>
      </c>
      <c r="U698" s="6" t="n">
        <f aca="false">T698-S698</f>
        <v>1434.11</v>
      </c>
      <c r="V698" s="7" t="n">
        <f aca="false">IF(T698=0,0,U698/T698)</f>
        <v>0.405514460543133</v>
      </c>
      <c r="W698" s="4" t="n">
        <f aca="false">C698-B698</f>
        <v>3</v>
      </c>
      <c r="X698" s="0" t="str">
        <f aca="false">TEXT(B698,"mmmm")</f>
        <v>September</v>
      </c>
      <c r="Y698" s="4" t="n">
        <f aca="false">YEAR(B698)</f>
        <v>2025</v>
      </c>
      <c r="Z698" s="0" t="str">
        <f aca="false">PROPER(TRIM(AU698))</f>
        <v>Paid</v>
      </c>
      <c r="AA698" s="0" t="str">
        <f aca="false">PROPER(TRIM(AV698))</f>
        <v>Completed</v>
      </c>
      <c r="AB698" s="0" t="str">
        <f aca="false">IF(TRIM(AN698)="","Yes","No")</f>
        <v>No</v>
      </c>
      <c r="AC698" s="0" t="str">
        <f aca="false">IF(TRIM(AS698)="","Yes","No")</f>
        <v>Yes</v>
      </c>
      <c r="AD698" s="0" t="str">
        <f aca="false">IF(AT698="","Yes","No")</f>
        <v>No</v>
      </c>
      <c r="AE698" s="0" t="str">
        <f aca="false">IF(W698&lt;0,"Yes","No")</f>
        <v>No</v>
      </c>
      <c r="AF698" s="0" t="str">
        <f aca="false">IF(P698="","No",IF(OR(P698&lt;0,P698&gt;0.3),"Yes","No"))</f>
        <v>No</v>
      </c>
      <c r="AG698" s="4" t="s">
        <v>50</v>
      </c>
      <c r="AH698" s="0" t="str">
        <f aca="false">IF(AND(AA698="Completed",Z698="Paid"),"Yes","No")</f>
        <v>Yes</v>
      </c>
      <c r="AI698" s="0" t="str">
        <f aca="false">IF(OR(AE698="Yes",AF698="Yes",AG698="Yes"),"Invalid",IF(OR(AB698="Yes",AC698="Yes",AD698="Yes"),"Warning","Clean"))</f>
        <v>Warning</v>
      </c>
      <c r="AJ698" s="4" t="s">
        <v>2630</v>
      </c>
      <c r="AK698" s="4" t="s">
        <v>2631</v>
      </c>
      <c r="AL698" s="4" t="s">
        <v>79</v>
      </c>
      <c r="AM698" s="4" t="s">
        <v>68</v>
      </c>
      <c r="AN698" s="4" t="s">
        <v>87</v>
      </c>
      <c r="AO698" s="4" t="s">
        <v>244</v>
      </c>
      <c r="AP698" s="4" t="s">
        <v>245</v>
      </c>
      <c r="AQ698" s="4" t="s">
        <v>109</v>
      </c>
      <c r="AR698" s="4" t="s">
        <v>227</v>
      </c>
      <c r="AT698" s="0" t="n">
        <v>0.25</v>
      </c>
      <c r="AU698" s="4" t="s">
        <v>61</v>
      </c>
      <c r="AV698" s="4" t="s">
        <v>62</v>
      </c>
    </row>
    <row r="699" customFormat="false" ht="15" hidden="false" customHeight="false" outlineLevel="0" collapsed="false">
      <c r="A699" s="0" t="s">
        <v>2632</v>
      </c>
      <c r="B699" s="3" t="n">
        <f aca="false">IF(AJ699="","",IF(ISNUMBER(SEARCH("/",AJ699)),DATE(VALUE(RIGHT(AJ699,4)),VALUE(LEFT(AJ699,2)),VALUE(MID(AJ699,4,2))),IF(ISNUMBER(SEARCH("-",AJ699)),IF(LEN(LEFT(AJ699,FIND("-",AJ699)-1))=4,DATE(VALUE(LEFT(AJ699,4)),VALUE(MID(AJ699,6,2)),VALUE(RIGHT(AJ699,2))),DATE(VALUE(RIGHT(AJ699,4)),VALUE(MID(AJ699,4,2)),VALUE(LEFT(AJ699,2)))),DATE(VALUE(RIGHT(AJ699,4)),MATCH(MID(AJ699,4,3),{"Jan","Feb","Mar","Apr","May","Jun","Jul","Aug","Sep","Oct","Nov","Dec"},0),VALUE(LEFT(AJ699,2))))))</f>
        <v>45717</v>
      </c>
      <c r="C699" s="3" t="n">
        <f aca="false">IF(AK699="","",IF(ISNUMBER(SEARCH("/",AK699)),DATE(VALUE(RIGHT(AK699,4)),VALUE(LEFT(AK699,2)),VALUE(MID(AK699,4,2))),IF(ISNUMBER(SEARCH("-",AK699)),IF(LEN(LEFT(AK699,FIND("-",AK699)-1))=4,DATE(VALUE(LEFT(AK699,4)),VALUE(MID(AK699,6,2)),VALUE(RIGHT(AK699,2))),DATE(VALUE(RIGHT(AK699,4)),VALUE(MID(AK699,4,2)),VALUE(LEFT(AK699,2)))),DATE(VALUE(RIGHT(AK699,4)),MATCH(MID(AK699,4,3),{"Jan","Feb","Mar","Apr","May","Jun","Jul","Aug","Sep","Oct","Nov","Dec"},0),VALUE(LEFT(AK699,2))))))</f>
        <v>45723</v>
      </c>
      <c r="D699" s="4" t="s">
        <v>2633</v>
      </c>
      <c r="E699" s="0" t="str">
        <f aca="false">PROPER(TRIM(AL699))</f>
        <v>Arjun Bose</v>
      </c>
      <c r="F699" s="0" t="str">
        <f aca="false">PROPER(TRIM(AM699))</f>
        <v>Corporate</v>
      </c>
      <c r="G699" s="0" t="str">
        <f aca="false">IF(TRIM(AN699)="","Unknown",PROPER(TRIM(AN699)))</f>
        <v>South</v>
      </c>
      <c r="H699" s="0" t="str">
        <f aca="false">PROPER(TRIM(AO699))</f>
        <v>Andhra Pradesh</v>
      </c>
      <c r="I699" s="0" t="str">
        <f aca="false">PROPER(TRIM(AP699))</f>
        <v>Vijayawada</v>
      </c>
      <c r="J699" s="0" t="str">
        <f aca="false">PROPER(TRIM(AQ699))</f>
        <v>Office Supplies</v>
      </c>
      <c r="K699" s="0" t="str">
        <f aca="false">PROPER(TRIM(AR699))</f>
        <v>Labels</v>
      </c>
      <c r="M699" s="0" t="str">
        <f aca="false">IF(TRIM(AS699)="","Unknown",PROPER(TRIM(AS699)))</f>
        <v>First Class</v>
      </c>
      <c r="N699" s="0" t="n">
        <v>7</v>
      </c>
      <c r="O699" s="0" t="n">
        <v>567.15</v>
      </c>
      <c r="P699" s="5" t="str">
        <f aca="false">IF(AT699="","",IF(ISNUMBER(AT699),AT699,VALUE(SUBSTITUTE(AT699,"%",""))/100))</f>
        <v/>
      </c>
      <c r="Q699" s="5" t="n">
        <f aca="false">IF(P699="",IF(AND(N699&lt;&gt;"",O699&lt;&gt;"",R699&lt;&gt;"",S699&lt;&gt;""),0,"REVIEW"),IF(OR(P699&lt;0,P699&gt;0.3),0,P699))</f>
        <v>0</v>
      </c>
      <c r="R699" s="0" t="n">
        <v>2977.54</v>
      </c>
      <c r="S699" s="0" t="n">
        <v>1849.3</v>
      </c>
      <c r="T699" s="6" t="n">
        <f aca="false">N699*O699*(1-Q699)</f>
        <v>3970.05</v>
      </c>
      <c r="U699" s="6" t="n">
        <f aca="false">T699-S699</f>
        <v>2120.75</v>
      </c>
      <c r="V699" s="7" t="n">
        <f aca="false">IF(T699=0,0,U699/T699)</f>
        <v>0.534187226861123</v>
      </c>
      <c r="W699" s="4" t="n">
        <f aca="false">C699-B699</f>
        <v>6</v>
      </c>
      <c r="X699" s="0" t="str">
        <f aca="false">TEXT(B699,"mmmm")</f>
        <v>March</v>
      </c>
      <c r="Y699" s="4" t="n">
        <f aca="false">YEAR(B699)</f>
        <v>2025</v>
      </c>
      <c r="Z699" s="0" t="str">
        <f aca="false">PROPER(TRIM(AU699))</f>
        <v>Refunded</v>
      </c>
      <c r="AA699" s="0" t="str">
        <f aca="false">PROPER(TRIM(AV699))</f>
        <v>Returned</v>
      </c>
      <c r="AB699" s="0" t="str">
        <f aca="false">IF(TRIM(AN699)="","Yes","No")</f>
        <v>No</v>
      </c>
      <c r="AC699" s="0" t="str">
        <f aca="false">IF(TRIM(AS699)="","Yes","No")</f>
        <v>No</v>
      </c>
      <c r="AD699" s="0" t="str">
        <f aca="false">IF(AT699="","Yes","No")</f>
        <v>Yes</v>
      </c>
      <c r="AE699" s="0" t="str">
        <f aca="false">IF(W699&lt;0,"Yes","No")</f>
        <v>No</v>
      </c>
      <c r="AF699" s="0" t="str">
        <f aca="false">IF(P699="","No",IF(OR(P699&lt;0,P699&gt;0.3),"Yes","No"))</f>
        <v>No</v>
      </c>
      <c r="AG699" s="4" t="s">
        <v>50</v>
      </c>
      <c r="AH699" s="0" t="str">
        <f aca="false">IF(AND(AA699="Completed",Z699="Paid"),"Yes","No")</f>
        <v>No</v>
      </c>
      <c r="AI699" s="0" t="str">
        <f aca="false">IF(OR(AE699="Yes",AF699="Yes",AG699="Yes"),"Invalid",IF(OR(AB699="Yes",AC699="Yes",AD699="Yes"),"Warning","Clean"))</f>
        <v>Warning</v>
      </c>
      <c r="AJ699" s="4" t="s">
        <v>1900</v>
      </c>
      <c r="AK699" s="4" t="s">
        <v>691</v>
      </c>
      <c r="AL699" s="4" t="s">
        <v>86</v>
      </c>
      <c r="AM699" s="4" t="s">
        <v>128</v>
      </c>
      <c r="AN699" s="4" t="s">
        <v>87</v>
      </c>
      <c r="AO699" s="4" t="s">
        <v>121</v>
      </c>
      <c r="AP699" s="4" t="s">
        <v>122</v>
      </c>
      <c r="AQ699" s="4" t="s">
        <v>58</v>
      </c>
      <c r="AR699" s="4" t="s">
        <v>129</v>
      </c>
      <c r="AS699" s="4" t="s">
        <v>81</v>
      </c>
      <c r="AU699" s="4" t="s">
        <v>141</v>
      </c>
      <c r="AV699" s="4" t="s">
        <v>142</v>
      </c>
    </row>
    <row r="700" customFormat="false" ht="15" hidden="false" customHeight="false" outlineLevel="0" collapsed="false">
      <c r="A700" s="0" t="s">
        <v>2634</v>
      </c>
      <c r="B700" s="3" t="n">
        <f aca="false">IF(AJ700="","",IF(ISNUMBER(SEARCH("/",AJ700)),DATE(VALUE(RIGHT(AJ700,4)),VALUE(LEFT(AJ700,2)),VALUE(MID(AJ700,4,2))),IF(ISNUMBER(SEARCH("-",AJ700)),IF(LEN(LEFT(AJ700,FIND("-",AJ700)-1))=4,DATE(VALUE(LEFT(AJ700,4)),VALUE(MID(AJ700,6,2)),VALUE(RIGHT(AJ700,2))),DATE(VALUE(RIGHT(AJ700,4)),VALUE(MID(AJ700,4,2)),VALUE(LEFT(AJ700,2)))),DATE(VALUE(RIGHT(AJ700,4)),MATCH(MID(AJ700,4,3),{"Jan","Feb","Mar","Apr","May","Jun","Jul","Aug","Sep","Oct","Nov","Dec"},0),VALUE(LEFT(AJ700,2))))))</f>
        <v>45549</v>
      </c>
      <c r="C700" s="3" t="n">
        <f aca="false">IF(AK700="","",IF(ISNUMBER(SEARCH("/",AK700)),DATE(VALUE(RIGHT(AK700,4)),VALUE(LEFT(AK700,2)),VALUE(MID(AK700,4,2))),IF(ISNUMBER(SEARCH("-",AK700)),IF(LEN(LEFT(AK700,FIND("-",AK700)-1))=4,DATE(VALUE(LEFT(AK700,4)),VALUE(MID(AK700,6,2)),VALUE(RIGHT(AK700,2))),DATE(VALUE(RIGHT(AK700,4)),VALUE(MID(AK700,4,2)),VALUE(LEFT(AK700,2)))),DATE(VALUE(RIGHT(AK700,4)),MATCH(MID(AK700,4,3),{"Jan","Feb","Mar","Apr","May","Jun","Jul","Aug","Sep","Oct","Nov","Dec"},0),VALUE(LEFT(AK700,2))))))</f>
        <v>45549</v>
      </c>
      <c r="D700" s="4" t="s">
        <v>2635</v>
      </c>
      <c r="E700" s="0" t="str">
        <f aca="false">PROPER(TRIM(AL700))</f>
        <v>Mira Das</v>
      </c>
      <c r="F700" s="0" t="str">
        <f aca="false">PROPER(TRIM(AM700))</f>
        <v>Corporate</v>
      </c>
      <c r="G700" s="0" t="str">
        <f aca="false">IF(TRIM(AN700)="","Unknown",PROPER(TRIM(AN700)))</f>
        <v>North</v>
      </c>
      <c r="H700" s="0" t="str">
        <f aca="false">PROPER(TRIM(AO700))</f>
        <v>Rajasthan</v>
      </c>
      <c r="I700" s="0" t="str">
        <f aca="false">PROPER(TRIM(AP700))</f>
        <v>Jaipur</v>
      </c>
      <c r="J700" s="0" t="str">
        <f aca="false">PROPER(TRIM(AQ700))</f>
        <v>Technology</v>
      </c>
      <c r="K700" s="0" t="str">
        <f aca="false">PROPER(TRIM(AR700))</f>
        <v>Machines</v>
      </c>
      <c r="M700" s="0" t="str">
        <f aca="false">IF(TRIM(AS700)="","Unknown",PROPER(TRIM(AS700)))</f>
        <v>Standard Class</v>
      </c>
      <c r="N700" s="0" t="n">
        <v>8</v>
      </c>
      <c r="O700" s="0" t="n">
        <v>4081.66</v>
      </c>
      <c r="P700" s="5" t="n">
        <f aca="false">IF(AT700="","",IF(ISNUMBER(AT700),AT700,VALUE(SUBSTITUTE(AT700,"%",""))/100))</f>
        <v>0.15</v>
      </c>
      <c r="Q700" s="5" t="n">
        <f aca="false">IF(P700="",IF(AND(N700&lt;&gt;"",O700&lt;&gt;"",R700&lt;&gt;"",S700&lt;&gt;""),0,"REVIEW"),IF(OR(P700&lt;0,P700&gt;0.3),0,P700))</f>
        <v>0.15</v>
      </c>
      <c r="R700" s="0" t="n">
        <v>28208.1</v>
      </c>
      <c r="S700" s="0" t="n">
        <v>23751.91</v>
      </c>
      <c r="T700" s="6" t="n">
        <f aca="false">N700*O700*(1-Q700)</f>
        <v>27755.288</v>
      </c>
      <c r="U700" s="6" t="n">
        <f aca="false">T700-S700</f>
        <v>4003.378</v>
      </c>
      <c r="V700" s="7" t="n">
        <f aca="false">IF(T700=0,0,U700/T700)</f>
        <v>0.144238388014565</v>
      </c>
      <c r="W700" s="4" t="n">
        <f aca="false">C700-B700</f>
        <v>0</v>
      </c>
      <c r="X700" s="0" t="str">
        <f aca="false">TEXT(B700,"mmmm")</f>
        <v>September</v>
      </c>
      <c r="Y700" s="4" t="n">
        <f aca="false">YEAR(B700)</f>
        <v>2024</v>
      </c>
      <c r="Z700" s="0" t="str">
        <f aca="false">PROPER(TRIM(AU700))</f>
        <v>Paid</v>
      </c>
      <c r="AA700" s="0" t="str">
        <f aca="false">PROPER(TRIM(AV700))</f>
        <v>Returned</v>
      </c>
      <c r="AB700" s="0" t="str">
        <f aca="false">IF(TRIM(AN700)="","Yes","No")</f>
        <v>No</v>
      </c>
      <c r="AC700" s="0" t="str">
        <f aca="false">IF(TRIM(AS700)="","Yes","No")</f>
        <v>No</v>
      </c>
      <c r="AD700" s="0" t="str">
        <f aca="false">IF(AT700="","Yes","No")</f>
        <v>No</v>
      </c>
      <c r="AE700" s="0" t="str">
        <f aca="false">IF(W700&lt;0,"Yes","No")</f>
        <v>No</v>
      </c>
      <c r="AF700" s="0" t="str">
        <f aca="false">IF(P700="","No",IF(OR(P700&lt;0,P700&gt;0.3),"Yes","No"))</f>
        <v>No</v>
      </c>
      <c r="AG700" s="4" t="s">
        <v>50</v>
      </c>
      <c r="AH700" s="0" t="str">
        <f aca="false">IF(AND(AA700="Completed",Z700="Paid"),"Yes","No")</f>
        <v>No</v>
      </c>
      <c r="AI700" s="0" t="str">
        <f aca="false">IF(OR(AE700="Yes",AF700="Yes",AG700="Yes"),"Invalid",IF(OR(AB700="Yes",AC700="Yes",AD700="Yes"),"Warning","Clean"))</f>
        <v>Clean</v>
      </c>
      <c r="AJ700" s="4" t="s">
        <v>2636</v>
      </c>
      <c r="AK700" s="4" t="s">
        <v>1445</v>
      </c>
      <c r="AL700" s="4" t="s">
        <v>67</v>
      </c>
      <c r="AM700" s="4" t="s">
        <v>128</v>
      </c>
      <c r="AN700" s="4" t="s">
        <v>168</v>
      </c>
      <c r="AO700" s="4" t="s">
        <v>56</v>
      </c>
      <c r="AP700" s="4" t="s">
        <v>57</v>
      </c>
      <c r="AQ700" s="4" t="s">
        <v>109</v>
      </c>
      <c r="AR700" s="4" t="s">
        <v>360</v>
      </c>
      <c r="AS700" s="4" t="s">
        <v>91</v>
      </c>
      <c r="AT700" s="0" t="n">
        <v>0.15</v>
      </c>
      <c r="AU700" s="4" t="s">
        <v>61</v>
      </c>
      <c r="AV700" s="4" t="s">
        <v>142</v>
      </c>
    </row>
    <row r="701" customFormat="false" ht="15" hidden="false" customHeight="false" outlineLevel="0" collapsed="false">
      <c r="A701" s="0" t="s">
        <v>2637</v>
      </c>
      <c r="B701" s="3" t="n">
        <f aca="false">IF(AJ701="","",IF(ISNUMBER(SEARCH("/",AJ701)),DATE(VALUE(RIGHT(AJ701,4)),VALUE(LEFT(AJ701,2)),VALUE(MID(AJ701,4,2))),IF(ISNUMBER(SEARCH("-",AJ701)),IF(LEN(LEFT(AJ701,FIND("-",AJ701)-1))=4,DATE(VALUE(LEFT(AJ701,4)),VALUE(MID(AJ701,6,2)),VALUE(RIGHT(AJ701,2))),DATE(VALUE(RIGHT(AJ701,4)),VALUE(MID(AJ701,4,2)),VALUE(LEFT(AJ701,2)))),DATE(VALUE(RIGHT(AJ701,4)),MATCH(MID(AJ701,4,3),{"Jan","Feb","Mar","Apr","May","Jun","Jul","Aug","Sep","Oct","Nov","Dec"},0),VALUE(LEFT(AJ701,2))))))</f>
        <v>45454</v>
      </c>
      <c r="C701" s="3" t="n">
        <f aca="false">IF(AK701="","",IF(ISNUMBER(SEARCH("/",AK701)),DATE(VALUE(RIGHT(AK701,4)),VALUE(LEFT(AK701,2)),VALUE(MID(AK701,4,2))),IF(ISNUMBER(SEARCH("-",AK701)),IF(LEN(LEFT(AK701,FIND("-",AK701)-1))=4,DATE(VALUE(LEFT(AK701,4)),VALUE(MID(AK701,6,2)),VALUE(RIGHT(AK701,2))),DATE(VALUE(RIGHT(AK701,4)),VALUE(MID(AK701,4,2)),VALUE(LEFT(AK701,2)))),DATE(VALUE(RIGHT(AK701,4)),MATCH(MID(AK701,4,3),{"Jan","Feb","Mar","Apr","May","Jun","Jul","Aug","Sep","Oct","Nov","Dec"},0),VALUE(LEFT(AK701,2))))))</f>
        <v>45454</v>
      </c>
      <c r="D701" s="4" t="s">
        <v>2638</v>
      </c>
      <c r="E701" s="0" t="str">
        <f aca="false">PROPER(TRIM(AL701))</f>
        <v>Arjun Bose</v>
      </c>
      <c r="F701" s="0" t="str">
        <f aca="false">PROPER(TRIM(AM701))</f>
        <v>Small Business</v>
      </c>
      <c r="G701" s="0" t="str">
        <f aca="false">IF(TRIM(AN701)="","Unknown",PROPER(TRIM(AN701)))</f>
        <v>South</v>
      </c>
      <c r="H701" s="0" t="str">
        <f aca="false">PROPER(TRIM(AO701))</f>
        <v>Karnataka</v>
      </c>
      <c r="I701" s="0" t="str">
        <f aca="false">PROPER(TRIM(AP701))</f>
        <v>Bengaluru</v>
      </c>
      <c r="J701" s="0" t="str">
        <f aca="false">PROPER(TRIM(AQ701))</f>
        <v>Furniture</v>
      </c>
      <c r="K701" s="0" t="str">
        <f aca="false">PROPER(TRIM(AR701))</f>
        <v>Bookcases</v>
      </c>
      <c r="M701" s="0" t="str">
        <f aca="false">IF(TRIM(AS701)="","Unknown",PROPER(TRIM(AS701)))</f>
        <v>Standard Class</v>
      </c>
      <c r="N701" s="0" t="n">
        <v>9</v>
      </c>
      <c r="O701" s="0" t="n">
        <v>1400.11</v>
      </c>
      <c r="P701" s="5" t="n">
        <f aca="false">IF(AT701="","",IF(ISNUMBER(AT701),AT701,VALUE(SUBSTITUTE(AT701,"%",""))/100))</f>
        <v>0.25</v>
      </c>
      <c r="Q701" s="5" t="n">
        <f aca="false">IF(P701="",IF(AND(N701&lt;&gt;"",O701&lt;&gt;"",R701&lt;&gt;"",S701&lt;&gt;""),0,"REVIEW"),IF(OR(P701&lt;0,P701&gt;0.3),0,P701))</f>
        <v>0.25</v>
      </c>
      <c r="R701" s="0" t="n">
        <v>9450.74</v>
      </c>
      <c r="S701" s="0" t="n">
        <v>7798.56</v>
      </c>
      <c r="T701" s="6" t="n">
        <f aca="false">N701*O701*(1-Q701)</f>
        <v>9450.7425</v>
      </c>
      <c r="U701" s="6" t="n">
        <f aca="false">T701-S701</f>
        <v>1652.1825</v>
      </c>
      <c r="V701" s="7" t="n">
        <f aca="false">IF(T701=0,0,U701/T701)</f>
        <v>0.174820391096255</v>
      </c>
      <c r="W701" s="4" t="n">
        <f aca="false">C701-B701</f>
        <v>0</v>
      </c>
      <c r="X701" s="0" t="str">
        <f aca="false">TEXT(B701,"mmmm")</f>
        <v>June</v>
      </c>
      <c r="Y701" s="4" t="n">
        <f aca="false">YEAR(B701)</f>
        <v>2024</v>
      </c>
      <c r="Z701" s="0" t="str">
        <f aca="false">PROPER(TRIM(AU701))</f>
        <v>Paid</v>
      </c>
      <c r="AA701" s="0" t="str">
        <f aca="false">PROPER(TRIM(AV701))</f>
        <v>Completed</v>
      </c>
      <c r="AB701" s="0" t="str">
        <f aca="false">IF(TRIM(AN701)="","Yes","No")</f>
        <v>No</v>
      </c>
      <c r="AC701" s="0" t="str">
        <f aca="false">IF(TRIM(AS701)="","Yes","No")</f>
        <v>No</v>
      </c>
      <c r="AD701" s="0" t="str">
        <f aca="false">IF(AT701="","Yes","No")</f>
        <v>No</v>
      </c>
      <c r="AE701" s="0" t="str">
        <f aca="false">IF(W701&lt;0,"Yes","No")</f>
        <v>No</v>
      </c>
      <c r="AF701" s="0" t="str">
        <f aca="false">IF(P701="","No",IF(OR(P701&lt;0,P701&gt;0.3),"Yes","No"))</f>
        <v>No</v>
      </c>
      <c r="AG701" s="4" t="s">
        <v>50</v>
      </c>
      <c r="AH701" s="0" t="str">
        <f aca="false">IF(AND(AA701="Completed",Z701="Paid"),"Yes","No")</f>
        <v>Yes</v>
      </c>
      <c r="AI701" s="0" t="str">
        <f aca="false">IF(OR(AE701="Yes",AF701="Yes",AG701="Yes"),"Invalid",IF(OR(AB701="Yes",AC701="Yes",AD701="Yes"),"Warning","Clean"))</f>
        <v>Clean</v>
      </c>
      <c r="AJ701" s="4" t="s">
        <v>2639</v>
      </c>
      <c r="AK701" s="4" t="s">
        <v>2640</v>
      </c>
      <c r="AL701" s="4" t="s">
        <v>86</v>
      </c>
      <c r="AM701" s="4" t="s">
        <v>68</v>
      </c>
      <c r="AN701" s="4" t="s">
        <v>87</v>
      </c>
      <c r="AO701" s="4" t="s">
        <v>233</v>
      </c>
      <c r="AP701" s="4" t="s">
        <v>234</v>
      </c>
      <c r="AQ701" s="4" t="s">
        <v>72</v>
      </c>
      <c r="AR701" s="4" t="s">
        <v>211</v>
      </c>
      <c r="AS701" s="4" t="s">
        <v>91</v>
      </c>
      <c r="AT701" s="0" t="n">
        <v>0.25</v>
      </c>
      <c r="AU701" s="4" t="s">
        <v>61</v>
      </c>
      <c r="AV701" s="4" t="s">
        <v>62</v>
      </c>
    </row>
    <row r="702" customFormat="false" ht="15" hidden="false" customHeight="false" outlineLevel="0" collapsed="false">
      <c r="A702" s="0" t="s">
        <v>2641</v>
      </c>
      <c r="B702" s="3" t="n">
        <f aca="false">IF(AJ702="","",IF(ISNUMBER(SEARCH("/",AJ702)),DATE(VALUE(RIGHT(AJ702,4)),VALUE(LEFT(AJ702,2)),VALUE(MID(AJ702,4,2))),IF(ISNUMBER(SEARCH("-",AJ702)),IF(LEN(LEFT(AJ702,FIND("-",AJ702)-1))=4,DATE(VALUE(LEFT(AJ702,4)),VALUE(MID(AJ702,6,2)),VALUE(RIGHT(AJ702,2))),DATE(VALUE(RIGHT(AJ702,4)),VALUE(MID(AJ702,4,2)),VALUE(LEFT(AJ702,2)))),DATE(VALUE(RIGHT(AJ702,4)),MATCH(MID(AJ702,4,3),{"Jan","Feb","Mar","Apr","May","Jun","Jul","Aug","Sep","Oct","Nov","Dec"},0),VALUE(LEFT(AJ702,2))))))</f>
        <v>45553</v>
      </c>
      <c r="C702" s="3" t="n">
        <f aca="false">IF(AK702="","",IF(ISNUMBER(SEARCH("/",AK702)),DATE(VALUE(RIGHT(AK702,4)),VALUE(LEFT(AK702,2)),VALUE(MID(AK702,4,2))),IF(ISNUMBER(SEARCH("-",AK702)),IF(LEN(LEFT(AK702,FIND("-",AK702)-1))=4,DATE(VALUE(LEFT(AK702,4)),VALUE(MID(AK702,6,2)),VALUE(RIGHT(AK702,2))),DATE(VALUE(RIGHT(AK702,4)),VALUE(MID(AK702,4,2)),VALUE(LEFT(AK702,2)))),DATE(VALUE(RIGHT(AK702,4)),MATCH(MID(AK702,4,3),{"Jan","Feb","Mar","Apr","May","Jun","Jul","Aug","Sep","Oct","Nov","Dec"},0),VALUE(LEFT(AK702,2))))))</f>
        <v>45556</v>
      </c>
      <c r="D702" s="4" t="s">
        <v>2642</v>
      </c>
      <c r="E702" s="0" t="str">
        <f aca="false">PROPER(TRIM(AL702))</f>
        <v>Neha Gupta</v>
      </c>
      <c r="F702" s="0" t="str">
        <f aca="false">PROPER(TRIM(AM702))</f>
        <v>Corporate</v>
      </c>
      <c r="G702" s="0" t="str">
        <f aca="false">IF(TRIM(AN702)="","Unknown",PROPER(TRIM(AN702)))</f>
        <v>East</v>
      </c>
      <c r="H702" s="0" t="str">
        <f aca="false">PROPER(TRIM(AO702))</f>
        <v>West Bengal</v>
      </c>
      <c r="I702" s="0" t="str">
        <f aca="false">PROPER(TRIM(AP702))</f>
        <v>Kolkata</v>
      </c>
      <c r="J702" s="0" t="str">
        <f aca="false">PROPER(TRIM(AQ702))</f>
        <v>Technology</v>
      </c>
      <c r="K702" s="0" t="str">
        <f aca="false">PROPER(TRIM(AR702))</f>
        <v>Machines</v>
      </c>
      <c r="M702" s="0" t="str">
        <f aca="false">IF(TRIM(AS702)="","Unknown",PROPER(TRIM(AS702)))</f>
        <v>Standard Class</v>
      </c>
      <c r="N702" s="0" t="n">
        <v>3</v>
      </c>
      <c r="O702" s="0" t="n">
        <v>3055.9</v>
      </c>
      <c r="P702" s="5" t="n">
        <f aca="false">IF(AT702="","",IF(ISNUMBER(AT702),AT702,VALUE(SUBSTITUTE(AT702,"%",""))/100))</f>
        <v>0.15</v>
      </c>
      <c r="Q702" s="5" t="n">
        <f aca="false">IF(P702="",IF(AND(N702&lt;&gt;"",O702&lt;&gt;"",R702&lt;&gt;"",S702&lt;&gt;""),0,"REVIEW"),IF(OR(P702&lt;0,P702&gt;0.3),0,P702))</f>
        <v>0.15</v>
      </c>
      <c r="R702" s="0" t="n">
        <v>7792.55</v>
      </c>
      <c r="S702" s="0" t="n">
        <v>4691.73</v>
      </c>
      <c r="T702" s="6" t="n">
        <f aca="false">N702*O702*(1-Q702)</f>
        <v>7792.545</v>
      </c>
      <c r="U702" s="6" t="n">
        <f aca="false">T702-S702</f>
        <v>3100.815</v>
      </c>
      <c r="V702" s="7" t="n">
        <f aca="false">IF(T702=0,0,U702/T702)</f>
        <v>0.397920704981492</v>
      </c>
      <c r="W702" s="4" t="n">
        <f aca="false">C702-B702</f>
        <v>3</v>
      </c>
      <c r="X702" s="0" t="str">
        <f aca="false">TEXT(B702,"mmmm")</f>
        <v>September</v>
      </c>
      <c r="Y702" s="4" t="n">
        <f aca="false">YEAR(B702)</f>
        <v>2024</v>
      </c>
      <c r="Z702" s="0" t="str">
        <f aca="false">PROPER(TRIM(AU702))</f>
        <v>Paid</v>
      </c>
      <c r="AA702" s="0" t="str">
        <f aca="false">PROPER(TRIM(AV702))</f>
        <v>Completed</v>
      </c>
      <c r="AB702" s="0" t="str">
        <f aca="false">IF(TRIM(AN702)="","Yes","No")</f>
        <v>No</v>
      </c>
      <c r="AC702" s="0" t="str">
        <f aca="false">IF(TRIM(AS702)="","Yes","No")</f>
        <v>No</v>
      </c>
      <c r="AD702" s="0" t="str">
        <f aca="false">IF(AT702="","Yes","No")</f>
        <v>No</v>
      </c>
      <c r="AE702" s="0" t="str">
        <f aca="false">IF(W702&lt;0,"Yes","No")</f>
        <v>No</v>
      </c>
      <c r="AF702" s="0" t="str">
        <f aca="false">IF(P702="","No",IF(OR(P702&lt;0,P702&gt;0.3),"Yes","No"))</f>
        <v>No</v>
      </c>
      <c r="AG702" s="4" t="s">
        <v>50</v>
      </c>
      <c r="AH702" s="0" t="str">
        <f aca="false">IF(AND(AA702="Completed",Z702="Paid"),"Yes","No")</f>
        <v>Yes</v>
      </c>
      <c r="AI702" s="0" t="str">
        <f aca="false">IF(OR(AE702="Yes",AF702="Yes",AG702="Yes"),"Invalid",IF(OR(AB702="Yes",AC702="Yes",AD702="Yes"),"Warning","Clean"))</f>
        <v>Clean</v>
      </c>
      <c r="AJ702" s="4" t="s">
        <v>2643</v>
      </c>
      <c r="AK702" s="4" t="s">
        <v>966</v>
      </c>
      <c r="AL702" s="4" t="s">
        <v>115</v>
      </c>
      <c r="AM702" s="4" t="s">
        <v>128</v>
      </c>
      <c r="AN702" s="4" t="s">
        <v>69</v>
      </c>
      <c r="AO702" s="4" t="s">
        <v>139</v>
      </c>
      <c r="AP702" s="4" t="s">
        <v>140</v>
      </c>
      <c r="AQ702" s="4" t="s">
        <v>109</v>
      </c>
      <c r="AR702" s="4" t="s">
        <v>360</v>
      </c>
      <c r="AS702" s="4" t="s">
        <v>91</v>
      </c>
      <c r="AT702" s="0" t="n">
        <v>0.15</v>
      </c>
      <c r="AU702" s="4" t="s">
        <v>61</v>
      </c>
      <c r="AV702" s="4" t="s">
        <v>62</v>
      </c>
    </row>
    <row r="703" customFormat="false" ht="15" hidden="false" customHeight="false" outlineLevel="0" collapsed="false">
      <c r="A703" s="0" t="s">
        <v>2644</v>
      </c>
      <c r="B703" s="3" t="n">
        <f aca="false">IF(AJ703="","",IF(ISNUMBER(SEARCH("/",AJ703)),DATE(VALUE(RIGHT(AJ703,4)),VALUE(LEFT(AJ703,2)),VALUE(MID(AJ703,4,2))),IF(ISNUMBER(SEARCH("-",AJ703)),IF(LEN(LEFT(AJ703,FIND("-",AJ703)-1))=4,DATE(VALUE(LEFT(AJ703,4)),VALUE(MID(AJ703,6,2)),VALUE(RIGHT(AJ703,2))),DATE(VALUE(RIGHT(AJ703,4)),VALUE(MID(AJ703,4,2)),VALUE(LEFT(AJ703,2)))),DATE(VALUE(RIGHT(AJ703,4)),MATCH(MID(AJ703,4,3),{"Jan","Feb","Mar","Apr","May","Jun","Jul","Aug","Sep","Oct","Nov","Dec"},0),VALUE(LEFT(AJ703,2))))))</f>
        <v>45412</v>
      </c>
      <c r="C703" s="3" t="n">
        <f aca="false">IF(AK703="","",IF(ISNUMBER(SEARCH("/",AK703)),DATE(VALUE(RIGHT(AK703,4)),VALUE(LEFT(AK703,2)),VALUE(MID(AK703,4,2))),IF(ISNUMBER(SEARCH("-",AK703)),IF(LEN(LEFT(AK703,FIND("-",AK703)-1))=4,DATE(VALUE(LEFT(AK703,4)),VALUE(MID(AK703,6,2)),VALUE(RIGHT(AK703,2))),DATE(VALUE(RIGHT(AK703,4)),VALUE(MID(AK703,4,2)),VALUE(LEFT(AK703,2)))),DATE(VALUE(RIGHT(AK703,4)),MATCH(MID(AK703,4,3),{"Jan","Feb","Mar","Apr","May","Jun","Jul","Aug","Sep","Oct","Nov","Dec"},0),VALUE(LEFT(AK703,2))))))</f>
        <v>45416</v>
      </c>
      <c r="D703" s="4" t="s">
        <v>2645</v>
      </c>
      <c r="E703" s="0" t="str">
        <f aca="false">PROPER(TRIM(AL703))</f>
        <v>Rohan Mehta</v>
      </c>
      <c r="F703" s="0" t="str">
        <f aca="false">PROPER(TRIM(AM703))</f>
        <v>Small Business</v>
      </c>
      <c r="G703" s="0" t="str">
        <f aca="false">IF(TRIM(AN703)="","Unknown",PROPER(TRIM(AN703)))</f>
        <v>West</v>
      </c>
      <c r="H703" s="0" t="str">
        <f aca="false">PROPER(TRIM(AO703))</f>
        <v>Gujarat</v>
      </c>
      <c r="I703" s="0" t="str">
        <f aca="false">PROPER(TRIM(AP703))</f>
        <v>Ahmedabad</v>
      </c>
      <c r="J703" s="0" t="str">
        <f aca="false">PROPER(TRIM(AQ703))</f>
        <v>Office Supplies</v>
      </c>
      <c r="K703" s="0" t="str">
        <f aca="false">PROPER(TRIM(AR703))</f>
        <v>Art</v>
      </c>
      <c r="M703" s="0" t="str">
        <f aca="false">IF(TRIM(AS703)="","Unknown",PROPER(TRIM(AS703)))</f>
        <v>Same Day</v>
      </c>
      <c r="N703" s="0" t="n">
        <v>7</v>
      </c>
      <c r="O703" s="0" t="n">
        <v>1224.94</v>
      </c>
      <c r="P703" s="5" t="n">
        <f aca="false">IF(AT703="","",IF(ISNUMBER(AT703),AT703,VALUE(SUBSTITUTE(AT703,"%",""))/100))</f>
        <v>0</v>
      </c>
      <c r="Q703" s="5" t="n">
        <f aca="false">IF(P703="",IF(AND(N703&lt;&gt;"",O703&lt;&gt;"",R703&lt;&gt;"",S703&lt;&gt;""),0,"REVIEW"),IF(OR(P703&lt;0,P703&gt;0.3),0,P703))</f>
        <v>0</v>
      </c>
      <c r="R703" s="0" t="n">
        <v>8574.58</v>
      </c>
      <c r="S703" s="0" t="n">
        <v>6685.81</v>
      </c>
      <c r="T703" s="6" t="n">
        <f aca="false">N703*O703*(1-Q703)</f>
        <v>8574.58</v>
      </c>
      <c r="U703" s="6" t="n">
        <f aca="false">T703-S703</f>
        <v>1888.77</v>
      </c>
      <c r="V703" s="7" t="n">
        <f aca="false">IF(T703=0,0,U703/T703)</f>
        <v>0.220275512036741</v>
      </c>
      <c r="W703" s="4" t="n">
        <f aca="false">C703-B703</f>
        <v>4</v>
      </c>
      <c r="X703" s="0" t="str">
        <f aca="false">TEXT(B703,"mmmm")</f>
        <v>April</v>
      </c>
      <c r="Y703" s="4" t="n">
        <f aca="false">YEAR(B703)</f>
        <v>2024</v>
      </c>
      <c r="Z703" s="0" t="str">
        <f aca="false">PROPER(TRIM(AU703))</f>
        <v>Paid</v>
      </c>
      <c r="AA703" s="0" t="str">
        <f aca="false">PROPER(TRIM(AV703))</f>
        <v>Returned</v>
      </c>
      <c r="AB703" s="0" t="str">
        <f aca="false">IF(TRIM(AN703)="","Yes","No")</f>
        <v>No</v>
      </c>
      <c r="AC703" s="0" t="str">
        <f aca="false">IF(TRIM(AS703)="","Yes","No")</f>
        <v>No</v>
      </c>
      <c r="AD703" s="0" t="str">
        <f aca="false">IF(AT703="","Yes","No")</f>
        <v>No</v>
      </c>
      <c r="AE703" s="0" t="str">
        <f aca="false">IF(W703&lt;0,"Yes","No")</f>
        <v>No</v>
      </c>
      <c r="AF703" s="0" t="str">
        <f aca="false">IF(P703="","No",IF(OR(P703&lt;0,P703&gt;0.3),"Yes","No"))</f>
        <v>No</v>
      </c>
      <c r="AG703" s="4" t="s">
        <v>50</v>
      </c>
      <c r="AH703" s="0" t="str">
        <f aca="false">IF(AND(AA703="Completed",Z703="Paid"),"Yes","No")</f>
        <v>No</v>
      </c>
      <c r="AI703" s="0" t="str">
        <f aca="false">IF(OR(AE703="Yes",AF703="Yes",AG703="Yes"),"Invalid",IF(OR(AB703="Yes",AC703="Yes",AD703="Yes"),"Warning","Clean"))</f>
        <v>Clean</v>
      </c>
      <c r="AJ703" s="4" t="s">
        <v>1352</v>
      </c>
      <c r="AK703" s="4" t="s">
        <v>1093</v>
      </c>
      <c r="AL703" s="4" t="s">
        <v>191</v>
      </c>
      <c r="AM703" s="4" t="s">
        <v>68</v>
      </c>
      <c r="AN703" s="4" t="s">
        <v>97</v>
      </c>
      <c r="AO703" s="4" t="s">
        <v>238</v>
      </c>
      <c r="AP703" s="4" t="s">
        <v>239</v>
      </c>
      <c r="AQ703" s="4" t="s">
        <v>58</v>
      </c>
      <c r="AR703" s="4" t="s">
        <v>80</v>
      </c>
      <c r="AS703" s="4" t="s">
        <v>74</v>
      </c>
      <c r="AT703" s="0" t="n">
        <v>0</v>
      </c>
      <c r="AU703" s="4" t="s">
        <v>61</v>
      </c>
      <c r="AV703" s="4" t="s">
        <v>142</v>
      </c>
    </row>
    <row r="704" customFormat="false" ht="15" hidden="false" customHeight="false" outlineLevel="0" collapsed="false">
      <c r="A704" s="0" t="s">
        <v>2646</v>
      </c>
      <c r="B704" s="3" t="n">
        <f aca="false">IF(AJ704="","",IF(ISNUMBER(SEARCH("/",AJ704)),DATE(VALUE(RIGHT(AJ704,4)),VALUE(LEFT(AJ704,2)),VALUE(MID(AJ704,4,2))),IF(ISNUMBER(SEARCH("-",AJ704)),IF(LEN(LEFT(AJ704,FIND("-",AJ704)-1))=4,DATE(VALUE(LEFT(AJ704,4)),VALUE(MID(AJ704,6,2)),VALUE(RIGHT(AJ704,2))),DATE(VALUE(RIGHT(AJ704,4)),VALUE(MID(AJ704,4,2)),VALUE(LEFT(AJ704,2)))),DATE(VALUE(RIGHT(AJ704,4)),MATCH(MID(AJ704,4,3),{"Jan","Feb","Mar","Apr","May","Jun","Jul","Aug","Sep","Oct","Nov","Dec"},0),VALUE(LEFT(AJ704,2))))))</f>
        <v>45690</v>
      </c>
      <c r="C704" s="3" t="n">
        <f aca="false">IF(AK704="","",IF(ISNUMBER(SEARCH("/",AK704)),DATE(VALUE(RIGHT(AK704,4)),VALUE(LEFT(AK704,2)),VALUE(MID(AK704,4,2))),IF(ISNUMBER(SEARCH("-",AK704)),IF(LEN(LEFT(AK704,FIND("-",AK704)-1))=4,DATE(VALUE(LEFT(AK704,4)),VALUE(MID(AK704,6,2)),VALUE(RIGHT(AK704,2))),DATE(VALUE(RIGHT(AK704,4)),VALUE(MID(AK704,4,2)),VALUE(LEFT(AK704,2)))),DATE(VALUE(RIGHT(AK704,4)),MATCH(MID(AK704,4,3),{"Jan","Feb","Mar","Apr","May","Jun","Jul","Aug","Sep","Oct","Nov","Dec"},0),VALUE(LEFT(AK704,2))))))</f>
        <v>45694</v>
      </c>
      <c r="D704" s="4" t="s">
        <v>2647</v>
      </c>
      <c r="E704" s="0" t="str">
        <f aca="false">PROPER(TRIM(AL704))</f>
        <v>Karan Malhotra</v>
      </c>
      <c r="F704" s="0" t="str">
        <f aca="false">PROPER(TRIM(AM704))</f>
        <v>Small Business</v>
      </c>
      <c r="G704" s="0" t="str">
        <f aca="false">IF(TRIM(AN704)="","Unknown",PROPER(TRIM(AN704)))</f>
        <v>West</v>
      </c>
      <c r="H704" s="0" t="str">
        <f aca="false">PROPER(TRIM(AO704))</f>
        <v>Rajasthan</v>
      </c>
      <c r="I704" s="0" t="str">
        <f aca="false">PROPER(TRIM(AP704))</f>
        <v>Udaipur</v>
      </c>
      <c r="J704" s="0" t="str">
        <f aca="false">PROPER(TRIM(AQ704))</f>
        <v>Furniture</v>
      </c>
      <c r="K704" s="0" t="str">
        <f aca="false">PROPER(TRIM(AR704))</f>
        <v>Tables</v>
      </c>
      <c r="M704" s="0" t="str">
        <f aca="false">IF(TRIM(AS704)="","Unknown",PROPER(TRIM(AS704)))</f>
        <v>Second Class</v>
      </c>
      <c r="N704" s="0" t="n">
        <v>3</v>
      </c>
      <c r="O704" s="0" t="n">
        <v>997.34</v>
      </c>
      <c r="P704" s="5" t="n">
        <f aca="false">IF(AT704="","",IF(ISNUMBER(AT704),AT704,VALUE(SUBSTITUTE(AT704,"%",""))/100))</f>
        <v>0.1</v>
      </c>
      <c r="Q704" s="5" t="n">
        <f aca="false">IF(P704="",IF(AND(N704&lt;&gt;"",O704&lt;&gt;"",R704&lt;&gt;"",S704&lt;&gt;""),0,"REVIEW"),IF(OR(P704&lt;0,P704&gt;0.3),0,P704))</f>
        <v>0.1</v>
      </c>
      <c r="R704" s="0" t="n">
        <v>2692.82</v>
      </c>
      <c r="S704" s="0" t="n">
        <v>1820.08</v>
      </c>
      <c r="T704" s="6" t="n">
        <f aca="false">N704*O704*(1-Q704)</f>
        <v>2692.818</v>
      </c>
      <c r="U704" s="6" t="n">
        <f aca="false">T704-S704</f>
        <v>872.738</v>
      </c>
      <c r="V704" s="7" t="n">
        <f aca="false">IF(T704=0,0,U704/T704)</f>
        <v>0.32409839803507</v>
      </c>
      <c r="W704" s="4" t="n">
        <f aca="false">C704-B704</f>
        <v>4</v>
      </c>
      <c r="X704" s="0" t="str">
        <f aca="false">TEXT(B704,"mmmm")</f>
        <v>February</v>
      </c>
      <c r="Y704" s="4" t="n">
        <f aca="false">YEAR(B704)</f>
        <v>2025</v>
      </c>
      <c r="Z704" s="0" t="str">
        <f aca="false">PROPER(TRIM(AU704))</f>
        <v>Paid</v>
      </c>
      <c r="AA704" s="0" t="str">
        <f aca="false">PROPER(TRIM(AV704))</f>
        <v>Completed</v>
      </c>
      <c r="AB704" s="0" t="str">
        <f aca="false">IF(TRIM(AN704)="","Yes","No")</f>
        <v>No</v>
      </c>
      <c r="AC704" s="0" t="str">
        <f aca="false">IF(TRIM(AS704)="","Yes","No")</f>
        <v>No</v>
      </c>
      <c r="AD704" s="0" t="str">
        <f aca="false">IF(AT704="","Yes","No")</f>
        <v>No</v>
      </c>
      <c r="AE704" s="0" t="str">
        <f aca="false">IF(W704&lt;0,"Yes","No")</f>
        <v>No</v>
      </c>
      <c r="AF704" s="0" t="str">
        <f aca="false">IF(P704="","No",IF(OR(P704&lt;0,P704&gt;0.3),"Yes","No"))</f>
        <v>No</v>
      </c>
      <c r="AG704" s="4" t="s">
        <v>50</v>
      </c>
      <c r="AH704" s="0" t="str">
        <f aca="false">IF(AND(AA704="Completed",Z704="Paid"),"Yes","No")</f>
        <v>Yes</v>
      </c>
      <c r="AI704" s="0" t="str">
        <f aca="false">IF(OR(AE704="Yes",AF704="Yes",AG704="Yes"),"Invalid",IF(OR(AB704="Yes",AC704="Yes",AD704="Yes"),"Warning","Clean"))</f>
        <v>Clean</v>
      </c>
      <c r="AJ704" s="4" t="s">
        <v>2648</v>
      </c>
      <c r="AK704" s="4" t="s">
        <v>2338</v>
      </c>
      <c r="AL704" s="4" t="s">
        <v>53</v>
      </c>
      <c r="AM704" s="4" t="s">
        <v>68</v>
      </c>
      <c r="AN704" s="4" t="s">
        <v>97</v>
      </c>
      <c r="AO704" s="4" t="s">
        <v>56</v>
      </c>
      <c r="AP704" s="4" t="s">
        <v>152</v>
      </c>
      <c r="AQ704" s="4" t="s">
        <v>72</v>
      </c>
      <c r="AR704" s="4" t="s">
        <v>73</v>
      </c>
      <c r="AS704" s="4" t="s">
        <v>60</v>
      </c>
      <c r="AT704" s="0" t="n">
        <v>0.1</v>
      </c>
      <c r="AU704" s="4" t="s">
        <v>61</v>
      </c>
      <c r="AV704" s="4" t="s">
        <v>62</v>
      </c>
    </row>
    <row r="705" customFormat="false" ht="15" hidden="false" customHeight="false" outlineLevel="0" collapsed="false">
      <c r="A705" s="0" t="s">
        <v>2649</v>
      </c>
      <c r="B705" s="3" t="n">
        <f aca="false">IF(AJ705="","",IF(ISNUMBER(SEARCH("/",AJ705)),DATE(VALUE(RIGHT(AJ705,4)),VALUE(LEFT(AJ705,2)),VALUE(MID(AJ705,4,2))),IF(ISNUMBER(SEARCH("-",AJ705)),IF(LEN(LEFT(AJ705,FIND("-",AJ705)-1))=4,DATE(VALUE(LEFT(AJ705,4)),VALUE(MID(AJ705,6,2)),VALUE(RIGHT(AJ705,2))),DATE(VALUE(RIGHT(AJ705,4)),VALUE(MID(AJ705,4,2)),VALUE(LEFT(AJ705,2)))),DATE(VALUE(RIGHT(AJ705,4)),MATCH(MID(AJ705,4,3),{"Jan","Feb","Mar","Apr","May","Jun","Jul","Aug","Sep","Oct","Nov","Dec"},0),VALUE(LEFT(AJ705,2))))))</f>
        <v>45584</v>
      </c>
      <c r="C705" s="3" t="n">
        <f aca="false">IF(AK705="","",IF(ISNUMBER(SEARCH("/",AK705)),DATE(VALUE(RIGHT(AK705,4)),VALUE(LEFT(AK705,2)),VALUE(MID(AK705,4,2))),IF(ISNUMBER(SEARCH("-",AK705)),IF(LEN(LEFT(AK705,FIND("-",AK705)-1))=4,DATE(VALUE(LEFT(AK705,4)),VALUE(MID(AK705,6,2)),VALUE(RIGHT(AK705,2))),DATE(VALUE(RIGHT(AK705,4)),VALUE(MID(AK705,4,2)),VALUE(LEFT(AK705,2)))),DATE(VALUE(RIGHT(AK705,4)),MATCH(MID(AK705,4,3),{"Jan","Feb","Mar","Apr","May","Jun","Jul","Aug","Sep","Oct","Nov","Dec"},0),VALUE(LEFT(AK705,2))))))</f>
        <v>45585</v>
      </c>
      <c r="D705" s="4" t="s">
        <v>2650</v>
      </c>
      <c r="E705" s="0" t="str">
        <f aca="false">PROPER(TRIM(AL705))</f>
        <v>Aditi Sen</v>
      </c>
      <c r="F705" s="0" t="str">
        <f aca="false">PROPER(TRIM(AM705))</f>
        <v>Corporate</v>
      </c>
      <c r="G705" s="0" t="str">
        <f aca="false">IF(TRIM(AN705)="","Unknown",PROPER(TRIM(AN705)))</f>
        <v>North</v>
      </c>
      <c r="H705" s="0" t="str">
        <f aca="false">PROPER(TRIM(AO705))</f>
        <v>Rajasthan</v>
      </c>
      <c r="I705" s="0" t="str">
        <f aca="false">PROPER(TRIM(AP705))</f>
        <v>Jaipur</v>
      </c>
      <c r="J705" s="0" t="str">
        <f aca="false">PROPER(TRIM(AQ705))</f>
        <v>Furniture</v>
      </c>
      <c r="K705" s="0" t="str">
        <f aca="false">PROPER(TRIM(AR705))</f>
        <v>Tables</v>
      </c>
      <c r="M705" s="0" t="str">
        <f aca="false">IF(TRIM(AS705)="","Unknown",PROPER(TRIM(AS705)))</f>
        <v>First Class</v>
      </c>
      <c r="N705" s="0" t="n">
        <v>1</v>
      </c>
      <c r="O705" s="0" t="n">
        <v>1150.03</v>
      </c>
      <c r="P705" s="5" t="n">
        <f aca="false">IF(AT705="","",IF(ISNUMBER(AT705),AT705,VALUE(SUBSTITUTE(AT705,"%",""))/100))</f>
        <v>0.1</v>
      </c>
      <c r="Q705" s="5" t="n">
        <f aca="false">IF(P705="",IF(AND(N705&lt;&gt;"",O705&lt;&gt;"",R705&lt;&gt;"",S705&lt;&gt;""),0,"REVIEW"),IF(OR(P705&lt;0,P705&gt;0.3),0,P705))</f>
        <v>0.1</v>
      </c>
      <c r="R705" s="0" t="n">
        <v>1035.03</v>
      </c>
      <c r="S705" s="0" t="n">
        <v>854.35</v>
      </c>
      <c r="T705" s="6" t="n">
        <f aca="false">N705*O705*(1-Q705)</f>
        <v>1035.027</v>
      </c>
      <c r="U705" s="6" t="n">
        <f aca="false">T705-S705</f>
        <v>180.677</v>
      </c>
      <c r="V705" s="7" t="n">
        <f aca="false">IF(T705=0,0,U705/T705)</f>
        <v>0.174562595951603</v>
      </c>
      <c r="W705" s="4" t="n">
        <f aca="false">C705-B705</f>
        <v>1</v>
      </c>
      <c r="X705" s="0" t="str">
        <f aca="false">TEXT(B705,"mmmm")</f>
        <v>October</v>
      </c>
      <c r="Y705" s="4" t="n">
        <f aca="false">YEAR(B705)</f>
        <v>2024</v>
      </c>
      <c r="Z705" s="0" t="str">
        <f aca="false">PROPER(TRIM(AU705))</f>
        <v>Paid</v>
      </c>
      <c r="AA705" s="0" t="str">
        <f aca="false">PROPER(TRIM(AV705))</f>
        <v>Completed</v>
      </c>
      <c r="AB705" s="0" t="str">
        <f aca="false">IF(TRIM(AN705)="","Yes","No")</f>
        <v>No</v>
      </c>
      <c r="AC705" s="0" t="str">
        <f aca="false">IF(TRIM(AS705)="","Yes","No")</f>
        <v>No</v>
      </c>
      <c r="AD705" s="0" t="str">
        <f aca="false">IF(AT705="","Yes","No")</f>
        <v>No</v>
      </c>
      <c r="AE705" s="0" t="str">
        <f aca="false">IF(W705&lt;0,"Yes","No")</f>
        <v>No</v>
      </c>
      <c r="AF705" s="0" t="str">
        <f aca="false">IF(P705="","No",IF(OR(P705&lt;0,P705&gt;0.3),"Yes","No"))</f>
        <v>No</v>
      </c>
      <c r="AG705" s="4" t="s">
        <v>50</v>
      </c>
      <c r="AH705" s="0" t="str">
        <f aca="false">IF(AND(AA705="Completed",Z705="Paid"),"Yes","No")</f>
        <v>Yes</v>
      </c>
      <c r="AI705" s="0" t="str">
        <f aca="false">IF(OR(AE705="Yes",AF705="Yes",AG705="Yes"),"Invalid",IF(OR(AB705="Yes",AC705="Yes",AD705="Yes"),"Warning","Clean"))</f>
        <v>Clean</v>
      </c>
      <c r="AJ705" s="4" t="s">
        <v>2651</v>
      </c>
      <c r="AK705" s="4" t="s">
        <v>1944</v>
      </c>
      <c r="AL705" s="4" t="s">
        <v>127</v>
      </c>
      <c r="AM705" s="4" t="s">
        <v>128</v>
      </c>
      <c r="AN705" s="4" t="s">
        <v>168</v>
      </c>
      <c r="AO705" s="4" t="s">
        <v>56</v>
      </c>
      <c r="AP705" s="4" t="s">
        <v>57</v>
      </c>
      <c r="AQ705" s="4" t="s">
        <v>72</v>
      </c>
      <c r="AR705" s="4" t="s">
        <v>73</v>
      </c>
      <c r="AS705" s="4" t="s">
        <v>81</v>
      </c>
      <c r="AT705" s="0" t="n">
        <v>0.1</v>
      </c>
      <c r="AU705" s="4" t="s">
        <v>61</v>
      </c>
      <c r="AV705" s="4" t="s">
        <v>62</v>
      </c>
    </row>
    <row r="706" customFormat="false" ht="15" hidden="false" customHeight="false" outlineLevel="0" collapsed="false">
      <c r="A706" s="0" t="s">
        <v>2652</v>
      </c>
      <c r="B706" s="3" t="n">
        <f aca="false">IF(AJ706="","",IF(ISNUMBER(SEARCH("/",AJ706)),DATE(VALUE(RIGHT(AJ706,4)),VALUE(LEFT(AJ706,2)),VALUE(MID(AJ706,4,2))),IF(ISNUMBER(SEARCH("-",AJ706)),IF(LEN(LEFT(AJ706,FIND("-",AJ706)-1))=4,DATE(VALUE(LEFT(AJ706,4)),VALUE(MID(AJ706,6,2)),VALUE(RIGHT(AJ706,2))),DATE(VALUE(RIGHT(AJ706,4)),VALUE(MID(AJ706,4,2)),VALUE(LEFT(AJ706,2)))),DATE(VALUE(RIGHT(AJ706,4)),MATCH(MID(AJ706,4,3),{"Jan","Feb","Mar","Apr","May","Jun","Jul","Aug","Sep","Oct","Nov","Dec"},0),VALUE(LEFT(AJ706,2))))))</f>
        <v>45364</v>
      </c>
      <c r="C706" s="3" t="n">
        <f aca="false">IF(AK706="","",IF(ISNUMBER(SEARCH("/",AK706)),DATE(VALUE(RIGHT(AK706,4)),VALUE(LEFT(AK706,2)),VALUE(MID(AK706,4,2))),IF(ISNUMBER(SEARCH("-",AK706)),IF(LEN(LEFT(AK706,FIND("-",AK706)-1))=4,DATE(VALUE(LEFT(AK706,4)),VALUE(MID(AK706,6,2)),VALUE(RIGHT(AK706,2))),DATE(VALUE(RIGHT(AK706,4)),VALUE(MID(AK706,4,2)),VALUE(LEFT(AK706,2)))),DATE(VALUE(RIGHT(AK706,4)),MATCH(MID(AK706,4,3),{"Jan","Feb","Mar","Apr","May","Jun","Jul","Aug","Sep","Oct","Nov","Dec"},0),VALUE(LEFT(AK706,2))))))</f>
        <v>45371</v>
      </c>
      <c r="D706" s="4" t="s">
        <v>2653</v>
      </c>
      <c r="E706" s="0" t="str">
        <f aca="false">PROPER(TRIM(AL706))</f>
        <v>Priya Menon</v>
      </c>
      <c r="F706" s="0" t="str">
        <f aca="false">PROPER(TRIM(AM706))</f>
        <v>Home Office</v>
      </c>
      <c r="G706" s="0" t="str">
        <f aca="false">IF(TRIM(AN706)="","Unknown",PROPER(TRIM(AN706)))</f>
        <v>South</v>
      </c>
      <c r="H706" s="0" t="str">
        <f aca="false">PROPER(TRIM(AO706))</f>
        <v>Tamil Nadu</v>
      </c>
      <c r="I706" s="0" t="str">
        <f aca="false">PROPER(TRIM(AP706))</f>
        <v>Chennai</v>
      </c>
      <c r="J706" s="0" t="str">
        <f aca="false">PROPER(TRIM(AQ706))</f>
        <v>Furniture</v>
      </c>
      <c r="K706" s="0" t="str">
        <f aca="false">PROPER(TRIM(AR706))</f>
        <v>Bookcases</v>
      </c>
      <c r="M706" s="0" t="str">
        <f aca="false">IF(TRIM(AS706)="","Unknown",PROPER(TRIM(AS706)))</f>
        <v>Unknown</v>
      </c>
      <c r="N706" s="0" t="n">
        <v>1</v>
      </c>
      <c r="O706" s="0" t="n">
        <v>2825.63</v>
      </c>
      <c r="P706" s="5" t="n">
        <f aca="false">IF(AT706="","",IF(ISNUMBER(AT706),AT706,VALUE(SUBSTITUTE(AT706,"%",""))/100))</f>
        <v>0.15</v>
      </c>
      <c r="Q706" s="5" t="n">
        <f aca="false">IF(P706="",IF(AND(N706&lt;&gt;"",O706&lt;&gt;"",R706&lt;&gt;"",S706&lt;&gt;""),0,"REVIEW"),IF(OR(P706&lt;0,P706&gt;0.3),0,P706))</f>
        <v>0.15</v>
      </c>
      <c r="R706" s="0" t="n">
        <v>2401.79</v>
      </c>
      <c r="S706" s="0" t="n">
        <v>1820.34</v>
      </c>
      <c r="T706" s="6" t="n">
        <f aca="false">N706*O706*(1-Q706)</f>
        <v>2401.7855</v>
      </c>
      <c r="U706" s="6" t="n">
        <f aca="false">T706-S706</f>
        <v>581.4455</v>
      </c>
      <c r="V706" s="7" t="n">
        <f aca="false">IF(T706=0,0,U706/T706)</f>
        <v>0.24208885431276</v>
      </c>
      <c r="W706" s="4" t="n">
        <f aca="false">C706-B706</f>
        <v>7</v>
      </c>
      <c r="X706" s="0" t="str">
        <f aca="false">TEXT(B706,"mmmm")</f>
        <v>March</v>
      </c>
      <c r="Y706" s="4" t="n">
        <f aca="false">YEAR(B706)</f>
        <v>2024</v>
      </c>
      <c r="Z706" s="0" t="str">
        <f aca="false">PROPER(TRIM(AU706))</f>
        <v>Paid</v>
      </c>
      <c r="AA706" s="0" t="str">
        <f aca="false">PROPER(TRIM(AV706))</f>
        <v>Completed</v>
      </c>
      <c r="AB706" s="0" t="str">
        <f aca="false">IF(TRIM(AN706)="","Yes","No")</f>
        <v>No</v>
      </c>
      <c r="AC706" s="0" t="str">
        <f aca="false">IF(TRIM(AS706)="","Yes","No")</f>
        <v>Yes</v>
      </c>
      <c r="AD706" s="0" t="str">
        <f aca="false">IF(AT706="","Yes","No")</f>
        <v>No</v>
      </c>
      <c r="AE706" s="0" t="str">
        <f aca="false">IF(W706&lt;0,"Yes","No")</f>
        <v>No</v>
      </c>
      <c r="AF706" s="0" t="str">
        <f aca="false">IF(P706="","No",IF(OR(P706&lt;0,P706&gt;0.3),"Yes","No"))</f>
        <v>No</v>
      </c>
      <c r="AG706" s="4" t="s">
        <v>50</v>
      </c>
      <c r="AH706" s="0" t="str">
        <f aca="false">IF(AND(AA706="Completed",Z706="Paid"),"Yes","No")</f>
        <v>Yes</v>
      </c>
      <c r="AI706" s="0" t="str">
        <f aca="false">IF(OR(AE706="Yes",AF706="Yes",AG706="Yes"),"Invalid",IF(OR(AB706="Yes",AC706="Yes",AD706="Yes"),"Warning","Clean"))</f>
        <v>Warning</v>
      </c>
      <c r="AJ706" s="4" t="s">
        <v>1302</v>
      </c>
      <c r="AK706" s="4" t="s">
        <v>2654</v>
      </c>
      <c r="AL706" s="4" t="s">
        <v>158</v>
      </c>
      <c r="AM706" s="4" t="s">
        <v>134</v>
      </c>
      <c r="AN706" s="4" t="s">
        <v>87</v>
      </c>
      <c r="AO706" s="4" t="s">
        <v>323</v>
      </c>
      <c r="AP706" s="4" t="s">
        <v>324</v>
      </c>
      <c r="AQ706" s="4" t="s">
        <v>72</v>
      </c>
      <c r="AR706" s="4" t="s">
        <v>211</v>
      </c>
      <c r="AT706" s="0" t="n">
        <v>0.15</v>
      </c>
      <c r="AU706" s="4" t="s">
        <v>61</v>
      </c>
      <c r="AV706" s="4" t="s">
        <v>62</v>
      </c>
    </row>
    <row r="707" customFormat="false" ht="15" hidden="false" customHeight="false" outlineLevel="0" collapsed="false">
      <c r="A707" s="0" t="s">
        <v>2655</v>
      </c>
      <c r="B707" s="3" t="n">
        <f aca="false">IF(AJ707="","",IF(ISNUMBER(SEARCH("/",AJ707)),DATE(VALUE(RIGHT(AJ707,4)),VALUE(LEFT(AJ707,2)),VALUE(MID(AJ707,4,2))),IF(ISNUMBER(SEARCH("-",AJ707)),IF(LEN(LEFT(AJ707,FIND("-",AJ707)-1))=4,DATE(VALUE(LEFT(AJ707,4)),VALUE(MID(AJ707,6,2)),VALUE(RIGHT(AJ707,2))),DATE(VALUE(RIGHT(AJ707,4)),VALUE(MID(AJ707,4,2)),VALUE(LEFT(AJ707,2)))),DATE(VALUE(RIGHT(AJ707,4)),MATCH(MID(AJ707,4,3),{"Jan","Feb","Mar","Apr","May","Jun","Jul","Aug","Sep","Oct","Nov","Dec"},0),VALUE(LEFT(AJ707,2))))))</f>
        <v>45543</v>
      </c>
      <c r="C707" s="3" t="n">
        <f aca="false">IF(AK707="","",IF(ISNUMBER(SEARCH("/",AK707)),DATE(VALUE(RIGHT(AK707,4)),VALUE(LEFT(AK707,2)),VALUE(MID(AK707,4,2))),IF(ISNUMBER(SEARCH("-",AK707)),IF(LEN(LEFT(AK707,FIND("-",AK707)-1))=4,DATE(VALUE(LEFT(AK707,4)),VALUE(MID(AK707,6,2)),VALUE(RIGHT(AK707,2))),DATE(VALUE(RIGHT(AK707,4)),VALUE(MID(AK707,4,2)),VALUE(LEFT(AK707,2)))),DATE(VALUE(RIGHT(AK707,4)),MATCH(MID(AK707,4,3),{"Jan","Feb","Mar","Apr","May","Jun","Jul","Aug","Sep","Oct","Nov","Dec"},0),VALUE(LEFT(AK707,2))))))</f>
        <v>45549</v>
      </c>
      <c r="D707" s="4" t="s">
        <v>2656</v>
      </c>
      <c r="E707" s="0" t="str">
        <f aca="false">PROPER(TRIM(AL707))</f>
        <v>Rohan Mehta</v>
      </c>
      <c r="F707" s="0" t="str">
        <f aca="false">PROPER(TRIM(AM707))</f>
        <v>Consumer</v>
      </c>
      <c r="G707" s="0" t="str">
        <f aca="false">IF(TRIM(AN707)="","Unknown",PROPER(TRIM(AN707)))</f>
        <v>North</v>
      </c>
      <c r="H707" s="0" t="str">
        <f aca="false">PROPER(TRIM(AO707))</f>
        <v>Rajasthan</v>
      </c>
      <c r="I707" s="0" t="str">
        <f aca="false">PROPER(TRIM(AP707))</f>
        <v>Jaipur</v>
      </c>
      <c r="J707" s="0" t="str">
        <f aca="false">PROPER(TRIM(AQ707))</f>
        <v>Office Supplies</v>
      </c>
      <c r="K707" s="0" t="str">
        <f aca="false">PROPER(TRIM(AR707))</f>
        <v>Binders</v>
      </c>
      <c r="M707" s="0" t="str">
        <f aca="false">IF(TRIM(AS707)="","Unknown",PROPER(TRIM(AS707)))</f>
        <v>Standard Class</v>
      </c>
      <c r="N707" s="0" t="n">
        <v>5</v>
      </c>
      <c r="O707" s="0" t="n">
        <v>3371.75</v>
      </c>
      <c r="P707" s="5" t="n">
        <f aca="false">IF(AT707="","",IF(ISNUMBER(AT707),AT707,VALUE(SUBSTITUTE(AT707,"%",""))/100))</f>
        <v>0.05</v>
      </c>
      <c r="Q707" s="5" t="n">
        <f aca="false">IF(P707="",IF(AND(N707&lt;&gt;"",O707&lt;&gt;"",R707&lt;&gt;"",S707&lt;&gt;""),0,"REVIEW"),IF(OR(P707&lt;0,P707&gt;0.3),0,P707))</f>
        <v>0.05</v>
      </c>
      <c r="R707" s="0" t="n">
        <v>16015.81</v>
      </c>
      <c r="S707" s="0" t="n">
        <v>11352.38</v>
      </c>
      <c r="T707" s="6" t="n">
        <f aca="false">N707*O707*(1-Q707)</f>
        <v>16015.8125</v>
      </c>
      <c r="U707" s="6" t="n">
        <f aca="false">T707-S707</f>
        <v>4663.4325</v>
      </c>
      <c r="V707" s="7" t="n">
        <f aca="false">IF(T707=0,0,U707/T707)</f>
        <v>0.291176766711024</v>
      </c>
      <c r="W707" s="4" t="n">
        <f aca="false">C707-B707</f>
        <v>6</v>
      </c>
      <c r="X707" s="0" t="str">
        <f aca="false">TEXT(B707,"mmmm")</f>
        <v>September</v>
      </c>
      <c r="Y707" s="4" t="n">
        <f aca="false">YEAR(B707)</f>
        <v>2024</v>
      </c>
      <c r="Z707" s="0" t="str">
        <f aca="false">PROPER(TRIM(AU707))</f>
        <v>Paid</v>
      </c>
      <c r="AA707" s="0" t="str">
        <f aca="false">PROPER(TRIM(AV707))</f>
        <v>Completed</v>
      </c>
      <c r="AB707" s="0" t="str">
        <f aca="false">IF(TRIM(AN707)="","Yes","No")</f>
        <v>No</v>
      </c>
      <c r="AC707" s="0" t="str">
        <f aca="false">IF(TRIM(AS707)="","Yes","No")</f>
        <v>No</v>
      </c>
      <c r="AD707" s="0" t="str">
        <f aca="false">IF(AT707="","Yes","No")</f>
        <v>No</v>
      </c>
      <c r="AE707" s="0" t="str">
        <f aca="false">IF(W707&lt;0,"Yes","No")</f>
        <v>No</v>
      </c>
      <c r="AF707" s="0" t="str">
        <f aca="false">IF(P707="","No",IF(OR(P707&lt;0,P707&gt;0.3),"Yes","No"))</f>
        <v>No</v>
      </c>
      <c r="AG707" s="4" t="s">
        <v>50</v>
      </c>
      <c r="AH707" s="0" t="str">
        <f aca="false">IF(AND(AA707="Completed",Z707="Paid"),"Yes","No")</f>
        <v>Yes</v>
      </c>
      <c r="AI707" s="0" t="str">
        <f aca="false">IF(OR(AE707="Yes",AF707="Yes",AG707="Yes"),"Invalid",IF(OR(AB707="Yes",AC707="Yes",AD707="Yes"),"Warning","Clean"))</f>
        <v>Clean</v>
      </c>
      <c r="AJ707" s="4" t="s">
        <v>2657</v>
      </c>
      <c r="AK707" s="4" t="s">
        <v>2658</v>
      </c>
      <c r="AL707" s="4" t="s">
        <v>191</v>
      </c>
      <c r="AM707" s="4" t="s">
        <v>54</v>
      </c>
      <c r="AN707" s="4" t="s">
        <v>168</v>
      </c>
      <c r="AO707" s="4" t="s">
        <v>56</v>
      </c>
      <c r="AP707" s="4" t="s">
        <v>57</v>
      </c>
      <c r="AQ707" s="4" t="s">
        <v>58</v>
      </c>
      <c r="AR707" s="4" t="s">
        <v>206</v>
      </c>
      <c r="AS707" s="4" t="s">
        <v>91</v>
      </c>
      <c r="AT707" s="0" t="n">
        <v>0.05</v>
      </c>
      <c r="AU707" s="4" t="s">
        <v>61</v>
      </c>
      <c r="AV707" s="4" t="s">
        <v>62</v>
      </c>
    </row>
    <row r="708" customFormat="false" ht="15" hidden="false" customHeight="false" outlineLevel="0" collapsed="false">
      <c r="A708" s="0" t="s">
        <v>2659</v>
      </c>
      <c r="B708" s="3" t="n">
        <f aca="false">IF(AJ708="","",IF(ISNUMBER(SEARCH("/",AJ708)),DATE(VALUE(RIGHT(AJ708,4)),VALUE(LEFT(AJ708,2)),VALUE(MID(AJ708,4,2))),IF(ISNUMBER(SEARCH("-",AJ708)),IF(LEN(LEFT(AJ708,FIND("-",AJ708)-1))=4,DATE(VALUE(LEFT(AJ708,4)),VALUE(MID(AJ708,6,2)),VALUE(RIGHT(AJ708,2))),DATE(VALUE(RIGHT(AJ708,4)),VALUE(MID(AJ708,4,2)),VALUE(LEFT(AJ708,2)))),DATE(VALUE(RIGHT(AJ708,4)),MATCH(MID(AJ708,4,3),{"Jan","Feb","Mar","Apr","May","Jun","Jul","Aug","Sep","Oct","Nov","Dec"},0),VALUE(LEFT(AJ708,2))))))</f>
        <v>45467</v>
      </c>
      <c r="C708" s="3" t="n">
        <f aca="false">IF(AK708="","",IF(ISNUMBER(SEARCH("/",AK708)),DATE(VALUE(RIGHT(AK708,4)),VALUE(LEFT(AK708,2)),VALUE(MID(AK708,4,2))),IF(ISNUMBER(SEARCH("-",AK708)),IF(LEN(LEFT(AK708,FIND("-",AK708)-1))=4,DATE(VALUE(LEFT(AK708,4)),VALUE(MID(AK708,6,2)),VALUE(RIGHT(AK708,2))),DATE(VALUE(RIGHT(AK708,4)),VALUE(MID(AK708,4,2)),VALUE(LEFT(AK708,2)))),DATE(VALUE(RIGHT(AK708,4)),MATCH(MID(AK708,4,3),{"Jan","Feb","Mar","Apr","May","Jun","Jul","Aug","Sep","Oct","Nov","Dec"},0),VALUE(LEFT(AK708,2))))))</f>
        <v>45471</v>
      </c>
      <c r="D708" s="4" t="s">
        <v>2660</v>
      </c>
      <c r="E708" s="0" t="str">
        <f aca="false">PROPER(TRIM(AL708))</f>
        <v>Isha Nair</v>
      </c>
      <c r="F708" s="0" t="str">
        <f aca="false">PROPER(TRIM(AM708))</f>
        <v>Small Business</v>
      </c>
      <c r="G708" s="0" t="str">
        <f aca="false">IF(TRIM(AN708)="","Unknown",PROPER(TRIM(AN708)))</f>
        <v>East</v>
      </c>
      <c r="H708" s="0" t="str">
        <f aca="false">PROPER(TRIM(AO708))</f>
        <v>Odisha</v>
      </c>
      <c r="I708" s="0" t="str">
        <f aca="false">PROPER(TRIM(AP708))</f>
        <v>Bhubaneswar</v>
      </c>
      <c r="J708" s="0" t="str">
        <f aca="false">PROPER(TRIM(AQ708))</f>
        <v>Office Supplies</v>
      </c>
      <c r="K708" s="0" t="str">
        <f aca="false">PROPER(TRIM(AR708))</f>
        <v>Paper</v>
      </c>
      <c r="M708" s="0" t="str">
        <f aca="false">IF(TRIM(AS708)="","Unknown",PROPER(TRIM(AS708)))</f>
        <v>Same Day</v>
      </c>
      <c r="N708" s="0" t="n">
        <v>1</v>
      </c>
      <c r="O708" s="0" t="n">
        <v>2112.75</v>
      </c>
      <c r="P708" s="5" t="n">
        <f aca="false">IF(AT708="","",IF(ISNUMBER(AT708),AT708,VALUE(SUBSTITUTE(AT708,"%",""))/100))</f>
        <v>0.1</v>
      </c>
      <c r="Q708" s="5" t="n">
        <f aca="false">IF(P708="",IF(AND(N708&lt;&gt;"",O708&lt;&gt;"",R708&lt;&gt;"",S708&lt;&gt;""),0,"REVIEW"),IF(OR(P708&lt;0,P708&gt;0.3),0,P708))</f>
        <v>0.1</v>
      </c>
      <c r="R708" s="0" t="n">
        <v>1901.48</v>
      </c>
      <c r="S708" s="0" t="n">
        <v>1354.28</v>
      </c>
      <c r="T708" s="6" t="n">
        <f aca="false">N708*O708*(1-Q708)</f>
        <v>1901.475</v>
      </c>
      <c r="U708" s="6" t="n">
        <f aca="false">T708-S708</f>
        <v>547.195</v>
      </c>
      <c r="V708" s="7" t="n">
        <f aca="false">IF(T708=0,0,U708/T708)</f>
        <v>0.287773964948264</v>
      </c>
      <c r="W708" s="4" t="n">
        <f aca="false">C708-B708</f>
        <v>4</v>
      </c>
      <c r="X708" s="0" t="str">
        <f aca="false">TEXT(B708,"mmmm")</f>
        <v>June</v>
      </c>
      <c r="Y708" s="4" t="n">
        <f aca="false">YEAR(B708)</f>
        <v>2024</v>
      </c>
      <c r="Z708" s="0" t="str">
        <f aca="false">PROPER(TRIM(AU708))</f>
        <v>Paid</v>
      </c>
      <c r="AA708" s="0" t="str">
        <f aca="false">PROPER(TRIM(AV708))</f>
        <v>Completed</v>
      </c>
      <c r="AB708" s="0" t="str">
        <f aca="false">IF(TRIM(AN708)="","Yes","No")</f>
        <v>No</v>
      </c>
      <c r="AC708" s="0" t="str">
        <f aca="false">IF(TRIM(AS708)="","Yes","No")</f>
        <v>No</v>
      </c>
      <c r="AD708" s="0" t="str">
        <f aca="false">IF(AT708="","Yes","No")</f>
        <v>No</v>
      </c>
      <c r="AE708" s="0" t="str">
        <f aca="false">IF(W708&lt;0,"Yes","No")</f>
        <v>No</v>
      </c>
      <c r="AF708" s="0" t="str">
        <f aca="false">IF(P708="","No",IF(OR(P708&lt;0,P708&gt;0.3),"Yes","No"))</f>
        <v>No</v>
      </c>
      <c r="AG708" s="4" t="s">
        <v>50</v>
      </c>
      <c r="AH708" s="0" t="str">
        <f aca="false">IF(AND(AA708="Completed",Z708="Paid"),"Yes","No")</f>
        <v>Yes</v>
      </c>
      <c r="AI708" s="0" t="str">
        <f aca="false">IF(OR(AE708="Yes",AF708="Yes",AG708="Yes"),"Invalid",IF(OR(AB708="Yes",AC708="Yes",AD708="Yes"),"Warning","Clean"))</f>
        <v>Clean</v>
      </c>
      <c r="AJ708" s="4" t="s">
        <v>2661</v>
      </c>
      <c r="AK708" s="4" t="s">
        <v>894</v>
      </c>
      <c r="AL708" s="4" t="s">
        <v>79</v>
      </c>
      <c r="AM708" s="4" t="s">
        <v>68</v>
      </c>
      <c r="AN708" s="4" t="s">
        <v>69</v>
      </c>
      <c r="AO708" s="4" t="s">
        <v>70</v>
      </c>
      <c r="AP708" s="4" t="s">
        <v>71</v>
      </c>
      <c r="AQ708" s="4" t="s">
        <v>58</v>
      </c>
      <c r="AR708" s="4" t="s">
        <v>59</v>
      </c>
      <c r="AS708" s="4" t="s">
        <v>74</v>
      </c>
      <c r="AT708" s="0" t="n">
        <v>0.1</v>
      </c>
      <c r="AU708" s="4" t="s">
        <v>61</v>
      </c>
      <c r="AV708" s="4" t="s">
        <v>62</v>
      </c>
    </row>
    <row r="709" customFormat="false" ht="15" hidden="false" customHeight="false" outlineLevel="0" collapsed="false">
      <c r="A709" s="0" t="s">
        <v>2662</v>
      </c>
      <c r="B709" s="3" t="n">
        <f aca="false">IF(AJ709="","",IF(ISNUMBER(SEARCH("/",AJ709)),DATE(VALUE(RIGHT(AJ709,4)),VALUE(LEFT(AJ709,2)),VALUE(MID(AJ709,4,2))),IF(ISNUMBER(SEARCH("-",AJ709)),IF(LEN(LEFT(AJ709,FIND("-",AJ709)-1))=4,DATE(VALUE(LEFT(AJ709,4)),VALUE(MID(AJ709,6,2)),VALUE(RIGHT(AJ709,2))),DATE(VALUE(RIGHT(AJ709,4)),VALUE(MID(AJ709,4,2)),VALUE(LEFT(AJ709,2)))),DATE(VALUE(RIGHT(AJ709,4)),MATCH(MID(AJ709,4,3),{"Jan","Feb","Mar","Apr","May","Jun","Jul","Aug","Sep","Oct","Nov","Dec"},0),VALUE(LEFT(AJ709,2))))))</f>
        <v>45832</v>
      </c>
      <c r="C709" s="3" t="n">
        <f aca="false">IF(AK709="","",IF(ISNUMBER(SEARCH("/",AK709)),DATE(VALUE(RIGHT(AK709,4)),VALUE(LEFT(AK709,2)),VALUE(MID(AK709,4,2))),IF(ISNUMBER(SEARCH("-",AK709)),IF(LEN(LEFT(AK709,FIND("-",AK709)-1))=4,DATE(VALUE(LEFT(AK709,4)),VALUE(MID(AK709,6,2)),VALUE(RIGHT(AK709,2))),DATE(VALUE(RIGHT(AK709,4)),VALUE(MID(AK709,4,2)),VALUE(LEFT(AK709,2)))),DATE(VALUE(RIGHT(AK709,4)),MATCH(MID(AK709,4,3),{"Jan","Feb","Mar","Apr","May","Jun","Jul","Aug","Sep","Oct","Nov","Dec"},0),VALUE(LEFT(AK709,2))))))</f>
        <v>45834</v>
      </c>
      <c r="D709" s="4" t="s">
        <v>2663</v>
      </c>
      <c r="E709" s="0" t="str">
        <f aca="false">PROPER(TRIM(AL709))</f>
        <v>Vikram Iyer</v>
      </c>
      <c r="F709" s="0" t="str">
        <f aca="false">PROPER(TRIM(AM709))</f>
        <v>Consumer</v>
      </c>
      <c r="G709" s="0" t="str">
        <f aca="false">IF(TRIM(AN709)="","Unknown",PROPER(TRIM(AN709)))</f>
        <v>North</v>
      </c>
      <c r="H709" s="0" t="str">
        <f aca="false">PROPER(TRIM(AO709))</f>
        <v>Rajasthan</v>
      </c>
      <c r="I709" s="0" t="str">
        <f aca="false">PROPER(TRIM(AP709))</f>
        <v>Jaipur</v>
      </c>
      <c r="J709" s="0" t="str">
        <f aca="false">PROPER(TRIM(AQ709))</f>
        <v>Technology</v>
      </c>
      <c r="K709" s="0" t="str">
        <f aca="false">PROPER(TRIM(AR709))</f>
        <v>Accessories</v>
      </c>
      <c r="M709" s="0" t="str">
        <f aca="false">IF(TRIM(AS709)="","Unknown",PROPER(TRIM(AS709)))</f>
        <v>Same Day</v>
      </c>
      <c r="N709" s="0" t="n">
        <v>5</v>
      </c>
      <c r="O709" s="0" t="n">
        <v>3722.66</v>
      </c>
      <c r="P709" s="5" t="n">
        <f aca="false">IF(AT709="","",IF(ISNUMBER(AT709),AT709,VALUE(SUBSTITUTE(AT709,"%",""))/100))</f>
        <v>0.55</v>
      </c>
      <c r="Q709" s="5" t="n">
        <f aca="false">IF(P709="",IF(AND(N709&lt;&gt;"",O709&lt;&gt;"",R709&lt;&gt;"",S709&lt;&gt;""),0,"REVIEW"),IF(OR(P709&lt;0,P709&gt;0.3),0,P709))</f>
        <v>0</v>
      </c>
      <c r="R709" s="0" t="n">
        <v>16751.97</v>
      </c>
      <c r="S709" s="0" t="n">
        <v>11678.32</v>
      </c>
      <c r="T709" s="6" t="n">
        <f aca="false">N709*O709*(1-Q709)</f>
        <v>18613.3</v>
      </c>
      <c r="U709" s="6" t="n">
        <f aca="false">T709-S709</f>
        <v>6934.98</v>
      </c>
      <c r="V709" s="7" t="n">
        <f aca="false">IF(T709=0,0,U709/T709)</f>
        <v>0.372581970956252</v>
      </c>
      <c r="W709" s="4" t="n">
        <f aca="false">C709-B709</f>
        <v>2</v>
      </c>
      <c r="X709" s="0" t="str">
        <f aca="false">TEXT(B709,"mmmm")</f>
        <v>June</v>
      </c>
      <c r="Y709" s="4" t="n">
        <f aca="false">YEAR(B709)</f>
        <v>2025</v>
      </c>
      <c r="Z709" s="0" t="str">
        <f aca="false">PROPER(TRIM(AU709))</f>
        <v>Paid</v>
      </c>
      <c r="AA709" s="0" t="str">
        <f aca="false">PROPER(TRIM(AV709))</f>
        <v>Completed</v>
      </c>
      <c r="AB709" s="0" t="str">
        <f aca="false">IF(TRIM(AN709)="","Yes","No")</f>
        <v>No</v>
      </c>
      <c r="AC709" s="0" t="str">
        <f aca="false">IF(TRIM(AS709)="","Yes","No")</f>
        <v>No</v>
      </c>
      <c r="AD709" s="0" t="str">
        <f aca="false">IF(AT709="","Yes","No")</f>
        <v>No</v>
      </c>
      <c r="AE709" s="0" t="str">
        <f aca="false">IF(W709&lt;0,"Yes","No")</f>
        <v>No</v>
      </c>
      <c r="AF709" s="0" t="str">
        <f aca="false">IF(P709="","No",IF(OR(P709&lt;0,P709&gt;0.3),"Yes","No"))</f>
        <v>Yes</v>
      </c>
      <c r="AG709" s="4" t="s">
        <v>50</v>
      </c>
      <c r="AH709" s="0" t="str">
        <f aca="false">IF(AND(AA709="Completed",Z709="Paid"),"Yes","No")</f>
        <v>Yes</v>
      </c>
      <c r="AI709" s="0" t="str">
        <f aca="false">IF(OR(AE709="Yes",AF709="Yes",AG709="Yes"),"Invalid",IF(OR(AB709="Yes",AC709="Yes",AD709="Yes"),"Warning","Clean"))</f>
        <v>Invalid</v>
      </c>
      <c r="AJ709" s="4" t="s">
        <v>2664</v>
      </c>
      <c r="AK709" s="4" t="s">
        <v>1937</v>
      </c>
      <c r="AL709" s="4" t="s">
        <v>106</v>
      </c>
      <c r="AM709" s="4" t="s">
        <v>54</v>
      </c>
      <c r="AN709" s="4" t="s">
        <v>168</v>
      </c>
      <c r="AO709" s="4" t="s">
        <v>56</v>
      </c>
      <c r="AP709" s="4" t="s">
        <v>57</v>
      </c>
      <c r="AQ709" s="4" t="s">
        <v>109</v>
      </c>
      <c r="AR709" s="4" t="s">
        <v>1772</v>
      </c>
      <c r="AS709" s="4" t="s">
        <v>74</v>
      </c>
      <c r="AT709" s="0" t="n">
        <v>0.55</v>
      </c>
      <c r="AU709" s="4" t="s">
        <v>61</v>
      </c>
      <c r="AV709" s="4" t="s">
        <v>62</v>
      </c>
    </row>
    <row r="710" customFormat="false" ht="15" hidden="false" customHeight="false" outlineLevel="0" collapsed="false">
      <c r="A710" s="0" t="s">
        <v>2665</v>
      </c>
      <c r="B710" s="3" t="n">
        <f aca="false">IF(AJ710="","",IF(ISNUMBER(SEARCH("/",AJ710)),DATE(VALUE(RIGHT(AJ710,4)),VALUE(LEFT(AJ710,2)),VALUE(MID(AJ710,4,2))),IF(ISNUMBER(SEARCH("-",AJ710)),IF(LEN(LEFT(AJ710,FIND("-",AJ710)-1))=4,DATE(VALUE(LEFT(AJ710,4)),VALUE(MID(AJ710,6,2)),VALUE(RIGHT(AJ710,2))),DATE(VALUE(RIGHT(AJ710,4)),VALUE(MID(AJ710,4,2)),VALUE(LEFT(AJ710,2)))),DATE(VALUE(RIGHT(AJ710,4)),MATCH(MID(AJ710,4,3),{"Jan","Feb","Mar","Apr","May","Jun","Jul","Aug","Sep","Oct","Nov","Dec"},0),VALUE(LEFT(AJ710,2))))))</f>
        <v>45736</v>
      </c>
      <c r="C710" s="3" t="n">
        <f aca="false">IF(AK710="","",IF(ISNUMBER(SEARCH("/",AK710)),DATE(VALUE(RIGHT(AK710,4)),VALUE(LEFT(AK710,2)),VALUE(MID(AK710,4,2))),IF(ISNUMBER(SEARCH("-",AK710)),IF(LEN(LEFT(AK710,FIND("-",AK710)-1))=4,DATE(VALUE(LEFT(AK710,4)),VALUE(MID(AK710,6,2)),VALUE(RIGHT(AK710,2))),DATE(VALUE(RIGHT(AK710,4)),VALUE(MID(AK710,4,2)),VALUE(LEFT(AK710,2)))),DATE(VALUE(RIGHT(AK710,4)),MATCH(MID(AK710,4,3),{"Jan","Feb","Mar","Apr","May","Jun","Jul","Aug","Sep","Oct","Nov","Dec"},0),VALUE(LEFT(AK710,2))))))</f>
        <v>45742</v>
      </c>
      <c r="D710" s="4" t="s">
        <v>2666</v>
      </c>
      <c r="E710" s="0" t="str">
        <f aca="false">PROPER(TRIM(AL710))</f>
        <v>Sneha Kapoor</v>
      </c>
      <c r="F710" s="0" t="str">
        <f aca="false">PROPER(TRIM(AM710))</f>
        <v>Consumer</v>
      </c>
      <c r="G710" s="0" t="str">
        <f aca="false">IF(TRIM(AN710)="","Unknown",PROPER(TRIM(AN710)))</f>
        <v>East</v>
      </c>
      <c r="H710" s="0" t="str">
        <f aca="false">PROPER(TRIM(AO710))</f>
        <v>Assam</v>
      </c>
      <c r="I710" s="0" t="str">
        <f aca="false">PROPER(TRIM(AP710))</f>
        <v>Guwahati</v>
      </c>
      <c r="J710" s="0" t="str">
        <f aca="false">PROPER(TRIM(AQ710))</f>
        <v>Furniture</v>
      </c>
      <c r="K710" s="0" t="str">
        <f aca="false">PROPER(TRIM(AR710))</f>
        <v>Bookcases</v>
      </c>
      <c r="M710" s="0" t="str">
        <f aca="false">IF(TRIM(AS710)="","Unknown",PROPER(TRIM(AS710)))</f>
        <v>First Class</v>
      </c>
      <c r="N710" s="0" t="n">
        <v>4</v>
      </c>
      <c r="O710" s="0" t="n">
        <v>4357.66</v>
      </c>
      <c r="P710" s="5" t="n">
        <f aca="false">IF(AT710="","",IF(ISNUMBER(AT710),AT710,VALUE(SUBSTITUTE(AT710,"%",""))/100))</f>
        <v>0.05</v>
      </c>
      <c r="Q710" s="5" t="n">
        <f aca="false">IF(P710="",IF(AND(N710&lt;&gt;"",O710&lt;&gt;"",R710&lt;&gt;"",S710&lt;&gt;""),0,"REVIEW"),IF(OR(P710&lt;0,P710&gt;0.3),0,P710))</f>
        <v>0.05</v>
      </c>
      <c r="R710" s="0" t="n">
        <v>16559.11</v>
      </c>
      <c r="S710" s="0" t="n">
        <v>13233.79</v>
      </c>
      <c r="T710" s="6" t="n">
        <f aca="false">N710*O710*(1-Q710)</f>
        <v>16559.108</v>
      </c>
      <c r="U710" s="6" t="n">
        <f aca="false">T710-S710</f>
        <v>3325.318</v>
      </c>
      <c r="V710" s="7" t="n">
        <f aca="false">IF(T710=0,0,U710/T710)</f>
        <v>0.200815043902123</v>
      </c>
      <c r="W710" s="4" t="n">
        <f aca="false">C710-B710</f>
        <v>6</v>
      </c>
      <c r="X710" s="0" t="str">
        <f aca="false">TEXT(B710,"mmmm")</f>
        <v>March</v>
      </c>
      <c r="Y710" s="4" t="n">
        <f aca="false">YEAR(B710)</f>
        <v>2025</v>
      </c>
      <c r="Z710" s="0" t="str">
        <f aca="false">PROPER(TRIM(AU710))</f>
        <v>Paid</v>
      </c>
      <c r="AA710" s="0" t="str">
        <f aca="false">PROPER(TRIM(AV710))</f>
        <v>Completed</v>
      </c>
      <c r="AB710" s="0" t="str">
        <f aca="false">IF(TRIM(AN710)="","Yes","No")</f>
        <v>No</v>
      </c>
      <c r="AC710" s="0" t="str">
        <f aca="false">IF(TRIM(AS710)="","Yes","No")</f>
        <v>No</v>
      </c>
      <c r="AD710" s="0" t="str">
        <f aca="false">IF(AT710="","Yes","No")</f>
        <v>No</v>
      </c>
      <c r="AE710" s="0" t="str">
        <f aca="false">IF(W710&lt;0,"Yes","No")</f>
        <v>No</v>
      </c>
      <c r="AF710" s="0" t="str">
        <f aca="false">IF(P710="","No",IF(OR(P710&lt;0,P710&gt;0.3),"Yes","No"))</f>
        <v>No</v>
      </c>
      <c r="AG710" s="4" t="s">
        <v>50</v>
      </c>
      <c r="AH710" s="0" t="str">
        <f aca="false">IF(AND(AA710="Completed",Z710="Paid"),"Yes","No")</f>
        <v>Yes</v>
      </c>
      <c r="AI710" s="0" t="str">
        <f aca="false">IF(OR(AE710="Yes",AF710="Yes",AG710="Yes"),"Invalid",IF(OR(AB710="Yes",AC710="Yes",AD710="Yes"),"Warning","Clean"))</f>
        <v>Clean</v>
      </c>
      <c r="AJ710" s="4" t="s">
        <v>2667</v>
      </c>
      <c r="AK710" s="4" t="s">
        <v>2668</v>
      </c>
      <c r="AL710" s="4" t="s">
        <v>181</v>
      </c>
      <c r="AM710" s="4" t="s">
        <v>54</v>
      </c>
      <c r="AN710" s="4" t="s">
        <v>69</v>
      </c>
      <c r="AO710" s="4" t="s">
        <v>221</v>
      </c>
      <c r="AP710" s="4" t="s">
        <v>222</v>
      </c>
      <c r="AQ710" s="4" t="s">
        <v>72</v>
      </c>
      <c r="AR710" s="4" t="s">
        <v>211</v>
      </c>
      <c r="AS710" s="4" t="s">
        <v>81</v>
      </c>
      <c r="AT710" s="0" t="n">
        <v>0.05</v>
      </c>
      <c r="AU710" s="4" t="s">
        <v>61</v>
      </c>
      <c r="AV710" s="4" t="s">
        <v>62</v>
      </c>
    </row>
    <row r="711" customFormat="false" ht="15" hidden="false" customHeight="false" outlineLevel="0" collapsed="false">
      <c r="A711" s="0" t="s">
        <v>2669</v>
      </c>
      <c r="B711" s="3" t="n">
        <f aca="false">IF(AJ711="","",IF(ISNUMBER(SEARCH("/",AJ711)),DATE(VALUE(RIGHT(AJ711,4)),VALUE(LEFT(AJ711,2)),VALUE(MID(AJ711,4,2))),IF(ISNUMBER(SEARCH("-",AJ711)),IF(LEN(LEFT(AJ711,FIND("-",AJ711)-1))=4,DATE(VALUE(LEFT(AJ711,4)),VALUE(MID(AJ711,6,2)),VALUE(RIGHT(AJ711,2))),DATE(VALUE(RIGHT(AJ711,4)),VALUE(MID(AJ711,4,2)),VALUE(LEFT(AJ711,2)))),DATE(VALUE(RIGHT(AJ711,4)),MATCH(MID(AJ711,4,3),{"Jan","Feb","Mar","Apr","May","Jun","Jul","Aug","Sep","Oct","Nov","Dec"},0),VALUE(LEFT(AJ711,2))))))</f>
        <v>45676</v>
      </c>
      <c r="C711" s="3" t="n">
        <f aca="false">IF(AK711="","",IF(ISNUMBER(SEARCH("/",AK711)),DATE(VALUE(RIGHT(AK711,4)),VALUE(LEFT(AK711,2)),VALUE(MID(AK711,4,2))),IF(ISNUMBER(SEARCH("-",AK711)),IF(LEN(LEFT(AK711,FIND("-",AK711)-1))=4,DATE(VALUE(LEFT(AK711,4)),VALUE(MID(AK711,6,2)),VALUE(RIGHT(AK711,2))),DATE(VALUE(RIGHT(AK711,4)),VALUE(MID(AK711,4,2)),VALUE(LEFT(AK711,2)))),DATE(VALUE(RIGHT(AK711,4)),MATCH(MID(AK711,4,3),{"Jan","Feb","Mar","Apr","May","Jun","Jul","Aug","Sep","Oct","Nov","Dec"},0),VALUE(LEFT(AK711,2))))))</f>
        <v>45680</v>
      </c>
      <c r="D711" s="4" t="s">
        <v>2670</v>
      </c>
      <c r="E711" s="0" t="str">
        <f aca="false">PROPER(TRIM(AL711))</f>
        <v>Kabir Singh</v>
      </c>
      <c r="F711" s="0" t="str">
        <f aca="false">PROPER(TRIM(AM711))</f>
        <v>Home Office</v>
      </c>
      <c r="G711" s="0" t="str">
        <f aca="false">IF(TRIM(AN711)="","Unknown",PROPER(TRIM(AN711)))</f>
        <v>North</v>
      </c>
      <c r="H711" s="0" t="str">
        <f aca="false">PROPER(TRIM(AO711))</f>
        <v>Punjab</v>
      </c>
      <c r="I711" s="0" t="str">
        <f aca="false">PROPER(TRIM(AP711))</f>
        <v>Ludhiana</v>
      </c>
      <c r="J711" s="0" t="str">
        <f aca="false">PROPER(TRIM(AQ711))</f>
        <v>Technology</v>
      </c>
      <c r="K711" s="0" t="str">
        <f aca="false">PROPER(TRIM(AR711))</f>
        <v>Phones</v>
      </c>
      <c r="M711" s="0" t="str">
        <f aca="false">IF(TRIM(AS711)="","Unknown",PROPER(TRIM(AS711)))</f>
        <v>Same Day</v>
      </c>
      <c r="N711" s="0" t="n">
        <v>7</v>
      </c>
      <c r="O711" s="0" t="n">
        <v>1363.04</v>
      </c>
      <c r="P711" s="5" t="n">
        <f aca="false">IF(AT711="","",IF(ISNUMBER(AT711),AT711,VALUE(SUBSTITUTE(AT711,"%",""))/100))</f>
        <v>0.15</v>
      </c>
      <c r="Q711" s="5" t="n">
        <f aca="false">IF(P711="",IF(AND(N711&lt;&gt;"",O711&lt;&gt;"",R711&lt;&gt;"",S711&lt;&gt;""),0,"REVIEW"),IF(OR(P711&lt;0,P711&gt;0.3),0,P711))</f>
        <v>0.15</v>
      </c>
      <c r="R711" s="0" t="n">
        <v>8110.09</v>
      </c>
      <c r="S711" s="0" t="n">
        <v>6417.32</v>
      </c>
      <c r="T711" s="6" t="n">
        <f aca="false">N711*O711*(1-Q711)</f>
        <v>8110.088</v>
      </c>
      <c r="U711" s="6" t="n">
        <f aca="false">T711-S711</f>
        <v>1692.768</v>
      </c>
      <c r="V711" s="7" t="n">
        <f aca="false">IF(T711=0,0,U711/T711)</f>
        <v>0.208723752442637</v>
      </c>
      <c r="W711" s="4" t="n">
        <f aca="false">C711-B711</f>
        <v>4</v>
      </c>
      <c r="X711" s="0" t="str">
        <f aca="false">TEXT(B711,"mmmm")</f>
        <v>January</v>
      </c>
      <c r="Y711" s="4" t="n">
        <f aca="false">YEAR(B711)</f>
        <v>2025</v>
      </c>
      <c r="Z711" s="0" t="str">
        <f aca="false">PROPER(TRIM(AU711))</f>
        <v>Paid</v>
      </c>
      <c r="AA711" s="0" t="str">
        <f aca="false">PROPER(TRIM(AV711))</f>
        <v>Cancelled</v>
      </c>
      <c r="AB711" s="0" t="str">
        <f aca="false">IF(TRIM(AN711)="","Yes","No")</f>
        <v>No</v>
      </c>
      <c r="AC711" s="0" t="str">
        <f aca="false">IF(TRIM(AS711)="","Yes","No")</f>
        <v>No</v>
      </c>
      <c r="AD711" s="0" t="str">
        <f aca="false">IF(AT711="","Yes","No")</f>
        <v>No</v>
      </c>
      <c r="AE711" s="0" t="str">
        <f aca="false">IF(W711&lt;0,"Yes","No")</f>
        <v>No</v>
      </c>
      <c r="AF711" s="0" t="str">
        <f aca="false">IF(P711="","No",IF(OR(P711&lt;0,P711&gt;0.3),"Yes","No"))</f>
        <v>No</v>
      </c>
      <c r="AG711" s="4" t="s">
        <v>50</v>
      </c>
      <c r="AH711" s="0" t="str">
        <f aca="false">IF(AND(AA711="Completed",Z711="Paid"),"Yes","No")</f>
        <v>No</v>
      </c>
      <c r="AI711" s="0" t="str">
        <f aca="false">IF(OR(AE711="Yes",AF711="Yes",AG711="Yes"),"Invalid",IF(OR(AB711="Yes",AC711="Yes",AD711="Yes"),"Warning","Clean"))</f>
        <v>Clean</v>
      </c>
      <c r="AJ711" s="4" t="s">
        <v>204</v>
      </c>
      <c r="AK711" s="4" t="s">
        <v>195</v>
      </c>
      <c r="AL711" s="4" t="s">
        <v>347</v>
      </c>
      <c r="AM711" s="4" t="s">
        <v>134</v>
      </c>
      <c r="AN711" s="4" t="s">
        <v>168</v>
      </c>
      <c r="AO711" s="4" t="s">
        <v>169</v>
      </c>
      <c r="AP711" s="4" t="s">
        <v>170</v>
      </c>
      <c r="AQ711" s="4" t="s">
        <v>109</v>
      </c>
      <c r="AR711" s="4" t="s">
        <v>227</v>
      </c>
      <c r="AS711" s="4" t="s">
        <v>74</v>
      </c>
      <c r="AT711" s="0" t="n">
        <v>0.15</v>
      </c>
      <c r="AU711" s="4" t="s">
        <v>61</v>
      </c>
      <c r="AV711" s="4" t="s">
        <v>101</v>
      </c>
    </row>
    <row r="712" customFormat="false" ht="15" hidden="false" customHeight="false" outlineLevel="0" collapsed="false">
      <c r="A712" s="0" t="s">
        <v>2671</v>
      </c>
      <c r="B712" s="3" t="n">
        <f aca="false">IF(AJ712="","",IF(ISNUMBER(SEARCH("/",AJ712)),DATE(VALUE(RIGHT(AJ712,4)),VALUE(LEFT(AJ712,2)),VALUE(MID(AJ712,4,2))),IF(ISNUMBER(SEARCH("-",AJ712)),IF(LEN(LEFT(AJ712,FIND("-",AJ712)-1))=4,DATE(VALUE(LEFT(AJ712,4)),VALUE(MID(AJ712,6,2)),VALUE(RIGHT(AJ712,2))),DATE(VALUE(RIGHT(AJ712,4)),VALUE(MID(AJ712,4,2)),VALUE(LEFT(AJ712,2)))),DATE(VALUE(RIGHT(AJ712,4)),MATCH(MID(AJ712,4,3),{"Jan","Feb","Mar","Apr","May","Jun","Jul","Aug","Sep","Oct","Nov","Dec"},0),VALUE(LEFT(AJ712,2))))))</f>
        <v>45485</v>
      </c>
      <c r="C712" s="3" t="n">
        <f aca="false">IF(AK712="","",IF(ISNUMBER(SEARCH("/",AK712)),DATE(VALUE(RIGHT(AK712,4)),VALUE(LEFT(AK712,2)),VALUE(MID(AK712,4,2))),IF(ISNUMBER(SEARCH("-",AK712)),IF(LEN(LEFT(AK712,FIND("-",AK712)-1))=4,DATE(VALUE(LEFT(AK712,4)),VALUE(MID(AK712,6,2)),VALUE(RIGHT(AK712,2))),DATE(VALUE(RIGHT(AK712,4)),VALUE(MID(AK712,4,2)),VALUE(LEFT(AK712,2)))),DATE(VALUE(RIGHT(AK712,4)),MATCH(MID(AK712,4,3),{"Jan","Feb","Mar","Apr","May","Jun","Jul","Aug","Sep","Oct","Nov","Dec"},0),VALUE(LEFT(AK712,2))))))</f>
        <v>45492</v>
      </c>
      <c r="D712" s="4" t="s">
        <v>2672</v>
      </c>
      <c r="E712" s="0" t="str">
        <f aca="false">PROPER(TRIM(AL712))</f>
        <v>Vikram Iyer</v>
      </c>
      <c r="F712" s="0" t="str">
        <f aca="false">PROPER(TRIM(AM712))</f>
        <v>Corporate</v>
      </c>
      <c r="G712" s="0" t="str">
        <f aca="false">IF(TRIM(AN712)="","Unknown",PROPER(TRIM(AN712)))</f>
        <v>North</v>
      </c>
      <c r="H712" s="0" t="str">
        <f aca="false">PROPER(TRIM(AO712))</f>
        <v>Punjab</v>
      </c>
      <c r="I712" s="0" t="str">
        <f aca="false">PROPER(TRIM(AP712))</f>
        <v>Ludhiana</v>
      </c>
      <c r="J712" s="0" t="str">
        <f aca="false">PROPER(TRIM(AQ712))</f>
        <v>Office Supplies</v>
      </c>
      <c r="K712" s="0" t="str">
        <f aca="false">PROPER(TRIM(AR712))</f>
        <v>Art</v>
      </c>
      <c r="M712" s="0" t="str">
        <f aca="false">IF(TRIM(AS712)="","Unknown",PROPER(TRIM(AS712)))</f>
        <v>Second Class</v>
      </c>
      <c r="N712" s="0" t="n">
        <v>5</v>
      </c>
      <c r="O712" s="0" t="n">
        <v>1559.16</v>
      </c>
      <c r="P712" s="5" t="n">
        <f aca="false">IF(AT712="","",IF(ISNUMBER(AT712),AT712,VALUE(SUBSTITUTE(AT712,"%",""))/100))</f>
        <v>0.05</v>
      </c>
      <c r="Q712" s="5" t="n">
        <f aca="false">IF(P712="",IF(AND(N712&lt;&gt;"",O712&lt;&gt;"",R712&lt;&gt;"",S712&lt;&gt;""),0,"REVIEW"),IF(OR(P712&lt;0,P712&gt;0.3),0,P712))</f>
        <v>0.05</v>
      </c>
      <c r="R712" s="0" t="n">
        <v>7406.01</v>
      </c>
      <c r="S712" s="0" t="n">
        <v>5941.74</v>
      </c>
      <c r="T712" s="6" t="n">
        <f aca="false">N712*O712*(1-Q712)</f>
        <v>7406.01</v>
      </c>
      <c r="U712" s="6" t="n">
        <f aca="false">T712-S712</f>
        <v>1464.27</v>
      </c>
      <c r="V712" s="7" t="n">
        <f aca="false">IF(T712=0,0,U712/T712)</f>
        <v>0.197713748698692</v>
      </c>
      <c r="W712" s="4" t="n">
        <f aca="false">C712-B712</f>
        <v>7</v>
      </c>
      <c r="X712" s="0" t="str">
        <f aca="false">TEXT(B712,"mmmm")</f>
        <v>July</v>
      </c>
      <c r="Y712" s="4" t="n">
        <f aca="false">YEAR(B712)</f>
        <v>2024</v>
      </c>
      <c r="Z712" s="0" t="str">
        <f aca="false">PROPER(TRIM(AU712))</f>
        <v>Paid</v>
      </c>
      <c r="AA712" s="0" t="str">
        <f aca="false">PROPER(TRIM(AV712))</f>
        <v>Completed</v>
      </c>
      <c r="AB712" s="0" t="str">
        <f aca="false">IF(TRIM(AN712)="","Yes","No")</f>
        <v>No</v>
      </c>
      <c r="AC712" s="0" t="str">
        <f aca="false">IF(TRIM(AS712)="","Yes","No")</f>
        <v>No</v>
      </c>
      <c r="AD712" s="0" t="str">
        <f aca="false">IF(AT712="","Yes","No")</f>
        <v>No</v>
      </c>
      <c r="AE712" s="0" t="str">
        <f aca="false">IF(W712&lt;0,"Yes","No")</f>
        <v>No</v>
      </c>
      <c r="AF712" s="0" t="str">
        <f aca="false">IF(P712="","No",IF(OR(P712&lt;0,P712&gt;0.3),"Yes","No"))</f>
        <v>No</v>
      </c>
      <c r="AG712" s="4" t="s">
        <v>50</v>
      </c>
      <c r="AH712" s="0" t="str">
        <f aca="false">IF(AND(AA712="Completed",Z712="Paid"),"Yes","No")</f>
        <v>Yes</v>
      </c>
      <c r="AI712" s="0" t="str">
        <f aca="false">IF(OR(AE712="Yes",AF712="Yes",AG712="Yes"),"Invalid",IF(OR(AB712="Yes",AC712="Yes",AD712="Yes"),"Warning","Clean"))</f>
        <v>Clean</v>
      </c>
      <c r="AJ712" s="4" t="s">
        <v>2673</v>
      </c>
      <c r="AK712" s="4" t="s">
        <v>2674</v>
      </c>
      <c r="AL712" s="4" t="s">
        <v>106</v>
      </c>
      <c r="AM712" s="4" t="s">
        <v>128</v>
      </c>
      <c r="AN712" s="4" t="s">
        <v>168</v>
      </c>
      <c r="AO712" s="4" t="s">
        <v>169</v>
      </c>
      <c r="AP712" s="4" t="s">
        <v>170</v>
      </c>
      <c r="AQ712" s="4" t="s">
        <v>58</v>
      </c>
      <c r="AR712" s="4" t="s">
        <v>80</v>
      </c>
      <c r="AS712" s="4" t="s">
        <v>60</v>
      </c>
      <c r="AT712" s="0" t="n">
        <v>0.05</v>
      </c>
      <c r="AU712" s="4" t="s">
        <v>61</v>
      </c>
      <c r="AV712" s="4" t="s">
        <v>62</v>
      </c>
    </row>
    <row r="713" customFormat="false" ht="15" hidden="false" customHeight="false" outlineLevel="0" collapsed="false">
      <c r="A713" s="0" t="s">
        <v>2675</v>
      </c>
      <c r="B713" s="3" t="n">
        <f aca="false">IF(AJ713="","",IF(ISNUMBER(SEARCH("/",AJ713)),DATE(VALUE(RIGHT(AJ713,4)),VALUE(LEFT(AJ713,2)),VALUE(MID(AJ713,4,2))),IF(ISNUMBER(SEARCH("-",AJ713)),IF(LEN(LEFT(AJ713,FIND("-",AJ713)-1))=4,DATE(VALUE(LEFT(AJ713,4)),VALUE(MID(AJ713,6,2)),VALUE(RIGHT(AJ713,2))),DATE(VALUE(RIGHT(AJ713,4)),VALUE(MID(AJ713,4,2)),VALUE(LEFT(AJ713,2)))),DATE(VALUE(RIGHT(AJ713,4)),MATCH(MID(AJ713,4,3),{"Jan","Feb","Mar","Apr","May","Jun","Jul","Aug","Sep","Oct","Nov","Dec"},0),VALUE(LEFT(AJ713,2))))))</f>
        <v>45690</v>
      </c>
      <c r="C713" s="3" t="n">
        <f aca="false">IF(AK713="","",IF(ISNUMBER(SEARCH("/",AK713)),DATE(VALUE(RIGHT(AK713,4)),VALUE(LEFT(AK713,2)),VALUE(MID(AK713,4,2))),IF(ISNUMBER(SEARCH("-",AK713)),IF(LEN(LEFT(AK713,FIND("-",AK713)-1))=4,DATE(VALUE(LEFT(AK713,4)),VALUE(MID(AK713,6,2)),VALUE(RIGHT(AK713,2))),DATE(VALUE(RIGHT(AK713,4)),VALUE(MID(AK713,4,2)),VALUE(LEFT(AK713,2)))),DATE(VALUE(RIGHT(AK713,4)),MATCH(MID(AK713,4,3),{"Jan","Feb","Mar","Apr","May","Jun","Jul","Aug","Sep","Oct","Nov","Dec"},0),VALUE(LEFT(AK713,2))))))</f>
        <v>45690</v>
      </c>
      <c r="D713" s="4" t="s">
        <v>2676</v>
      </c>
      <c r="E713" s="0" t="str">
        <f aca="false">PROPER(TRIM(AL713))</f>
        <v>Kabir Singh</v>
      </c>
      <c r="F713" s="0" t="str">
        <f aca="false">PROPER(TRIM(AM713))</f>
        <v>Corporate</v>
      </c>
      <c r="G713" s="0" t="str">
        <f aca="false">IF(TRIM(AN713)="","Unknown",PROPER(TRIM(AN713)))</f>
        <v>East</v>
      </c>
      <c r="H713" s="0" t="str">
        <f aca="false">PROPER(TRIM(AO713))</f>
        <v>West Bengal</v>
      </c>
      <c r="I713" s="0" t="str">
        <f aca="false">PROPER(TRIM(AP713))</f>
        <v>Kolkata</v>
      </c>
      <c r="J713" s="0" t="str">
        <f aca="false">PROPER(TRIM(AQ713))</f>
        <v>Technology</v>
      </c>
      <c r="K713" s="0" t="str">
        <f aca="false">PROPER(TRIM(AR713))</f>
        <v>Machines</v>
      </c>
      <c r="M713" s="0" t="str">
        <f aca="false">IF(TRIM(AS713)="","Unknown",PROPER(TRIM(AS713)))</f>
        <v>First Class</v>
      </c>
      <c r="N713" s="0" t="n">
        <v>1</v>
      </c>
      <c r="O713" s="0" t="n">
        <v>4326.75</v>
      </c>
      <c r="P713" s="5" t="n">
        <f aca="false">IF(AT713="","",IF(ISNUMBER(AT713),AT713,VALUE(SUBSTITUTE(AT713,"%",""))/100))</f>
        <v>0.05</v>
      </c>
      <c r="Q713" s="5" t="n">
        <f aca="false">IF(P713="",IF(AND(N713&lt;&gt;"",O713&lt;&gt;"",R713&lt;&gt;"",S713&lt;&gt;""),0,"REVIEW"),IF(OR(P713&lt;0,P713&gt;0.3),0,P713))</f>
        <v>0.05</v>
      </c>
      <c r="R713" s="0" t="n">
        <v>4110.41</v>
      </c>
      <c r="S713" s="0" t="n">
        <v>2394.14</v>
      </c>
      <c r="T713" s="6" t="n">
        <f aca="false">N713*O713*(1-Q713)</f>
        <v>4110.4125</v>
      </c>
      <c r="U713" s="6" t="n">
        <f aca="false">T713-S713</f>
        <v>1716.2725</v>
      </c>
      <c r="V713" s="7" t="n">
        <f aca="false">IF(T713=0,0,U713/T713)</f>
        <v>0.417542643226197</v>
      </c>
      <c r="W713" s="4" t="n">
        <f aca="false">C713-B713</f>
        <v>0</v>
      </c>
      <c r="X713" s="0" t="str">
        <f aca="false">TEXT(B713,"mmmm")</f>
        <v>February</v>
      </c>
      <c r="Y713" s="4" t="n">
        <f aca="false">YEAR(B713)</f>
        <v>2025</v>
      </c>
      <c r="Z713" s="0" t="str">
        <f aca="false">PROPER(TRIM(AU713))</f>
        <v>Pending</v>
      </c>
      <c r="AA713" s="0" t="str">
        <f aca="false">PROPER(TRIM(AV713))</f>
        <v>Returned</v>
      </c>
      <c r="AB713" s="0" t="str">
        <f aca="false">IF(TRIM(AN713)="","Yes","No")</f>
        <v>No</v>
      </c>
      <c r="AC713" s="0" t="str">
        <f aca="false">IF(TRIM(AS713)="","Yes","No")</f>
        <v>No</v>
      </c>
      <c r="AD713" s="0" t="str">
        <f aca="false">IF(AT713="","Yes","No")</f>
        <v>No</v>
      </c>
      <c r="AE713" s="0" t="str">
        <f aca="false">IF(W713&lt;0,"Yes","No")</f>
        <v>No</v>
      </c>
      <c r="AF713" s="0" t="str">
        <f aca="false">IF(P713="","No",IF(OR(P713&lt;0,P713&gt;0.3),"Yes","No"))</f>
        <v>No</v>
      </c>
      <c r="AG713" s="4" t="s">
        <v>50</v>
      </c>
      <c r="AH713" s="0" t="str">
        <f aca="false">IF(AND(AA713="Completed",Z713="Paid"),"Yes","No")</f>
        <v>No</v>
      </c>
      <c r="AI713" s="0" t="str">
        <f aca="false">IF(OR(AE713="Yes",AF713="Yes",AG713="Yes"),"Invalid",IF(OR(AB713="Yes",AC713="Yes",AD713="Yes"),"Warning","Clean"))</f>
        <v>Clean</v>
      </c>
      <c r="AJ713" s="4" t="s">
        <v>2677</v>
      </c>
      <c r="AK713" s="4" t="s">
        <v>2648</v>
      </c>
      <c r="AL713" s="4" t="s">
        <v>347</v>
      </c>
      <c r="AM713" s="4" t="s">
        <v>128</v>
      </c>
      <c r="AN713" s="4" t="s">
        <v>69</v>
      </c>
      <c r="AO713" s="4" t="s">
        <v>139</v>
      </c>
      <c r="AP713" s="4" t="s">
        <v>140</v>
      </c>
      <c r="AQ713" s="4" t="s">
        <v>109</v>
      </c>
      <c r="AR713" s="4" t="s">
        <v>360</v>
      </c>
      <c r="AS713" s="4" t="s">
        <v>81</v>
      </c>
      <c r="AT713" s="0" t="n">
        <v>0.05</v>
      </c>
      <c r="AU713" s="4" t="s">
        <v>153</v>
      </c>
      <c r="AV713" s="4" t="s">
        <v>142</v>
      </c>
    </row>
    <row r="714" customFormat="false" ht="15" hidden="false" customHeight="false" outlineLevel="0" collapsed="false">
      <c r="A714" s="0" t="s">
        <v>2678</v>
      </c>
      <c r="B714" s="3" t="n">
        <f aca="false">IF(AJ714="","",IF(ISNUMBER(SEARCH("/",AJ714)),DATE(VALUE(RIGHT(AJ714,4)),VALUE(LEFT(AJ714,2)),VALUE(MID(AJ714,4,2))),IF(ISNUMBER(SEARCH("-",AJ714)),IF(LEN(LEFT(AJ714,FIND("-",AJ714)-1))=4,DATE(VALUE(LEFT(AJ714,4)),VALUE(MID(AJ714,6,2)),VALUE(RIGHT(AJ714,2))),DATE(VALUE(RIGHT(AJ714,4)),VALUE(MID(AJ714,4,2)),VALUE(LEFT(AJ714,2)))),DATE(VALUE(RIGHT(AJ714,4)),MATCH(MID(AJ714,4,3),{"Jan","Feb","Mar","Apr","May","Jun","Jul","Aug","Sep","Oct","Nov","Dec"},0),VALUE(LEFT(AJ714,2))))))</f>
        <v>45332</v>
      </c>
      <c r="C714" s="3" t="n">
        <f aca="false">IF(AK714="","",IF(ISNUMBER(SEARCH("/",AK714)),DATE(VALUE(RIGHT(AK714,4)),VALUE(LEFT(AK714,2)),VALUE(MID(AK714,4,2))),IF(ISNUMBER(SEARCH("-",AK714)),IF(LEN(LEFT(AK714,FIND("-",AK714)-1))=4,DATE(VALUE(LEFT(AK714,4)),VALUE(MID(AK714,6,2)),VALUE(RIGHT(AK714,2))),DATE(VALUE(RIGHT(AK714,4)),VALUE(MID(AK714,4,2)),VALUE(LEFT(AK714,2)))),DATE(VALUE(RIGHT(AK714,4)),MATCH(MID(AK714,4,3),{"Jan","Feb","Mar","Apr","May","Jun","Jul","Aug","Sep","Oct","Nov","Dec"},0),VALUE(LEFT(AK714,2))))))</f>
        <v>45340</v>
      </c>
      <c r="D714" s="4" t="s">
        <v>2679</v>
      </c>
      <c r="E714" s="0" t="str">
        <f aca="false">PROPER(TRIM(AL714))</f>
        <v>Isha Nair</v>
      </c>
      <c r="F714" s="0" t="str">
        <f aca="false">PROPER(TRIM(AM714))</f>
        <v>Home Office</v>
      </c>
      <c r="G714" s="0" t="str">
        <f aca="false">IF(TRIM(AN714)="","Unknown",PROPER(TRIM(AN714)))</f>
        <v>West</v>
      </c>
      <c r="H714" s="0" t="str">
        <f aca="false">PROPER(TRIM(AO714))</f>
        <v>Madhya Pradesh</v>
      </c>
      <c r="I714" s="0" t="str">
        <f aca="false">PROPER(TRIM(AP714))</f>
        <v>Indore</v>
      </c>
      <c r="J714" s="0" t="str">
        <f aca="false">PROPER(TRIM(AQ714))</f>
        <v>Furniture</v>
      </c>
      <c r="K714" s="0" t="str">
        <f aca="false">PROPER(TRIM(AR714))</f>
        <v>Chairs</v>
      </c>
      <c r="M714" s="0" t="str">
        <f aca="false">IF(TRIM(AS714)="","Unknown",PROPER(TRIM(AS714)))</f>
        <v>First Class</v>
      </c>
      <c r="N714" s="0" t="n">
        <v>7</v>
      </c>
      <c r="O714" s="0" t="n">
        <v>1382.86</v>
      </c>
      <c r="P714" s="5" t="n">
        <f aca="false">IF(AT714="","",IF(ISNUMBER(AT714),AT714,VALUE(SUBSTITUTE(AT714,"%",""))/100))</f>
        <v>0</v>
      </c>
      <c r="Q714" s="5" t="n">
        <f aca="false">IF(P714="",IF(AND(N714&lt;&gt;"",O714&lt;&gt;"",R714&lt;&gt;"",S714&lt;&gt;""),0,"REVIEW"),IF(OR(P714&lt;0,P714&gt;0.3),0,P714))</f>
        <v>0</v>
      </c>
      <c r="R714" s="0" t="n">
        <v>9680.02</v>
      </c>
      <c r="S714" s="0" t="n">
        <v>6876.66</v>
      </c>
      <c r="T714" s="6" t="n">
        <f aca="false">N714*O714*(1-Q714)</f>
        <v>9680.02</v>
      </c>
      <c r="U714" s="6" t="n">
        <f aca="false">T714-S714</f>
        <v>2803.36</v>
      </c>
      <c r="V714" s="7" t="n">
        <f aca="false">IF(T714=0,0,U714/T714)</f>
        <v>0.289602707432423</v>
      </c>
      <c r="W714" s="4" t="n">
        <f aca="false">C714-B714</f>
        <v>8</v>
      </c>
      <c r="X714" s="0" t="str">
        <f aca="false">TEXT(B714,"mmmm")</f>
        <v>February</v>
      </c>
      <c r="Y714" s="4" t="n">
        <f aca="false">YEAR(B714)</f>
        <v>2024</v>
      </c>
      <c r="Z714" s="0" t="str">
        <f aca="false">PROPER(TRIM(AU714))</f>
        <v>Paid</v>
      </c>
      <c r="AA714" s="0" t="str">
        <f aca="false">PROPER(TRIM(AV714))</f>
        <v>Completed</v>
      </c>
      <c r="AB714" s="0" t="str">
        <f aca="false">IF(TRIM(AN714)="","Yes","No")</f>
        <v>No</v>
      </c>
      <c r="AC714" s="0" t="str">
        <f aca="false">IF(TRIM(AS714)="","Yes","No")</f>
        <v>No</v>
      </c>
      <c r="AD714" s="0" t="str">
        <f aca="false">IF(AT714="","Yes","No")</f>
        <v>No</v>
      </c>
      <c r="AE714" s="0" t="str">
        <f aca="false">IF(W714&lt;0,"Yes","No")</f>
        <v>No</v>
      </c>
      <c r="AF714" s="0" t="str">
        <f aca="false">IF(P714="","No",IF(OR(P714&lt;0,P714&gt;0.3),"Yes","No"))</f>
        <v>No</v>
      </c>
      <c r="AG714" s="4" t="s">
        <v>50</v>
      </c>
      <c r="AH714" s="0" t="str">
        <f aca="false">IF(AND(AA714="Completed",Z714="Paid"),"Yes","No")</f>
        <v>Yes</v>
      </c>
      <c r="AI714" s="0" t="str">
        <f aca="false">IF(OR(AE714="Yes",AF714="Yes",AG714="Yes"),"Invalid",IF(OR(AB714="Yes",AC714="Yes",AD714="Yes"),"Warning","Clean"))</f>
        <v>Clean</v>
      </c>
      <c r="AJ714" s="4" t="s">
        <v>1749</v>
      </c>
      <c r="AK714" s="4" t="s">
        <v>2680</v>
      </c>
      <c r="AL714" s="4" t="s">
        <v>79</v>
      </c>
      <c r="AM714" s="4" t="s">
        <v>134</v>
      </c>
      <c r="AN714" s="4" t="s">
        <v>97</v>
      </c>
      <c r="AO714" s="4" t="s">
        <v>107</v>
      </c>
      <c r="AP714" s="4" t="s">
        <v>108</v>
      </c>
      <c r="AQ714" s="4" t="s">
        <v>72</v>
      </c>
      <c r="AR714" s="4" t="s">
        <v>100</v>
      </c>
      <c r="AS714" s="4" t="s">
        <v>81</v>
      </c>
      <c r="AT714" s="0" t="n">
        <v>0</v>
      </c>
      <c r="AU714" s="4" t="s">
        <v>61</v>
      </c>
      <c r="AV714" s="4" t="s">
        <v>62</v>
      </c>
    </row>
    <row r="715" customFormat="false" ht="15" hidden="false" customHeight="false" outlineLevel="0" collapsed="false">
      <c r="A715" s="0" t="s">
        <v>2681</v>
      </c>
      <c r="B715" s="3" t="n">
        <f aca="false">IF(AJ715="","",IF(ISNUMBER(SEARCH("/",AJ715)),DATE(VALUE(RIGHT(AJ715,4)),VALUE(LEFT(AJ715,2)),VALUE(MID(AJ715,4,2))),IF(ISNUMBER(SEARCH("-",AJ715)),IF(LEN(LEFT(AJ715,FIND("-",AJ715)-1))=4,DATE(VALUE(LEFT(AJ715,4)),VALUE(MID(AJ715,6,2)),VALUE(RIGHT(AJ715,2))),DATE(VALUE(RIGHT(AJ715,4)),VALUE(MID(AJ715,4,2)),VALUE(LEFT(AJ715,2)))),DATE(VALUE(RIGHT(AJ715,4)),MATCH(MID(AJ715,4,3),{"Jan","Feb","Mar","Apr","May","Jun","Jul","Aug","Sep","Oct","Nov","Dec"},0),VALUE(LEFT(AJ715,2))))))</f>
        <v>45814</v>
      </c>
      <c r="C715" s="3" t="n">
        <f aca="false">IF(AK715="","",IF(ISNUMBER(SEARCH("/",AK715)),DATE(VALUE(RIGHT(AK715,4)),VALUE(LEFT(AK715,2)),VALUE(MID(AK715,4,2))),IF(ISNUMBER(SEARCH("-",AK715)),IF(LEN(LEFT(AK715,FIND("-",AK715)-1))=4,DATE(VALUE(LEFT(AK715,4)),VALUE(MID(AK715,6,2)),VALUE(RIGHT(AK715,2))),DATE(VALUE(RIGHT(AK715,4)),VALUE(MID(AK715,4,2)),VALUE(LEFT(AK715,2)))),DATE(VALUE(RIGHT(AK715,4)),MATCH(MID(AK715,4,3),{"Jan","Feb","Mar","Apr","May","Jun","Jul","Aug","Sep","Oct","Nov","Dec"},0),VALUE(LEFT(AK715,2))))))</f>
        <v>45818</v>
      </c>
      <c r="D715" s="4" t="s">
        <v>781</v>
      </c>
      <c r="E715" s="0" t="str">
        <f aca="false">PROPER(TRIM(AL715))</f>
        <v>Mira Das</v>
      </c>
      <c r="F715" s="0" t="str">
        <f aca="false">PROPER(TRIM(AM715))</f>
        <v>Consumer</v>
      </c>
      <c r="G715" s="0" t="str">
        <f aca="false">IF(TRIM(AN715)="","Unknown",PROPER(TRIM(AN715)))</f>
        <v>West</v>
      </c>
      <c r="H715" s="0" t="str">
        <f aca="false">PROPER(TRIM(AO715))</f>
        <v>Rajasthan</v>
      </c>
      <c r="I715" s="0" t="str">
        <f aca="false">PROPER(TRIM(AP715))</f>
        <v>Udaipur</v>
      </c>
      <c r="J715" s="0" t="str">
        <f aca="false">PROPER(TRIM(AQ715))</f>
        <v>Technology</v>
      </c>
      <c r="K715" s="0" t="str">
        <f aca="false">PROPER(TRIM(AR715))</f>
        <v>Machines</v>
      </c>
      <c r="M715" s="0" t="str">
        <f aca="false">IF(TRIM(AS715)="","Unknown",PROPER(TRIM(AS715)))</f>
        <v>Second Class</v>
      </c>
      <c r="N715" s="0" t="n">
        <v>1</v>
      </c>
      <c r="O715" s="0" t="n">
        <v>289.97</v>
      </c>
      <c r="P715" s="5" t="n">
        <f aca="false">IF(AT715="","",IF(ISNUMBER(AT715),AT715,VALUE(SUBSTITUTE(AT715,"%",""))/100))</f>
        <v>0.25</v>
      </c>
      <c r="Q715" s="5" t="n">
        <f aca="false">IF(P715="",IF(AND(N715&lt;&gt;"",O715&lt;&gt;"",R715&lt;&gt;"",S715&lt;&gt;""),0,"REVIEW"),IF(OR(P715&lt;0,P715&gt;0.3),0,P715))</f>
        <v>0.25</v>
      </c>
      <c r="R715" s="0" t="n">
        <v>217.48</v>
      </c>
      <c r="S715" s="0" t="n">
        <v>132.13</v>
      </c>
      <c r="T715" s="6" t="n">
        <f aca="false">N715*O715*(1-Q715)</f>
        <v>217.4775</v>
      </c>
      <c r="U715" s="6" t="n">
        <f aca="false">T715-S715</f>
        <v>85.3475</v>
      </c>
      <c r="V715" s="7" t="n">
        <f aca="false">IF(T715=0,0,U715/T715)</f>
        <v>0.392442896391581</v>
      </c>
      <c r="W715" s="4" t="n">
        <f aca="false">C715-B715</f>
        <v>4</v>
      </c>
      <c r="X715" s="0" t="str">
        <f aca="false">TEXT(B715,"mmmm")</f>
        <v>June</v>
      </c>
      <c r="Y715" s="4" t="n">
        <f aca="false">YEAR(B715)</f>
        <v>2025</v>
      </c>
      <c r="Z715" s="0" t="str">
        <f aca="false">PROPER(TRIM(AU715))</f>
        <v>Paid</v>
      </c>
      <c r="AA715" s="0" t="str">
        <f aca="false">PROPER(TRIM(AV715))</f>
        <v>Completed</v>
      </c>
      <c r="AB715" s="0" t="str">
        <f aca="false">IF(TRIM(AN715)="","Yes","No")</f>
        <v>No</v>
      </c>
      <c r="AC715" s="0" t="str">
        <f aca="false">IF(TRIM(AS715)="","Yes","No")</f>
        <v>No</v>
      </c>
      <c r="AD715" s="0" t="str">
        <f aca="false">IF(AT715="","Yes","No")</f>
        <v>No</v>
      </c>
      <c r="AE715" s="0" t="str">
        <f aca="false">IF(W715&lt;0,"Yes","No")</f>
        <v>No</v>
      </c>
      <c r="AF715" s="0" t="str">
        <f aca="false">IF(P715="","No",IF(OR(P715&lt;0,P715&gt;0.3),"Yes","No"))</f>
        <v>No</v>
      </c>
      <c r="AG715" s="4" t="s">
        <v>50</v>
      </c>
      <c r="AH715" s="0" t="str">
        <f aca="false">IF(AND(AA715="Completed",Z715="Paid"),"Yes","No")</f>
        <v>Yes</v>
      </c>
      <c r="AI715" s="0" t="str">
        <f aca="false">IF(OR(AE715="Yes",AF715="Yes",AG715="Yes"),"Invalid",IF(OR(AB715="Yes",AC715="Yes",AD715="Yes"),"Warning","Clean"))</f>
        <v>Clean</v>
      </c>
      <c r="AJ715" s="4" t="s">
        <v>2682</v>
      </c>
      <c r="AK715" s="4" t="s">
        <v>2566</v>
      </c>
      <c r="AL715" s="4" t="s">
        <v>67</v>
      </c>
      <c r="AM715" s="4" t="s">
        <v>54</v>
      </c>
      <c r="AN715" s="4" t="s">
        <v>97</v>
      </c>
      <c r="AO715" s="4" t="s">
        <v>56</v>
      </c>
      <c r="AP715" s="4" t="s">
        <v>152</v>
      </c>
      <c r="AQ715" s="4" t="s">
        <v>109</v>
      </c>
      <c r="AR715" s="4" t="s">
        <v>360</v>
      </c>
      <c r="AS715" s="4" t="s">
        <v>60</v>
      </c>
      <c r="AT715" s="0" t="n">
        <v>0.25</v>
      </c>
      <c r="AU715" s="4" t="s">
        <v>61</v>
      </c>
      <c r="AV715" s="4" t="s">
        <v>62</v>
      </c>
    </row>
    <row r="716" customFormat="false" ht="15" hidden="false" customHeight="false" outlineLevel="0" collapsed="false">
      <c r="A716" s="0" t="s">
        <v>2683</v>
      </c>
      <c r="B716" s="3" t="n">
        <f aca="false">IF(AJ716="","",IF(ISNUMBER(SEARCH("/",AJ716)),DATE(VALUE(RIGHT(AJ716,4)),VALUE(LEFT(AJ716,2)),VALUE(MID(AJ716,4,2))),IF(ISNUMBER(SEARCH("-",AJ716)),IF(LEN(LEFT(AJ716,FIND("-",AJ716)-1))=4,DATE(VALUE(LEFT(AJ716,4)),VALUE(MID(AJ716,6,2)),VALUE(RIGHT(AJ716,2))),DATE(VALUE(RIGHT(AJ716,4)),VALUE(MID(AJ716,4,2)),VALUE(LEFT(AJ716,2)))),DATE(VALUE(RIGHT(AJ716,4)),MATCH(MID(AJ716,4,3),{"Jan","Feb","Mar","Apr","May","Jun","Jul","Aug","Sep","Oct","Nov","Dec"},0),VALUE(LEFT(AJ716,2))))))</f>
        <v>45738</v>
      </c>
      <c r="C716" s="3" t="n">
        <f aca="false">IF(AK716="","",IF(ISNUMBER(SEARCH("/",AK716)),DATE(VALUE(RIGHT(AK716,4)),VALUE(LEFT(AK716,2)),VALUE(MID(AK716,4,2))),IF(ISNUMBER(SEARCH("-",AK716)),IF(LEN(LEFT(AK716,FIND("-",AK716)-1))=4,DATE(VALUE(LEFT(AK716,4)),VALUE(MID(AK716,6,2)),VALUE(RIGHT(AK716,2))),DATE(VALUE(RIGHT(AK716,4)),VALUE(MID(AK716,4,2)),VALUE(LEFT(AK716,2)))),DATE(VALUE(RIGHT(AK716,4)),MATCH(MID(AK716,4,3),{"Jan","Feb","Mar","Apr","May","Jun","Jul","Aug","Sep","Oct","Nov","Dec"},0),VALUE(LEFT(AK716,2))))))</f>
        <v>45739</v>
      </c>
      <c r="D716" s="4" t="s">
        <v>2684</v>
      </c>
      <c r="E716" s="0" t="str">
        <f aca="false">PROPER(TRIM(AL716))</f>
        <v>Karan Malhotra</v>
      </c>
      <c r="F716" s="0" t="str">
        <f aca="false">PROPER(TRIM(AM716))</f>
        <v>Home Office</v>
      </c>
      <c r="G716" s="0" t="str">
        <f aca="false">IF(TRIM(AN716)="","Unknown",PROPER(TRIM(AN716)))</f>
        <v>North</v>
      </c>
      <c r="H716" s="0" t="str">
        <f aca="false">PROPER(TRIM(AO716))</f>
        <v>Delhi</v>
      </c>
      <c r="I716" s="0" t="str">
        <f aca="false">PROPER(TRIM(AP716))</f>
        <v>New Delhi</v>
      </c>
      <c r="J716" s="0" t="str">
        <f aca="false">PROPER(TRIM(AQ716))</f>
        <v>Technology</v>
      </c>
      <c r="K716" s="0" t="str">
        <f aca="false">PROPER(TRIM(AR716))</f>
        <v>Copiers</v>
      </c>
      <c r="M716" s="0" t="str">
        <f aca="false">IF(TRIM(AS716)="","Unknown",PROPER(TRIM(AS716)))</f>
        <v>Standard Class</v>
      </c>
      <c r="N716" s="0" t="n">
        <v>9</v>
      </c>
      <c r="O716" s="0" t="n">
        <v>2075.02</v>
      </c>
      <c r="P716" s="5" t="n">
        <f aca="false">IF(AT716="","",IF(ISNUMBER(AT716),AT716,VALUE(SUBSTITUTE(AT716,"%",""))/100))</f>
        <v>0</v>
      </c>
      <c r="Q716" s="5" t="n">
        <f aca="false">IF(P716="",IF(AND(N716&lt;&gt;"",O716&lt;&gt;"",R716&lt;&gt;"",S716&lt;&gt;""),0,"REVIEW"),IF(OR(P716&lt;0,P716&gt;0.3),0,P716))</f>
        <v>0</v>
      </c>
      <c r="R716" s="0" t="n">
        <v>18675.18</v>
      </c>
      <c r="S716" s="0" t="n">
        <v>13974.7</v>
      </c>
      <c r="T716" s="6" t="n">
        <f aca="false">N716*O716*(1-Q716)</f>
        <v>18675.18</v>
      </c>
      <c r="U716" s="6" t="n">
        <f aca="false">T716-S716</f>
        <v>4700.48</v>
      </c>
      <c r="V716" s="7" t="n">
        <f aca="false">IF(T716=0,0,U716/T716)</f>
        <v>0.251696636926659</v>
      </c>
      <c r="W716" s="4" t="n">
        <f aca="false">C716-B716</f>
        <v>1</v>
      </c>
      <c r="X716" s="0" t="str">
        <f aca="false">TEXT(B716,"mmmm")</f>
        <v>March</v>
      </c>
      <c r="Y716" s="4" t="n">
        <f aca="false">YEAR(B716)</f>
        <v>2025</v>
      </c>
      <c r="Z716" s="0" t="str">
        <f aca="false">PROPER(TRIM(AU716))</f>
        <v>Paid</v>
      </c>
      <c r="AA716" s="0" t="str">
        <f aca="false">PROPER(TRIM(AV716))</f>
        <v>Completed</v>
      </c>
      <c r="AB716" s="0" t="str">
        <f aca="false">IF(TRIM(AN716)="","Yes","No")</f>
        <v>No</v>
      </c>
      <c r="AC716" s="0" t="str">
        <f aca="false">IF(TRIM(AS716)="","Yes","No")</f>
        <v>No</v>
      </c>
      <c r="AD716" s="0" t="str">
        <f aca="false">IF(AT716="","Yes","No")</f>
        <v>No</v>
      </c>
      <c r="AE716" s="0" t="str">
        <f aca="false">IF(W716&lt;0,"Yes","No")</f>
        <v>No</v>
      </c>
      <c r="AF716" s="0" t="str">
        <f aca="false">IF(P716="","No",IF(OR(P716&lt;0,P716&gt;0.3),"Yes","No"))</f>
        <v>No</v>
      </c>
      <c r="AG716" s="4" t="s">
        <v>50</v>
      </c>
      <c r="AH716" s="0" t="str">
        <f aca="false">IF(AND(AA716="Completed",Z716="Paid"),"Yes","No")</f>
        <v>Yes</v>
      </c>
      <c r="AI716" s="0" t="str">
        <f aca="false">IF(OR(AE716="Yes",AF716="Yes",AG716="Yes"),"Invalid",IF(OR(AB716="Yes",AC716="Yes",AD716="Yes"),"Warning","Clean"))</f>
        <v>Clean</v>
      </c>
      <c r="AJ716" s="4" t="s">
        <v>1737</v>
      </c>
      <c r="AK716" s="4" t="s">
        <v>1829</v>
      </c>
      <c r="AL716" s="4" t="s">
        <v>53</v>
      </c>
      <c r="AM716" s="4" t="s">
        <v>134</v>
      </c>
      <c r="AN716" s="4" t="s">
        <v>168</v>
      </c>
      <c r="AO716" s="4" t="s">
        <v>461</v>
      </c>
      <c r="AP716" s="4" t="s">
        <v>462</v>
      </c>
      <c r="AQ716" s="4" t="s">
        <v>109</v>
      </c>
      <c r="AR716" s="4" t="s">
        <v>116</v>
      </c>
      <c r="AS716" s="4" t="s">
        <v>91</v>
      </c>
      <c r="AT716" s="0" t="n">
        <v>0</v>
      </c>
      <c r="AU716" s="4" t="s">
        <v>61</v>
      </c>
      <c r="AV716" s="4" t="s">
        <v>62</v>
      </c>
    </row>
    <row r="717" customFormat="false" ht="15" hidden="false" customHeight="false" outlineLevel="0" collapsed="false">
      <c r="A717" s="0" t="s">
        <v>2685</v>
      </c>
      <c r="B717" s="3" t="n">
        <f aca="false">IF(AJ717="","",IF(ISNUMBER(SEARCH("/",AJ717)),DATE(VALUE(RIGHT(AJ717,4)),VALUE(LEFT(AJ717,2)),VALUE(MID(AJ717,4,2))),IF(ISNUMBER(SEARCH("-",AJ717)),IF(LEN(LEFT(AJ717,FIND("-",AJ717)-1))=4,DATE(VALUE(LEFT(AJ717,4)),VALUE(MID(AJ717,6,2)),VALUE(RIGHT(AJ717,2))),DATE(VALUE(RIGHT(AJ717,4)),VALUE(MID(AJ717,4,2)),VALUE(LEFT(AJ717,2)))),DATE(VALUE(RIGHT(AJ717,4)),MATCH(MID(AJ717,4,3),{"Jan","Feb","Mar","Apr","May","Jun","Jul","Aug","Sep","Oct","Nov","Dec"},0),VALUE(LEFT(AJ717,2))))))</f>
        <v>45891</v>
      </c>
      <c r="C717" s="3" t="n">
        <f aca="false">IF(AK717="","",IF(ISNUMBER(SEARCH("/",AK717)),DATE(VALUE(RIGHT(AK717,4)),VALUE(LEFT(AK717,2)),VALUE(MID(AK717,4,2))),IF(ISNUMBER(SEARCH("-",AK717)),IF(LEN(LEFT(AK717,FIND("-",AK717)-1))=4,DATE(VALUE(LEFT(AK717,4)),VALUE(MID(AK717,6,2)),VALUE(RIGHT(AK717,2))),DATE(VALUE(RIGHT(AK717,4)),VALUE(MID(AK717,4,2)),VALUE(LEFT(AK717,2)))),DATE(VALUE(RIGHT(AK717,4)),MATCH(MID(AK717,4,3),{"Jan","Feb","Mar","Apr","May","Jun","Jul","Aug","Sep","Oct","Nov","Dec"},0),VALUE(LEFT(AK717,2))))))</f>
        <v>45896</v>
      </c>
      <c r="D717" s="4" t="s">
        <v>2686</v>
      </c>
      <c r="E717" s="0" t="str">
        <f aca="false">PROPER(TRIM(AL717))</f>
        <v>Priya Menon</v>
      </c>
      <c r="F717" s="0" t="str">
        <f aca="false">PROPER(TRIM(AM717))</f>
        <v>Consumer</v>
      </c>
      <c r="G717" s="0" t="str">
        <f aca="false">IF(TRIM(AN717)="","Unknown",PROPER(TRIM(AN717)))</f>
        <v>North</v>
      </c>
      <c r="H717" s="0" t="str">
        <f aca="false">PROPER(TRIM(AO717))</f>
        <v>Haryana</v>
      </c>
      <c r="I717" s="0" t="str">
        <f aca="false">PROPER(TRIM(AP717))</f>
        <v>Gurugram</v>
      </c>
      <c r="J717" s="0" t="str">
        <f aca="false">PROPER(TRIM(AQ717))</f>
        <v>Furniture</v>
      </c>
      <c r="K717" s="0" t="str">
        <f aca="false">PROPER(TRIM(AR717))</f>
        <v>Chairs</v>
      </c>
      <c r="M717" s="0" t="str">
        <f aca="false">IF(TRIM(AS717)="","Unknown",PROPER(TRIM(AS717)))</f>
        <v>Second Class</v>
      </c>
      <c r="N717" s="0" t="n">
        <v>7</v>
      </c>
      <c r="O717" s="0" t="n">
        <v>2843.09</v>
      </c>
      <c r="P717" s="5" t="n">
        <f aca="false">IF(AT717="","",IF(ISNUMBER(AT717),AT717,VALUE(SUBSTITUTE(AT717,"%",""))/100))</f>
        <v>0</v>
      </c>
      <c r="Q717" s="5" t="n">
        <f aca="false">IF(P717="",IF(AND(N717&lt;&gt;"",O717&lt;&gt;"",R717&lt;&gt;"",S717&lt;&gt;""),0,"REVIEW"),IF(OR(P717&lt;0,P717&gt;0.3),0,P717))</f>
        <v>0</v>
      </c>
      <c r="R717" s="0" t="n">
        <v>19901.63</v>
      </c>
      <c r="S717" s="0" t="n">
        <v>15492.03</v>
      </c>
      <c r="T717" s="6" t="n">
        <f aca="false">N717*O717*(1-Q717)</f>
        <v>19901.63</v>
      </c>
      <c r="U717" s="6" t="n">
        <f aca="false">T717-S717</f>
        <v>4409.6</v>
      </c>
      <c r="V717" s="7" t="n">
        <f aca="false">IF(T717=0,0,U717/T717)</f>
        <v>0.221569791017118</v>
      </c>
      <c r="W717" s="4" t="n">
        <f aca="false">C717-B717</f>
        <v>5</v>
      </c>
      <c r="X717" s="0" t="str">
        <f aca="false">TEXT(B717,"mmmm")</f>
        <v>August</v>
      </c>
      <c r="Y717" s="4" t="n">
        <f aca="false">YEAR(B717)</f>
        <v>2025</v>
      </c>
      <c r="Z717" s="0" t="str">
        <f aca="false">PROPER(TRIM(AU717))</f>
        <v>Refunded</v>
      </c>
      <c r="AA717" s="0" t="str">
        <f aca="false">PROPER(TRIM(AV717))</f>
        <v>Cancelled</v>
      </c>
      <c r="AB717" s="0" t="str">
        <f aca="false">IF(TRIM(AN717)="","Yes","No")</f>
        <v>No</v>
      </c>
      <c r="AC717" s="0" t="str">
        <f aca="false">IF(TRIM(AS717)="","Yes","No")</f>
        <v>No</v>
      </c>
      <c r="AD717" s="0" t="str">
        <f aca="false">IF(AT717="","Yes","No")</f>
        <v>No</v>
      </c>
      <c r="AE717" s="0" t="str">
        <f aca="false">IF(W717&lt;0,"Yes","No")</f>
        <v>No</v>
      </c>
      <c r="AF717" s="0" t="str">
        <f aca="false">IF(P717="","No",IF(OR(P717&lt;0,P717&gt;0.3),"Yes","No"))</f>
        <v>No</v>
      </c>
      <c r="AG717" s="4" t="s">
        <v>50</v>
      </c>
      <c r="AH717" s="0" t="str">
        <f aca="false">IF(AND(AA717="Completed",Z717="Paid"),"Yes","No")</f>
        <v>No</v>
      </c>
      <c r="AI717" s="0" t="str">
        <f aca="false">IF(OR(AE717="Yes",AF717="Yes",AG717="Yes"),"Invalid",IF(OR(AB717="Yes",AC717="Yes",AD717="Yes"),"Warning","Clean"))</f>
        <v>Clean</v>
      </c>
      <c r="AJ717" s="4" t="s">
        <v>418</v>
      </c>
      <c r="AK717" s="4" t="s">
        <v>419</v>
      </c>
      <c r="AL717" s="4" t="s">
        <v>158</v>
      </c>
      <c r="AM717" s="4" t="s">
        <v>54</v>
      </c>
      <c r="AN717" s="4" t="s">
        <v>168</v>
      </c>
      <c r="AO717" s="4" t="s">
        <v>310</v>
      </c>
      <c r="AP717" s="4" t="s">
        <v>311</v>
      </c>
      <c r="AQ717" s="4" t="s">
        <v>72</v>
      </c>
      <c r="AR717" s="4" t="s">
        <v>100</v>
      </c>
      <c r="AS717" s="4" t="s">
        <v>60</v>
      </c>
      <c r="AT717" s="0" t="n">
        <v>0</v>
      </c>
      <c r="AU717" s="4" t="s">
        <v>141</v>
      </c>
      <c r="AV717" s="4" t="s">
        <v>101</v>
      </c>
    </row>
    <row r="718" customFormat="false" ht="15" hidden="false" customHeight="false" outlineLevel="0" collapsed="false">
      <c r="A718" s="0" t="s">
        <v>2687</v>
      </c>
      <c r="B718" s="3" t="n">
        <f aca="false">IF(AJ718="","",IF(ISNUMBER(SEARCH("/",AJ718)),DATE(VALUE(RIGHT(AJ718,4)),VALUE(LEFT(AJ718,2)),VALUE(MID(AJ718,4,2))),IF(ISNUMBER(SEARCH("-",AJ718)),IF(LEN(LEFT(AJ718,FIND("-",AJ718)-1))=4,DATE(VALUE(LEFT(AJ718,4)),VALUE(MID(AJ718,6,2)),VALUE(RIGHT(AJ718,2))),DATE(VALUE(RIGHT(AJ718,4)),VALUE(MID(AJ718,4,2)),VALUE(LEFT(AJ718,2)))),DATE(VALUE(RIGHT(AJ718,4)),MATCH(MID(AJ718,4,3),{"Jan","Feb","Mar","Apr","May","Jun","Jul","Aug","Sep","Oct","Nov","Dec"},0),VALUE(LEFT(AJ718,2))))))</f>
        <v>45895</v>
      </c>
      <c r="C718" s="3" t="n">
        <f aca="false">IF(AK718="","",IF(ISNUMBER(SEARCH("/",AK718)),DATE(VALUE(RIGHT(AK718,4)),VALUE(LEFT(AK718,2)),VALUE(MID(AK718,4,2))),IF(ISNUMBER(SEARCH("-",AK718)),IF(LEN(LEFT(AK718,FIND("-",AK718)-1))=4,DATE(VALUE(LEFT(AK718,4)),VALUE(MID(AK718,6,2)),VALUE(RIGHT(AK718,2))),DATE(VALUE(RIGHT(AK718,4)),VALUE(MID(AK718,4,2)),VALUE(LEFT(AK718,2)))),DATE(VALUE(RIGHT(AK718,4)),MATCH(MID(AK718,4,3),{"Jan","Feb","Mar","Apr","May","Jun","Jul","Aug","Sep","Oct","Nov","Dec"},0),VALUE(LEFT(AK718,2))))))</f>
        <v>45900</v>
      </c>
      <c r="D718" s="4" t="s">
        <v>2688</v>
      </c>
      <c r="E718" s="0" t="str">
        <f aca="false">PROPER(TRIM(AL718))</f>
        <v>Diya Patel</v>
      </c>
      <c r="F718" s="0" t="str">
        <f aca="false">PROPER(TRIM(AM718))</f>
        <v>Small Business</v>
      </c>
      <c r="G718" s="0" t="str">
        <f aca="false">IF(TRIM(AN718)="","Unknown",PROPER(TRIM(AN718)))</f>
        <v>North</v>
      </c>
      <c r="H718" s="0" t="str">
        <f aca="false">PROPER(TRIM(AO718))</f>
        <v>Haryana</v>
      </c>
      <c r="I718" s="0" t="str">
        <f aca="false">PROPER(TRIM(AP718))</f>
        <v>Gurugram</v>
      </c>
      <c r="J718" s="0" t="str">
        <f aca="false">PROPER(TRIM(AQ718))</f>
        <v>Technology</v>
      </c>
      <c r="K718" s="0" t="str">
        <f aca="false">PROPER(TRIM(AR718))</f>
        <v>Phones</v>
      </c>
      <c r="M718" s="0" t="str">
        <f aca="false">IF(TRIM(AS718)="","Unknown",PROPER(TRIM(AS718)))</f>
        <v>First Class</v>
      </c>
      <c r="N718" s="0" t="n">
        <v>1</v>
      </c>
      <c r="O718" s="0" t="n">
        <v>3388.02</v>
      </c>
      <c r="P718" s="5" t="n">
        <f aca="false">IF(AT718="","",IF(ISNUMBER(AT718),AT718,VALUE(SUBSTITUTE(AT718,"%",""))/100))</f>
        <v>0.15</v>
      </c>
      <c r="Q718" s="5" t="n">
        <f aca="false">IF(P718="",IF(AND(N718&lt;&gt;"",O718&lt;&gt;"",R718&lt;&gt;"",S718&lt;&gt;""),0,"REVIEW"),IF(OR(P718&lt;0,P718&gt;0.3),0,P718))</f>
        <v>0.15</v>
      </c>
      <c r="R718" s="0" t="n">
        <v>2879.82</v>
      </c>
      <c r="S718" s="0" t="n">
        <v>1824.88</v>
      </c>
      <c r="T718" s="6" t="n">
        <f aca="false">N718*O718*(1-Q718)</f>
        <v>2879.817</v>
      </c>
      <c r="U718" s="6" t="n">
        <f aca="false">T718-S718</f>
        <v>1054.937</v>
      </c>
      <c r="V718" s="7" t="n">
        <f aca="false">IF(T718=0,0,U718/T718)</f>
        <v>0.366320846081539</v>
      </c>
      <c r="W718" s="4" t="n">
        <f aca="false">C718-B718</f>
        <v>5</v>
      </c>
      <c r="X718" s="0" t="str">
        <f aca="false">TEXT(B718,"mmmm")</f>
        <v>August</v>
      </c>
      <c r="Y718" s="4" t="n">
        <f aca="false">YEAR(B718)</f>
        <v>2025</v>
      </c>
      <c r="Z718" s="0" t="str">
        <f aca="false">PROPER(TRIM(AU718))</f>
        <v>Paid</v>
      </c>
      <c r="AA718" s="0" t="str">
        <f aca="false">PROPER(TRIM(AV718))</f>
        <v>Completed</v>
      </c>
      <c r="AB718" s="0" t="str">
        <f aca="false">IF(TRIM(AN718)="","Yes","No")</f>
        <v>No</v>
      </c>
      <c r="AC718" s="0" t="str">
        <f aca="false">IF(TRIM(AS718)="","Yes","No")</f>
        <v>No</v>
      </c>
      <c r="AD718" s="0" t="str">
        <f aca="false">IF(AT718="","Yes","No")</f>
        <v>No</v>
      </c>
      <c r="AE718" s="0" t="str">
        <f aca="false">IF(W718&lt;0,"Yes","No")</f>
        <v>No</v>
      </c>
      <c r="AF718" s="0" t="str">
        <f aca="false">IF(P718="","No",IF(OR(P718&lt;0,P718&gt;0.3),"Yes","No"))</f>
        <v>No</v>
      </c>
      <c r="AG718" s="4" t="s">
        <v>50</v>
      </c>
      <c r="AH718" s="0" t="str">
        <f aca="false">IF(AND(AA718="Completed",Z718="Paid"),"Yes","No")</f>
        <v>Yes</v>
      </c>
      <c r="AI718" s="0" t="str">
        <f aca="false">IF(OR(AE718="Yes",AF718="Yes",AG718="Yes"),"Invalid",IF(OR(AB718="Yes",AC718="Yes",AD718="Yes"),"Warning","Clean"))</f>
        <v>Clean</v>
      </c>
      <c r="AJ718" s="4" t="s">
        <v>2689</v>
      </c>
      <c r="AK718" s="4" t="s">
        <v>210</v>
      </c>
      <c r="AL718" s="4" t="s">
        <v>216</v>
      </c>
      <c r="AM718" s="4" t="s">
        <v>68</v>
      </c>
      <c r="AN718" s="4" t="s">
        <v>168</v>
      </c>
      <c r="AO718" s="4" t="s">
        <v>310</v>
      </c>
      <c r="AP718" s="4" t="s">
        <v>311</v>
      </c>
      <c r="AQ718" s="4" t="s">
        <v>109</v>
      </c>
      <c r="AR718" s="4" t="s">
        <v>227</v>
      </c>
      <c r="AS718" s="4" t="s">
        <v>81</v>
      </c>
      <c r="AT718" s="0" t="n">
        <v>0.15</v>
      </c>
      <c r="AU718" s="4" t="s">
        <v>61</v>
      </c>
      <c r="AV718" s="4" t="s">
        <v>62</v>
      </c>
    </row>
    <row r="719" customFormat="false" ht="15" hidden="false" customHeight="false" outlineLevel="0" collapsed="false">
      <c r="A719" s="0" t="s">
        <v>2690</v>
      </c>
      <c r="B719" s="3" t="n">
        <f aca="false">IF(AJ719="","",IF(ISNUMBER(SEARCH("/",AJ719)),DATE(VALUE(RIGHT(AJ719,4)),VALUE(LEFT(AJ719,2)),VALUE(MID(AJ719,4,2))),IF(ISNUMBER(SEARCH("-",AJ719)),IF(LEN(LEFT(AJ719,FIND("-",AJ719)-1))=4,DATE(VALUE(LEFT(AJ719,4)),VALUE(MID(AJ719,6,2)),VALUE(RIGHT(AJ719,2))),DATE(VALUE(RIGHT(AJ719,4)),VALUE(MID(AJ719,4,2)),VALUE(LEFT(AJ719,2)))),DATE(VALUE(RIGHT(AJ719,4)),MATCH(MID(AJ719,4,3),{"Jan","Feb","Mar","Apr","May","Jun","Jul","Aug","Sep","Oct","Nov","Dec"},0),VALUE(LEFT(AJ719,2))))))</f>
        <v>45942</v>
      </c>
      <c r="C719" s="3" t="n">
        <f aca="false">IF(AK719="","",IF(ISNUMBER(SEARCH("/",AK719)),DATE(VALUE(RIGHT(AK719,4)),VALUE(LEFT(AK719,2)),VALUE(MID(AK719,4,2))),IF(ISNUMBER(SEARCH("-",AK719)),IF(LEN(LEFT(AK719,FIND("-",AK719)-1))=4,DATE(VALUE(LEFT(AK719,4)),VALUE(MID(AK719,6,2)),VALUE(RIGHT(AK719,2))),DATE(VALUE(RIGHT(AK719,4)),VALUE(MID(AK719,4,2)),VALUE(LEFT(AK719,2)))),DATE(VALUE(RIGHT(AK719,4)),MATCH(MID(AK719,4,3),{"Jan","Feb","Mar","Apr","May","Jun","Jul","Aug","Sep","Oct","Nov","Dec"},0),VALUE(LEFT(AK719,2))))))</f>
        <v>45945</v>
      </c>
      <c r="D719" s="4" t="s">
        <v>2691</v>
      </c>
      <c r="E719" s="0" t="str">
        <f aca="false">PROPER(TRIM(AL719))</f>
        <v>Kabir Singh</v>
      </c>
      <c r="F719" s="0" t="str">
        <f aca="false">PROPER(TRIM(AM719))</f>
        <v>Small Business</v>
      </c>
      <c r="G719" s="0" t="str">
        <f aca="false">IF(TRIM(AN719)="","Unknown",PROPER(TRIM(AN719)))</f>
        <v>North</v>
      </c>
      <c r="H719" s="0" t="str">
        <f aca="false">PROPER(TRIM(AO719))</f>
        <v>Haryana</v>
      </c>
      <c r="I719" s="0" t="str">
        <f aca="false">PROPER(TRIM(AP719))</f>
        <v>Gurugram</v>
      </c>
      <c r="J719" s="0" t="str">
        <f aca="false">PROPER(TRIM(AQ719))</f>
        <v>Technology</v>
      </c>
      <c r="K719" s="0" t="str">
        <f aca="false">PROPER(TRIM(AR719))</f>
        <v>Machines</v>
      </c>
      <c r="M719" s="0" t="str">
        <f aca="false">IF(TRIM(AS719)="","Unknown",PROPER(TRIM(AS719)))</f>
        <v>Standard Class</v>
      </c>
      <c r="N719" s="0" t="n">
        <v>9</v>
      </c>
      <c r="O719" s="0" t="n">
        <v>2598.92</v>
      </c>
      <c r="P719" s="5" t="n">
        <f aca="false">IF(AT719="","",IF(ISNUMBER(AT719),AT719,VALUE(SUBSTITUTE(AT719,"%",""))/100))</f>
        <v>0.2</v>
      </c>
      <c r="Q719" s="5" t="n">
        <f aca="false">IF(P719="",IF(AND(N719&lt;&gt;"",O719&lt;&gt;"",R719&lt;&gt;"",S719&lt;&gt;""),0,"REVIEW"),IF(OR(P719&lt;0,P719&gt;0.3),0,P719))</f>
        <v>0.2</v>
      </c>
      <c r="R719" s="0" t="n">
        <v>18712.22</v>
      </c>
      <c r="S719" s="0" t="n">
        <v>11852.22</v>
      </c>
      <c r="T719" s="6" t="n">
        <f aca="false">N719*O719*(1-Q719)</f>
        <v>18712.224</v>
      </c>
      <c r="U719" s="6" t="n">
        <f aca="false">T719-S719</f>
        <v>6860.004</v>
      </c>
      <c r="V719" s="7" t="n">
        <f aca="false">IF(T719=0,0,U719/T719)</f>
        <v>0.36660548740759</v>
      </c>
      <c r="W719" s="4" t="n">
        <f aca="false">C719-B719</f>
        <v>3</v>
      </c>
      <c r="X719" s="0" t="str">
        <f aca="false">TEXT(B719,"mmmm")</f>
        <v>October</v>
      </c>
      <c r="Y719" s="4" t="n">
        <f aca="false">YEAR(B719)</f>
        <v>2025</v>
      </c>
      <c r="Z719" s="0" t="str">
        <f aca="false">PROPER(TRIM(AU719))</f>
        <v>Pending</v>
      </c>
      <c r="AA719" s="0" t="str">
        <f aca="false">PROPER(TRIM(AV719))</f>
        <v>Cancelled</v>
      </c>
      <c r="AB719" s="0" t="str">
        <f aca="false">IF(TRIM(AN719)="","Yes","No")</f>
        <v>No</v>
      </c>
      <c r="AC719" s="0" t="str">
        <f aca="false">IF(TRIM(AS719)="","Yes","No")</f>
        <v>No</v>
      </c>
      <c r="AD719" s="0" t="str">
        <f aca="false">IF(AT719="","Yes","No")</f>
        <v>No</v>
      </c>
      <c r="AE719" s="0" t="str">
        <f aca="false">IF(W719&lt;0,"Yes","No")</f>
        <v>No</v>
      </c>
      <c r="AF719" s="0" t="str">
        <f aca="false">IF(P719="","No",IF(OR(P719&lt;0,P719&gt;0.3),"Yes","No"))</f>
        <v>No</v>
      </c>
      <c r="AG719" s="4" t="s">
        <v>50</v>
      </c>
      <c r="AH719" s="0" t="str">
        <f aca="false">IF(AND(AA719="Completed",Z719="Paid"),"Yes","No")</f>
        <v>No</v>
      </c>
      <c r="AI719" s="0" t="str">
        <f aca="false">IF(OR(AE719="Yes",AF719="Yes",AG719="Yes"),"Invalid",IF(OR(AB719="Yes",AC719="Yes",AD719="Yes"),"Warning","Clean"))</f>
        <v>Clean</v>
      </c>
      <c r="AJ719" s="4" t="s">
        <v>2692</v>
      </c>
      <c r="AK719" s="4" t="s">
        <v>299</v>
      </c>
      <c r="AL719" s="4" t="s">
        <v>347</v>
      </c>
      <c r="AM719" s="4" t="s">
        <v>68</v>
      </c>
      <c r="AN719" s="4" t="s">
        <v>168</v>
      </c>
      <c r="AO719" s="4" t="s">
        <v>310</v>
      </c>
      <c r="AP719" s="4" t="s">
        <v>311</v>
      </c>
      <c r="AQ719" s="4" t="s">
        <v>109</v>
      </c>
      <c r="AR719" s="4" t="s">
        <v>360</v>
      </c>
      <c r="AS719" s="4" t="s">
        <v>91</v>
      </c>
      <c r="AT719" s="0" t="n">
        <v>0.2</v>
      </c>
      <c r="AU719" s="4" t="s">
        <v>153</v>
      </c>
      <c r="AV719" s="4" t="s">
        <v>101</v>
      </c>
    </row>
    <row r="720" customFormat="false" ht="15" hidden="false" customHeight="false" outlineLevel="0" collapsed="false">
      <c r="A720" s="0" t="s">
        <v>2693</v>
      </c>
      <c r="B720" s="3" t="n">
        <f aca="false">IF(AJ720="","",IF(ISNUMBER(SEARCH("/",AJ720)),DATE(VALUE(RIGHT(AJ720,4)),VALUE(LEFT(AJ720,2)),VALUE(MID(AJ720,4,2))),IF(ISNUMBER(SEARCH("-",AJ720)),IF(LEN(LEFT(AJ720,FIND("-",AJ720)-1))=4,DATE(VALUE(LEFT(AJ720,4)),VALUE(MID(AJ720,6,2)),VALUE(RIGHT(AJ720,2))),DATE(VALUE(RIGHT(AJ720,4)),VALUE(MID(AJ720,4,2)),VALUE(LEFT(AJ720,2)))),DATE(VALUE(RIGHT(AJ720,4)),MATCH(MID(AJ720,4,3),{"Jan","Feb","Mar","Apr","May","Jun","Jul","Aug","Sep","Oct","Nov","Dec"},0),VALUE(LEFT(AJ720,2))))))</f>
        <v>45541</v>
      </c>
      <c r="C720" s="3" t="n">
        <f aca="false">IF(AK720="","",IF(ISNUMBER(SEARCH("/",AK720)),DATE(VALUE(RIGHT(AK720,4)),VALUE(LEFT(AK720,2)),VALUE(MID(AK720,4,2))),IF(ISNUMBER(SEARCH("-",AK720)),IF(LEN(LEFT(AK720,FIND("-",AK720)-1))=4,DATE(VALUE(LEFT(AK720,4)),VALUE(MID(AK720,6,2)),VALUE(RIGHT(AK720,2))),DATE(VALUE(RIGHT(AK720,4)),VALUE(MID(AK720,4,2)),VALUE(LEFT(AK720,2)))),DATE(VALUE(RIGHT(AK720,4)),MATCH(MID(AK720,4,3),{"Jan","Feb","Mar","Apr","May","Jun","Jul","Aug","Sep","Oct","Nov","Dec"},0),VALUE(LEFT(AK720,2))))))</f>
        <v>45544</v>
      </c>
      <c r="D720" s="4" t="s">
        <v>2694</v>
      </c>
      <c r="E720" s="0" t="str">
        <f aca="false">PROPER(TRIM(AL720))</f>
        <v>Mira Das</v>
      </c>
      <c r="F720" s="0" t="str">
        <f aca="false">PROPER(TRIM(AM720))</f>
        <v>Consumer</v>
      </c>
      <c r="G720" s="0" t="str">
        <f aca="false">IF(TRIM(AN720)="","Unknown",PROPER(TRIM(AN720)))</f>
        <v>West</v>
      </c>
      <c r="H720" s="0" t="str">
        <f aca="false">PROPER(TRIM(AO720))</f>
        <v>Maharashtra</v>
      </c>
      <c r="I720" s="0" t="str">
        <f aca="false">PROPER(TRIM(AP720))</f>
        <v>Mumbai</v>
      </c>
      <c r="J720" s="0" t="str">
        <f aca="false">PROPER(TRIM(AQ720))</f>
        <v>Office Supplies</v>
      </c>
      <c r="K720" s="0" t="str">
        <f aca="false">PROPER(TRIM(AR720))</f>
        <v>Art</v>
      </c>
      <c r="M720" s="0" t="str">
        <f aca="false">IF(TRIM(AS720)="","Unknown",PROPER(TRIM(AS720)))</f>
        <v>Same Day</v>
      </c>
      <c r="N720" s="0" t="n">
        <v>3</v>
      </c>
      <c r="O720" s="0" t="n">
        <v>1972.27</v>
      </c>
      <c r="P720" s="5" t="n">
        <f aca="false">IF(AT720="","",IF(ISNUMBER(AT720),AT720,VALUE(SUBSTITUTE(AT720,"%",""))/100))</f>
        <v>0.2</v>
      </c>
      <c r="Q720" s="5" t="n">
        <f aca="false">IF(P720="",IF(AND(N720&lt;&gt;"",O720&lt;&gt;"",R720&lt;&gt;"",S720&lt;&gt;""),0,"REVIEW"),IF(OR(P720&lt;0,P720&gt;0.3),0,P720))</f>
        <v>0.2</v>
      </c>
      <c r="R720" s="0" t="n">
        <v>4733.45</v>
      </c>
      <c r="S720" s="0" t="n">
        <v>3672.32</v>
      </c>
      <c r="T720" s="6" t="n">
        <f aca="false">N720*O720*(1-Q720)</f>
        <v>4733.448</v>
      </c>
      <c r="U720" s="6" t="n">
        <f aca="false">T720-S720</f>
        <v>1061.128</v>
      </c>
      <c r="V720" s="7" t="n">
        <f aca="false">IF(T720=0,0,U720/T720)</f>
        <v>0.224176541075343</v>
      </c>
      <c r="W720" s="4" t="n">
        <f aca="false">C720-B720</f>
        <v>3</v>
      </c>
      <c r="X720" s="0" t="str">
        <f aca="false">TEXT(B720,"mmmm")</f>
        <v>September</v>
      </c>
      <c r="Y720" s="4" t="n">
        <f aca="false">YEAR(B720)</f>
        <v>2024</v>
      </c>
      <c r="Z720" s="0" t="str">
        <f aca="false">PROPER(TRIM(AU720))</f>
        <v>Paid</v>
      </c>
      <c r="AA720" s="0" t="str">
        <f aca="false">PROPER(TRIM(AV720))</f>
        <v>Completed</v>
      </c>
      <c r="AB720" s="0" t="str">
        <f aca="false">IF(TRIM(AN720)="","Yes","No")</f>
        <v>No</v>
      </c>
      <c r="AC720" s="0" t="str">
        <f aca="false">IF(TRIM(AS720)="","Yes","No")</f>
        <v>No</v>
      </c>
      <c r="AD720" s="0" t="str">
        <f aca="false">IF(AT720="","Yes","No")</f>
        <v>No</v>
      </c>
      <c r="AE720" s="0" t="str">
        <f aca="false">IF(W720&lt;0,"Yes","No")</f>
        <v>No</v>
      </c>
      <c r="AF720" s="0" t="str">
        <f aca="false">IF(P720="","No",IF(OR(P720&lt;0,P720&gt;0.3),"Yes","No"))</f>
        <v>No</v>
      </c>
      <c r="AG720" s="4" t="s">
        <v>50</v>
      </c>
      <c r="AH720" s="0" t="str">
        <f aca="false">IF(AND(AA720="Completed",Z720="Paid"),"Yes","No")</f>
        <v>Yes</v>
      </c>
      <c r="AI720" s="0" t="str">
        <f aca="false">IF(OR(AE720="Yes",AF720="Yes",AG720="Yes"),"Invalid",IF(OR(AB720="Yes",AC720="Yes",AD720="Yes"),"Warning","Clean"))</f>
        <v>Clean</v>
      </c>
      <c r="AJ720" s="4" t="s">
        <v>2695</v>
      </c>
      <c r="AK720" s="4" t="s">
        <v>761</v>
      </c>
      <c r="AL720" s="4" t="s">
        <v>67</v>
      </c>
      <c r="AM720" s="4" t="s">
        <v>54</v>
      </c>
      <c r="AN720" s="4" t="s">
        <v>97</v>
      </c>
      <c r="AO720" s="4" t="s">
        <v>98</v>
      </c>
      <c r="AP720" s="4" t="s">
        <v>99</v>
      </c>
      <c r="AQ720" s="4" t="s">
        <v>58</v>
      </c>
      <c r="AR720" s="4" t="s">
        <v>80</v>
      </c>
      <c r="AS720" s="4" t="s">
        <v>74</v>
      </c>
      <c r="AT720" s="0" t="n">
        <v>0.2</v>
      </c>
      <c r="AU720" s="4" t="s">
        <v>61</v>
      </c>
      <c r="AV720" s="4" t="s">
        <v>62</v>
      </c>
    </row>
    <row r="721" customFormat="false" ht="15" hidden="false" customHeight="false" outlineLevel="0" collapsed="false">
      <c r="A721" s="0" t="s">
        <v>2696</v>
      </c>
      <c r="B721" s="3" t="n">
        <f aca="false">IF(AJ721="","",IF(ISNUMBER(SEARCH("/",AJ721)),DATE(VALUE(RIGHT(AJ721,4)),VALUE(LEFT(AJ721,2)),VALUE(MID(AJ721,4,2))),IF(ISNUMBER(SEARCH("-",AJ721)),IF(LEN(LEFT(AJ721,FIND("-",AJ721)-1))=4,DATE(VALUE(LEFT(AJ721,4)),VALUE(MID(AJ721,6,2)),VALUE(RIGHT(AJ721,2))),DATE(VALUE(RIGHT(AJ721,4)),VALUE(MID(AJ721,4,2)),VALUE(LEFT(AJ721,2)))),DATE(VALUE(RIGHT(AJ721,4)),MATCH(MID(AJ721,4,3),{"Jan","Feb","Mar","Apr","May","Jun","Jul","Aug","Sep","Oct","Nov","Dec"},0),VALUE(LEFT(AJ721,2))))))</f>
        <v>45908</v>
      </c>
      <c r="C721" s="3" t="n">
        <f aca="false">IF(AK721="","",IF(ISNUMBER(SEARCH("/",AK721)),DATE(VALUE(RIGHT(AK721,4)),VALUE(LEFT(AK721,2)),VALUE(MID(AK721,4,2))),IF(ISNUMBER(SEARCH("-",AK721)),IF(LEN(LEFT(AK721,FIND("-",AK721)-1))=4,DATE(VALUE(LEFT(AK721,4)),VALUE(MID(AK721,6,2)),VALUE(RIGHT(AK721,2))),DATE(VALUE(RIGHT(AK721,4)),VALUE(MID(AK721,4,2)),VALUE(LEFT(AK721,2)))),DATE(VALUE(RIGHT(AK721,4)),MATCH(MID(AK721,4,3),{"Jan","Feb","Mar","Apr","May","Jun","Jul","Aug","Sep","Oct","Nov","Dec"},0),VALUE(LEFT(AK721,2))))))</f>
        <v>45909</v>
      </c>
      <c r="D721" s="4" t="s">
        <v>193</v>
      </c>
      <c r="E721" s="0" t="str">
        <f aca="false">PROPER(TRIM(AL721))</f>
        <v>Kabir Singh</v>
      </c>
      <c r="F721" s="0" t="str">
        <f aca="false">PROPER(TRIM(AM721))</f>
        <v>Corporate</v>
      </c>
      <c r="G721" s="0" t="str">
        <f aca="false">IF(TRIM(AN721)="","Unknown",PROPER(TRIM(AN721)))</f>
        <v>West</v>
      </c>
      <c r="H721" s="0" t="str">
        <f aca="false">PROPER(TRIM(AO721))</f>
        <v>Gujarat</v>
      </c>
      <c r="I721" s="0" t="str">
        <f aca="false">PROPER(TRIM(AP721))</f>
        <v>Ahmedabad</v>
      </c>
      <c r="J721" s="0" t="str">
        <f aca="false">PROPER(TRIM(AQ721))</f>
        <v>Office Supplies</v>
      </c>
      <c r="K721" s="0" t="str">
        <f aca="false">PROPER(TRIM(AR721))</f>
        <v>Art</v>
      </c>
      <c r="M721" s="0" t="str">
        <f aca="false">IF(TRIM(AS721)="","Unknown",PROPER(TRIM(AS721)))</f>
        <v>Same Day</v>
      </c>
      <c r="N721" s="0" t="n">
        <v>2</v>
      </c>
      <c r="O721" s="0" t="n">
        <v>2372.41</v>
      </c>
      <c r="P721" s="5" t="n">
        <f aca="false">IF(AT721="","",IF(ISNUMBER(AT721),AT721,VALUE(SUBSTITUTE(AT721,"%",""))/100))</f>
        <v>0.2</v>
      </c>
      <c r="Q721" s="5" t="n">
        <f aca="false">IF(P721="",IF(AND(N721&lt;&gt;"",O721&lt;&gt;"",R721&lt;&gt;"",S721&lt;&gt;""),0,"REVIEW"),IF(OR(P721&lt;0,P721&gt;0.3),0,P721))</f>
        <v>0.2</v>
      </c>
      <c r="R721" s="0" t="n">
        <v>3795.86</v>
      </c>
      <c r="S721" s="0" t="n">
        <v>2264.92</v>
      </c>
      <c r="T721" s="6" t="n">
        <f aca="false">N721*O721*(1-Q721)</f>
        <v>3795.856</v>
      </c>
      <c r="U721" s="6" t="n">
        <f aca="false">T721-S721</f>
        <v>1530.936</v>
      </c>
      <c r="V721" s="7" t="n">
        <f aca="false">IF(T721=0,0,U721/T721)</f>
        <v>0.403317723327755</v>
      </c>
      <c r="W721" s="4" t="n">
        <f aca="false">C721-B721</f>
        <v>1</v>
      </c>
      <c r="X721" s="0" t="str">
        <f aca="false">TEXT(B721,"mmmm")</f>
        <v>September</v>
      </c>
      <c r="Y721" s="4" t="n">
        <f aca="false">YEAR(B721)</f>
        <v>2025</v>
      </c>
      <c r="Z721" s="0" t="str">
        <f aca="false">PROPER(TRIM(AU721))</f>
        <v>Paid</v>
      </c>
      <c r="AA721" s="0" t="str">
        <f aca="false">PROPER(TRIM(AV721))</f>
        <v>Completed</v>
      </c>
      <c r="AB721" s="0" t="str">
        <f aca="false">IF(TRIM(AN721)="","Yes","No")</f>
        <v>No</v>
      </c>
      <c r="AC721" s="0" t="str">
        <f aca="false">IF(TRIM(AS721)="","Yes","No")</f>
        <v>No</v>
      </c>
      <c r="AD721" s="0" t="str">
        <f aca="false">IF(AT721="","Yes","No")</f>
        <v>No</v>
      </c>
      <c r="AE721" s="0" t="str">
        <f aca="false">IF(W721&lt;0,"Yes","No")</f>
        <v>No</v>
      </c>
      <c r="AF721" s="0" t="str">
        <f aca="false">IF(P721="","No",IF(OR(P721&lt;0,P721&gt;0.3),"Yes","No"))</f>
        <v>No</v>
      </c>
      <c r="AG721" s="4" t="s">
        <v>50</v>
      </c>
      <c r="AH721" s="0" t="str">
        <f aca="false">IF(AND(AA721="Completed",Z721="Paid"),"Yes","No")</f>
        <v>Yes</v>
      </c>
      <c r="AI721" s="0" t="str">
        <f aca="false">IF(OR(AE721="Yes",AF721="Yes",AG721="Yes"),"Invalid",IF(OR(AB721="Yes",AC721="Yes",AD721="Yes"),"Warning","Clean"))</f>
        <v>Clean</v>
      </c>
      <c r="AJ721" s="4" t="s">
        <v>1432</v>
      </c>
      <c r="AK721" s="4" t="s">
        <v>1433</v>
      </c>
      <c r="AL721" s="4" t="s">
        <v>347</v>
      </c>
      <c r="AM721" s="4" t="s">
        <v>128</v>
      </c>
      <c r="AN721" s="4" t="s">
        <v>97</v>
      </c>
      <c r="AO721" s="4" t="s">
        <v>238</v>
      </c>
      <c r="AP721" s="4" t="s">
        <v>239</v>
      </c>
      <c r="AQ721" s="4" t="s">
        <v>58</v>
      </c>
      <c r="AR721" s="4" t="s">
        <v>80</v>
      </c>
      <c r="AS721" s="4" t="s">
        <v>74</v>
      </c>
      <c r="AT721" s="0" t="n">
        <v>0.2</v>
      </c>
      <c r="AU721" s="4" t="s">
        <v>61</v>
      </c>
      <c r="AV721" s="4" t="s">
        <v>62</v>
      </c>
    </row>
    <row r="722" customFormat="false" ht="15" hidden="false" customHeight="false" outlineLevel="0" collapsed="false">
      <c r="A722" s="0" t="s">
        <v>2697</v>
      </c>
      <c r="B722" s="3" t="n">
        <f aca="false">IF(AJ722="","",IF(ISNUMBER(SEARCH("/",AJ722)),DATE(VALUE(RIGHT(AJ722,4)),VALUE(LEFT(AJ722,2)),VALUE(MID(AJ722,4,2))),IF(ISNUMBER(SEARCH("-",AJ722)),IF(LEN(LEFT(AJ722,FIND("-",AJ722)-1))=4,DATE(VALUE(LEFT(AJ722,4)),VALUE(MID(AJ722,6,2)),VALUE(RIGHT(AJ722,2))),DATE(VALUE(RIGHT(AJ722,4)),VALUE(MID(AJ722,4,2)),VALUE(LEFT(AJ722,2)))),DATE(VALUE(RIGHT(AJ722,4)),MATCH(MID(AJ722,4,3),{"Jan","Feb","Mar","Apr","May","Jun","Jul","Aug","Sep","Oct","Nov","Dec"},0),VALUE(LEFT(AJ722,2))))))</f>
        <v>45489</v>
      </c>
      <c r="C722" s="3" t="n">
        <f aca="false">IF(AK722="","",IF(ISNUMBER(SEARCH("/",AK722)),DATE(VALUE(RIGHT(AK722,4)),VALUE(LEFT(AK722,2)),VALUE(MID(AK722,4,2))),IF(ISNUMBER(SEARCH("-",AK722)),IF(LEN(LEFT(AK722,FIND("-",AK722)-1))=4,DATE(VALUE(LEFT(AK722,4)),VALUE(MID(AK722,6,2)),VALUE(RIGHT(AK722,2))),DATE(VALUE(RIGHT(AK722,4)),VALUE(MID(AK722,4,2)),VALUE(LEFT(AK722,2)))),DATE(VALUE(RIGHT(AK722,4)),MATCH(MID(AK722,4,3),{"Jan","Feb","Mar","Apr","May","Jun","Jul","Aug","Sep","Oct","Nov","Dec"},0),VALUE(LEFT(AK722,2))))))</f>
        <v>45489</v>
      </c>
      <c r="D722" s="4" t="s">
        <v>2698</v>
      </c>
      <c r="E722" s="0" t="str">
        <f aca="false">PROPER(TRIM(AL722))</f>
        <v>Aditi Sen</v>
      </c>
      <c r="F722" s="0" t="str">
        <f aca="false">PROPER(TRIM(AM722))</f>
        <v>Home Office</v>
      </c>
      <c r="G722" s="0" t="str">
        <f aca="false">IF(TRIM(AN722)="","Unknown",PROPER(TRIM(AN722)))</f>
        <v>West</v>
      </c>
      <c r="H722" s="0" t="str">
        <f aca="false">PROPER(TRIM(AO722))</f>
        <v>Madhya Pradesh</v>
      </c>
      <c r="I722" s="0" t="str">
        <f aca="false">PROPER(TRIM(AP722))</f>
        <v>Indore</v>
      </c>
      <c r="J722" s="0" t="str">
        <f aca="false">PROPER(TRIM(AQ722))</f>
        <v>Technology</v>
      </c>
      <c r="K722" s="0" t="str">
        <f aca="false">PROPER(TRIM(AR722))</f>
        <v>Copiers</v>
      </c>
      <c r="M722" s="0" t="str">
        <f aca="false">IF(TRIM(AS722)="","Unknown",PROPER(TRIM(AS722)))</f>
        <v>Same Day</v>
      </c>
      <c r="N722" s="0" t="n">
        <v>4</v>
      </c>
      <c r="O722" s="0" t="n">
        <v>4479.92</v>
      </c>
      <c r="P722" s="5" t="n">
        <f aca="false">IF(AT722="","",IF(ISNUMBER(AT722),AT722,VALUE(SUBSTITUTE(AT722,"%",""))/100))</f>
        <v>0.15</v>
      </c>
      <c r="Q722" s="5" t="n">
        <f aca="false">IF(P722="",IF(AND(N722&lt;&gt;"",O722&lt;&gt;"",R722&lt;&gt;"",S722&lt;&gt;""),0,"REVIEW"),IF(OR(P722&lt;0,P722&gt;0.3),0,P722))</f>
        <v>0.15</v>
      </c>
      <c r="R722" s="0" t="n">
        <v>15231.73</v>
      </c>
      <c r="S722" s="0" t="n">
        <v>12451.46</v>
      </c>
      <c r="T722" s="6" t="n">
        <f aca="false">N722*O722*(1-Q722)</f>
        <v>15231.728</v>
      </c>
      <c r="U722" s="6" t="n">
        <f aca="false">T722-S722</f>
        <v>2780.268</v>
      </c>
      <c r="V722" s="7" t="n">
        <f aca="false">IF(T722=0,0,U722/T722)</f>
        <v>0.182531358228036</v>
      </c>
      <c r="W722" s="4" t="n">
        <f aca="false">C722-B722</f>
        <v>0</v>
      </c>
      <c r="X722" s="0" t="str">
        <f aca="false">TEXT(B722,"mmmm")</f>
        <v>July</v>
      </c>
      <c r="Y722" s="4" t="n">
        <f aca="false">YEAR(B722)</f>
        <v>2024</v>
      </c>
      <c r="Z722" s="0" t="str">
        <f aca="false">PROPER(TRIM(AU722))</f>
        <v>Paid</v>
      </c>
      <c r="AA722" s="0" t="str">
        <f aca="false">PROPER(TRIM(AV722))</f>
        <v>Completed</v>
      </c>
      <c r="AB722" s="0" t="str">
        <f aca="false">IF(TRIM(AN722)="","Yes","No")</f>
        <v>No</v>
      </c>
      <c r="AC722" s="0" t="str">
        <f aca="false">IF(TRIM(AS722)="","Yes","No")</f>
        <v>No</v>
      </c>
      <c r="AD722" s="0" t="str">
        <f aca="false">IF(AT722="","Yes","No")</f>
        <v>No</v>
      </c>
      <c r="AE722" s="0" t="str">
        <f aca="false">IF(W722&lt;0,"Yes","No")</f>
        <v>No</v>
      </c>
      <c r="AF722" s="0" t="str">
        <f aca="false">IF(P722="","No",IF(OR(P722&lt;0,P722&gt;0.3),"Yes","No"))</f>
        <v>No</v>
      </c>
      <c r="AG722" s="4" t="s">
        <v>50</v>
      </c>
      <c r="AH722" s="0" t="str">
        <f aca="false">IF(AND(AA722="Completed",Z722="Paid"),"Yes","No")</f>
        <v>Yes</v>
      </c>
      <c r="AI722" s="0" t="str">
        <f aca="false">IF(OR(AE722="Yes",AF722="Yes",AG722="Yes"),"Invalid",IF(OR(AB722="Yes",AC722="Yes",AD722="Yes"),"Warning","Clean"))</f>
        <v>Clean</v>
      </c>
      <c r="AJ722" s="4" t="s">
        <v>946</v>
      </c>
      <c r="AK722" s="4" t="s">
        <v>2699</v>
      </c>
      <c r="AL722" s="4" t="s">
        <v>127</v>
      </c>
      <c r="AM722" s="4" t="s">
        <v>134</v>
      </c>
      <c r="AN722" s="4" t="s">
        <v>97</v>
      </c>
      <c r="AO722" s="4" t="s">
        <v>107</v>
      </c>
      <c r="AP722" s="4" t="s">
        <v>108</v>
      </c>
      <c r="AQ722" s="4" t="s">
        <v>109</v>
      </c>
      <c r="AR722" s="4" t="s">
        <v>116</v>
      </c>
      <c r="AS722" s="4" t="s">
        <v>74</v>
      </c>
      <c r="AT722" s="0" t="n">
        <v>0.15</v>
      </c>
      <c r="AU722" s="4" t="s">
        <v>61</v>
      </c>
      <c r="AV722" s="4" t="s">
        <v>62</v>
      </c>
    </row>
    <row r="723" customFormat="false" ht="15" hidden="false" customHeight="false" outlineLevel="0" collapsed="false">
      <c r="A723" s="0" t="s">
        <v>2700</v>
      </c>
      <c r="B723" s="3" t="n">
        <f aca="false">IF(AJ723="","",IF(ISNUMBER(SEARCH("/",AJ723)),DATE(VALUE(RIGHT(AJ723,4)),VALUE(LEFT(AJ723,2)),VALUE(MID(AJ723,4,2))),IF(ISNUMBER(SEARCH("-",AJ723)),IF(LEN(LEFT(AJ723,FIND("-",AJ723)-1))=4,DATE(VALUE(LEFT(AJ723,4)),VALUE(MID(AJ723,6,2)),VALUE(RIGHT(AJ723,2))),DATE(VALUE(RIGHT(AJ723,4)),VALUE(MID(AJ723,4,2)),VALUE(LEFT(AJ723,2)))),DATE(VALUE(RIGHT(AJ723,4)),MATCH(MID(AJ723,4,3),{"Jan","Feb","Mar","Apr","May","Jun","Jul","Aug","Sep","Oct","Nov","Dec"},0),VALUE(LEFT(AJ723,2))))))</f>
        <v>45827</v>
      </c>
      <c r="C723" s="3" t="n">
        <f aca="false">IF(AK723="","",IF(ISNUMBER(SEARCH("/",AK723)),DATE(VALUE(RIGHT(AK723,4)),VALUE(LEFT(AK723,2)),VALUE(MID(AK723,4,2))),IF(ISNUMBER(SEARCH("-",AK723)),IF(LEN(LEFT(AK723,FIND("-",AK723)-1))=4,DATE(VALUE(LEFT(AK723,4)),VALUE(MID(AK723,6,2)),VALUE(RIGHT(AK723,2))),DATE(VALUE(RIGHT(AK723,4)),VALUE(MID(AK723,4,2)),VALUE(LEFT(AK723,2)))),DATE(VALUE(RIGHT(AK723,4)),MATCH(MID(AK723,4,3),{"Jan","Feb","Mar","Apr","May","Jun","Jul","Aug","Sep","Oct","Nov","Dec"},0),VALUE(LEFT(AK723,2))))))</f>
        <v>45831</v>
      </c>
      <c r="D723" s="4" t="s">
        <v>2701</v>
      </c>
      <c r="E723" s="0" t="str">
        <f aca="false">PROPER(TRIM(AL723))</f>
        <v>Sneha Kapoor</v>
      </c>
      <c r="F723" s="0" t="str">
        <f aca="false">PROPER(TRIM(AM723))</f>
        <v>Consumer</v>
      </c>
      <c r="G723" s="0" t="str">
        <f aca="false">IF(TRIM(AN723)="","Unknown",PROPER(TRIM(AN723)))</f>
        <v>South</v>
      </c>
      <c r="H723" s="0" t="str">
        <f aca="false">PROPER(TRIM(AO723))</f>
        <v>Karnataka</v>
      </c>
      <c r="I723" s="0" t="str">
        <f aca="false">PROPER(TRIM(AP723))</f>
        <v>Bengaluru</v>
      </c>
      <c r="J723" s="0" t="str">
        <f aca="false">PROPER(TRIM(AQ723))</f>
        <v>Technology</v>
      </c>
      <c r="K723" s="0" t="str">
        <f aca="false">PROPER(TRIM(AR723))</f>
        <v>Copiers</v>
      </c>
      <c r="M723" s="0" t="str">
        <f aca="false">IF(TRIM(AS723)="","Unknown",PROPER(TRIM(AS723)))</f>
        <v>First Class</v>
      </c>
      <c r="N723" s="0" t="n">
        <v>5</v>
      </c>
      <c r="O723" s="0" t="n">
        <v>2729.95</v>
      </c>
      <c r="P723" s="5" t="n">
        <f aca="false">IF(AT723="","",IF(ISNUMBER(AT723),AT723,VALUE(SUBSTITUTE(AT723,"%",""))/100))</f>
        <v>0</v>
      </c>
      <c r="Q723" s="5" t="n">
        <f aca="false">IF(P723="",IF(AND(N723&lt;&gt;"",O723&lt;&gt;"",R723&lt;&gt;"",S723&lt;&gt;""),0,"REVIEW"),IF(OR(P723&lt;0,P723&gt;0.3),0,P723))</f>
        <v>0</v>
      </c>
      <c r="R723" s="0" t="n">
        <v>13649.75</v>
      </c>
      <c r="S723" s="0" t="n">
        <v>10288.03</v>
      </c>
      <c r="T723" s="6" t="n">
        <f aca="false">N723*O723*(1-Q723)</f>
        <v>13649.75</v>
      </c>
      <c r="U723" s="6" t="n">
        <f aca="false">T723-S723</f>
        <v>3361.72</v>
      </c>
      <c r="V723" s="7" t="n">
        <f aca="false">IF(T723=0,0,U723/T723)</f>
        <v>0.246284364182494</v>
      </c>
      <c r="W723" s="4" t="n">
        <f aca="false">C723-B723</f>
        <v>4</v>
      </c>
      <c r="X723" s="0" t="str">
        <f aca="false">TEXT(B723,"mmmm")</f>
        <v>June</v>
      </c>
      <c r="Y723" s="4" t="n">
        <f aca="false">YEAR(B723)</f>
        <v>2025</v>
      </c>
      <c r="Z723" s="0" t="str">
        <f aca="false">PROPER(TRIM(AU723))</f>
        <v>Paid</v>
      </c>
      <c r="AA723" s="0" t="str">
        <f aca="false">PROPER(TRIM(AV723))</f>
        <v>Completed</v>
      </c>
      <c r="AB723" s="0" t="str">
        <f aca="false">IF(TRIM(AN723)="","Yes","No")</f>
        <v>No</v>
      </c>
      <c r="AC723" s="0" t="str">
        <f aca="false">IF(TRIM(AS723)="","Yes","No")</f>
        <v>No</v>
      </c>
      <c r="AD723" s="0" t="str">
        <f aca="false">IF(AT723="","Yes","No")</f>
        <v>No</v>
      </c>
      <c r="AE723" s="0" t="str">
        <f aca="false">IF(W723&lt;0,"Yes","No")</f>
        <v>No</v>
      </c>
      <c r="AF723" s="0" t="str">
        <f aca="false">IF(P723="","No",IF(OR(P723&lt;0,P723&gt;0.3),"Yes","No"))</f>
        <v>No</v>
      </c>
      <c r="AG723" s="4" t="s">
        <v>50</v>
      </c>
      <c r="AH723" s="0" t="str">
        <f aca="false">IF(AND(AA723="Completed",Z723="Paid"),"Yes","No")</f>
        <v>Yes</v>
      </c>
      <c r="AI723" s="0" t="str">
        <f aca="false">IF(OR(AE723="Yes",AF723="Yes",AG723="Yes"),"Invalid",IF(OR(AB723="Yes",AC723="Yes",AD723="Yes"),"Warning","Clean"))</f>
        <v>Clean</v>
      </c>
      <c r="AJ723" s="4" t="s">
        <v>255</v>
      </c>
      <c r="AK723" s="4" t="s">
        <v>2702</v>
      </c>
      <c r="AL723" s="4" t="s">
        <v>181</v>
      </c>
      <c r="AM723" s="4" t="s">
        <v>54</v>
      </c>
      <c r="AN723" s="4" t="s">
        <v>87</v>
      </c>
      <c r="AO723" s="4" t="s">
        <v>233</v>
      </c>
      <c r="AP723" s="4" t="s">
        <v>234</v>
      </c>
      <c r="AQ723" s="4" t="s">
        <v>109</v>
      </c>
      <c r="AR723" s="4" t="s">
        <v>116</v>
      </c>
      <c r="AS723" s="4" t="s">
        <v>81</v>
      </c>
      <c r="AT723" s="0" t="n">
        <v>0</v>
      </c>
      <c r="AU723" s="4" t="s">
        <v>61</v>
      </c>
      <c r="AV723" s="4" t="s">
        <v>62</v>
      </c>
    </row>
    <row r="724" customFormat="false" ht="15" hidden="false" customHeight="false" outlineLevel="0" collapsed="false">
      <c r="A724" s="0" t="s">
        <v>2703</v>
      </c>
      <c r="B724" s="3" t="n">
        <f aca="false">IF(AJ724="","",IF(ISNUMBER(SEARCH("/",AJ724)),DATE(VALUE(RIGHT(AJ724,4)),VALUE(LEFT(AJ724,2)),VALUE(MID(AJ724,4,2))),IF(ISNUMBER(SEARCH("-",AJ724)),IF(LEN(LEFT(AJ724,FIND("-",AJ724)-1))=4,DATE(VALUE(LEFT(AJ724,4)),VALUE(MID(AJ724,6,2)),VALUE(RIGHT(AJ724,2))),DATE(VALUE(RIGHT(AJ724,4)),VALUE(MID(AJ724,4,2)),VALUE(LEFT(AJ724,2)))),DATE(VALUE(RIGHT(AJ724,4)),MATCH(MID(AJ724,4,3),{"Jan","Feb","Mar","Apr","May","Jun","Jul","Aug","Sep","Oct","Nov","Dec"},0),VALUE(LEFT(AJ724,2))))))</f>
        <v>45572</v>
      </c>
      <c r="C724" s="3" t="n">
        <f aca="false">IF(AK724="","",IF(ISNUMBER(SEARCH("/",AK724)),DATE(VALUE(RIGHT(AK724,4)),VALUE(LEFT(AK724,2)),VALUE(MID(AK724,4,2))),IF(ISNUMBER(SEARCH("-",AK724)),IF(LEN(LEFT(AK724,FIND("-",AK724)-1))=4,DATE(VALUE(LEFT(AK724,4)),VALUE(MID(AK724,6,2)),VALUE(RIGHT(AK724,2))),DATE(VALUE(RIGHT(AK724,4)),VALUE(MID(AK724,4,2)),VALUE(LEFT(AK724,2)))),DATE(VALUE(RIGHT(AK724,4)),MATCH(MID(AK724,4,3),{"Jan","Feb","Mar","Apr","May","Jun","Jul","Aug","Sep","Oct","Nov","Dec"},0),VALUE(LEFT(AK724,2))))))</f>
        <v>45575</v>
      </c>
      <c r="D724" s="4" t="s">
        <v>2704</v>
      </c>
      <c r="E724" s="0" t="str">
        <f aca="false">PROPER(TRIM(AL724))</f>
        <v>Vikram Iyer</v>
      </c>
      <c r="F724" s="0" t="str">
        <f aca="false">PROPER(TRIM(AM724))</f>
        <v>Consumer</v>
      </c>
      <c r="G724" s="0" t="str">
        <f aca="false">IF(TRIM(AN724)="","Unknown",PROPER(TRIM(AN724)))</f>
        <v>East</v>
      </c>
      <c r="H724" s="0" t="str">
        <f aca="false">PROPER(TRIM(AO724))</f>
        <v>West Bengal</v>
      </c>
      <c r="I724" s="0" t="str">
        <f aca="false">PROPER(TRIM(AP724))</f>
        <v>Kolkata</v>
      </c>
      <c r="J724" s="0" t="str">
        <f aca="false">PROPER(TRIM(AQ724))</f>
        <v>Furniture</v>
      </c>
      <c r="K724" s="0" t="str">
        <f aca="false">PROPER(TRIM(AR724))</f>
        <v>Chairs</v>
      </c>
      <c r="M724" s="0" t="str">
        <f aca="false">IF(TRIM(AS724)="","Unknown",PROPER(TRIM(AS724)))</f>
        <v>Second Class</v>
      </c>
      <c r="N724" s="0" t="n">
        <v>9</v>
      </c>
      <c r="O724" s="0" t="n">
        <v>481.51</v>
      </c>
      <c r="P724" s="5" t="str">
        <f aca="false">IF(AT724="","",IF(ISNUMBER(AT724),AT724,VALUE(SUBSTITUTE(AT724,"%",""))/100))</f>
        <v/>
      </c>
      <c r="Q724" s="5" t="n">
        <f aca="false">IF(P724="",IF(AND(N724&lt;&gt;"",O724&lt;&gt;"",R724&lt;&gt;"",S724&lt;&gt;""),0,"REVIEW"),IF(OR(P724&lt;0,P724&gt;0.3),0,P724))</f>
        <v>0</v>
      </c>
      <c r="R724" s="0" t="n">
        <v>4333.59</v>
      </c>
      <c r="S724" s="0" t="n">
        <v>2533.59</v>
      </c>
      <c r="T724" s="6" t="n">
        <f aca="false">N724*O724*(1-Q724)</f>
        <v>4333.59</v>
      </c>
      <c r="U724" s="6" t="n">
        <f aca="false">T724-S724</f>
        <v>1800</v>
      </c>
      <c r="V724" s="7" t="n">
        <f aca="false">IF(T724=0,0,U724/T724)</f>
        <v>0.41536001329152</v>
      </c>
      <c r="W724" s="4" t="n">
        <f aca="false">C724-B724</f>
        <v>3</v>
      </c>
      <c r="X724" s="0" t="str">
        <f aca="false">TEXT(B724,"mmmm")</f>
        <v>October</v>
      </c>
      <c r="Y724" s="4" t="n">
        <f aca="false">YEAR(B724)</f>
        <v>2024</v>
      </c>
      <c r="Z724" s="0" t="str">
        <f aca="false">PROPER(TRIM(AU724))</f>
        <v>Refunded</v>
      </c>
      <c r="AA724" s="0" t="str">
        <f aca="false">PROPER(TRIM(AV724))</f>
        <v>Cancelled</v>
      </c>
      <c r="AB724" s="0" t="str">
        <f aca="false">IF(TRIM(AN724)="","Yes","No")</f>
        <v>No</v>
      </c>
      <c r="AC724" s="0" t="str">
        <f aca="false">IF(TRIM(AS724)="","Yes","No")</f>
        <v>No</v>
      </c>
      <c r="AD724" s="0" t="str">
        <f aca="false">IF(AT724="","Yes","No")</f>
        <v>Yes</v>
      </c>
      <c r="AE724" s="0" t="str">
        <f aca="false">IF(W724&lt;0,"Yes","No")</f>
        <v>No</v>
      </c>
      <c r="AF724" s="0" t="str">
        <f aca="false">IF(P724="","No",IF(OR(P724&lt;0,P724&gt;0.3),"Yes","No"))</f>
        <v>No</v>
      </c>
      <c r="AG724" s="4" t="s">
        <v>50</v>
      </c>
      <c r="AH724" s="0" t="str">
        <f aca="false">IF(AND(AA724="Completed",Z724="Paid"),"Yes","No")</f>
        <v>No</v>
      </c>
      <c r="AI724" s="0" t="str">
        <f aca="false">IF(OR(AE724="Yes",AF724="Yes",AG724="Yes"),"Invalid",IF(OR(AB724="Yes",AC724="Yes",AD724="Yes"),"Warning","Clean"))</f>
        <v>Warning</v>
      </c>
      <c r="AJ724" s="4" t="s">
        <v>2084</v>
      </c>
      <c r="AK724" s="4" t="s">
        <v>2705</v>
      </c>
      <c r="AL724" s="4" t="s">
        <v>106</v>
      </c>
      <c r="AM724" s="4" t="s">
        <v>54</v>
      </c>
      <c r="AN724" s="4" t="s">
        <v>69</v>
      </c>
      <c r="AO724" s="4" t="s">
        <v>139</v>
      </c>
      <c r="AP724" s="4" t="s">
        <v>140</v>
      </c>
      <c r="AQ724" s="4" t="s">
        <v>72</v>
      </c>
      <c r="AR724" s="4" t="s">
        <v>100</v>
      </c>
      <c r="AS724" s="4" t="s">
        <v>60</v>
      </c>
      <c r="AU724" s="4" t="s">
        <v>141</v>
      </c>
      <c r="AV724" s="4" t="s">
        <v>101</v>
      </c>
    </row>
    <row r="725" customFormat="false" ht="15" hidden="false" customHeight="false" outlineLevel="0" collapsed="false">
      <c r="A725" s="0" t="s">
        <v>2706</v>
      </c>
      <c r="B725" s="3" t="n">
        <f aca="false">IF(AJ725="","",IF(ISNUMBER(SEARCH("/",AJ725)),DATE(VALUE(RIGHT(AJ725,4)),VALUE(LEFT(AJ725,2)),VALUE(MID(AJ725,4,2))),IF(ISNUMBER(SEARCH("-",AJ725)),IF(LEN(LEFT(AJ725,FIND("-",AJ725)-1))=4,DATE(VALUE(LEFT(AJ725,4)),VALUE(MID(AJ725,6,2)),VALUE(RIGHT(AJ725,2))),DATE(VALUE(RIGHT(AJ725,4)),VALUE(MID(AJ725,4,2)),VALUE(LEFT(AJ725,2)))),DATE(VALUE(RIGHT(AJ725,4)),MATCH(MID(AJ725,4,3),{"Jan","Feb","Mar","Apr","May","Jun","Jul","Aug","Sep","Oct","Nov","Dec"},0),VALUE(LEFT(AJ725,2))))))</f>
        <v>45936</v>
      </c>
      <c r="C725" s="3" t="n">
        <f aca="false">IF(AK725="","",IF(ISNUMBER(SEARCH("/",AK725)),DATE(VALUE(RIGHT(AK725,4)),VALUE(LEFT(AK725,2)),VALUE(MID(AK725,4,2))),IF(ISNUMBER(SEARCH("-",AK725)),IF(LEN(LEFT(AK725,FIND("-",AK725)-1))=4,DATE(VALUE(LEFT(AK725,4)),VALUE(MID(AK725,6,2)),VALUE(RIGHT(AK725,2))),DATE(VALUE(RIGHT(AK725,4)),VALUE(MID(AK725,4,2)),VALUE(LEFT(AK725,2)))),DATE(VALUE(RIGHT(AK725,4)),MATCH(MID(AK725,4,3),{"Jan","Feb","Mar","Apr","May","Jun","Jul","Aug","Sep","Oct","Nov","Dec"},0),VALUE(LEFT(AK725,2))))))</f>
        <v>45943</v>
      </c>
      <c r="D725" s="4" t="s">
        <v>2707</v>
      </c>
      <c r="E725" s="0" t="str">
        <f aca="false">PROPER(TRIM(AL725))</f>
        <v>Kabir Singh</v>
      </c>
      <c r="F725" s="0" t="str">
        <f aca="false">PROPER(TRIM(AM725))</f>
        <v>Home Office</v>
      </c>
      <c r="G725" s="0" t="str">
        <f aca="false">IF(TRIM(AN725)="","Unknown",PROPER(TRIM(AN725)))</f>
        <v>East</v>
      </c>
      <c r="H725" s="0" t="str">
        <f aca="false">PROPER(TRIM(AO725))</f>
        <v>Jharkhand</v>
      </c>
      <c r="I725" s="0" t="str">
        <f aca="false">PROPER(TRIM(AP725))</f>
        <v>Ranchi</v>
      </c>
      <c r="J725" s="0" t="str">
        <f aca="false">PROPER(TRIM(AQ725))</f>
        <v>Technology</v>
      </c>
      <c r="K725" s="0" t="str">
        <f aca="false">PROPER(TRIM(AR725))</f>
        <v>Accessories</v>
      </c>
      <c r="M725" s="0" t="str">
        <f aca="false">IF(TRIM(AS725)="","Unknown",PROPER(TRIM(AS725)))</f>
        <v>Standard Class</v>
      </c>
      <c r="N725" s="0" t="n">
        <v>6</v>
      </c>
      <c r="O725" s="0" t="n">
        <v>2391.93</v>
      </c>
      <c r="P725" s="5" t="n">
        <f aca="false">IF(AT725="","",IF(ISNUMBER(AT725),AT725,VALUE(SUBSTITUTE(AT725,"%",""))/100))</f>
        <v>0.05</v>
      </c>
      <c r="Q725" s="5" t="n">
        <f aca="false">IF(P725="",IF(AND(N725&lt;&gt;"",O725&lt;&gt;"",R725&lt;&gt;"",S725&lt;&gt;""),0,"REVIEW"),IF(OR(P725&lt;0,P725&gt;0.3),0,P725))</f>
        <v>0.05</v>
      </c>
      <c r="R725" s="0" t="n">
        <v>13634</v>
      </c>
      <c r="S725" s="0" t="n">
        <v>9589.81</v>
      </c>
      <c r="T725" s="6" t="n">
        <f aca="false">N725*O725*(1-Q725)</f>
        <v>13634.001</v>
      </c>
      <c r="U725" s="6" t="n">
        <f aca="false">T725-S725</f>
        <v>4044.191</v>
      </c>
      <c r="V725" s="7" t="n">
        <f aca="false">IF(T725=0,0,U725/T725)</f>
        <v>0.296625399983468</v>
      </c>
      <c r="W725" s="4" t="n">
        <f aca="false">C725-B725</f>
        <v>7</v>
      </c>
      <c r="X725" s="0" t="str">
        <f aca="false">TEXT(B725,"mmmm")</f>
        <v>October</v>
      </c>
      <c r="Y725" s="4" t="n">
        <f aca="false">YEAR(B725)</f>
        <v>2025</v>
      </c>
      <c r="Z725" s="0" t="str">
        <f aca="false">PROPER(TRIM(AU725))</f>
        <v>Failed</v>
      </c>
      <c r="AA725" s="0" t="str">
        <f aca="false">PROPER(TRIM(AV725))</f>
        <v>Returned</v>
      </c>
      <c r="AB725" s="0" t="str">
        <f aca="false">IF(TRIM(AN725)="","Yes","No")</f>
        <v>No</v>
      </c>
      <c r="AC725" s="0" t="str">
        <f aca="false">IF(TRIM(AS725)="","Yes","No")</f>
        <v>No</v>
      </c>
      <c r="AD725" s="0" t="str">
        <f aca="false">IF(AT725="","Yes","No")</f>
        <v>No</v>
      </c>
      <c r="AE725" s="0" t="str">
        <f aca="false">IF(W725&lt;0,"Yes","No")</f>
        <v>No</v>
      </c>
      <c r="AF725" s="0" t="str">
        <f aca="false">IF(P725="","No",IF(OR(P725&lt;0,P725&gt;0.3),"Yes","No"))</f>
        <v>No</v>
      </c>
      <c r="AG725" s="4" t="s">
        <v>50</v>
      </c>
      <c r="AH725" s="0" t="str">
        <f aca="false">IF(AND(AA725="Completed",Z725="Paid"),"Yes","No")</f>
        <v>No</v>
      </c>
      <c r="AI725" s="0" t="str">
        <f aca="false">IF(OR(AE725="Yes",AF725="Yes",AG725="Yes"),"Invalid",IF(OR(AB725="Yes",AC725="Yes",AD725="Yes"),"Warning","Clean"))</f>
        <v>Clean</v>
      </c>
      <c r="AJ725" s="4" t="s">
        <v>770</v>
      </c>
      <c r="AK725" s="4" t="s">
        <v>2708</v>
      </c>
      <c r="AL725" s="4" t="s">
        <v>347</v>
      </c>
      <c r="AM725" s="4" t="s">
        <v>134</v>
      </c>
      <c r="AN725" s="4" t="s">
        <v>69</v>
      </c>
      <c r="AO725" s="4" t="s">
        <v>300</v>
      </c>
      <c r="AP725" s="4" t="s">
        <v>301</v>
      </c>
      <c r="AQ725" s="4" t="s">
        <v>109</v>
      </c>
      <c r="AR725" s="4" t="s">
        <v>110</v>
      </c>
      <c r="AS725" s="4" t="s">
        <v>91</v>
      </c>
      <c r="AT725" s="0" t="n">
        <v>0.05</v>
      </c>
      <c r="AU725" s="4" t="s">
        <v>207</v>
      </c>
      <c r="AV725" s="4" t="s">
        <v>142</v>
      </c>
    </row>
    <row r="726" customFormat="false" ht="15" hidden="false" customHeight="false" outlineLevel="0" collapsed="false">
      <c r="A726" s="0" t="s">
        <v>2709</v>
      </c>
      <c r="B726" s="3" t="n">
        <f aca="false">IF(AJ726="","",IF(ISNUMBER(SEARCH("/",AJ726)),DATE(VALUE(RIGHT(AJ726,4)),VALUE(LEFT(AJ726,2)),VALUE(MID(AJ726,4,2))),IF(ISNUMBER(SEARCH("-",AJ726)),IF(LEN(LEFT(AJ726,FIND("-",AJ726)-1))=4,DATE(VALUE(LEFT(AJ726,4)),VALUE(MID(AJ726,6,2)),VALUE(RIGHT(AJ726,2))),DATE(VALUE(RIGHT(AJ726,4)),VALUE(MID(AJ726,4,2)),VALUE(LEFT(AJ726,2)))),DATE(VALUE(RIGHT(AJ726,4)),MATCH(MID(AJ726,4,3),{"Jan","Feb","Mar","Apr","May","Jun","Jul","Aug","Sep","Oct","Nov","Dec"},0),VALUE(LEFT(AJ726,2))))))</f>
        <v>45332</v>
      </c>
      <c r="C726" s="3" t="n">
        <f aca="false">IF(AK726="","",IF(ISNUMBER(SEARCH("/",AK726)),DATE(VALUE(RIGHT(AK726,4)),VALUE(LEFT(AK726,2)),VALUE(MID(AK726,4,2))),IF(ISNUMBER(SEARCH("-",AK726)),IF(LEN(LEFT(AK726,FIND("-",AK726)-1))=4,DATE(VALUE(LEFT(AK726,4)),VALUE(MID(AK726,6,2)),VALUE(RIGHT(AK726,2))),DATE(VALUE(RIGHT(AK726,4)),VALUE(MID(AK726,4,2)),VALUE(LEFT(AK726,2)))),DATE(VALUE(RIGHT(AK726,4)),MATCH(MID(AK726,4,3),{"Jan","Feb","Mar","Apr","May","Jun","Jul","Aug","Sep","Oct","Nov","Dec"},0),VALUE(LEFT(AK726,2))))))</f>
        <v>45338</v>
      </c>
      <c r="D726" s="4" t="s">
        <v>2710</v>
      </c>
      <c r="E726" s="0" t="str">
        <f aca="false">PROPER(TRIM(AL726))</f>
        <v>Karan Malhotra</v>
      </c>
      <c r="F726" s="0" t="str">
        <f aca="false">PROPER(TRIM(AM726))</f>
        <v>Consumer</v>
      </c>
      <c r="G726" s="0" t="str">
        <f aca="false">IF(TRIM(AN726)="","Unknown",PROPER(TRIM(AN726)))</f>
        <v>West</v>
      </c>
      <c r="H726" s="0" t="str">
        <f aca="false">PROPER(TRIM(AO726))</f>
        <v>Goa</v>
      </c>
      <c r="I726" s="0" t="str">
        <f aca="false">PROPER(TRIM(AP726))</f>
        <v>Panaji</v>
      </c>
      <c r="J726" s="0" t="str">
        <f aca="false">PROPER(TRIM(AQ726))</f>
        <v>Furniture</v>
      </c>
      <c r="K726" s="0" t="str">
        <f aca="false">PROPER(TRIM(AR726))</f>
        <v>Furnishings</v>
      </c>
      <c r="M726" s="0" t="str">
        <f aca="false">IF(TRIM(AS726)="","Unknown",PROPER(TRIM(AS726)))</f>
        <v>Second Class</v>
      </c>
      <c r="N726" s="0" t="n">
        <v>3</v>
      </c>
      <c r="O726" s="0" t="n">
        <v>253.43</v>
      </c>
      <c r="P726" s="5" t="n">
        <f aca="false">IF(AT726="","",IF(ISNUMBER(AT726),AT726,VALUE(SUBSTITUTE(AT726,"%",""))/100))</f>
        <v>0</v>
      </c>
      <c r="Q726" s="5" t="n">
        <f aca="false">IF(P726="",IF(AND(N726&lt;&gt;"",O726&lt;&gt;"",R726&lt;&gt;"",S726&lt;&gt;""),0,"REVIEW"),IF(OR(P726&lt;0,P726&gt;0.3),0,P726))</f>
        <v>0</v>
      </c>
      <c r="R726" s="0" t="n">
        <v>760.29</v>
      </c>
      <c r="S726" s="0" t="n">
        <v>497.77</v>
      </c>
      <c r="T726" s="6" t="n">
        <f aca="false">N726*O726*(1-Q726)</f>
        <v>760.29</v>
      </c>
      <c r="U726" s="6" t="n">
        <f aca="false">T726-S726</f>
        <v>262.52</v>
      </c>
      <c r="V726" s="7" t="n">
        <f aca="false">IF(T726=0,0,U726/T726)</f>
        <v>0.345289297504899</v>
      </c>
      <c r="W726" s="4" t="n">
        <f aca="false">C726-B726</f>
        <v>6</v>
      </c>
      <c r="X726" s="0" t="str">
        <f aca="false">TEXT(B726,"mmmm")</f>
        <v>February</v>
      </c>
      <c r="Y726" s="4" t="n">
        <f aca="false">YEAR(B726)</f>
        <v>2024</v>
      </c>
      <c r="Z726" s="0" t="str">
        <f aca="false">PROPER(TRIM(AU726))</f>
        <v>Paid</v>
      </c>
      <c r="AA726" s="0" t="str">
        <f aca="false">PROPER(TRIM(AV726))</f>
        <v>Completed</v>
      </c>
      <c r="AB726" s="0" t="str">
        <f aca="false">IF(TRIM(AN726)="","Yes","No")</f>
        <v>No</v>
      </c>
      <c r="AC726" s="0" t="str">
        <f aca="false">IF(TRIM(AS726)="","Yes","No")</f>
        <v>No</v>
      </c>
      <c r="AD726" s="0" t="str">
        <f aca="false">IF(AT726="","Yes","No")</f>
        <v>No</v>
      </c>
      <c r="AE726" s="0" t="str">
        <f aca="false">IF(W726&lt;0,"Yes","No")</f>
        <v>No</v>
      </c>
      <c r="AF726" s="0" t="str">
        <f aca="false">IF(P726="","No",IF(OR(P726&lt;0,P726&gt;0.3),"Yes","No"))</f>
        <v>No</v>
      </c>
      <c r="AG726" s="4" t="s">
        <v>50</v>
      </c>
      <c r="AH726" s="0" t="str">
        <f aca="false">IF(AND(AA726="Completed",Z726="Paid"),"Yes","No")</f>
        <v>Yes</v>
      </c>
      <c r="AI726" s="0" t="str">
        <f aca="false">IF(OR(AE726="Yes",AF726="Yes",AG726="Yes"),"Invalid",IF(OR(AB726="Yes",AC726="Yes",AD726="Yes"),"Warning","Clean"))</f>
        <v>Clean</v>
      </c>
      <c r="AJ726" s="4" t="s">
        <v>2711</v>
      </c>
      <c r="AK726" s="4" t="s">
        <v>1343</v>
      </c>
      <c r="AL726" s="4" t="s">
        <v>53</v>
      </c>
      <c r="AM726" s="4" t="s">
        <v>54</v>
      </c>
      <c r="AN726" s="4" t="s">
        <v>97</v>
      </c>
      <c r="AO726" s="4" t="s">
        <v>250</v>
      </c>
      <c r="AP726" s="4" t="s">
        <v>251</v>
      </c>
      <c r="AQ726" s="4" t="s">
        <v>72</v>
      </c>
      <c r="AR726" s="4" t="s">
        <v>90</v>
      </c>
      <c r="AS726" s="4" t="s">
        <v>60</v>
      </c>
      <c r="AT726" s="0" t="n">
        <v>0</v>
      </c>
      <c r="AU726" s="4" t="s">
        <v>61</v>
      </c>
      <c r="AV726" s="4" t="s">
        <v>62</v>
      </c>
    </row>
    <row r="727" customFormat="false" ht="15" hidden="false" customHeight="false" outlineLevel="0" collapsed="false">
      <c r="A727" s="0" t="s">
        <v>2712</v>
      </c>
      <c r="B727" s="3" t="n">
        <f aca="false">IF(AJ727="","",IF(ISNUMBER(SEARCH("/",AJ727)),DATE(VALUE(RIGHT(AJ727,4)),VALUE(LEFT(AJ727,2)),VALUE(MID(AJ727,4,2))),IF(ISNUMBER(SEARCH("-",AJ727)),IF(LEN(LEFT(AJ727,FIND("-",AJ727)-1))=4,DATE(VALUE(LEFT(AJ727,4)),VALUE(MID(AJ727,6,2)),VALUE(RIGHT(AJ727,2))),DATE(VALUE(RIGHT(AJ727,4)),VALUE(MID(AJ727,4,2)),VALUE(LEFT(AJ727,2)))),DATE(VALUE(RIGHT(AJ727,4)),MATCH(MID(AJ727,4,3),{"Jan","Feb","Mar","Apr","May","Jun","Jul","Aug","Sep","Oct","Nov","Dec"},0),VALUE(LEFT(AJ727,2))))))</f>
        <v>45935</v>
      </c>
      <c r="C727" s="3" t="n">
        <f aca="false">IF(AK727="","",IF(ISNUMBER(SEARCH("/",AK727)),DATE(VALUE(RIGHT(AK727,4)),VALUE(LEFT(AK727,2)),VALUE(MID(AK727,4,2))),IF(ISNUMBER(SEARCH("-",AK727)),IF(LEN(LEFT(AK727,FIND("-",AK727)-1))=4,DATE(VALUE(LEFT(AK727,4)),VALUE(MID(AK727,6,2)),VALUE(RIGHT(AK727,2))),DATE(VALUE(RIGHT(AK727,4)),VALUE(MID(AK727,4,2)),VALUE(LEFT(AK727,2)))),DATE(VALUE(RIGHT(AK727,4)),MATCH(MID(AK727,4,3),{"Jan","Feb","Mar","Apr","May","Jun","Jul","Aug","Sep","Oct","Nov","Dec"},0),VALUE(LEFT(AK727,2))))))</f>
        <v>45942</v>
      </c>
      <c r="D727" s="4" t="s">
        <v>2713</v>
      </c>
      <c r="E727" s="0" t="str">
        <f aca="false">PROPER(TRIM(AL727))</f>
        <v>Priya Menon</v>
      </c>
      <c r="F727" s="0" t="str">
        <f aca="false">PROPER(TRIM(AM727))</f>
        <v>Corporate</v>
      </c>
      <c r="G727" s="0" t="str">
        <f aca="false">IF(TRIM(AN727)="","Unknown",PROPER(TRIM(AN727)))</f>
        <v>South</v>
      </c>
      <c r="H727" s="0" t="str">
        <f aca="false">PROPER(TRIM(AO727))</f>
        <v>Karnataka</v>
      </c>
      <c r="I727" s="0" t="str">
        <f aca="false">PROPER(TRIM(AP727))</f>
        <v>Bengaluru</v>
      </c>
      <c r="J727" s="0" t="str">
        <f aca="false">PROPER(TRIM(AQ727))</f>
        <v>Furniture</v>
      </c>
      <c r="K727" s="0" t="str">
        <f aca="false">PROPER(TRIM(AR727))</f>
        <v>Tables</v>
      </c>
      <c r="M727" s="0" t="str">
        <f aca="false">IF(TRIM(AS727)="","Unknown",PROPER(TRIM(AS727)))</f>
        <v>Second Class</v>
      </c>
      <c r="N727" s="0" t="n">
        <v>7</v>
      </c>
      <c r="O727" s="0" t="n">
        <v>2134.73</v>
      </c>
      <c r="P727" s="5" t="n">
        <f aca="false">IF(AT727="","",IF(ISNUMBER(AT727),AT727,VALUE(SUBSTITUTE(AT727,"%",""))/100))</f>
        <v>0</v>
      </c>
      <c r="Q727" s="5" t="n">
        <f aca="false">IF(P727="",IF(AND(N727&lt;&gt;"",O727&lt;&gt;"",R727&lt;&gt;"",S727&lt;&gt;""),0,"REVIEW"),IF(OR(P727&lt;0,P727&gt;0.3),0,P727))</f>
        <v>0</v>
      </c>
      <c r="R727" s="0" t="n">
        <v>14943.11</v>
      </c>
      <c r="S727" s="0" t="n">
        <v>8521.5</v>
      </c>
      <c r="T727" s="6" t="n">
        <f aca="false">N727*O727*(1-Q727)</f>
        <v>14943.11</v>
      </c>
      <c r="U727" s="6" t="n">
        <f aca="false">T727-S727</f>
        <v>6421.61</v>
      </c>
      <c r="V727" s="7" t="n">
        <f aca="false">IF(T727=0,0,U727/T727)</f>
        <v>0.429737183223573</v>
      </c>
      <c r="W727" s="4" t="n">
        <f aca="false">C727-B727</f>
        <v>7</v>
      </c>
      <c r="X727" s="0" t="str">
        <f aca="false">TEXT(B727,"mmmm")</f>
        <v>October</v>
      </c>
      <c r="Y727" s="4" t="n">
        <f aca="false">YEAR(B727)</f>
        <v>2025</v>
      </c>
      <c r="Z727" s="0" t="str">
        <f aca="false">PROPER(TRIM(AU727))</f>
        <v>Paid</v>
      </c>
      <c r="AA727" s="0" t="str">
        <f aca="false">PROPER(TRIM(AV727))</f>
        <v>Completed</v>
      </c>
      <c r="AB727" s="0" t="str">
        <f aca="false">IF(TRIM(AN727)="","Yes","No")</f>
        <v>No</v>
      </c>
      <c r="AC727" s="0" t="str">
        <f aca="false">IF(TRIM(AS727)="","Yes","No")</f>
        <v>No</v>
      </c>
      <c r="AD727" s="0" t="str">
        <f aca="false">IF(AT727="","Yes","No")</f>
        <v>No</v>
      </c>
      <c r="AE727" s="0" t="str">
        <f aca="false">IF(W727&lt;0,"Yes","No")</f>
        <v>No</v>
      </c>
      <c r="AF727" s="0" t="str">
        <f aca="false">IF(P727="","No",IF(OR(P727&lt;0,P727&gt;0.3),"Yes","No"))</f>
        <v>No</v>
      </c>
      <c r="AG727" s="4" t="s">
        <v>50</v>
      </c>
      <c r="AH727" s="0" t="str">
        <f aca="false">IF(AND(AA727="Completed",Z727="Paid"),"Yes","No")</f>
        <v>Yes</v>
      </c>
      <c r="AI727" s="0" t="str">
        <f aca="false">IF(OR(AE727="Yes",AF727="Yes",AG727="Yes"),"Invalid",IF(OR(AB727="Yes",AC727="Yes",AD727="Yes"),"Warning","Clean"))</f>
        <v>Clean</v>
      </c>
      <c r="AJ727" s="4" t="s">
        <v>2714</v>
      </c>
      <c r="AK727" s="4" t="s">
        <v>156</v>
      </c>
      <c r="AL727" s="4" t="s">
        <v>158</v>
      </c>
      <c r="AM727" s="4" t="s">
        <v>128</v>
      </c>
      <c r="AN727" s="4" t="s">
        <v>87</v>
      </c>
      <c r="AO727" s="4" t="s">
        <v>233</v>
      </c>
      <c r="AP727" s="4" t="s">
        <v>234</v>
      </c>
      <c r="AQ727" s="4" t="s">
        <v>72</v>
      </c>
      <c r="AR727" s="4" t="s">
        <v>73</v>
      </c>
      <c r="AS727" s="4" t="s">
        <v>60</v>
      </c>
      <c r="AT727" s="0" t="n">
        <v>0</v>
      </c>
      <c r="AU727" s="4" t="s">
        <v>61</v>
      </c>
      <c r="AV727" s="4" t="s">
        <v>62</v>
      </c>
    </row>
    <row r="728" customFormat="false" ht="15" hidden="false" customHeight="false" outlineLevel="0" collapsed="false">
      <c r="A728" s="0" t="s">
        <v>2715</v>
      </c>
      <c r="B728" s="3" t="n">
        <f aca="false">IF(AJ728="","",IF(ISNUMBER(SEARCH("/",AJ728)),DATE(VALUE(RIGHT(AJ728,4)),VALUE(LEFT(AJ728,2)),VALUE(MID(AJ728,4,2))),IF(ISNUMBER(SEARCH("-",AJ728)),IF(LEN(LEFT(AJ728,FIND("-",AJ728)-1))=4,DATE(VALUE(LEFT(AJ728,4)),VALUE(MID(AJ728,6,2)),VALUE(RIGHT(AJ728,2))),DATE(VALUE(RIGHT(AJ728,4)),VALUE(MID(AJ728,4,2)),VALUE(LEFT(AJ728,2)))),DATE(VALUE(RIGHT(AJ728,4)),MATCH(MID(AJ728,4,3),{"Jan","Feb","Mar","Apr","May","Jun","Jul","Aug","Sep","Oct","Nov","Dec"},0),VALUE(LEFT(AJ728,2))))))</f>
        <v>45308</v>
      </c>
      <c r="C728" s="3" t="n">
        <f aca="false">IF(AK728="","",IF(ISNUMBER(SEARCH("/",AK728)),DATE(VALUE(RIGHT(AK728,4)),VALUE(LEFT(AK728,2)),VALUE(MID(AK728,4,2))),IF(ISNUMBER(SEARCH("-",AK728)),IF(LEN(LEFT(AK728,FIND("-",AK728)-1))=4,DATE(VALUE(LEFT(AK728,4)),VALUE(MID(AK728,6,2)),VALUE(RIGHT(AK728,2))),DATE(VALUE(RIGHT(AK728,4)),VALUE(MID(AK728,4,2)),VALUE(LEFT(AK728,2)))),DATE(VALUE(RIGHT(AK728,4)),MATCH(MID(AK728,4,3),{"Jan","Feb","Mar","Apr","May","Jun","Jul","Aug","Sep","Oct","Nov","Dec"},0),VALUE(LEFT(AK728,2))))))</f>
        <v>45314</v>
      </c>
      <c r="D728" s="4" t="s">
        <v>2716</v>
      </c>
      <c r="E728" s="0" t="str">
        <f aca="false">PROPER(TRIM(AL728))</f>
        <v>Kabir Singh</v>
      </c>
      <c r="F728" s="0" t="str">
        <f aca="false">PROPER(TRIM(AM728))</f>
        <v>Home Office</v>
      </c>
      <c r="G728" s="0" t="str">
        <f aca="false">IF(TRIM(AN728)="","Unknown",PROPER(TRIM(AN728)))</f>
        <v>West</v>
      </c>
      <c r="H728" s="0" t="str">
        <f aca="false">PROPER(TRIM(AO728))</f>
        <v>Gujarat</v>
      </c>
      <c r="I728" s="0" t="str">
        <f aca="false">PROPER(TRIM(AP728))</f>
        <v>Ahmedabad</v>
      </c>
      <c r="J728" s="0" t="str">
        <f aca="false">PROPER(TRIM(AQ728))</f>
        <v>Technology</v>
      </c>
      <c r="K728" s="0" t="str">
        <f aca="false">PROPER(TRIM(AR728))</f>
        <v>Phones</v>
      </c>
      <c r="M728" s="0" t="str">
        <f aca="false">IF(TRIM(AS728)="","Unknown",PROPER(TRIM(AS728)))</f>
        <v>Standard Class</v>
      </c>
      <c r="N728" s="0" t="n">
        <v>5</v>
      </c>
      <c r="O728" s="0" t="n">
        <v>2018</v>
      </c>
      <c r="P728" s="5" t="n">
        <f aca="false">IF(AT728="","",IF(ISNUMBER(AT728),AT728,VALUE(SUBSTITUTE(AT728,"%",""))/100))</f>
        <v>0.2</v>
      </c>
      <c r="Q728" s="5" t="n">
        <f aca="false">IF(P728="",IF(AND(N728&lt;&gt;"",O728&lt;&gt;"",R728&lt;&gt;"",S728&lt;&gt;""),0,"REVIEW"),IF(OR(P728&lt;0,P728&gt;0.3),0,P728))</f>
        <v>0.2</v>
      </c>
      <c r="R728" s="0" t="n">
        <v>8072</v>
      </c>
      <c r="S728" s="0" t="n">
        <v>5379.22</v>
      </c>
      <c r="T728" s="6" t="n">
        <f aca="false">N728*O728*(1-Q728)</f>
        <v>8072</v>
      </c>
      <c r="U728" s="6" t="n">
        <f aca="false">T728-S728</f>
        <v>2692.78</v>
      </c>
      <c r="V728" s="7" t="n">
        <f aca="false">IF(T728=0,0,U728/T728)</f>
        <v>0.33359514370664</v>
      </c>
      <c r="W728" s="4" t="n">
        <f aca="false">C728-B728</f>
        <v>6</v>
      </c>
      <c r="X728" s="0" t="str">
        <f aca="false">TEXT(B728,"mmmm")</f>
        <v>January</v>
      </c>
      <c r="Y728" s="4" t="n">
        <f aca="false">YEAR(B728)</f>
        <v>2024</v>
      </c>
      <c r="Z728" s="0" t="str">
        <f aca="false">PROPER(TRIM(AU728))</f>
        <v>Pending</v>
      </c>
      <c r="AA728" s="0" t="str">
        <f aca="false">PROPER(TRIM(AV728))</f>
        <v>Returned</v>
      </c>
      <c r="AB728" s="0" t="str">
        <f aca="false">IF(TRIM(AN728)="","Yes","No")</f>
        <v>No</v>
      </c>
      <c r="AC728" s="0" t="str">
        <f aca="false">IF(TRIM(AS728)="","Yes","No")</f>
        <v>No</v>
      </c>
      <c r="AD728" s="0" t="str">
        <f aca="false">IF(AT728="","Yes","No")</f>
        <v>No</v>
      </c>
      <c r="AE728" s="0" t="str">
        <f aca="false">IF(W728&lt;0,"Yes","No")</f>
        <v>No</v>
      </c>
      <c r="AF728" s="0" t="str">
        <f aca="false">IF(P728="","No",IF(OR(P728&lt;0,P728&gt;0.3),"Yes","No"))</f>
        <v>No</v>
      </c>
      <c r="AG728" s="4" t="s">
        <v>50</v>
      </c>
      <c r="AH728" s="0" t="str">
        <f aca="false">IF(AND(AA728="Completed",Z728="Paid"),"Yes","No")</f>
        <v>No</v>
      </c>
      <c r="AI728" s="0" t="str">
        <f aca="false">IF(OR(AE728="Yes",AF728="Yes",AG728="Yes"),"Invalid",IF(OR(AB728="Yes",AC728="Yes",AD728="Yes"),"Warning","Clean"))</f>
        <v>Clean</v>
      </c>
      <c r="AJ728" s="4" t="s">
        <v>2717</v>
      </c>
      <c r="AK728" s="4" t="s">
        <v>2718</v>
      </c>
      <c r="AL728" s="4" t="s">
        <v>347</v>
      </c>
      <c r="AM728" s="4" t="s">
        <v>134</v>
      </c>
      <c r="AN728" s="4" t="s">
        <v>97</v>
      </c>
      <c r="AO728" s="4" t="s">
        <v>238</v>
      </c>
      <c r="AP728" s="4" t="s">
        <v>239</v>
      </c>
      <c r="AQ728" s="4" t="s">
        <v>109</v>
      </c>
      <c r="AR728" s="4" t="s">
        <v>227</v>
      </c>
      <c r="AS728" s="4" t="s">
        <v>91</v>
      </c>
      <c r="AT728" s="0" t="n">
        <v>0.2</v>
      </c>
      <c r="AU728" s="4" t="s">
        <v>153</v>
      </c>
      <c r="AV728" s="4" t="s">
        <v>142</v>
      </c>
    </row>
    <row r="729" customFormat="false" ht="15" hidden="false" customHeight="false" outlineLevel="0" collapsed="false">
      <c r="A729" s="0" t="s">
        <v>2719</v>
      </c>
      <c r="B729" s="3" t="n">
        <f aca="false">IF(AJ729="","",IF(ISNUMBER(SEARCH("/",AJ729)),DATE(VALUE(RIGHT(AJ729,4)),VALUE(LEFT(AJ729,2)),VALUE(MID(AJ729,4,2))),IF(ISNUMBER(SEARCH("-",AJ729)),IF(LEN(LEFT(AJ729,FIND("-",AJ729)-1))=4,DATE(VALUE(LEFT(AJ729,4)),VALUE(MID(AJ729,6,2)),VALUE(RIGHT(AJ729,2))),DATE(VALUE(RIGHT(AJ729,4)),VALUE(MID(AJ729,4,2)),VALUE(LEFT(AJ729,2)))),DATE(VALUE(RIGHT(AJ729,4)),MATCH(MID(AJ729,4,3),{"Jan","Feb","Mar","Apr","May","Jun","Jul","Aug","Sep","Oct","Nov","Dec"},0),VALUE(LEFT(AJ729,2))))))</f>
        <v>45578</v>
      </c>
      <c r="C729" s="3" t="n">
        <f aca="false">IF(AK729="","",IF(ISNUMBER(SEARCH("/",AK729)),DATE(VALUE(RIGHT(AK729,4)),VALUE(LEFT(AK729,2)),VALUE(MID(AK729,4,2))),IF(ISNUMBER(SEARCH("-",AK729)),IF(LEN(LEFT(AK729,FIND("-",AK729)-1))=4,DATE(VALUE(LEFT(AK729,4)),VALUE(MID(AK729,6,2)),VALUE(RIGHT(AK729,2))),DATE(VALUE(RIGHT(AK729,4)),VALUE(MID(AK729,4,2)),VALUE(LEFT(AK729,2)))),DATE(VALUE(RIGHT(AK729,4)),MATCH(MID(AK729,4,3),{"Jan","Feb","Mar","Apr","May","Jun","Jul","Aug","Sep","Oct","Nov","Dec"},0),VALUE(LEFT(AK729,2))))))</f>
        <v>45578</v>
      </c>
      <c r="D729" s="4" t="s">
        <v>2720</v>
      </c>
      <c r="E729" s="0" t="str">
        <f aca="false">PROPER(TRIM(AL729))</f>
        <v>Aarav Sharma</v>
      </c>
      <c r="F729" s="0" t="str">
        <f aca="false">PROPER(TRIM(AM729))</f>
        <v>Small Business</v>
      </c>
      <c r="G729" s="0" t="str">
        <f aca="false">IF(TRIM(AN729)="","Unknown",PROPER(TRIM(AN729)))</f>
        <v>East</v>
      </c>
      <c r="H729" s="0" t="str">
        <f aca="false">PROPER(TRIM(AO729))</f>
        <v>Assam</v>
      </c>
      <c r="I729" s="0" t="str">
        <f aca="false">PROPER(TRIM(AP729))</f>
        <v>Guwahati</v>
      </c>
      <c r="J729" s="0" t="str">
        <f aca="false">PROPER(TRIM(AQ729))</f>
        <v>Technology</v>
      </c>
      <c r="K729" s="0" t="str">
        <f aca="false">PROPER(TRIM(AR729))</f>
        <v>Accessories</v>
      </c>
      <c r="M729" s="0" t="str">
        <f aca="false">IF(TRIM(AS729)="","Unknown",PROPER(TRIM(AS729)))</f>
        <v>Second Class</v>
      </c>
      <c r="N729" s="0" t="n">
        <v>8</v>
      </c>
      <c r="O729" s="0" t="n">
        <v>3730.66</v>
      </c>
      <c r="P729" s="5" t="n">
        <f aca="false">IF(AT729="","",IF(ISNUMBER(AT729),AT729,VALUE(SUBSTITUTE(AT729,"%",""))/100))</f>
        <v>0.05</v>
      </c>
      <c r="Q729" s="5" t="n">
        <f aca="false">IF(P729="",IF(AND(N729&lt;&gt;"",O729&lt;&gt;"",R729&lt;&gt;"",S729&lt;&gt;""),0,"REVIEW"),IF(OR(P729&lt;0,P729&gt;0.3),0,P729))</f>
        <v>0.05</v>
      </c>
      <c r="R729" s="0" t="n">
        <v>28353.02</v>
      </c>
      <c r="S729" s="0" t="n">
        <v>19257.85</v>
      </c>
      <c r="T729" s="6" t="n">
        <f aca="false">N729*O729*(1-Q729)</f>
        <v>28353.016</v>
      </c>
      <c r="U729" s="6" t="n">
        <f aca="false">T729-S729</f>
        <v>9095.166</v>
      </c>
      <c r="V729" s="7" t="n">
        <f aca="false">IF(T729=0,0,U729/T729)</f>
        <v>0.320783016522828</v>
      </c>
      <c r="W729" s="4" t="n">
        <f aca="false">C729-B729</f>
        <v>0</v>
      </c>
      <c r="X729" s="0" t="str">
        <f aca="false">TEXT(B729,"mmmm")</f>
        <v>October</v>
      </c>
      <c r="Y729" s="4" t="n">
        <f aca="false">YEAR(B729)</f>
        <v>2024</v>
      </c>
      <c r="Z729" s="0" t="str">
        <f aca="false">PROPER(TRIM(AU729))</f>
        <v>Paid</v>
      </c>
      <c r="AA729" s="0" t="str">
        <f aca="false">PROPER(TRIM(AV729))</f>
        <v>Completed</v>
      </c>
      <c r="AB729" s="0" t="str">
        <f aca="false">IF(TRIM(AN729)="","Yes","No")</f>
        <v>No</v>
      </c>
      <c r="AC729" s="0" t="str">
        <f aca="false">IF(TRIM(AS729)="","Yes","No")</f>
        <v>No</v>
      </c>
      <c r="AD729" s="0" t="str">
        <f aca="false">IF(AT729="","Yes","No")</f>
        <v>No</v>
      </c>
      <c r="AE729" s="0" t="str">
        <f aca="false">IF(W729&lt;0,"Yes","No")</f>
        <v>No</v>
      </c>
      <c r="AF729" s="0" t="str">
        <f aca="false">IF(P729="","No",IF(OR(P729&lt;0,P729&gt;0.3),"Yes","No"))</f>
        <v>No</v>
      </c>
      <c r="AG729" s="4" t="s">
        <v>50</v>
      </c>
      <c r="AH729" s="0" t="str">
        <f aca="false">IF(AND(AA729="Completed",Z729="Paid"),"Yes","No")</f>
        <v>Yes</v>
      </c>
      <c r="AI729" s="0" t="str">
        <f aca="false">IF(OR(AE729="Yes",AF729="Yes",AG729="Yes"),"Invalid",IF(OR(AB729="Yes",AC729="Yes",AD729="Yes"),"Warning","Clean"))</f>
        <v>Clean</v>
      </c>
      <c r="AJ729" s="4" t="s">
        <v>2721</v>
      </c>
      <c r="AK729" s="4" t="s">
        <v>2721</v>
      </c>
      <c r="AL729" s="4" t="s">
        <v>176</v>
      </c>
      <c r="AM729" s="4" t="s">
        <v>68</v>
      </c>
      <c r="AN729" s="4" t="s">
        <v>69</v>
      </c>
      <c r="AO729" s="4" t="s">
        <v>221</v>
      </c>
      <c r="AP729" s="4" t="s">
        <v>222</v>
      </c>
      <c r="AQ729" s="4" t="s">
        <v>109</v>
      </c>
      <c r="AR729" s="4" t="s">
        <v>110</v>
      </c>
      <c r="AS729" s="4" t="s">
        <v>60</v>
      </c>
      <c r="AT729" s="0" t="n">
        <v>0.05</v>
      </c>
      <c r="AU729" s="4" t="s">
        <v>61</v>
      </c>
      <c r="AV729" s="4" t="s">
        <v>62</v>
      </c>
    </row>
    <row r="730" customFormat="false" ht="15" hidden="false" customHeight="false" outlineLevel="0" collapsed="false">
      <c r="A730" s="0" t="s">
        <v>2722</v>
      </c>
      <c r="B730" s="3" t="n">
        <f aca="false">IF(AJ730="","",IF(ISNUMBER(SEARCH("/",AJ730)),DATE(VALUE(RIGHT(AJ730,4)),VALUE(LEFT(AJ730,2)),VALUE(MID(AJ730,4,2))),IF(ISNUMBER(SEARCH("-",AJ730)),IF(LEN(LEFT(AJ730,FIND("-",AJ730)-1))=4,DATE(VALUE(LEFT(AJ730,4)),VALUE(MID(AJ730,6,2)),VALUE(RIGHT(AJ730,2))),DATE(VALUE(RIGHT(AJ730,4)),VALUE(MID(AJ730,4,2)),VALUE(LEFT(AJ730,2)))),DATE(VALUE(RIGHT(AJ730,4)),MATCH(MID(AJ730,4,3),{"Jan","Feb","Mar","Apr","May","Jun","Jul","Aug","Sep","Oct","Nov","Dec"},0),VALUE(LEFT(AJ730,2))))))</f>
        <v>45295</v>
      </c>
      <c r="C730" s="3" t="n">
        <f aca="false">IF(AK730="","",IF(ISNUMBER(SEARCH("/",AK730)),DATE(VALUE(RIGHT(AK730,4)),VALUE(LEFT(AK730,2)),VALUE(MID(AK730,4,2))),IF(ISNUMBER(SEARCH("-",AK730)),IF(LEN(LEFT(AK730,FIND("-",AK730)-1))=4,DATE(VALUE(LEFT(AK730,4)),VALUE(MID(AK730,6,2)),VALUE(RIGHT(AK730,2))),DATE(VALUE(RIGHT(AK730,4)),VALUE(MID(AK730,4,2)),VALUE(LEFT(AK730,2)))),DATE(VALUE(RIGHT(AK730,4)),MATCH(MID(AK730,4,3),{"Jan","Feb","Mar","Apr","May","Jun","Jul","Aug","Sep","Oct","Nov","Dec"},0),VALUE(LEFT(AK730,2))))))</f>
        <v>45298</v>
      </c>
      <c r="D730" s="4" t="s">
        <v>2723</v>
      </c>
      <c r="E730" s="0" t="str">
        <f aca="false">PROPER(TRIM(AL730))</f>
        <v>Sneha Kapoor</v>
      </c>
      <c r="F730" s="0" t="str">
        <f aca="false">PROPER(TRIM(AM730))</f>
        <v>Small Business</v>
      </c>
      <c r="G730" s="0" t="str">
        <f aca="false">IF(TRIM(AN730)="","Unknown",PROPER(TRIM(AN730)))</f>
        <v>South</v>
      </c>
      <c r="H730" s="0" t="str">
        <f aca="false">PROPER(TRIM(AO730))</f>
        <v>Karnataka</v>
      </c>
      <c r="I730" s="0" t="str">
        <f aca="false">PROPER(TRIM(AP730))</f>
        <v>Bengaluru</v>
      </c>
      <c r="J730" s="0" t="str">
        <f aca="false">PROPER(TRIM(AQ730))</f>
        <v>Technology</v>
      </c>
      <c r="K730" s="0" t="str">
        <f aca="false">PROPER(TRIM(AR730))</f>
        <v>Machines</v>
      </c>
      <c r="M730" s="0" t="str">
        <f aca="false">IF(TRIM(AS730)="","Unknown",PROPER(TRIM(AS730)))</f>
        <v>First Class</v>
      </c>
      <c r="N730" s="0" t="n">
        <v>1</v>
      </c>
      <c r="O730" s="0" t="n">
        <v>2363.02</v>
      </c>
      <c r="P730" s="5" t="n">
        <f aca="false">IF(AT730="","",IF(ISNUMBER(AT730),AT730,VALUE(SUBSTITUTE(AT730,"%",""))/100))</f>
        <v>0.15</v>
      </c>
      <c r="Q730" s="5" t="n">
        <f aca="false">IF(P730="",IF(AND(N730&lt;&gt;"",O730&lt;&gt;"",R730&lt;&gt;"",S730&lt;&gt;""),0,"REVIEW"),IF(OR(P730&lt;0,P730&gt;0.3),0,P730))</f>
        <v>0.15</v>
      </c>
      <c r="R730" s="0" t="n">
        <v>2008.57</v>
      </c>
      <c r="S730" s="0" t="n">
        <v>1194.83</v>
      </c>
      <c r="T730" s="6" t="n">
        <f aca="false">N730*O730*(1-Q730)</f>
        <v>2008.567</v>
      </c>
      <c r="U730" s="6" t="n">
        <f aca="false">T730-S730</f>
        <v>813.737</v>
      </c>
      <c r="V730" s="7" t="n">
        <f aca="false">IF(T730=0,0,U730/T730)</f>
        <v>0.405133112313406</v>
      </c>
      <c r="W730" s="4" t="n">
        <f aca="false">C730-B730</f>
        <v>3</v>
      </c>
      <c r="X730" s="0" t="str">
        <f aca="false">TEXT(B730,"mmmm")</f>
        <v>January</v>
      </c>
      <c r="Y730" s="4" t="n">
        <f aca="false">YEAR(B730)</f>
        <v>2024</v>
      </c>
      <c r="Z730" s="0" t="str">
        <f aca="false">PROPER(TRIM(AU730))</f>
        <v>Paid</v>
      </c>
      <c r="AA730" s="0" t="str">
        <f aca="false">PROPER(TRIM(AV730))</f>
        <v>Completed</v>
      </c>
      <c r="AB730" s="0" t="str">
        <f aca="false">IF(TRIM(AN730)="","Yes","No")</f>
        <v>No</v>
      </c>
      <c r="AC730" s="0" t="str">
        <f aca="false">IF(TRIM(AS730)="","Yes","No")</f>
        <v>No</v>
      </c>
      <c r="AD730" s="0" t="str">
        <f aca="false">IF(AT730="","Yes","No")</f>
        <v>No</v>
      </c>
      <c r="AE730" s="0" t="str">
        <f aca="false">IF(W730&lt;0,"Yes","No")</f>
        <v>No</v>
      </c>
      <c r="AF730" s="0" t="str">
        <f aca="false">IF(P730="","No",IF(OR(P730&lt;0,P730&gt;0.3),"Yes","No"))</f>
        <v>No</v>
      </c>
      <c r="AG730" s="4" t="s">
        <v>50</v>
      </c>
      <c r="AH730" s="0" t="str">
        <f aca="false">IF(AND(AA730="Completed",Z730="Paid"),"Yes","No")</f>
        <v>Yes</v>
      </c>
      <c r="AI730" s="0" t="str">
        <f aca="false">IF(OR(AE730="Yes",AF730="Yes",AG730="Yes"),"Invalid",IF(OR(AB730="Yes",AC730="Yes",AD730="Yes"),"Warning","Clean"))</f>
        <v>Clean</v>
      </c>
      <c r="AJ730" s="4" t="s">
        <v>2466</v>
      </c>
      <c r="AK730" s="4" t="s">
        <v>1461</v>
      </c>
      <c r="AL730" s="4" t="s">
        <v>181</v>
      </c>
      <c r="AM730" s="4" t="s">
        <v>68</v>
      </c>
      <c r="AN730" s="4" t="s">
        <v>87</v>
      </c>
      <c r="AO730" s="4" t="s">
        <v>233</v>
      </c>
      <c r="AP730" s="4" t="s">
        <v>234</v>
      </c>
      <c r="AQ730" s="4" t="s">
        <v>109</v>
      </c>
      <c r="AR730" s="4" t="s">
        <v>360</v>
      </c>
      <c r="AS730" s="4" t="s">
        <v>81</v>
      </c>
      <c r="AT730" s="0" t="n">
        <v>0.15</v>
      </c>
      <c r="AU730" s="4" t="s">
        <v>61</v>
      </c>
      <c r="AV730" s="4" t="s">
        <v>62</v>
      </c>
    </row>
    <row r="731" customFormat="false" ht="15" hidden="false" customHeight="false" outlineLevel="0" collapsed="false">
      <c r="A731" s="0" t="s">
        <v>2724</v>
      </c>
      <c r="B731" s="3" t="n">
        <f aca="false">IF(AJ731="","",IF(ISNUMBER(SEARCH("/",AJ731)),DATE(VALUE(RIGHT(AJ731,4)),VALUE(LEFT(AJ731,2)),VALUE(MID(AJ731,4,2))),IF(ISNUMBER(SEARCH("-",AJ731)),IF(LEN(LEFT(AJ731,FIND("-",AJ731)-1))=4,DATE(VALUE(LEFT(AJ731,4)),VALUE(MID(AJ731,6,2)),VALUE(RIGHT(AJ731,2))),DATE(VALUE(RIGHT(AJ731,4)),VALUE(MID(AJ731,4,2)),VALUE(LEFT(AJ731,2)))),DATE(VALUE(RIGHT(AJ731,4)),MATCH(MID(AJ731,4,3),{"Jan","Feb","Mar","Apr","May","Jun","Jul","Aug","Sep","Oct","Nov","Dec"},0),VALUE(LEFT(AJ731,2))))))</f>
        <v>45794</v>
      </c>
      <c r="C731" s="3" t="n">
        <f aca="false">IF(AK731="","",IF(ISNUMBER(SEARCH("/",AK731)),DATE(VALUE(RIGHT(AK731,4)),VALUE(LEFT(AK731,2)),VALUE(MID(AK731,4,2))),IF(ISNUMBER(SEARCH("-",AK731)),IF(LEN(LEFT(AK731,FIND("-",AK731)-1))=4,DATE(VALUE(LEFT(AK731,4)),VALUE(MID(AK731,6,2)),VALUE(RIGHT(AK731,2))),DATE(VALUE(RIGHT(AK731,4)),VALUE(MID(AK731,4,2)),VALUE(LEFT(AK731,2)))),DATE(VALUE(RIGHT(AK731,4)),MATCH(MID(AK731,4,3),{"Jan","Feb","Mar","Apr","May","Jun","Jul","Aug","Sep","Oct","Nov","Dec"},0),VALUE(LEFT(AK731,2))))))</f>
        <v>45802</v>
      </c>
      <c r="D731" s="4" t="s">
        <v>2725</v>
      </c>
      <c r="E731" s="0" t="str">
        <f aca="false">PROPER(TRIM(AL731))</f>
        <v>Ananya Rao</v>
      </c>
      <c r="F731" s="0" t="str">
        <f aca="false">PROPER(TRIM(AM731))</f>
        <v>Corporate</v>
      </c>
      <c r="G731" s="0" t="str">
        <f aca="false">IF(TRIM(AN731)="","Unknown",PROPER(TRIM(AN731)))</f>
        <v>South</v>
      </c>
      <c r="H731" s="0" t="str">
        <f aca="false">PROPER(TRIM(AO731))</f>
        <v>Tamil Nadu</v>
      </c>
      <c r="I731" s="0" t="str">
        <f aca="false">PROPER(TRIM(AP731))</f>
        <v>Chennai</v>
      </c>
      <c r="J731" s="0" t="str">
        <f aca="false">PROPER(TRIM(AQ731))</f>
        <v>Technology</v>
      </c>
      <c r="K731" s="0" t="str">
        <f aca="false">PROPER(TRIM(AR731))</f>
        <v>Machines</v>
      </c>
      <c r="M731" s="0" t="str">
        <f aca="false">IF(TRIM(AS731)="","Unknown",PROPER(TRIM(AS731)))</f>
        <v>Same Day</v>
      </c>
      <c r="N731" s="0" t="n">
        <v>6</v>
      </c>
      <c r="O731" s="0" t="n">
        <v>1810.63</v>
      </c>
      <c r="P731" s="5" t="n">
        <f aca="false">IF(AT731="","",IF(ISNUMBER(AT731),AT731,VALUE(SUBSTITUTE(AT731,"%",""))/100))</f>
        <v>0.15</v>
      </c>
      <c r="Q731" s="5" t="n">
        <f aca="false">IF(P731="",IF(AND(N731&lt;&gt;"",O731&lt;&gt;"",R731&lt;&gt;"",S731&lt;&gt;""),0,"REVIEW"),IF(OR(P731&lt;0,P731&gt;0.3),0,P731))</f>
        <v>0.15</v>
      </c>
      <c r="R731" s="0" t="n">
        <v>9234.21</v>
      </c>
      <c r="S731" s="0" t="n">
        <v>5516.52</v>
      </c>
      <c r="T731" s="6" t="n">
        <f aca="false">N731*O731*(1-Q731)</f>
        <v>9234.213</v>
      </c>
      <c r="U731" s="6" t="n">
        <f aca="false">T731-S731</f>
        <v>3717.693</v>
      </c>
      <c r="V731" s="7" t="n">
        <f aca="false">IF(T731=0,0,U731/T731)</f>
        <v>0.402599875051615</v>
      </c>
      <c r="W731" s="4" t="n">
        <f aca="false">C731-B731</f>
        <v>8</v>
      </c>
      <c r="X731" s="0" t="str">
        <f aca="false">TEXT(B731,"mmmm")</f>
        <v>May</v>
      </c>
      <c r="Y731" s="4" t="n">
        <f aca="false">YEAR(B731)</f>
        <v>2025</v>
      </c>
      <c r="Z731" s="0" t="str">
        <f aca="false">PROPER(TRIM(AU731))</f>
        <v>Paid</v>
      </c>
      <c r="AA731" s="0" t="str">
        <f aca="false">PROPER(TRIM(AV731))</f>
        <v>Completed</v>
      </c>
      <c r="AB731" s="0" t="str">
        <f aca="false">IF(TRIM(AN731)="","Yes","No")</f>
        <v>No</v>
      </c>
      <c r="AC731" s="0" t="str">
        <f aca="false">IF(TRIM(AS731)="","Yes","No")</f>
        <v>No</v>
      </c>
      <c r="AD731" s="0" t="str">
        <f aca="false">IF(AT731="","Yes","No")</f>
        <v>No</v>
      </c>
      <c r="AE731" s="0" t="str">
        <f aca="false">IF(W731&lt;0,"Yes","No")</f>
        <v>No</v>
      </c>
      <c r="AF731" s="0" t="str">
        <f aca="false">IF(P731="","No",IF(OR(P731&lt;0,P731&gt;0.3),"Yes","No"))</f>
        <v>No</v>
      </c>
      <c r="AG731" s="4" t="s">
        <v>50</v>
      </c>
      <c r="AH731" s="0" t="str">
        <f aca="false">IF(AND(AA731="Completed",Z731="Paid"),"Yes","No")</f>
        <v>Yes</v>
      </c>
      <c r="AI731" s="0" t="str">
        <f aca="false">IF(OR(AE731="Yes",AF731="Yes",AG731="Yes"),"Invalid",IF(OR(AB731="Yes",AC731="Yes",AD731="Yes"),"Warning","Clean"))</f>
        <v>Clean</v>
      </c>
      <c r="AJ731" s="4" t="s">
        <v>2726</v>
      </c>
      <c r="AK731" s="4" t="s">
        <v>2727</v>
      </c>
      <c r="AL731" s="4" t="s">
        <v>96</v>
      </c>
      <c r="AM731" s="4" t="s">
        <v>128</v>
      </c>
      <c r="AN731" s="4" t="s">
        <v>87</v>
      </c>
      <c r="AO731" s="4" t="s">
        <v>323</v>
      </c>
      <c r="AP731" s="4" t="s">
        <v>324</v>
      </c>
      <c r="AQ731" s="4" t="s">
        <v>109</v>
      </c>
      <c r="AR731" s="4" t="s">
        <v>360</v>
      </c>
      <c r="AS731" s="4" t="s">
        <v>74</v>
      </c>
      <c r="AT731" s="0" t="n">
        <v>0.15</v>
      </c>
      <c r="AU731" s="4" t="s">
        <v>61</v>
      </c>
      <c r="AV731" s="4" t="s">
        <v>62</v>
      </c>
    </row>
    <row r="732" customFormat="false" ht="15" hidden="false" customHeight="false" outlineLevel="0" collapsed="false">
      <c r="A732" s="0" t="s">
        <v>2728</v>
      </c>
      <c r="B732" s="3" t="n">
        <f aca="false">IF(AJ732="","",IF(ISNUMBER(SEARCH("/",AJ732)),DATE(VALUE(RIGHT(AJ732,4)),VALUE(LEFT(AJ732,2)),VALUE(MID(AJ732,4,2))),IF(ISNUMBER(SEARCH("-",AJ732)),IF(LEN(LEFT(AJ732,FIND("-",AJ732)-1))=4,DATE(VALUE(LEFT(AJ732,4)),VALUE(MID(AJ732,6,2)),VALUE(RIGHT(AJ732,2))),DATE(VALUE(RIGHT(AJ732,4)),VALUE(MID(AJ732,4,2)),VALUE(LEFT(AJ732,2)))),DATE(VALUE(RIGHT(AJ732,4)),MATCH(MID(AJ732,4,3),{"Jan","Feb","Mar","Apr","May","Jun","Jul","Aug","Sep","Oct","Nov","Dec"},0),VALUE(LEFT(AJ732,2))))))</f>
        <v>45827</v>
      </c>
      <c r="C732" s="3" t="n">
        <f aca="false">IF(AK732="","",IF(ISNUMBER(SEARCH("/",AK732)),DATE(VALUE(RIGHT(AK732,4)),VALUE(LEFT(AK732,2)),VALUE(MID(AK732,4,2))),IF(ISNUMBER(SEARCH("-",AK732)),IF(LEN(LEFT(AK732,FIND("-",AK732)-1))=4,DATE(VALUE(LEFT(AK732,4)),VALUE(MID(AK732,6,2)),VALUE(RIGHT(AK732,2))),DATE(VALUE(RIGHT(AK732,4)),VALUE(MID(AK732,4,2)),VALUE(LEFT(AK732,2)))),DATE(VALUE(RIGHT(AK732,4)),MATCH(MID(AK732,4,3),{"Jan","Feb","Mar","Apr","May","Jun","Jul","Aug","Sep","Oct","Nov","Dec"},0),VALUE(LEFT(AK732,2))))))</f>
        <v>45832</v>
      </c>
      <c r="D732" s="4" t="s">
        <v>2729</v>
      </c>
      <c r="E732" s="0" t="str">
        <f aca="false">PROPER(TRIM(AL732))</f>
        <v>Arjun Bose</v>
      </c>
      <c r="F732" s="0" t="str">
        <f aca="false">PROPER(TRIM(AM732))</f>
        <v>Consumer</v>
      </c>
      <c r="G732" s="0" t="str">
        <f aca="false">IF(TRIM(AN732)="","Unknown",PROPER(TRIM(AN732)))</f>
        <v>East</v>
      </c>
      <c r="H732" s="0" t="str">
        <f aca="false">PROPER(TRIM(AO732))</f>
        <v>West Bengal</v>
      </c>
      <c r="I732" s="0" t="str">
        <f aca="false">PROPER(TRIM(AP732))</f>
        <v>Kolkata</v>
      </c>
      <c r="J732" s="0" t="str">
        <f aca="false">PROPER(TRIM(AQ732))</f>
        <v>Office Supplies</v>
      </c>
      <c r="K732" s="0" t="str">
        <f aca="false">PROPER(TRIM(AR732))</f>
        <v>Art</v>
      </c>
      <c r="M732" s="0" t="str">
        <f aca="false">IF(TRIM(AS732)="","Unknown",PROPER(TRIM(AS732)))</f>
        <v>Second Class</v>
      </c>
      <c r="N732" s="0" t="n">
        <v>4</v>
      </c>
      <c r="O732" s="0" t="n">
        <v>782.01</v>
      </c>
      <c r="P732" s="5" t="n">
        <f aca="false">IF(AT732="","",IF(ISNUMBER(AT732),AT732,VALUE(SUBSTITUTE(AT732,"%",""))/100))</f>
        <v>0.15</v>
      </c>
      <c r="Q732" s="5" t="n">
        <f aca="false">IF(P732="",IF(AND(N732&lt;&gt;"",O732&lt;&gt;"",R732&lt;&gt;"",S732&lt;&gt;""),0,"REVIEW"),IF(OR(P732&lt;0,P732&gt;0.3),0,P732))</f>
        <v>0.15</v>
      </c>
      <c r="R732" s="0" t="n">
        <v>2658.83</v>
      </c>
      <c r="S732" s="0" t="n">
        <v>2226.97</v>
      </c>
      <c r="T732" s="6" t="n">
        <f aca="false">N732*O732*(1-Q732)</f>
        <v>2658.834</v>
      </c>
      <c r="U732" s="6" t="n">
        <f aca="false">T732-S732</f>
        <v>431.864</v>
      </c>
      <c r="V732" s="7" t="n">
        <f aca="false">IF(T732=0,0,U732/T732)</f>
        <v>0.162426086021166</v>
      </c>
      <c r="W732" s="4" t="n">
        <f aca="false">C732-B732</f>
        <v>5</v>
      </c>
      <c r="X732" s="0" t="str">
        <f aca="false">TEXT(B732,"mmmm")</f>
        <v>June</v>
      </c>
      <c r="Y732" s="4" t="n">
        <f aca="false">YEAR(B732)</f>
        <v>2025</v>
      </c>
      <c r="Z732" s="0" t="str">
        <f aca="false">PROPER(TRIM(AU732))</f>
        <v>Refunded</v>
      </c>
      <c r="AA732" s="0" t="str">
        <f aca="false">PROPER(TRIM(AV732))</f>
        <v>Returned</v>
      </c>
      <c r="AB732" s="0" t="str">
        <f aca="false">IF(TRIM(AN732)="","Yes","No")</f>
        <v>No</v>
      </c>
      <c r="AC732" s="0" t="str">
        <f aca="false">IF(TRIM(AS732)="","Yes","No")</f>
        <v>No</v>
      </c>
      <c r="AD732" s="0" t="str">
        <f aca="false">IF(AT732="","Yes","No")</f>
        <v>No</v>
      </c>
      <c r="AE732" s="0" t="str">
        <f aca="false">IF(W732&lt;0,"Yes","No")</f>
        <v>No</v>
      </c>
      <c r="AF732" s="0" t="str">
        <f aca="false">IF(P732="","No",IF(OR(P732&lt;0,P732&gt;0.3),"Yes","No"))</f>
        <v>No</v>
      </c>
      <c r="AG732" s="4" t="s">
        <v>50</v>
      </c>
      <c r="AH732" s="0" t="str">
        <f aca="false">IF(AND(AA732="Completed",Z732="Paid"),"Yes","No")</f>
        <v>No</v>
      </c>
      <c r="AI732" s="0" t="str">
        <f aca="false">IF(OR(AE732="Yes",AF732="Yes",AG732="Yes"),"Invalid",IF(OR(AB732="Yes",AC732="Yes",AD732="Yes"),"Warning","Clean"))</f>
        <v>Clean</v>
      </c>
      <c r="AJ732" s="4" t="s">
        <v>2730</v>
      </c>
      <c r="AK732" s="4" t="s">
        <v>2664</v>
      </c>
      <c r="AL732" s="4" t="s">
        <v>86</v>
      </c>
      <c r="AM732" s="4" t="s">
        <v>54</v>
      </c>
      <c r="AN732" s="4" t="s">
        <v>69</v>
      </c>
      <c r="AO732" s="4" t="s">
        <v>139</v>
      </c>
      <c r="AP732" s="4" t="s">
        <v>140</v>
      </c>
      <c r="AQ732" s="4" t="s">
        <v>58</v>
      </c>
      <c r="AR732" s="4" t="s">
        <v>80</v>
      </c>
      <c r="AS732" s="4" t="s">
        <v>60</v>
      </c>
      <c r="AT732" s="0" t="n">
        <v>0.15</v>
      </c>
      <c r="AU732" s="4" t="s">
        <v>141</v>
      </c>
      <c r="AV732" s="4" t="s">
        <v>142</v>
      </c>
    </row>
    <row r="733" customFormat="false" ht="15" hidden="false" customHeight="false" outlineLevel="0" collapsed="false">
      <c r="A733" s="0" t="s">
        <v>2731</v>
      </c>
      <c r="B733" s="3" t="n">
        <f aca="false">IF(AJ733="","",IF(ISNUMBER(SEARCH("/",AJ733)),DATE(VALUE(RIGHT(AJ733,4)),VALUE(LEFT(AJ733,2)),VALUE(MID(AJ733,4,2))),IF(ISNUMBER(SEARCH("-",AJ733)),IF(LEN(LEFT(AJ733,FIND("-",AJ733)-1))=4,DATE(VALUE(LEFT(AJ733,4)),VALUE(MID(AJ733,6,2)),VALUE(RIGHT(AJ733,2))),DATE(VALUE(RIGHT(AJ733,4)),VALUE(MID(AJ733,4,2)),VALUE(LEFT(AJ733,2)))),DATE(VALUE(RIGHT(AJ733,4)),MATCH(MID(AJ733,4,3),{"Jan","Feb","Mar","Apr","May","Jun","Jul","Aug","Sep","Oct","Nov","Dec"},0),VALUE(LEFT(AJ733,2))))))</f>
        <v>45368</v>
      </c>
      <c r="C733" s="3" t="n">
        <f aca="false">IF(AK733="","",IF(ISNUMBER(SEARCH("/",AK733)),DATE(VALUE(RIGHT(AK733,4)),VALUE(LEFT(AK733,2)),VALUE(MID(AK733,4,2))),IF(ISNUMBER(SEARCH("-",AK733)),IF(LEN(LEFT(AK733,FIND("-",AK733)-1))=4,DATE(VALUE(LEFT(AK733,4)),VALUE(MID(AK733,6,2)),VALUE(RIGHT(AK733,2))),DATE(VALUE(RIGHT(AK733,4)),VALUE(MID(AK733,4,2)),VALUE(LEFT(AK733,2)))),DATE(VALUE(RIGHT(AK733,4)),MATCH(MID(AK733,4,3),{"Jan","Feb","Mar","Apr","May","Jun","Jul","Aug","Sep","Oct","Nov","Dec"},0),VALUE(LEFT(AK733,2))))))</f>
        <v>45370</v>
      </c>
      <c r="D733" s="4" t="s">
        <v>2732</v>
      </c>
      <c r="E733" s="0" t="str">
        <f aca="false">PROPER(TRIM(AL733))</f>
        <v>Ananya Rao</v>
      </c>
      <c r="F733" s="0" t="str">
        <f aca="false">PROPER(TRIM(AM733))</f>
        <v>Corporate</v>
      </c>
      <c r="G733" s="0" t="str">
        <f aca="false">IF(TRIM(AN733)="","Unknown",PROPER(TRIM(AN733)))</f>
        <v>East</v>
      </c>
      <c r="H733" s="0" t="str">
        <f aca="false">PROPER(TRIM(AO733))</f>
        <v>Odisha</v>
      </c>
      <c r="I733" s="0" t="str">
        <f aca="false">PROPER(TRIM(AP733))</f>
        <v>Bhubaneswar</v>
      </c>
      <c r="J733" s="0" t="str">
        <f aca="false">PROPER(TRIM(AQ733))</f>
        <v>Office Supplies</v>
      </c>
      <c r="K733" s="0" t="str">
        <f aca="false">PROPER(TRIM(AR733))</f>
        <v>Binders</v>
      </c>
      <c r="M733" s="0" t="str">
        <f aca="false">IF(TRIM(AS733)="","Unknown",PROPER(TRIM(AS733)))</f>
        <v>First Class</v>
      </c>
      <c r="N733" s="0" t="n">
        <v>4</v>
      </c>
      <c r="O733" s="0" t="n">
        <v>4376.68</v>
      </c>
      <c r="P733" s="5" t="n">
        <f aca="false">IF(AT733="","",IF(ISNUMBER(AT733),AT733,VALUE(SUBSTITUTE(AT733,"%",""))/100))</f>
        <v>0.1</v>
      </c>
      <c r="Q733" s="5" t="n">
        <f aca="false">IF(P733="",IF(AND(N733&lt;&gt;"",O733&lt;&gt;"",R733&lt;&gt;"",S733&lt;&gt;""),0,"REVIEW"),IF(OR(P733&lt;0,P733&gt;0.3),0,P733))</f>
        <v>0.1</v>
      </c>
      <c r="R733" s="0" t="n">
        <v>15756.05</v>
      </c>
      <c r="S733" s="0" t="n">
        <v>10245.44</v>
      </c>
      <c r="T733" s="6" t="n">
        <f aca="false">N733*O733*(1-Q733)</f>
        <v>15756.048</v>
      </c>
      <c r="U733" s="6" t="n">
        <f aca="false">T733-S733</f>
        <v>5510.608</v>
      </c>
      <c r="V733" s="7" t="n">
        <f aca="false">IF(T733=0,0,U733/T733)</f>
        <v>0.349745570716718</v>
      </c>
      <c r="W733" s="4" t="n">
        <f aca="false">C733-B733</f>
        <v>2</v>
      </c>
      <c r="X733" s="0" t="str">
        <f aca="false">TEXT(B733,"mmmm")</f>
        <v>March</v>
      </c>
      <c r="Y733" s="4" t="n">
        <f aca="false">YEAR(B733)</f>
        <v>2024</v>
      </c>
      <c r="Z733" s="0" t="str">
        <f aca="false">PROPER(TRIM(AU733))</f>
        <v>Paid</v>
      </c>
      <c r="AA733" s="0" t="str">
        <f aca="false">PROPER(TRIM(AV733))</f>
        <v>Completed</v>
      </c>
      <c r="AB733" s="0" t="str">
        <f aca="false">IF(TRIM(AN733)="","Yes","No")</f>
        <v>No</v>
      </c>
      <c r="AC733" s="0" t="str">
        <f aca="false">IF(TRIM(AS733)="","Yes","No")</f>
        <v>No</v>
      </c>
      <c r="AD733" s="0" t="str">
        <f aca="false">IF(AT733="","Yes","No")</f>
        <v>No</v>
      </c>
      <c r="AE733" s="0" t="str">
        <f aca="false">IF(W733&lt;0,"Yes","No")</f>
        <v>No</v>
      </c>
      <c r="AF733" s="0" t="str">
        <f aca="false">IF(P733="","No",IF(OR(P733&lt;0,P733&gt;0.3),"Yes","No"))</f>
        <v>No</v>
      </c>
      <c r="AG733" s="4" t="s">
        <v>50</v>
      </c>
      <c r="AH733" s="0" t="str">
        <f aca="false">IF(AND(AA733="Completed",Z733="Paid"),"Yes","No")</f>
        <v>Yes</v>
      </c>
      <c r="AI733" s="0" t="str">
        <f aca="false">IF(OR(AE733="Yes",AF733="Yes",AG733="Yes"),"Invalid",IF(OR(AB733="Yes",AC733="Yes",AD733="Yes"),"Warning","Clean"))</f>
        <v>Clean</v>
      </c>
      <c r="AJ733" s="4" t="s">
        <v>2733</v>
      </c>
      <c r="AK733" s="4" t="s">
        <v>2734</v>
      </c>
      <c r="AL733" s="4" t="s">
        <v>96</v>
      </c>
      <c r="AM733" s="4" t="s">
        <v>128</v>
      </c>
      <c r="AN733" s="4" t="s">
        <v>69</v>
      </c>
      <c r="AO733" s="4" t="s">
        <v>70</v>
      </c>
      <c r="AP733" s="4" t="s">
        <v>71</v>
      </c>
      <c r="AQ733" s="4" t="s">
        <v>58</v>
      </c>
      <c r="AR733" s="4" t="s">
        <v>206</v>
      </c>
      <c r="AS733" s="4" t="s">
        <v>81</v>
      </c>
      <c r="AT733" s="0" t="n">
        <v>0.1</v>
      </c>
      <c r="AU733" s="4" t="s">
        <v>61</v>
      </c>
      <c r="AV733" s="4" t="s">
        <v>62</v>
      </c>
    </row>
    <row r="734" customFormat="false" ht="15" hidden="false" customHeight="false" outlineLevel="0" collapsed="false">
      <c r="A734" s="0" t="s">
        <v>2735</v>
      </c>
      <c r="B734" s="3" t="n">
        <f aca="false">IF(AJ734="","",IF(ISNUMBER(SEARCH("/",AJ734)),DATE(VALUE(RIGHT(AJ734,4)),VALUE(LEFT(AJ734,2)),VALUE(MID(AJ734,4,2))),IF(ISNUMBER(SEARCH("-",AJ734)),IF(LEN(LEFT(AJ734,FIND("-",AJ734)-1))=4,DATE(VALUE(LEFT(AJ734,4)),VALUE(MID(AJ734,6,2)),VALUE(RIGHT(AJ734,2))),DATE(VALUE(RIGHT(AJ734,4)),VALUE(MID(AJ734,4,2)),VALUE(LEFT(AJ734,2)))),DATE(VALUE(RIGHT(AJ734,4)),MATCH(MID(AJ734,4,3),{"Jan","Feb","Mar","Apr","May","Jun","Jul","Aug","Sep","Oct","Nov","Dec"},0),VALUE(LEFT(AJ734,2))))))</f>
        <v>45624</v>
      </c>
      <c r="C734" s="3" t="n">
        <f aca="false">IF(AK734="","",IF(ISNUMBER(SEARCH("/",AK734)),DATE(VALUE(RIGHT(AK734,4)),VALUE(LEFT(AK734,2)),VALUE(MID(AK734,4,2))),IF(ISNUMBER(SEARCH("-",AK734)),IF(LEN(LEFT(AK734,FIND("-",AK734)-1))=4,DATE(VALUE(LEFT(AK734,4)),VALUE(MID(AK734,6,2)),VALUE(RIGHT(AK734,2))),DATE(VALUE(RIGHT(AK734,4)),VALUE(MID(AK734,4,2)),VALUE(LEFT(AK734,2)))),DATE(VALUE(RIGHT(AK734,4)),MATCH(MID(AK734,4,3),{"Jan","Feb","Mar","Apr","May","Jun","Jul","Aug","Sep","Oct","Nov","Dec"},0),VALUE(LEFT(AK734,2))))))</f>
        <v>45632</v>
      </c>
      <c r="D734" s="4" t="s">
        <v>2736</v>
      </c>
      <c r="E734" s="0" t="str">
        <f aca="false">PROPER(TRIM(AL734))</f>
        <v>Arjun Bose</v>
      </c>
      <c r="F734" s="0" t="str">
        <f aca="false">PROPER(TRIM(AM734))</f>
        <v>Small Business</v>
      </c>
      <c r="G734" s="0" t="str">
        <f aca="false">IF(TRIM(AN734)="","Unknown",PROPER(TRIM(AN734)))</f>
        <v>North</v>
      </c>
      <c r="H734" s="0" t="str">
        <f aca="false">PROPER(TRIM(AO734))</f>
        <v>Punjab</v>
      </c>
      <c r="I734" s="0" t="str">
        <f aca="false">PROPER(TRIM(AP734))</f>
        <v>Ludhiana</v>
      </c>
      <c r="J734" s="0" t="str">
        <f aca="false">PROPER(TRIM(AQ734))</f>
        <v>Technology</v>
      </c>
      <c r="K734" s="0" t="str">
        <f aca="false">PROPER(TRIM(AR734))</f>
        <v>Phones</v>
      </c>
      <c r="M734" s="0" t="str">
        <f aca="false">IF(TRIM(AS734)="","Unknown",PROPER(TRIM(AS734)))</f>
        <v>Standard Class</v>
      </c>
      <c r="N734" s="0" t="n">
        <v>6</v>
      </c>
      <c r="O734" s="0" t="n">
        <v>2464.63</v>
      </c>
      <c r="P734" s="5" t="n">
        <f aca="false">IF(AT734="","",IF(ISNUMBER(AT734),AT734,VALUE(SUBSTITUTE(AT734,"%",""))/100))</f>
        <v>0</v>
      </c>
      <c r="Q734" s="5" t="n">
        <f aca="false">IF(P734="",IF(AND(N734&lt;&gt;"",O734&lt;&gt;"",R734&lt;&gt;"",S734&lt;&gt;""),0,"REVIEW"),IF(OR(P734&lt;0,P734&gt;0.3),0,P734))</f>
        <v>0</v>
      </c>
      <c r="R734" s="0" t="n">
        <v>14787.78</v>
      </c>
      <c r="S734" s="0" t="n">
        <v>8596.65</v>
      </c>
      <c r="T734" s="6" t="n">
        <f aca="false">N734*O734*(1-Q734)</f>
        <v>14787.78</v>
      </c>
      <c r="U734" s="6" t="n">
        <f aca="false">T734-S734</f>
        <v>6191.13</v>
      </c>
      <c r="V734" s="7" t="n">
        <f aca="false">IF(T734=0,0,U734/T734)</f>
        <v>0.41866527632951</v>
      </c>
      <c r="W734" s="4" t="n">
        <f aca="false">C734-B734</f>
        <v>8</v>
      </c>
      <c r="X734" s="0" t="str">
        <f aca="false">TEXT(B734,"mmmm")</f>
        <v>November</v>
      </c>
      <c r="Y734" s="4" t="n">
        <f aca="false">YEAR(B734)</f>
        <v>2024</v>
      </c>
      <c r="Z734" s="0" t="str">
        <f aca="false">PROPER(TRIM(AU734))</f>
        <v>Paid</v>
      </c>
      <c r="AA734" s="0" t="str">
        <f aca="false">PROPER(TRIM(AV734))</f>
        <v>Completed</v>
      </c>
      <c r="AB734" s="0" t="str">
        <f aca="false">IF(TRIM(AN734)="","Yes","No")</f>
        <v>No</v>
      </c>
      <c r="AC734" s="0" t="str">
        <f aca="false">IF(TRIM(AS734)="","Yes","No")</f>
        <v>No</v>
      </c>
      <c r="AD734" s="0" t="str">
        <f aca="false">IF(AT734="","Yes","No")</f>
        <v>No</v>
      </c>
      <c r="AE734" s="0" t="str">
        <f aca="false">IF(W734&lt;0,"Yes","No")</f>
        <v>No</v>
      </c>
      <c r="AF734" s="0" t="str">
        <f aca="false">IF(P734="","No",IF(OR(P734&lt;0,P734&gt;0.3),"Yes","No"))</f>
        <v>No</v>
      </c>
      <c r="AG734" s="4" t="s">
        <v>50</v>
      </c>
      <c r="AH734" s="0" t="str">
        <f aca="false">IF(AND(AA734="Completed",Z734="Paid"),"Yes","No")</f>
        <v>Yes</v>
      </c>
      <c r="AI734" s="0" t="str">
        <f aca="false">IF(OR(AE734="Yes",AF734="Yes",AG734="Yes"),"Invalid",IF(OR(AB734="Yes",AC734="Yes",AD734="Yes"),"Warning","Clean"))</f>
        <v>Clean</v>
      </c>
      <c r="AJ734" s="4" t="s">
        <v>2737</v>
      </c>
      <c r="AK734" s="4" t="s">
        <v>2289</v>
      </c>
      <c r="AL734" s="4" t="s">
        <v>86</v>
      </c>
      <c r="AM734" s="4" t="s">
        <v>68</v>
      </c>
      <c r="AN734" s="4" t="s">
        <v>168</v>
      </c>
      <c r="AO734" s="4" t="s">
        <v>169</v>
      </c>
      <c r="AP734" s="4" t="s">
        <v>170</v>
      </c>
      <c r="AQ734" s="4" t="s">
        <v>109</v>
      </c>
      <c r="AR734" s="4" t="s">
        <v>227</v>
      </c>
      <c r="AS734" s="4" t="s">
        <v>91</v>
      </c>
      <c r="AT734" s="0" t="n">
        <v>0</v>
      </c>
      <c r="AU734" s="4" t="s">
        <v>61</v>
      </c>
      <c r="AV734" s="4" t="s">
        <v>62</v>
      </c>
    </row>
    <row r="735" customFormat="false" ht="15" hidden="false" customHeight="false" outlineLevel="0" collapsed="false">
      <c r="A735" s="0" t="s">
        <v>2738</v>
      </c>
      <c r="B735" s="3" t="n">
        <f aca="false">IF(AJ735="","",IF(ISNUMBER(SEARCH("/",AJ735)),DATE(VALUE(RIGHT(AJ735,4)),VALUE(LEFT(AJ735,2)),VALUE(MID(AJ735,4,2))),IF(ISNUMBER(SEARCH("-",AJ735)),IF(LEN(LEFT(AJ735,FIND("-",AJ735)-1))=4,DATE(VALUE(LEFT(AJ735,4)),VALUE(MID(AJ735,6,2)),VALUE(RIGHT(AJ735,2))),DATE(VALUE(RIGHT(AJ735,4)),VALUE(MID(AJ735,4,2)),VALUE(LEFT(AJ735,2)))),DATE(VALUE(RIGHT(AJ735,4)),MATCH(MID(AJ735,4,3),{"Jan","Feb","Mar","Apr","May","Jun","Jul","Aug","Sep","Oct","Nov","Dec"},0),VALUE(LEFT(AJ735,2))))))</f>
        <v>45464</v>
      </c>
      <c r="C735" s="3" t="n">
        <f aca="false">IF(AK735="","",IF(ISNUMBER(SEARCH("/",AK735)),DATE(VALUE(RIGHT(AK735,4)),VALUE(LEFT(AK735,2)),VALUE(MID(AK735,4,2))),IF(ISNUMBER(SEARCH("-",AK735)),IF(LEN(LEFT(AK735,FIND("-",AK735)-1))=4,DATE(VALUE(LEFT(AK735,4)),VALUE(MID(AK735,6,2)),VALUE(RIGHT(AK735,2))),DATE(VALUE(RIGHT(AK735,4)),VALUE(MID(AK735,4,2)),VALUE(LEFT(AK735,2)))),DATE(VALUE(RIGHT(AK735,4)),MATCH(MID(AK735,4,3),{"Jan","Feb","Mar","Apr","May","Jun","Jul","Aug","Sep","Oct","Nov","Dec"},0),VALUE(LEFT(AK735,2))))))</f>
        <v>45471</v>
      </c>
      <c r="D735" s="4" t="s">
        <v>2739</v>
      </c>
      <c r="E735" s="0" t="str">
        <f aca="false">PROPER(TRIM(AL735))</f>
        <v>Aarav Sharma</v>
      </c>
      <c r="F735" s="0" t="str">
        <f aca="false">PROPER(TRIM(AM735))</f>
        <v>Home Office</v>
      </c>
      <c r="G735" s="0" t="str">
        <f aca="false">IF(TRIM(AN735)="","Unknown",PROPER(TRIM(AN735)))</f>
        <v>North</v>
      </c>
      <c r="H735" s="0" t="str">
        <f aca="false">PROPER(TRIM(AO735))</f>
        <v>Rajasthan</v>
      </c>
      <c r="I735" s="0" t="str">
        <f aca="false">PROPER(TRIM(AP735))</f>
        <v>Jaipur</v>
      </c>
      <c r="J735" s="0" t="str">
        <f aca="false">PROPER(TRIM(AQ735))</f>
        <v>Furniture</v>
      </c>
      <c r="K735" s="0" t="str">
        <f aca="false">PROPER(TRIM(AR735))</f>
        <v>Furnishings</v>
      </c>
      <c r="M735" s="0" t="str">
        <f aca="false">IF(TRIM(AS735)="","Unknown",PROPER(TRIM(AS735)))</f>
        <v>First Class</v>
      </c>
      <c r="N735" s="0" t="n">
        <v>9</v>
      </c>
      <c r="O735" s="0" t="n">
        <v>2797.96</v>
      </c>
      <c r="P735" s="5" t="n">
        <f aca="false">IF(AT735="","",IF(ISNUMBER(AT735),AT735,VALUE(SUBSTITUTE(AT735,"%",""))/100))</f>
        <v>0</v>
      </c>
      <c r="Q735" s="5" t="n">
        <f aca="false">IF(P735="",IF(AND(N735&lt;&gt;"",O735&lt;&gt;"",R735&lt;&gt;"",S735&lt;&gt;""),0,"REVIEW"),IF(OR(P735&lt;0,P735&gt;0.3),0,P735))</f>
        <v>0</v>
      </c>
      <c r="R735" s="0" t="n">
        <v>25181.64</v>
      </c>
      <c r="S735" s="0" t="n">
        <v>15337.9</v>
      </c>
      <c r="T735" s="6" t="n">
        <f aca="false">N735*O735*(1-Q735)</f>
        <v>25181.64</v>
      </c>
      <c r="U735" s="6" t="n">
        <f aca="false">T735-S735</f>
        <v>9843.74</v>
      </c>
      <c r="V735" s="7" t="n">
        <f aca="false">IF(T735=0,0,U735/T735)</f>
        <v>0.39090940860087</v>
      </c>
      <c r="W735" s="4" t="n">
        <f aca="false">C735-B735</f>
        <v>7</v>
      </c>
      <c r="X735" s="0" t="str">
        <f aca="false">TEXT(B735,"mmmm")</f>
        <v>June</v>
      </c>
      <c r="Y735" s="4" t="n">
        <f aca="false">YEAR(B735)</f>
        <v>2024</v>
      </c>
      <c r="Z735" s="0" t="str">
        <f aca="false">PROPER(TRIM(AU735))</f>
        <v>Paid</v>
      </c>
      <c r="AA735" s="0" t="str">
        <f aca="false">PROPER(TRIM(AV735))</f>
        <v>Completed</v>
      </c>
      <c r="AB735" s="0" t="str">
        <f aca="false">IF(TRIM(AN735)="","Yes","No")</f>
        <v>No</v>
      </c>
      <c r="AC735" s="0" t="str">
        <f aca="false">IF(TRIM(AS735)="","Yes","No")</f>
        <v>No</v>
      </c>
      <c r="AD735" s="0" t="str">
        <f aca="false">IF(AT735="","Yes","No")</f>
        <v>No</v>
      </c>
      <c r="AE735" s="0" t="str">
        <f aca="false">IF(W735&lt;0,"Yes","No")</f>
        <v>No</v>
      </c>
      <c r="AF735" s="0" t="str">
        <f aca="false">IF(P735="","No",IF(OR(P735&lt;0,P735&gt;0.3),"Yes","No"))</f>
        <v>No</v>
      </c>
      <c r="AG735" s="4" t="s">
        <v>50</v>
      </c>
      <c r="AH735" s="0" t="str">
        <f aca="false">IF(AND(AA735="Completed",Z735="Paid"),"Yes","No")</f>
        <v>Yes</v>
      </c>
      <c r="AI735" s="0" t="str">
        <f aca="false">IF(OR(AE735="Yes",AF735="Yes",AG735="Yes"),"Invalid",IF(OR(AB735="Yes",AC735="Yes",AD735="Yes"),"Warning","Clean"))</f>
        <v>Clean</v>
      </c>
      <c r="AJ735" s="4" t="s">
        <v>1516</v>
      </c>
      <c r="AK735" s="4" t="s">
        <v>2740</v>
      </c>
      <c r="AL735" s="4" t="s">
        <v>176</v>
      </c>
      <c r="AM735" s="4" t="s">
        <v>134</v>
      </c>
      <c r="AN735" s="4" t="s">
        <v>168</v>
      </c>
      <c r="AO735" s="4" t="s">
        <v>56</v>
      </c>
      <c r="AP735" s="4" t="s">
        <v>57</v>
      </c>
      <c r="AQ735" s="4" t="s">
        <v>72</v>
      </c>
      <c r="AR735" s="4" t="s">
        <v>90</v>
      </c>
      <c r="AS735" s="4" t="s">
        <v>81</v>
      </c>
      <c r="AT735" s="0" t="n">
        <v>0</v>
      </c>
      <c r="AU735" s="4" t="s">
        <v>61</v>
      </c>
      <c r="AV735" s="4" t="s">
        <v>62</v>
      </c>
    </row>
    <row r="736" customFormat="false" ht="15" hidden="false" customHeight="false" outlineLevel="0" collapsed="false">
      <c r="A736" s="0" t="s">
        <v>2741</v>
      </c>
      <c r="B736" s="3" t="n">
        <f aca="false">IF(AJ736="","",IF(ISNUMBER(SEARCH("/",AJ736)),DATE(VALUE(RIGHT(AJ736,4)),VALUE(LEFT(AJ736,2)),VALUE(MID(AJ736,4,2))),IF(ISNUMBER(SEARCH("-",AJ736)),IF(LEN(LEFT(AJ736,FIND("-",AJ736)-1))=4,DATE(VALUE(LEFT(AJ736,4)),VALUE(MID(AJ736,6,2)),VALUE(RIGHT(AJ736,2))),DATE(VALUE(RIGHT(AJ736,4)),VALUE(MID(AJ736,4,2)),VALUE(LEFT(AJ736,2)))),DATE(VALUE(RIGHT(AJ736,4)),MATCH(MID(AJ736,4,3),{"Jan","Feb","Mar","Apr","May","Jun","Jul","Aug","Sep","Oct","Nov","Dec"},0),VALUE(LEFT(AJ736,2))))))</f>
        <v>45528</v>
      </c>
      <c r="C736" s="3" t="n">
        <f aca="false">IF(AK736="","",IF(ISNUMBER(SEARCH("/",AK736)),DATE(VALUE(RIGHT(AK736,4)),VALUE(LEFT(AK736,2)),VALUE(MID(AK736,4,2))),IF(ISNUMBER(SEARCH("-",AK736)),IF(LEN(LEFT(AK736,FIND("-",AK736)-1))=4,DATE(VALUE(LEFT(AK736,4)),VALUE(MID(AK736,6,2)),VALUE(RIGHT(AK736,2))),DATE(VALUE(RIGHT(AK736,4)),VALUE(MID(AK736,4,2)),VALUE(LEFT(AK736,2)))),DATE(VALUE(RIGHT(AK736,4)),MATCH(MID(AK736,4,3),{"Jan","Feb","Mar","Apr","May","Jun","Jul","Aug","Sep","Oct","Nov","Dec"},0),VALUE(LEFT(AK736,2))))))</f>
        <v>45528</v>
      </c>
      <c r="D736" s="4" t="s">
        <v>2742</v>
      </c>
      <c r="E736" s="0" t="str">
        <f aca="false">PROPER(TRIM(AL736))</f>
        <v>Ananya Rao</v>
      </c>
      <c r="F736" s="0" t="str">
        <f aca="false">PROPER(TRIM(AM736))</f>
        <v>Small Business</v>
      </c>
      <c r="G736" s="0" t="str">
        <f aca="false">IF(TRIM(AN736)="","Unknown",PROPER(TRIM(AN736)))</f>
        <v>North</v>
      </c>
      <c r="H736" s="0" t="str">
        <f aca="false">PROPER(TRIM(AO736))</f>
        <v>Rajasthan</v>
      </c>
      <c r="I736" s="0" t="str">
        <f aca="false">PROPER(TRIM(AP736))</f>
        <v>Jaipur</v>
      </c>
      <c r="J736" s="0" t="str">
        <f aca="false">PROPER(TRIM(AQ736))</f>
        <v>Technology</v>
      </c>
      <c r="K736" s="0" t="str">
        <f aca="false">PROPER(TRIM(AR736))</f>
        <v>Accessories</v>
      </c>
      <c r="M736" s="0" t="str">
        <f aca="false">IF(TRIM(AS736)="","Unknown",PROPER(TRIM(AS736)))</f>
        <v>First Class</v>
      </c>
      <c r="N736" s="0" t="n">
        <v>4</v>
      </c>
      <c r="O736" s="0" t="n">
        <v>2761.86</v>
      </c>
      <c r="P736" s="5" t="n">
        <f aca="false">IF(AT736="","",IF(ISNUMBER(AT736),AT736,VALUE(SUBSTITUTE(AT736,"%",""))/100))</f>
        <v>0.2</v>
      </c>
      <c r="Q736" s="5" t="n">
        <f aca="false">IF(P736="",IF(AND(N736&lt;&gt;"",O736&lt;&gt;"",R736&lt;&gt;"",S736&lt;&gt;""),0,"REVIEW"),IF(OR(P736&lt;0,P736&gt;0.3),0,P736))</f>
        <v>0.2</v>
      </c>
      <c r="R736" s="0" t="n">
        <v>8837.95</v>
      </c>
      <c r="S736" s="0" t="n">
        <v>6157.27</v>
      </c>
      <c r="T736" s="6" t="n">
        <f aca="false">N736*O736*(1-Q736)</f>
        <v>8837.952</v>
      </c>
      <c r="U736" s="6" t="n">
        <f aca="false">T736-S736</f>
        <v>2680.682</v>
      </c>
      <c r="V736" s="7" t="n">
        <f aca="false">IF(T736=0,0,U736/T736)</f>
        <v>0.303314840361206</v>
      </c>
      <c r="W736" s="4" t="n">
        <f aca="false">C736-B736</f>
        <v>0</v>
      </c>
      <c r="X736" s="0" t="str">
        <f aca="false">TEXT(B736,"mmmm")</f>
        <v>August</v>
      </c>
      <c r="Y736" s="4" t="n">
        <f aca="false">YEAR(B736)</f>
        <v>2024</v>
      </c>
      <c r="Z736" s="0" t="str">
        <f aca="false">PROPER(TRIM(AU736))</f>
        <v>Paid</v>
      </c>
      <c r="AA736" s="0" t="str">
        <f aca="false">PROPER(TRIM(AV736))</f>
        <v>Completed</v>
      </c>
      <c r="AB736" s="0" t="str">
        <f aca="false">IF(TRIM(AN736)="","Yes","No")</f>
        <v>No</v>
      </c>
      <c r="AC736" s="0" t="str">
        <f aca="false">IF(TRIM(AS736)="","Yes","No")</f>
        <v>No</v>
      </c>
      <c r="AD736" s="0" t="str">
        <f aca="false">IF(AT736="","Yes","No")</f>
        <v>No</v>
      </c>
      <c r="AE736" s="0" t="str">
        <f aca="false">IF(W736&lt;0,"Yes","No")</f>
        <v>No</v>
      </c>
      <c r="AF736" s="0" t="str">
        <f aca="false">IF(P736="","No",IF(OR(P736&lt;0,P736&gt;0.3),"Yes","No"))</f>
        <v>No</v>
      </c>
      <c r="AG736" s="4" t="s">
        <v>50</v>
      </c>
      <c r="AH736" s="0" t="str">
        <f aca="false">IF(AND(AA736="Completed",Z736="Paid"),"Yes","No")</f>
        <v>Yes</v>
      </c>
      <c r="AI736" s="0" t="str">
        <f aca="false">IF(OR(AE736="Yes",AF736="Yes",AG736="Yes"),"Invalid",IF(OR(AB736="Yes",AC736="Yes",AD736="Yes"),"Warning","Clean"))</f>
        <v>Clean</v>
      </c>
      <c r="AJ736" s="4" t="s">
        <v>2743</v>
      </c>
      <c r="AK736" s="4" t="s">
        <v>2743</v>
      </c>
      <c r="AL736" s="4" t="s">
        <v>96</v>
      </c>
      <c r="AM736" s="4" t="s">
        <v>68</v>
      </c>
      <c r="AN736" s="4" t="s">
        <v>168</v>
      </c>
      <c r="AO736" s="4" t="s">
        <v>56</v>
      </c>
      <c r="AP736" s="4" t="s">
        <v>57</v>
      </c>
      <c r="AQ736" s="4" t="s">
        <v>109</v>
      </c>
      <c r="AR736" s="4" t="s">
        <v>110</v>
      </c>
      <c r="AS736" s="4" t="s">
        <v>81</v>
      </c>
      <c r="AT736" s="0" t="n">
        <v>0.2</v>
      </c>
      <c r="AU736" s="4" t="s">
        <v>61</v>
      </c>
      <c r="AV736" s="4" t="s">
        <v>62</v>
      </c>
    </row>
    <row r="737" customFormat="false" ht="15" hidden="false" customHeight="false" outlineLevel="0" collapsed="false">
      <c r="A737" s="0" t="s">
        <v>2744</v>
      </c>
      <c r="B737" s="3" t="n">
        <f aca="false">IF(AJ737="","",IF(ISNUMBER(SEARCH("/",AJ737)),DATE(VALUE(RIGHT(AJ737,4)),VALUE(LEFT(AJ737,2)),VALUE(MID(AJ737,4,2))),IF(ISNUMBER(SEARCH("-",AJ737)),IF(LEN(LEFT(AJ737,FIND("-",AJ737)-1))=4,DATE(VALUE(LEFT(AJ737,4)),VALUE(MID(AJ737,6,2)),VALUE(RIGHT(AJ737,2))),DATE(VALUE(RIGHT(AJ737,4)),VALUE(MID(AJ737,4,2)),VALUE(LEFT(AJ737,2)))),DATE(VALUE(RIGHT(AJ737,4)),MATCH(MID(AJ737,4,3),{"Jan","Feb","Mar","Apr","May","Jun","Jul","Aug","Sep","Oct","Nov","Dec"},0),VALUE(LEFT(AJ737,2))))))</f>
        <v>45515</v>
      </c>
      <c r="C737" s="3" t="n">
        <f aca="false">IF(AK737="","",IF(ISNUMBER(SEARCH("/",AK737)),DATE(VALUE(RIGHT(AK737,4)),VALUE(LEFT(AK737,2)),VALUE(MID(AK737,4,2))),IF(ISNUMBER(SEARCH("-",AK737)),IF(LEN(LEFT(AK737,FIND("-",AK737)-1))=4,DATE(VALUE(LEFT(AK737,4)),VALUE(MID(AK737,6,2)),VALUE(RIGHT(AK737,2))),DATE(VALUE(RIGHT(AK737,4)),VALUE(MID(AK737,4,2)),VALUE(LEFT(AK737,2)))),DATE(VALUE(RIGHT(AK737,4)),MATCH(MID(AK737,4,3),{"Jan","Feb","Mar","Apr","May","Jun","Jul","Aug","Sep","Oct","Nov","Dec"},0),VALUE(LEFT(AK737,2))))))</f>
        <v>45523</v>
      </c>
      <c r="D737" s="4" t="s">
        <v>2745</v>
      </c>
      <c r="E737" s="0" t="str">
        <f aca="false">PROPER(TRIM(AL737))</f>
        <v>Mira Das</v>
      </c>
      <c r="F737" s="0" t="str">
        <f aca="false">PROPER(TRIM(AM737))</f>
        <v>Consumer</v>
      </c>
      <c r="G737" s="0" t="str">
        <f aca="false">IF(TRIM(AN737)="","Unknown",PROPER(TRIM(AN737)))</f>
        <v>West</v>
      </c>
      <c r="H737" s="0" t="str">
        <f aca="false">PROPER(TRIM(AO737))</f>
        <v>Maharashtra</v>
      </c>
      <c r="I737" s="0" t="str">
        <f aca="false">PROPER(TRIM(AP737))</f>
        <v>Mumbai</v>
      </c>
      <c r="J737" s="0" t="str">
        <f aca="false">PROPER(TRIM(AQ737))</f>
        <v>Furniture</v>
      </c>
      <c r="K737" s="0" t="str">
        <f aca="false">PROPER(TRIM(AR737))</f>
        <v>Tables</v>
      </c>
      <c r="M737" s="0" t="str">
        <f aca="false">IF(TRIM(AS737)="","Unknown",PROPER(TRIM(AS737)))</f>
        <v>Standard Class</v>
      </c>
      <c r="N737" s="0" t="n">
        <v>6</v>
      </c>
      <c r="O737" s="0" t="n">
        <v>1515.79</v>
      </c>
      <c r="P737" s="5" t="n">
        <f aca="false">IF(AT737="","",IF(ISNUMBER(AT737),AT737,VALUE(SUBSTITUTE(AT737,"%",""))/100))</f>
        <v>0.2</v>
      </c>
      <c r="Q737" s="5" t="n">
        <f aca="false">IF(P737="",IF(AND(N737&lt;&gt;"",O737&lt;&gt;"",R737&lt;&gt;"",S737&lt;&gt;""),0,"REVIEW"),IF(OR(P737&lt;0,P737&gt;0.3),0,P737))</f>
        <v>0.2</v>
      </c>
      <c r="R737" s="0" t="n">
        <v>7275.79</v>
      </c>
      <c r="S737" s="0" t="n">
        <v>6152.87</v>
      </c>
      <c r="T737" s="6" t="n">
        <f aca="false">N737*O737*(1-Q737)</f>
        <v>7275.792</v>
      </c>
      <c r="U737" s="6" t="n">
        <f aca="false">T737-S737</f>
        <v>1122.922</v>
      </c>
      <c r="V737" s="7" t="n">
        <f aca="false">IF(T737=0,0,U737/T737)</f>
        <v>0.154336737498818</v>
      </c>
      <c r="W737" s="4" t="n">
        <f aca="false">C737-B737</f>
        <v>8</v>
      </c>
      <c r="X737" s="0" t="str">
        <f aca="false">TEXT(B737,"mmmm")</f>
        <v>August</v>
      </c>
      <c r="Y737" s="4" t="n">
        <f aca="false">YEAR(B737)</f>
        <v>2024</v>
      </c>
      <c r="Z737" s="0" t="str">
        <f aca="false">PROPER(TRIM(AU737))</f>
        <v>Paid</v>
      </c>
      <c r="AA737" s="0" t="str">
        <f aca="false">PROPER(TRIM(AV737))</f>
        <v>Completed</v>
      </c>
      <c r="AB737" s="0" t="str">
        <f aca="false">IF(TRIM(AN737)="","Yes","No")</f>
        <v>No</v>
      </c>
      <c r="AC737" s="0" t="str">
        <f aca="false">IF(TRIM(AS737)="","Yes","No")</f>
        <v>No</v>
      </c>
      <c r="AD737" s="0" t="str">
        <f aca="false">IF(AT737="","Yes","No")</f>
        <v>No</v>
      </c>
      <c r="AE737" s="0" t="str">
        <f aca="false">IF(W737&lt;0,"Yes","No")</f>
        <v>No</v>
      </c>
      <c r="AF737" s="0" t="str">
        <f aca="false">IF(P737="","No",IF(OR(P737&lt;0,P737&gt;0.3),"Yes","No"))</f>
        <v>No</v>
      </c>
      <c r="AG737" s="4" t="s">
        <v>50</v>
      </c>
      <c r="AH737" s="0" t="str">
        <f aca="false">IF(AND(AA737="Completed",Z737="Paid"),"Yes","No")</f>
        <v>Yes</v>
      </c>
      <c r="AI737" s="0" t="str">
        <f aca="false">IF(OR(AE737="Yes",AF737="Yes",AG737="Yes"),"Invalid",IF(OR(AB737="Yes",AC737="Yes",AD737="Yes"),"Warning","Clean"))</f>
        <v>Clean</v>
      </c>
      <c r="AJ737" s="4" t="s">
        <v>2746</v>
      </c>
      <c r="AK737" s="4" t="s">
        <v>2320</v>
      </c>
      <c r="AL737" s="4" t="s">
        <v>67</v>
      </c>
      <c r="AM737" s="4" t="s">
        <v>54</v>
      </c>
      <c r="AN737" s="4" t="s">
        <v>97</v>
      </c>
      <c r="AO737" s="4" t="s">
        <v>98</v>
      </c>
      <c r="AP737" s="4" t="s">
        <v>99</v>
      </c>
      <c r="AQ737" s="4" t="s">
        <v>72</v>
      </c>
      <c r="AR737" s="4" t="s">
        <v>73</v>
      </c>
      <c r="AS737" s="4" t="s">
        <v>91</v>
      </c>
      <c r="AT737" s="0" t="n">
        <v>0.2</v>
      </c>
      <c r="AU737" s="4" t="s">
        <v>61</v>
      </c>
      <c r="AV737" s="4" t="s">
        <v>62</v>
      </c>
    </row>
    <row r="738" customFormat="false" ht="15" hidden="false" customHeight="false" outlineLevel="0" collapsed="false">
      <c r="A738" s="0" t="s">
        <v>2747</v>
      </c>
      <c r="B738" s="3" t="n">
        <f aca="false">IF(AJ738="","",IF(ISNUMBER(SEARCH("/",AJ738)),DATE(VALUE(RIGHT(AJ738,4)),VALUE(LEFT(AJ738,2)),VALUE(MID(AJ738,4,2))),IF(ISNUMBER(SEARCH("-",AJ738)),IF(LEN(LEFT(AJ738,FIND("-",AJ738)-1))=4,DATE(VALUE(LEFT(AJ738,4)),VALUE(MID(AJ738,6,2)),VALUE(RIGHT(AJ738,2))),DATE(VALUE(RIGHT(AJ738,4)),VALUE(MID(AJ738,4,2)),VALUE(LEFT(AJ738,2)))),DATE(VALUE(RIGHT(AJ738,4)),MATCH(MID(AJ738,4,3),{"Jan","Feb","Mar","Apr","May","Jun","Jul","Aug","Sep","Oct","Nov","Dec"},0),VALUE(LEFT(AJ738,2))))))</f>
        <v>45632</v>
      </c>
      <c r="C738" s="3" t="n">
        <f aca="false">IF(AK738="","",IF(ISNUMBER(SEARCH("/",AK738)),DATE(VALUE(RIGHT(AK738,4)),VALUE(LEFT(AK738,2)),VALUE(MID(AK738,4,2))),IF(ISNUMBER(SEARCH("-",AK738)),IF(LEN(LEFT(AK738,FIND("-",AK738)-1))=4,DATE(VALUE(LEFT(AK738,4)),VALUE(MID(AK738,6,2)),VALUE(RIGHT(AK738,2))),DATE(VALUE(RIGHT(AK738,4)),VALUE(MID(AK738,4,2)),VALUE(LEFT(AK738,2)))),DATE(VALUE(RIGHT(AK738,4)),MATCH(MID(AK738,4,3),{"Jan","Feb","Mar","Apr","May","Jun","Jul","Aug","Sep","Oct","Nov","Dec"},0),VALUE(LEFT(AK738,2))))))</f>
        <v>45635</v>
      </c>
      <c r="D738" s="4" t="s">
        <v>2748</v>
      </c>
      <c r="E738" s="0" t="str">
        <f aca="false">PROPER(TRIM(AL738))</f>
        <v>Aditi Sen</v>
      </c>
      <c r="F738" s="0" t="str">
        <f aca="false">PROPER(TRIM(AM738))</f>
        <v>Consumer</v>
      </c>
      <c r="G738" s="0" t="str">
        <f aca="false">IF(TRIM(AN738)="","Unknown",PROPER(TRIM(AN738)))</f>
        <v>West</v>
      </c>
      <c r="H738" s="0" t="str">
        <f aca="false">PROPER(TRIM(AO738))</f>
        <v>Maharashtra</v>
      </c>
      <c r="I738" s="0" t="str">
        <f aca="false">PROPER(TRIM(AP738))</f>
        <v>Mumbai</v>
      </c>
      <c r="J738" s="0" t="str">
        <f aca="false">PROPER(TRIM(AQ738))</f>
        <v>Furniture</v>
      </c>
      <c r="K738" s="0" t="str">
        <f aca="false">PROPER(TRIM(AR738))</f>
        <v>Chairs</v>
      </c>
      <c r="M738" s="0" t="str">
        <f aca="false">IF(TRIM(AS738)="","Unknown",PROPER(TRIM(AS738)))</f>
        <v>Second Class</v>
      </c>
      <c r="N738" s="0" t="n">
        <v>9</v>
      </c>
      <c r="O738" s="0" t="n">
        <v>290.75</v>
      </c>
      <c r="P738" s="5" t="n">
        <f aca="false">IF(AT738="","",IF(ISNUMBER(AT738),AT738,VALUE(SUBSTITUTE(AT738,"%",""))/100))</f>
        <v>0.1</v>
      </c>
      <c r="Q738" s="5" t="n">
        <f aca="false">IF(P738="",IF(AND(N738&lt;&gt;"",O738&lt;&gt;"",R738&lt;&gt;"",S738&lt;&gt;""),0,"REVIEW"),IF(OR(P738&lt;0,P738&gt;0.3),0,P738))</f>
        <v>0.1</v>
      </c>
      <c r="R738" s="0" t="n">
        <v>2355.08</v>
      </c>
      <c r="S738" s="0" t="n">
        <v>1350.03</v>
      </c>
      <c r="T738" s="6" t="n">
        <f aca="false">N738*O738*(1-Q738)</f>
        <v>2355.075</v>
      </c>
      <c r="U738" s="6" t="n">
        <f aca="false">T738-S738</f>
        <v>1005.045</v>
      </c>
      <c r="V738" s="7" t="n">
        <f aca="false">IF(T738=0,0,U738/T738)</f>
        <v>0.42675710964619</v>
      </c>
      <c r="W738" s="4" t="n">
        <f aca="false">C738-B738</f>
        <v>3</v>
      </c>
      <c r="X738" s="0" t="str">
        <f aca="false">TEXT(B738,"mmmm")</f>
        <v>December</v>
      </c>
      <c r="Y738" s="4" t="n">
        <f aca="false">YEAR(B738)</f>
        <v>2024</v>
      </c>
      <c r="Z738" s="0" t="str">
        <f aca="false">PROPER(TRIM(AU738))</f>
        <v>Paid</v>
      </c>
      <c r="AA738" s="0" t="str">
        <f aca="false">PROPER(TRIM(AV738))</f>
        <v>Completed</v>
      </c>
      <c r="AB738" s="0" t="str">
        <f aca="false">IF(TRIM(AN738)="","Yes","No")</f>
        <v>No</v>
      </c>
      <c r="AC738" s="0" t="str">
        <f aca="false">IF(TRIM(AS738)="","Yes","No")</f>
        <v>No</v>
      </c>
      <c r="AD738" s="0" t="str">
        <f aca="false">IF(AT738="","Yes","No")</f>
        <v>No</v>
      </c>
      <c r="AE738" s="0" t="str">
        <f aca="false">IF(W738&lt;0,"Yes","No")</f>
        <v>No</v>
      </c>
      <c r="AF738" s="0" t="str">
        <f aca="false">IF(P738="","No",IF(OR(P738&lt;0,P738&gt;0.3),"Yes","No"))</f>
        <v>No</v>
      </c>
      <c r="AG738" s="4" t="s">
        <v>50</v>
      </c>
      <c r="AH738" s="0" t="str">
        <f aca="false">IF(AND(AA738="Completed",Z738="Paid"),"Yes","No")</f>
        <v>Yes</v>
      </c>
      <c r="AI738" s="0" t="str">
        <f aca="false">IF(OR(AE738="Yes",AF738="Yes",AG738="Yes"),"Invalid",IF(OR(AB738="Yes",AC738="Yes",AD738="Yes"),"Warning","Clean"))</f>
        <v>Clean</v>
      </c>
      <c r="AJ738" s="4" t="s">
        <v>2289</v>
      </c>
      <c r="AK738" s="4" t="s">
        <v>2749</v>
      </c>
      <c r="AL738" s="4" t="s">
        <v>127</v>
      </c>
      <c r="AM738" s="4" t="s">
        <v>54</v>
      </c>
      <c r="AN738" s="4" t="s">
        <v>97</v>
      </c>
      <c r="AO738" s="4" t="s">
        <v>98</v>
      </c>
      <c r="AP738" s="4" t="s">
        <v>99</v>
      </c>
      <c r="AQ738" s="4" t="s">
        <v>72</v>
      </c>
      <c r="AR738" s="4" t="s">
        <v>100</v>
      </c>
      <c r="AS738" s="4" t="s">
        <v>60</v>
      </c>
      <c r="AT738" s="0" t="n">
        <v>0.1</v>
      </c>
      <c r="AU738" s="4" t="s">
        <v>61</v>
      </c>
      <c r="AV738" s="4" t="s">
        <v>62</v>
      </c>
    </row>
    <row r="739" customFormat="false" ht="15" hidden="false" customHeight="false" outlineLevel="0" collapsed="false">
      <c r="A739" s="0" t="s">
        <v>2750</v>
      </c>
      <c r="B739" s="3" t="n">
        <f aca="false">IF(AJ739="","",IF(ISNUMBER(SEARCH("/",AJ739)),DATE(VALUE(RIGHT(AJ739,4)),VALUE(LEFT(AJ739,2)),VALUE(MID(AJ739,4,2))),IF(ISNUMBER(SEARCH("-",AJ739)),IF(LEN(LEFT(AJ739,FIND("-",AJ739)-1))=4,DATE(VALUE(LEFT(AJ739,4)),VALUE(MID(AJ739,6,2)),VALUE(RIGHT(AJ739,2))),DATE(VALUE(RIGHT(AJ739,4)),VALUE(MID(AJ739,4,2)),VALUE(LEFT(AJ739,2)))),DATE(VALUE(RIGHT(AJ739,4)),MATCH(MID(AJ739,4,3),{"Jan","Feb","Mar","Apr","May","Jun","Jul","Aug","Sep","Oct","Nov","Dec"},0),VALUE(LEFT(AJ739,2))))))</f>
        <v>45332</v>
      </c>
      <c r="C739" s="3" t="n">
        <f aca="false">IF(AK739="","",IF(ISNUMBER(SEARCH("/",AK739)),DATE(VALUE(RIGHT(AK739,4)),VALUE(LEFT(AK739,2)),VALUE(MID(AK739,4,2))),IF(ISNUMBER(SEARCH("-",AK739)),IF(LEN(LEFT(AK739,FIND("-",AK739)-1))=4,DATE(VALUE(LEFT(AK739,4)),VALUE(MID(AK739,6,2)),VALUE(RIGHT(AK739,2))),DATE(VALUE(RIGHT(AK739,4)),VALUE(MID(AK739,4,2)),VALUE(LEFT(AK739,2)))),DATE(VALUE(RIGHT(AK739,4)),MATCH(MID(AK739,4,3),{"Jan","Feb","Mar","Apr","May","Jun","Jul","Aug","Sep","Oct","Nov","Dec"},0),VALUE(LEFT(AK739,2))))))</f>
        <v>45332</v>
      </c>
      <c r="D739" s="4" t="s">
        <v>2751</v>
      </c>
      <c r="E739" s="0" t="str">
        <f aca="false">PROPER(TRIM(AL739))</f>
        <v>Isha Nair</v>
      </c>
      <c r="F739" s="0" t="str">
        <f aca="false">PROPER(TRIM(AM739))</f>
        <v>Home Office</v>
      </c>
      <c r="G739" s="0" t="str">
        <f aca="false">IF(TRIM(AN739)="","Unknown",PROPER(TRIM(AN739)))</f>
        <v>West</v>
      </c>
      <c r="H739" s="0" t="str">
        <f aca="false">PROPER(TRIM(AO739))</f>
        <v>Maharashtra</v>
      </c>
      <c r="I739" s="0" t="str">
        <f aca="false">PROPER(TRIM(AP739))</f>
        <v>Mumbai</v>
      </c>
      <c r="J739" s="0" t="str">
        <f aca="false">PROPER(TRIM(AQ739))</f>
        <v>Furniture</v>
      </c>
      <c r="K739" s="0" t="str">
        <f aca="false">PROPER(TRIM(AR739))</f>
        <v>Chairs</v>
      </c>
      <c r="M739" s="0" t="str">
        <f aca="false">IF(TRIM(AS739)="","Unknown",PROPER(TRIM(AS739)))</f>
        <v>Same Day</v>
      </c>
      <c r="N739" s="0" t="n">
        <v>6</v>
      </c>
      <c r="O739" s="0" t="n">
        <v>601.52</v>
      </c>
      <c r="P739" s="5" t="n">
        <f aca="false">IF(AT739="","",IF(ISNUMBER(AT739),AT739,VALUE(SUBSTITUTE(AT739,"%",""))/100))</f>
        <v>0</v>
      </c>
      <c r="Q739" s="5" t="n">
        <f aca="false">IF(P739="",IF(AND(N739&lt;&gt;"",O739&lt;&gt;"",R739&lt;&gt;"",S739&lt;&gt;""),0,"REVIEW"),IF(OR(P739&lt;0,P739&gt;0.3),0,P739))</f>
        <v>0</v>
      </c>
      <c r="R739" s="0" t="n">
        <v>3609.12</v>
      </c>
      <c r="S739" s="0" t="n">
        <v>2645.5</v>
      </c>
      <c r="T739" s="6" t="n">
        <f aca="false">N739*O739*(1-Q739)</f>
        <v>3609.12</v>
      </c>
      <c r="U739" s="6" t="n">
        <f aca="false">T739-S739</f>
        <v>963.62</v>
      </c>
      <c r="V739" s="7" t="n">
        <f aca="false">IF(T739=0,0,U739/T739)</f>
        <v>0.266995832779182</v>
      </c>
      <c r="W739" s="4" t="n">
        <f aca="false">C739-B739</f>
        <v>0</v>
      </c>
      <c r="X739" s="0" t="str">
        <f aca="false">TEXT(B739,"mmmm")</f>
        <v>February</v>
      </c>
      <c r="Y739" s="4" t="n">
        <f aca="false">YEAR(B739)</f>
        <v>2024</v>
      </c>
      <c r="Z739" s="0" t="str">
        <f aca="false">PROPER(TRIM(AU739))</f>
        <v>Paid</v>
      </c>
      <c r="AA739" s="0" t="str">
        <f aca="false">PROPER(TRIM(AV739))</f>
        <v>Completed</v>
      </c>
      <c r="AB739" s="0" t="str">
        <f aca="false">IF(TRIM(AN739)="","Yes","No")</f>
        <v>No</v>
      </c>
      <c r="AC739" s="0" t="str">
        <f aca="false">IF(TRIM(AS739)="","Yes","No")</f>
        <v>No</v>
      </c>
      <c r="AD739" s="0" t="str">
        <f aca="false">IF(AT739="","Yes","No")</f>
        <v>No</v>
      </c>
      <c r="AE739" s="0" t="str">
        <f aca="false">IF(W739&lt;0,"Yes","No")</f>
        <v>No</v>
      </c>
      <c r="AF739" s="0" t="str">
        <f aca="false">IF(P739="","No",IF(OR(P739&lt;0,P739&gt;0.3),"Yes","No"))</f>
        <v>No</v>
      </c>
      <c r="AG739" s="4" t="s">
        <v>50</v>
      </c>
      <c r="AH739" s="0" t="str">
        <f aca="false">IF(AND(AA739="Completed",Z739="Paid"),"Yes","No")</f>
        <v>Yes</v>
      </c>
      <c r="AI739" s="0" t="str">
        <f aca="false">IF(OR(AE739="Yes",AF739="Yes",AG739="Yes"),"Invalid",IF(OR(AB739="Yes",AC739="Yes",AD739="Yes"),"Warning","Clean"))</f>
        <v>Clean</v>
      </c>
      <c r="AJ739" s="4" t="s">
        <v>1843</v>
      </c>
      <c r="AK739" s="4" t="s">
        <v>1749</v>
      </c>
      <c r="AL739" s="4" t="s">
        <v>79</v>
      </c>
      <c r="AM739" s="4" t="s">
        <v>2752</v>
      </c>
      <c r="AN739" s="4" t="s">
        <v>97</v>
      </c>
      <c r="AO739" s="4" t="s">
        <v>98</v>
      </c>
      <c r="AP739" s="4" t="s">
        <v>99</v>
      </c>
      <c r="AQ739" s="4" t="s">
        <v>72</v>
      </c>
      <c r="AR739" s="4" t="s">
        <v>100</v>
      </c>
      <c r="AS739" s="4" t="s">
        <v>74</v>
      </c>
      <c r="AT739" s="0" t="n">
        <v>0</v>
      </c>
      <c r="AU739" s="4" t="s">
        <v>61</v>
      </c>
      <c r="AV739" s="4" t="s">
        <v>62</v>
      </c>
    </row>
    <row r="740" customFormat="false" ht="15" hidden="false" customHeight="false" outlineLevel="0" collapsed="false">
      <c r="A740" s="0" t="s">
        <v>2753</v>
      </c>
      <c r="B740" s="3" t="n">
        <f aca="false">IF(AJ740="","",IF(ISNUMBER(SEARCH("/",AJ740)),DATE(VALUE(RIGHT(AJ740,4)),VALUE(LEFT(AJ740,2)),VALUE(MID(AJ740,4,2))),IF(ISNUMBER(SEARCH("-",AJ740)),IF(LEN(LEFT(AJ740,FIND("-",AJ740)-1))=4,DATE(VALUE(LEFT(AJ740,4)),VALUE(MID(AJ740,6,2)),VALUE(RIGHT(AJ740,2))),DATE(VALUE(RIGHT(AJ740,4)),VALUE(MID(AJ740,4,2)),VALUE(LEFT(AJ740,2)))),DATE(VALUE(RIGHT(AJ740,4)),MATCH(MID(AJ740,4,3),{"Jan","Feb","Mar","Apr","May","Jun","Jul","Aug","Sep","Oct","Nov","Dec"},0),VALUE(LEFT(AJ740,2))))))</f>
        <v>45708</v>
      </c>
      <c r="C740" s="3" t="n">
        <f aca="false">IF(AK740="","",IF(ISNUMBER(SEARCH("/",AK740)),DATE(VALUE(RIGHT(AK740,4)),VALUE(LEFT(AK740,2)),VALUE(MID(AK740,4,2))),IF(ISNUMBER(SEARCH("-",AK740)),IF(LEN(LEFT(AK740,FIND("-",AK740)-1))=4,DATE(VALUE(LEFT(AK740,4)),VALUE(MID(AK740,6,2)),VALUE(RIGHT(AK740,2))),DATE(VALUE(RIGHT(AK740,4)),VALUE(MID(AK740,4,2)),VALUE(LEFT(AK740,2)))),DATE(VALUE(RIGHT(AK740,4)),MATCH(MID(AK740,4,3),{"Jan","Feb","Mar","Apr","May","Jun","Jul","Aug","Sep","Oct","Nov","Dec"},0),VALUE(LEFT(AK740,2))))))</f>
        <v>45710</v>
      </c>
      <c r="D740" s="4" t="s">
        <v>2754</v>
      </c>
      <c r="E740" s="0" t="str">
        <f aca="false">PROPER(TRIM(AL740))</f>
        <v>Priya Menon</v>
      </c>
      <c r="F740" s="0" t="str">
        <f aca="false">PROPER(TRIM(AM740))</f>
        <v>Corporate</v>
      </c>
      <c r="G740" s="0" t="str">
        <f aca="false">IF(TRIM(AN740)="","Unknown",PROPER(TRIM(AN740)))</f>
        <v>South</v>
      </c>
      <c r="H740" s="0" t="str">
        <f aca="false">PROPER(TRIM(AO740))</f>
        <v>Kerala</v>
      </c>
      <c r="I740" s="0" t="str">
        <f aca="false">PROPER(TRIM(AP740))</f>
        <v>Kochi</v>
      </c>
      <c r="J740" s="0" t="str">
        <f aca="false">PROPER(TRIM(AQ740))</f>
        <v>Office Supplies</v>
      </c>
      <c r="K740" s="0" t="str">
        <f aca="false">PROPER(TRIM(AR740))</f>
        <v>Paper</v>
      </c>
      <c r="M740" s="0" t="str">
        <f aca="false">IF(TRIM(AS740)="","Unknown",PROPER(TRIM(AS740)))</f>
        <v>First Class</v>
      </c>
      <c r="N740" s="0" t="n">
        <v>1</v>
      </c>
      <c r="O740" s="0" t="n">
        <v>2188.19</v>
      </c>
      <c r="P740" s="5" t="n">
        <f aca="false">IF(AT740="","",IF(ISNUMBER(AT740),AT740,VALUE(SUBSTITUTE(AT740,"%",""))/100))</f>
        <v>0</v>
      </c>
      <c r="Q740" s="5" t="n">
        <f aca="false">IF(P740="",IF(AND(N740&lt;&gt;"",O740&lt;&gt;"",R740&lt;&gt;"",S740&lt;&gt;""),0,"REVIEW"),IF(OR(P740&lt;0,P740&gt;0.3),0,P740))</f>
        <v>0</v>
      </c>
      <c r="R740" s="0" t="n">
        <v>2188.19</v>
      </c>
      <c r="S740" s="0" t="n">
        <v>1298.84</v>
      </c>
      <c r="T740" s="6" t="n">
        <f aca="false">N740*O740*(1-Q740)</f>
        <v>2188.19</v>
      </c>
      <c r="U740" s="6" t="n">
        <f aca="false">T740-S740</f>
        <v>889.35</v>
      </c>
      <c r="V740" s="7" t="n">
        <f aca="false">IF(T740=0,0,U740/T740)</f>
        <v>0.406431799798007</v>
      </c>
      <c r="W740" s="4" t="n">
        <f aca="false">C740-B740</f>
        <v>2</v>
      </c>
      <c r="X740" s="0" t="str">
        <f aca="false">TEXT(B740,"mmmm")</f>
        <v>February</v>
      </c>
      <c r="Y740" s="4" t="n">
        <f aca="false">YEAR(B740)</f>
        <v>2025</v>
      </c>
      <c r="Z740" s="0" t="str">
        <f aca="false">PROPER(TRIM(AU740))</f>
        <v>Paid</v>
      </c>
      <c r="AA740" s="0" t="str">
        <f aca="false">PROPER(TRIM(AV740))</f>
        <v>Completed</v>
      </c>
      <c r="AB740" s="0" t="str">
        <f aca="false">IF(TRIM(AN740)="","Yes","No")</f>
        <v>No</v>
      </c>
      <c r="AC740" s="0" t="str">
        <f aca="false">IF(TRIM(AS740)="","Yes","No")</f>
        <v>No</v>
      </c>
      <c r="AD740" s="0" t="str">
        <f aca="false">IF(AT740="","Yes","No")</f>
        <v>No</v>
      </c>
      <c r="AE740" s="0" t="str">
        <f aca="false">IF(W740&lt;0,"Yes","No")</f>
        <v>No</v>
      </c>
      <c r="AF740" s="0" t="str">
        <f aca="false">IF(P740="","No",IF(OR(P740&lt;0,P740&gt;0.3),"Yes","No"))</f>
        <v>No</v>
      </c>
      <c r="AG740" s="4" t="s">
        <v>50</v>
      </c>
      <c r="AH740" s="0" t="str">
        <f aca="false">IF(AND(AA740="Completed",Z740="Paid"),"Yes","No")</f>
        <v>Yes</v>
      </c>
      <c r="AI740" s="0" t="str">
        <f aca="false">IF(OR(AE740="Yes",AF740="Yes",AG740="Yes"),"Invalid",IF(OR(AB740="Yes",AC740="Yes",AD740="Yes"),"Warning","Clean"))</f>
        <v>Clean</v>
      </c>
      <c r="AJ740" s="4" t="s">
        <v>1308</v>
      </c>
      <c r="AK740" s="4" t="s">
        <v>2755</v>
      </c>
      <c r="AL740" s="4" t="s">
        <v>158</v>
      </c>
      <c r="AM740" s="4" t="s">
        <v>128</v>
      </c>
      <c r="AN740" s="4" t="s">
        <v>87</v>
      </c>
      <c r="AO740" s="4" t="s">
        <v>244</v>
      </c>
      <c r="AP740" s="4" t="s">
        <v>245</v>
      </c>
      <c r="AQ740" s="4" t="s">
        <v>58</v>
      </c>
      <c r="AR740" s="4" t="s">
        <v>59</v>
      </c>
      <c r="AS740" s="4" t="s">
        <v>81</v>
      </c>
      <c r="AT740" s="0" t="n">
        <v>0</v>
      </c>
      <c r="AU740" s="4" t="s">
        <v>61</v>
      </c>
      <c r="AV740" s="4" t="s">
        <v>62</v>
      </c>
    </row>
    <row r="741" customFormat="false" ht="15" hidden="false" customHeight="false" outlineLevel="0" collapsed="false">
      <c r="A741" s="0" t="s">
        <v>2756</v>
      </c>
      <c r="B741" s="3" t="n">
        <f aca="false">IF(AJ741="","",IF(ISNUMBER(SEARCH("/",AJ741)),DATE(VALUE(RIGHT(AJ741,4)),VALUE(LEFT(AJ741,2)),VALUE(MID(AJ741,4,2))),IF(ISNUMBER(SEARCH("-",AJ741)),IF(LEN(LEFT(AJ741,FIND("-",AJ741)-1))=4,DATE(VALUE(LEFT(AJ741,4)),VALUE(MID(AJ741,6,2)),VALUE(RIGHT(AJ741,2))),DATE(VALUE(RIGHT(AJ741,4)),VALUE(MID(AJ741,4,2)),VALUE(LEFT(AJ741,2)))),DATE(VALUE(RIGHT(AJ741,4)),MATCH(MID(AJ741,4,3),{"Jan","Feb","Mar","Apr","May","Jun","Jul","Aug","Sep","Oct","Nov","Dec"},0),VALUE(LEFT(AJ741,2))))))</f>
        <v>45629</v>
      </c>
      <c r="C741" s="3" t="n">
        <f aca="false">IF(AK741="","",IF(ISNUMBER(SEARCH("/",AK741)),DATE(VALUE(RIGHT(AK741,4)),VALUE(LEFT(AK741,2)),VALUE(MID(AK741,4,2))),IF(ISNUMBER(SEARCH("-",AK741)),IF(LEN(LEFT(AK741,FIND("-",AK741)-1))=4,DATE(VALUE(LEFT(AK741,4)),VALUE(MID(AK741,6,2)),VALUE(RIGHT(AK741,2))),DATE(VALUE(RIGHT(AK741,4)),VALUE(MID(AK741,4,2)),VALUE(LEFT(AK741,2)))),DATE(VALUE(RIGHT(AK741,4)),MATCH(MID(AK741,4,3),{"Jan","Feb","Mar","Apr","May","Jun","Jul","Aug","Sep","Oct","Nov","Dec"},0),VALUE(LEFT(AK741,2))))))</f>
        <v>45636</v>
      </c>
      <c r="D741" s="4" t="s">
        <v>2757</v>
      </c>
      <c r="E741" s="0" t="str">
        <f aca="false">PROPER(TRIM(AL741))</f>
        <v>Neha Gupta</v>
      </c>
      <c r="F741" s="0" t="str">
        <f aca="false">PROPER(TRIM(AM741))</f>
        <v>Corporate</v>
      </c>
      <c r="G741" s="0" t="str">
        <f aca="false">IF(TRIM(AN741)="","Unknown",PROPER(TRIM(AN741)))</f>
        <v>North</v>
      </c>
      <c r="H741" s="0" t="str">
        <f aca="false">PROPER(TRIM(AO741))</f>
        <v>Rajasthan</v>
      </c>
      <c r="I741" s="0" t="str">
        <f aca="false">PROPER(TRIM(AP741))</f>
        <v>Jaipur</v>
      </c>
      <c r="J741" s="0" t="str">
        <f aca="false">PROPER(TRIM(AQ741))</f>
        <v>Technology</v>
      </c>
      <c r="K741" s="0" t="str">
        <f aca="false">PROPER(TRIM(AR741))</f>
        <v>Phones</v>
      </c>
      <c r="M741" s="0" t="str">
        <f aca="false">IF(TRIM(AS741)="","Unknown",PROPER(TRIM(AS741)))</f>
        <v>Standard Class</v>
      </c>
      <c r="N741" s="0" t="n">
        <v>5</v>
      </c>
      <c r="O741" s="0" t="n">
        <v>2393.86</v>
      </c>
      <c r="P741" s="5" t="n">
        <f aca="false">IF(AT741="","",IF(ISNUMBER(AT741),AT741,VALUE(SUBSTITUTE(AT741,"%",""))/100))</f>
        <v>0.05</v>
      </c>
      <c r="Q741" s="5" t="n">
        <f aca="false">IF(P741="",IF(AND(N741&lt;&gt;"",O741&lt;&gt;"",R741&lt;&gt;"",S741&lt;&gt;""),0,"REVIEW"),IF(OR(P741&lt;0,P741&gt;0.3),0,P741))</f>
        <v>0.05</v>
      </c>
      <c r="R741" s="0" t="n">
        <v>11370.84</v>
      </c>
      <c r="S741" s="0" t="n">
        <v>7469.58</v>
      </c>
      <c r="T741" s="6" t="n">
        <f aca="false">N741*O741*(1-Q741)</f>
        <v>11370.835</v>
      </c>
      <c r="U741" s="6" t="n">
        <f aca="false">T741-S741</f>
        <v>3901.255</v>
      </c>
      <c r="V741" s="7" t="n">
        <f aca="false">IF(T741=0,0,U741/T741)</f>
        <v>0.343093097384669</v>
      </c>
      <c r="W741" s="4" t="n">
        <f aca="false">C741-B741</f>
        <v>7</v>
      </c>
      <c r="X741" s="0" t="str">
        <f aca="false">TEXT(B741,"mmmm")</f>
        <v>December</v>
      </c>
      <c r="Y741" s="4" t="n">
        <f aca="false">YEAR(B741)</f>
        <v>2024</v>
      </c>
      <c r="Z741" s="0" t="str">
        <f aca="false">PROPER(TRIM(AU741))</f>
        <v>Paid</v>
      </c>
      <c r="AA741" s="0" t="str">
        <f aca="false">PROPER(TRIM(AV741))</f>
        <v>Completed</v>
      </c>
      <c r="AB741" s="0" t="str">
        <f aca="false">IF(TRIM(AN741)="","Yes","No")</f>
        <v>No</v>
      </c>
      <c r="AC741" s="0" t="str">
        <f aca="false">IF(TRIM(AS741)="","Yes","No")</f>
        <v>No</v>
      </c>
      <c r="AD741" s="0" t="str">
        <f aca="false">IF(AT741="","Yes","No")</f>
        <v>No</v>
      </c>
      <c r="AE741" s="0" t="str">
        <f aca="false">IF(W741&lt;0,"Yes","No")</f>
        <v>No</v>
      </c>
      <c r="AF741" s="0" t="str">
        <f aca="false">IF(P741="","No",IF(OR(P741&lt;0,P741&gt;0.3),"Yes","No"))</f>
        <v>No</v>
      </c>
      <c r="AG741" s="4" t="s">
        <v>50</v>
      </c>
      <c r="AH741" s="0" t="str">
        <f aca="false">IF(AND(AA741="Completed",Z741="Paid"),"Yes","No")</f>
        <v>Yes</v>
      </c>
      <c r="AI741" s="0" t="str">
        <f aca="false">IF(OR(AE741="Yes",AF741="Yes",AG741="Yes"),"Invalid",IF(OR(AB741="Yes",AC741="Yes",AD741="Yes"),"Warning","Clean"))</f>
        <v>Clean</v>
      </c>
      <c r="AJ741" s="4" t="s">
        <v>2758</v>
      </c>
      <c r="AK741" s="4" t="s">
        <v>2759</v>
      </c>
      <c r="AL741" s="4" t="s">
        <v>115</v>
      </c>
      <c r="AM741" s="4" t="s">
        <v>128</v>
      </c>
      <c r="AN741" s="4" t="s">
        <v>168</v>
      </c>
      <c r="AO741" s="4" t="s">
        <v>56</v>
      </c>
      <c r="AP741" s="4" t="s">
        <v>57</v>
      </c>
      <c r="AQ741" s="4" t="s">
        <v>109</v>
      </c>
      <c r="AR741" s="4" t="s">
        <v>227</v>
      </c>
      <c r="AS741" s="4" t="s">
        <v>91</v>
      </c>
      <c r="AT741" s="0" t="n">
        <v>0.05</v>
      </c>
      <c r="AU741" s="4" t="s">
        <v>61</v>
      </c>
      <c r="AV741" s="4" t="s">
        <v>62</v>
      </c>
    </row>
    <row r="742" customFormat="false" ht="15" hidden="false" customHeight="false" outlineLevel="0" collapsed="false">
      <c r="A742" s="0" t="s">
        <v>2760</v>
      </c>
      <c r="B742" s="3" t="n">
        <f aca="false">IF(AJ742="","",IF(ISNUMBER(SEARCH("/",AJ742)),DATE(VALUE(RIGHT(AJ742,4)),VALUE(LEFT(AJ742,2)),VALUE(MID(AJ742,4,2))),IF(ISNUMBER(SEARCH("-",AJ742)),IF(LEN(LEFT(AJ742,FIND("-",AJ742)-1))=4,DATE(VALUE(LEFT(AJ742,4)),VALUE(MID(AJ742,6,2)),VALUE(RIGHT(AJ742,2))),DATE(VALUE(RIGHT(AJ742,4)),VALUE(MID(AJ742,4,2)),VALUE(LEFT(AJ742,2)))),DATE(VALUE(RIGHT(AJ742,4)),MATCH(MID(AJ742,4,3),{"Jan","Feb","Mar","Apr","May","Jun","Jul","Aug","Sep","Oct","Nov","Dec"},0),VALUE(LEFT(AJ742,2))))))</f>
        <v>45384</v>
      </c>
      <c r="C742" s="3" t="n">
        <f aca="false">IF(AK742="","",IF(ISNUMBER(SEARCH("/",AK742)),DATE(VALUE(RIGHT(AK742,4)),VALUE(LEFT(AK742,2)),VALUE(MID(AK742,4,2))),IF(ISNUMBER(SEARCH("-",AK742)),IF(LEN(LEFT(AK742,FIND("-",AK742)-1))=4,DATE(VALUE(LEFT(AK742,4)),VALUE(MID(AK742,6,2)),VALUE(RIGHT(AK742,2))),DATE(VALUE(RIGHT(AK742,4)),VALUE(MID(AK742,4,2)),VALUE(LEFT(AK742,2)))),DATE(VALUE(RIGHT(AK742,4)),MATCH(MID(AK742,4,3),{"Jan","Feb","Mar","Apr","May","Jun","Jul","Aug","Sep","Oct","Nov","Dec"},0),VALUE(LEFT(AK742,2))))))</f>
        <v>45384</v>
      </c>
      <c r="D742" s="4" t="s">
        <v>681</v>
      </c>
      <c r="E742" s="0" t="str">
        <f aca="false">PROPER(TRIM(AL742))</f>
        <v>Sneha Kapoor</v>
      </c>
      <c r="F742" s="0" t="str">
        <f aca="false">PROPER(TRIM(AM742))</f>
        <v>Small Business</v>
      </c>
      <c r="G742" s="0" t="str">
        <f aca="false">IF(TRIM(AN742)="","Unknown",PROPER(TRIM(AN742)))</f>
        <v>West</v>
      </c>
      <c r="H742" s="0" t="str">
        <f aca="false">PROPER(TRIM(AO742))</f>
        <v>Maharashtra</v>
      </c>
      <c r="I742" s="0" t="str">
        <f aca="false">PROPER(TRIM(AP742))</f>
        <v>Mumbai</v>
      </c>
      <c r="J742" s="0" t="str">
        <f aca="false">PROPER(TRIM(AQ742))</f>
        <v>Furniture</v>
      </c>
      <c r="K742" s="0" t="str">
        <f aca="false">PROPER(TRIM(AR742))</f>
        <v>Chairs</v>
      </c>
      <c r="M742" s="0" t="str">
        <f aca="false">IF(TRIM(AS742)="","Unknown",PROPER(TRIM(AS742)))</f>
        <v>First Class</v>
      </c>
      <c r="N742" s="0" t="n">
        <v>4</v>
      </c>
      <c r="O742" s="0" t="n">
        <v>2583</v>
      </c>
      <c r="P742" s="5" t="n">
        <f aca="false">IF(AT742="","",IF(ISNUMBER(AT742),AT742,VALUE(SUBSTITUTE(AT742,"%",""))/100))</f>
        <v>0.1</v>
      </c>
      <c r="Q742" s="5" t="n">
        <f aca="false">IF(P742="",IF(AND(N742&lt;&gt;"",O742&lt;&gt;"",R742&lt;&gt;"",S742&lt;&gt;""),0,"REVIEW"),IF(OR(P742&lt;0,P742&gt;0.3),0,P742))</f>
        <v>0.1</v>
      </c>
      <c r="R742" s="0" t="n">
        <v>9298.8</v>
      </c>
      <c r="S742" s="0" t="n">
        <v>6548.5</v>
      </c>
      <c r="T742" s="6" t="n">
        <f aca="false">N742*O742*(1-Q742)</f>
        <v>9298.8</v>
      </c>
      <c r="U742" s="6" t="n">
        <f aca="false">T742-S742</f>
        <v>2750.3</v>
      </c>
      <c r="V742" s="7" t="n">
        <f aca="false">IF(T742=0,0,U742/T742)</f>
        <v>0.295769346582355</v>
      </c>
      <c r="W742" s="4" t="n">
        <f aca="false">C742-B742</f>
        <v>0</v>
      </c>
      <c r="X742" s="0" t="str">
        <f aca="false">TEXT(B742,"mmmm")</f>
        <v>April</v>
      </c>
      <c r="Y742" s="4" t="n">
        <f aca="false">YEAR(B742)</f>
        <v>2024</v>
      </c>
      <c r="Z742" s="0" t="str">
        <f aca="false">PROPER(TRIM(AU742))</f>
        <v>Paid</v>
      </c>
      <c r="AA742" s="0" t="str">
        <f aca="false">PROPER(TRIM(AV742))</f>
        <v>Completed</v>
      </c>
      <c r="AB742" s="0" t="str">
        <f aca="false">IF(TRIM(AN742)="","Yes","No")</f>
        <v>No</v>
      </c>
      <c r="AC742" s="0" t="str">
        <f aca="false">IF(TRIM(AS742)="","Yes","No")</f>
        <v>No</v>
      </c>
      <c r="AD742" s="0" t="str">
        <f aca="false">IF(AT742="","Yes","No")</f>
        <v>No</v>
      </c>
      <c r="AE742" s="0" t="str">
        <f aca="false">IF(W742&lt;0,"Yes","No")</f>
        <v>No</v>
      </c>
      <c r="AF742" s="0" t="str">
        <f aca="false">IF(P742="","No",IF(OR(P742&lt;0,P742&gt;0.3),"Yes","No"))</f>
        <v>No</v>
      </c>
      <c r="AG742" s="4" t="s">
        <v>50</v>
      </c>
      <c r="AH742" s="0" t="str">
        <f aca="false">IF(AND(AA742="Completed",Z742="Paid"),"Yes","No")</f>
        <v>Yes</v>
      </c>
      <c r="AI742" s="0" t="str">
        <f aca="false">IF(OR(AE742="Yes",AF742="Yes",AG742="Yes"),"Invalid",IF(OR(AB742="Yes",AC742="Yes",AD742="Yes"),"Warning","Clean"))</f>
        <v>Clean</v>
      </c>
      <c r="AJ742" s="4" t="s">
        <v>2761</v>
      </c>
      <c r="AK742" s="4" t="s">
        <v>1781</v>
      </c>
      <c r="AL742" s="4" t="s">
        <v>181</v>
      </c>
      <c r="AM742" s="4" t="s">
        <v>68</v>
      </c>
      <c r="AN742" s="4" t="s">
        <v>97</v>
      </c>
      <c r="AO742" s="4" t="s">
        <v>98</v>
      </c>
      <c r="AP742" s="4" t="s">
        <v>99</v>
      </c>
      <c r="AQ742" s="4" t="s">
        <v>72</v>
      </c>
      <c r="AR742" s="4" t="s">
        <v>100</v>
      </c>
      <c r="AS742" s="4" t="s">
        <v>81</v>
      </c>
      <c r="AT742" s="0" t="n">
        <v>0.1</v>
      </c>
      <c r="AU742" s="4" t="s">
        <v>61</v>
      </c>
      <c r="AV742" s="4" t="s">
        <v>62</v>
      </c>
    </row>
    <row r="743" customFormat="false" ht="15" hidden="false" customHeight="false" outlineLevel="0" collapsed="false">
      <c r="A743" s="0" t="s">
        <v>2762</v>
      </c>
      <c r="B743" s="3" t="n">
        <f aca="false">IF(AJ743="","",IF(ISNUMBER(SEARCH("/",AJ743)),DATE(VALUE(RIGHT(AJ743,4)),VALUE(LEFT(AJ743,2)),VALUE(MID(AJ743,4,2))),IF(ISNUMBER(SEARCH("-",AJ743)),IF(LEN(LEFT(AJ743,FIND("-",AJ743)-1))=4,DATE(VALUE(LEFT(AJ743,4)),VALUE(MID(AJ743,6,2)),VALUE(RIGHT(AJ743,2))),DATE(VALUE(RIGHT(AJ743,4)),VALUE(MID(AJ743,4,2)),VALUE(LEFT(AJ743,2)))),DATE(VALUE(RIGHT(AJ743,4)),MATCH(MID(AJ743,4,3),{"Jan","Feb","Mar","Apr","May","Jun","Jul","Aug","Sep","Oct","Nov","Dec"},0),VALUE(LEFT(AJ743,2))))))</f>
        <v>45770</v>
      </c>
      <c r="C743" s="3" t="n">
        <f aca="false">IF(AK743="","",IF(ISNUMBER(SEARCH("/",AK743)),DATE(VALUE(RIGHT(AK743,4)),VALUE(LEFT(AK743,2)),VALUE(MID(AK743,4,2))),IF(ISNUMBER(SEARCH("-",AK743)),IF(LEN(LEFT(AK743,FIND("-",AK743)-1))=4,DATE(VALUE(LEFT(AK743,4)),VALUE(MID(AK743,6,2)),VALUE(RIGHT(AK743,2))),DATE(VALUE(RIGHT(AK743,4)),VALUE(MID(AK743,4,2)),VALUE(LEFT(AK743,2)))),DATE(VALUE(RIGHT(AK743,4)),MATCH(MID(AK743,4,3),{"Jan","Feb","Mar","Apr","May","Jun","Jul","Aug","Sep","Oct","Nov","Dec"},0),VALUE(LEFT(AK743,2))))))</f>
        <v>45772</v>
      </c>
      <c r="D743" s="4" t="s">
        <v>2763</v>
      </c>
      <c r="E743" s="0" t="str">
        <f aca="false">PROPER(TRIM(AL743))</f>
        <v>Isha Nair</v>
      </c>
      <c r="F743" s="0" t="str">
        <f aca="false">PROPER(TRIM(AM743))</f>
        <v>Home Office</v>
      </c>
      <c r="G743" s="0" t="str">
        <f aca="false">IF(TRIM(AN743)="","Unknown",PROPER(TRIM(AN743)))</f>
        <v>South</v>
      </c>
      <c r="H743" s="0" t="str">
        <f aca="false">PROPER(TRIM(AO743))</f>
        <v>Tamil Nadu</v>
      </c>
      <c r="I743" s="0" t="str">
        <f aca="false">PROPER(TRIM(AP743))</f>
        <v>Chennai</v>
      </c>
      <c r="J743" s="0" t="str">
        <f aca="false">PROPER(TRIM(AQ743))</f>
        <v>Furniture</v>
      </c>
      <c r="K743" s="0" t="str">
        <f aca="false">PROPER(TRIM(AR743))</f>
        <v>Chairs</v>
      </c>
      <c r="M743" s="0" t="str">
        <f aca="false">IF(TRIM(AS743)="","Unknown",PROPER(TRIM(AS743)))</f>
        <v>Second Class</v>
      </c>
      <c r="N743" s="0" t="n">
        <v>3</v>
      </c>
      <c r="O743" s="0" t="n">
        <v>2951.12</v>
      </c>
      <c r="P743" s="5" t="str">
        <f aca="false">IF(AT743="","",IF(ISNUMBER(AT743),AT743,VALUE(SUBSTITUTE(AT743,"%",""))/100))</f>
        <v/>
      </c>
      <c r="Q743" s="5" t="n">
        <f aca="false">IF(P743="",IF(AND(N743&lt;&gt;"",O743&lt;&gt;"",R743&lt;&gt;"",S743&lt;&gt;""),0,"REVIEW"),IF(OR(P743&lt;0,P743&gt;0.3),0,P743))</f>
        <v>0</v>
      </c>
      <c r="R743" s="0" t="n">
        <v>7082.69</v>
      </c>
      <c r="S743" s="0" t="n">
        <v>5596.34</v>
      </c>
      <c r="T743" s="6" t="n">
        <f aca="false">N743*O743*(1-Q743)</f>
        <v>8853.36</v>
      </c>
      <c r="U743" s="6" t="n">
        <f aca="false">T743-S743</f>
        <v>3257.02</v>
      </c>
      <c r="V743" s="7" t="n">
        <f aca="false">IF(T743=0,0,U743/T743)</f>
        <v>0.36788518709281</v>
      </c>
      <c r="W743" s="4" t="n">
        <f aca="false">C743-B743</f>
        <v>2</v>
      </c>
      <c r="X743" s="0" t="str">
        <f aca="false">TEXT(B743,"mmmm")</f>
        <v>April</v>
      </c>
      <c r="Y743" s="4" t="n">
        <f aca="false">YEAR(B743)</f>
        <v>2025</v>
      </c>
      <c r="Z743" s="0" t="str">
        <f aca="false">PROPER(TRIM(AU743))</f>
        <v>Paid</v>
      </c>
      <c r="AA743" s="0" t="str">
        <f aca="false">PROPER(TRIM(AV743))</f>
        <v>Cancelled</v>
      </c>
      <c r="AB743" s="0" t="str">
        <f aca="false">IF(TRIM(AN743)="","Yes","No")</f>
        <v>No</v>
      </c>
      <c r="AC743" s="0" t="str">
        <f aca="false">IF(TRIM(AS743)="","Yes","No")</f>
        <v>No</v>
      </c>
      <c r="AD743" s="0" t="str">
        <f aca="false">IF(AT743="","Yes","No")</f>
        <v>Yes</v>
      </c>
      <c r="AE743" s="0" t="str">
        <f aca="false">IF(W743&lt;0,"Yes","No")</f>
        <v>No</v>
      </c>
      <c r="AF743" s="0" t="str">
        <f aca="false">IF(P743="","No",IF(OR(P743&lt;0,P743&gt;0.3),"Yes","No"))</f>
        <v>No</v>
      </c>
      <c r="AG743" s="4" t="s">
        <v>50</v>
      </c>
      <c r="AH743" s="0" t="str">
        <f aca="false">IF(AND(AA743="Completed",Z743="Paid"),"Yes","No")</f>
        <v>No</v>
      </c>
      <c r="AI743" s="0" t="str">
        <f aca="false">IF(OR(AE743="Yes",AF743="Yes",AG743="Yes"),"Invalid",IF(OR(AB743="Yes",AC743="Yes",AD743="Yes"),"Warning","Clean"))</f>
        <v>Warning</v>
      </c>
      <c r="AJ743" s="4" t="s">
        <v>2764</v>
      </c>
      <c r="AK743" s="4" t="s">
        <v>2765</v>
      </c>
      <c r="AL743" s="4" t="s">
        <v>79</v>
      </c>
      <c r="AM743" s="4" t="s">
        <v>134</v>
      </c>
      <c r="AN743" s="4" t="s">
        <v>87</v>
      </c>
      <c r="AO743" s="4" t="s">
        <v>323</v>
      </c>
      <c r="AP743" s="4" t="s">
        <v>324</v>
      </c>
      <c r="AQ743" s="4" t="s">
        <v>72</v>
      </c>
      <c r="AR743" s="4" t="s">
        <v>100</v>
      </c>
      <c r="AS743" s="4" t="s">
        <v>60</v>
      </c>
      <c r="AU743" s="4" t="s">
        <v>61</v>
      </c>
      <c r="AV743" s="4" t="s">
        <v>101</v>
      </c>
    </row>
    <row r="744" customFormat="false" ht="15" hidden="false" customHeight="false" outlineLevel="0" collapsed="false">
      <c r="A744" s="0" t="s">
        <v>2766</v>
      </c>
      <c r="B744" s="3" t="n">
        <f aca="false">IF(AJ744="","",IF(ISNUMBER(SEARCH("/",AJ744)),DATE(VALUE(RIGHT(AJ744,4)),VALUE(LEFT(AJ744,2)),VALUE(MID(AJ744,4,2))),IF(ISNUMBER(SEARCH("-",AJ744)),IF(LEN(LEFT(AJ744,FIND("-",AJ744)-1))=4,DATE(VALUE(LEFT(AJ744,4)),VALUE(MID(AJ744,6,2)),VALUE(RIGHT(AJ744,2))),DATE(VALUE(RIGHT(AJ744,4)),VALUE(MID(AJ744,4,2)),VALUE(LEFT(AJ744,2)))),DATE(VALUE(RIGHT(AJ744,4)),MATCH(MID(AJ744,4,3),{"Jan","Feb","Mar","Apr","May","Jun","Jul","Aug","Sep","Oct","Nov","Dec"},0),VALUE(LEFT(AJ744,2))))))</f>
        <v>45580</v>
      </c>
      <c r="C744" s="3" t="n">
        <f aca="false">IF(AK744="","",IF(ISNUMBER(SEARCH("/",AK744)),DATE(VALUE(RIGHT(AK744,4)),VALUE(LEFT(AK744,2)),VALUE(MID(AK744,4,2))),IF(ISNUMBER(SEARCH("-",AK744)),IF(LEN(LEFT(AK744,FIND("-",AK744)-1))=4,DATE(VALUE(LEFT(AK744,4)),VALUE(MID(AK744,6,2)),VALUE(RIGHT(AK744,2))),DATE(VALUE(RIGHT(AK744,4)),VALUE(MID(AK744,4,2)),VALUE(LEFT(AK744,2)))),DATE(VALUE(RIGHT(AK744,4)),MATCH(MID(AK744,4,3),{"Jan","Feb","Mar","Apr","May","Jun","Jul","Aug","Sep","Oct","Nov","Dec"},0),VALUE(LEFT(AK744,2))))))</f>
        <v>45587</v>
      </c>
      <c r="D744" s="4" t="s">
        <v>2767</v>
      </c>
      <c r="E744" s="0" t="str">
        <f aca="false">PROPER(TRIM(AL744))</f>
        <v>Karan Malhotra</v>
      </c>
      <c r="F744" s="0" t="str">
        <f aca="false">PROPER(TRIM(AM744))</f>
        <v>Corporate</v>
      </c>
      <c r="G744" s="0" t="str">
        <f aca="false">IF(TRIM(AN744)="","Unknown",PROPER(TRIM(AN744)))</f>
        <v>East</v>
      </c>
      <c r="H744" s="0" t="str">
        <f aca="false">PROPER(TRIM(AO744))</f>
        <v>Odisha</v>
      </c>
      <c r="I744" s="0" t="str">
        <f aca="false">PROPER(TRIM(AP744))</f>
        <v>Bhubaneswar</v>
      </c>
      <c r="J744" s="0" t="str">
        <f aca="false">PROPER(TRIM(AQ744))</f>
        <v>Office Supplies</v>
      </c>
      <c r="K744" s="0" t="str">
        <f aca="false">PROPER(TRIM(AR744))</f>
        <v>Paper</v>
      </c>
      <c r="M744" s="0" t="str">
        <f aca="false">IF(TRIM(AS744)="","Unknown",PROPER(TRIM(AS744)))</f>
        <v>Standard Class</v>
      </c>
      <c r="N744" s="0" t="n">
        <v>4</v>
      </c>
      <c r="O744" s="0" t="n">
        <v>2260.95</v>
      </c>
      <c r="P744" s="5" t="n">
        <f aca="false">IF(AT744="","",IF(ISNUMBER(AT744),AT744,VALUE(SUBSTITUTE(AT744,"%",""))/100))</f>
        <v>0</v>
      </c>
      <c r="Q744" s="5" t="n">
        <f aca="false">IF(P744="",IF(AND(N744&lt;&gt;"",O744&lt;&gt;"",R744&lt;&gt;"",S744&lt;&gt;""),0,"REVIEW"),IF(OR(P744&lt;0,P744&gt;0.3),0,P744))</f>
        <v>0</v>
      </c>
      <c r="R744" s="0" t="n">
        <v>9043.8</v>
      </c>
      <c r="S744" s="0" t="n">
        <v>5913.38</v>
      </c>
      <c r="T744" s="6" t="n">
        <f aca="false">N744*O744*(1-Q744)</f>
        <v>9043.8</v>
      </c>
      <c r="U744" s="6" t="n">
        <f aca="false">T744-S744</f>
        <v>3130.42</v>
      </c>
      <c r="V744" s="7" t="n">
        <f aca="false">IF(T744=0,0,U744/T744)</f>
        <v>0.346139896945974</v>
      </c>
      <c r="W744" s="4" t="n">
        <f aca="false">C744-B744</f>
        <v>7</v>
      </c>
      <c r="X744" s="0" t="str">
        <f aca="false">TEXT(B744,"mmmm")</f>
        <v>October</v>
      </c>
      <c r="Y744" s="4" t="n">
        <f aca="false">YEAR(B744)</f>
        <v>2024</v>
      </c>
      <c r="Z744" s="0" t="str">
        <f aca="false">PROPER(TRIM(AU744))</f>
        <v>Paid</v>
      </c>
      <c r="AA744" s="0" t="str">
        <f aca="false">PROPER(TRIM(AV744))</f>
        <v>Completed</v>
      </c>
      <c r="AB744" s="0" t="str">
        <f aca="false">IF(TRIM(AN744)="","Yes","No")</f>
        <v>No</v>
      </c>
      <c r="AC744" s="0" t="str">
        <f aca="false">IF(TRIM(AS744)="","Yes","No")</f>
        <v>No</v>
      </c>
      <c r="AD744" s="0" t="str">
        <f aca="false">IF(AT744="","Yes","No")</f>
        <v>No</v>
      </c>
      <c r="AE744" s="0" t="str">
        <f aca="false">IF(W744&lt;0,"Yes","No")</f>
        <v>No</v>
      </c>
      <c r="AF744" s="0" t="str">
        <f aca="false">IF(P744="","No",IF(OR(P744&lt;0,P744&gt;0.3),"Yes","No"))</f>
        <v>No</v>
      </c>
      <c r="AG744" s="4" t="s">
        <v>50</v>
      </c>
      <c r="AH744" s="0" t="str">
        <f aca="false">IF(AND(AA744="Completed",Z744="Paid"),"Yes","No")</f>
        <v>Yes</v>
      </c>
      <c r="AI744" s="0" t="str">
        <f aca="false">IF(OR(AE744="Yes",AF744="Yes",AG744="Yes"),"Invalid",IF(OR(AB744="Yes",AC744="Yes",AD744="Yes"),"Warning","Clean"))</f>
        <v>Clean</v>
      </c>
      <c r="AJ744" s="4" t="s">
        <v>2768</v>
      </c>
      <c r="AK744" s="4" t="s">
        <v>2769</v>
      </c>
      <c r="AL744" s="4" t="s">
        <v>53</v>
      </c>
      <c r="AM744" s="4" t="s">
        <v>128</v>
      </c>
      <c r="AN744" s="4" t="s">
        <v>2770</v>
      </c>
      <c r="AO744" s="4" t="s">
        <v>70</v>
      </c>
      <c r="AP744" s="4" t="s">
        <v>71</v>
      </c>
      <c r="AQ744" s="4" t="s">
        <v>58</v>
      </c>
      <c r="AR744" s="4" t="s">
        <v>59</v>
      </c>
      <c r="AS744" s="4" t="s">
        <v>91</v>
      </c>
      <c r="AT744" s="0" t="n">
        <v>0</v>
      </c>
      <c r="AU744" s="4" t="s">
        <v>61</v>
      </c>
      <c r="AV744" s="4" t="s">
        <v>62</v>
      </c>
    </row>
    <row r="745" customFormat="false" ht="15" hidden="false" customHeight="false" outlineLevel="0" collapsed="false">
      <c r="A745" s="0" t="s">
        <v>2771</v>
      </c>
      <c r="B745" s="3" t="n">
        <f aca="false">IF(AJ745="","",IF(ISNUMBER(SEARCH("/",AJ745)),DATE(VALUE(RIGHT(AJ745,4)),VALUE(LEFT(AJ745,2)),VALUE(MID(AJ745,4,2))),IF(ISNUMBER(SEARCH("-",AJ745)),IF(LEN(LEFT(AJ745,FIND("-",AJ745)-1))=4,DATE(VALUE(LEFT(AJ745,4)),VALUE(MID(AJ745,6,2)),VALUE(RIGHT(AJ745,2))),DATE(VALUE(RIGHT(AJ745,4)),VALUE(MID(AJ745,4,2)),VALUE(LEFT(AJ745,2)))),DATE(VALUE(RIGHT(AJ745,4)),MATCH(MID(AJ745,4,3),{"Jan","Feb","Mar","Apr","May","Jun","Jul","Aug","Sep","Oct","Nov","Dec"},0),VALUE(LEFT(AJ745,2))))))</f>
        <v>45700</v>
      </c>
      <c r="C745" s="3" t="n">
        <f aca="false">IF(AK745="","",IF(ISNUMBER(SEARCH("/",AK745)),DATE(VALUE(RIGHT(AK745,4)),VALUE(LEFT(AK745,2)),VALUE(MID(AK745,4,2))),IF(ISNUMBER(SEARCH("-",AK745)),IF(LEN(LEFT(AK745,FIND("-",AK745)-1))=4,DATE(VALUE(LEFT(AK745,4)),VALUE(MID(AK745,6,2)),VALUE(RIGHT(AK745,2))),DATE(VALUE(RIGHT(AK745,4)),VALUE(MID(AK745,4,2)),VALUE(LEFT(AK745,2)))),DATE(VALUE(RIGHT(AK745,4)),MATCH(MID(AK745,4,3),{"Jan","Feb","Mar","Apr","May","Jun","Jul","Aug","Sep","Oct","Nov","Dec"},0),VALUE(LEFT(AK745,2))))))</f>
        <v>45702</v>
      </c>
      <c r="D745" s="4" t="s">
        <v>2772</v>
      </c>
      <c r="E745" s="0" t="str">
        <f aca="false">PROPER(TRIM(AL745))</f>
        <v>Sneha Kapoor</v>
      </c>
      <c r="F745" s="0" t="str">
        <f aca="false">PROPER(TRIM(AM745))</f>
        <v>Consumer</v>
      </c>
      <c r="G745" s="0" t="str">
        <f aca="false">IF(TRIM(AN745)="","Unknown",PROPER(TRIM(AN745)))</f>
        <v>North</v>
      </c>
      <c r="H745" s="0" t="str">
        <f aca="false">PROPER(TRIM(AO745))</f>
        <v>Uttar Pradesh</v>
      </c>
      <c r="I745" s="0" t="str">
        <f aca="false">PROPER(TRIM(AP745))</f>
        <v>Noida</v>
      </c>
      <c r="J745" s="0" t="str">
        <f aca="false">PROPER(TRIM(AQ745))</f>
        <v>Office Supplies</v>
      </c>
      <c r="K745" s="0" t="str">
        <f aca="false">PROPER(TRIM(AR745))</f>
        <v>Art</v>
      </c>
      <c r="M745" s="0" t="str">
        <f aca="false">IF(TRIM(AS745)="","Unknown",PROPER(TRIM(AS745)))</f>
        <v>Standard Class</v>
      </c>
      <c r="N745" s="0" t="n">
        <v>6</v>
      </c>
      <c r="O745" s="0" t="n">
        <v>491.4</v>
      </c>
      <c r="P745" s="5" t="n">
        <f aca="false">IF(AT745="","",IF(ISNUMBER(AT745),AT745,VALUE(SUBSTITUTE(AT745,"%",""))/100))</f>
        <v>0.25</v>
      </c>
      <c r="Q745" s="5" t="n">
        <f aca="false">IF(P745="",IF(AND(N745&lt;&gt;"",O745&lt;&gt;"",R745&lt;&gt;"",S745&lt;&gt;""),0,"REVIEW"),IF(OR(P745&lt;0,P745&gt;0.3),0,P745))</f>
        <v>0.25</v>
      </c>
      <c r="R745" s="0" t="n">
        <v>2211.3</v>
      </c>
      <c r="S745" s="0" t="n">
        <v>1735.64</v>
      </c>
      <c r="T745" s="6" t="n">
        <f aca="false">N745*O745*(1-Q745)</f>
        <v>2211.3</v>
      </c>
      <c r="U745" s="6" t="n">
        <f aca="false">T745-S745</f>
        <v>475.66</v>
      </c>
      <c r="V745" s="7" t="n">
        <f aca="false">IF(T745=0,0,U745/T745)</f>
        <v>0.215104237326459</v>
      </c>
      <c r="W745" s="4" t="n">
        <f aca="false">C745-B745</f>
        <v>2</v>
      </c>
      <c r="X745" s="0" t="str">
        <f aca="false">TEXT(B745,"mmmm")</f>
        <v>February</v>
      </c>
      <c r="Y745" s="4" t="n">
        <f aca="false">YEAR(B745)</f>
        <v>2025</v>
      </c>
      <c r="Z745" s="0" t="str">
        <f aca="false">PROPER(TRIM(AU745))</f>
        <v>Paid</v>
      </c>
      <c r="AA745" s="0" t="str">
        <f aca="false">PROPER(TRIM(AV745))</f>
        <v>Completed</v>
      </c>
      <c r="AB745" s="0" t="str">
        <f aca="false">IF(TRIM(AN745)="","Yes","No")</f>
        <v>No</v>
      </c>
      <c r="AC745" s="0" t="str">
        <f aca="false">IF(TRIM(AS745)="","Yes","No")</f>
        <v>No</v>
      </c>
      <c r="AD745" s="0" t="str">
        <f aca="false">IF(AT745="","Yes","No")</f>
        <v>No</v>
      </c>
      <c r="AE745" s="0" t="str">
        <f aca="false">IF(W745&lt;0,"Yes","No")</f>
        <v>No</v>
      </c>
      <c r="AF745" s="0" t="str">
        <f aca="false">IF(P745="","No",IF(OR(P745&lt;0,P745&gt;0.3),"Yes","No"))</f>
        <v>No</v>
      </c>
      <c r="AG745" s="4" t="s">
        <v>50</v>
      </c>
      <c r="AH745" s="0" t="str">
        <f aca="false">IF(AND(AA745="Completed",Z745="Paid"),"Yes","No")</f>
        <v>Yes</v>
      </c>
      <c r="AI745" s="0" t="str">
        <f aca="false">IF(OR(AE745="Yes",AF745="Yes",AG745="Yes"),"Invalid",IF(OR(AB745="Yes",AC745="Yes",AD745="Yes"),"Warning","Clean"))</f>
        <v>Clean</v>
      </c>
      <c r="AJ745" s="4" t="s">
        <v>1175</v>
      </c>
      <c r="AK745" s="4" t="s">
        <v>1598</v>
      </c>
      <c r="AL745" s="4" t="s">
        <v>181</v>
      </c>
      <c r="AM745" s="4" t="s">
        <v>54</v>
      </c>
      <c r="AN745" s="4" t="s">
        <v>168</v>
      </c>
      <c r="AO745" s="4" t="s">
        <v>186</v>
      </c>
      <c r="AP745" s="4" t="s">
        <v>187</v>
      </c>
      <c r="AQ745" s="4" t="s">
        <v>58</v>
      </c>
      <c r="AR745" s="4" t="s">
        <v>80</v>
      </c>
      <c r="AS745" s="4" t="s">
        <v>91</v>
      </c>
      <c r="AT745" s="0" t="n">
        <v>0.25</v>
      </c>
      <c r="AU745" s="4" t="s">
        <v>61</v>
      </c>
      <c r="AV745" s="4" t="s">
        <v>62</v>
      </c>
    </row>
    <row r="746" customFormat="false" ht="15" hidden="false" customHeight="false" outlineLevel="0" collapsed="false">
      <c r="A746" s="0" t="s">
        <v>2773</v>
      </c>
      <c r="B746" s="3" t="n">
        <f aca="false">IF(AJ746="","",IF(ISNUMBER(SEARCH("/",AJ746)),DATE(VALUE(RIGHT(AJ746,4)),VALUE(LEFT(AJ746,2)),VALUE(MID(AJ746,4,2))),IF(ISNUMBER(SEARCH("-",AJ746)),IF(LEN(LEFT(AJ746,FIND("-",AJ746)-1))=4,DATE(VALUE(LEFT(AJ746,4)),VALUE(MID(AJ746,6,2)),VALUE(RIGHT(AJ746,2))),DATE(VALUE(RIGHT(AJ746,4)),VALUE(MID(AJ746,4,2)),VALUE(LEFT(AJ746,2)))),DATE(VALUE(RIGHT(AJ746,4)),MATCH(MID(AJ746,4,3),{"Jan","Feb","Mar","Apr","May","Jun","Jul","Aug","Sep","Oct","Nov","Dec"},0),VALUE(LEFT(AJ746,2))))))</f>
        <v>45886</v>
      </c>
      <c r="C746" s="3" t="n">
        <f aca="false">IF(AK746="","",IF(ISNUMBER(SEARCH("/",AK746)),DATE(VALUE(RIGHT(AK746,4)),VALUE(LEFT(AK746,2)),VALUE(MID(AK746,4,2))),IF(ISNUMBER(SEARCH("-",AK746)),IF(LEN(LEFT(AK746,FIND("-",AK746)-1))=4,DATE(VALUE(LEFT(AK746,4)),VALUE(MID(AK746,6,2)),VALUE(RIGHT(AK746,2))),DATE(VALUE(RIGHT(AK746,4)),VALUE(MID(AK746,4,2)),VALUE(LEFT(AK746,2)))),DATE(VALUE(RIGHT(AK746,4)),MATCH(MID(AK746,4,3),{"Jan","Feb","Mar","Apr","May","Jun","Jul","Aug","Sep","Oct","Nov","Dec"},0),VALUE(LEFT(AK746,2))))))</f>
        <v>45889</v>
      </c>
      <c r="D746" s="4" t="s">
        <v>2774</v>
      </c>
      <c r="E746" s="0" t="str">
        <f aca="false">PROPER(TRIM(AL746))</f>
        <v>Mira Das</v>
      </c>
      <c r="F746" s="0" t="str">
        <f aca="false">PROPER(TRIM(AM746))</f>
        <v>Home Office</v>
      </c>
      <c r="G746" s="0" t="str">
        <f aca="false">IF(TRIM(AN746)="","Unknown",PROPER(TRIM(AN746)))</f>
        <v>North</v>
      </c>
      <c r="H746" s="0" t="str">
        <f aca="false">PROPER(TRIM(AO746))</f>
        <v>Punjab</v>
      </c>
      <c r="I746" s="0" t="str">
        <f aca="false">PROPER(TRIM(AP746))</f>
        <v>Ludhiana</v>
      </c>
      <c r="J746" s="0" t="str">
        <f aca="false">PROPER(TRIM(AQ746))</f>
        <v>Office Supplies</v>
      </c>
      <c r="K746" s="0" t="str">
        <f aca="false">PROPER(TRIM(AR746))</f>
        <v>Binders</v>
      </c>
      <c r="M746" s="0" t="str">
        <f aca="false">IF(TRIM(AS746)="","Unknown",PROPER(TRIM(AS746)))</f>
        <v>First Class</v>
      </c>
      <c r="N746" s="0" t="n">
        <v>5</v>
      </c>
      <c r="O746" s="0" t="n">
        <v>2701.89</v>
      </c>
      <c r="P746" s="5" t="n">
        <f aca="false">IF(AT746="","",IF(ISNUMBER(AT746),AT746,VALUE(SUBSTITUTE(AT746,"%",""))/100))</f>
        <v>0.1</v>
      </c>
      <c r="Q746" s="5" t="n">
        <f aca="false">IF(P746="",IF(AND(N746&lt;&gt;"",O746&lt;&gt;"",R746&lt;&gt;"",S746&lt;&gt;""),0,"REVIEW"),IF(OR(P746&lt;0,P746&gt;0.3),0,P746))</f>
        <v>0.1</v>
      </c>
      <c r="R746" s="0" t="n">
        <v>12158.5</v>
      </c>
      <c r="S746" s="0" t="n">
        <v>10260.07</v>
      </c>
      <c r="T746" s="6" t="n">
        <f aca="false">N746*O746*(1-Q746)</f>
        <v>12158.505</v>
      </c>
      <c r="U746" s="6" t="n">
        <f aca="false">T746-S746</f>
        <v>1898.435</v>
      </c>
      <c r="V746" s="7" t="n">
        <f aca="false">IF(T746=0,0,U746/T746)</f>
        <v>0.156140495891559</v>
      </c>
      <c r="W746" s="4" t="n">
        <f aca="false">C746-B746</f>
        <v>3</v>
      </c>
      <c r="X746" s="0" t="str">
        <f aca="false">TEXT(B746,"mmmm")</f>
        <v>August</v>
      </c>
      <c r="Y746" s="4" t="n">
        <f aca="false">YEAR(B746)</f>
        <v>2025</v>
      </c>
      <c r="Z746" s="0" t="str">
        <f aca="false">PROPER(TRIM(AU746))</f>
        <v>Paid</v>
      </c>
      <c r="AA746" s="0" t="str">
        <f aca="false">PROPER(TRIM(AV746))</f>
        <v>Cancelled</v>
      </c>
      <c r="AB746" s="0" t="str">
        <f aca="false">IF(TRIM(AN746)="","Yes","No")</f>
        <v>No</v>
      </c>
      <c r="AC746" s="0" t="str">
        <f aca="false">IF(TRIM(AS746)="","Yes","No")</f>
        <v>No</v>
      </c>
      <c r="AD746" s="0" t="str">
        <f aca="false">IF(AT746="","Yes","No")</f>
        <v>No</v>
      </c>
      <c r="AE746" s="0" t="str">
        <f aca="false">IF(W746&lt;0,"Yes","No")</f>
        <v>No</v>
      </c>
      <c r="AF746" s="0" t="str">
        <f aca="false">IF(P746="","No",IF(OR(P746&lt;0,P746&gt;0.3),"Yes","No"))</f>
        <v>No</v>
      </c>
      <c r="AG746" s="4" t="s">
        <v>50</v>
      </c>
      <c r="AH746" s="0" t="str">
        <f aca="false">IF(AND(AA746="Completed",Z746="Paid"),"Yes","No")</f>
        <v>No</v>
      </c>
      <c r="AI746" s="0" t="str">
        <f aca="false">IF(OR(AE746="Yes",AF746="Yes",AG746="Yes"),"Invalid",IF(OR(AB746="Yes",AC746="Yes",AD746="Yes"),"Warning","Clean"))</f>
        <v>Clean</v>
      </c>
      <c r="AJ746" s="4" t="s">
        <v>2775</v>
      </c>
      <c r="AK746" s="4" t="s">
        <v>1233</v>
      </c>
      <c r="AL746" s="4" t="s">
        <v>67</v>
      </c>
      <c r="AM746" s="4" t="s">
        <v>134</v>
      </c>
      <c r="AN746" s="4" t="s">
        <v>168</v>
      </c>
      <c r="AO746" s="4" t="s">
        <v>169</v>
      </c>
      <c r="AP746" s="4" t="s">
        <v>170</v>
      </c>
      <c r="AQ746" s="4" t="s">
        <v>58</v>
      </c>
      <c r="AR746" s="4" t="s">
        <v>206</v>
      </c>
      <c r="AS746" s="4" t="s">
        <v>81</v>
      </c>
      <c r="AT746" s="0" t="n">
        <v>0.1</v>
      </c>
      <c r="AU746" s="4" t="s">
        <v>61</v>
      </c>
      <c r="AV746" s="4" t="s">
        <v>101</v>
      </c>
    </row>
    <row r="747" customFormat="false" ht="15" hidden="false" customHeight="false" outlineLevel="0" collapsed="false">
      <c r="A747" s="0" t="s">
        <v>2776</v>
      </c>
      <c r="B747" s="3" t="n">
        <f aca="false">IF(AJ747="","",IF(ISNUMBER(SEARCH("/",AJ747)),DATE(VALUE(RIGHT(AJ747,4)),VALUE(LEFT(AJ747,2)),VALUE(MID(AJ747,4,2))),IF(ISNUMBER(SEARCH("-",AJ747)),IF(LEN(LEFT(AJ747,FIND("-",AJ747)-1))=4,DATE(VALUE(LEFT(AJ747,4)),VALUE(MID(AJ747,6,2)),VALUE(RIGHT(AJ747,2))),DATE(VALUE(RIGHT(AJ747,4)),VALUE(MID(AJ747,4,2)),VALUE(LEFT(AJ747,2)))),DATE(VALUE(RIGHT(AJ747,4)),MATCH(MID(AJ747,4,3),{"Jan","Feb","Mar","Apr","May","Jun","Jul","Aug","Sep","Oct","Nov","Dec"},0),VALUE(LEFT(AJ747,2))))))</f>
        <v>45589</v>
      </c>
      <c r="C747" s="3" t="n">
        <f aca="false">IF(AK747="","",IF(ISNUMBER(SEARCH("/",AK747)),DATE(VALUE(RIGHT(AK747,4)),VALUE(LEFT(AK747,2)),VALUE(MID(AK747,4,2))),IF(ISNUMBER(SEARCH("-",AK747)),IF(LEN(LEFT(AK747,FIND("-",AK747)-1))=4,DATE(VALUE(LEFT(AK747,4)),VALUE(MID(AK747,6,2)),VALUE(RIGHT(AK747,2))),DATE(VALUE(RIGHT(AK747,4)),VALUE(MID(AK747,4,2)),VALUE(LEFT(AK747,2)))),DATE(VALUE(RIGHT(AK747,4)),MATCH(MID(AK747,4,3),{"Jan","Feb","Mar","Apr","May","Jun","Jul","Aug","Sep","Oct","Nov","Dec"},0),VALUE(LEFT(AK747,2))))))</f>
        <v>45593</v>
      </c>
      <c r="D747" s="4" t="s">
        <v>2777</v>
      </c>
      <c r="E747" s="0" t="str">
        <f aca="false">PROPER(TRIM(AL747))</f>
        <v>Mira Das</v>
      </c>
      <c r="F747" s="0" t="str">
        <f aca="false">PROPER(TRIM(AM747))</f>
        <v>Small Business</v>
      </c>
      <c r="G747" s="0" t="str">
        <f aca="false">IF(TRIM(AN747)="","Unknown",PROPER(TRIM(AN747)))</f>
        <v>East</v>
      </c>
      <c r="H747" s="0" t="str">
        <f aca="false">PROPER(TRIM(AO747))</f>
        <v>Assam</v>
      </c>
      <c r="I747" s="0" t="str">
        <f aca="false">PROPER(TRIM(AP747))</f>
        <v>Guwahati</v>
      </c>
      <c r="J747" s="0" t="str">
        <f aca="false">PROPER(TRIM(AQ747))</f>
        <v>Technology</v>
      </c>
      <c r="K747" s="0" t="str">
        <f aca="false">PROPER(TRIM(AR747))</f>
        <v>Copiers</v>
      </c>
      <c r="M747" s="0" t="str">
        <f aca="false">IF(TRIM(AS747)="","Unknown",PROPER(TRIM(AS747)))</f>
        <v>Standard Class</v>
      </c>
      <c r="N747" s="0" t="n">
        <v>3</v>
      </c>
      <c r="O747" s="0" t="n">
        <v>723.59</v>
      </c>
      <c r="P747" s="5" t="n">
        <f aca="false">IF(AT747="","",IF(ISNUMBER(AT747),AT747,VALUE(SUBSTITUTE(AT747,"%",""))/100))</f>
        <v>0.2</v>
      </c>
      <c r="Q747" s="5" t="n">
        <f aca="false">IF(P747="",IF(AND(N747&lt;&gt;"",O747&lt;&gt;"",R747&lt;&gt;"",S747&lt;&gt;""),0,"REVIEW"),IF(OR(P747&lt;0,P747&gt;0.3),0,P747))</f>
        <v>0.2</v>
      </c>
      <c r="R747" s="0" t="n">
        <v>1736.62</v>
      </c>
      <c r="S747" s="0" t="n">
        <v>1059.52</v>
      </c>
      <c r="T747" s="6" t="n">
        <f aca="false">N747*O747*(1-Q747)</f>
        <v>1736.616</v>
      </c>
      <c r="U747" s="6" t="n">
        <f aca="false">T747-S747</f>
        <v>677.096</v>
      </c>
      <c r="V747" s="7" t="n">
        <f aca="false">IF(T747=0,0,U747/T747)</f>
        <v>0.389893908613073</v>
      </c>
      <c r="W747" s="4" t="n">
        <f aca="false">C747-B747</f>
        <v>4</v>
      </c>
      <c r="X747" s="0" t="str">
        <f aca="false">TEXT(B747,"mmmm")</f>
        <v>October</v>
      </c>
      <c r="Y747" s="4" t="n">
        <f aca="false">YEAR(B747)</f>
        <v>2024</v>
      </c>
      <c r="Z747" s="0" t="str">
        <f aca="false">PROPER(TRIM(AU747))</f>
        <v>Paid</v>
      </c>
      <c r="AA747" s="0" t="str">
        <f aca="false">PROPER(TRIM(AV747))</f>
        <v>Completed</v>
      </c>
      <c r="AB747" s="0" t="str">
        <f aca="false">IF(TRIM(AN747)="","Yes","No")</f>
        <v>No</v>
      </c>
      <c r="AC747" s="0" t="str">
        <f aca="false">IF(TRIM(AS747)="","Yes","No")</f>
        <v>No</v>
      </c>
      <c r="AD747" s="0" t="str">
        <f aca="false">IF(AT747="","Yes","No")</f>
        <v>No</v>
      </c>
      <c r="AE747" s="0" t="str">
        <f aca="false">IF(W747&lt;0,"Yes","No")</f>
        <v>No</v>
      </c>
      <c r="AF747" s="0" t="str">
        <f aca="false">IF(P747="","No",IF(OR(P747&lt;0,P747&gt;0.3),"Yes","No"))</f>
        <v>No</v>
      </c>
      <c r="AG747" s="4" t="s">
        <v>50</v>
      </c>
      <c r="AH747" s="0" t="str">
        <f aca="false">IF(AND(AA747="Completed",Z747="Paid"),"Yes","No")</f>
        <v>Yes</v>
      </c>
      <c r="AI747" s="0" t="str">
        <f aca="false">IF(OR(AE747="Yes",AF747="Yes",AG747="Yes"),"Invalid",IF(OR(AB747="Yes",AC747="Yes",AD747="Yes"),"Warning","Clean"))</f>
        <v>Clean</v>
      </c>
      <c r="AJ747" s="4" t="s">
        <v>2778</v>
      </c>
      <c r="AK747" s="4" t="s">
        <v>2779</v>
      </c>
      <c r="AL747" s="4" t="s">
        <v>67</v>
      </c>
      <c r="AM747" s="4" t="s">
        <v>68</v>
      </c>
      <c r="AN747" s="4" t="s">
        <v>69</v>
      </c>
      <c r="AO747" s="4" t="s">
        <v>221</v>
      </c>
      <c r="AP747" s="4" t="s">
        <v>222</v>
      </c>
      <c r="AQ747" s="4" t="s">
        <v>109</v>
      </c>
      <c r="AR747" s="4" t="s">
        <v>116</v>
      </c>
      <c r="AS747" s="4" t="s">
        <v>91</v>
      </c>
      <c r="AT747" s="0" t="n">
        <v>0.2</v>
      </c>
      <c r="AU747" s="4" t="s">
        <v>61</v>
      </c>
      <c r="AV747" s="4" t="s">
        <v>62</v>
      </c>
    </row>
    <row r="748" customFormat="false" ht="15" hidden="false" customHeight="false" outlineLevel="0" collapsed="false">
      <c r="A748" s="0" t="s">
        <v>2780</v>
      </c>
      <c r="B748" s="3" t="n">
        <f aca="false">IF(AJ748="","",IF(ISNUMBER(SEARCH("/",AJ748)),DATE(VALUE(RIGHT(AJ748,4)),VALUE(LEFT(AJ748,2)),VALUE(MID(AJ748,4,2))),IF(ISNUMBER(SEARCH("-",AJ748)),IF(LEN(LEFT(AJ748,FIND("-",AJ748)-1))=4,DATE(VALUE(LEFT(AJ748,4)),VALUE(MID(AJ748,6,2)),VALUE(RIGHT(AJ748,2))),DATE(VALUE(RIGHT(AJ748,4)),VALUE(MID(AJ748,4,2)),VALUE(LEFT(AJ748,2)))),DATE(VALUE(RIGHT(AJ748,4)),MATCH(MID(AJ748,4,3),{"Jan","Feb","Mar","Apr","May","Jun","Jul","Aug","Sep","Oct","Nov","Dec"},0),VALUE(LEFT(AJ748,2))))))</f>
        <v>45661</v>
      </c>
      <c r="C748" s="3" t="n">
        <f aca="false">IF(AK748="","",IF(ISNUMBER(SEARCH("/",AK748)),DATE(VALUE(RIGHT(AK748,4)),VALUE(LEFT(AK748,2)),VALUE(MID(AK748,4,2))),IF(ISNUMBER(SEARCH("-",AK748)),IF(LEN(LEFT(AK748,FIND("-",AK748)-1))=4,DATE(VALUE(LEFT(AK748,4)),VALUE(MID(AK748,6,2)),VALUE(RIGHT(AK748,2))),DATE(VALUE(RIGHT(AK748,4)),VALUE(MID(AK748,4,2)),VALUE(LEFT(AK748,2)))),DATE(VALUE(RIGHT(AK748,4)),MATCH(MID(AK748,4,3),{"Jan","Feb","Mar","Apr","May","Jun","Jul","Aug","Sep","Oct","Nov","Dec"},0),VALUE(LEFT(AK748,2))))))</f>
        <v>45667</v>
      </c>
      <c r="D748" s="4" t="s">
        <v>2465</v>
      </c>
      <c r="E748" s="0" t="str">
        <f aca="false">PROPER(TRIM(AL748))</f>
        <v>Aarav Sharma</v>
      </c>
      <c r="F748" s="0" t="str">
        <f aca="false">PROPER(TRIM(AM748))</f>
        <v>Home Office</v>
      </c>
      <c r="G748" s="0" t="str">
        <f aca="false">IF(TRIM(AN748)="","Unknown",PROPER(TRIM(AN748)))</f>
        <v>East</v>
      </c>
      <c r="H748" s="0" t="str">
        <f aca="false">PROPER(TRIM(AO748))</f>
        <v>West Bengal</v>
      </c>
      <c r="I748" s="0" t="str">
        <f aca="false">PROPER(TRIM(AP748))</f>
        <v>Kolkata</v>
      </c>
      <c r="J748" s="0" t="str">
        <f aca="false">PROPER(TRIM(AQ748))</f>
        <v>Office Supplies</v>
      </c>
      <c r="K748" s="0" t="str">
        <f aca="false">PROPER(TRIM(AR748))</f>
        <v>Paper</v>
      </c>
      <c r="M748" s="0" t="str">
        <f aca="false">IF(TRIM(AS748)="","Unknown",PROPER(TRIM(AS748)))</f>
        <v>Standard Class</v>
      </c>
      <c r="N748" s="0" t="n">
        <v>4</v>
      </c>
      <c r="O748" s="0" t="n">
        <v>2583.19</v>
      </c>
      <c r="P748" s="5" t="n">
        <f aca="false">IF(AT748="","",IF(ISNUMBER(AT748),AT748,VALUE(SUBSTITUTE(AT748,"%",""))/100))</f>
        <v>0.2</v>
      </c>
      <c r="Q748" s="5" t="n">
        <f aca="false">IF(P748="",IF(AND(N748&lt;&gt;"",O748&lt;&gt;"",R748&lt;&gt;"",S748&lt;&gt;""),0,"REVIEW"),IF(OR(P748&lt;0,P748&gt;0.3),0,P748))</f>
        <v>0.2</v>
      </c>
      <c r="R748" s="0" t="n">
        <v>8266.21</v>
      </c>
      <c r="S748" s="0" t="n">
        <v>6236.32</v>
      </c>
      <c r="T748" s="6" t="n">
        <f aca="false">N748*O748*(1-Q748)</f>
        <v>8266.208</v>
      </c>
      <c r="U748" s="6" t="n">
        <f aca="false">T748-S748</f>
        <v>2029.888</v>
      </c>
      <c r="V748" s="7" t="n">
        <f aca="false">IF(T748=0,0,U748/T748)</f>
        <v>0.245564592616107</v>
      </c>
      <c r="W748" s="4" t="n">
        <f aca="false">C748-B748</f>
        <v>6</v>
      </c>
      <c r="X748" s="0" t="str">
        <f aca="false">TEXT(B748,"mmmm")</f>
        <v>January</v>
      </c>
      <c r="Y748" s="4" t="n">
        <f aca="false">YEAR(B748)</f>
        <v>2025</v>
      </c>
      <c r="Z748" s="0" t="str">
        <f aca="false">PROPER(TRIM(AU748))</f>
        <v>Paid</v>
      </c>
      <c r="AA748" s="0" t="str">
        <f aca="false">PROPER(TRIM(AV748))</f>
        <v>Completed</v>
      </c>
      <c r="AB748" s="0" t="str">
        <f aca="false">IF(TRIM(AN748)="","Yes","No")</f>
        <v>No</v>
      </c>
      <c r="AC748" s="0" t="str">
        <f aca="false">IF(TRIM(AS748)="","Yes","No")</f>
        <v>No</v>
      </c>
      <c r="AD748" s="0" t="str">
        <f aca="false">IF(AT748="","Yes","No")</f>
        <v>No</v>
      </c>
      <c r="AE748" s="0" t="str">
        <f aca="false">IF(W748&lt;0,"Yes","No")</f>
        <v>No</v>
      </c>
      <c r="AF748" s="0" t="str">
        <f aca="false">IF(P748="","No",IF(OR(P748&lt;0,P748&gt;0.3),"Yes","No"))</f>
        <v>No</v>
      </c>
      <c r="AG748" s="4" t="s">
        <v>50</v>
      </c>
      <c r="AH748" s="0" t="str">
        <f aca="false">IF(AND(AA748="Completed",Z748="Paid"),"Yes","No")</f>
        <v>Yes</v>
      </c>
      <c r="AI748" s="0" t="str">
        <f aca="false">IF(OR(AE748="Yes",AF748="Yes",AG748="Yes"),"Invalid",IF(OR(AB748="Yes",AC748="Yes",AD748="Yes"),"Warning","Clean"))</f>
        <v>Clean</v>
      </c>
      <c r="AJ748" s="4" t="s">
        <v>1136</v>
      </c>
      <c r="AK748" s="4" t="s">
        <v>2781</v>
      </c>
      <c r="AL748" s="4" t="s">
        <v>176</v>
      </c>
      <c r="AM748" s="4" t="s">
        <v>134</v>
      </c>
      <c r="AN748" s="4" t="s">
        <v>69</v>
      </c>
      <c r="AO748" s="4" t="s">
        <v>139</v>
      </c>
      <c r="AP748" s="4" t="s">
        <v>140</v>
      </c>
      <c r="AQ748" s="4" t="s">
        <v>58</v>
      </c>
      <c r="AR748" s="4" t="s">
        <v>59</v>
      </c>
      <c r="AS748" s="4" t="s">
        <v>91</v>
      </c>
      <c r="AT748" s="0" t="n">
        <v>0.2</v>
      </c>
      <c r="AU748" s="4" t="s">
        <v>61</v>
      </c>
      <c r="AV748" s="4" t="s">
        <v>62</v>
      </c>
    </row>
    <row r="749" customFormat="false" ht="15" hidden="false" customHeight="false" outlineLevel="0" collapsed="false">
      <c r="A749" s="0" t="s">
        <v>2782</v>
      </c>
      <c r="B749" s="3" t="n">
        <f aca="false">IF(AJ749="","",IF(ISNUMBER(SEARCH("/",AJ749)),DATE(VALUE(RIGHT(AJ749,4)),VALUE(LEFT(AJ749,2)),VALUE(MID(AJ749,4,2))),IF(ISNUMBER(SEARCH("-",AJ749)),IF(LEN(LEFT(AJ749,FIND("-",AJ749)-1))=4,DATE(VALUE(LEFT(AJ749,4)),VALUE(MID(AJ749,6,2)),VALUE(RIGHT(AJ749,2))),DATE(VALUE(RIGHT(AJ749,4)),VALUE(MID(AJ749,4,2)),VALUE(LEFT(AJ749,2)))),DATE(VALUE(RIGHT(AJ749,4)),MATCH(MID(AJ749,4,3),{"Jan","Feb","Mar","Apr","May","Jun","Jul","Aug","Sep","Oct","Nov","Dec"},0),VALUE(LEFT(AJ749,2))))))</f>
        <v>45413</v>
      </c>
      <c r="C749" s="3" t="n">
        <f aca="false">IF(AK749="","",IF(ISNUMBER(SEARCH("/",AK749)),DATE(VALUE(RIGHT(AK749,4)),VALUE(LEFT(AK749,2)),VALUE(MID(AK749,4,2))),IF(ISNUMBER(SEARCH("-",AK749)),IF(LEN(LEFT(AK749,FIND("-",AK749)-1))=4,DATE(VALUE(LEFT(AK749,4)),VALUE(MID(AK749,6,2)),VALUE(RIGHT(AK749,2))),DATE(VALUE(RIGHT(AK749,4)),VALUE(MID(AK749,4,2)),VALUE(LEFT(AK749,2)))),DATE(VALUE(RIGHT(AK749,4)),MATCH(MID(AK749,4,3),{"Jan","Feb","Mar","Apr","May","Jun","Jul","Aug","Sep","Oct","Nov","Dec"},0),VALUE(LEFT(AK749,2))))))</f>
        <v>45419</v>
      </c>
      <c r="D749" s="4" t="s">
        <v>2783</v>
      </c>
      <c r="E749" s="0" t="str">
        <f aca="false">PROPER(TRIM(AL749))</f>
        <v>Isha Nair</v>
      </c>
      <c r="F749" s="0" t="str">
        <f aca="false">PROPER(TRIM(AM749))</f>
        <v>Home Office</v>
      </c>
      <c r="G749" s="0" t="str">
        <f aca="false">IF(TRIM(AN749)="","Unknown",PROPER(TRIM(AN749)))</f>
        <v>East</v>
      </c>
      <c r="H749" s="0" t="str">
        <f aca="false">PROPER(TRIM(AO749))</f>
        <v>Odisha</v>
      </c>
      <c r="I749" s="0" t="str">
        <f aca="false">PROPER(TRIM(AP749))</f>
        <v>Bhubaneswar</v>
      </c>
      <c r="J749" s="0" t="str">
        <f aca="false">PROPER(TRIM(AQ749))</f>
        <v>Office Supplies</v>
      </c>
      <c r="K749" s="0" t="str">
        <f aca="false">PROPER(TRIM(AR749))</f>
        <v>Paper</v>
      </c>
      <c r="M749" s="0" t="str">
        <f aca="false">IF(TRIM(AS749)="","Unknown",PROPER(TRIM(AS749)))</f>
        <v>Same Day</v>
      </c>
      <c r="N749" s="0" t="n">
        <v>8</v>
      </c>
      <c r="O749" s="0" t="n">
        <v>1473.83</v>
      </c>
      <c r="P749" s="5" t="n">
        <f aca="false">IF(AT749="","",IF(ISNUMBER(AT749),AT749,VALUE(SUBSTITUTE(AT749,"%",""))/100))</f>
        <v>0.15</v>
      </c>
      <c r="Q749" s="5" t="n">
        <f aca="false">IF(P749="",IF(AND(N749&lt;&gt;"",O749&lt;&gt;"",R749&lt;&gt;"",S749&lt;&gt;""),0,"REVIEW"),IF(OR(P749&lt;0,P749&gt;0.3),0,P749))</f>
        <v>0.15</v>
      </c>
      <c r="R749" s="0" t="n">
        <v>10022.04</v>
      </c>
      <c r="S749" s="0" t="n">
        <v>5576.98</v>
      </c>
      <c r="T749" s="6" t="n">
        <f aca="false">N749*O749*(1-Q749)</f>
        <v>10022.044</v>
      </c>
      <c r="U749" s="6" t="n">
        <f aca="false">T749-S749</f>
        <v>4445.064</v>
      </c>
      <c r="V749" s="7" t="n">
        <f aca="false">IF(T749=0,0,U749/T749)</f>
        <v>0.443528685365979</v>
      </c>
      <c r="W749" s="4" t="n">
        <f aca="false">C749-B749</f>
        <v>6</v>
      </c>
      <c r="X749" s="0" t="str">
        <f aca="false">TEXT(B749,"mmmm")</f>
        <v>May</v>
      </c>
      <c r="Y749" s="4" t="n">
        <f aca="false">YEAR(B749)</f>
        <v>2024</v>
      </c>
      <c r="Z749" s="0" t="str">
        <f aca="false">PROPER(TRIM(AU749))</f>
        <v>Paid</v>
      </c>
      <c r="AA749" s="0" t="str">
        <f aca="false">PROPER(TRIM(AV749))</f>
        <v>Completed</v>
      </c>
      <c r="AB749" s="0" t="str">
        <f aca="false">IF(TRIM(AN749)="","Yes","No")</f>
        <v>No</v>
      </c>
      <c r="AC749" s="0" t="str">
        <f aca="false">IF(TRIM(AS749)="","Yes","No")</f>
        <v>No</v>
      </c>
      <c r="AD749" s="0" t="str">
        <f aca="false">IF(AT749="","Yes","No")</f>
        <v>No</v>
      </c>
      <c r="AE749" s="0" t="str">
        <f aca="false">IF(W749&lt;0,"Yes","No")</f>
        <v>No</v>
      </c>
      <c r="AF749" s="0" t="str">
        <f aca="false">IF(P749="","No",IF(OR(P749&lt;0,P749&gt;0.3),"Yes","No"))</f>
        <v>No</v>
      </c>
      <c r="AG749" s="4" t="s">
        <v>50</v>
      </c>
      <c r="AH749" s="0" t="str">
        <f aca="false">IF(AND(AA749="Completed",Z749="Paid"),"Yes","No")</f>
        <v>Yes</v>
      </c>
      <c r="AI749" s="0" t="str">
        <f aca="false">IF(OR(AE749="Yes",AF749="Yes",AG749="Yes"),"Invalid",IF(OR(AB749="Yes",AC749="Yes",AD749="Yes"),"Warning","Clean"))</f>
        <v>Clean</v>
      </c>
      <c r="AJ749" s="4" t="s">
        <v>2784</v>
      </c>
      <c r="AK749" s="4" t="s">
        <v>2785</v>
      </c>
      <c r="AL749" s="4" t="s">
        <v>79</v>
      </c>
      <c r="AM749" s="4" t="s">
        <v>134</v>
      </c>
      <c r="AN749" s="4" t="s">
        <v>69</v>
      </c>
      <c r="AO749" s="4" t="s">
        <v>70</v>
      </c>
      <c r="AP749" s="4" t="s">
        <v>71</v>
      </c>
      <c r="AQ749" s="4" t="s">
        <v>58</v>
      </c>
      <c r="AR749" s="4" t="s">
        <v>59</v>
      </c>
      <c r="AS749" s="4" t="s">
        <v>74</v>
      </c>
      <c r="AT749" s="0" t="n">
        <v>0.15</v>
      </c>
      <c r="AU749" s="4" t="s">
        <v>61</v>
      </c>
      <c r="AV749" s="4" t="s">
        <v>62</v>
      </c>
    </row>
    <row r="750" customFormat="false" ht="15" hidden="false" customHeight="false" outlineLevel="0" collapsed="false">
      <c r="A750" s="0" t="s">
        <v>2786</v>
      </c>
      <c r="B750" s="3" t="n">
        <f aca="false">IF(AJ750="","",IF(ISNUMBER(SEARCH("/",AJ750)),DATE(VALUE(RIGHT(AJ750,4)),VALUE(LEFT(AJ750,2)),VALUE(MID(AJ750,4,2))),IF(ISNUMBER(SEARCH("-",AJ750)),IF(LEN(LEFT(AJ750,FIND("-",AJ750)-1))=4,DATE(VALUE(LEFT(AJ750,4)),VALUE(MID(AJ750,6,2)),VALUE(RIGHT(AJ750,2))),DATE(VALUE(RIGHT(AJ750,4)),VALUE(MID(AJ750,4,2)),VALUE(LEFT(AJ750,2)))),DATE(VALUE(RIGHT(AJ750,4)),MATCH(MID(AJ750,4,3),{"Jan","Feb","Mar","Apr","May","Jun","Jul","Aug","Sep","Oct","Nov","Dec"},0),VALUE(LEFT(AJ750,2))))))</f>
        <v>45442</v>
      </c>
      <c r="C750" s="3" t="n">
        <f aca="false">IF(AK750="","",IF(ISNUMBER(SEARCH("/",AK750)),DATE(VALUE(RIGHT(AK750,4)),VALUE(LEFT(AK750,2)),VALUE(MID(AK750,4,2))),IF(ISNUMBER(SEARCH("-",AK750)),IF(LEN(LEFT(AK750,FIND("-",AK750)-1))=4,DATE(VALUE(LEFT(AK750,4)),VALUE(MID(AK750,6,2)),VALUE(RIGHT(AK750,2))),DATE(VALUE(RIGHT(AK750,4)),VALUE(MID(AK750,4,2)),VALUE(LEFT(AK750,2)))),DATE(VALUE(RIGHT(AK750,4)),MATCH(MID(AK750,4,3),{"Jan","Feb","Mar","Apr","May","Jun","Jul","Aug","Sep","Oct","Nov","Dec"},0),VALUE(LEFT(AK750,2))))))</f>
        <v>45442</v>
      </c>
      <c r="D750" s="4" t="s">
        <v>2787</v>
      </c>
      <c r="E750" s="0" t="str">
        <f aca="false">PROPER(TRIM(AL750))</f>
        <v>Diya Patel</v>
      </c>
      <c r="F750" s="0" t="str">
        <f aca="false">PROPER(TRIM(AM750))</f>
        <v>Home Office</v>
      </c>
      <c r="G750" s="0" t="str">
        <f aca="false">IF(TRIM(AN750)="","Unknown",PROPER(TRIM(AN750)))</f>
        <v>North</v>
      </c>
      <c r="H750" s="0" t="str">
        <f aca="false">PROPER(TRIM(AO750))</f>
        <v>Haryana</v>
      </c>
      <c r="I750" s="0" t="str">
        <f aca="false">PROPER(TRIM(AP750))</f>
        <v>Gurugram</v>
      </c>
      <c r="J750" s="0" t="str">
        <f aca="false">PROPER(TRIM(AQ750))</f>
        <v>Technology</v>
      </c>
      <c r="K750" s="0" t="str">
        <f aca="false">PROPER(TRIM(AR750))</f>
        <v>Phones</v>
      </c>
      <c r="M750" s="0" t="str">
        <f aca="false">IF(TRIM(AS750)="","Unknown",PROPER(TRIM(AS750)))</f>
        <v>Second Class</v>
      </c>
      <c r="N750" s="0" t="n">
        <v>1</v>
      </c>
      <c r="O750" s="0" t="n">
        <v>3848.04</v>
      </c>
      <c r="P750" s="5" t="n">
        <f aca="false">IF(AT750="","",IF(ISNUMBER(AT750),AT750,VALUE(SUBSTITUTE(AT750,"%",""))/100))</f>
        <v>0.25</v>
      </c>
      <c r="Q750" s="5" t="n">
        <f aca="false">IF(P750="",IF(AND(N750&lt;&gt;"",O750&lt;&gt;"",R750&lt;&gt;"",S750&lt;&gt;""),0,"REVIEW"),IF(OR(P750&lt;0,P750&gt;0.3),0,P750))</f>
        <v>0.25</v>
      </c>
      <c r="R750" s="0" t="n">
        <v>2886.03</v>
      </c>
      <c r="S750" s="0" t="n">
        <v>2064.83</v>
      </c>
      <c r="T750" s="6" t="n">
        <f aca="false">N750*O750*(1-Q750)</f>
        <v>2886.03</v>
      </c>
      <c r="U750" s="6" t="n">
        <f aca="false">T750-S750</f>
        <v>821.2</v>
      </c>
      <c r="V750" s="7" t="n">
        <f aca="false">IF(T750=0,0,U750/T750)</f>
        <v>0.284543126717324</v>
      </c>
      <c r="W750" s="4" t="n">
        <f aca="false">C750-B750</f>
        <v>0</v>
      </c>
      <c r="X750" s="0" t="str">
        <f aca="false">TEXT(B750,"mmmm")</f>
        <v>May</v>
      </c>
      <c r="Y750" s="4" t="n">
        <f aca="false">YEAR(B750)</f>
        <v>2024</v>
      </c>
      <c r="Z750" s="0" t="str">
        <f aca="false">PROPER(TRIM(AU750))</f>
        <v>Paid</v>
      </c>
      <c r="AA750" s="0" t="str">
        <f aca="false">PROPER(TRIM(AV750))</f>
        <v>Completed</v>
      </c>
      <c r="AB750" s="0" t="str">
        <f aca="false">IF(TRIM(AN750)="","Yes","No")</f>
        <v>No</v>
      </c>
      <c r="AC750" s="0" t="str">
        <f aca="false">IF(TRIM(AS750)="","Yes","No")</f>
        <v>No</v>
      </c>
      <c r="AD750" s="0" t="str">
        <f aca="false">IF(AT750="","Yes","No")</f>
        <v>No</v>
      </c>
      <c r="AE750" s="0" t="str">
        <f aca="false">IF(W750&lt;0,"Yes","No")</f>
        <v>No</v>
      </c>
      <c r="AF750" s="0" t="str">
        <f aca="false">IF(P750="","No",IF(OR(P750&lt;0,P750&gt;0.3),"Yes","No"))</f>
        <v>No</v>
      </c>
      <c r="AG750" s="4" t="s">
        <v>50</v>
      </c>
      <c r="AH750" s="0" t="str">
        <f aca="false">IF(AND(AA750="Completed",Z750="Paid"),"Yes","No")</f>
        <v>Yes</v>
      </c>
      <c r="AI750" s="0" t="str">
        <f aca="false">IF(OR(AE750="Yes",AF750="Yes",AG750="Yes"),"Invalid",IF(OR(AB750="Yes",AC750="Yes",AD750="Yes"),"Warning","Clean"))</f>
        <v>Clean</v>
      </c>
      <c r="AJ750" s="4" t="s">
        <v>2788</v>
      </c>
      <c r="AK750" s="4" t="s">
        <v>2789</v>
      </c>
      <c r="AL750" s="4" t="s">
        <v>216</v>
      </c>
      <c r="AM750" s="4" t="s">
        <v>134</v>
      </c>
      <c r="AN750" s="4" t="s">
        <v>168</v>
      </c>
      <c r="AO750" s="4" t="s">
        <v>310</v>
      </c>
      <c r="AP750" s="4" t="s">
        <v>311</v>
      </c>
      <c r="AQ750" s="4" t="s">
        <v>109</v>
      </c>
      <c r="AR750" s="4" t="s">
        <v>227</v>
      </c>
      <c r="AS750" s="4" t="s">
        <v>60</v>
      </c>
      <c r="AT750" s="0" t="n">
        <v>0.25</v>
      </c>
      <c r="AU750" s="4" t="s">
        <v>61</v>
      </c>
      <c r="AV750" s="4" t="s">
        <v>62</v>
      </c>
    </row>
    <row r="751" customFormat="false" ht="15" hidden="false" customHeight="false" outlineLevel="0" collapsed="false">
      <c r="A751" s="0" t="s">
        <v>2790</v>
      </c>
      <c r="B751" s="3" t="n">
        <f aca="false">IF(AJ751="","",IF(ISNUMBER(SEARCH("/",AJ751)),DATE(VALUE(RIGHT(AJ751,4)),VALUE(LEFT(AJ751,2)),VALUE(MID(AJ751,4,2))),IF(ISNUMBER(SEARCH("-",AJ751)),IF(LEN(LEFT(AJ751,FIND("-",AJ751)-1))=4,DATE(VALUE(LEFT(AJ751,4)),VALUE(MID(AJ751,6,2)),VALUE(RIGHT(AJ751,2))),DATE(VALUE(RIGHT(AJ751,4)),VALUE(MID(AJ751,4,2)),VALUE(LEFT(AJ751,2)))),DATE(VALUE(RIGHT(AJ751,4)),MATCH(MID(AJ751,4,3),{"Jan","Feb","Mar","Apr","May","Jun","Jul","Aug","Sep","Oct","Nov","Dec"},0),VALUE(LEFT(AJ751,2))))))</f>
        <v>45372</v>
      </c>
      <c r="C751" s="3" t="n">
        <f aca="false">IF(AK751="","",IF(ISNUMBER(SEARCH("/",AK751)),DATE(VALUE(RIGHT(AK751,4)),VALUE(LEFT(AK751,2)),VALUE(MID(AK751,4,2))),IF(ISNUMBER(SEARCH("-",AK751)),IF(LEN(LEFT(AK751,FIND("-",AK751)-1))=4,DATE(VALUE(LEFT(AK751,4)),VALUE(MID(AK751,6,2)),VALUE(RIGHT(AK751,2))),DATE(VALUE(RIGHT(AK751,4)),VALUE(MID(AK751,4,2)),VALUE(LEFT(AK751,2)))),DATE(VALUE(RIGHT(AK751,4)),MATCH(MID(AK751,4,3),{"Jan","Feb","Mar","Apr","May","Jun","Jul","Aug","Sep","Oct","Nov","Dec"},0),VALUE(LEFT(AK751,2))))))</f>
        <v>45376</v>
      </c>
      <c r="D751" s="4" t="s">
        <v>2791</v>
      </c>
      <c r="E751" s="0" t="str">
        <f aca="false">PROPER(TRIM(AL751))</f>
        <v>Aditi Sen</v>
      </c>
      <c r="F751" s="0" t="str">
        <f aca="false">PROPER(TRIM(AM751))</f>
        <v>Home Office</v>
      </c>
      <c r="G751" s="0" t="str">
        <f aca="false">IF(TRIM(AN751)="","Unknown",PROPER(TRIM(AN751)))</f>
        <v>East</v>
      </c>
      <c r="H751" s="0" t="str">
        <f aca="false">PROPER(TRIM(AO751))</f>
        <v>Assam</v>
      </c>
      <c r="I751" s="0" t="str">
        <f aca="false">PROPER(TRIM(AP751))</f>
        <v>Guwahati</v>
      </c>
      <c r="J751" s="0" t="str">
        <f aca="false">PROPER(TRIM(AQ751))</f>
        <v>Technology</v>
      </c>
      <c r="K751" s="0" t="str">
        <f aca="false">PROPER(TRIM(AR751))</f>
        <v>Machines</v>
      </c>
      <c r="M751" s="0" t="str">
        <f aca="false">IF(TRIM(AS751)="","Unknown",PROPER(TRIM(AS751)))</f>
        <v>Standard Class</v>
      </c>
      <c r="N751" s="0" t="n">
        <v>1</v>
      </c>
      <c r="O751" s="0" t="n">
        <v>1716.7</v>
      </c>
      <c r="P751" s="5" t="n">
        <f aca="false">IF(AT751="","",IF(ISNUMBER(AT751),AT751,VALUE(SUBSTITUTE(AT751,"%",""))/100))</f>
        <v>0.15</v>
      </c>
      <c r="Q751" s="5" t="n">
        <f aca="false">IF(P751="",IF(AND(N751&lt;&gt;"",O751&lt;&gt;"",R751&lt;&gt;"",S751&lt;&gt;""),0,"REVIEW"),IF(OR(P751&lt;0,P751&gt;0.3),0,P751))</f>
        <v>0.15</v>
      </c>
      <c r="R751" s="0" t="n">
        <v>1459.19</v>
      </c>
      <c r="S751" s="0" t="n">
        <v>1055.79</v>
      </c>
      <c r="T751" s="6" t="n">
        <f aca="false">N751*O751*(1-Q751)</f>
        <v>1459.195</v>
      </c>
      <c r="U751" s="6" t="n">
        <f aca="false">T751-S751</f>
        <v>403.405</v>
      </c>
      <c r="V751" s="7" t="n">
        <f aca="false">IF(T751=0,0,U751/T751)</f>
        <v>0.276457224702661</v>
      </c>
      <c r="W751" s="4" t="n">
        <f aca="false">C751-B751</f>
        <v>4</v>
      </c>
      <c r="X751" s="0" t="str">
        <f aca="false">TEXT(B751,"mmmm")</f>
        <v>March</v>
      </c>
      <c r="Y751" s="4" t="n">
        <f aca="false">YEAR(B751)</f>
        <v>2024</v>
      </c>
      <c r="Z751" s="0" t="str">
        <f aca="false">PROPER(TRIM(AU751))</f>
        <v>Paid</v>
      </c>
      <c r="AA751" s="0" t="str">
        <f aca="false">PROPER(TRIM(AV751))</f>
        <v>Completed</v>
      </c>
      <c r="AB751" s="0" t="str">
        <f aca="false">IF(TRIM(AN751)="","Yes","No")</f>
        <v>No</v>
      </c>
      <c r="AC751" s="0" t="str">
        <f aca="false">IF(TRIM(AS751)="","Yes","No")</f>
        <v>No</v>
      </c>
      <c r="AD751" s="0" t="str">
        <f aca="false">IF(AT751="","Yes","No")</f>
        <v>No</v>
      </c>
      <c r="AE751" s="0" t="str">
        <f aca="false">IF(W751&lt;0,"Yes","No")</f>
        <v>No</v>
      </c>
      <c r="AF751" s="0" t="str">
        <f aca="false">IF(P751="","No",IF(OR(P751&lt;0,P751&gt;0.3),"Yes","No"))</f>
        <v>No</v>
      </c>
      <c r="AG751" s="4" t="s">
        <v>50</v>
      </c>
      <c r="AH751" s="0" t="str">
        <f aca="false">IF(AND(AA751="Completed",Z751="Paid"),"Yes","No")</f>
        <v>Yes</v>
      </c>
      <c r="AI751" s="0" t="str">
        <f aca="false">IF(OR(AE751="Yes",AF751="Yes",AG751="Yes"),"Invalid",IF(OR(AB751="Yes",AC751="Yes",AD751="Yes"),"Warning","Clean"))</f>
        <v>Clean</v>
      </c>
      <c r="AJ751" s="4" t="s">
        <v>2792</v>
      </c>
      <c r="AK751" s="4" t="s">
        <v>2793</v>
      </c>
      <c r="AL751" s="4" t="s">
        <v>127</v>
      </c>
      <c r="AM751" s="4" t="s">
        <v>134</v>
      </c>
      <c r="AN751" s="4" t="s">
        <v>69</v>
      </c>
      <c r="AO751" s="4" t="s">
        <v>221</v>
      </c>
      <c r="AP751" s="4" t="s">
        <v>222</v>
      </c>
      <c r="AQ751" s="4" t="s">
        <v>109</v>
      </c>
      <c r="AR751" s="4" t="s">
        <v>360</v>
      </c>
      <c r="AS751" s="4" t="s">
        <v>91</v>
      </c>
      <c r="AT751" s="0" t="n">
        <v>0.15</v>
      </c>
      <c r="AU751" s="4" t="s">
        <v>61</v>
      </c>
      <c r="AV751" s="4" t="s">
        <v>62</v>
      </c>
    </row>
    <row r="752" customFormat="false" ht="15" hidden="false" customHeight="false" outlineLevel="0" collapsed="false">
      <c r="A752" s="0" t="s">
        <v>2794</v>
      </c>
      <c r="B752" s="3" t="n">
        <f aca="false">IF(AJ752="","",IF(ISNUMBER(SEARCH("/",AJ752)),DATE(VALUE(RIGHT(AJ752,4)),VALUE(LEFT(AJ752,2)),VALUE(MID(AJ752,4,2))),IF(ISNUMBER(SEARCH("-",AJ752)),IF(LEN(LEFT(AJ752,FIND("-",AJ752)-1))=4,DATE(VALUE(LEFT(AJ752,4)),VALUE(MID(AJ752,6,2)),VALUE(RIGHT(AJ752,2))),DATE(VALUE(RIGHT(AJ752,4)),VALUE(MID(AJ752,4,2)),VALUE(LEFT(AJ752,2)))),DATE(VALUE(RIGHT(AJ752,4)),MATCH(MID(AJ752,4,3),{"Jan","Feb","Mar","Apr","May","Jun","Jul","Aug","Sep","Oct","Nov","Dec"},0),VALUE(LEFT(AJ752,2))))))</f>
        <v>45810</v>
      </c>
      <c r="C752" s="3" t="n">
        <f aca="false">IF(AK752="","",IF(ISNUMBER(SEARCH("/",AK752)),DATE(VALUE(RIGHT(AK752,4)),VALUE(LEFT(AK752,2)),VALUE(MID(AK752,4,2))),IF(ISNUMBER(SEARCH("-",AK752)),IF(LEN(LEFT(AK752,FIND("-",AK752)-1))=4,DATE(VALUE(LEFT(AK752,4)),VALUE(MID(AK752,6,2)),VALUE(RIGHT(AK752,2))),DATE(VALUE(RIGHT(AK752,4)),VALUE(MID(AK752,4,2)),VALUE(LEFT(AK752,2)))),DATE(VALUE(RIGHT(AK752,4)),MATCH(MID(AK752,4,3),{"Jan","Feb","Mar","Apr","May","Jun","Jul","Aug","Sep","Oct","Nov","Dec"},0),VALUE(LEFT(AK752,2))))))</f>
        <v>45810</v>
      </c>
      <c r="D752" s="4" t="s">
        <v>2795</v>
      </c>
      <c r="E752" s="0" t="str">
        <f aca="false">PROPER(TRIM(AL752))</f>
        <v>Aarav Sharma</v>
      </c>
      <c r="F752" s="0" t="str">
        <f aca="false">PROPER(TRIM(AM752))</f>
        <v>Home Office</v>
      </c>
      <c r="G752" s="0" t="str">
        <f aca="false">IF(TRIM(AN752)="","Unknown",PROPER(TRIM(AN752)))</f>
        <v>South</v>
      </c>
      <c r="H752" s="0" t="str">
        <f aca="false">PROPER(TRIM(AO752))</f>
        <v>Telangana</v>
      </c>
      <c r="I752" s="0" t="str">
        <f aca="false">PROPER(TRIM(AP752))</f>
        <v>Hyderabad</v>
      </c>
      <c r="J752" s="0" t="str">
        <f aca="false">PROPER(TRIM(AQ752))</f>
        <v>Technology</v>
      </c>
      <c r="K752" s="0" t="str">
        <f aca="false">PROPER(TRIM(AR752))</f>
        <v>Accessories</v>
      </c>
      <c r="M752" s="0" t="str">
        <f aca="false">IF(TRIM(AS752)="","Unknown",PROPER(TRIM(AS752)))</f>
        <v>First Class</v>
      </c>
      <c r="N752" s="0" t="n">
        <v>8</v>
      </c>
      <c r="O752" s="0" t="n">
        <v>3925.93</v>
      </c>
      <c r="P752" s="5" t="n">
        <f aca="false">IF(AT752="","",IF(ISNUMBER(AT752),AT752,VALUE(SUBSTITUTE(AT752,"%",""))/100))</f>
        <v>0.15</v>
      </c>
      <c r="Q752" s="5" t="n">
        <f aca="false">IF(P752="",IF(AND(N752&lt;&gt;"",O752&lt;&gt;"",R752&lt;&gt;"",S752&lt;&gt;""),0,"REVIEW"),IF(OR(P752&lt;0,P752&gt;0.3),0,P752))</f>
        <v>0.15</v>
      </c>
      <c r="R752" s="0" t="n">
        <v>26696.32</v>
      </c>
      <c r="S752" s="0" t="n">
        <v>22724.52</v>
      </c>
      <c r="T752" s="6" t="n">
        <f aca="false">N752*O752*(1-Q752)</f>
        <v>26696.324</v>
      </c>
      <c r="U752" s="6" t="n">
        <f aca="false">T752-S752</f>
        <v>3971.804</v>
      </c>
      <c r="V752" s="7" t="n">
        <f aca="false">IF(T752=0,0,U752/T752)</f>
        <v>0.148777187450976</v>
      </c>
      <c r="W752" s="4" t="n">
        <f aca="false">C752-B752</f>
        <v>0</v>
      </c>
      <c r="X752" s="0" t="str">
        <f aca="false">TEXT(B752,"mmmm")</f>
        <v>June</v>
      </c>
      <c r="Y752" s="4" t="n">
        <f aca="false">YEAR(B752)</f>
        <v>2025</v>
      </c>
      <c r="Z752" s="0" t="str">
        <f aca="false">PROPER(TRIM(AU752))</f>
        <v>Paid</v>
      </c>
      <c r="AA752" s="0" t="str">
        <f aca="false">PROPER(TRIM(AV752))</f>
        <v>Completed</v>
      </c>
      <c r="AB752" s="0" t="str">
        <f aca="false">IF(TRIM(AN752)="","Yes","No")</f>
        <v>No</v>
      </c>
      <c r="AC752" s="0" t="str">
        <f aca="false">IF(TRIM(AS752)="","Yes","No")</f>
        <v>No</v>
      </c>
      <c r="AD752" s="0" t="str">
        <f aca="false">IF(AT752="","Yes","No")</f>
        <v>No</v>
      </c>
      <c r="AE752" s="0" t="str">
        <f aca="false">IF(W752&lt;0,"Yes","No")</f>
        <v>No</v>
      </c>
      <c r="AF752" s="0" t="str">
        <f aca="false">IF(P752="","No",IF(OR(P752&lt;0,P752&gt;0.3),"Yes","No"))</f>
        <v>No</v>
      </c>
      <c r="AG752" s="4" t="s">
        <v>50</v>
      </c>
      <c r="AH752" s="0" t="str">
        <f aca="false">IF(AND(AA752="Completed",Z752="Paid"),"Yes","No")</f>
        <v>Yes</v>
      </c>
      <c r="AI752" s="0" t="str">
        <f aca="false">IF(OR(AE752="Yes",AF752="Yes",AG752="Yes"),"Invalid",IF(OR(AB752="Yes",AC752="Yes",AD752="Yes"),"Warning","Clean"))</f>
        <v>Clean</v>
      </c>
      <c r="AJ752" s="4" t="s">
        <v>2796</v>
      </c>
      <c r="AK752" s="4" t="s">
        <v>355</v>
      </c>
      <c r="AL752" s="4" t="s">
        <v>176</v>
      </c>
      <c r="AM752" s="4" t="s">
        <v>134</v>
      </c>
      <c r="AN752" s="4" t="s">
        <v>87</v>
      </c>
      <c r="AO752" s="4" t="s">
        <v>88</v>
      </c>
      <c r="AP752" s="4" t="s">
        <v>89</v>
      </c>
      <c r="AQ752" s="4" t="s">
        <v>109</v>
      </c>
      <c r="AR752" s="4" t="s">
        <v>110</v>
      </c>
      <c r="AS752" s="4" t="s">
        <v>81</v>
      </c>
      <c r="AT752" s="0" t="n">
        <v>0.15</v>
      </c>
      <c r="AU752" s="4" t="s">
        <v>61</v>
      </c>
      <c r="AV752" s="4" t="s">
        <v>62</v>
      </c>
    </row>
    <row r="753" customFormat="false" ht="15" hidden="false" customHeight="false" outlineLevel="0" collapsed="false">
      <c r="A753" s="0" t="s">
        <v>2797</v>
      </c>
      <c r="B753" s="3" t="n">
        <f aca="false">IF(AJ753="","",IF(ISNUMBER(SEARCH("/",AJ753)),DATE(VALUE(RIGHT(AJ753,4)),VALUE(LEFT(AJ753,2)),VALUE(MID(AJ753,4,2))),IF(ISNUMBER(SEARCH("-",AJ753)),IF(LEN(LEFT(AJ753,FIND("-",AJ753)-1))=4,DATE(VALUE(LEFT(AJ753,4)),VALUE(MID(AJ753,6,2)),VALUE(RIGHT(AJ753,2))),DATE(VALUE(RIGHT(AJ753,4)),VALUE(MID(AJ753,4,2)),VALUE(LEFT(AJ753,2)))),DATE(VALUE(RIGHT(AJ753,4)),MATCH(MID(AJ753,4,3),{"Jan","Feb","Mar","Apr","May","Jun","Jul","Aug","Sep","Oct","Nov","Dec"},0),VALUE(LEFT(AJ753,2))))))</f>
        <v>45856</v>
      </c>
      <c r="C753" s="3" t="n">
        <f aca="false">IF(AK753="","",IF(ISNUMBER(SEARCH("/",AK753)),DATE(VALUE(RIGHT(AK753,4)),VALUE(LEFT(AK753,2)),VALUE(MID(AK753,4,2))),IF(ISNUMBER(SEARCH("-",AK753)),IF(LEN(LEFT(AK753,FIND("-",AK753)-1))=4,DATE(VALUE(LEFT(AK753,4)),VALUE(MID(AK753,6,2)),VALUE(RIGHT(AK753,2))),DATE(VALUE(RIGHT(AK753,4)),VALUE(MID(AK753,4,2)),VALUE(LEFT(AK753,2)))),DATE(VALUE(RIGHT(AK753,4)),MATCH(MID(AK753,4,3),{"Jan","Feb","Mar","Apr","May","Jun","Jul","Aug","Sep","Oct","Nov","Dec"},0),VALUE(LEFT(AK753,2))))))</f>
        <v>45857</v>
      </c>
      <c r="D753" s="4" t="s">
        <v>2798</v>
      </c>
      <c r="E753" s="0" t="str">
        <f aca="false">PROPER(TRIM(AL753))</f>
        <v>Priya Menon</v>
      </c>
      <c r="F753" s="0" t="str">
        <f aca="false">PROPER(TRIM(AM753))</f>
        <v>Home Office</v>
      </c>
      <c r="G753" s="0" t="str">
        <f aca="false">IF(TRIM(AN753)="","Unknown",PROPER(TRIM(AN753)))</f>
        <v>Unknown</v>
      </c>
      <c r="H753" s="0" t="str">
        <f aca="false">PROPER(TRIM(AO753))</f>
        <v>Uttar Pradesh</v>
      </c>
      <c r="I753" s="0" t="str">
        <f aca="false">PROPER(TRIM(AP753))</f>
        <v>Noida</v>
      </c>
      <c r="J753" s="0" t="str">
        <f aca="false">PROPER(TRIM(AQ753))</f>
        <v>Technology</v>
      </c>
      <c r="K753" s="0" t="str">
        <f aca="false">PROPER(TRIM(AR753))</f>
        <v>Machines</v>
      </c>
      <c r="M753" s="0" t="str">
        <f aca="false">IF(TRIM(AS753)="","Unknown",PROPER(TRIM(AS753)))</f>
        <v>Unknown</v>
      </c>
      <c r="N753" s="0" t="n">
        <v>3</v>
      </c>
      <c r="O753" s="0" t="n">
        <v>2963.25</v>
      </c>
      <c r="P753" s="5" t="n">
        <f aca="false">IF(AT753="","",IF(ISNUMBER(AT753),AT753,VALUE(SUBSTITUTE(AT753,"%",""))/100))</f>
        <v>0.05</v>
      </c>
      <c r="Q753" s="5" t="n">
        <f aca="false">IF(P753="",IF(AND(N753&lt;&gt;"",O753&lt;&gt;"",R753&lt;&gt;"",S753&lt;&gt;""),0,"REVIEW"),IF(OR(P753&lt;0,P753&gt;0.3),0,P753))</f>
        <v>0.05</v>
      </c>
      <c r="R753" s="0" t="n">
        <v>8445.26</v>
      </c>
      <c r="S753" s="0" t="n">
        <v>6937.6</v>
      </c>
      <c r="T753" s="6" t="n">
        <f aca="false">N753*O753*(1-Q753)</f>
        <v>8445.2625</v>
      </c>
      <c r="U753" s="6" t="n">
        <f aca="false">T753-S753</f>
        <v>1507.6625</v>
      </c>
      <c r="V753" s="7" t="n">
        <f aca="false">IF(T753=0,0,U753/T753)</f>
        <v>0.178521685974829</v>
      </c>
      <c r="W753" s="4" t="n">
        <f aca="false">C753-B753</f>
        <v>1</v>
      </c>
      <c r="X753" s="0" t="str">
        <f aca="false">TEXT(B753,"mmmm")</f>
        <v>July</v>
      </c>
      <c r="Y753" s="4" t="n">
        <f aca="false">YEAR(B753)</f>
        <v>2025</v>
      </c>
      <c r="Z753" s="0" t="str">
        <f aca="false">PROPER(TRIM(AU753))</f>
        <v>Paid</v>
      </c>
      <c r="AA753" s="0" t="str">
        <f aca="false">PROPER(TRIM(AV753))</f>
        <v>Completed</v>
      </c>
      <c r="AB753" s="0" t="str">
        <f aca="false">IF(TRIM(AN753)="","Yes","No")</f>
        <v>Yes</v>
      </c>
      <c r="AC753" s="0" t="str">
        <f aca="false">IF(TRIM(AS753)="","Yes","No")</f>
        <v>Yes</v>
      </c>
      <c r="AD753" s="0" t="str">
        <f aca="false">IF(AT753="","Yes","No")</f>
        <v>No</v>
      </c>
      <c r="AE753" s="0" t="str">
        <f aca="false">IF(W753&lt;0,"Yes","No")</f>
        <v>No</v>
      </c>
      <c r="AF753" s="0" t="str">
        <f aca="false">IF(P753="","No",IF(OR(P753&lt;0,P753&gt;0.3),"Yes","No"))</f>
        <v>No</v>
      </c>
      <c r="AG753" s="4" t="s">
        <v>50</v>
      </c>
      <c r="AH753" s="0" t="str">
        <f aca="false">IF(AND(AA753="Completed",Z753="Paid"),"Yes","No")</f>
        <v>Yes</v>
      </c>
      <c r="AI753" s="0" t="str">
        <f aca="false">IF(OR(AE753="Yes",AF753="Yes",AG753="Yes"),"Invalid",IF(OR(AB753="Yes",AC753="Yes",AD753="Yes"),"Warning","Clean"))</f>
        <v>Warning</v>
      </c>
      <c r="AJ753" s="4" t="s">
        <v>637</v>
      </c>
      <c r="AK753" s="4" t="s">
        <v>2799</v>
      </c>
      <c r="AL753" s="4" t="s">
        <v>158</v>
      </c>
      <c r="AM753" s="4" t="s">
        <v>134</v>
      </c>
      <c r="AO753" s="4" t="s">
        <v>186</v>
      </c>
      <c r="AP753" s="4" t="s">
        <v>187</v>
      </c>
      <c r="AQ753" s="4" t="s">
        <v>109</v>
      </c>
      <c r="AR753" s="4" t="s">
        <v>360</v>
      </c>
      <c r="AT753" s="0" t="n">
        <v>0.05</v>
      </c>
      <c r="AU753" s="4" t="s">
        <v>61</v>
      </c>
      <c r="AV753" s="4" t="s">
        <v>62</v>
      </c>
    </row>
    <row r="754" customFormat="false" ht="15" hidden="false" customHeight="false" outlineLevel="0" collapsed="false">
      <c r="A754" s="0" t="s">
        <v>2800</v>
      </c>
      <c r="B754" s="3" t="n">
        <f aca="false">IF(AJ754="","",IF(ISNUMBER(SEARCH("/",AJ754)),DATE(VALUE(RIGHT(AJ754,4)),VALUE(LEFT(AJ754,2)),VALUE(MID(AJ754,4,2))),IF(ISNUMBER(SEARCH("-",AJ754)),IF(LEN(LEFT(AJ754,FIND("-",AJ754)-1))=4,DATE(VALUE(LEFT(AJ754,4)),VALUE(MID(AJ754,6,2)),VALUE(RIGHT(AJ754,2))),DATE(VALUE(RIGHT(AJ754,4)),VALUE(MID(AJ754,4,2)),VALUE(LEFT(AJ754,2)))),DATE(VALUE(RIGHT(AJ754,4)),MATCH(MID(AJ754,4,3),{"Jan","Feb","Mar","Apr","May","Jun","Jul","Aug","Sep","Oct","Nov","Dec"},0),VALUE(LEFT(AJ754,2))))))</f>
        <v>45375</v>
      </c>
      <c r="C754" s="3" t="n">
        <f aca="false">IF(AK754="","",IF(ISNUMBER(SEARCH("/",AK754)),DATE(VALUE(RIGHT(AK754,4)),VALUE(LEFT(AK754,2)),VALUE(MID(AK754,4,2))),IF(ISNUMBER(SEARCH("-",AK754)),IF(LEN(LEFT(AK754,FIND("-",AK754)-1))=4,DATE(VALUE(LEFT(AK754,4)),VALUE(MID(AK754,6,2)),VALUE(RIGHT(AK754,2))),DATE(VALUE(RIGHT(AK754,4)),VALUE(MID(AK754,4,2)),VALUE(LEFT(AK754,2)))),DATE(VALUE(RIGHT(AK754,4)),MATCH(MID(AK754,4,3),{"Jan","Feb","Mar","Apr","May","Jun","Jul","Aug","Sep","Oct","Nov","Dec"},0),VALUE(LEFT(AK754,2))))))</f>
        <v>45378</v>
      </c>
      <c r="D754" s="4" t="s">
        <v>2801</v>
      </c>
      <c r="E754" s="0" t="str">
        <f aca="false">PROPER(TRIM(AL754))</f>
        <v>Aditi Sen</v>
      </c>
      <c r="F754" s="0" t="str">
        <f aca="false">PROPER(TRIM(AM754))</f>
        <v>Corporate</v>
      </c>
      <c r="G754" s="0" t="str">
        <f aca="false">IF(TRIM(AN754)="","Unknown",PROPER(TRIM(AN754)))</f>
        <v>West</v>
      </c>
      <c r="H754" s="0" t="str">
        <f aca="false">PROPER(TRIM(AO754))</f>
        <v>Gujarat</v>
      </c>
      <c r="I754" s="0" t="str">
        <f aca="false">PROPER(TRIM(AP754))</f>
        <v>Ahmedabad</v>
      </c>
      <c r="J754" s="0" t="str">
        <f aca="false">PROPER(TRIM(AQ754))</f>
        <v>Office Supplies</v>
      </c>
      <c r="K754" s="0" t="str">
        <f aca="false">PROPER(TRIM(AR754))</f>
        <v>Storage</v>
      </c>
      <c r="M754" s="0" t="str">
        <f aca="false">IF(TRIM(AS754)="","Unknown",PROPER(TRIM(AS754)))</f>
        <v>First Class</v>
      </c>
      <c r="N754" s="0" t="n">
        <v>5</v>
      </c>
      <c r="O754" s="0" t="n">
        <v>2465.22</v>
      </c>
      <c r="P754" s="5" t="n">
        <f aca="false">IF(AT754="","",IF(ISNUMBER(AT754),AT754,VALUE(SUBSTITUTE(AT754,"%",""))/100))</f>
        <v>0.05</v>
      </c>
      <c r="Q754" s="5" t="n">
        <f aca="false">IF(P754="",IF(AND(N754&lt;&gt;"",O754&lt;&gt;"",R754&lt;&gt;"",S754&lt;&gt;""),0,"REVIEW"),IF(OR(P754&lt;0,P754&gt;0.3),0,P754))</f>
        <v>0.05</v>
      </c>
      <c r="R754" s="0" t="n">
        <v>11709.79</v>
      </c>
      <c r="S754" s="0" t="n">
        <v>8372.29</v>
      </c>
      <c r="T754" s="6" t="n">
        <f aca="false">N754*O754*(1-Q754)</f>
        <v>11709.795</v>
      </c>
      <c r="U754" s="6" t="n">
        <f aca="false">T754-S754</f>
        <v>3337.505</v>
      </c>
      <c r="V754" s="7" t="n">
        <f aca="false">IF(T754=0,0,U754/T754)</f>
        <v>0.285018226194395</v>
      </c>
      <c r="W754" s="4" t="n">
        <f aca="false">C754-B754</f>
        <v>3</v>
      </c>
      <c r="X754" s="0" t="str">
        <f aca="false">TEXT(B754,"mmmm")</f>
        <v>March</v>
      </c>
      <c r="Y754" s="4" t="n">
        <f aca="false">YEAR(B754)</f>
        <v>2024</v>
      </c>
      <c r="Z754" s="0" t="str">
        <f aca="false">PROPER(TRIM(AU754))</f>
        <v>Paid</v>
      </c>
      <c r="AA754" s="0" t="str">
        <f aca="false">PROPER(TRIM(AV754))</f>
        <v>Completed</v>
      </c>
      <c r="AB754" s="0" t="str">
        <f aca="false">IF(TRIM(AN754)="","Yes","No")</f>
        <v>No</v>
      </c>
      <c r="AC754" s="0" t="str">
        <f aca="false">IF(TRIM(AS754)="","Yes","No")</f>
        <v>No</v>
      </c>
      <c r="AD754" s="0" t="str">
        <f aca="false">IF(AT754="","Yes","No")</f>
        <v>No</v>
      </c>
      <c r="AE754" s="0" t="str">
        <f aca="false">IF(W754&lt;0,"Yes","No")</f>
        <v>No</v>
      </c>
      <c r="AF754" s="0" t="str">
        <f aca="false">IF(P754="","No",IF(OR(P754&lt;0,P754&gt;0.3),"Yes","No"))</f>
        <v>No</v>
      </c>
      <c r="AG754" s="4" t="s">
        <v>50</v>
      </c>
      <c r="AH754" s="0" t="str">
        <f aca="false">IF(AND(AA754="Completed",Z754="Paid"),"Yes","No")</f>
        <v>Yes</v>
      </c>
      <c r="AI754" s="0" t="str">
        <f aca="false">IF(OR(AE754="Yes",AF754="Yes",AG754="Yes"),"Invalid",IF(OR(AB754="Yes",AC754="Yes",AD754="Yes"),"Warning","Clean"))</f>
        <v>Clean</v>
      </c>
      <c r="AJ754" s="4" t="s">
        <v>1818</v>
      </c>
      <c r="AK754" s="4" t="s">
        <v>2551</v>
      </c>
      <c r="AL754" s="4" t="s">
        <v>127</v>
      </c>
      <c r="AM754" s="4" t="s">
        <v>128</v>
      </c>
      <c r="AN754" s="4" t="s">
        <v>2802</v>
      </c>
      <c r="AO754" s="4" t="s">
        <v>238</v>
      </c>
      <c r="AP754" s="4" t="s">
        <v>239</v>
      </c>
      <c r="AQ754" s="4" t="s">
        <v>58</v>
      </c>
      <c r="AR754" s="4" t="s">
        <v>171</v>
      </c>
      <c r="AS754" s="4" t="s">
        <v>81</v>
      </c>
      <c r="AT754" s="0" t="n">
        <v>0.05</v>
      </c>
      <c r="AU754" s="4" t="s">
        <v>61</v>
      </c>
      <c r="AV754" s="4" t="s">
        <v>62</v>
      </c>
    </row>
    <row r="755" customFormat="false" ht="15" hidden="false" customHeight="false" outlineLevel="0" collapsed="false">
      <c r="A755" s="0" t="s">
        <v>2803</v>
      </c>
      <c r="B755" s="3" t="n">
        <f aca="false">IF(AJ755="","",IF(ISNUMBER(SEARCH("/",AJ755)),DATE(VALUE(RIGHT(AJ755,4)),VALUE(LEFT(AJ755,2)),VALUE(MID(AJ755,4,2))),IF(ISNUMBER(SEARCH("-",AJ755)),IF(LEN(LEFT(AJ755,FIND("-",AJ755)-1))=4,DATE(VALUE(LEFT(AJ755,4)),VALUE(MID(AJ755,6,2)),VALUE(RIGHT(AJ755,2))),DATE(VALUE(RIGHT(AJ755,4)),VALUE(MID(AJ755,4,2)),VALUE(LEFT(AJ755,2)))),DATE(VALUE(RIGHT(AJ755,4)),MATCH(MID(AJ755,4,3),{"Jan","Feb","Mar","Apr","May","Jun","Jul","Aug","Sep","Oct","Nov","Dec"},0),VALUE(LEFT(AJ755,2))))))</f>
        <v>45515</v>
      </c>
      <c r="C755" s="3" t="n">
        <f aca="false">IF(AK755="","",IF(ISNUMBER(SEARCH("/",AK755)),DATE(VALUE(RIGHT(AK755,4)),VALUE(LEFT(AK755,2)),VALUE(MID(AK755,4,2))),IF(ISNUMBER(SEARCH("-",AK755)),IF(LEN(LEFT(AK755,FIND("-",AK755)-1))=4,DATE(VALUE(LEFT(AK755,4)),VALUE(MID(AK755,6,2)),VALUE(RIGHT(AK755,2))),DATE(VALUE(RIGHT(AK755,4)),VALUE(MID(AK755,4,2)),VALUE(LEFT(AK755,2)))),DATE(VALUE(RIGHT(AK755,4)),MATCH(MID(AK755,4,3),{"Jan","Feb","Mar","Apr","May","Jun","Jul","Aug","Sep","Oct","Nov","Dec"},0),VALUE(LEFT(AK755,2))))))</f>
        <v>45514</v>
      </c>
      <c r="D755" s="4" t="s">
        <v>2804</v>
      </c>
      <c r="E755" s="0" t="str">
        <f aca="false">PROPER(TRIM(AL755))</f>
        <v>Aditi Sen</v>
      </c>
      <c r="F755" s="0" t="str">
        <f aca="false">PROPER(TRIM(AM755))</f>
        <v>Corporate</v>
      </c>
      <c r="G755" s="0" t="str">
        <f aca="false">IF(TRIM(AN755)="","Unknown",PROPER(TRIM(AN755)))</f>
        <v>North</v>
      </c>
      <c r="H755" s="0" t="str">
        <f aca="false">PROPER(TRIM(AO755))</f>
        <v>Delhi</v>
      </c>
      <c r="I755" s="0" t="str">
        <f aca="false">PROPER(TRIM(AP755))</f>
        <v>New Delhi</v>
      </c>
      <c r="J755" s="0" t="str">
        <f aca="false">PROPER(TRIM(AQ755))</f>
        <v>Furniture</v>
      </c>
      <c r="K755" s="0" t="str">
        <f aca="false">PROPER(TRIM(AR755))</f>
        <v>Furnishings</v>
      </c>
      <c r="M755" s="0" t="str">
        <f aca="false">IF(TRIM(AS755)="","Unknown",PROPER(TRIM(AS755)))</f>
        <v>Second Class</v>
      </c>
      <c r="N755" s="0" t="n">
        <v>3</v>
      </c>
      <c r="O755" s="0" t="n">
        <v>1017.22</v>
      </c>
      <c r="P755" s="5" t="n">
        <f aca="false">IF(AT755="","",IF(ISNUMBER(AT755),AT755,VALUE(SUBSTITUTE(AT755,"%",""))/100))</f>
        <v>0.15</v>
      </c>
      <c r="Q755" s="5" t="n">
        <f aca="false">IF(P755="",IF(AND(N755&lt;&gt;"",O755&lt;&gt;"",R755&lt;&gt;"",S755&lt;&gt;""),0,"REVIEW"),IF(OR(P755&lt;0,P755&gt;0.3),0,P755))</f>
        <v>0.15</v>
      </c>
      <c r="R755" s="0" t="n">
        <v>2593.91</v>
      </c>
      <c r="S755" s="0" t="n">
        <v>1848.48</v>
      </c>
      <c r="T755" s="6" t="n">
        <f aca="false">N755*O755*(1-Q755)</f>
        <v>2593.911</v>
      </c>
      <c r="U755" s="6" t="n">
        <f aca="false">T755-S755</f>
        <v>745.431</v>
      </c>
      <c r="V755" s="7" t="n">
        <f aca="false">IF(T755=0,0,U755/T755)</f>
        <v>0.287377246173828</v>
      </c>
      <c r="W755" s="4" t="n">
        <f aca="false">C755-B755</f>
        <v>-1</v>
      </c>
      <c r="X755" s="0" t="str">
        <f aca="false">TEXT(B755,"mmmm")</f>
        <v>August</v>
      </c>
      <c r="Y755" s="4" t="n">
        <f aca="false">YEAR(B755)</f>
        <v>2024</v>
      </c>
      <c r="Z755" s="0" t="str">
        <f aca="false">PROPER(TRIM(AU755))</f>
        <v>Failed</v>
      </c>
      <c r="AA755" s="0" t="str">
        <f aca="false">PROPER(TRIM(AV755))</f>
        <v>Returned</v>
      </c>
      <c r="AB755" s="0" t="str">
        <f aca="false">IF(TRIM(AN755)="","Yes","No")</f>
        <v>No</v>
      </c>
      <c r="AC755" s="0" t="str">
        <f aca="false">IF(TRIM(AS755)="","Yes","No")</f>
        <v>No</v>
      </c>
      <c r="AD755" s="0" t="str">
        <f aca="false">IF(AT755="","Yes","No")</f>
        <v>No</v>
      </c>
      <c r="AE755" s="0" t="str">
        <f aca="false">IF(W755&lt;0,"Yes","No")</f>
        <v>Yes</v>
      </c>
      <c r="AF755" s="0" t="str">
        <f aca="false">IF(P755="","No",IF(OR(P755&lt;0,P755&gt;0.3),"Yes","No"))</f>
        <v>No</v>
      </c>
      <c r="AG755" s="4" t="s">
        <v>50</v>
      </c>
      <c r="AH755" s="0" t="str">
        <f aca="false">IF(AND(AA755="Completed",Z755="Paid"),"Yes","No")</f>
        <v>No</v>
      </c>
      <c r="AI755" s="0" t="str">
        <f aca="false">IF(OR(AE755="Yes",AF755="Yes",AG755="Yes"),"Invalid",IF(OR(AB755="Yes",AC755="Yes",AD755="Yes"),"Warning","Clean"))</f>
        <v>Invalid</v>
      </c>
      <c r="AJ755" s="4" t="s">
        <v>1989</v>
      </c>
      <c r="AK755" s="4" t="s">
        <v>2271</v>
      </c>
      <c r="AL755" s="4" t="s">
        <v>127</v>
      </c>
      <c r="AM755" s="4" t="s">
        <v>128</v>
      </c>
      <c r="AN755" s="4" t="s">
        <v>168</v>
      </c>
      <c r="AO755" s="4" t="s">
        <v>461</v>
      </c>
      <c r="AP755" s="4" t="s">
        <v>462</v>
      </c>
      <c r="AQ755" s="4" t="s">
        <v>456</v>
      </c>
      <c r="AR755" s="4" t="s">
        <v>90</v>
      </c>
      <c r="AS755" s="4" t="s">
        <v>60</v>
      </c>
      <c r="AT755" s="0" t="n">
        <v>0.15</v>
      </c>
      <c r="AU755" s="4" t="s">
        <v>207</v>
      </c>
      <c r="AV755" s="4" t="s">
        <v>142</v>
      </c>
    </row>
    <row r="756" customFormat="false" ht="15" hidden="false" customHeight="false" outlineLevel="0" collapsed="false">
      <c r="A756" s="0" t="s">
        <v>2805</v>
      </c>
      <c r="B756" s="3" t="n">
        <f aca="false">IF(AJ756="","",IF(ISNUMBER(SEARCH("/",AJ756)),DATE(VALUE(RIGHT(AJ756,4)),VALUE(LEFT(AJ756,2)),VALUE(MID(AJ756,4,2))),IF(ISNUMBER(SEARCH("-",AJ756)),IF(LEN(LEFT(AJ756,FIND("-",AJ756)-1))=4,DATE(VALUE(LEFT(AJ756,4)),VALUE(MID(AJ756,6,2)),VALUE(RIGHT(AJ756,2))),DATE(VALUE(RIGHT(AJ756,4)),VALUE(MID(AJ756,4,2)),VALUE(LEFT(AJ756,2)))),DATE(VALUE(RIGHT(AJ756,4)),MATCH(MID(AJ756,4,3),{"Jan","Feb","Mar","Apr","May","Jun","Jul","Aug","Sep","Oct","Nov","Dec"},0),VALUE(LEFT(AJ756,2))))))</f>
        <v>45812</v>
      </c>
      <c r="C756" s="3" t="n">
        <f aca="false">IF(AK756="","",IF(ISNUMBER(SEARCH("/",AK756)),DATE(VALUE(RIGHT(AK756,4)),VALUE(LEFT(AK756,2)),VALUE(MID(AK756,4,2))),IF(ISNUMBER(SEARCH("-",AK756)),IF(LEN(LEFT(AK756,FIND("-",AK756)-1))=4,DATE(VALUE(LEFT(AK756,4)),VALUE(MID(AK756,6,2)),VALUE(RIGHT(AK756,2))),DATE(VALUE(RIGHT(AK756,4)),VALUE(MID(AK756,4,2)),VALUE(LEFT(AK756,2)))),DATE(VALUE(RIGHT(AK756,4)),MATCH(MID(AK756,4,3),{"Jan","Feb","Mar","Apr","May","Jun","Jul","Aug","Sep","Oct","Nov","Dec"},0),VALUE(LEFT(AK756,2))))))</f>
        <v>45812</v>
      </c>
      <c r="D756" s="4" t="s">
        <v>2806</v>
      </c>
      <c r="E756" s="0" t="str">
        <f aca="false">PROPER(TRIM(AL756))</f>
        <v>Neha Gupta</v>
      </c>
      <c r="F756" s="0" t="str">
        <f aca="false">PROPER(TRIM(AM756))</f>
        <v>Corporate</v>
      </c>
      <c r="G756" s="0" t="str">
        <f aca="false">IF(TRIM(AN756)="","Unknown",PROPER(TRIM(AN756)))</f>
        <v>South</v>
      </c>
      <c r="H756" s="0" t="str">
        <f aca="false">PROPER(TRIM(AO756))</f>
        <v>Kerala</v>
      </c>
      <c r="I756" s="0" t="str">
        <f aca="false">PROPER(TRIM(AP756))</f>
        <v>Kochi</v>
      </c>
      <c r="J756" s="0" t="str">
        <f aca="false">PROPER(TRIM(AQ756))</f>
        <v>Office Supplies</v>
      </c>
      <c r="K756" s="0" t="str">
        <f aca="false">PROPER(TRIM(AR756))</f>
        <v>Storage</v>
      </c>
      <c r="M756" s="0" t="str">
        <f aca="false">IF(TRIM(AS756)="","Unknown",PROPER(TRIM(AS756)))</f>
        <v>Standard Class</v>
      </c>
      <c r="N756" s="0" t="n">
        <v>4</v>
      </c>
      <c r="O756" s="0" t="n">
        <v>891.34</v>
      </c>
      <c r="P756" s="5" t="n">
        <f aca="false">IF(AT756="","",IF(ISNUMBER(AT756),AT756,VALUE(SUBSTITUTE(AT756,"%",""))/100))</f>
        <v>0.25</v>
      </c>
      <c r="Q756" s="5" t="n">
        <f aca="false">IF(P756="",IF(AND(N756&lt;&gt;"",O756&lt;&gt;"",R756&lt;&gt;"",S756&lt;&gt;""),0,"REVIEW"),IF(OR(P756&lt;0,P756&gt;0.3),0,P756))</f>
        <v>0.25</v>
      </c>
      <c r="R756" s="0" t="n">
        <v>2674.02</v>
      </c>
      <c r="S756" s="0" t="n">
        <v>2207.57</v>
      </c>
      <c r="T756" s="6" t="n">
        <f aca="false">N756*O756*(1-Q756)</f>
        <v>2674.02</v>
      </c>
      <c r="U756" s="6" t="n">
        <f aca="false">T756-S756</f>
        <v>466.45</v>
      </c>
      <c r="V756" s="7" t="n">
        <f aca="false">IF(T756=0,0,U756/T756)</f>
        <v>0.174437737937637</v>
      </c>
      <c r="W756" s="4" t="n">
        <f aca="false">C756-B756</f>
        <v>0</v>
      </c>
      <c r="X756" s="0" t="str">
        <f aca="false">TEXT(B756,"mmmm")</f>
        <v>June</v>
      </c>
      <c r="Y756" s="4" t="n">
        <f aca="false">YEAR(B756)</f>
        <v>2025</v>
      </c>
      <c r="Z756" s="0" t="str">
        <f aca="false">PROPER(TRIM(AU756))</f>
        <v>Paid</v>
      </c>
      <c r="AA756" s="0" t="str">
        <f aca="false">PROPER(TRIM(AV756))</f>
        <v>Completed</v>
      </c>
      <c r="AB756" s="0" t="str">
        <f aca="false">IF(TRIM(AN756)="","Yes","No")</f>
        <v>No</v>
      </c>
      <c r="AC756" s="0" t="str">
        <f aca="false">IF(TRIM(AS756)="","Yes","No")</f>
        <v>No</v>
      </c>
      <c r="AD756" s="0" t="str">
        <f aca="false">IF(AT756="","Yes","No")</f>
        <v>No</v>
      </c>
      <c r="AE756" s="0" t="str">
        <f aca="false">IF(W756&lt;0,"Yes","No")</f>
        <v>No</v>
      </c>
      <c r="AF756" s="0" t="str">
        <f aca="false">IF(P756="","No",IF(OR(P756&lt;0,P756&gt;0.3),"Yes","No"))</f>
        <v>No</v>
      </c>
      <c r="AG756" s="4" t="s">
        <v>50</v>
      </c>
      <c r="AH756" s="0" t="str">
        <f aca="false">IF(AND(AA756="Completed",Z756="Paid"),"Yes","No")</f>
        <v>Yes</v>
      </c>
      <c r="AI756" s="0" t="str">
        <f aca="false">IF(OR(AE756="Yes",AF756="Yes",AG756="Yes"),"Invalid",IF(OR(AB756="Yes",AC756="Yes",AD756="Yes"),"Warning","Clean"))</f>
        <v>Clean</v>
      </c>
      <c r="AJ756" s="4" t="s">
        <v>2807</v>
      </c>
      <c r="AK756" s="4" t="s">
        <v>2807</v>
      </c>
      <c r="AL756" s="4" t="s">
        <v>115</v>
      </c>
      <c r="AM756" s="4" t="s">
        <v>128</v>
      </c>
      <c r="AN756" s="4" t="s">
        <v>87</v>
      </c>
      <c r="AO756" s="4" t="s">
        <v>244</v>
      </c>
      <c r="AP756" s="4" t="s">
        <v>245</v>
      </c>
      <c r="AQ756" s="4" t="s">
        <v>58</v>
      </c>
      <c r="AR756" s="4" t="s">
        <v>171</v>
      </c>
      <c r="AS756" s="4" t="s">
        <v>91</v>
      </c>
      <c r="AT756" s="0" t="n">
        <v>0.25</v>
      </c>
      <c r="AU756" s="4" t="s">
        <v>61</v>
      </c>
      <c r="AV756" s="4" t="s">
        <v>62</v>
      </c>
    </row>
    <row r="757" customFormat="false" ht="15" hidden="false" customHeight="false" outlineLevel="0" collapsed="false">
      <c r="A757" s="0" t="s">
        <v>2808</v>
      </c>
      <c r="B757" s="3" t="n">
        <f aca="false">IF(AJ757="","",IF(ISNUMBER(SEARCH("/",AJ757)),DATE(VALUE(RIGHT(AJ757,4)),VALUE(LEFT(AJ757,2)),VALUE(MID(AJ757,4,2))),IF(ISNUMBER(SEARCH("-",AJ757)),IF(LEN(LEFT(AJ757,FIND("-",AJ757)-1))=4,DATE(VALUE(LEFT(AJ757,4)),VALUE(MID(AJ757,6,2)),VALUE(RIGHT(AJ757,2))),DATE(VALUE(RIGHT(AJ757,4)),VALUE(MID(AJ757,4,2)),VALUE(LEFT(AJ757,2)))),DATE(VALUE(RIGHT(AJ757,4)),MATCH(MID(AJ757,4,3),{"Jan","Feb","Mar","Apr","May","Jun","Jul","Aug","Sep","Oct","Nov","Dec"},0),VALUE(LEFT(AJ757,2))))))</f>
        <v>45858</v>
      </c>
      <c r="C757" s="3" t="n">
        <f aca="false">IF(AK757="","",IF(ISNUMBER(SEARCH("/",AK757)),DATE(VALUE(RIGHT(AK757,4)),VALUE(LEFT(AK757,2)),VALUE(MID(AK757,4,2))),IF(ISNUMBER(SEARCH("-",AK757)),IF(LEN(LEFT(AK757,FIND("-",AK757)-1))=4,DATE(VALUE(LEFT(AK757,4)),VALUE(MID(AK757,6,2)),VALUE(RIGHT(AK757,2))),DATE(VALUE(RIGHT(AK757,4)),VALUE(MID(AK757,4,2)),VALUE(LEFT(AK757,2)))),DATE(VALUE(RIGHT(AK757,4)),MATCH(MID(AK757,4,3),{"Jan","Feb","Mar","Apr","May","Jun","Jul","Aug","Sep","Oct","Nov","Dec"},0),VALUE(LEFT(AK757,2))))))</f>
        <v>45862</v>
      </c>
      <c r="D757" s="4" t="s">
        <v>2809</v>
      </c>
      <c r="E757" s="0" t="str">
        <f aca="false">PROPER(TRIM(AL757))</f>
        <v>Priya Menon</v>
      </c>
      <c r="F757" s="0" t="str">
        <f aca="false">PROPER(TRIM(AM757))</f>
        <v>Home Office</v>
      </c>
      <c r="G757" s="0" t="str">
        <f aca="false">IF(TRIM(AN757)="","Unknown",PROPER(TRIM(AN757)))</f>
        <v>West</v>
      </c>
      <c r="H757" s="0" t="str">
        <f aca="false">PROPER(TRIM(AO757))</f>
        <v>Madhya Pradesh</v>
      </c>
      <c r="I757" s="0" t="str">
        <f aca="false">PROPER(TRIM(AP757))</f>
        <v>Indore</v>
      </c>
      <c r="J757" s="0" t="str">
        <f aca="false">PROPER(TRIM(AQ757))</f>
        <v>Office Supplies</v>
      </c>
      <c r="K757" s="0" t="str">
        <f aca="false">PROPER(TRIM(AR757))</f>
        <v>Storage</v>
      </c>
      <c r="M757" s="0" t="str">
        <f aca="false">IF(TRIM(AS757)="","Unknown",PROPER(TRIM(AS757)))</f>
        <v>Second Class</v>
      </c>
      <c r="N757" s="0" t="n">
        <v>5</v>
      </c>
      <c r="O757" s="0" t="n">
        <v>2481.74</v>
      </c>
      <c r="P757" s="5" t="n">
        <f aca="false">IF(AT757="","",IF(ISNUMBER(AT757),AT757,VALUE(SUBSTITUTE(AT757,"%",""))/100))</f>
        <v>0.2</v>
      </c>
      <c r="Q757" s="5" t="n">
        <f aca="false">IF(P757="",IF(AND(N757&lt;&gt;"",O757&lt;&gt;"",R757&lt;&gt;"",S757&lt;&gt;""),0,"REVIEW"),IF(OR(P757&lt;0,P757&gt;0.3),0,P757))</f>
        <v>0.2</v>
      </c>
      <c r="R757" s="0" t="n">
        <v>9926.96</v>
      </c>
      <c r="S757" s="0" t="n">
        <v>7994.98</v>
      </c>
      <c r="T757" s="6" t="n">
        <f aca="false">N757*O757*(1-Q757)</f>
        <v>9926.96</v>
      </c>
      <c r="U757" s="6" t="n">
        <f aca="false">T757-S757</f>
        <v>1931.98</v>
      </c>
      <c r="V757" s="7" t="n">
        <f aca="false">IF(T757=0,0,U757/T757)</f>
        <v>0.194619500834092</v>
      </c>
      <c r="W757" s="4" t="n">
        <f aca="false">C757-B757</f>
        <v>4</v>
      </c>
      <c r="X757" s="0" t="str">
        <f aca="false">TEXT(B757,"mmmm")</f>
        <v>July</v>
      </c>
      <c r="Y757" s="4" t="n">
        <f aca="false">YEAR(B757)</f>
        <v>2025</v>
      </c>
      <c r="Z757" s="0" t="str">
        <f aca="false">PROPER(TRIM(AU757))</f>
        <v>Paid</v>
      </c>
      <c r="AA757" s="0" t="str">
        <f aca="false">PROPER(TRIM(AV757))</f>
        <v>Completed</v>
      </c>
      <c r="AB757" s="0" t="str">
        <f aca="false">IF(TRIM(AN757)="","Yes","No")</f>
        <v>No</v>
      </c>
      <c r="AC757" s="0" t="str">
        <f aca="false">IF(TRIM(AS757)="","Yes","No")</f>
        <v>No</v>
      </c>
      <c r="AD757" s="0" t="str">
        <f aca="false">IF(AT757="","Yes","No")</f>
        <v>No</v>
      </c>
      <c r="AE757" s="0" t="str">
        <f aca="false">IF(W757&lt;0,"Yes","No")</f>
        <v>No</v>
      </c>
      <c r="AF757" s="0" t="str">
        <f aca="false">IF(P757="","No",IF(OR(P757&lt;0,P757&gt;0.3),"Yes","No"))</f>
        <v>No</v>
      </c>
      <c r="AG757" s="4" t="s">
        <v>50</v>
      </c>
      <c r="AH757" s="0" t="str">
        <f aca="false">IF(AND(AA757="Completed",Z757="Paid"),"Yes","No")</f>
        <v>Yes</v>
      </c>
      <c r="AI757" s="0" t="str">
        <f aca="false">IF(OR(AE757="Yes",AF757="Yes",AG757="Yes"),"Invalid",IF(OR(AB757="Yes",AC757="Yes",AD757="Yes"),"Warning","Clean"))</f>
        <v>Clean</v>
      </c>
      <c r="AJ757" s="4" t="s">
        <v>934</v>
      </c>
      <c r="AK757" s="4" t="s">
        <v>1436</v>
      </c>
      <c r="AL757" s="4" t="s">
        <v>158</v>
      </c>
      <c r="AM757" s="4" t="s">
        <v>134</v>
      </c>
      <c r="AN757" s="4" t="s">
        <v>97</v>
      </c>
      <c r="AO757" s="4" t="s">
        <v>107</v>
      </c>
      <c r="AP757" s="4" t="s">
        <v>108</v>
      </c>
      <c r="AQ757" s="4" t="s">
        <v>58</v>
      </c>
      <c r="AR757" s="4" t="s">
        <v>171</v>
      </c>
      <c r="AS757" s="4" t="s">
        <v>60</v>
      </c>
      <c r="AT757" s="0" t="n">
        <v>0.2</v>
      </c>
      <c r="AU757" s="4" t="s">
        <v>61</v>
      </c>
      <c r="AV757" s="4" t="s">
        <v>62</v>
      </c>
    </row>
    <row r="758" customFormat="false" ht="15" hidden="false" customHeight="false" outlineLevel="0" collapsed="false">
      <c r="A758" s="0" t="s">
        <v>2810</v>
      </c>
      <c r="B758" s="3" t="n">
        <f aca="false">IF(AJ758="","",IF(ISNUMBER(SEARCH("/",AJ758)),DATE(VALUE(RIGHT(AJ758,4)),VALUE(LEFT(AJ758,2)),VALUE(MID(AJ758,4,2))),IF(ISNUMBER(SEARCH("-",AJ758)),IF(LEN(LEFT(AJ758,FIND("-",AJ758)-1))=4,DATE(VALUE(LEFT(AJ758,4)),VALUE(MID(AJ758,6,2)),VALUE(RIGHT(AJ758,2))),DATE(VALUE(RIGHT(AJ758,4)),VALUE(MID(AJ758,4,2)),VALUE(LEFT(AJ758,2)))),DATE(VALUE(RIGHT(AJ758,4)),MATCH(MID(AJ758,4,3),{"Jan","Feb","Mar","Apr","May","Jun","Jul","Aug","Sep","Oct","Nov","Dec"},0),VALUE(LEFT(AJ758,2))))))</f>
        <v>45592</v>
      </c>
      <c r="C758" s="3" t="n">
        <f aca="false">IF(AK758="","",IF(ISNUMBER(SEARCH("/",AK758)),DATE(VALUE(RIGHT(AK758,4)),VALUE(LEFT(AK758,2)),VALUE(MID(AK758,4,2))),IF(ISNUMBER(SEARCH("-",AK758)),IF(LEN(LEFT(AK758,FIND("-",AK758)-1))=4,DATE(VALUE(LEFT(AK758,4)),VALUE(MID(AK758,6,2)),VALUE(RIGHT(AK758,2))),DATE(VALUE(RIGHT(AK758,4)),VALUE(MID(AK758,4,2)),VALUE(LEFT(AK758,2)))),DATE(VALUE(RIGHT(AK758,4)),MATCH(MID(AK758,4,3),{"Jan","Feb","Mar","Apr","May","Jun","Jul","Aug","Sep","Oct","Nov","Dec"},0),VALUE(LEFT(AK758,2))))))</f>
        <v>45597</v>
      </c>
      <c r="D758" s="4" t="s">
        <v>2811</v>
      </c>
      <c r="E758" s="0" t="str">
        <f aca="false">PROPER(TRIM(AL758))</f>
        <v>Rohan Mehta</v>
      </c>
      <c r="F758" s="0" t="str">
        <f aca="false">PROPER(TRIM(AM758))</f>
        <v>Consumer</v>
      </c>
      <c r="G758" s="0" t="str">
        <f aca="false">IF(TRIM(AN758)="","Unknown",PROPER(TRIM(AN758)))</f>
        <v>North</v>
      </c>
      <c r="H758" s="0" t="str">
        <f aca="false">PROPER(TRIM(AO758))</f>
        <v>Rajasthan</v>
      </c>
      <c r="I758" s="0" t="str">
        <f aca="false">PROPER(TRIM(AP758))</f>
        <v>Jaipur</v>
      </c>
      <c r="J758" s="0" t="str">
        <f aca="false">PROPER(TRIM(AQ758))</f>
        <v>Technology</v>
      </c>
      <c r="K758" s="0" t="str">
        <f aca="false">PROPER(TRIM(AR758))</f>
        <v>Accessories</v>
      </c>
      <c r="M758" s="0" t="str">
        <f aca="false">IF(TRIM(AS758)="","Unknown",PROPER(TRIM(AS758)))</f>
        <v>Same Day</v>
      </c>
      <c r="N758" s="0" t="n">
        <v>7</v>
      </c>
      <c r="O758" s="0" t="n">
        <v>2177.1</v>
      </c>
      <c r="P758" s="5" t="n">
        <f aca="false">IF(AT758="","",IF(ISNUMBER(AT758),AT758,VALUE(SUBSTITUTE(AT758,"%",""))/100))</f>
        <v>0.2</v>
      </c>
      <c r="Q758" s="5" t="n">
        <f aca="false">IF(P758="",IF(AND(N758&lt;&gt;"",O758&lt;&gt;"",R758&lt;&gt;"",S758&lt;&gt;""),0,"REVIEW"),IF(OR(P758&lt;0,P758&gt;0.3),0,P758))</f>
        <v>0.2</v>
      </c>
      <c r="R758" s="0" t="n">
        <v>12191.76</v>
      </c>
      <c r="S758" s="0" t="n">
        <v>10457.49</v>
      </c>
      <c r="T758" s="6" t="n">
        <f aca="false">N758*O758*(1-Q758)</f>
        <v>12191.76</v>
      </c>
      <c r="U758" s="6" t="n">
        <f aca="false">T758-S758</f>
        <v>1734.27</v>
      </c>
      <c r="V758" s="7" t="n">
        <f aca="false">IF(T758=0,0,U758/T758)</f>
        <v>0.14224935530227</v>
      </c>
      <c r="W758" s="4" t="n">
        <f aca="false">C758-B758</f>
        <v>5</v>
      </c>
      <c r="X758" s="0" t="str">
        <f aca="false">TEXT(B758,"mmmm")</f>
        <v>October</v>
      </c>
      <c r="Y758" s="4" t="n">
        <f aca="false">YEAR(B758)</f>
        <v>2024</v>
      </c>
      <c r="Z758" s="0" t="str">
        <f aca="false">PROPER(TRIM(AU758))</f>
        <v>Paid</v>
      </c>
      <c r="AA758" s="0" t="str">
        <f aca="false">PROPER(TRIM(AV758))</f>
        <v>Returned</v>
      </c>
      <c r="AB758" s="0" t="str">
        <f aca="false">IF(TRIM(AN758)="","Yes","No")</f>
        <v>No</v>
      </c>
      <c r="AC758" s="0" t="str">
        <f aca="false">IF(TRIM(AS758)="","Yes","No")</f>
        <v>No</v>
      </c>
      <c r="AD758" s="0" t="str">
        <f aca="false">IF(AT758="","Yes","No")</f>
        <v>No</v>
      </c>
      <c r="AE758" s="0" t="str">
        <f aca="false">IF(W758&lt;0,"Yes","No")</f>
        <v>No</v>
      </c>
      <c r="AF758" s="0" t="str">
        <f aca="false">IF(P758="","No",IF(OR(P758&lt;0,P758&gt;0.3),"Yes","No"))</f>
        <v>No</v>
      </c>
      <c r="AG758" s="4" t="s">
        <v>50</v>
      </c>
      <c r="AH758" s="0" t="str">
        <f aca="false">IF(AND(AA758="Completed",Z758="Paid"),"Yes","No")</f>
        <v>No</v>
      </c>
      <c r="AI758" s="0" t="str">
        <f aca="false">IF(OR(AE758="Yes",AF758="Yes",AG758="Yes"),"Invalid",IF(OR(AB758="Yes",AC758="Yes",AD758="Yes"),"Warning","Clean"))</f>
        <v>Clean</v>
      </c>
      <c r="AJ758" s="4" t="s">
        <v>2812</v>
      </c>
      <c r="AK758" s="4" t="s">
        <v>2813</v>
      </c>
      <c r="AL758" s="4" t="s">
        <v>191</v>
      </c>
      <c r="AM758" s="4" t="s">
        <v>54</v>
      </c>
      <c r="AN758" s="4" t="s">
        <v>168</v>
      </c>
      <c r="AO758" s="4" t="s">
        <v>56</v>
      </c>
      <c r="AP758" s="4" t="s">
        <v>57</v>
      </c>
      <c r="AQ758" s="4" t="s">
        <v>109</v>
      </c>
      <c r="AR758" s="4" t="s">
        <v>110</v>
      </c>
      <c r="AS758" s="4" t="s">
        <v>74</v>
      </c>
      <c r="AT758" s="0" t="n">
        <v>0.2</v>
      </c>
      <c r="AU758" s="4" t="s">
        <v>61</v>
      </c>
      <c r="AV758" s="4" t="s">
        <v>142</v>
      </c>
    </row>
    <row r="759" customFormat="false" ht="15" hidden="false" customHeight="false" outlineLevel="0" collapsed="false">
      <c r="A759" s="0" t="s">
        <v>2814</v>
      </c>
      <c r="B759" s="3" t="n">
        <f aca="false">IF(AJ759="","",IF(ISNUMBER(SEARCH("/",AJ759)),DATE(VALUE(RIGHT(AJ759,4)),VALUE(LEFT(AJ759,2)),VALUE(MID(AJ759,4,2))),IF(ISNUMBER(SEARCH("-",AJ759)),IF(LEN(LEFT(AJ759,FIND("-",AJ759)-1))=4,DATE(VALUE(LEFT(AJ759,4)),VALUE(MID(AJ759,6,2)),VALUE(RIGHT(AJ759,2))),DATE(VALUE(RIGHT(AJ759,4)),VALUE(MID(AJ759,4,2)),VALUE(LEFT(AJ759,2)))),DATE(VALUE(RIGHT(AJ759,4)),MATCH(MID(AJ759,4,3),{"Jan","Feb","Mar","Apr","May","Jun","Jul","Aug","Sep","Oct","Nov","Dec"},0),VALUE(LEFT(AJ759,2))))))</f>
        <v>45870</v>
      </c>
      <c r="C759" s="3" t="n">
        <f aca="false">IF(AK759="","",IF(ISNUMBER(SEARCH("/",AK759)),DATE(VALUE(RIGHT(AK759,4)),VALUE(LEFT(AK759,2)),VALUE(MID(AK759,4,2))),IF(ISNUMBER(SEARCH("-",AK759)),IF(LEN(LEFT(AK759,FIND("-",AK759)-1))=4,DATE(VALUE(LEFT(AK759,4)),VALUE(MID(AK759,6,2)),VALUE(RIGHT(AK759,2))),DATE(VALUE(RIGHT(AK759,4)),VALUE(MID(AK759,4,2)),VALUE(LEFT(AK759,2)))),DATE(VALUE(RIGHT(AK759,4)),MATCH(MID(AK759,4,3),{"Jan","Feb","Mar","Apr","May","Jun","Jul","Aug","Sep","Oct","Nov","Dec"},0),VALUE(LEFT(AK759,2))))))</f>
        <v>45872</v>
      </c>
      <c r="D759" s="4" t="s">
        <v>2815</v>
      </c>
      <c r="E759" s="0" t="str">
        <f aca="false">PROPER(TRIM(AL759))</f>
        <v>Aditi Sen</v>
      </c>
      <c r="F759" s="0" t="str">
        <f aca="false">PROPER(TRIM(AM759))</f>
        <v>Small Business</v>
      </c>
      <c r="G759" s="0" t="str">
        <f aca="false">IF(TRIM(AN759)="","Unknown",PROPER(TRIM(AN759)))</f>
        <v>South</v>
      </c>
      <c r="H759" s="0" t="str">
        <f aca="false">PROPER(TRIM(AO759))</f>
        <v>Kerala</v>
      </c>
      <c r="I759" s="0" t="str">
        <f aca="false">PROPER(TRIM(AP759))</f>
        <v>Kochi</v>
      </c>
      <c r="J759" s="0" t="str">
        <f aca="false">PROPER(TRIM(AQ759))</f>
        <v>Furniture</v>
      </c>
      <c r="K759" s="0" t="str">
        <f aca="false">PROPER(TRIM(AR759))</f>
        <v>Bookcases</v>
      </c>
      <c r="M759" s="0" t="str">
        <f aca="false">IF(TRIM(AS759)="","Unknown",PROPER(TRIM(AS759)))</f>
        <v>Standard Class</v>
      </c>
      <c r="N759" s="0" t="n">
        <v>3</v>
      </c>
      <c r="O759" s="0" t="n">
        <v>1904.78</v>
      </c>
      <c r="P759" s="5" t="n">
        <f aca="false">IF(AT759="","",IF(ISNUMBER(AT759),AT759,VALUE(SUBSTITUTE(AT759,"%",""))/100))</f>
        <v>0.25</v>
      </c>
      <c r="Q759" s="5" t="n">
        <f aca="false">IF(P759="",IF(AND(N759&lt;&gt;"",O759&lt;&gt;"",R759&lt;&gt;"",S759&lt;&gt;""),0,"REVIEW"),IF(OR(P759&lt;0,P759&gt;0.3),0,P759))</f>
        <v>0.25</v>
      </c>
      <c r="R759" s="0" t="n">
        <v>4285.76</v>
      </c>
      <c r="S759" s="0" t="n">
        <v>2386.33</v>
      </c>
      <c r="T759" s="6" t="n">
        <f aca="false">N759*O759*(1-Q759)</f>
        <v>4285.755</v>
      </c>
      <c r="U759" s="6" t="n">
        <f aca="false">T759-S759</f>
        <v>1899.425</v>
      </c>
      <c r="V759" s="7" t="n">
        <f aca="false">IF(T759=0,0,U759/T759)</f>
        <v>0.443194956314582</v>
      </c>
      <c r="W759" s="4" t="n">
        <f aca="false">C759-B759</f>
        <v>2</v>
      </c>
      <c r="X759" s="0" t="str">
        <f aca="false">TEXT(B759,"mmmm")</f>
        <v>August</v>
      </c>
      <c r="Y759" s="4" t="n">
        <f aca="false">YEAR(B759)</f>
        <v>2025</v>
      </c>
      <c r="Z759" s="0" t="str">
        <f aca="false">PROPER(TRIM(AU759))</f>
        <v>Failed</v>
      </c>
      <c r="AA759" s="0" t="str">
        <f aca="false">PROPER(TRIM(AV759))</f>
        <v>Cancelled</v>
      </c>
      <c r="AB759" s="0" t="str">
        <f aca="false">IF(TRIM(AN759)="","Yes","No")</f>
        <v>No</v>
      </c>
      <c r="AC759" s="0" t="str">
        <f aca="false">IF(TRIM(AS759)="","Yes","No")</f>
        <v>No</v>
      </c>
      <c r="AD759" s="0" t="str">
        <f aca="false">IF(AT759="","Yes","No")</f>
        <v>No</v>
      </c>
      <c r="AE759" s="0" t="str">
        <f aca="false">IF(W759&lt;0,"Yes","No")</f>
        <v>No</v>
      </c>
      <c r="AF759" s="0" t="str">
        <f aca="false">IF(P759="","No",IF(OR(P759&lt;0,P759&gt;0.3),"Yes","No"))</f>
        <v>No</v>
      </c>
      <c r="AG759" s="4" t="s">
        <v>50</v>
      </c>
      <c r="AH759" s="0" t="str">
        <f aca="false">IF(AND(AA759="Completed",Z759="Paid"),"Yes","No")</f>
        <v>No</v>
      </c>
      <c r="AI759" s="0" t="str">
        <f aca="false">IF(OR(AE759="Yes",AF759="Yes",AG759="Yes"),"Invalid",IF(OR(AB759="Yes",AC759="Yes",AD759="Yes"),"Warning","Clean"))</f>
        <v>Clean</v>
      </c>
      <c r="AJ759" s="4" t="s">
        <v>2816</v>
      </c>
      <c r="AK759" s="4" t="s">
        <v>2817</v>
      </c>
      <c r="AL759" s="4" t="s">
        <v>127</v>
      </c>
      <c r="AM759" s="4" t="s">
        <v>68</v>
      </c>
      <c r="AN759" s="4" t="s">
        <v>87</v>
      </c>
      <c r="AO759" s="4" t="s">
        <v>244</v>
      </c>
      <c r="AP759" s="4" t="s">
        <v>245</v>
      </c>
      <c r="AQ759" s="4" t="s">
        <v>72</v>
      </c>
      <c r="AR759" s="4" t="s">
        <v>211</v>
      </c>
      <c r="AS759" s="4" t="s">
        <v>91</v>
      </c>
      <c r="AT759" s="0" t="n">
        <v>0.25</v>
      </c>
      <c r="AU759" s="4" t="s">
        <v>207</v>
      </c>
      <c r="AV759" s="4" t="s">
        <v>101</v>
      </c>
    </row>
    <row r="760" customFormat="false" ht="15" hidden="false" customHeight="false" outlineLevel="0" collapsed="false">
      <c r="A760" s="0" t="s">
        <v>2818</v>
      </c>
      <c r="B760" s="3" t="n">
        <f aca="false">IF(AJ760="","",IF(ISNUMBER(SEARCH("/",AJ760)),DATE(VALUE(RIGHT(AJ760,4)),VALUE(LEFT(AJ760,2)),VALUE(MID(AJ760,4,2))),IF(ISNUMBER(SEARCH("-",AJ760)),IF(LEN(LEFT(AJ760,FIND("-",AJ760)-1))=4,DATE(VALUE(LEFT(AJ760,4)),VALUE(MID(AJ760,6,2)),VALUE(RIGHT(AJ760,2))),DATE(VALUE(RIGHT(AJ760,4)),VALUE(MID(AJ760,4,2)),VALUE(LEFT(AJ760,2)))),DATE(VALUE(RIGHT(AJ760,4)),MATCH(MID(AJ760,4,3),{"Jan","Feb","Mar","Apr","May","Jun","Jul","Aug","Sep","Oct","Nov","Dec"},0),VALUE(LEFT(AJ760,2))))))</f>
        <v>45414</v>
      </c>
      <c r="C760" s="3" t="n">
        <f aca="false">IF(AK760="","",IF(ISNUMBER(SEARCH("/",AK760)),DATE(VALUE(RIGHT(AK760,4)),VALUE(LEFT(AK760,2)),VALUE(MID(AK760,4,2))),IF(ISNUMBER(SEARCH("-",AK760)),IF(LEN(LEFT(AK760,FIND("-",AK760)-1))=4,DATE(VALUE(LEFT(AK760,4)),VALUE(MID(AK760,6,2)),VALUE(RIGHT(AK760,2))),DATE(VALUE(RIGHT(AK760,4)),VALUE(MID(AK760,4,2)),VALUE(LEFT(AK760,2)))),DATE(VALUE(RIGHT(AK760,4)),MATCH(MID(AK760,4,3),{"Jan","Feb","Mar","Apr","May","Jun","Jul","Aug","Sep","Oct","Nov","Dec"},0),VALUE(LEFT(AK760,2))))))</f>
        <v>45422</v>
      </c>
      <c r="D760" s="4" t="s">
        <v>2819</v>
      </c>
      <c r="E760" s="0" t="str">
        <f aca="false">PROPER(TRIM(AL760))</f>
        <v>Aarav Sharma</v>
      </c>
      <c r="F760" s="0" t="str">
        <f aca="false">PROPER(TRIM(AM760))</f>
        <v>Small Business</v>
      </c>
      <c r="G760" s="0" t="str">
        <f aca="false">IF(TRIM(AN760)="","Unknown",PROPER(TRIM(AN760)))</f>
        <v>South</v>
      </c>
      <c r="H760" s="0" t="str">
        <f aca="false">PROPER(TRIM(AO760))</f>
        <v>Karnataka</v>
      </c>
      <c r="I760" s="0" t="str">
        <f aca="false">PROPER(TRIM(AP760))</f>
        <v>Bengaluru</v>
      </c>
      <c r="J760" s="0" t="str">
        <f aca="false">PROPER(TRIM(AQ760))</f>
        <v>Furniture</v>
      </c>
      <c r="K760" s="0" t="str">
        <f aca="false">PROPER(TRIM(AR760))</f>
        <v>Chairs</v>
      </c>
      <c r="M760" s="0" t="str">
        <f aca="false">IF(TRIM(AS760)="","Unknown",PROPER(TRIM(AS760)))</f>
        <v>Standard Class</v>
      </c>
      <c r="N760" s="0" t="n">
        <v>1</v>
      </c>
      <c r="O760" s="0" t="n">
        <v>4166.91</v>
      </c>
      <c r="P760" s="5" t="n">
        <f aca="false">IF(AT760="","",IF(ISNUMBER(AT760),AT760,VALUE(SUBSTITUTE(AT760,"%",""))/100))</f>
        <v>0</v>
      </c>
      <c r="Q760" s="5" t="n">
        <f aca="false">IF(P760="",IF(AND(N760&lt;&gt;"",O760&lt;&gt;"",R760&lt;&gt;"",S760&lt;&gt;""),0,"REVIEW"),IF(OR(P760&lt;0,P760&gt;0.3),0,P760))</f>
        <v>0</v>
      </c>
      <c r="R760" s="0" t="n">
        <v>4166.91</v>
      </c>
      <c r="S760" s="0" t="n">
        <v>3412.63</v>
      </c>
      <c r="T760" s="6" t="n">
        <f aca="false">N760*O760*(1-Q760)</f>
        <v>4166.91</v>
      </c>
      <c r="U760" s="6" t="n">
        <f aca="false">T760-S760</f>
        <v>754.28</v>
      </c>
      <c r="V760" s="7" t="n">
        <f aca="false">IF(T760=0,0,U760/T760)</f>
        <v>0.181016628628888</v>
      </c>
      <c r="W760" s="4" t="n">
        <f aca="false">C760-B760</f>
        <v>8</v>
      </c>
      <c r="X760" s="0" t="str">
        <f aca="false">TEXT(B760,"mmmm")</f>
        <v>May</v>
      </c>
      <c r="Y760" s="4" t="n">
        <f aca="false">YEAR(B760)</f>
        <v>2024</v>
      </c>
      <c r="Z760" s="0" t="str">
        <f aca="false">PROPER(TRIM(AU760))</f>
        <v>Paid</v>
      </c>
      <c r="AA760" s="0" t="str">
        <f aca="false">PROPER(TRIM(AV760))</f>
        <v>Completed</v>
      </c>
      <c r="AB760" s="0" t="str">
        <f aca="false">IF(TRIM(AN760)="","Yes","No")</f>
        <v>No</v>
      </c>
      <c r="AC760" s="0" t="str">
        <f aca="false">IF(TRIM(AS760)="","Yes","No")</f>
        <v>No</v>
      </c>
      <c r="AD760" s="0" t="str">
        <f aca="false">IF(AT760="","Yes","No")</f>
        <v>No</v>
      </c>
      <c r="AE760" s="0" t="str">
        <f aca="false">IF(W760&lt;0,"Yes","No")</f>
        <v>No</v>
      </c>
      <c r="AF760" s="0" t="str">
        <f aca="false">IF(P760="","No",IF(OR(P760&lt;0,P760&gt;0.3),"Yes","No"))</f>
        <v>No</v>
      </c>
      <c r="AG760" s="4" t="s">
        <v>50</v>
      </c>
      <c r="AH760" s="0" t="str">
        <f aca="false">IF(AND(AA760="Completed",Z760="Paid"),"Yes","No")</f>
        <v>Yes</v>
      </c>
      <c r="AI760" s="0" t="str">
        <f aca="false">IF(OR(AE760="Yes",AF760="Yes",AG760="Yes"),"Invalid",IF(OR(AB760="Yes",AC760="Yes",AD760="Yes"),"Warning","Clean"))</f>
        <v>Clean</v>
      </c>
      <c r="AJ760" s="4" t="s">
        <v>2820</v>
      </c>
      <c r="AK760" s="4" t="s">
        <v>2197</v>
      </c>
      <c r="AL760" s="4" t="s">
        <v>176</v>
      </c>
      <c r="AM760" s="4" t="s">
        <v>68</v>
      </c>
      <c r="AN760" s="4" t="s">
        <v>87</v>
      </c>
      <c r="AO760" s="4" t="s">
        <v>233</v>
      </c>
      <c r="AP760" s="4" t="s">
        <v>234</v>
      </c>
      <c r="AQ760" s="4" t="s">
        <v>72</v>
      </c>
      <c r="AR760" s="4" t="s">
        <v>100</v>
      </c>
      <c r="AS760" s="4" t="s">
        <v>91</v>
      </c>
      <c r="AT760" s="0" t="n">
        <v>0</v>
      </c>
      <c r="AU760" s="4" t="s">
        <v>61</v>
      </c>
      <c r="AV760" s="4" t="s">
        <v>62</v>
      </c>
    </row>
    <row r="761" customFormat="false" ht="15" hidden="false" customHeight="false" outlineLevel="0" collapsed="false">
      <c r="A761" s="0" t="s">
        <v>2821</v>
      </c>
      <c r="B761" s="3" t="n">
        <f aca="false">IF(AJ761="","",IF(ISNUMBER(SEARCH("/",AJ761)),DATE(VALUE(RIGHT(AJ761,4)),VALUE(LEFT(AJ761,2)),VALUE(MID(AJ761,4,2))),IF(ISNUMBER(SEARCH("-",AJ761)),IF(LEN(LEFT(AJ761,FIND("-",AJ761)-1))=4,DATE(VALUE(LEFT(AJ761,4)),VALUE(MID(AJ761,6,2)),VALUE(RIGHT(AJ761,2))),DATE(VALUE(RIGHT(AJ761,4)),VALUE(MID(AJ761,4,2)),VALUE(LEFT(AJ761,2)))),DATE(VALUE(RIGHT(AJ761,4)),MATCH(MID(AJ761,4,3),{"Jan","Feb","Mar","Apr","May","Jun","Jul","Aug","Sep","Oct","Nov","Dec"},0),VALUE(LEFT(AJ761,2))))))</f>
        <v>45492</v>
      </c>
      <c r="C761" s="3" t="n">
        <f aca="false">IF(AK761="","",IF(ISNUMBER(SEARCH("/",AK761)),DATE(VALUE(RIGHT(AK761,4)),VALUE(LEFT(AK761,2)),VALUE(MID(AK761,4,2))),IF(ISNUMBER(SEARCH("-",AK761)),IF(LEN(LEFT(AK761,FIND("-",AK761)-1))=4,DATE(VALUE(LEFT(AK761,4)),VALUE(MID(AK761,6,2)),VALUE(RIGHT(AK761,2))),DATE(VALUE(RIGHT(AK761,4)),VALUE(MID(AK761,4,2)),VALUE(LEFT(AK761,2)))),DATE(VALUE(RIGHT(AK761,4)),MATCH(MID(AK761,4,3),{"Jan","Feb","Mar","Apr","May","Jun","Jul","Aug","Sep","Oct","Nov","Dec"},0),VALUE(LEFT(AK761,2))))))</f>
        <v>45499</v>
      </c>
      <c r="D761" s="4" t="s">
        <v>2822</v>
      </c>
      <c r="E761" s="0" t="str">
        <f aca="false">PROPER(TRIM(AL761))</f>
        <v>Arjun Bose</v>
      </c>
      <c r="F761" s="0" t="str">
        <f aca="false">PROPER(TRIM(AM761))</f>
        <v>Home Office</v>
      </c>
      <c r="G761" s="0" t="str">
        <f aca="false">IF(TRIM(AN761)="","Unknown",PROPER(TRIM(AN761)))</f>
        <v>South</v>
      </c>
      <c r="H761" s="0" t="str">
        <f aca="false">PROPER(TRIM(AO761))</f>
        <v>Karnataka</v>
      </c>
      <c r="I761" s="0" t="str">
        <f aca="false">PROPER(TRIM(AP761))</f>
        <v>Bengaluru</v>
      </c>
      <c r="J761" s="0" t="str">
        <f aca="false">PROPER(TRIM(AQ761))</f>
        <v>Furniture</v>
      </c>
      <c r="K761" s="0" t="str">
        <f aca="false">PROPER(TRIM(AR761))</f>
        <v>Tables</v>
      </c>
      <c r="M761" s="0" t="str">
        <f aca="false">IF(TRIM(AS761)="","Unknown",PROPER(TRIM(AS761)))</f>
        <v>Second Class</v>
      </c>
      <c r="N761" s="0" t="n">
        <v>5</v>
      </c>
      <c r="O761" s="0" t="n">
        <v>3986.01</v>
      </c>
      <c r="P761" s="5" t="n">
        <f aca="false">IF(AT761="","",IF(ISNUMBER(AT761),AT761,VALUE(SUBSTITUTE(AT761,"%",""))/100))</f>
        <v>0.25</v>
      </c>
      <c r="Q761" s="5" t="n">
        <f aca="false">IF(P761="",IF(AND(N761&lt;&gt;"",O761&lt;&gt;"",R761&lt;&gt;"",S761&lt;&gt;""),0,"REVIEW"),IF(OR(P761&lt;0,P761&gt;0.3),0,P761))</f>
        <v>0.25</v>
      </c>
      <c r="R761" s="0" t="n">
        <v>14947.54</v>
      </c>
      <c r="S761" s="0" t="n">
        <v>9438.46</v>
      </c>
      <c r="T761" s="6" t="n">
        <f aca="false">N761*O761*(1-Q761)</f>
        <v>14947.5375</v>
      </c>
      <c r="U761" s="6" t="n">
        <f aca="false">T761-S761</f>
        <v>5509.0775</v>
      </c>
      <c r="V761" s="7" t="n">
        <f aca="false">IF(T761=0,0,U761/T761)</f>
        <v>0.368560874993624</v>
      </c>
      <c r="W761" s="4" t="n">
        <f aca="false">C761-B761</f>
        <v>7</v>
      </c>
      <c r="X761" s="0" t="str">
        <f aca="false">TEXT(B761,"mmmm")</f>
        <v>July</v>
      </c>
      <c r="Y761" s="4" t="n">
        <f aca="false">YEAR(B761)</f>
        <v>2024</v>
      </c>
      <c r="Z761" s="0" t="str">
        <f aca="false">PROPER(TRIM(AU761))</f>
        <v>Paid</v>
      </c>
      <c r="AA761" s="0" t="str">
        <f aca="false">PROPER(TRIM(AV761))</f>
        <v>Completed</v>
      </c>
      <c r="AB761" s="0" t="str">
        <f aca="false">IF(TRIM(AN761)="","Yes","No")</f>
        <v>No</v>
      </c>
      <c r="AC761" s="0" t="str">
        <f aca="false">IF(TRIM(AS761)="","Yes","No")</f>
        <v>No</v>
      </c>
      <c r="AD761" s="0" t="str">
        <f aca="false">IF(AT761="","Yes","No")</f>
        <v>No</v>
      </c>
      <c r="AE761" s="0" t="str">
        <f aca="false">IF(W761&lt;0,"Yes","No")</f>
        <v>No</v>
      </c>
      <c r="AF761" s="0" t="str">
        <f aca="false">IF(P761="","No",IF(OR(P761&lt;0,P761&gt;0.3),"Yes","No"))</f>
        <v>No</v>
      </c>
      <c r="AG761" s="4" t="s">
        <v>50</v>
      </c>
      <c r="AH761" s="0" t="str">
        <f aca="false">IF(AND(AA761="Completed",Z761="Paid"),"Yes","No")</f>
        <v>Yes</v>
      </c>
      <c r="AI761" s="0" t="str">
        <f aca="false">IF(OR(AE761="Yes",AF761="Yes",AG761="Yes"),"Invalid",IF(OR(AB761="Yes",AC761="Yes",AD761="Yes"),"Warning","Clean"))</f>
        <v>Clean</v>
      </c>
      <c r="AJ761" s="4" t="s">
        <v>380</v>
      </c>
      <c r="AK761" s="4" t="s">
        <v>2823</v>
      </c>
      <c r="AL761" s="4" t="s">
        <v>86</v>
      </c>
      <c r="AM761" s="4" t="s">
        <v>134</v>
      </c>
      <c r="AN761" s="4" t="s">
        <v>2824</v>
      </c>
      <c r="AO761" s="4" t="s">
        <v>233</v>
      </c>
      <c r="AP761" s="4" t="s">
        <v>234</v>
      </c>
      <c r="AQ761" s="4" t="s">
        <v>72</v>
      </c>
      <c r="AR761" s="4" t="s">
        <v>73</v>
      </c>
      <c r="AS761" s="4" t="s">
        <v>60</v>
      </c>
      <c r="AT761" s="0" t="n">
        <v>0.25</v>
      </c>
      <c r="AU761" s="4" t="s">
        <v>61</v>
      </c>
      <c r="AV761" s="4" t="s">
        <v>62</v>
      </c>
    </row>
    <row r="762" customFormat="false" ht="15" hidden="false" customHeight="false" outlineLevel="0" collapsed="false">
      <c r="A762" s="0" t="s">
        <v>2825</v>
      </c>
      <c r="B762" s="3" t="n">
        <f aca="false">IF(AJ762="","",IF(ISNUMBER(SEARCH("/",AJ762)),DATE(VALUE(RIGHT(AJ762,4)),VALUE(LEFT(AJ762,2)),VALUE(MID(AJ762,4,2))),IF(ISNUMBER(SEARCH("-",AJ762)),IF(LEN(LEFT(AJ762,FIND("-",AJ762)-1))=4,DATE(VALUE(LEFT(AJ762,4)),VALUE(MID(AJ762,6,2)),VALUE(RIGHT(AJ762,2))),DATE(VALUE(RIGHT(AJ762,4)),VALUE(MID(AJ762,4,2)),VALUE(LEFT(AJ762,2)))),DATE(VALUE(RIGHT(AJ762,4)),MATCH(MID(AJ762,4,3),{"Jan","Feb","Mar","Apr","May","Jun","Jul","Aug","Sep","Oct","Nov","Dec"},0),VALUE(LEFT(AJ762,2))))))</f>
        <v>45532</v>
      </c>
      <c r="C762" s="3" t="n">
        <f aca="false">IF(AK762="","",IF(ISNUMBER(SEARCH("/",AK762)),DATE(VALUE(RIGHT(AK762,4)),VALUE(LEFT(AK762,2)),VALUE(MID(AK762,4,2))),IF(ISNUMBER(SEARCH("-",AK762)),IF(LEN(LEFT(AK762,FIND("-",AK762)-1))=4,DATE(VALUE(LEFT(AK762,4)),VALUE(MID(AK762,6,2)),VALUE(RIGHT(AK762,2))),DATE(VALUE(RIGHT(AK762,4)),VALUE(MID(AK762,4,2)),VALUE(LEFT(AK762,2)))),DATE(VALUE(RIGHT(AK762,4)),MATCH(MID(AK762,4,3),{"Jan","Feb","Mar","Apr","May","Jun","Jul","Aug","Sep","Oct","Nov","Dec"},0),VALUE(LEFT(AK762,2))))))</f>
        <v>45537</v>
      </c>
      <c r="D762" s="4" t="s">
        <v>2826</v>
      </c>
      <c r="E762" s="0" t="str">
        <f aca="false">PROPER(TRIM(AL762))</f>
        <v>Aditi Sen</v>
      </c>
      <c r="F762" s="0" t="str">
        <f aca="false">PROPER(TRIM(AM762))</f>
        <v>Home Office</v>
      </c>
      <c r="G762" s="0" t="str">
        <f aca="false">IF(TRIM(AN762)="","Unknown",PROPER(TRIM(AN762)))</f>
        <v>East</v>
      </c>
      <c r="H762" s="0" t="str">
        <f aca="false">PROPER(TRIM(AO762))</f>
        <v>Assam</v>
      </c>
      <c r="I762" s="0" t="str">
        <f aca="false">PROPER(TRIM(AP762))</f>
        <v>Guwahati</v>
      </c>
      <c r="J762" s="0" t="str">
        <f aca="false">PROPER(TRIM(AQ762))</f>
        <v>Office Supplies</v>
      </c>
      <c r="K762" s="0" t="str">
        <f aca="false">PROPER(TRIM(AR762))</f>
        <v>Art</v>
      </c>
      <c r="M762" s="0" t="str">
        <f aca="false">IF(TRIM(AS762)="","Unknown",PROPER(TRIM(AS762)))</f>
        <v>Second Class</v>
      </c>
      <c r="N762" s="0" t="n">
        <v>4</v>
      </c>
      <c r="O762" s="0" t="n">
        <v>3365.53</v>
      </c>
      <c r="P762" s="5" t="n">
        <f aca="false">IF(AT762="","",IF(ISNUMBER(AT762),AT762,VALUE(SUBSTITUTE(AT762,"%",""))/100))</f>
        <v>0</v>
      </c>
      <c r="Q762" s="5" t="n">
        <f aca="false">IF(P762="",IF(AND(N762&lt;&gt;"",O762&lt;&gt;"",R762&lt;&gt;"",S762&lt;&gt;""),0,"REVIEW"),IF(OR(P762&lt;0,P762&gt;0.3),0,P762))</f>
        <v>0</v>
      </c>
      <c r="R762" s="0" t="n">
        <v>13462.12</v>
      </c>
      <c r="S762" s="0" t="n">
        <v>7600.63</v>
      </c>
      <c r="T762" s="6" t="n">
        <f aca="false">N762*O762*(1-Q762)</f>
        <v>13462.12</v>
      </c>
      <c r="U762" s="6" t="n">
        <f aca="false">T762-S762</f>
        <v>5861.49</v>
      </c>
      <c r="V762" s="7" t="n">
        <f aca="false">IF(T762=0,0,U762/T762)</f>
        <v>0.435406161882378</v>
      </c>
      <c r="W762" s="4" t="n">
        <f aca="false">C762-B762</f>
        <v>5</v>
      </c>
      <c r="X762" s="0" t="str">
        <f aca="false">TEXT(B762,"mmmm")</f>
        <v>August</v>
      </c>
      <c r="Y762" s="4" t="n">
        <f aca="false">YEAR(B762)</f>
        <v>2024</v>
      </c>
      <c r="Z762" s="0" t="str">
        <f aca="false">PROPER(TRIM(AU762))</f>
        <v>Pending</v>
      </c>
      <c r="AA762" s="0" t="str">
        <f aca="false">PROPER(TRIM(AV762))</f>
        <v>Returned</v>
      </c>
      <c r="AB762" s="0" t="str">
        <f aca="false">IF(TRIM(AN762)="","Yes","No")</f>
        <v>No</v>
      </c>
      <c r="AC762" s="0" t="str">
        <f aca="false">IF(TRIM(AS762)="","Yes","No")</f>
        <v>No</v>
      </c>
      <c r="AD762" s="0" t="str">
        <f aca="false">IF(AT762="","Yes","No")</f>
        <v>No</v>
      </c>
      <c r="AE762" s="0" t="str">
        <f aca="false">IF(W762&lt;0,"Yes","No")</f>
        <v>No</v>
      </c>
      <c r="AF762" s="0" t="str">
        <f aca="false">IF(P762="","No",IF(OR(P762&lt;0,P762&gt;0.3),"Yes","No"))</f>
        <v>No</v>
      </c>
      <c r="AG762" s="4" t="s">
        <v>50</v>
      </c>
      <c r="AH762" s="0" t="str">
        <f aca="false">IF(AND(AA762="Completed",Z762="Paid"),"Yes","No")</f>
        <v>No</v>
      </c>
      <c r="AI762" s="0" t="str">
        <f aca="false">IF(OR(AE762="Yes",AF762="Yes",AG762="Yes"),"Invalid",IF(OR(AB762="Yes",AC762="Yes",AD762="Yes"),"Warning","Clean"))</f>
        <v>Clean</v>
      </c>
      <c r="AJ762" s="4" t="s">
        <v>2827</v>
      </c>
      <c r="AK762" s="4" t="s">
        <v>1016</v>
      </c>
      <c r="AL762" s="4" t="s">
        <v>127</v>
      </c>
      <c r="AM762" s="4" t="s">
        <v>134</v>
      </c>
      <c r="AN762" s="4" t="s">
        <v>69</v>
      </c>
      <c r="AO762" s="4" t="s">
        <v>221</v>
      </c>
      <c r="AP762" s="4" t="s">
        <v>222</v>
      </c>
      <c r="AQ762" s="4" t="s">
        <v>58</v>
      </c>
      <c r="AR762" s="4" t="s">
        <v>80</v>
      </c>
      <c r="AS762" s="4" t="s">
        <v>60</v>
      </c>
      <c r="AT762" s="0" t="n">
        <v>0</v>
      </c>
      <c r="AU762" s="4" t="s">
        <v>153</v>
      </c>
      <c r="AV762" s="4" t="s">
        <v>142</v>
      </c>
    </row>
    <row r="763" customFormat="false" ht="15" hidden="false" customHeight="false" outlineLevel="0" collapsed="false">
      <c r="A763" s="0" t="s">
        <v>2828</v>
      </c>
      <c r="B763" s="3" t="n">
        <f aca="false">IF(AJ763="","",IF(ISNUMBER(SEARCH("/",AJ763)),DATE(VALUE(RIGHT(AJ763,4)),VALUE(LEFT(AJ763,2)),VALUE(MID(AJ763,4,2))),IF(ISNUMBER(SEARCH("-",AJ763)),IF(LEN(LEFT(AJ763,FIND("-",AJ763)-1))=4,DATE(VALUE(LEFT(AJ763,4)),VALUE(MID(AJ763,6,2)),VALUE(RIGHT(AJ763,2))),DATE(VALUE(RIGHT(AJ763,4)),VALUE(MID(AJ763,4,2)),VALUE(LEFT(AJ763,2)))),DATE(VALUE(RIGHT(AJ763,4)),MATCH(MID(AJ763,4,3),{"Jan","Feb","Mar","Apr","May","Jun","Jul","Aug","Sep","Oct","Nov","Dec"},0),VALUE(LEFT(AJ763,2))))))</f>
        <v>45896</v>
      </c>
      <c r="C763" s="3" t="n">
        <f aca="false">IF(AK763="","",IF(ISNUMBER(SEARCH("/",AK763)),DATE(VALUE(RIGHT(AK763,4)),VALUE(LEFT(AK763,2)),VALUE(MID(AK763,4,2))),IF(ISNUMBER(SEARCH("-",AK763)),IF(LEN(LEFT(AK763,FIND("-",AK763)-1))=4,DATE(VALUE(LEFT(AK763,4)),VALUE(MID(AK763,6,2)),VALUE(RIGHT(AK763,2))),DATE(VALUE(RIGHT(AK763,4)),VALUE(MID(AK763,4,2)),VALUE(LEFT(AK763,2)))),DATE(VALUE(RIGHT(AK763,4)),MATCH(MID(AK763,4,3),{"Jan","Feb","Mar","Apr","May","Jun","Jul","Aug","Sep","Oct","Nov","Dec"},0),VALUE(LEFT(AK763,2))))))</f>
        <v>45900</v>
      </c>
      <c r="D763" s="4" t="s">
        <v>2829</v>
      </c>
      <c r="E763" s="0" t="str">
        <f aca="false">PROPER(TRIM(AL763))</f>
        <v>Isha Nair</v>
      </c>
      <c r="F763" s="0" t="str">
        <f aca="false">PROPER(TRIM(AM763))</f>
        <v>Consumer</v>
      </c>
      <c r="G763" s="0" t="str">
        <f aca="false">IF(TRIM(AN763)="","Unknown",PROPER(TRIM(AN763)))</f>
        <v>South</v>
      </c>
      <c r="H763" s="0" t="str">
        <f aca="false">PROPER(TRIM(AO763))</f>
        <v>Karnataka</v>
      </c>
      <c r="I763" s="0" t="str">
        <f aca="false">PROPER(TRIM(AP763))</f>
        <v>Bengaluru</v>
      </c>
      <c r="J763" s="0" t="str">
        <f aca="false">PROPER(TRIM(AQ763))</f>
        <v>Technology</v>
      </c>
      <c r="K763" s="0" t="str">
        <f aca="false">PROPER(TRIM(AR763))</f>
        <v>Machines</v>
      </c>
      <c r="M763" s="0" t="str">
        <f aca="false">IF(TRIM(AS763)="","Unknown",PROPER(TRIM(AS763)))</f>
        <v>First Class</v>
      </c>
      <c r="N763" s="0" t="n">
        <v>3</v>
      </c>
      <c r="O763" s="0" t="n">
        <v>2489.12</v>
      </c>
      <c r="P763" s="5" t="n">
        <f aca="false">IF(AT763="","",IF(ISNUMBER(AT763),AT763,VALUE(SUBSTITUTE(AT763,"%",""))/100))</f>
        <v>0</v>
      </c>
      <c r="Q763" s="5" t="n">
        <f aca="false">IF(P763="",IF(AND(N763&lt;&gt;"",O763&lt;&gt;"",R763&lt;&gt;"",S763&lt;&gt;""),0,"REVIEW"),IF(OR(P763&lt;0,P763&gt;0.3),0,P763))</f>
        <v>0</v>
      </c>
      <c r="R763" s="0" t="n">
        <v>7467.36</v>
      </c>
      <c r="S763" s="0" t="n">
        <v>5010.61</v>
      </c>
      <c r="T763" s="6" t="n">
        <f aca="false">N763*O763*(1-Q763)</f>
        <v>7467.36</v>
      </c>
      <c r="U763" s="6" t="n">
        <f aca="false">T763-S763</f>
        <v>2456.75</v>
      </c>
      <c r="V763" s="7" t="n">
        <f aca="false">IF(T763=0,0,U763/T763)</f>
        <v>0.3289984679994</v>
      </c>
      <c r="W763" s="4" t="n">
        <f aca="false">C763-B763</f>
        <v>4</v>
      </c>
      <c r="X763" s="0" t="str">
        <f aca="false">TEXT(B763,"mmmm")</f>
        <v>August</v>
      </c>
      <c r="Y763" s="4" t="n">
        <f aca="false">YEAR(B763)</f>
        <v>2025</v>
      </c>
      <c r="Z763" s="0" t="str">
        <f aca="false">PROPER(TRIM(AU763))</f>
        <v>Paid</v>
      </c>
      <c r="AA763" s="0" t="str">
        <f aca="false">PROPER(TRIM(AV763))</f>
        <v>Completed</v>
      </c>
      <c r="AB763" s="0" t="str">
        <f aca="false">IF(TRIM(AN763)="","Yes","No")</f>
        <v>No</v>
      </c>
      <c r="AC763" s="0" t="str">
        <f aca="false">IF(TRIM(AS763)="","Yes","No")</f>
        <v>No</v>
      </c>
      <c r="AD763" s="0" t="str">
        <f aca="false">IF(AT763="","Yes","No")</f>
        <v>No</v>
      </c>
      <c r="AE763" s="0" t="str">
        <f aca="false">IF(W763&lt;0,"Yes","No")</f>
        <v>No</v>
      </c>
      <c r="AF763" s="0" t="str">
        <f aca="false">IF(P763="","No",IF(OR(P763&lt;0,P763&gt;0.3),"Yes","No"))</f>
        <v>No</v>
      </c>
      <c r="AG763" s="4" t="s">
        <v>50</v>
      </c>
      <c r="AH763" s="0" t="str">
        <f aca="false">IF(AND(AA763="Completed",Z763="Paid"),"Yes","No")</f>
        <v>Yes</v>
      </c>
      <c r="AI763" s="0" t="str">
        <f aca="false">IF(OR(AE763="Yes",AF763="Yes",AG763="Yes"),"Invalid",IF(OR(AB763="Yes",AC763="Yes",AD763="Yes"),"Warning","Clean"))</f>
        <v>Clean</v>
      </c>
      <c r="AJ763" s="4" t="s">
        <v>419</v>
      </c>
      <c r="AK763" s="4" t="s">
        <v>2830</v>
      </c>
      <c r="AL763" s="4" t="s">
        <v>79</v>
      </c>
      <c r="AM763" s="4" t="s">
        <v>54</v>
      </c>
      <c r="AN763" s="4" t="s">
        <v>87</v>
      </c>
      <c r="AO763" s="4" t="s">
        <v>233</v>
      </c>
      <c r="AP763" s="4" t="s">
        <v>234</v>
      </c>
      <c r="AQ763" s="4" t="s">
        <v>109</v>
      </c>
      <c r="AR763" s="4" t="s">
        <v>360</v>
      </c>
      <c r="AS763" s="4" t="s">
        <v>81</v>
      </c>
      <c r="AT763" s="0" t="n">
        <v>0</v>
      </c>
      <c r="AU763" s="4" t="s">
        <v>61</v>
      </c>
      <c r="AV763" s="4" t="s">
        <v>62</v>
      </c>
    </row>
    <row r="764" customFormat="false" ht="15" hidden="false" customHeight="false" outlineLevel="0" collapsed="false">
      <c r="A764" s="0" t="s">
        <v>2831</v>
      </c>
      <c r="B764" s="3" t="n">
        <f aca="false">IF(AJ764="","",IF(ISNUMBER(SEARCH("/",AJ764)),DATE(VALUE(RIGHT(AJ764,4)),VALUE(LEFT(AJ764,2)),VALUE(MID(AJ764,4,2))),IF(ISNUMBER(SEARCH("-",AJ764)),IF(LEN(LEFT(AJ764,FIND("-",AJ764)-1))=4,DATE(VALUE(LEFT(AJ764,4)),VALUE(MID(AJ764,6,2)),VALUE(RIGHT(AJ764,2))),DATE(VALUE(RIGHT(AJ764,4)),VALUE(MID(AJ764,4,2)),VALUE(LEFT(AJ764,2)))),DATE(VALUE(RIGHT(AJ764,4)),MATCH(MID(AJ764,4,3),{"Jan","Feb","Mar","Apr","May","Jun","Jul","Aug","Sep","Oct","Nov","Dec"},0),VALUE(LEFT(AJ764,2))))))</f>
        <v>45292</v>
      </c>
      <c r="C764" s="3" t="n">
        <f aca="false">IF(AK764="","",IF(ISNUMBER(SEARCH("/",AK764)),DATE(VALUE(RIGHT(AK764,4)),VALUE(LEFT(AK764,2)),VALUE(MID(AK764,4,2))),IF(ISNUMBER(SEARCH("-",AK764)),IF(LEN(LEFT(AK764,FIND("-",AK764)-1))=4,DATE(VALUE(LEFT(AK764,4)),VALUE(MID(AK764,6,2)),VALUE(RIGHT(AK764,2))),DATE(VALUE(RIGHT(AK764,4)),VALUE(MID(AK764,4,2)),VALUE(LEFT(AK764,2)))),DATE(VALUE(RIGHT(AK764,4)),MATCH(MID(AK764,4,3),{"Jan","Feb","Mar","Apr","May","Jun","Jul","Aug","Sep","Oct","Nov","Dec"},0),VALUE(LEFT(AK764,2))))))</f>
        <v>45296</v>
      </c>
      <c r="D764" s="4" t="s">
        <v>2832</v>
      </c>
      <c r="E764" s="0" t="str">
        <f aca="false">PROPER(TRIM(AL764))</f>
        <v>Diya Patel</v>
      </c>
      <c r="F764" s="0" t="str">
        <f aca="false">PROPER(TRIM(AM764))</f>
        <v>Corporate</v>
      </c>
      <c r="G764" s="0" t="str">
        <f aca="false">IF(TRIM(AN764)="","Unknown",PROPER(TRIM(AN764)))</f>
        <v>West</v>
      </c>
      <c r="H764" s="0" t="str">
        <f aca="false">PROPER(TRIM(AO764))</f>
        <v>Madhya Pradesh</v>
      </c>
      <c r="I764" s="0" t="str">
        <f aca="false">PROPER(TRIM(AP764))</f>
        <v>Indore</v>
      </c>
      <c r="J764" s="0" t="str">
        <f aca="false">PROPER(TRIM(AQ764))</f>
        <v>Technology</v>
      </c>
      <c r="K764" s="0" t="str">
        <f aca="false">PROPER(TRIM(AR764))</f>
        <v>Machines</v>
      </c>
      <c r="M764" s="0" t="str">
        <f aca="false">IF(TRIM(AS764)="","Unknown",PROPER(TRIM(AS764)))</f>
        <v>Second Class</v>
      </c>
      <c r="N764" s="0" t="n">
        <v>2</v>
      </c>
      <c r="O764" s="0" t="n">
        <v>3694.12</v>
      </c>
      <c r="P764" s="5" t="n">
        <f aca="false">IF(AT764="","",IF(ISNUMBER(AT764),AT764,VALUE(SUBSTITUTE(AT764,"%",""))/100))</f>
        <v>0.2</v>
      </c>
      <c r="Q764" s="5" t="n">
        <f aca="false">IF(P764="",IF(AND(N764&lt;&gt;"",O764&lt;&gt;"",R764&lt;&gt;"",S764&lt;&gt;""),0,"REVIEW"),IF(OR(P764&lt;0,P764&gt;0.3),0,P764))</f>
        <v>0.2</v>
      </c>
      <c r="R764" s="0" t="n">
        <v>5910.59</v>
      </c>
      <c r="S764" s="0" t="n">
        <v>4775.44</v>
      </c>
      <c r="T764" s="6" t="n">
        <f aca="false">N764*O764*(1-Q764)</f>
        <v>5910.592</v>
      </c>
      <c r="U764" s="6" t="n">
        <f aca="false">T764-S764</f>
        <v>1135.152</v>
      </c>
      <c r="V764" s="7" t="n">
        <f aca="false">IF(T764=0,0,U764/T764)</f>
        <v>0.192053858564421</v>
      </c>
      <c r="W764" s="4" t="n">
        <f aca="false">C764-B764</f>
        <v>4</v>
      </c>
      <c r="X764" s="0" t="str">
        <f aca="false">TEXT(B764,"mmmm")</f>
        <v>January</v>
      </c>
      <c r="Y764" s="4" t="n">
        <f aca="false">YEAR(B764)</f>
        <v>2024</v>
      </c>
      <c r="Z764" s="0" t="str">
        <f aca="false">PROPER(TRIM(AU764))</f>
        <v>Refunded</v>
      </c>
      <c r="AA764" s="0" t="str">
        <f aca="false">PROPER(TRIM(AV764))</f>
        <v>Returned</v>
      </c>
      <c r="AB764" s="0" t="str">
        <f aca="false">IF(TRIM(AN764)="","Yes","No")</f>
        <v>No</v>
      </c>
      <c r="AC764" s="0" t="str">
        <f aca="false">IF(TRIM(AS764)="","Yes","No")</f>
        <v>No</v>
      </c>
      <c r="AD764" s="0" t="str">
        <f aca="false">IF(AT764="","Yes","No")</f>
        <v>No</v>
      </c>
      <c r="AE764" s="0" t="str">
        <f aca="false">IF(W764&lt;0,"Yes","No")</f>
        <v>No</v>
      </c>
      <c r="AF764" s="0" t="str">
        <f aca="false">IF(P764="","No",IF(OR(P764&lt;0,P764&gt;0.3),"Yes","No"))</f>
        <v>No</v>
      </c>
      <c r="AG764" s="4" t="s">
        <v>50</v>
      </c>
      <c r="AH764" s="0" t="str">
        <f aca="false">IF(AND(AA764="Completed",Z764="Paid"),"Yes","No")</f>
        <v>No</v>
      </c>
      <c r="AI764" s="0" t="str">
        <f aca="false">IF(OR(AE764="Yes",AF764="Yes",AG764="Yes"),"Invalid",IF(OR(AB764="Yes",AC764="Yes",AD764="Yes"),"Warning","Clean"))</f>
        <v>Clean</v>
      </c>
      <c r="AJ764" s="4" t="s">
        <v>2833</v>
      </c>
      <c r="AK764" s="4" t="s">
        <v>2834</v>
      </c>
      <c r="AL764" s="4" t="s">
        <v>216</v>
      </c>
      <c r="AM764" s="4" t="s">
        <v>128</v>
      </c>
      <c r="AN764" s="4" t="s">
        <v>97</v>
      </c>
      <c r="AO764" s="4" t="s">
        <v>107</v>
      </c>
      <c r="AP764" s="4" t="s">
        <v>108</v>
      </c>
      <c r="AQ764" s="4" t="s">
        <v>109</v>
      </c>
      <c r="AR764" s="4" t="s">
        <v>360</v>
      </c>
      <c r="AS764" s="4" t="s">
        <v>60</v>
      </c>
      <c r="AT764" s="0" t="n">
        <v>0.2</v>
      </c>
      <c r="AU764" s="4" t="s">
        <v>141</v>
      </c>
      <c r="AV764" s="4" t="s">
        <v>142</v>
      </c>
    </row>
    <row r="765" customFormat="false" ht="15" hidden="false" customHeight="false" outlineLevel="0" collapsed="false">
      <c r="A765" s="0" t="s">
        <v>2835</v>
      </c>
      <c r="B765" s="3" t="n">
        <f aca="false">IF(AJ765="","",IF(ISNUMBER(SEARCH("/",AJ765)),DATE(VALUE(RIGHT(AJ765,4)),VALUE(LEFT(AJ765,2)),VALUE(MID(AJ765,4,2))),IF(ISNUMBER(SEARCH("-",AJ765)),IF(LEN(LEFT(AJ765,FIND("-",AJ765)-1))=4,DATE(VALUE(LEFT(AJ765,4)),VALUE(MID(AJ765,6,2)),VALUE(RIGHT(AJ765,2))),DATE(VALUE(RIGHT(AJ765,4)),VALUE(MID(AJ765,4,2)),VALUE(LEFT(AJ765,2)))),DATE(VALUE(RIGHT(AJ765,4)),MATCH(MID(AJ765,4,3),{"Jan","Feb","Mar","Apr","May","Jun","Jul","Aug","Sep","Oct","Nov","Dec"},0),VALUE(LEFT(AJ765,2))))))</f>
        <v>45892</v>
      </c>
      <c r="C765" s="3" t="n">
        <f aca="false">IF(AK765="","",IF(ISNUMBER(SEARCH("/",AK765)),DATE(VALUE(RIGHT(AK765,4)),VALUE(LEFT(AK765,2)),VALUE(MID(AK765,4,2))),IF(ISNUMBER(SEARCH("-",AK765)),IF(LEN(LEFT(AK765,FIND("-",AK765)-1))=4,DATE(VALUE(LEFT(AK765,4)),VALUE(MID(AK765,6,2)),VALUE(RIGHT(AK765,2))),DATE(VALUE(RIGHT(AK765,4)),VALUE(MID(AK765,4,2)),VALUE(LEFT(AK765,2)))),DATE(VALUE(RIGHT(AK765,4)),MATCH(MID(AK765,4,3),{"Jan","Feb","Mar","Apr","May","Jun","Jul","Aug","Sep","Oct","Nov","Dec"},0),VALUE(LEFT(AK765,2))))))</f>
        <v>45894</v>
      </c>
      <c r="D765" s="4" t="s">
        <v>2836</v>
      </c>
      <c r="E765" s="0" t="str">
        <f aca="false">PROPER(TRIM(AL765))</f>
        <v>Diya Patel</v>
      </c>
      <c r="F765" s="0" t="str">
        <f aca="false">PROPER(TRIM(AM765))</f>
        <v>Consumer</v>
      </c>
      <c r="G765" s="0" t="str">
        <f aca="false">IF(TRIM(AN765)="","Unknown",PROPER(TRIM(AN765)))</f>
        <v>North</v>
      </c>
      <c r="H765" s="0" t="str">
        <f aca="false">PROPER(TRIM(AO765))</f>
        <v>Rajasthan</v>
      </c>
      <c r="I765" s="0" t="str">
        <f aca="false">PROPER(TRIM(AP765))</f>
        <v>Jaipur</v>
      </c>
      <c r="J765" s="0" t="str">
        <f aca="false">PROPER(TRIM(AQ765))</f>
        <v>Furniture</v>
      </c>
      <c r="K765" s="0" t="str">
        <f aca="false">PROPER(TRIM(AR765))</f>
        <v>Furnishings</v>
      </c>
      <c r="M765" s="0" t="str">
        <f aca="false">IF(TRIM(AS765)="","Unknown",PROPER(TRIM(AS765)))</f>
        <v>Same Day</v>
      </c>
      <c r="N765" s="0" t="n">
        <v>6</v>
      </c>
      <c r="O765" s="0" t="n">
        <v>2742.48</v>
      </c>
      <c r="P765" s="5" t="n">
        <f aca="false">IF(AT765="","",IF(ISNUMBER(AT765),AT765,VALUE(SUBSTITUTE(AT765,"%",""))/100))</f>
        <v>0</v>
      </c>
      <c r="Q765" s="5" t="n">
        <f aca="false">IF(P765="",IF(AND(N765&lt;&gt;"",O765&lt;&gt;"",R765&lt;&gt;"",S765&lt;&gt;""),0,"REVIEW"),IF(OR(P765&lt;0,P765&gt;0.3),0,P765))</f>
        <v>0</v>
      </c>
      <c r="R765" s="0" t="n">
        <v>16454.88</v>
      </c>
      <c r="S765" s="0" t="n">
        <v>12081.54</v>
      </c>
      <c r="T765" s="6" t="n">
        <f aca="false">N765*O765*(1-Q765)</f>
        <v>16454.88</v>
      </c>
      <c r="U765" s="6" t="n">
        <f aca="false">T765-S765</f>
        <v>4373.34</v>
      </c>
      <c r="V765" s="7" t="n">
        <f aca="false">IF(T765=0,0,U765/T765)</f>
        <v>0.265777690265745</v>
      </c>
      <c r="W765" s="4" t="n">
        <f aca="false">C765-B765</f>
        <v>2</v>
      </c>
      <c r="X765" s="0" t="str">
        <f aca="false">TEXT(B765,"mmmm")</f>
        <v>August</v>
      </c>
      <c r="Y765" s="4" t="n">
        <f aca="false">YEAR(B765)</f>
        <v>2025</v>
      </c>
      <c r="Z765" s="0" t="str">
        <f aca="false">PROPER(TRIM(AU765))</f>
        <v>Paid</v>
      </c>
      <c r="AA765" s="0" t="str">
        <f aca="false">PROPER(TRIM(AV765))</f>
        <v>Completed</v>
      </c>
      <c r="AB765" s="0" t="str">
        <f aca="false">IF(TRIM(AN765)="","Yes","No")</f>
        <v>No</v>
      </c>
      <c r="AC765" s="0" t="str">
        <f aca="false">IF(TRIM(AS765)="","Yes","No")</f>
        <v>No</v>
      </c>
      <c r="AD765" s="0" t="str">
        <f aca="false">IF(AT765="","Yes","No")</f>
        <v>No</v>
      </c>
      <c r="AE765" s="0" t="str">
        <f aca="false">IF(W765&lt;0,"Yes","No")</f>
        <v>No</v>
      </c>
      <c r="AF765" s="0" t="str">
        <f aca="false">IF(P765="","No",IF(OR(P765&lt;0,P765&gt;0.3),"Yes","No"))</f>
        <v>No</v>
      </c>
      <c r="AG765" s="4" t="s">
        <v>50</v>
      </c>
      <c r="AH765" s="0" t="str">
        <f aca="false">IF(AND(AA765="Completed",Z765="Paid"),"Yes","No")</f>
        <v>Yes</v>
      </c>
      <c r="AI765" s="0" t="str">
        <f aca="false">IF(OR(AE765="Yes",AF765="Yes",AG765="Yes"),"Invalid",IF(OR(AB765="Yes",AC765="Yes",AD765="Yes"),"Warning","Clean"))</f>
        <v>Clean</v>
      </c>
      <c r="AJ765" s="4" t="s">
        <v>2837</v>
      </c>
      <c r="AK765" s="4" t="s">
        <v>2838</v>
      </c>
      <c r="AL765" s="4" t="s">
        <v>216</v>
      </c>
      <c r="AM765" s="4" t="s">
        <v>54</v>
      </c>
      <c r="AN765" s="4" t="s">
        <v>168</v>
      </c>
      <c r="AO765" s="4" t="s">
        <v>56</v>
      </c>
      <c r="AP765" s="4" t="s">
        <v>57</v>
      </c>
      <c r="AQ765" s="4" t="s">
        <v>72</v>
      </c>
      <c r="AR765" s="4" t="s">
        <v>90</v>
      </c>
      <c r="AS765" s="4" t="s">
        <v>74</v>
      </c>
      <c r="AT765" s="0" t="n">
        <v>0</v>
      </c>
      <c r="AU765" s="4" t="s">
        <v>61</v>
      </c>
      <c r="AV765" s="4" t="s">
        <v>62</v>
      </c>
    </row>
    <row r="766" customFormat="false" ht="15" hidden="false" customHeight="false" outlineLevel="0" collapsed="false">
      <c r="A766" s="0" t="s">
        <v>2839</v>
      </c>
      <c r="B766" s="3" t="n">
        <f aca="false">IF(AJ766="","",IF(ISNUMBER(SEARCH("/",AJ766)),DATE(VALUE(RIGHT(AJ766,4)),VALUE(LEFT(AJ766,2)),VALUE(MID(AJ766,4,2))),IF(ISNUMBER(SEARCH("-",AJ766)),IF(LEN(LEFT(AJ766,FIND("-",AJ766)-1))=4,DATE(VALUE(LEFT(AJ766,4)),VALUE(MID(AJ766,6,2)),VALUE(RIGHT(AJ766,2))),DATE(VALUE(RIGHT(AJ766,4)),VALUE(MID(AJ766,4,2)),VALUE(LEFT(AJ766,2)))),DATE(VALUE(RIGHT(AJ766,4)),MATCH(MID(AJ766,4,3),{"Jan","Feb","Mar","Apr","May","Jun","Jul","Aug","Sep","Oct","Nov","Dec"},0),VALUE(LEFT(AJ766,2))))))</f>
        <v>45760</v>
      </c>
      <c r="C766" s="3" t="n">
        <f aca="false">IF(AK766="","",IF(ISNUMBER(SEARCH("/",AK766)),DATE(VALUE(RIGHT(AK766,4)),VALUE(LEFT(AK766,2)),VALUE(MID(AK766,4,2))),IF(ISNUMBER(SEARCH("-",AK766)),IF(LEN(LEFT(AK766,FIND("-",AK766)-1))=4,DATE(VALUE(LEFT(AK766,4)),VALUE(MID(AK766,6,2)),VALUE(RIGHT(AK766,2))),DATE(VALUE(RIGHT(AK766,4)),VALUE(MID(AK766,4,2)),VALUE(LEFT(AK766,2)))),DATE(VALUE(RIGHT(AK766,4)),MATCH(MID(AK766,4,3),{"Jan","Feb","Mar","Apr","May","Jun","Jul","Aug","Sep","Oct","Nov","Dec"},0),VALUE(LEFT(AK766,2))))))</f>
        <v>45760</v>
      </c>
      <c r="D766" s="4" t="s">
        <v>1138</v>
      </c>
      <c r="E766" s="0" t="str">
        <f aca="false">PROPER(TRIM(AL766))</f>
        <v>Priya Menon</v>
      </c>
      <c r="F766" s="0" t="str">
        <f aca="false">PROPER(TRIM(AM766))</f>
        <v>Corporate</v>
      </c>
      <c r="G766" s="0" t="str">
        <f aca="false">IF(TRIM(AN766)="","Unknown",PROPER(TRIM(AN766)))</f>
        <v>South</v>
      </c>
      <c r="H766" s="0" t="str">
        <f aca="false">PROPER(TRIM(AO766))</f>
        <v>Kerala</v>
      </c>
      <c r="I766" s="0" t="str">
        <f aca="false">PROPER(TRIM(AP766))</f>
        <v>Kochi</v>
      </c>
      <c r="J766" s="0" t="str">
        <f aca="false">PROPER(TRIM(AQ766))</f>
        <v>Furniture</v>
      </c>
      <c r="K766" s="0" t="str">
        <f aca="false">PROPER(TRIM(AR766))</f>
        <v>Bookcases</v>
      </c>
      <c r="M766" s="0" t="str">
        <f aca="false">IF(TRIM(AS766)="","Unknown",PROPER(TRIM(AS766)))</f>
        <v>First Class</v>
      </c>
      <c r="N766" s="0" t="n">
        <v>6</v>
      </c>
      <c r="O766" s="0" t="n">
        <v>4414</v>
      </c>
      <c r="P766" s="5" t="n">
        <f aca="false">IF(AT766="","",IF(ISNUMBER(AT766),AT766,VALUE(SUBSTITUTE(AT766,"%",""))/100))</f>
        <v>0.05</v>
      </c>
      <c r="Q766" s="5" t="n">
        <f aca="false">IF(P766="",IF(AND(N766&lt;&gt;"",O766&lt;&gt;"",R766&lt;&gt;"",S766&lt;&gt;""),0,"REVIEW"),IF(OR(P766&lt;0,P766&gt;0.3),0,P766))</f>
        <v>0.05</v>
      </c>
      <c r="R766" s="0" t="n">
        <v>25159.8</v>
      </c>
      <c r="S766" s="0" t="n">
        <v>21606.83</v>
      </c>
      <c r="T766" s="6" t="n">
        <f aca="false">N766*O766*(1-Q766)</f>
        <v>25159.8</v>
      </c>
      <c r="U766" s="6" t="n">
        <f aca="false">T766-S766</f>
        <v>3552.97</v>
      </c>
      <c r="V766" s="7" t="n">
        <f aca="false">IF(T766=0,0,U766/T766)</f>
        <v>0.141216146392261</v>
      </c>
      <c r="W766" s="4" t="n">
        <f aca="false">C766-B766</f>
        <v>0</v>
      </c>
      <c r="X766" s="0" t="str">
        <f aca="false">TEXT(B766,"mmmm")</f>
        <v>April</v>
      </c>
      <c r="Y766" s="4" t="n">
        <f aca="false">YEAR(B766)</f>
        <v>2025</v>
      </c>
      <c r="Z766" s="0" t="str">
        <f aca="false">PROPER(TRIM(AU766))</f>
        <v>Paid</v>
      </c>
      <c r="AA766" s="0" t="str">
        <f aca="false">PROPER(TRIM(AV766))</f>
        <v>Completed</v>
      </c>
      <c r="AB766" s="0" t="str">
        <f aca="false">IF(TRIM(AN766)="","Yes","No")</f>
        <v>No</v>
      </c>
      <c r="AC766" s="0" t="str">
        <f aca="false">IF(TRIM(AS766)="","Yes","No")</f>
        <v>No</v>
      </c>
      <c r="AD766" s="0" t="str">
        <f aca="false">IF(AT766="","Yes","No")</f>
        <v>No</v>
      </c>
      <c r="AE766" s="0" t="str">
        <f aca="false">IF(W766&lt;0,"Yes","No")</f>
        <v>No</v>
      </c>
      <c r="AF766" s="0" t="str">
        <f aca="false">IF(P766="","No",IF(OR(P766&lt;0,P766&gt;0.3),"Yes","No"))</f>
        <v>No</v>
      </c>
      <c r="AG766" s="4" t="s">
        <v>50</v>
      </c>
      <c r="AH766" s="0" t="str">
        <f aca="false">IF(AND(AA766="Completed",Z766="Paid"),"Yes","No")</f>
        <v>Yes</v>
      </c>
      <c r="AI766" s="0" t="str">
        <f aca="false">IF(OR(AE766="Yes",AF766="Yes",AG766="Yes"),"Invalid",IF(OR(AB766="Yes",AC766="Yes",AD766="Yes"),"Warning","Clean"))</f>
        <v>Clean</v>
      </c>
      <c r="AJ766" s="4" t="s">
        <v>1538</v>
      </c>
      <c r="AK766" s="4" t="s">
        <v>2359</v>
      </c>
      <c r="AL766" s="4" t="s">
        <v>158</v>
      </c>
      <c r="AM766" s="4" t="s">
        <v>128</v>
      </c>
      <c r="AN766" s="4" t="s">
        <v>87</v>
      </c>
      <c r="AO766" s="4" t="s">
        <v>244</v>
      </c>
      <c r="AP766" s="4" t="s">
        <v>245</v>
      </c>
      <c r="AQ766" s="4" t="s">
        <v>72</v>
      </c>
      <c r="AR766" s="4" t="s">
        <v>211</v>
      </c>
      <c r="AS766" s="4" t="s">
        <v>81</v>
      </c>
      <c r="AT766" s="0" t="n">
        <v>0.05</v>
      </c>
      <c r="AU766" s="4" t="s">
        <v>61</v>
      </c>
      <c r="AV766" s="4" t="s">
        <v>62</v>
      </c>
    </row>
    <row r="767" customFormat="false" ht="15" hidden="false" customHeight="false" outlineLevel="0" collapsed="false">
      <c r="A767" s="0" t="s">
        <v>2840</v>
      </c>
      <c r="B767" s="3" t="n">
        <f aca="false">IF(AJ767="","",IF(ISNUMBER(SEARCH("/",AJ767)),DATE(VALUE(RIGHT(AJ767,4)),VALUE(LEFT(AJ767,2)),VALUE(MID(AJ767,4,2))),IF(ISNUMBER(SEARCH("-",AJ767)),IF(LEN(LEFT(AJ767,FIND("-",AJ767)-1))=4,DATE(VALUE(LEFT(AJ767,4)),VALUE(MID(AJ767,6,2)),VALUE(RIGHT(AJ767,2))),DATE(VALUE(RIGHT(AJ767,4)),VALUE(MID(AJ767,4,2)),VALUE(LEFT(AJ767,2)))),DATE(VALUE(RIGHT(AJ767,4)),MATCH(MID(AJ767,4,3),{"Jan","Feb","Mar","Apr","May","Jun","Jul","Aug","Sep","Oct","Nov","Dec"},0),VALUE(LEFT(AJ767,2))))))</f>
        <v>45837</v>
      </c>
      <c r="C767" s="3" t="n">
        <f aca="false">IF(AK767="","",IF(ISNUMBER(SEARCH("/",AK767)),DATE(VALUE(RIGHT(AK767,4)),VALUE(LEFT(AK767,2)),VALUE(MID(AK767,4,2))),IF(ISNUMBER(SEARCH("-",AK767)),IF(LEN(LEFT(AK767,FIND("-",AK767)-1))=4,DATE(VALUE(LEFT(AK767,4)),VALUE(MID(AK767,6,2)),VALUE(RIGHT(AK767,2))),DATE(VALUE(RIGHT(AK767,4)),VALUE(MID(AK767,4,2)),VALUE(LEFT(AK767,2)))),DATE(VALUE(RIGHT(AK767,4)),MATCH(MID(AK767,4,3),{"Jan","Feb","Mar","Apr","May","Jun","Jul","Aug","Sep","Oct","Nov","Dec"},0),VALUE(LEFT(AK767,2))))))</f>
        <v>45841</v>
      </c>
      <c r="D767" s="4" t="s">
        <v>2841</v>
      </c>
      <c r="E767" s="0" t="str">
        <f aca="false">PROPER(TRIM(AL767))</f>
        <v>Vikram Iyer</v>
      </c>
      <c r="F767" s="0" t="str">
        <f aca="false">PROPER(TRIM(AM767))</f>
        <v>Corporate</v>
      </c>
      <c r="G767" s="0" t="str">
        <f aca="false">IF(TRIM(AN767)="","Unknown",PROPER(TRIM(AN767)))</f>
        <v>East</v>
      </c>
      <c r="H767" s="0" t="str">
        <f aca="false">PROPER(TRIM(AO767))</f>
        <v>Jharkhand</v>
      </c>
      <c r="I767" s="0" t="str">
        <f aca="false">PROPER(TRIM(AP767))</f>
        <v>Ranchi</v>
      </c>
      <c r="J767" s="0" t="str">
        <f aca="false">PROPER(TRIM(AQ767))</f>
        <v>Office Supplies</v>
      </c>
      <c r="K767" s="0" t="str">
        <f aca="false">PROPER(TRIM(AR767))</f>
        <v>Labels</v>
      </c>
      <c r="M767" s="0" t="str">
        <f aca="false">IF(TRIM(AS767)="","Unknown",PROPER(TRIM(AS767)))</f>
        <v>First Class</v>
      </c>
      <c r="N767" s="0" t="n">
        <v>3</v>
      </c>
      <c r="O767" s="0" t="n">
        <v>608.14</v>
      </c>
      <c r="P767" s="5" t="n">
        <f aca="false">IF(AT767="","",IF(ISNUMBER(AT767),AT767,VALUE(SUBSTITUTE(AT767,"%",""))/100))</f>
        <v>0</v>
      </c>
      <c r="Q767" s="5" t="n">
        <f aca="false">IF(P767="",IF(AND(N767&lt;&gt;"",O767&lt;&gt;"",R767&lt;&gt;"",S767&lt;&gt;""),0,"REVIEW"),IF(OR(P767&lt;0,P767&gt;0.3),0,P767))</f>
        <v>0</v>
      </c>
      <c r="R767" s="0" t="n">
        <v>1824.42</v>
      </c>
      <c r="S767" s="0" t="n">
        <v>1214.87</v>
      </c>
      <c r="T767" s="6" t="n">
        <f aca="false">N767*O767*(1-Q767)</f>
        <v>1824.42</v>
      </c>
      <c r="U767" s="6" t="n">
        <f aca="false">T767-S767</f>
        <v>609.55</v>
      </c>
      <c r="V767" s="7" t="n">
        <f aca="false">IF(T767=0,0,U767/T767)</f>
        <v>0.33410618169062</v>
      </c>
      <c r="W767" s="4" t="n">
        <f aca="false">C767-B767</f>
        <v>4</v>
      </c>
      <c r="X767" s="0" t="str">
        <f aca="false">TEXT(B767,"mmmm")</f>
        <v>June</v>
      </c>
      <c r="Y767" s="4" t="n">
        <f aca="false">YEAR(B767)</f>
        <v>2025</v>
      </c>
      <c r="Z767" s="0" t="str">
        <f aca="false">PROPER(TRIM(AU767))</f>
        <v>Paid</v>
      </c>
      <c r="AA767" s="0" t="str">
        <f aca="false">PROPER(TRIM(AV767))</f>
        <v>Completed</v>
      </c>
      <c r="AB767" s="0" t="str">
        <f aca="false">IF(TRIM(AN767)="","Yes","No")</f>
        <v>No</v>
      </c>
      <c r="AC767" s="0" t="str">
        <f aca="false">IF(TRIM(AS767)="","Yes","No")</f>
        <v>No</v>
      </c>
      <c r="AD767" s="0" t="str">
        <f aca="false">IF(AT767="","Yes","No")</f>
        <v>No</v>
      </c>
      <c r="AE767" s="0" t="str">
        <f aca="false">IF(W767&lt;0,"Yes","No")</f>
        <v>No</v>
      </c>
      <c r="AF767" s="0" t="str">
        <f aca="false">IF(P767="","No",IF(OR(P767&lt;0,P767&gt;0.3),"Yes","No"))</f>
        <v>No</v>
      </c>
      <c r="AG767" s="4" t="s">
        <v>50</v>
      </c>
      <c r="AH767" s="0" t="str">
        <f aca="false">IF(AND(AA767="Completed",Z767="Paid"),"Yes","No")</f>
        <v>Yes</v>
      </c>
      <c r="AI767" s="0" t="str">
        <f aca="false">IF(OR(AE767="Yes",AF767="Yes",AG767="Yes"),"Invalid",IF(OR(AB767="Yes",AC767="Yes",AD767="Yes"),"Warning","Clean"))</f>
        <v>Clean</v>
      </c>
      <c r="AJ767" s="4" t="s">
        <v>2842</v>
      </c>
      <c r="AK767" s="4" t="s">
        <v>2843</v>
      </c>
      <c r="AL767" s="4" t="s">
        <v>106</v>
      </c>
      <c r="AM767" s="4" t="s">
        <v>128</v>
      </c>
      <c r="AN767" s="4" t="s">
        <v>69</v>
      </c>
      <c r="AO767" s="4" t="s">
        <v>300</v>
      </c>
      <c r="AP767" s="4" t="s">
        <v>301</v>
      </c>
      <c r="AQ767" s="4" t="s">
        <v>58</v>
      </c>
      <c r="AR767" s="4" t="s">
        <v>129</v>
      </c>
      <c r="AS767" s="4" t="s">
        <v>81</v>
      </c>
      <c r="AT767" s="0" t="n">
        <v>0</v>
      </c>
      <c r="AU767" s="4" t="s">
        <v>61</v>
      </c>
      <c r="AV767" s="4" t="s">
        <v>62</v>
      </c>
    </row>
    <row r="768" customFormat="false" ht="15" hidden="false" customHeight="false" outlineLevel="0" collapsed="false">
      <c r="A768" s="0" t="s">
        <v>2844</v>
      </c>
      <c r="B768" s="3" t="n">
        <f aca="false">IF(AJ768="","",IF(ISNUMBER(SEARCH("/",AJ768)),DATE(VALUE(RIGHT(AJ768,4)),VALUE(LEFT(AJ768,2)),VALUE(MID(AJ768,4,2))),IF(ISNUMBER(SEARCH("-",AJ768)),IF(LEN(LEFT(AJ768,FIND("-",AJ768)-1))=4,DATE(VALUE(LEFT(AJ768,4)),VALUE(MID(AJ768,6,2)),VALUE(RIGHT(AJ768,2))),DATE(VALUE(RIGHT(AJ768,4)),VALUE(MID(AJ768,4,2)),VALUE(LEFT(AJ768,2)))),DATE(VALUE(RIGHT(AJ768,4)),MATCH(MID(AJ768,4,3),{"Jan","Feb","Mar","Apr","May","Jun","Jul","Aug","Sep","Oct","Nov","Dec"},0),VALUE(LEFT(AJ768,2))))))</f>
        <v>45552</v>
      </c>
      <c r="C768" s="3" t="n">
        <f aca="false">IF(AK768="","",IF(ISNUMBER(SEARCH("/",AK768)),DATE(VALUE(RIGHT(AK768,4)),VALUE(LEFT(AK768,2)),VALUE(MID(AK768,4,2))),IF(ISNUMBER(SEARCH("-",AK768)),IF(LEN(LEFT(AK768,FIND("-",AK768)-1))=4,DATE(VALUE(LEFT(AK768,4)),VALUE(MID(AK768,6,2)),VALUE(RIGHT(AK768,2))),DATE(VALUE(RIGHT(AK768,4)),VALUE(MID(AK768,4,2)),VALUE(LEFT(AK768,2)))),DATE(VALUE(RIGHT(AK768,4)),MATCH(MID(AK768,4,3),{"Jan","Feb","Mar","Apr","May","Jun","Jul","Aug","Sep","Oct","Nov","Dec"},0),VALUE(LEFT(AK768,2))))))</f>
        <v>45559</v>
      </c>
      <c r="D768" s="4" t="s">
        <v>2845</v>
      </c>
      <c r="E768" s="0" t="str">
        <f aca="false">PROPER(TRIM(AL768))</f>
        <v>Mira Das</v>
      </c>
      <c r="F768" s="0" t="str">
        <f aca="false">PROPER(TRIM(AM768))</f>
        <v>Corporate</v>
      </c>
      <c r="G768" s="0" t="str">
        <f aca="false">IF(TRIM(AN768)="","Unknown",PROPER(TRIM(AN768)))</f>
        <v>West</v>
      </c>
      <c r="H768" s="0" t="str">
        <f aca="false">PROPER(TRIM(AO768))</f>
        <v>Gujarat</v>
      </c>
      <c r="I768" s="0" t="str">
        <f aca="false">PROPER(TRIM(AP768))</f>
        <v>Ahmedabad</v>
      </c>
      <c r="J768" s="0" t="str">
        <f aca="false">PROPER(TRIM(AQ768))</f>
        <v>Office Supplies</v>
      </c>
      <c r="K768" s="0" t="str">
        <f aca="false">PROPER(TRIM(AR768))</f>
        <v>Art</v>
      </c>
      <c r="M768" s="0" t="str">
        <f aca="false">IF(TRIM(AS768)="","Unknown",PROPER(TRIM(AS768)))</f>
        <v>Second Class</v>
      </c>
      <c r="N768" s="0" t="n">
        <v>9</v>
      </c>
      <c r="O768" s="0" t="n">
        <v>2307.96</v>
      </c>
      <c r="P768" s="5" t="n">
        <f aca="false">IF(AT768="","",IF(ISNUMBER(AT768),AT768,VALUE(SUBSTITUTE(AT768,"%",""))/100))</f>
        <v>0.2</v>
      </c>
      <c r="Q768" s="5" t="n">
        <f aca="false">IF(P768="",IF(AND(N768&lt;&gt;"",O768&lt;&gt;"",R768&lt;&gt;"",S768&lt;&gt;""),0,"REVIEW"),IF(OR(P768&lt;0,P768&gt;0.3),0,P768))</f>
        <v>0.2</v>
      </c>
      <c r="R768" s="0" t="n">
        <v>16617.31</v>
      </c>
      <c r="S768" s="0" t="n">
        <v>9195.73</v>
      </c>
      <c r="T768" s="6" t="n">
        <f aca="false">N768*O768*(1-Q768)</f>
        <v>16617.312</v>
      </c>
      <c r="U768" s="6" t="n">
        <f aca="false">T768-S768</f>
        <v>7421.582</v>
      </c>
      <c r="V768" s="7" t="n">
        <f aca="false">IF(T768=0,0,U768/T768)</f>
        <v>0.446617479409426</v>
      </c>
      <c r="W768" s="4" t="n">
        <f aca="false">C768-B768</f>
        <v>7</v>
      </c>
      <c r="X768" s="0" t="str">
        <f aca="false">TEXT(B768,"mmmm")</f>
        <v>September</v>
      </c>
      <c r="Y768" s="4" t="n">
        <f aca="false">YEAR(B768)</f>
        <v>2024</v>
      </c>
      <c r="Z768" s="0" t="str">
        <f aca="false">PROPER(TRIM(AU768))</f>
        <v>Paid</v>
      </c>
      <c r="AA768" s="0" t="str">
        <f aca="false">PROPER(TRIM(AV768))</f>
        <v>Cancelled</v>
      </c>
      <c r="AB768" s="0" t="str">
        <f aca="false">IF(TRIM(AN768)="","Yes","No")</f>
        <v>No</v>
      </c>
      <c r="AC768" s="0" t="str">
        <f aca="false">IF(TRIM(AS768)="","Yes","No")</f>
        <v>No</v>
      </c>
      <c r="AD768" s="0" t="str">
        <f aca="false">IF(AT768="","Yes","No")</f>
        <v>No</v>
      </c>
      <c r="AE768" s="0" t="str">
        <f aca="false">IF(W768&lt;0,"Yes","No")</f>
        <v>No</v>
      </c>
      <c r="AF768" s="0" t="str">
        <f aca="false">IF(P768="","No",IF(OR(P768&lt;0,P768&gt;0.3),"Yes","No"))</f>
        <v>No</v>
      </c>
      <c r="AG768" s="4" t="s">
        <v>50</v>
      </c>
      <c r="AH768" s="0" t="str">
        <f aca="false">IF(AND(AA768="Completed",Z768="Paid"),"Yes","No")</f>
        <v>No</v>
      </c>
      <c r="AI768" s="0" t="str">
        <f aca="false">IF(OR(AE768="Yes",AF768="Yes",AG768="Yes"),"Invalid",IF(OR(AB768="Yes",AC768="Yes",AD768="Yes"),"Warning","Clean"))</f>
        <v>Clean</v>
      </c>
      <c r="AJ768" s="4" t="s">
        <v>2846</v>
      </c>
      <c r="AK768" s="4" t="s">
        <v>1654</v>
      </c>
      <c r="AL768" s="4" t="s">
        <v>67</v>
      </c>
      <c r="AM768" s="4" t="s">
        <v>128</v>
      </c>
      <c r="AN768" s="4" t="s">
        <v>97</v>
      </c>
      <c r="AO768" s="4" t="s">
        <v>238</v>
      </c>
      <c r="AP768" s="4" t="s">
        <v>239</v>
      </c>
      <c r="AQ768" s="4" t="s">
        <v>58</v>
      </c>
      <c r="AR768" s="4" t="s">
        <v>80</v>
      </c>
      <c r="AS768" s="4" t="s">
        <v>60</v>
      </c>
      <c r="AT768" s="0" t="n">
        <v>0.2</v>
      </c>
      <c r="AU768" s="4" t="s">
        <v>61</v>
      </c>
      <c r="AV768" s="4" t="s">
        <v>101</v>
      </c>
    </row>
    <row r="769" customFormat="false" ht="15" hidden="false" customHeight="false" outlineLevel="0" collapsed="false">
      <c r="A769" s="0" t="s">
        <v>2847</v>
      </c>
      <c r="B769" s="3" t="n">
        <f aca="false">IF(AJ769="","",IF(ISNUMBER(SEARCH("/",AJ769)),DATE(VALUE(RIGHT(AJ769,4)),VALUE(LEFT(AJ769,2)),VALUE(MID(AJ769,4,2))),IF(ISNUMBER(SEARCH("-",AJ769)),IF(LEN(LEFT(AJ769,FIND("-",AJ769)-1))=4,DATE(VALUE(LEFT(AJ769,4)),VALUE(MID(AJ769,6,2)),VALUE(RIGHT(AJ769,2))),DATE(VALUE(RIGHT(AJ769,4)),VALUE(MID(AJ769,4,2)),VALUE(LEFT(AJ769,2)))),DATE(VALUE(RIGHT(AJ769,4)),MATCH(MID(AJ769,4,3),{"Jan","Feb","Mar","Apr","May","Jun","Jul","Aug","Sep","Oct","Nov","Dec"},0),VALUE(LEFT(AJ769,2))))))</f>
        <v>45415</v>
      </c>
      <c r="C769" s="3" t="n">
        <f aca="false">IF(AK769="","",IF(ISNUMBER(SEARCH("/",AK769)),DATE(VALUE(RIGHT(AK769,4)),VALUE(LEFT(AK769,2)),VALUE(MID(AK769,4,2))),IF(ISNUMBER(SEARCH("-",AK769)),IF(LEN(LEFT(AK769,FIND("-",AK769)-1))=4,DATE(VALUE(LEFT(AK769,4)),VALUE(MID(AK769,6,2)),VALUE(RIGHT(AK769,2))),DATE(VALUE(RIGHT(AK769,4)),VALUE(MID(AK769,4,2)),VALUE(LEFT(AK769,2)))),DATE(VALUE(RIGHT(AK769,4)),MATCH(MID(AK769,4,3),{"Jan","Feb","Mar","Apr","May","Jun","Jul","Aug","Sep","Oct","Nov","Dec"},0),VALUE(LEFT(AK769,2))))))</f>
        <v>45418</v>
      </c>
      <c r="D769" s="4" t="s">
        <v>2848</v>
      </c>
      <c r="E769" s="0" t="str">
        <f aca="false">PROPER(TRIM(AL769))</f>
        <v>Ananya Rao</v>
      </c>
      <c r="F769" s="0" t="str">
        <f aca="false">PROPER(TRIM(AM769))</f>
        <v>Home Office</v>
      </c>
      <c r="G769" s="0" t="str">
        <f aca="false">IF(TRIM(AN769)="","Unknown",PROPER(TRIM(AN769)))</f>
        <v>North</v>
      </c>
      <c r="H769" s="0" t="str">
        <f aca="false">PROPER(TRIM(AO769))</f>
        <v>Uttar Pradesh</v>
      </c>
      <c r="I769" s="0" t="str">
        <f aca="false">PROPER(TRIM(AP769))</f>
        <v>Noida</v>
      </c>
      <c r="J769" s="0" t="str">
        <f aca="false">PROPER(TRIM(AQ769))</f>
        <v>Office Supplies</v>
      </c>
      <c r="K769" s="0" t="str">
        <f aca="false">PROPER(TRIM(AR769))</f>
        <v>Binders</v>
      </c>
      <c r="M769" s="0" t="str">
        <f aca="false">IF(TRIM(AS769)="","Unknown",PROPER(TRIM(AS769)))</f>
        <v>Standard Class</v>
      </c>
      <c r="N769" s="0" t="n">
        <v>1</v>
      </c>
      <c r="O769" s="0" t="n">
        <v>1244.58</v>
      </c>
      <c r="P769" s="5" t="n">
        <f aca="false">IF(AT769="","",IF(ISNUMBER(AT769),AT769,VALUE(SUBSTITUTE(AT769,"%",""))/100))</f>
        <v>0.25</v>
      </c>
      <c r="Q769" s="5" t="n">
        <f aca="false">IF(P769="",IF(AND(N769&lt;&gt;"",O769&lt;&gt;"",R769&lt;&gt;"",S769&lt;&gt;""),0,"REVIEW"),IF(OR(P769&lt;0,P769&gt;0.3),0,P769))</f>
        <v>0.25</v>
      </c>
      <c r="R769" s="0" t="n">
        <v>933.43</v>
      </c>
      <c r="S769" s="0" t="n">
        <v>583.09</v>
      </c>
      <c r="T769" s="6" t="n">
        <f aca="false">N769*O769*(1-Q769)</f>
        <v>933.435</v>
      </c>
      <c r="U769" s="6" t="n">
        <f aca="false">T769-S769</f>
        <v>350.345</v>
      </c>
      <c r="V769" s="7" t="n">
        <f aca="false">IF(T769=0,0,U769/T769)</f>
        <v>0.375328758831627</v>
      </c>
      <c r="W769" s="4" t="n">
        <f aca="false">C769-B769</f>
        <v>3</v>
      </c>
      <c r="X769" s="0" t="str">
        <f aca="false">TEXT(B769,"mmmm")</f>
        <v>May</v>
      </c>
      <c r="Y769" s="4" t="n">
        <f aca="false">YEAR(B769)</f>
        <v>2024</v>
      </c>
      <c r="Z769" s="0" t="str">
        <f aca="false">PROPER(TRIM(AU769))</f>
        <v>Paid</v>
      </c>
      <c r="AA769" s="0" t="str">
        <f aca="false">PROPER(TRIM(AV769))</f>
        <v>Completed</v>
      </c>
      <c r="AB769" s="0" t="str">
        <f aca="false">IF(TRIM(AN769)="","Yes","No")</f>
        <v>No</v>
      </c>
      <c r="AC769" s="0" t="str">
        <f aca="false">IF(TRIM(AS769)="","Yes","No")</f>
        <v>No</v>
      </c>
      <c r="AD769" s="0" t="str">
        <f aca="false">IF(AT769="","Yes","No")</f>
        <v>No</v>
      </c>
      <c r="AE769" s="0" t="str">
        <f aca="false">IF(W769&lt;0,"Yes","No")</f>
        <v>No</v>
      </c>
      <c r="AF769" s="0" t="str">
        <f aca="false">IF(P769="","No",IF(OR(P769&lt;0,P769&gt;0.3),"Yes","No"))</f>
        <v>No</v>
      </c>
      <c r="AG769" s="4" t="s">
        <v>50</v>
      </c>
      <c r="AH769" s="0" t="str">
        <f aca="false">IF(AND(AA769="Completed",Z769="Paid"),"Yes","No")</f>
        <v>Yes</v>
      </c>
      <c r="AI769" s="0" t="str">
        <f aca="false">IF(OR(AE769="Yes",AF769="Yes",AG769="Yes"),"Invalid",IF(OR(AB769="Yes",AC769="Yes",AD769="Yes"),"Warning","Clean"))</f>
        <v>Clean</v>
      </c>
      <c r="AJ769" s="4" t="s">
        <v>2849</v>
      </c>
      <c r="AK769" s="4" t="s">
        <v>2200</v>
      </c>
      <c r="AL769" s="4" t="s">
        <v>96</v>
      </c>
      <c r="AM769" s="4" t="s">
        <v>134</v>
      </c>
      <c r="AN769" s="4" t="s">
        <v>168</v>
      </c>
      <c r="AO769" s="4" t="s">
        <v>186</v>
      </c>
      <c r="AP769" s="4" t="s">
        <v>187</v>
      </c>
      <c r="AQ769" s="4" t="s">
        <v>794</v>
      </c>
      <c r="AR769" s="4" t="s">
        <v>206</v>
      </c>
      <c r="AS769" s="4" t="s">
        <v>91</v>
      </c>
      <c r="AT769" s="0" t="n">
        <v>0.25</v>
      </c>
      <c r="AU769" s="4" t="s">
        <v>61</v>
      </c>
      <c r="AV769" s="4" t="s">
        <v>62</v>
      </c>
    </row>
    <row r="770" customFormat="false" ht="15" hidden="false" customHeight="false" outlineLevel="0" collapsed="false">
      <c r="A770" s="0" t="s">
        <v>2850</v>
      </c>
      <c r="B770" s="3" t="n">
        <f aca="false">IF(AJ770="","",IF(ISNUMBER(SEARCH("/",AJ770)),DATE(VALUE(RIGHT(AJ770,4)),VALUE(LEFT(AJ770,2)),VALUE(MID(AJ770,4,2))),IF(ISNUMBER(SEARCH("-",AJ770)),IF(LEN(LEFT(AJ770,FIND("-",AJ770)-1))=4,DATE(VALUE(LEFT(AJ770,4)),VALUE(MID(AJ770,6,2)),VALUE(RIGHT(AJ770,2))),DATE(VALUE(RIGHT(AJ770,4)),VALUE(MID(AJ770,4,2)),VALUE(LEFT(AJ770,2)))),DATE(VALUE(RIGHT(AJ770,4)),MATCH(MID(AJ770,4,3),{"Jan","Feb","Mar","Apr","May","Jun","Jul","Aug","Sep","Oct","Nov","Dec"},0),VALUE(LEFT(AJ770,2))))))</f>
        <v>45749</v>
      </c>
      <c r="C770" s="3" t="n">
        <f aca="false">IF(AK770="","",IF(ISNUMBER(SEARCH("/",AK770)),DATE(VALUE(RIGHT(AK770,4)),VALUE(LEFT(AK770,2)),VALUE(MID(AK770,4,2))),IF(ISNUMBER(SEARCH("-",AK770)),IF(LEN(LEFT(AK770,FIND("-",AK770)-1))=4,DATE(VALUE(LEFT(AK770,4)),VALUE(MID(AK770,6,2)),VALUE(RIGHT(AK770,2))),DATE(VALUE(RIGHT(AK770,4)),VALUE(MID(AK770,4,2)),VALUE(LEFT(AK770,2)))),DATE(VALUE(RIGHT(AK770,4)),MATCH(MID(AK770,4,3),{"Jan","Feb","Mar","Apr","May","Jun","Jul","Aug","Sep","Oct","Nov","Dec"},0),VALUE(LEFT(AK770,2))))))</f>
        <v>45751</v>
      </c>
      <c r="D770" s="4" t="s">
        <v>2851</v>
      </c>
      <c r="E770" s="0" t="str">
        <f aca="false">PROPER(TRIM(AL770))</f>
        <v>Sneha Kapoor</v>
      </c>
      <c r="F770" s="0" t="str">
        <f aca="false">PROPER(TRIM(AM770))</f>
        <v>Home Office</v>
      </c>
      <c r="G770" s="0" t="str">
        <f aca="false">IF(TRIM(AN770)="","Unknown",PROPER(TRIM(AN770)))</f>
        <v>East</v>
      </c>
      <c r="H770" s="0" t="str">
        <f aca="false">PROPER(TRIM(AO770))</f>
        <v>Jharkhand</v>
      </c>
      <c r="I770" s="0" t="str">
        <f aca="false">PROPER(TRIM(AP770))</f>
        <v>Ranchi</v>
      </c>
      <c r="J770" s="0" t="str">
        <f aca="false">PROPER(TRIM(AQ770))</f>
        <v>Office Supplies</v>
      </c>
      <c r="K770" s="0" t="str">
        <f aca="false">PROPER(TRIM(AR770))</f>
        <v>Paper</v>
      </c>
      <c r="M770" s="0" t="str">
        <f aca="false">IF(TRIM(AS770)="","Unknown",PROPER(TRIM(AS770)))</f>
        <v>Same Day</v>
      </c>
      <c r="N770" s="0" t="n">
        <v>5</v>
      </c>
      <c r="O770" s="0" t="n">
        <v>3234.24</v>
      </c>
      <c r="P770" s="5" t="n">
        <f aca="false">IF(AT770="","",IF(ISNUMBER(AT770),AT770,VALUE(SUBSTITUTE(AT770,"%",""))/100))</f>
        <v>0.1</v>
      </c>
      <c r="Q770" s="5" t="n">
        <f aca="false">IF(P770="",IF(AND(N770&lt;&gt;"",O770&lt;&gt;"",R770&lt;&gt;"",S770&lt;&gt;""),0,"REVIEW"),IF(OR(P770&lt;0,P770&gt;0.3),0,P770))</f>
        <v>0.1</v>
      </c>
      <c r="R770" s="0" t="n">
        <v>14554.08</v>
      </c>
      <c r="S770" s="0" t="n">
        <v>11166.84</v>
      </c>
      <c r="T770" s="6" t="n">
        <f aca="false">N770*O770*(1-Q770)</f>
        <v>14554.08</v>
      </c>
      <c r="U770" s="6" t="n">
        <f aca="false">T770-S770</f>
        <v>3387.24</v>
      </c>
      <c r="V770" s="7" t="n">
        <f aca="false">IF(T770=0,0,U770/T770)</f>
        <v>0.232734738300188</v>
      </c>
      <c r="W770" s="4" t="n">
        <f aca="false">C770-B770</f>
        <v>2</v>
      </c>
      <c r="X770" s="0" t="str">
        <f aca="false">TEXT(B770,"mmmm")</f>
        <v>April</v>
      </c>
      <c r="Y770" s="4" t="n">
        <f aca="false">YEAR(B770)</f>
        <v>2025</v>
      </c>
      <c r="Z770" s="0" t="str">
        <f aca="false">PROPER(TRIM(AU770))</f>
        <v>Paid</v>
      </c>
      <c r="AA770" s="0" t="str">
        <f aca="false">PROPER(TRIM(AV770))</f>
        <v>Completed</v>
      </c>
      <c r="AB770" s="0" t="str">
        <f aca="false">IF(TRIM(AN770)="","Yes","No")</f>
        <v>No</v>
      </c>
      <c r="AC770" s="0" t="str">
        <f aca="false">IF(TRIM(AS770)="","Yes","No")</f>
        <v>No</v>
      </c>
      <c r="AD770" s="0" t="str">
        <f aca="false">IF(AT770="","Yes","No")</f>
        <v>No</v>
      </c>
      <c r="AE770" s="0" t="str">
        <f aca="false">IF(W770&lt;0,"Yes","No")</f>
        <v>No</v>
      </c>
      <c r="AF770" s="0" t="str">
        <f aca="false">IF(P770="","No",IF(OR(P770&lt;0,P770&gt;0.3),"Yes","No"))</f>
        <v>No</v>
      </c>
      <c r="AG770" s="4" t="s">
        <v>50</v>
      </c>
      <c r="AH770" s="0" t="str">
        <f aca="false">IF(AND(AA770="Completed",Z770="Paid"),"Yes","No")</f>
        <v>Yes</v>
      </c>
      <c r="AI770" s="0" t="str">
        <f aca="false">IF(OR(AE770="Yes",AF770="Yes",AG770="Yes"),"Invalid",IF(OR(AB770="Yes",AC770="Yes",AD770="Yes"),"Warning","Clean"))</f>
        <v>Clean</v>
      </c>
      <c r="AJ770" s="4" t="s">
        <v>1500</v>
      </c>
      <c r="AK770" s="4" t="s">
        <v>2852</v>
      </c>
      <c r="AL770" s="4" t="s">
        <v>181</v>
      </c>
      <c r="AM770" s="4" t="s">
        <v>134</v>
      </c>
      <c r="AN770" s="4" t="s">
        <v>69</v>
      </c>
      <c r="AO770" s="4" t="s">
        <v>300</v>
      </c>
      <c r="AP770" s="4" t="s">
        <v>301</v>
      </c>
      <c r="AQ770" s="4" t="s">
        <v>58</v>
      </c>
      <c r="AR770" s="4" t="s">
        <v>59</v>
      </c>
      <c r="AS770" s="4" t="s">
        <v>74</v>
      </c>
      <c r="AT770" s="0" t="n">
        <v>0.1</v>
      </c>
      <c r="AU770" s="4" t="s">
        <v>61</v>
      </c>
      <c r="AV770" s="4" t="s">
        <v>62</v>
      </c>
    </row>
    <row r="771" customFormat="false" ht="15" hidden="false" customHeight="false" outlineLevel="0" collapsed="false">
      <c r="A771" s="0" t="s">
        <v>2853</v>
      </c>
      <c r="B771" s="3" t="n">
        <f aca="false">IF(AJ771="","",IF(ISNUMBER(SEARCH("/",AJ771)),DATE(VALUE(RIGHT(AJ771,4)),VALUE(LEFT(AJ771,2)),VALUE(MID(AJ771,4,2))),IF(ISNUMBER(SEARCH("-",AJ771)),IF(LEN(LEFT(AJ771,FIND("-",AJ771)-1))=4,DATE(VALUE(LEFT(AJ771,4)),VALUE(MID(AJ771,6,2)),VALUE(RIGHT(AJ771,2))),DATE(VALUE(RIGHT(AJ771,4)),VALUE(MID(AJ771,4,2)),VALUE(LEFT(AJ771,2)))),DATE(VALUE(RIGHT(AJ771,4)),MATCH(MID(AJ771,4,3),{"Jan","Feb","Mar","Apr","May","Jun","Jul","Aug","Sep","Oct","Nov","Dec"},0),VALUE(LEFT(AJ771,2))))))</f>
        <v>45423</v>
      </c>
      <c r="C771" s="3" t="n">
        <f aca="false">IF(AK771="","",IF(ISNUMBER(SEARCH("/",AK771)),DATE(VALUE(RIGHT(AK771,4)),VALUE(LEFT(AK771,2)),VALUE(MID(AK771,4,2))),IF(ISNUMBER(SEARCH("-",AK771)),IF(LEN(LEFT(AK771,FIND("-",AK771)-1))=4,DATE(VALUE(LEFT(AK771,4)),VALUE(MID(AK771,6,2)),VALUE(RIGHT(AK771,2))),DATE(VALUE(RIGHT(AK771,4)),VALUE(MID(AK771,4,2)),VALUE(LEFT(AK771,2)))),DATE(VALUE(RIGHT(AK771,4)),MATCH(MID(AK771,4,3),{"Jan","Feb","Mar","Apr","May","Jun","Jul","Aug","Sep","Oct","Nov","Dec"},0),VALUE(LEFT(AK771,2))))))</f>
        <v>45425</v>
      </c>
      <c r="D771" s="4" t="s">
        <v>2854</v>
      </c>
      <c r="E771" s="0" t="str">
        <f aca="false">PROPER(TRIM(AL771))</f>
        <v>Priya Menon</v>
      </c>
      <c r="F771" s="0" t="str">
        <f aca="false">PROPER(TRIM(AM771))</f>
        <v>Home Office</v>
      </c>
      <c r="G771" s="0" t="str">
        <f aca="false">IF(TRIM(AN771)="","Unknown",PROPER(TRIM(AN771)))</f>
        <v>West</v>
      </c>
      <c r="H771" s="0" t="str">
        <f aca="false">PROPER(TRIM(AO771))</f>
        <v>Goa</v>
      </c>
      <c r="I771" s="0" t="str">
        <f aca="false">PROPER(TRIM(AP771))</f>
        <v>Panaji</v>
      </c>
      <c r="J771" s="0" t="str">
        <f aca="false">PROPER(TRIM(AQ771))</f>
        <v>Furniture</v>
      </c>
      <c r="K771" s="0" t="str">
        <f aca="false">PROPER(TRIM(AR771))</f>
        <v>Bookcases</v>
      </c>
      <c r="M771" s="0" t="str">
        <f aca="false">IF(TRIM(AS771)="","Unknown",PROPER(TRIM(AS771)))</f>
        <v>Same Day</v>
      </c>
      <c r="N771" s="0" t="n">
        <v>3</v>
      </c>
      <c r="O771" s="0" t="n">
        <v>3612.75</v>
      </c>
      <c r="P771" s="5" t="n">
        <f aca="false">IF(AT771="","",IF(ISNUMBER(AT771),AT771,VALUE(SUBSTITUTE(AT771,"%",""))/100))</f>
        <v>0.25</v>
      </c>
      <c r="Q771" s="5" t="n">
        <f aca="false">IF(P771="",IF(AND(N771&lt;&gt;"",O771&lt;&gt;"",R771&lt;&gt;"",S771&lt;&gt;""),0,"REVIEW"),IF(OR(P771&lt;0,P771&gt;0.3),0,P771))</f>
        <v>0.25</v>
      </c>
      <c r="R771" s="0" t="n">
        <v>8128.69</v>
      </c>
      <c r="S771" s="0" t="n">
        <v>5071.66</v>
      </c>
      <c r="T771" s="6" t="n">
        <f aca="false">N771*O771*(1-Q771)</f>
        <v>8128.6875</v>
      </c>
      <c r="U771" s="6" t="n">
        <f aca="false">T771-S771</f>
        <v>3057.0275</v>
      </c>
      <c r="V771" s="7" t="n">
        <f aca="false">IF(T771=0,0,U771/T771)</f>
        <v>0.376078856518965</v>
      </c>
      <c r="W771" s="4" t="n">
        <f aca="false">C771-B771</f>
        <v>2</v>
      </c>
      <c r="X771" s="0" t="str">
        <f aca="false">TEXT(B771,"mmmm")</f>
        <v>May</v>
      </c>
      <c r="Y771" s="4" t="n">
        <f aca="false">YEAR(B771)</f>
        <v>2024</v>
      </c>
      <c r="Z771" s="0" t="str">
        <f aca="false">PROPER(TRIM(AU771))</f>
        <v>Paid</v>
      </c>
      <c r="AA771" s="0" t="str">
        <f aca="false">PROPER(TRIM(AV771))</f>
        <v>Completed</v>
      </c>
      <c r="AB771" s="0" t="str">
        <f aca="false">IF(TRIM(AN771)="","Yes","No")</f>
        <v>No</v>
      </c>
      <c r="AC771" s="0" t="str">
        <f aca="false">IF(TRIM(AS771)="","Yes","No")</f>
        <v>No</v>
      </c>
      <c r="AD771" s="0" t="str">
        <f aca="false">IF(AT771="","Yes","No")</f>
        <v>No</v>
      </c>
      <c r="AE771" s="0" t="str">
        <f aca="false">IF(W771&lt;0,"Yes","No")</f>
        <v>No</v>
      </c>
      <c r="AF771" s="0" t="str">
        <f aca="false">IF(P771="","No",IF(OR(P771&lt;0,P771&gt;0.3),"Yes","No"))</f>
        <v>No</v>
      </c>
      <c r="AG771" s="4" t="s">
        <v>50</v>
      </c>
      <c r="AH771" s="0" t="str">
        <f aca="false">IF(AND(AA771="Completed",Z771="Paid"),"Yes","No")</f>
        <v>Yes</v>
      </c>
      <c r="AI771" s="0" t="str">
        <f aca="false">IF(OR(AE771="Yes",AF771="Yes",AG771="Yes"),"Invalid",IF(OR(AB771="Yes",AC771="Yes",AD771="Yes"),"Warning","Clean"))</f>
        <v>Clean</v>
      </c>
      <c r="AJ771" s="4" t="s">
        <v>2855</v>
      </c>
      <c r="AK771" s="4" t="s">
        <v>1661</v>
      </c>
      <c r="AL771" s="4" t="s">
        <v>158</v>
      </c>
      <c r="AM771" s="4" t="s">
        <v>134</v>
      </c>
      <c r="AN771" s="4" t="s">
        <v>97</v>
      </c>
      <c r="AO771" s="4" t="s">
        <v>250</v>
      </c>
      <c r="AP771" s="4" t="s">
        <v>251</v>
      </c>
      <c r="AQ771" s="4" t="s">
        <v>72</v>
      </c>
      <c r="AR771" s="4" t="s">
        <v>211</v>
      </c>
      <c r="AS771" s="4" t="s">
        <v>74</v>
      </c>
      <c r="AT771" s="0" t="n">
        <v>0.25</v>
      </c>
      <c r="AU771" s="4" t="s">
        <v>61</v>
      </c>
      <c r="AV771" s="4" t="s">
        <v>62</v>
      </c>
    </row>
    <row r="772" customFormat="false" ht="15" hidden="false" customHeight="false" outlineLevel="0" collapsed="false">
      <c r="A772" s="0" t="s">
        <v>2856</v>
      </c>
      <c r="B772" s="3" t="n">
        <f aca="false">IF(AJ772="","",IF(ISNUMBER(SEARCH("/",AJ772)),DATE(VALUE(RIGHT(AJ772,4)),VALUE(LEFT(AJ772,2)),VALUE(MID(AJ772,4,2))),IF(ISNUMBER(SEARCH("-",AJ772)),IF(LEN(LEFT(AJ772,FIND("-",AJ772)-1))=4,DATE(VALUE(LEFT(AJ772,4)),VALUE(MID(AJ772,6,2)),VALUE(RIGHT(AJ772,2))),DATE(VALUE(RIGHT(AJ772,4)),VALUE(MID(AJ772,4,2)),VALUE(LEFT(AJ772,2)))),DATE(VALUE(RIGHT(AJ772,4)),MATCH(MID(AJ772,4,3),{"Jan","Feb","Mar","Apr","May","Jun","Jul","Aug","Sep","Oct","Nov","Dec"},0),VALUE(LEFT(AJ772,2))))))</f>
        <v>45337</v>
      </c>
      <c r="C772" s="3" t="n">
        <f aca="false">IF(AK772="","",IF(ISNUMBER(SEARCH("/",AK772)),DATE(VALUE(RIGHT(AK772,4)),VALUE(LEFT(AK772,2)),VALUE(MID(AK772,4,2))),IF(ISNUMBER(SEARCH("-",AK772)),IF(LEN(LEFT(AK772,FIND("-",AK772)-1))=4,DATE(VALUE(LEFT(AK772,4)),VALUE(MID(AK772,6,2)),VALUE(RIGHT(AK772,2))),DATE(VALUE(RIGHT(AK772,4)),VALUE(MID(AK772,4,2)),VALUE(LEFT(AK772,2)))),DATE(VALUE(RIGHT(AK772,4)),MATCH(MID(AK772,4,3),{"Jan","Feb","Mar","Apr","May","Jun","Jul","Aug","Sep","Oct","Nov","Dec"},0),VALUE(LEFT(AK772,2))))))</f>
        <v>45339</v>
      </c>
      <c r="D772" s="4" t="s">
        <v>2857</v>
      </c>
      <c r="E772" s="0" t="str">
        <f aca="false">PROPER(TRIM(AL772))</f>
        <v>Neha Gupta</v>
      </c>
      <c r="F772" s="0" t="str">
        <f aca="false">PROPER(TRIM(AM772))</f>
        <v>Consumer</v>
      </c>
      <c r="G772" s="0" t="str">
        <f aca="false">IF(TRIM(AN772)="","Unknown",PROPER(TRIM(AN772)))</f>
        <v>North</v>
      </c>
      <c r="H772" s="0" t="str">
        <f aca="false">PROPER(TRIM(AO772))</f>
        <v>Uttar Pradesh</v>
      </c>
      <c r="I772" s="0" t="str">
        <f aca="false">PROPER(TRIM(AP772))</f>
        <v>Noida</v>
      </c>
      <c r="J772" s="0" t="str">
        <f aca="false">PROPER(TRIM(AQ772))</f>
        <v>Technology</v>
      </c>
      <c r="K772" s="0" t="str">
        <f aca="false">PROPER(TRIM(AR772))</f>
        <v>Copiers</v>
      </c>
      <c r="M772" s="0" t="str">
        <f aca="false">IF(TRIM(AS772)="","Unknown",PROPER(TRIM(AS772)))</f>
        <v>First Class</v>
      </c>
      <c r="N772" s="0" t="n">
        <v>4</v>
      </c>
      <c r="O772" s="0" t="n">
        <v>863</v>
      </c>
      <c r="P772" s="5" t="str">
        <f aca="false">IF(AT772="","",IF(ISNUMBER(AT772),AT772,VALUE(SUBSTITUTE(AT772,"%",""))/100))</f>
        <v/>
      </c>
      <c r="Q772" s="5" t="n">
        <f aca="false">IF(P772="",IF(AND(N772&lt;&gt;"",O772&lt;&gt;"",R772&lt;&gt;"",S772&lt;&gt;""),0,"REVIEW"),IF(OR(P772&lt;0,P772&gt;0.3),0,P772))</f>
        <v>0</v>
      </c>
      <c r="R772" s="0" t="n">
        <v>3106.8</v>
      </c>
      <c r="S772" s="0" t="n">
        <v>2376.62</v>
      </c>
      <c r="T772" s="6" t="n">
        <f aca="false">N772*O772*(1-Q772)</f>
        <v>3452</v>
      </c>
      <c r="U772" s="6" t="n">
        <f aca="false">T772-S772</f>
        <v>1075.38</v>
      </c>
      <c r="V772" s="7" t="n">
        <f aca="false">IF(T772=0,0,U772/T772)</f>
        <v>0.311523754345307</v>
      </c>
      <c r="W772" s="4" t="n">
        <f aca="false">C772-B772</f>
        <v>2</v>
      </c>
      <c r="X772" s="0" t="str">
        <f aca="false">TEXT(B772,"mmmm")</f>
        <v>February</v>
      </c>
      <c r="Y772" s="4" t="n">
        <f aca="false">YEAR(B772)</f>
        <v>2024</v>
      </c>
      <c r="Z772" s="0" t="str">
        <f aca="false">PROPER(TRIM(AU772))</f>
        <v>Paid</v>
      </c>
      <c r="AA772" s="0" t="str">
        <f aca="false">PROPER(TRIM(AV772))</f>
        <v>Completed</v>
      </c>
      <c r="AB772" s="0" t="str">
        <f aca="false">IF(TRIM(AN772)="","Yes","No")</f>
        <v>No</v>
      </c>
      <c r="AC772" s="0" t="str">
        <f aca="false">IF(TRIM(AS772)="","Yes","No")</f>
        <v>No</v>
      </c>
      <c r="AD772" s="0" t="str">
        <f aca="false">IF(AT772="","Yes","No")</f>
        <v>Yes</v>
      </c>
      <c r="AE772" s="0" t="str">
        <f aca="false">IF(W772&lt;0,"Yes","No")</f>
        <v>No</v>
      </c>
      <c r="AF772" s="0" t="str">
        <f aca="false">IF(P772="","No",IF(OR(P772&lt;0,P772&gt;0.3),"Yes","No"))</f>
        <v>No</v>
      </c>
      <c r="AG772" s="4" t="s">
        <v>50</v>
      </c>
      <c r="AH772" s="0" t="str">
        <f aca="false">IF(AND(AA772="Completed",Z772="Paid"),"Yes","No")</f>
        <v>Yes</v>
      </c>
      <c r="AI772" s="0" t="str">
        <f aca="false">IF(OR(AE772="Yes",AF772="Yes",AG772="Yes"),"Invalid",IF(OR(AB772="Yes",AC772="Yes",AD772="Yes"),"Warning","Clean"))</f>
        <v>Warning</v>
      </c>
      <c r="AJ772" s="4" t="s">
        <v>1888</v>
      </c>
      <c r="AK772" s="4" t="s">
        <v>2243</v>
      </c>
      <c r="AL772" s="4" t="s">
        <v>115</v>
      </c>
      <c r="AM772" s="4" t="s">
        <v>54</v>
      </c>
      <c r="AN772" s="4" t="s">
        <v>168</v>
      </c>
      <c r="AO772" s="4" t="s">
        <v>186</v>
      </c>
      <c r="AP772" s="4" t="s">
        <v>187</v>
      </c>
      <c r="AQ772" s="4" t="s">
        <v>109</v>
      </c>
      <c r="AR772" s="4" t="s">
        <v>116</v>
      </c>
      <c r="AS772" s="4" t="s">
        <v>81</v>
      </c>
      <c r="AU772" s="4" t="s">
        <v>61</v>
      </c>
      <c r="AV772" s="4" t="s">
        <v>62</v>
      </c>
    </row>
    <row r="773" customFormat="false" ht="15" hidden="false" customHeight="false" outlineLevel="0" collapsed="false">
      <c r="A773" s="0" t="s">
        <v>2858</v>
      </c>
      <c r="B773" s="3" t="n">
        <f aca="false">IF(AJ773="","",IF(ISNUMBER(SEARCH("/",AJ773)),DATE(VALUE(RIGHT(AJ773,4)),VALUE(LEFT(AJ773,2)),VALUE(MID(AJ773,4,2))),IF(ISNUMBER(SEARCH("-",AJ773)),IF(LEN(LEFT(AJ773,FIND("-",AJ773)-1))=4,DATE(VALUE(LEFT(AJ773,4)),VALUE(MID(AJ773,6,2)),VALUE(RIGHT(AJ773,2))),DATE(VALUE(RIGHT(AJ773,4)),VALUE(MID(AJ773,4,2)),VALUE(LEFT(AJ773,2)))),DATE(VALUE(RIGHT(AJ773,4)),MATCH(MID(AJ773,4,3),{"Jan","Feb","Mar","Apr","May","Jun","Jul","Aug","Sep","Oct","Nov","Dec"},0),VALUE(LEFT(AJ773,2))))))</f>
        <v>45485</v>
      </c>
      <c r="C773" s="3" t="n">
        <f aca="false">IF(AK773="","",IF(ISNUMBER(SEARCH("/",AK773)),DATE(VALUE(RIGHT(AK773,4)),VALUE(LEFT(AK773,2)),VALUE(MID(AK773,4,2))),IF(ISNUMBER(SEARCH("-",AK773)),IF(LEN(LEFT(AK773,FIND("-",AK773)-1))=4,DATE(VALUE(LEFT(AK773,4)),VALUE(MID(AK773,6,2)),VALUE(RIGHT(AK773,2))),DATE(VALUE(RIGHT(AK773,4)),VALUE(MID(AK773,4,2)),VALUE(LEFT(AK773,2)))),DATE(VALUE(RIGHT(AK773,4)),MATCH(MID(AK773,4,3),{"Jan","Feb","Mar","Apr","May","Jun","Jul","Aug","Sep","Oct","Nov","Dec"},0),VALUE(LEFT(AK773,2))))))</f>
        <v>45487</v>
      </c>
      <c r="D773" s="4" t="s">
        <v>609</v>
      </c>
      <c r="E773" s="0" t="str">
        <f aca="false">PROPER(TRIM(AL773))</f>
        <v>Ananya Rao</v>
      </c>
      <c r="F773" s="0" t="str">
        <f aca="false">PROPER(TRIM(AM773))</f>
        <v>Consumer</v>
      </c>
      <c r="G773" s="0" t="str">
        <f aca="false">IF(TRIM(AN773)="","Unknown",PROPER(TRIM(AN773)))</f>
        <v>North</v>
      </c>
      <c r="H773" s="0" t="str">
        <f aca="false">PROPER(TRIM(AO773))</f>
        <v>Haryana</v>
      </c>
      <c r="I773" s="0" t="str">
        <f aca="false">PROPER(TRIM(AP773))</f>
        <v>Gurugram</v>
      </c>
      <c r="J773" s="0" t="str">
        <f aca="false">PROPER(TRIM(AQ773))</f>
        <v>Technology</v>
      </c>
      <c r="K773" s="0" t="str">
        <f aca="false">PROPER(TRIM(AR773))</f>
        <v>Machines</v>
      </c>
      <c r="M773" s="0" t="str">
        <f aca="false">IF(TRIM(AS773)="","Unknown",PROPER(TRIM(AS773)))</f>
        <v>Second Class</v>
      </c>
      <c r="N773" s="0" t="n">
        <v>4</v>
      </c>
      <c r="O773" s="0" t="n">
        <v>2131.41</v>
      </c>
      <c r="P773" s="5" t="str">
        <f aca="false">IF(AT773="","",IF(ISNUMBER(AT773),AT773,VALUE(SUBSTITUTE(AT773,"%",""))/100))</f>
        <v/>
      </c>
      <c r="Q773" s="5" t="n">
        <f aca="false">IF(P773="",IF(AND(N773&lt;&gt;"",O773&lt;&gt;"",R773&lt;&gt;"",S773&lt;&gt;""),0,"REVIEW"),IF(OR(P773&lt;0,P773&gt;0.3),0,P773))</f>
        <v>0</v>
      </c>
      <c r="R773" s="0" t="n">
        <v>6394.23</v>
      </c>
      <c r="S773" s="0" t="n">
        <v>3520.69</v>
      </c>
      <c r="T773" s="6" t="n">
        <f aca="false">N773*O773*(1-Q773)</f>
        <v>8525.64</v>
      </c>
      <c r="U773" s="6" t="n">
        <f aca="false">T773-S773</f>
        <v>5004.95</v>
      </c>
      <c r="V773" s="7" t="n">
        <f aca="false">IF(T773=0,0,U773/T773)</f>
        <v>0.587046837539469</v>
      </c>
      <c r="W773" s="4" t="n">
        <f aca="false">C773-B773</f>
        <v>2</v>
      </c>
      <c r="X773" s="0" t="str">
        <f aca="false">TEXT(B773,"mmmm")</f>
        <v>July</v>
      </c>
      <c r="Y773" s="4" t="n">
        <f aca="false">YEAR(B773)</f>
        <v>2024</v>
      </c>
      <c r="Z773" s="0" t="str">
        <f aca="false">PROPER(TRIM(AU773))</f>
        <v>Paid</v>
      </c>
      <c r="AA773" s="0" t="str">
        <f aca="false">PROPER(TRIM(AV773))</f>
        <v>Completed</v>
      </c>
      <c r="AB773" s="0" t="str">
        <f aca="false">IF(TRIM(AN773)="","Yes","No")</f>
        <v>No</v>
      </c>
      <c r="AC773" s="0" t="str">
        <f aca="false">IF(TRIM(AS773)="","Yes","No")</f>
        <v>No</v>
      </c>
      <c r="AD773" s="0" t="str">
        <f aca="false">IF(AT773="","Yes","No")</f>
        <v>Yes</v>
      </c>
      <c r="AE773" s="0" t="str">
        <f aca="false">IF(W773&lt;0,"Yes","No")</f>
        <v>No</v>
      </c>
      <c r="AF773" s="0" t="str">
        <f aca="false">IF(P773="","No",IF(OR(P773&lt;0,P773&gt;0.3),"Yes","No"))</f>
        <v>No</v>
      </c>
      <c r="AG773" s="4" t="s">
        <v>50</v>
      </c>
      <c r="AH773" s="0" t="str">
        <f aca="false">IF(AND(AA773="Completed",Z773="Paid"),"Yes","No")</f>
        <v>Yes</v>
      </c>
      <c r="AI773" s="0" t="str">
        <f aca="false">IF(OR(AE773="Yes",AF773="Yes",AG773="Yes"),"Invalid",IF(OR(AB773="Yes",AC773="Yes",AD773="Yes"),"Warning","Clean"))</f>
        <v>Warning</v>
      </c>
      <c r="AJ773" s="4" t="s">
        <v>2859</v>
      </c>
      <c r="AK773" s="4" t="s">
        <v>2135</v>
      </c>
      <c r="AL773" s="4" t="s">
        <v>96</v>
      </c>
      <c r="AM773" s="4" t="s">
        <v>54</v>
      </c>
      <c r="AN773" s="4" t="s">
        <v>168</v>
      </c>
      <c r="AO773" s="4" t="s">
        <v>310</v>
      </c>
      <c r="AP773" s="4" t="s">
        <v>311</v>
      </c>
      <c r="AQ773" s="4" t="s">
        <v>109</v>
      </c>
      <c r="AR773" s="4" t="s">
        <v>360</v>
      </c>
      <c r="AS773" s="4" t="s">
        <v>60</v>
      </c>
      <c r="AU773" s="4" t="s">
        <v>61</v>
      </c>
      <c r="AV773" s="4" t="s">
        <v>62</v>
      </c>
    </row>
    <row r="774" customFormat="false" ht="15" hidden="false" customHeight="false" outlineLevel="0" collapsed="false">
      <c r="A774" s="0" t="s">
        <v>2860</v>
      </c>
      <c r="B774" s="3" t="n">
        <f aca="false">IF(AJ774="","",IF(ISNUMBER(SEARCH("/",AJ774)),DATE(VALUE(RIGHT(AJ774,4)),VALUE(LEFT(AJ774,2)),VALUE(MID(AJ774,4,2))),IF(ISNUMBER(SEARCH("-",AJ774)),IF(LEN(LEFT(AJ774,FIND("-",AJ774)-1))=4,DATE(VALUE(LEFT(AJ774,4)),VALUE(MID(AJ774,6,2)),VALUE(RIGHT(AJ774,2))),DATE(VALUE(RIGHT(AJ774,4)),VALUE(MID(AJ774,4,2)),VALUE(LEFT(AJ774,2)))),DATE(VALUE(RIGHT(AJ774,4)),MATCH(MID(AJ774,4,3),{"Jan","Feb","Mar","Apr","May","Jun","Jul","Aug","Sep","Oct","Nov","Dec"},0),VALUE(LEFT(AJ774,2))))))</f>
        <v>45853</v>
      </c>
      <c r="C774" s="3" t="n">
        <f aca="false">IF(AK774="","",IF(ISNUMBER(SEARCH("/",AK774)),DATE(VALUE(RIGHT(AK774,4)),VALUE(LEFT(AK774,2)),VALUE(MID(AK774,4,2))),IF(ISNUMBER(SEARCH("-",AK774)),IF(LEN(LEFT(AK774,FIND("-",AK774)-1))=4,DATE(VALUE(LEFT(AK774,4)),VALUE(MID(AK774,6,2)),VALUE(RIGHT(AK774,2))),DATE(VALUE(RIGHT(AK774,4)),VALUE(MID(AK774,4,2)),VALUE(LEFT(AK774,2)))),DATE(VALUE(RIGHT(AK774,4)),MATCH(MID(AK774,4,3),{"Jan","Feb","Mar","Apr","May","Jun","Jul","Aug","Sep","Oct","Nov","Dec"},0),VALUE(LEFT(AK774,2))))))</f>
        <v>45857</v>
      </c>
      <c r="D774" s="4" t="s">
        <v>2861</v>
      </c>
      <c r="E774" s="0" t="str">
        <f aca="false">PROPER(TRIM(AL774))</f>
        <v>Diya Patel</v>
      </c>
      <c r="F774" s="0" t="str">
        <f aca="false">PROPER(TRIM(AM774))</f>
        <v>Consumer</v>
      </c>
      <c r="G774" s="0" t="str">
        <f aca="false">IF(TRIM(AN774)="","Unknown",PROPER(TRIM(AN774)))</f>
        <v>South</v>
      </c>
      <c r="H774" s="0" t="str">
        <f aca="false">PROPER(TRIM(AO774))</f>
        <v>Tamil Nadu</v>
      </c>
      <c r="I774" s="0" t="str">
        <f aca="false">PROPER(TRIM(AP774))</f>
        <v>Chennai</v>
      </c>
      <c r="J774" s="0" t="str">
        <f aca="false">PROPER(TRIM(AQ774))</f>
        <v>Furniture</v>
      </c>
      <c r="K774" s="0" t="str">
        <f aca="false">PROPER(TRIM(AR774))</f>
        <v>Chairs</v>
      </c>
      <c r="M774" s="0" t="str">
        <f aca="false">IF(TRIM(AS774)="","Unknown",PROPER(TRIM(AS774)))</f>
        <v>Same Day</v>
      </c>
      <c r="N774" s="0" t="n">
        <v>1</v>
      </c>
      <c r="O774" s="0" t="n">
        <v>3903.22</v>
      </c>
      <c r="P774" s="5" t="n">
        <f aca="false">IF(AT774="","",IF(ISNUMBER(AT774),AT774,VALUE(SUBSTITUTE(AT774,"%",""))/100))</f>
        <v>0.05</v>
      </c>
      <c r="Q774" s="5" t="n">
        <f aca="false">IF(P774="",IF(AND(N774&lt;&gt;"",O774&lt;&gt;"",R774&lt;&gt;"",S774&lt;&gt;""),0,"REVIEW"),IF(OR(P774&lt;0,P774&gt;0.3),0,P774))</f>
        <v>0.05</v>
      </c>
      <c r="R774" s="0" t="n">
        <v>3708.06</v>
      </c>
      <c r="S774" s="0" t="n">
        <v>2760.29</v>
      </c>
      <c r="T774" s="6" t="n">
        <f aca="false">N774*O774*(1-Q774)</f>
        <v>3708.059</v>
      </c>
      <c r="U774" s="6" t="n">
        <f aca="false">T774-S774</f>
        <v>947.769</v>
      </c>
      <c r="V774" s="7" t="n">
        <f aca="false">IF(T774=0,0,U774/T774)</f>
        <v>0.255597065742481</v>
      </c>
      <c r="W774" s="4" t="n">
        <f aca="false">C774-B774</f>
        <v>4</v>
      </c>
      <c r="X774" s="0" t="str">
        <f aca="false">TEXT(B774,"mmmm")</f>
        <v>July</v>
      </c>
      <c r="Y774" s="4" t="n">
        <f aca="false">YEAR(B774)</f>
        <v>2025</v>
      </c>
      <c r="Z774" s="0" t="str">
        <f aca="false">PROPER(TRIM(AU774))</f>
        <v>Pending</v>
      </c>
      <c r="AA774" s="0" t="str">
        <f aca="false">PROPER(TRIM(AV774))</f>
        <v>Cancelled</v>
      </c>
      <c r="AB774" s="0" t="str">
        <f aca="false">IF(TRIM(AN774)="","Yes","No")</f>
        <v>No</v>
      </c>
      <c r="AC774" s="0" t="str">
        <f aca="false">IF(TRIM(AS774)="","Yes","No")</f>
        <v>No</v>
      </c>
      <c r="AD774" s="0" t="str">
        <f aca="false">IF(AT774="","Yes","No")</f>
        <v>No</v>
      </c>
      <c r="AE774" s="0" t="str">
        <f aca="false">IF(W774&lt;0,"Yes","No")</f>
        <v>No</v>
      </c>
      <c r="AF774" s="0" t="str">
        <f aca="false">IF(P774="","No",IF(OR(P774&lt;0,P774&gt;0.3),"Yes","No"))</f>
        <v>No</v>
      </c>
      <c r="AG774" s="4" t="s">
        <v>50</v>
      </c>
      <c r="AH774" s="0" t="str">
        <f aca="false">IF(AND(AA774="Completed",Z774="Paid"),"Yes","No")</f>
        <v>No</v>
      </c>
      <c r="AI774" s="0" t="str">
        <f aca="false">IF(OR(AE774="Yes",AF774="Yes",AG774="Yes"),"Invalid",IF(OR(AB774="Yes",AC774="Yes",AD774="Yes"),"Warning","Clean"))</f>
        <v>Clean</v>
      </c>
      <c r="AJ774" s="4" t="s">
        <v>184</v>
      </c>
      <c r="AK774" s="4" t="s">
        <v>1312</v>
      </c>
      <c r="AL774" s="4" t="s">
        <v>216</v>
      </c>
      <c r="AM774" s="4" t="s">
        <v>54</v>
      </c>
      <c r="AN774" s="4" t="s">
        <v>87</v>
      </c>
      <c r="AO774" s="4" t="s">
        <v>323</v>
      </c>
      <c r="AP774" s="4" t="s">
        <v>324</v>
      </c>
      <c r="AQ774" s="4" t="s">
        <v>72</v>
      </c>
      <c r="AR774" s="4" t="s">
        <v>100</v>
      </c>
      <c r="AS774" s="4" t="s">
        <v>74</v>
      </c>
      <c r="AT774" s="0" t="n">
        <v>0.05</v>
      </c>
      <c r="AU774" s="4" t="s">
        <v>153</v>
      </c>
      <c r="AV774" s="4" t="s">
        <v>101</v>
      </c>
    </row>
    <row r="775" customFormat="false" ht="15" hidden="false" customHeight="false" outlineLevel="0" collapsed="false">
      <c r="A775" s="0" t="s">
        <v>2862</v>
      </c>
      <c r="B775" s="3" t="n">
        <f aca="false">IF(AJ775="","",IF(ISNUMBER(SEARCH("/",AJ775)),DATE(VALUE(RIGHT(AJ775,4)),VALUE(LEFT(AJ775,2)),VALUE(MID(AJ775,4,2))),IF(ISNUMBER(SEARCH("-",AJ775)),IF(LEN(LEFT(AJ775,FIND("-",AJ775)-1))=4,DATE(VALUE(LEFT(AJ775,4)),VALUE(MID(AJ775,6,2)),VALUE(RIGHT(AJ775,2))),DATE(VALUE(RIGHT(AJ775,4)),VALUE(MID(AJ775,4,2)),VALUE(LEFT(AJ775,2)))),DATE(VALUE(RIGHT(AJ775,4)),MATCH(MID(AJ775,4,3),{"Jan","Feb","Mar","Apr","May","Jun","Jul","Aug","Sep","Oct","Nov","Dec"},0),VALUE(LEFT(AJ775,2))))))</f>
        <v>45709</v>
      </c>
      <c r="C775" s="3" t="n">
        <f aca="false">IF(AK775="","",IF(ISNUMBER(SEARCH("/",AK775)),DATE(VALUE(RIGHT(AK775,4)),VALUE(LEFT(AK775,2)),VALUE(MID(AK775,4,2))),IF(ISNUMBER(SEARCH("-",AK775)),IF(LEN(LEFT(AK775,FIND("-",AK775)-1))=4,DATE(VALUE(LEFT(AK775,4)),VALUE(MID(AK775,6,2)),VALUE(RIGHT(AK775,2))),DATE(VALUE(RIGHT(AK775,4)),VALUE(MID(AK775,4,2)),VALUE(LEFT(AK775,2)))),DATE(VALUE(RIGHT(AK775,4)),MATCH(MID(AK775,4,3),{"Jan","Feb","Mar","Apr","May","Jun","Jul","Aug","Sep","Oct","Nov","Dec"},0),VALUE(LEFT(AK775,2))))))</f>
        <v>45709</v>
      </c>
      <c r="D775" s="4" t="s">
        <v>2863</v>
      </c>
      <c r="E775" s="0" t="str">
        <f aca="false">PROPER(TRIM(AL775))</f>
        <v>Karan Malhotra</v>
      </c>
      <c r="F775" s="0" t="str">
        <f aca="false">PROPER(TRIM(AM775))</f>
        <v>Home Office</v>
      </c>
      <c r="G775" s="0" t="str">
        <f aca="false">IF(TRIM(AN775)="","Unknown",PROPER(TRIM(AN775)))</f>
        <v>West</v>
      </c>
      <c r="H775" s="0" t="str">
        <f aca="false">PROPER(TRIM(AO775))</f>
        <v>Gujarat</v>
      </c>
      <c r="I775" s="0" t="str">
        <f aca="false">PROPER(TRIM(AP775))</f>
        <v>Ahmedabad</v>
      </c>
      <c r="J775" s="0" t="str">
        <f aca="false">PROPER(TRIM(AQ775))</f>
        <v>Technology</v>
      </c>
      <c r="K775" s="0" t="str">
        <f aca="false">PROPER(TRIM(AR775))</f>
        <v>Phones</v>
      </c>
      <c r="M775" s="0" t="str">
        <f aca="false">IF(TRIM(AS775)="","Unknown",PROPER(TRIM(AS775)))</f>
        <v>Unknown</v>
      </c>
      <c r="N775" s="0" t="n">
        <v>4</v>
      </c>
      <c r="O775" s="0" t="n">
        <v>2945.07</v>
      </c>
      <c r="P775" s="5" t="n">
        <f aca="false">IF(AT775="","",IF(ISNUMBER(AT775),AT775,VALUE(SUBSTITUTE(AT775,"%",""))/100))</f>
        <v>0.2</v>
      </c>
      <c r="Q775" s="5" t="n">
        <f aca="false">IF(P775="",IF(AND(N775&lt;&gt;"",O775&lt;&gt;"",R775&lt;&gt;"",S775&lt;&gt;""),0,"REVIEW"),IF(OR(P775&lt;0,P775&gt;0.3),0,P775))</f>
        <v>0.2</v>
      </c>
      <c r="R775" s="0" t="n">
        <v>9424.22</v>
      </c>
      <c r="S775" s="0" t="n">
        <v>6178.92</v>
      </c>
      <c r="T775" s="6" t="n">
        <f aca="false">N775*O775*(1-Q775)</f>
        <v>9424.224</v>
      </c>
      <c r="U775" s="6" t="n">
        <f aca="false">T775-S775</f>
        <v>3245.304</v>
      </c>
      <c r="V775" s="7" t="n">
        <f aca="false">IF(T775=0,0,U775/T775)</f>
        <v>0.344357689290917</v>
      </c>
      <c r="W775" s="4" t="n">
        <f aca="false">C775-B775</f>
        <v>0</v>
      </c>
      <c r="X775" s="0" t="str">
        <f aca="false">TEXT(B775,"mmmm")</f>
        <v>February</v>
      </c>
      <c r="Y775" s="4" t="n">
        <f aca="false">YEAR(B775)</f>
        <v>2025</v>
      </c>
      <c r="Z775" s="0" t="str">
        <f aca="false">PROPER(TRIM(AU775))</f>
        <v>Paid</v>
      </c>
      <c r="AA775" s="0" t="str">
        <f aca="false">PROPER(TRIM(AV775))</f>
        <v>Completed</v>
      </c>
      <c r="AB775" s="0" t="str">
        <f aca="false">IF(TRIM(AN775)="","Yes","No")</f>
        <v>No</v>
      </c>
      <c r="AC775" s="0" t="str">
        <f aca="false">IF(TRIM(AS775)="","Yes","No")</f>
        <v>Yes</v>
      </c>
      <c r="AD775" s="0" t="str">
        <f aca="false">IF(AT775="","Yes","No")</f>
        <v>No</v>
      </c>
      <c r="AE775" s="0" t="str">
        <f aca="false">IF(W775&lt;0,"Yes","No")</f>
        <v>No</v>
      </c>
      <c r="AF775" s="0" t="str">
        <f aca="false">IF(P775="","No",IF(OR(P775&lt;0,P775&gt;0.3),"Yes","No"))</f>
        <v>No</v>
      </c>
      <c r="AG775" s="4" t="s">
        <v>50</v>
      </c>
      <c r="AH775" s="0" t="str">
        <f aca="false">IF(AND(AA775="Completed",Z775="Paid"),"Yes","No")</f>
        <v>Yes</v>
      </c>
      <c r="AI775" s="0" t="str">
        <f aca="false">IF(OR(AE775="Yes",AF775="Yes",AG775="Yes"),"Invalid",IF(OR(AB775="Yes",AC775="Yes",AD775="Yes"),"Warning","Clean"))</f>
        <v>Warning</v>
      </c>
      <c r="AJ775" s="4" t="s">
        <v>2864</v>
      </c>
      <c r="AK775" s="4" t="s">
        <v>2865</v>
      </c>
      <c r="AL775" s="4" t="s">
        <v>53</v>
      </c>
      <c r="AM775" s="4" t="s">
        <v>134</v>
      </c>
      <c r="AN775" s="4" t="s">
        <v>97</v>
      </c>
      <c r="AO775" s="4" t="s">
        <v>238</v>
      </c>
      <c r="AP775" s="4" t="s">
        <v>239</v>
      </c>
      <c r="AQ775" s="4" t="s">
        <v>109</v>
      </c>
      <c r="AR775" s="4" t="s">
        <v>227</v>
      </c>
      <c r="AT775" s="0" t="n">
        <v>0.2</v>
      </c>
      <c r="AU775" s="4" t="s">
        <v>61</v>
      </c>
      <c r="AV775" s="4" t="s">
        <v>62</v>
      </c>
    </row>
    <row r="776" customFormat="false" ht="15" hidden="false" customHeight="false" outlineLevel="0" collapsed="false">
      <c r="A776" s="0" t="s">
        <v>2866</v>
      </c>
      <c r="B776" s="3" t="n">
        <f aca="false">IF(AJ776="","",IF(ISNUMBER(SEARCH("/",AJ776)),DATE(VALUE(RIGHT(AJ776,4)),VALUE(LEFT(AJ776,2)),VALUE(MID(AJ776,4,2))),IF(ISNUMBER(SEARCH("-",AJ776)),IF(LEN(LEFT(AJ776,FIND("-",AJ776)-1))=4,DATE(VALUE(LEFT(AJ776,4)),VALUE(MID(AJ776,6,2)),VALUE(RIGHT(AJ776,2))),DATE(VALUE(RIGHT(AJ776,4)),VALUE(MID(AJ776,4,2)),VALUE(LEFT(AJ776,2)))),DATE(VALUE(RIGHT(AJ776,4)),MATCH(MID(AJ776,4,3),{"Jan","Feb","Mar","Apr","May","Jun","Jul","Aug","Sep","Oct","Nov","Dec"},0),VALUE(LEFT(AJ776,2))))))</f>
        <v>45876</v>
      </c>
      <c r="C776" s="3" t="n">
        <f aca="false">IF(AK776="","",IF(ISNUMBER(SEARCH("/",AK776)),DATE(VALUE(RIGHT(AK776,4)),VALUE(LEFT(AK776,2)),VALUE(MID(AK776,4,2))),IF(ISNUMBER(SEARCH("-",AK776)),IF(LEN(LEFT(AK776,FIND("-",AK776)-1))=4,DATE(VALUE(LEFT(AK776,4)),VALUE(MID(AK776,6,2)),VALUE(RIGHT(AK776,2))),DATE(VALUE(RIGHT(AK776,4)),VALUE(MID(AK776,4,2)),VALUE(LEFT(AK776,2)))),DATE(VALUE(RIGHT(AK776,4)),MATCH(MID(AK776,4,3),{"Jan","Feb","Mar","Apr","May","Jun","Jul","Aug","Sep","Oct","Nov","Dec"},0),VALUE(LEFT(AK776,2))))))</f>
        <v>45876</v>
      </c>
      <c r="D776" s="4" t="s">
        <v>2867</v>
      </c>
      <c r="E776" s="0" t="str">
        <f aca="false">PROPER(TRIM(AL776))</f>
        <v>Kabir Singh</v>
      </c>
      <c r="F776" s="0" t="str">
        <f aca="false">PROPER(TRIM(AM776))</f>
        <v>Consumer</v>
      </c>
      <c r="G776" s="0" t="str">
        <f aca="false">IF(TRIM(AN776)="","Unknown",PROPER(TRIM(AN776)))</f>
        <v>West</v>
      </c>
      <c r="H776" s="0" t="str">
        <f aca="false">PROPER(TRIM(AO776))</f>
        <v>Rajasthan</v>
      </c>
      <c r="I776" s="0" t="str">
        <f aca="false">PROPER(TRIM(AP776))</f>
        <v>Udaipur</v>
      </c>
      <c r="J776" s="0" t="str">
        <f aca="false">PROPER(TRIM(AQ776))</f>
        <v>Technology</v>
      </c>
      <c r="K776" s="0" t="str">
        <f aca="false">PROPER(TRIM(AR776))</f>
        <v>Machines</v>
      </c>
      <c r="M776" s="0" t="str">
        <f aca="false">IF(TRIM(AS776)="","Unknown",PROPER(TRIM(AS776)))</f>
        <v>Unknown</v>
      </c>
      <c r="N776" s="0" t="n">
        <v>9</v>
      </c>
      <c r="O776" s="0" t="n">
        <v>1076.75</v>
      </c>
      <c r="P776" s="5" t="n">
        <f aca="false">IF(AT776="","",IF(ISNUMBER(AT776),AT776,VALUE(SUBSTITUTE(AT776,"%",""))/100))</f>
        <v>0.2</v>
      </c>
      <c r="Q776" s="5" t="n">
        <f aca="false">IF(P776="",IF(AND(N776&lt;&gt;"",O776&lt;&gt;"",R776&lt;&gt;"",S776&lt;&gt;""),0,"REVIEW"),IF(OR(P776&lt;0,P776&gt;0.3),0,P776))</f>
        <v>0.2</v>
      </c>
      <c r="R776" s="0" t="n">
        <v>7752.6</v>
      </c>
      <c r="S776" s="0" t="n">
        <v>4689.3</v>
      </c>
      <c r="T776" s="6" t="n">
        <f aca="false">N776*O776*(1-Q776)</f>
        <v>7752.6</v>
      </c>
      <c r="U776" s="6" t="n">
        <f aca="false">T776-S776</f>
        <v>3063.3</v>
      </c>
      <c r="V776" s="7" t="n">
        <f aca="false">IF(T776=0,0,U776/T776)</f>
        <v>0.395131955730981</v>
      </c>
      <c r="W776" s="4" t="n">
        <f aca="false">C776-B776</f>
        <v>0</v>
      </c>
      <c r="X776" s="0" t="str">
        <f aca="false">TEXT(B776,"mmmm")</f>
        <v>August</v>
      </c>
      <c r="Y776" s="4" t="n">
        <f aca="false">YEAR(B776)</f>
        <v>2025</v>
      </c>
      <c r="Z776" s="0" t="str">
        <f aca="false">PROPER(TRIM(AU776))</f>
        <v>Paid</v>
      </c>
      <c r="AA776" s="0" t="str">
        <f aca="false">PROPER(TRIM(AV776))</f>
        <v>Completed</v>
      </c>
      <c r="AB776" s="0" t="str">
        <f aca="false">IF(TRIM(AN776)="","Yes","No")</f>
        <v>No</v>
      </c>
      <c r="AC776" s="0" t="str">
        <f aca="false">IF(TRIM(AS776)="","Yes","No")</f>
        <v>Yes</v>
      </c>
      <c r="AD776" s="0" t="str">
        <f aca="false">IF(AT776="","Yes","No")</f>
        <v>No</v>
      </c>
      <c r="AE776" s="0" t="str">
        <f aca="false">IF(W776&lt;0,"Yes","No")</f>
        <v>No</v>
      </c>
      <c r="AF776" s="0" t="str">
        <f aca="false">IF(P776="","No",IF(OR(P776&lt;0,P776&gt;0.3),"Yes","No"))</f>
        <v>No</v>
      </c>
      <c r="AG776" s="4" t="s">
        <v>50</v>
      </c>
      <c r="AH776" s="0" t="str">
        <f aca="false">IF(AND(AA776="Completed",Z776="Paid"),"Yes","No")</f>
        <v>Yes</v>
      </c>
      <c r="AI776" s="0" t="str">
        <f aca="false">IF(OR(AE776="Yes",AF776="Yes",AG776="Yes"),"Invalid",IF(OR(AB776="Yes",AC776="Yes",AD776="Yes"),"Warning","Clean"))</f>
        <v>Warning</v>
      </c>
      <c r="AJ776" s="4" t="s">
        <v>2868</v>
      </c>
      <c r="AK776" s="4" t="s">
        <v>1490</v>
      </c>
      <c r="AL776" s="4" t="s">
        <v>347</v>
      </c>
      <c r="AM776" s="4" t="s">
        <v>54</v>
      </c>
      <c r="AN776" s="4" t="s">
        <v>97</v>
      </c>
      <c r="AO776" s="4" t="s">
        <v>56</v>
      </c>
      <c r="AP776" s="4" t="s">
        <v>152</v>
      </c>
      <c r="AQ776" s="4" t="s">
        <v>109</v>
      </c>
      <c r="AR776" s="4" t="s">
        <v>360</v>
      </c>
      <c r="AT776" s="0" t="n">
        <v>0.2</v>
      </c>
      <c r="AU776" s="4" t="s">
        <v>61</v>
      </c>
      <c r="AV776" s="4" t="s">
        <v>62</v>
      </c>
    </row>
    <row r="777" customFormat="false" ht="15" hidden="false" customHeight="false" outlineLevel="0" collapsed="false">
      <c r="A777" s="0" t="s">
        <v>2869</v>
      </c>
      <c r="B777" s="3" t="n">
        <f aca="false">IF(AJ777="","",IF(ISNUMBER(SEARCH("/",AJ777)),DATE(VALUE(RIGHT(AJ777,4)),VALUE(LEFT(AJ777,2)),VALUE(MID(AJ777,4,2))),IF(ISNUMBER(SEARCH("-",AJ777)),IF(LEN(LEFT(AJ777,FIND("-",AJ777)-1))=4,DATE(VALUE(LEFT(AJ777,4)),VALUE(MID(AJ777,6,2)),VALUE(RIGHT(AJ777,2))),DATE(VALUE(RIGHT(AJ777,4)),VALUE(MID(AJ777,4,2)),VALUE(LEFT(AJ777,2)))),DATE(VALUE(RIGHT(AJ777,4)),MATCH(MID(AJ777,4,3),{"Jan","Feb","Mar","Apr","May","Jun","Jul","Aug","Sep","Oct","Nov","Dec"},0),VALUE(LEFT(AJ777,2))))))</f>
        <v>45396</v>
      </c>
      <c r="C777" s="3" t="n">
        <f aca="false">IF(AK777="","",IF(ISNUMBER(SEARCH("/",AK777)),DATE(VALUE(RIGHT(AK777,4)),VALUE(LEFT(AK777,2)),VALUE(MID(AK777,4,2))),IF(ISNUMBER(SEARCH("-",AK777)),IF(LEN(LEFT(AK777,FIND("-",AK777)-1))=4,DATE(VALUE(LEFT(AK777,4)),VALUE(MID(AK777,6,2)),VALUE(RIGHT(AK777,2))),DATE(VALUE(RIGHT(AK777,4)),VALUE(MID(AK777,4,2)),VALUE(LEFT(AK777,2)))),DATE(VALUE(RIGHT(AK777,4)),MATCH(MID(AK777,4,3),{"Jan","Feb","Mar","Apr","May","Jun","Jul","Aug","Sep","Oct","Nov","Dec"},0),VALUE(LEFT(AK777,2))))))</f>
        <v>45404</v>
      </c>
      <c r="D777" s="4" t="s">
        <v>2870</v>
      </c>
      <c r="E777" s="0" t="str">
        <f aca="false">PROPER(TRIM(AL777))</f>
        <v>Arjun Bose</v>
      </c>
      <c r="F777" s="0" t="str">
        <f aca="false">PROPER(TRIM(AM777))</f>
        <v>Consumer</v>
      </c>
      <c r="G777" s="0" t="str">
        <f aca="false">IF(TRIM(AN777)="","Unknown",PROPER(TRIM(AN777)))</f>
        <v>North</v>
      </c>
      <c r="H777" s="0" t="str">
        <f aca="false">PROPER(TRIM(AO777))</f>
        <v>Haryana</v>
      </c>
      <c r="I777" s="0" t="str">
        <f aca="false">PROPER(TRIM(AP777))</f>
        <v>Gurugram</v>
      </c>
      <c r="J777" s="0" t="str">
        <f aca="false">PROPER(TRIM(AQ777))</f>
        <v>Technology</v>
      </c>
      <c r="K777" s="0" t="str">
        <f aca="false">PROPER(TRIM(AR777))</f>
        <v>Accessories</v>
      </c>
      <c r="M777" s="0" t="str">
        <f aca="false">IF(TRIM(AS777)="","Unknown",PROPER(TRIM(AS777)))</f>
        <v>Standard Class</v>
      </c>
      <c r="N777" s="0" t="n">
        <v>8</v>
      </c>
      <c r="O777" s="0" t="n">
        <v>3956.12</v>
      </c>
      <c r="P777" s="5" t="n">
        <f aca="false">IF(AT777="","",IF(ISNUMBER(AT777),AT777,VALUE(SUBSTITUTE(AT777,"%",""))/100))</f>
        <v>0.25</v>
      </c>
      <c r="Q777" s="5" t="n">
        <f aca="false">IF(P777="",IF(AND(N777&lt;&gt;"",O777&lt;&gt;"",R777&lt;&gt;"",S777&lt;&gt;""),0,"REVIEW"),IF(OR(P777&lt;0,P777&gt;0.3),0,P777))</f>
        <v>0.25</v>
      </c>
      <c r="R777" s="0" t="n">
        <v>23736.72</v>
      </c>
      <c r="S777" s="0" t="n">
        <v>13890.9</v>
      </c>
      <c r="T777" s="6" t="n">
        <f aca="false">N777*O777*(1-Q777)</f>
        <v>23736.72</v>
      </c>
      <c r="U777" s="6" t="n">
        <f aca="false">T777-S777</f>
        <v>9845.82</v>
      </c>
      <c r="V777" s="7" t="n">
        <f aca="false">IF(T777=0,0,U777/T777)</f>
        <v>0.414792776761069</v>
      </c>
      <c r="W777" s="4" t="n">
        <f aca="false">C777-B777</f>
        <v>8</v>
      </c>
      <c r="X777" s="0" t="str">
        <f aca="false">TEXT(B777,"mmmm")</f>
        <v>April</v>
      </c>
      <c r="Y777" s="4" t="n">
        <f aca="false">YEAR(B777)</f>
        <v>2024</v>
      </c>
      <c r="Z777" s="0" t="str">
        <f aca="false">PROPER(TRIM(AU777))</f>
        <v>Paid</v>
      </c>
      <c r="AA777" s="0" t="str">
        <f aca="false">PROPER(TRIM(AV777))</f>
        <v>Completed</v>
      </c>
      <c r="AB777" s="0" t="str">
        <f aca="false">IF(TRIM(AN777)="","Yes","No")</f>
        <v>No</v>
      </c>
      <c r="AC777" s="0" t="str">
        <f aca="false">IF(TRIM(AS777)="","Yes","No")</f>
        <v>No</v>
      </c>
      <c r="AD777" s="0" t="str">
        <f aca="false">IF(AT777="","Yes","No")</f>
        <v>No</v>
      </c>
      <c r="AE777" s="0" t="str">
        <f aca="false">IF(W777&lt;0,"Yes","No")</f>
        <v>No</v>
      </c>
      <c r="AF777" s="0" t="str">
        <f aca="false">IF(P777="","No",IF(OR(P777&lt;0,P777&gt;0.3),"Yes","No"))</f>
        <v>No</v>
      </c>
      <c r="AG777" s="4" t="s">
        <v>50</v>
      </c>
      <c r="AH777" s="0" t="str">
        <f aca="false">IF(AND(AA777="Completed",Z777="Paid"),"Yes","No")</f>
        <v>Yes</v>
      </c>
      <c r="AI777" s="0" t="str">
        <f aca="false">IF(OR(AE777="Yes",AF777="Yes",AG777="Yes"),"Invalid",IF(OR(AB777="Yes",AC777="Yes",AD777="Yes"),"Warning","Clean"))</f>
        <v>Clean</v>
      </c>
      <c r="AJ777" s="4" t="s">
        <v>2871</v>
      </c>
      <c r="AK777" s="4" t="s">
        <v>2872</v>
      </c>
      <c r="AL777" s="4" t="s">
        <v>86</v>
      </c>
      <c r="AM777" s="4" t="s">
        <v>54</v>
      </c>
      <c r="AN777" s="4" t="s">
        <v>168</v>
      </c>
      <c r="AO777" s="4" t="s">
        <v>310</v>
      </c>
      <c r="AP777" s="4" t="s">
        <v>311</v>
      </c>
      <c r="AQ777" s="4" t="s">
        <v>109</v>
      </c>
      <c r="AR777" s="4" t="s">
        <v>110</v>
      </c>
      <c r="AS777" s="4" t="s">
        <v>91</v>
      </c>
      <c r="AT777" s="0" t="n">
        <v>0.25</v>
      </c>
      <c r="AU777" s="4" t="s">
        <v>61</v>
      </c>
      <c r="AV777" s="4" t="s">
        <v>62</v>
      </c>
    </row>
    <row r="778" customFormat="false" ht="15" hidden="false" customHeight="false" outlineLevel="0" collapsed="false">
      <c r="A778" s="0" t="s">
        <v>2873</v>
      </c>
      <c r="B778" s="3" t="n">
        <f aca="false">IF(AJ778="","",IF(ISNUMBER(SEARCH("/",AJ778)),DATE(VALUE(RIGHT(AJ778,4)),VALUE(LEFT(AJ778,2)),VALUE(MID(AJ778,4,2))),IF(ISNUMBER(SEARCH("-",AJ778)),IF(LEN(LEFT(AJ778,FIND("-",AJ778)-1))=4,DATE(VALUE(LEFT(AJ778,4)),VALUE(MID(AJ778,6,2)),VALUE(RIGHT(AJ778,2))),DATE(VALUE(RIGHT(AJ778,4)),VALUE(MID(AJ778,4,2)),VALUE(LEFT(AJ778,2)))),DATE(VALUE(RIGHT(AJ778,4)),MATCH(MID(AJ778,4,3),{"Jan","Feb","Mar","Apr","May","Jun","Jul","Aug","Sep","Oct","Nov","Dec"},0),VALUE(LEFT(AJ778,2))))))</f>
        <v>45816</v>
      </c>
      <c r="C778" s="3" t="n">
        <f aca="false">IF(AK778="","",IF(ISNUMBER(SEARCH("/",AK778)),DATE(VALUE(RIGHT(AK778,4)),VALUE(LEFT(AK778,2)),VALUE(MID(AK778,4,2))),IF(ISNUMBER(SEARCH("-",AK778)),IF(LEN(LEFT(AK778,FIND("-",AK778)-1))=4,DATE(VALUE(LEFT(AK778,4)),VALUE(MID(AK778,6,2)),VALUE(RIGHT(AK778,2))),DATE(VALUE(RIGHT(AK778,4)),VALUE(MID(AK778,4,2)),VALUE(LEFT(AK778,2)))),DATE(VALUE(RIGHT(AK778,4)),MATCH(MID(AK778,4,3),{"Jan","Feb","Mar","Apr","May","Jun","Jul","Aug","Sep","Oct","Nov","Dec"},0),VALUE(LEFT(AK778,2))))))</f>
        <v>45821</v>
      </c>
      <c r="D778" s="4" t="s">
        <v>2874</v>
      </c>
      <c r="E778" s="0" t="str">
        <f aca="false">PROPER(TRIM(AL778))</f>
        <v>Aditi Sen</v>
      </c>
      <c r="F778" s="0" t="str">
        <f aca="false">PROPER(TRIM(AM778))</f>
        <v>Small Business</v>
      </c>
      <c r="G778" s="0" t="str">
        <f aca="false">IF(TRIM(AN778)="","Unknown",PROPER(TRIM(AN778)))</f>
        <v>North</v>
      </c>
      <c r="H778" s="0" t="str">
        <f aca="false">PROPER(TRIM(AO778))</f>
        <v>Rajasthan</v>
      </c>
      <c r="I778" s="0" t="str">
        <f aca="false">PROPER(TRIM(AP778))</f>
        <v>Jaipur</v>
      </c>
      <c r="J778" s="0" t="str">
        <f aca="false">PROPER(TRIM(AQ778))</f>
        <v>Technology</v>
      </c>
      <c r="K778" s="0" t="str">
        <f aca="false">PROPER(TRIM(AR778))</f>
        <v>Copiers</v>
      </c>
      <c r="M778" s="0" t="str">
        <f aca="false">IF(TRIM(AS778)="","Unknown",PROPER(TRIM(AS778)))</f>
        <v>Second Class</v>
      </c>
      <c r="N778" s="0" t="n">
        <v>7</v>
      </c>
      <c r="O778" s="0" t="n">
        <v>3857.13</v>
      </c>
      <c r="P778" s="5" t="n">
        <f aca="false">IF(AT778="","",IF(ISNUMBER(AT778),AT778,VALUE(SUBSTITUTE(AT778,"%",""))/100))</f>
        <v>0</v>
      </c>
      <c r="Q778" s="5" t="n">
        <f aca="false">IF(P778="",IF(AND(N778&lt;&gt;"",O778&lt;&gt;"",R778&lt;&gt;"",S778&lt;&gt;""),0,"REVIEW"),IF(OR(P778&lt;0,P778&gt;0.3),0,P778))</f>
        <v>0</v>
      </c>
      <c r="R778" s="0" t="n">
        <v>26999.91</v>
      </c>
      <c r="S778" s="0" t="n">
        <v>17815.98</v>
      </c>
      <c r="T778" s="6" t="n">
        <f aca="false">N778*O778*(1-Q778)</f>
        <v>26999.91</v>
      </c>
      <c r="U778" s="6" t="n">
        <f aca="false">T778-S778</f>
        <v>9183.93</v>
      </c>
      <c r="V778" s="7" t="n">
        <f aca="false">IF(T778=0,0,U778/T778)</f>
        <v>0.340146689377854</v>
      </c>
      <c r="W778" s="4" t="n">
        <f aca="false">C778-B778</f>
        <v>5</v>
      </c>
      <c r="X778" s="0" t="str">
        <f aca="false">TEXT(B778,"mmmm")</f>
        <v>June</v>
      </c>
      <c r="Y778" s="4" t="n">
        <f aca="false">YEAR(B778)</f>
        <v>2025</v>
      </c>
      <c r="Z778" s="0" t="str">
        <f aca="false">PROPER(TRIM(AU778))</f>
        <v>Paid</v>
      </c>
      <c r="AA778" s="0" t="str">
        <f aca="false">PROPER(TRIM(AV778))</f>
        <v>Completed</v>
      </c>
      <c r="AB778" s="0" t="str">
        <f aca="false">IF(TRIM(AN778)="","Yes","No")</f>
        <v>No</v>
      </c>
      <c r="AC778" s="0" t="str">
        <f aca="false">IF(TRIM(AS778)="","Yes","No")</f>
        <v>No</v>
      </c>
      <c r="AD778" s="0" t="str">
        <f aca="false">IF(AT778="","Yes","No")</f>
        <v>No</v>
      </c>
      <c r="AE778" s="0" t="str">
        <f aca="false">IF(W778&lt;0,"Yes","No")</f>
        <v>No</v>
      </c>
      <c r="AF778" s="0" t="str">
        <f aca="false">IF(P778="","No",IF(OR(P778&lt;0,P778&gt;0.3),"Yes","No"))</f>
        <v>No</v>
      </c>
      <c r="AG778" s="4" t="s">
        <v>50</v>
      </c>
      <c r="AH778" s="0" t="str">
        <f aca="false">IF(AND(AA778="Completed",Z778="Paid"),"Yes","No")</f>
        <v>Yes</v>
      </c>
      <c r="AI778" s="0" t="str">
        <f aca="false">IF(OR(AE778="Yes",AF778="Yes",AG778="Yes"),"Invalid",IF(OR(AB778="Yes",AC778="Yes",AD778="Yes"),"Warning","Clean"))</f>
        <v>Clean</v>
      </c>
      <c r="AJ778" s="4" t="s">
        <v>2875</v>
      </c>
      <c r="AK778" s="4" t="s">
        <v>1922</v>
      </c>
      <c r="AL778" s="4" t="s">
        <v>127</v>
      </c>
      <c r="AM778" s="4" t="s">
        <v>68</v>
      </c>
      <c r="AN778" s="4" t="s">
        <v>168</v>
      </c>
      <c r="AO778" s="4" t="s">
        <v>56</v>
      </c>
      <c r="AP778" s="4" t="s">
        <v>57</v>
      </c>
      <c r="AQ778" s="4" t="s">
        <v>109</v>
      </c>
      <c r="AR778" s="4" t="s">
        <v>116</v>
      </c>
      <c r="AS778" s="4" t="s">
        <v>60</v>
      </c>
      <c r="AT778" s="0" t="n">
        <v>0</v>
      </c>
      <c r="AU778" s="4" t="s">
        <v>61</v>
      </c>
      <c r="AV778" s="4" t="s">
        <v>62</v>
      </c>
    </row>
    <row r="779" customFormat="false" ht="15" hidden="false" customHeight="false" outlineLevel="0" collapsed="false">
      <c r="A779" s="0" t="s">
        <v>2876</v>
      </c>
      <c r="B779" s="3" t="n">
        <f aca="false">IF(AJ779="","",IF(ISNUMBER(SEARCH("/",AJ779)),DATE(VALUE(RIGHT(AJ779,4)),VALUE(LEFT(AJ779,2)),VALUE(MID(AJ779,4,2))),IF(ISNUMBER(SEARCH("-",AJ779)),IF(LEN(LEFT(AJ779,FIND("-",AJ779)-1))=4,DATE(VALUE(LEFT(AJ779,4)),VALUE(MID(AJ779,6,2)),VALUE(RIGHT(AJ779,2))),DATE(VALUE(RIGHT(AJ779,4)),VALUE(MID(AJ779,4,2)),VALUE(LEFT(AJ779,2)))),DATE(VALUE(RIGHT(AJ779,4)),MATCH(MID(AJ779,4,3),{"Jan","Feb","Mar","Apr","May","Jun","Jul","Aug","Sep","Oct","Nov","Dec"},0),VALUE(LEFT(AJ779,2))))))</f>
        <v>45326</v>
      </c>
      <c r="C779" s="3" t="n">
        <f aca="false">IF(AK779="","",IF(ISNUMBER(SEARCH("/",AK779)),DATE(VALUE(RIGHT(AK779,4)),VALUE(LEFT(AK779,2)),VALUE(MID(AK779,4,2))),IF(ISNUMBER(SEARCH("-",AK779)),IF(LEN(LEFT(AK779,FIND("-",AK779)-1))=4,DATE(VALUE(LEFT(AK779,4)),VALUE(MID(AK779,6,2)),VALUE(RIGHT(AK779,2))),DATE(VALUE(RIGHT(AK779,4)),VALUE(MID(AK779,4,2)),VALUE(LEFT(AK779,2)))),DATE(VALUE(RIGHT(AK779,4)),MATCH(MID(AK779,4,3),{"Jan","Feb","Mar","Apr","May","Jun","Jul","Aug","Sep","Oct","Nov","Dec"},0),VALUE(LEFT(AK779,2))))))</f>
        <v>45328</v>
      </c>
      <c r="D779" s="4" t="s">
        <v>2877</v>
      </c>
      <c r="E779" s="0" t="str">
        <f aca="false">PROPER(TRIM(AL779))</f>
        <v>Kabir Singh</v>
      </c>
      <c r="F779" s="0" t="str">
        <f aca="false">PROPER(TRIM(AM779))</f>
        <v>Small Business</v>
      </c>
      <c r="G779" s="0" t="str">
        <f aca="false">IF(TRIM(AN779)="","Unknown",PROPER(TRIM(AN779)))</f>
        <v>West</v>
      </c>
      <c r="H779" s="0" t="str">
        <f aca="false">PROPER(TRIM(AO779))</f>
        <v>Madhya Pradesh</v>
      </c>
      <c r="I779" s="0" t="str">
        <f aca="false">PROPER(TRIM(AP779))</f>
        <v>Indore</v>
      </c>
      <c r="J779" s="0" t="str">
        <f aca="false">PROPER(TRIM(AQ779))</f>
        <v>Technology</v>
      </c>
      <c r="K779" s="0" t="str">
        <f aca="false">PROPER(TRIM(AR779))</f>
        <v>Accessories</v>
      </c>
      <c r="M779" s="0" t="str">
        <f aca="false">IF(TRIM(AS779)="","Unknown",PROPER(TRIM(AS779)))</f>
        <v>Second Class</v>
      </c>
      <c r="N779" s="0" t="n">
        <v>4</v>
      </c>
      <c r="O779" s="0" t="n">
        <v>1489.74</v>
      </c>
      <c r="P779" s="5" t="n">
        <f aca="false">IF(AT779="","",IF(ISNUMBER(AT779),AT779,VALUE(SUBSTITUTE(AT779,"%",""))/100))</f>
        <v>0.15</v>
      </c>
      <c r="Q779" s="5" t="n">
        <f aca="false">IF(P779="",IF(AND(N779&lt;&gt;"",O779&lt;&gt;"",R779&lt;&gt;"",S779&lt;&gt;""),0,"REVIEW"),IF(OR(P779&lt;0,P779&gt;0.3),0,P779))</f>
        <v>0.15</v>
      </c>
      <c r="R779" s="0" t="n">
        <v>5065.12</v>
      </c>
      <c r="S779" s="0" t="n">
        <v>3530.12</v>
      </c>
      <c r="T779" s="6" t="n">
        <f aca="false">N779*O779*(1-Q779)</f>
        <v>5065.116</v>
      </c>
      <c r="U779" s="6" t="n">
        <f aca="false">T779-S779</f>
        <v>1534.996</v>
      </c>
      <c r="V779" s="7" t="n">
        <f aca="false">IF(T779=0,0,U779/T779)</f>
        <v>0.303052486853213</v>
      </c>
      <c r="W779" s="4" t="n">
        <f aca="false">C779-B779</f>
        <v>2</v>
      </c>
      <c r="X779" s="0" t="str">
        <f aca="false">TEXT(B779,"mmmm")</f>
        <v>February</v>
      </c>
      <c r="Y779" s="4" t="n">
        <f aca="false">YEAR(B779)</f>
        <v>2024</v>
      </c>
      <c r="Z779" s="0" t="str">
        <f aca="false">PROPER(TRIM(AU779))</f>
        <v>Failed</v>
      </c>
      <c r="AA779" s="0" t="str">
        <f aca="false">PROPER(TRIM(AV779))</f>
        <v>Cancelled</v>
      </c>
      <c r="AB779" s="0" t="str">
        <f aca="false">IF(TRIM(AN779)="","Yes","No")</f>
        <v>No</v>
      </c>
      <c r="AC779" s="0" t="str">
        <f aca="false">IF(TRIM(AS779)="","Yes","No")</f>
        <v>No</v>
      </c>
      <c r="AD779" s="0" t="str">
        <f aca="false">IF(AT779="","Yes","No")</f>
        <v>No</v>
      </c>
      <c r="AE779" s="0" t="str">
        <f aca="false">IF(W779&lt;0,"Yes","No")</f>
        <v>No</v>
      </c>
      <c r="AF779" s="0" t="str">
        <f aca="false">IF(P779="","No",IF(OR(P779&lt;0,P779&gt;0.3),"Yes","No"))</f>
        <v>No</v>
      </c>
      <c r="AG779" s="4" t="s">
        <v>50</v>
      </c>
      <c r="AH779" s="0" t="str">
        <f aca="false">IF(AND(AA779="Completed",Z779="Paid"),"Yes","No")</f>
        <v>No</v>
      </c>
      <c r="AI779" s="0" t="str">
        <f aca="false">IF(OR(AE779="Yes",AF779="Yes",AG779="Yes"),"Invalid",IF(OR(AB779="Yes",AC779="Yes",AD779="Yes"),"Warning","Clean"))</f>
        <v>Clean</v>
      </c>
      <c r="AJ779" s="4" t="s">
        <v>2878</v>
      </c>
      <c r="AK779" s="4" t="s">
        <v>1867</v>
      </c>
      <c r="AL779" s="4" t="s">
        <v>347</v>
      </c>
      <c r="AM779" s="4" t="s">
        <v>68</v>
      </c>
      <c r="AN779" s="4" t="s">
        <v>97</v>
      </c>
      <c r="AO779" s="4" t="s">
        <v>107</v>
      </c>
      <c r="AP779" s="4" t="s">
        <v>108</v>
      </c>
      <c r="AQ779" s="4" t="s">
        <v>109</v>
      </c>
      <c r="AR779" s="4" t="s">
        <v>110</v>
      </c>
      <c r="AS779" s="4" t="s">
        <v>60</v>
      </c>
      <c r="AT779" s="0" t="n">
        <v>0.15</v>
      </c>
      <c r="AU779" s="4" t="s">
        <v>207</v>
      </c>
      <c r="AV779" s="4" t="s">
        <v>101</v>
      </c>
    </row>
    <row r="780" customFormat="false" ht="15" hidden="false" customHeight="false" outlineLevel="0" collapsed="false">
      <c r="A780" s="0" t="s">
        <v>2879</v>
      </c>
      <c r="B780" s="3" t="n">
        <f aca="false">IF(AJ780="","",IF(ISNUMBER(SEARCH("/",AJ780)),DATE(VALUE(RIGHT(AJ780,4)),VALUE(LEFT(AJ780,2)),VALUE(MID(AJ780,4,2))),IF(ISNUMBER(SEARCH("-",AJ780)),IF(LEN(LEFT(AJ780,FIND("-",AJ780)-1))=4,DATE(VALUE(LEFT(AJ780,4)),VALUE(MID(AJ780,6,2)),VALUE(RIGHT(AJ780,2))),DATE(VALUE(RIGHT(AJ780,4)),VALUE(MID(AJ780,4,2)),VALUE(LEFT(AJ780,2)))),DATE(VALUE(RIGHT(AJ780,4)),MATCH(MID(AJ780,4,3),{"Jan","Feb","Mar","Apr","May","Jun","Jul","Aug","Sep","Oct","Nov","Dec"},0),VALUE(LEFT(AJ780,2))))))</f>
        <v>45497</v>
      </c>
      <c r="C780" s="3" t="n">
        <f aca="false">IF(AK780="","",IF(ISNUMBER(SEARCH("/",AK780)),DATE(VALUE(RIGHT(AK780,4)),VALUE(LEFT(AK780,2)),VALUE(MID(AK780,4,2))),IF(ISNUMBER(SEARCH("-",AK780)),IF(LEN(LEFT(AK780,FIND("-",AK780)-1))=4,DATE(VALUE(LEFT(AK780,4)),VALUE(MID(AK780,6,2)),VALUE(RIGHT(AK780,2))),DATE(VALUE(RIGHT(AK780,4)),VALUE(MID(AK780,4,2)),VALUE(LEFT(AK780,2)))),DATE(VALUE(RIGHT(AK780,4)),MATCH(MID(AK780,4,3),{"Jan","Feb","Mar","Apr","May","Jun","Jul","Aug","Sep","Oct","Nov","Dec"},0),VALUE(LEFT(AK780,2))))))</f>
        <v>45497</v>
      </c>
      <c r="D780" s="4" t="s">
        <v>2880</v>
      </c>
      <c r="E780" s="0" t="str">
        <f aca="false">PROPER(TRIM(AL780))</f>
        <v>Karan Malhotra</v>
      </c>
      <c r="F780" s="0" t="str">
        <f aca="false">PROPER(TRIM(AM780))</f>
        <v>Small Business</v>
      </c>
      <c r="G780" s="0" t="str">
        <f aca="false">IF(TRIM(AN780)="","Unknown",PROPER(TRIM(AN780)))</f>
        <v>North</v>
      </c>
      <c r="H780" s="0" t="str">
        <f aca="false">PROPER(TRIM(AO780))</f>
        <v>Haryana</v>
      </c>
      <c r="I780" s="0" t="str">
        <f aca="false">PROPER(TRIM(AP780))</f>
        <v>Gurugram</v>
      </c>
      <c r="J780" s="0" t="str">
        <f aca="false">PROPER(TRIM(AQ780))</f>
        <v>Technology</v>
      </c>
      <c r="K780" s="0" t="str">
        <f aca="false">PROPER(TRIM(AR780))</f>
        <v>Copiers</v>
      </c>
      <c r="M780" s="0" t="str">
        <f aca="false">IF(TRIM(AS780)="","Unknown",PROPER(TRIM(AS780)))</f>
        <v>Second Class</v>
      </c>
      <c r="N780" s="0" t="n">
        <v>4</v>
      </c>
      <c r="O780" s="0" t="n">
        <v>1676.88</v>
      </c>
      <c r="P780" s="5" t="n">
        <f aca="false">IF(AT780="","",IF(ISNUMBER(AT780),AT780,VALUE(SUBSTITUTE(AT780,"%",""))/100))</f>
        <v>0</v>
      </c>
      <c r="Q780" s="5" t="n">
        <f aca="false">IF(P780="",IF(AND(N780&lt;&gt;"",O780&lt;&gt;"",R780&lt;&gt;"",S780&lt;&gt;""),0,"REVIEW"),IF(OR(P780&lt;0,P780&gt;0.3),0,P780))</f>
        <v>0</v>
      </c>
      <c r="R780" s="0" t="n">
        <v>6707.52</v>
      </c>
      <c r="S780" s="0" t="n">
        <v>5672.57</v>
      </c>
      <c r="T780" s="6" t="n">
        <f aca="false">N780*O780*(1-Q780)</f>
        <v>6707.52</v>
      </c>
      <c r="U780" s="6" t="n">
        <f aca="false">T780-S780</f>
        <v>1034.95</v>
      </c>
      <c r="V780" s="7" t="n">
        <f aca="false">IF(T780=0,0,U780/T780)</f>
        <v>0.154296968178999</v>
      </c>
      <c r="W780" s="4" t="n">
        <f aca="false">C780-B780</f>
        <v>0</v>
      </c>
      <c r="X780" s="0" t="str">
        <f aca="false">TEXT(B780,"mmmm")</f>
        <v>July</v>
      </c>
      <c r="Y780" s="4" t="n">
        <f aca="false">YEAR(B780)</f>
        <v>2024</v>
      </c>
      <c r="Z780" s="0" t="str">
        <f aca="false">PROPER(TRIM(AU780))</f>
        <v>Paid</v>
      </c>
      <c r="AA780" s="0" t="str">
        <f aca="false">PROPER(TRIM(AV780))</f>
        <v>Completed</v>
      </c>
      <c r="AB780" s="0" t="str">
        <f aca="false">IF(TRIM(AN780)="","Yes","No")</f>
        <v>No</v>
      </c>
      <c r="AC780" s="0" t="str">
        <f aca="false">IF(TRIM(AS780)="","Yes","No")</f>
        <v>No</v>
      </c>
      <c r="AD780" s="0" t="str">
        <f aca="false">IF(AT780="","Yes","No")</f>
        <v>No</v>
      </c>
      <c r="AE780" s="0" t="str">
        <f aca="false">IF(W780&lt;0,"Yes","No")</f>
        <v>No</v>
      </c>
      <c r="AF780" s="0" t="str">
        <f aca="false">IF(P780="","No",IF(OR(P780&lt;0,P780&gt;0.3),"Yes","No"))</f>
        <v>No</v>
      </c>
      <c r="AG780" s="4" t="s">
        <v>50</v>
      </c>
      <c r="AH780" s="0" t="str">
        <f aca="false">IF(AND(AA780="Completed",Z780="Paid"),"Yes","No")</f>
        <v>Yes</v>
      </c>
      <c r="AI780" s="0" t="str">
        <f aca="false">IF(OR(AE780="Yes",AF780="Yes",AG780="Yes"),"Invalid",IF(OR(AB780="Yes",AC780="Yes",AD780="Yes"),"Warning","Clean"))</f>
        <v>Clean</v>
      </c>
      <c r="AJ780" s="4" t="s">
        <v>632</v>
      </c>
      <c r="AK780" s="4" t="s">
        <v>2881</v>
      </c>
      <c r="AL780" s="4" t="s">
        <v>53</v>
      </c>
      <c r="AM780" s="4" t="s">
        <v>68</v>
      </c>
      <c r="AN780" s="4" t="s">
        <v>168</v>
      </c>
      <c r="AO780" s="4" t="s">
        <v>310</v>
      </c>
      <c r="AP780" s="4" t="s">
        <v>311</v>
      </c>
      <c r="AQ780" s="4" t="s">
        <v>109</v>
      </c>
      <c r="AR780" s="4" t="s">
        <v>116</v>
      </c>
      <c r="AS780" s="4" t="s">
        <v>60</v>
      </c>
      <c r="AT780" s="0" t="n">
        <v>0</v>
      </c>
      <c r="AU780" s="4" t="s">
        <v>61</v>
      </c>
      <c r="AV780" s="4" t="s">
        <v>62</v>
      </c>
    </row>
    <row r="781" customFormat="false" ht="15" hidden="false" customHeight="false" outlineLevel="0" collapsed="false">
      <c r="A781" s="0" t="s">
        <v>2882</v>
      </c>
      <c r="B781" s="3" t="n">
        <f aca="false">IF(AJ781="","",IF(ISNUMBER(SEARCH("/",AJ781)),DATE(VALUE(RIGHT(AJ781,4)),VALUE(LEFT(AJ781,2)),VALUE(MID(AJ781,4,2))),IF(ISNUMBER(SEARCH("-",AJ781)),IF(LEN(LEFT(AJ781,FIND("-",AJ781)-1))=4,DATE(VALUE(LEFT(AJ781,4)),VALUE(MID(AJ781,6,2)),VALUE(RIGHT(AJ781,2))),DATE(VALUE(RIGHT(AJ781,4)),VALUE(MID(AJ781,4,2)),VALUE(LEFT(AJ781,2)))),DATE(VALUE(RIGHT(AJ781,4)),MATCH(MID(AJ781,4,3),{"Jan","Feb","Mar","Apr","May","Jun","Jul","Aug","Sep","Oct","Nov","Dec"},0),VALUE(LEFT(AJ781,2))))))</f>
        <v>45306</v>
      </c>
      <c r="C781" s="3" t="n">
        <f aca="false">IF(AK781="","",IF(ISNUMBER(SEARCH("/",AK781)),DATE(VALUE(RIGHT(AK781,4)),VALUE(LEFT(AK781,2)),VALUE(MID(AK781,4,2))),IF(ISNUMBER(SEARCH("-",AK781)),IF(LEN(LEFT(AK781,FIND("-",AK781)-1))=4,DATE(VALUE(LEFT(AK781,4)),VALUE(MID(AK781,6,2)),VALUE(RIGHT(AK781,2))),DATE(VALUE(RIGHT(AK781,4)),VALUE(MID(AK781,4,2)),VALUE(LEFT(AK781,2)))),DATE(VALUE(RIGHT(AK781,4)),MATCH(MID(AK781,4,3),{"Jan","Feb","Mar","Apr","May","Jun","Jul","Aug","Sep","Oct","Nov","Dec"},0),VALUE(LEFT(AK781,2))))))</f>
        <v>45311</v>
      </c>
      <c r="D781" s="4" t="s">
        <v>2883</v>
      </c>
      <c r="E781" s="0" t="str">
        <f aca="false">PROPER(TRIM(AL781))</f>
        <v>Priya Menon</v>
      </c>
      <c r="F781" s="0" t="str">
        <f aca="false">PROPER(TRIM(AM781))</f>
        <v>Small Business</v>
      </c>
      <c r="G781" s="0" t="str">
        <f aca="false">IF(TRIM(AN781)="","Unknown",PROPER(TRIM(AN781)))</f>
        <v>South</v>
      </c>
      <c r="H781" s="0" t="str">
        <f aca="false">PROPER(TRIM(AO781))</f>
        <v>Andhra Pradesh</v>
      </c>
      <c r="I781" s="0" t="str">
        <f aca="false">PROPER(TRIM(AP781))</f>
        <v>Vijayawada</v>
      </c>
      <c r="J781" s="0" t="str">
        <f aca="false">PROPER(TRIM(AQ781))</f>
        <v>Furniture</v>
      </c>
      <c r="K781" s="0" t="str">
        <f aca="false">PROPER(TRIM(AR781))</f>
        <v>Chairs</v>
      </c>
      <c r="M781" s="0" t="str">
        <f aca="false">IF(TRIM(AS781)="","Unknown",PROPER(TRIM(AS781)))</f>
        <v>Standard Class</v>
      </c>
      <c r="N781" s="0" t="n">
        <v>4</v>
      </c>
      <c r="O781" s="0" t="n">
        <v>3153.54</v>
      </c>
      <c r="P781" s="5" t="n">
        <f aca="false">IF(AT781="","",IF(ISNUMBER(AT781),AT781,VALUE(SUBSTITUTE(AT781,"%",""))/100))</f>
        <v>0.05</v>
      </c>
      <c r="Q781" s="5" t="n">
        <f aca="false">IF(P781="",IF(AND(N781&lt;&gt;"",O781&lt;&gt;"",R781&lt;&gt;"",S781&lt;&gt;""),0,"REVIEW"),IF(OR(P781&lt;0,P781&gt;0.3),0,P781))</f>
        <v>0.05</v>
      </c>
      <c r="R781" s="0" t="n">
        <v>11983.45</v>
      </c>
      <c r="S781" s="0" t="n">
        <v>8572.9</v>
      </c>
      <c r="T781" s="6" t="n">
        <f aca="false">N781*O781*(1-Q781)</f>
        <v>11983.452</v>
      </c>
      <c r="U781" s="6" t="n">
        <f aca="false">T781-S781</f>
        <v>3410.552</v>
      </c>
      <c r="V781" s="7" t="n">
        <f aca="false">IF(T781=0,0,U781/T781)</f>
        <v>0.284605137150798</v>
      </c>
      <c r="W781" s="4" t="n">
        <f aca="false">C781-B781</f>
        <v>5</v>
      </c>
      <c r="X781" s="0" t="str">
        <f aca="false">TEXT(B781,"mmmm")</f>
        <v>January</v>
      </c>
      <c r="Y781" s="4" t="n">
        <f aca="false">YEAR(B781)</f>
        <v>2024</v>
      </c>
      <c r="Z781" s="0" t="str">
        <f aca="false">PROPER(TRIM(AU781))</f>
        <v>Paid</v>
      </c>
      <c r="AA781" s="0" t="str">
        <f aca="false">PROPER(TRIM(AV781))</f>
        <v>Completed</v>
      </c>
      <c r="AB781" s="0" t="str">
        <f aca="false">IF(TRIM(AN781)="","Yes","No")</f>
        <v>No</v>
      </c>
      <c r="AC781" s="0" t="str">
        <f aca="false">IF(TRIM(AS781)="","Yes","No")</f>
        <v>No</v>
      </c>
      <c r="AD781" s="0" t="str">
        <f aca="false">IF(AT781="","Yes","No")</f>
        <v>No</v>
      </c>
      <c r="AE781" s="0" t="str">
        <f aca="false">IF(W781&lt;0,"Yes","No")</f>
        <v>No</v>
      </c>
      <c r="AF781" s="0" t="str">
        <f aca="false">IF(P781="","No",IF(OR(P781&lt;0,P781&gt;0.3),"Yes","No"))</f>
        <v>No</v>
      </c>
      <c r="AG781" s="4" t="s">
        <v>50</v>
      </c>
      <c r="AH781" s="0" t="str">
        <f aca="false">IF(AND(AA781="Completed",Z781="Paid"),"Yes","No")</f>
        <v>Yes</v>
      </c>
      <c r="AI781" s="0" t="str">
        <f aca="false">IF(OR(AE781="Yes",AF781="Yes",AG781="Yes"),"Invalid",IF(OR(AB781="Yes",AC781="Yes",AD781="Yes"),"Warning","Clean"))</f>
        <v>Clean</v>
      </c>
      <c r="AJ781" s="4" t="s">
        <v>1809</v>
      </c>
      <c r="AK781" s="4" t="s">
        <v>2884</v>
      </c>
      <c r="AL781" s="4" t="s">
        <v>158</v>
      </c>
      <c r="AM781" s="4" t="s">
        <v>68</v>
      </c>
      <c r="AN781" s="4" t="s">
        <v>87</v>
      </c>
      <c r="AO781" s="4" t="s">
        <v>121</v>
      </c>
      <c r="AP781" s="4" t="s">
        <v>122</v>
      </c>
      <c r="AQ781" s="4" t="s">
        <v>72</v>
      </c>
      <c r="AR781" s="4" t="s">
        <v>100</v>
      </c>
      <c r="AS781" s="4" t="s">
        <v>91</v>
      </c>
      <c r="AT781" s="0" t="n">
        <v>0.05</v>
      </c>
      <c r="AU781" s="4" t="s">
        <v>61</v>
      </c>
      <c r="AV781" s="4" t="s">
        <v>62</v>
      </c>
    </row>
    <row r="782" customFormat="false" ht="15" hidden="false" customHeight="false" outlineLevel="0" collapsed="false">
      <c r="A782" s="0" t="s">
        <v>2885</v>
      </c>
      <c r="B782" s="3" t="n">
        <f aca="false">IF(AJ782="","",IF(ISNUMBER(SEARCH("/",AJ782)),DATE(VALUE(RIGHT(AJ782,4)),VALUE(LEFT(AJ782,2)),VALUE(MID(AJ782,4,2))),IF(ISNUMBER(SEARCH("-",AJ782)),IF(LEN(LEFT(AJ782,FIND("-",AJ782)-1))=4,DATE(VALUE(LEFT(AJ782,4)),VALUE(MID(AJ782,6,2)),VALUE(RIGHT(AJ782,2))),DATE(VALUE(RIGHT(AJ782,4)),VALUE(MID(AJ782,4,2)),VALUE(LEFT(AJ782,2)))),DATE(VALUE(RIGHT(AJ782,4)),MATCH(MID(AJ782,4,3),{"Jan","Feb","Mar","Apr","May","Jun","Jul","Aug","Sep","Oct","Nov","Dec"},0),VALUE(LEFT(AJ782,2))))))</f>
        <v>45508</v>
      </c>
      <c r="C782" s="3" t="n">
        <f aca="false">IF(AK782="","",IF(ISNUMBER(SEARCH("/",AK782)),DATE(VALUE(RIGHT(AK782,4)),VALUE(LEFT(AK782,2)),VALUE(MID(AK782,4,2))),IF(ISNUMBER(SEARCH("-",AK782)),IF(LEN(LEFT(AK782,FIND("-",AK782)-1))=4,DATE(VALUE(LEFT(AK782,4)),VALUE(MID(AK782,6,2)),VALUE(RIGHT(AK782,2))),DATE(VALUE(RIGHT(AK782,4)),VALUE(MID(AK782,4,2)),VALUE(LEFT(AK782,2)))),DATE(VALUE(RIGHT(AK782,4)),MATCH(MID(AK782,4,3),{"Jan","Feb","Mar","Apr","May","Jun","Jul","Aug","Sep","Oct","Nov","Dec"},0),VALUE(LEFT(AK782,2))))))</f>
        <v>45514</v>
      </c>
      <c r="D782" s="4" t="s">
        <v>2886</v>
      </c>
      <c r="E782" s="0" t="str">
        <f aca="false">PROPER(TRIM(AL782))</f>
        <v>Diya Patel</v>
      </c>
      <c r="F782" s="0" t="str">
        <f aca="false">PROPER(TRIM(AM782))</f>
        <v>Small Business</v>
      </c>
      <c r="G782" s="0" t="str">
        <f aca="false">IF(TRIM(AN782)="","Unknown",PROPER(TRIM(AN782)))</f>
        <v>West</v>
      </c>
      <c r="H782" s="0" t="str">
        <f aca="false">PROPER(TRIM(AO782))</f>
        <v>Rajasthan</v>
      </c>
      <c r="I782" s="0" t="str">
        <f aca="false">PROPER(TRIM(AP782))</f>
        <v>Udaipur</v>
      </c>
      <c r="J782" s="0" t="str">
        <f aca="false">PROPER(TRIM(AQ782))</f>
        <v>Furniture</v>
      </c>
      <c r="K782" s="0" t="str">
        <f aca="false">PROPER(TRIM(AR782))</f>
        <v>Chairs</v>
      </c>
      <c r="M782" s="0" t="str">
        <f aca="false">IF(TRIM(AS782)="","Unknown",PROPER(TRIM(AS782)))</f>
        <v>Same Day</v>
      </c>
      <c r="N782" s="0" t="n">
        <v>4</v>
      </c>
      <c r="O782" s="0" t="n">
        <v>426.43</v>
      </c>
      <c r="P782" s="5" t="n">
        <f aca="false">IF(AT782="","",IF(ISNUMBER(AT782),AT782,VALUE(SUBSTITUTE(AT782,"%",""))/100))</f>
        <v>0.2</v>
      </c>
      <c r="Q782" s="5" t="n">
        <f aca="false">IF(P782="",IF(AND(N782&lt;&gt;"",O782&lt;&gt;"",R782&lt;&gt;"",S782&lt;&gt;""),0,"REVIEW"),IF(OR(P782&lt;0,P782&gt;0.3),0,P782))</f>
        <v>0.2</v>
      </c>
      <c r="R782" s="0" t="n">
        <v>1364.58</v>
      </c>
      <c r="S782" s="0" t="n">
        <v>978.16</v>
      </c>
      <c r="T782" s="6" t="n">
        <f aca="false">N782*O782*(1-Q782)</f>
        <v>1364.576</v>
      </c>
      <c r="U782" s="6" t="n">
        <f aca="false">T782-S782</f>
        <v>386.416</v>
      </c>
      <c r="V782" s="7" t="n">
        <f aca="false">IF(T782=0,0,U782/T782)</f>
        <v>0.283176605773515</v>
      </c>
      <c r="W782" s="4" t="n">
        <f aca="false">C782-B782</f>
        <v>6</v>
      </c>
      <c r="X782" s="0" t="str">
        <f aca="false">TEXT(B782,"mmmm")</f>
        <v>August</v>
      </c>
      <c r="Y782" s="4" t="n">
        <f aca="false">YEAR(B782)</f>
        <v>2024</v>
      </c>
      <c r="Z782" s="0" t="str">
        <f aca="false">PROPER(TRIM(AU782))</f>
        <v>Paid</v>
      </c>
      <c r="AA782" s="0" t="str">
        <f aca="false">PROPER(TRIM(AV782))</f>
        <v>Completed</v>
      </c>
      <c r="AB782" s="0" t="str">
        <f aca="false">IF(TRIM(AN782)="","Yes","No")</f>
        <v>No</v>
      </c>
      <c r="AC782" s="0" t="str">
        <f aca="false">IF(TRIM(AS782)="","Yes","No")</f>
        <v>No</v>
      </c>
      <c r="AD782" s="0" t="str">
        <f aca="false">IF(AT782="","Yes","No")</f>
        <v>No</v>
      </c>
      <c r="AE782" s="0" t="str">
        <f aca="false">IF(W782&lt;0,"Yes","No")</f>
        <v>No</v>
      </c>
      <c r="AF782" s="0" t="str">
        <f aca="false">IF(P782="","No",IF(OR(P782&lt;0,P782&gt;0.3),"Yes","No"))</f>
        <v>No</v>
      </c>
      <c r="AG782" s="4" t="s">
        <v>50</v>
      </c>
      <c r="AH782" s="0" t="str">
        <f aca="false">IF(AND(AA782="Completed",Z782="Paid"),"Yes","No")</f>
        <v>Yes</v>
      </c>
      <c r="AI782" s="0" t="str">
        <f aca="false">IF(OR(AE782="Yes",AF782="Yes",AG782="Yes"),"Invalid",IF(OR(AB782="Yes",AC782="Yes",AD782="Yes"),"Warning","Clean"))</f>
        <v>Clean</v>
      </c>
      <c r="AJ782" s="4" t="s">
        <v>2887</v>
      </c>
      <c r="AK782" s="4" t="s">
        <v>2159</v>
      </c>
      <c r="AL782" s="4" t="s">
        <v>216</v>
      </c>
      <c r="AM782" s="4" t="s">
        <v>68</v>
      </c>
      <c r="AN782" s="4" t="s">
        <v>97</v>
      </c>
      <c r="AO782" s="4" t="s">
        <v>56</v>
      </c>
      <c r="AP782" s="4" t="s">
        <v>152</v>
      </c>
      <c r="AQ782" s="4" t="s">
        <v>72</v>
      </c>
      <c r="AR782" s="4" t="s">
        <v>100</v>
      </c>
      <c r="AS782" s="4" t="s">
        <v>74</v>
      </c>
      <c r="AT782" s="0" t="n">
        <v>0.2</v>
      </c>
      <c r="AU782" s="4" t="s">
        <v>61</v>
      </c>
      <c r="AV782" s="4" t="s">
        <v>62</v>
      </c>
    </row>
    <row r="783" customFormat="false" ht="15" hidden="false" customHeight="false" outlineLevel="0" collapsed="false">
      <c r="A783" s="0" t="s">
        <v>2888</v>
      </c>
      <c r="B783" s="3" t="n">
        <f aca="false">IF(AJ783="","",IF(ISNUMBER(SEARCH("/",AJ783)),DATE(VALUE(RIGHT(AJ783,4)),VALUE(LEFT(AJ783,2)),VALUE(MID(AJ783,4,2))),IF(ISNUMBER(SEARCH("-",AJ783)),IF(LEN(LEFT(AJ783,FIND("-",AJ783)-1))=4,DATE(VALUE(LEFT(AJ783,4)),VALUE(MID(AJ783,6,2)),VALUE(RIGHT(AJ783,2))),DATE(VALUE(RIGHT(AJ783,4)),VALUE(MID(AJ783,4,2)),VALUE(LEFT(AJ783,2)))),DATE(VALUE(RIGHT(AJ783,4)),MATCH(MID(AJ783,4,3),{"Jan","Feb","Mar","Apr","May","Jun","Jul","Aug","Sep","Oct","Nov","Dec"},0),VALUE(LEFT(AJ783,2))))))</f>
        <v>45324</v>
      </c>
      <c r="C783" s="3" t="n">
        <f aca="false">IF(AK783="","",IF(ISNUMBER(SEARCH("/",AK783)),DATE(VALUE(RIGHT(AK783,4)),VALUE(LEFT(AK783,2)),VALUE(MID(AK783,4,2))),IF(ISNUMBER(SEARCH("-",AK783)),IF(LEN(LEFT(AK783,FIND("-",AK783)-1))=4,DATE(VALUE(LEFT(AK783,4)),VALUE(MID(AK783,6,2)),VALUE(RIGHT(AK783,2))),DATE(VALUE(RIGHT(AK783,4)),VALUE(MID(AK783,4,2)),VALUE(LEFT(AK783,2)))),DATE(VALUE(RIGHT(AK783,4)),MATCH(MID(AK783,4,3),{"Jan","Feb","Mar","Apr","May","Jun","Jul","Aug","Sep","Oct","Nov","Dec"},0),VALUE(LEFT(AK783,2))))))</f>
        <v>45332</v>
      </c>
      <c r="D783" s="4" t="s">
        <v>2889</v>
      </c>
      <c r="E783" s="0" t="str">
        <f aca="false">PROPER(TRIM(AL783))</f>
        <v>Karan Malhotra</v>
      </c>
      <c r="F783" s="0" t="str">
        <f aca="false">PROPER(TRIM(AM783))</f>
        <v>Home Office</v>
      </c>
      <c r="G783" s="0" t="str">
        <f aca="false">IF(TRIM(AN783)="","Unknown",PROPER(TRIM(AN783)))</f>
        <v>West</v>
      </c>
      <c r="H783" s="0" t="str">
        <f aca="false">PROPER(TRIM(AO783))</f>
        <v>Rajasthan</v>
      </c>
      <c r="I783" s="0" t="str">
        <f aca="false">PROPER(TRIM(AP783))</f>
        <v>Udaipur</v>
      </c>
      <c r="J783" s="0" t="str">
        <f aca="false">PROPER(TRIM(AQ783))</f>
        <v>Office Supplies</v>
      </c>
      <c r="K783" s="0" t="str">
        <f aca="false">PROPER(TRIM(AR783))</f>
        <v>Labels</v>
      </c>
      <c r="M783" s="0" t="str">
        <f aca="false">IF(TRIM(AS783)="","Unknown",PROPER(TRIM(AS783)))</f>
        <v>First Class</v>
      </c>
      <c r="N783" s="0" t="n">
        <v>3</v>
      </c>
      <c r="O783" s="0" t="n">
        <v>383.4</v>
      </c>
      <c r="P783" s="5" t="n">
        <f aca="false">IF(AT783="","",IF(ISNUMBER(AT783),AT783,VALUE(SUBSTITUTE(AT783,"%",""))/100))</f>
        <v>0.25</v>
      </c>
      <c r="Q783" s="5" t="n">
        <f aca="false">IF(P783="",IF(AND(N783&lt;&gt;"",O783&lt;&gt;"",R783&lt;&gt;"",S783&lt;&gt;""),0,"REVIEW"),IF(OR(P783&lt;0,P783&gt;0.3),0,P783))</f>
        <v>0.25</v>
      </c>
      <c r="R783" s="0" t="n">
        <v>862.65</v>
      </c>
      <c r="S783" s="0" t="n">
        <v>603.73</v>
      </c>
      <c r="T783" s="6" t="n">
        <f aca="false">N783*O783*(1-Q783)</f>
        <v>862.65</v>
      </c>
      <c r="U783" s="6" t="n">
        <f aca="false">T783-S783</f>
        <v>258.92</v>
      </c>
      <c r="V783" s="7" t="n">
        <f aca="false">IF(T783=0,0,U783/T783)</f>
        <v>0.300144902335826</v>
      </c>
      <c r="W783" s="4" t="n">
        <f aca="false">C783-B783</f>
        <v>8</v>
      </c>
      <c r="X783" s="0" t="str">
        <f aca="false">TEXT(B783,"mmmm")</f>
        <v>February</v>
      </c>
      <c r="Y783" s="4" t="n">
        <f aca="false">YEAR(B783)</f>
        <v>2024</v>
      </c>
      <c r="Z783" s="0" t="str">
        <f aca="false">PROPER(TRIM(AU783))</f>
        <v>Pending</v>
      </c>
      <c r="AA783" s="0" t="str">
        <f aca="false">PROPER(TRIM(AV783))</f>
        <v>Returned</v>
      </c>
      <c r="AB783" s="0" t="str">
        <f aca="false">IF(TRIM(AN783)="","Yes","No")</f>
        <v>No</v>
      </c>
      <c r="AC783" s="0" t="str">
        <f aca="false">IF(TRIM(AS783)="","Yes","No")</f>
        <v>No</v>
      </c>
      <c r="AD783" s="0" t="str">
        <f aca="false">IF(AT783="","Yes","No")</f>
        <v>No</v>
      </c>
      <c r="AE783" s="0" t="str">
        <f aca="false">IF(W783&lt;0,"Yes","No")</f>
        <v>No</v>
      </c>
      <c r="AF783" s="0" t="str">
        <f aca="false">IF(P783="","No",IF(OR(P783&lt;0,P783&gt;0.3),"Yes","No"))</f>
        <v>No</v>
      </c>
      <c r="AG783" s="4" t="s">
        <v>50</v>
      </c>
      <c r="AH783" s="0" t="str">
        <f aca="false">IF(AND(AA783="Completed",Z783="Paid"),"Yes","No")</f>
        <v>No</v>
      </c>
      <c r="AI783" s="0" t="str">
        <f aca="false">IF(OR(AE783="Yes",AF783="Yes",AG783="Yes"),"Invalid",IF(OR(AB783="Yes",AC783="Yes",AD783="Yes"),"Warning","Clean"))</f>
        <v>Clean</v>
      </c>
      <c r="AJ783" s="4" t="s">
        <v>2890</v>
      </c>
      <c r="AK783" s="4" t="s">
        <v>1749</v>
      </c>
      <c r="AL783" s="4" t="s">
        <v>53</v>
      </c>
      <c r="AM783" s="4" t="s">
        <v>134</v>
      </c>
      <c r="AN783" s="4" t="s">
        <v>97</v>
      </c>
      <c r="AO783" s="4" t="s">
        <v>56</v>
      </c>
      <c r="AP783" s="4" t="s">
        <v>152</v>
      </c>
      <c r="AQ783" s="4" t="s">
        <v>58</v>
      </c>
      <c r="AR783" s="4" t="s">
        <v>129</v>
      </c>
      <c r="AS783" s="4" t="s">
        <v>81</v>
      </c>
      <c r="AT783" s="0" t="n">
        <v>0.25</v>
      </c>
      <c r="AU783" s="4" t="s">
        <v>153</v>
      </c>
      <c r="AV783" s="4" t="s">
        <v>142</v>
      </c>
    </row>
    <row r="784" customFormat="false" ht="15" hidden="false" customHeight="false" outlineLevel="0" collapsed="false">
      <c r="A784" s="0" t="s">
        <v>2891</v>
      </c>
      <c r="B784" s="3" t="n">
        <f aca="false">IF(AJ784="","",IF(ISNUMBER(SEARCH("/",AJ784)),DATE(VALUE(RIGHT(AJ784,4)),VALUE(LEFT(AJ784,2)),VALUE(MID(AJ784,4,2))),IF(ISNUMBER(SEARCH("-",AJ784)),IF(LEN(LEFT(AJ784,FIND("-",AJ784)-1))=4,DATE(VALUE(LEFT(AJ784,4)),VALUE(MID(AJ784,6,2)),VALUE(RIGHT(AJ784,2))),DATE(VALUE(RIGHT(AJ784,4)),VALUE(MID(AJ784,4,2)),VALUE(LEFT(AJ784,2)))),DATE(VALUE(RIGHT(AJ784,4)),MATCH(MID(AJ784,4,3),{"Jan","Feb","Mar","Apr","May","Jun","Jul","Aug","Sep","Oct","Nov","Dec"},0),VALUE(LEFT(AJ784,2))))))</f>
        <v>45730</v>
      </c>
      <c r="C784" s="3" t="n">
        <f aca="false">IF(AK784="","",IF(ISNUMBER(SEARCH("/",AK784)),DATE(VALUE(RIGHT(AK784,4)),VALUE(LEFT(AK784,2)),VALUE(MID(AK784,4,2))),IF(ISNUMBER(SEARCH("-",AK784)),IF(LEN(LEFT(AK784,FIND("-",AK784)-1))=4,DATE(VALUE(LEFT(AK784,4)),VALUE(MID(AK784,6,2)),VALUE(RIGHT(AK784,2))),DATE(VALUE(RIGHT(AK784,4)),VALUE(MID(AK784,4,2)),VALUE(LEFT(AK784,2)))),DATE(VALUE(RIGHT(AK784,4)),MATCH(MID(AK784,4,3),{"Jan","Feb","Mar","Apr","May","Jun","Jul","Aug","Sep","Oct","Nov","Dec"},0),VALUE(LEFT(AK784,2))))))</f>
        <v>45738</v>
      </c>
      <c r="D784" s="4" t="s">
        <v>2892</v>
      </c>
      <c r="E784" s="0" t="str">
        <f aca="false">PROPER(TRIM(AL784))</f>
        <v>Mira Das</v>
      </c>
      <c r="F784" s="0" t="str">
        <f aca="false">PROPER(TRIM(AM784))</f>
        <v>Corporate</v>
      </c>
      <c r="G784" s="0" t="str">
        <f aca="false">IF(TRIM(AN784)="","Unknown",PROPER(TRIM(AN784)))</f>
        <v>East</v>
      </c>
      <c r="H784" s="0" t="str">
        <f aca="false">PROPER(TRIM(AO784))</f>
        <v>West Bengal</v>
      </c>
      <c r="I784" s="0" t="str">
        <f aca="false">PROPER(TRIM(AP784))</f>
        <v>Kolkata</v>
      </c>
      <c r="J784" s="0" t="str">
        <f aca="false">PROPER(TRIM(AQ784))</f>
        <v>Technology</v>
      </c>
      <c r="K784" s="0" t="str">
        <f aca="false">PROPER(TRIM(AR784))</f>
        <v>Copiers</v>
      </c>
      <c r="M784" s="0" t="str">
        <f aca="false">IF(TRIM(AS784)="","Unknown",PROPER(TRIM(AS784)))</f>
        <v>Standard Class</v>
      </c>
      <c r="N784" s="0" t="n">
        <v>2</v>
      </c>
      <c r="O784" s="0" t="n">
        <v>669.63</v>
      </c>
      <c r="P784" s="5" t="n">
        <f aca="false">IF(AT784="","",IF(ISNUMBER(AT784),AT784,VALUE(SUBSTITUTE(AT784,"%",""))/100))</f>
        <v>0.15</v>
      </c>
      <c r="Q784" s="5" t="n">
        <f aca="false">IF(P784="",IF(AND(N784&lt;&gt;"",O784&lt;&gt;"",R784&lt;&gt;"",S784&lt;&gt;""),0,"REVIEW"),IF(OR(P784&lt;0,P784&gt;0.3),0,P784))</f>
        <v>0.15</v>
      </c>
      <c r="R784" s="0" t="n">
        <v>1138.37</v>
      </c>
      <c r="S784" s="0" t="n">
        <v>797.34</v>
      </c>
      <c r="T784" s="6" t="n">
        <f aca="false">N784*O784*(1-Q784)</f>
        <v>1138.371</v>
      </c>
      <c r="U784" s="6" t="n">
        <f aca="false">T784-S784</f>
        <v>341.031</v>
      </c>
      <c r="V784" s="7" t="n">
        <f aca="false">IF(T784=0,0,U784/T784)</f>
        <v>0.299578081310926</v>
      </c>
      <c r="W784" s="4" t="n">
        <f aca="false">C784-B784</f>
        <v>8</v>
      </c>
      <c r="X784" s="0" t="str">
        <f aca="false">TEXT(B784,"mmmm")</f>
        <v>March</v>
      </c>
      <c r="Y784" s="4" t="n">
        <f aca="false">YEAR(B784)</f>
        <v>2025</v>
      </c>
      <c r="Z784" s="0" t="str">
        <f aca="false">PROPER(TRIM(AU784))</f>
        <v>Paid</v>
      </c>
      <c r="AA784" s="0" t="str">
        <f aca="false">PROPER(TRIM(AV784))</f>
        <v>Completed</v>
      </c>
      <c r="AB784" s="0" t="str">
        <f aca="false">IF(TRIM(AN784)="","Yes","No")</f>
        <v>No</v>
      </c>
      <c r="AC784" s="0" t="str">
        <f aca="false">IF(TRIM(AS784)="","Yes","No")</f>
        <v>No</v>
      </c>
      <c r="AD784" s="0" t="str">
        <f aca="false">IF(AT784="","Yes","No")</f>
        <v>No</v>
      </c>
      <c r="AE784" s="0" t="str">
        <f aca="false">IF(W784&lt;0,"Yes","No")</f>
        <v>No</v>
      </c>
      <c r="AF784" s="0" t="str">
        <f aca="false">IF(P784="","No",IF(OR(P784&lt;0,P784&gt;0.3),"Yes","No"))</f>
        <v>No</v>
      </c>
      <c r="AG784" s="4" t="s">
        <v>50</v>
      </c>
      <c r="AH784" s="0" t="str">
        <f aca="false">IF(AND(AA784="Completed",Z784="Paid"),"Yes","No")</f>
        <v>Yes</v>
      </c>
      <c r="AI784" s="0" t="str">
        <f aca="false">IF(OR(AE784="Yes",AF784="Yes",AG784="Yes"),"Invalid",IF(OR(AB784="Yes",AC784="Yes",AD784="Yes"),"Warning","Clean"))</f>
        <v>Clean</v>
      </c>
      <c r="AJ784" s="4" t="s">
        <v>1204</v>
      </c>
      <c r="AK784" s="4" t="s">
        <v>2893</v>
      </c>
      <c r="AL784" s="4" t="s">
        <v>67</v>
      </c>
      <c r="AM784" s="4" t="s">
        <v>128</v>
      </c>
      <c r="AN784" s="4" t="s">
        <v>69</v>
      </c>
      <c r="AO784" s="4" t="s">
        <v>139</v>
      </c>
      <c r="AP784" s="4" t="s">
        <v>140</v>
      </c>
      <c r="AQ784" s="4" t="s">
        <v>109</v>
      </c>
      <c r="AR784" s="4" t="s">
        <v>116</v>
      </c>
      <c r="AS784" s="4" t="s">
        <v>91</v>
      </c>
      <c r="AT784" s="0" t="n">
        <v>0.15</v>
      </c>
      <c r="AU784" s="4" t="s">
        <v>61</v>
      </c>
      <c r="AV784" s="4" t="s">
        <v>62</v>
      </c>
    </row>
    <row r="785" customFormat="false" ht="15" hidden="false" customHeight="false" outlineLevel="0" collapsed="false">
      <c r="A785" s="0" t="s">
        <v>2894</v>
      </c>
      <c r="B785" s="3" t="n">
        <f aca="false">IF(AJ785="","",IF(ISNUMBER(SEARCH("/",AJ785)),DATE(VALUE(RIGHT(AJ785,4)),VALUE(LEFT(AJ785,2)),VALUE(MID(AJ785,4,2))),IF(ISNUMBER(SEARCH("-",AJ785)),IF(LEN(LEFT(AJ785,FIND("-",AJ785)-1))=4,DATE(VALUE(LEFT(AJ785,4)),VALUE(MID(AJ785,6,2)),VALUE(RIGHT(AJ785,2))),DATE(VALUE(RIGHT(AJ785,4)),VALUE(MID(AJ785,4,2)),VALUE(LEFT(AJ785,2)))),DATE(VALUE(RIGHT(AJ785,4)),MATCH(MID(AJ785,4,3),{"Jan","Feb","Mar","Apr","May","Jun","Jul","Aug","Sep","Oct","Nov","Dec"},0),VALUE(LEFT(AJ785,2))))))</f>
        <v>45450</v>
      </c>
      <c r="C785" s="3" t="n">
        <f aca="false">IF(AK785="","",IF(ISNUMBER(SEARCH("/",AK785)),DATE(VALUE(RIGHT(AK785,4)),VALUE(LEFT(AK785,2)),VALUE(MID(AK785,4,2))),IF(ISNUMBER(SEARCH("-",AK785)),IF(LEN(LEFT(AK785,FIND("-",AK785)-1))=4,DATE(VALUE(LEFT(AK785,4)),VALUE(MID(AK785,6,2)),VALUE(RIGHT(AK785,2))),DATE(VALUE(RIGHT(AK785,4)),VALUE(MID(AK785,4,2)),VALUE(LEFT(AK785,2)))),DATE(VALUE(RIGHT(AK785,4)),MATCH(MID(AK785,4,3),{"Jan","Feb","Mar","Apr","May","Jun","Jul","Aug","Sep","Oct","Nov","Dec"},0),VALUE(LEFT(AK785,2))))))</f>
        <v>45450</v>
      </c>
      <c r="D785" s="4" t="s">
        <v>2895</v>
      </c>
      <c r="E785" s="0" t="str">
        <f aca="false">PROPER(TRIM(AL785))</f>
        <v>Aarav Sharma</v>
      </c>
      <c r="F785" s="0" t="str">
        <f aca="false">PROPER(TRIM(AM785))</f>
        <v>Small Business</v>
      </c>
      <c r="G785" s="0" t="str">
        <f aca="false">IF(TRIM(AN785)="","Unknown",PROPER(TRIM(AN785)))</f>
        <v>East</v>
      </c>
      <c r="H785" s="0" t="str">
        <f aca="false">PROPER(TRIM(AO785))</f>
        <v>Bihar</v>
      </c>
      <c r="I785" s="0" t="str">
        <f aca="false">PROPER(TRIM(AP785))</f>
        <v>Patna</v>
      </c>
      <c r="J785" s="0" t="str">
        <f aca="false">PROPER(TRIM(AQ785))</f>
        <v>Office Supplies</v>
      </c>
      <c r="K785" s="0" t="str">
        <f aca="false">PROPER(TRIM(AR785))</f>
        <v>Art</v>
      </c>
      <c r="M785" s="0" t="str">
        <f aca="false">IF(TRIM(AS785)="","Unknown",PROPER(TRIM(AS785)))</f>
        <v>Second Class</v>
      </c>
      <c r="N785" s="0" t="n">
        <v>1</v>
      </c>
      <c r="O785" s="0" t="n">
        <v>2581.93</v>
      </c>
      <c r="P785" s="5" t="n">
        <f aca="false">IF(AT785="","",IF(ISNUMBER(AT785),AT785,VALUE(SUBSTITUTE(AT785,"%",""))/100))</f>
        <v>0.05</v>
      </c>
      <c r="Q785" s="5" t="n">
        <f aca="false">IF(P785="",IF(AND(N785&lt;&gt;"",O785&lt;&gt;"",R785&lt;&gt;"",S785&lt;&gt;""),0,"REVIEW"),IF(OR(P785&lt;0,P785&gt;0.3),0,P785))</f>
        <v>0.05</v>
      </c>
      <c r="R785" s="0" t="n">
        <v>2452.83</v>
      </c>
      <c r="S785" s="0" t="n">
        <v>1906.7</v>
      </c>
      <c r="T785" s="6" t="n">
        <f aca="false">N785*O785*(1-Q785)</f>
        <v>2452.8335</v>
      </c>
      <c r="U785" s="6" t="n">
        <f aca="false">T785-S785</f>
        <v>546.1335</v>
      </c>
      <c r="V785" s="7" t="n">
        <f aca="false">IF(T785=0,0,U785/T785)</f>
        <v>0.222654126340006</v>
      </c>
      <c r="W785" s="4" t="n">
        <f aca="false">C785-B785</f>
        <v>0</v>
      </c>
      <c r="X785" s="0" t="str">
        <f aca="false">TEXT(B785,"mmmm")</f>
        <v>June</v>
      </c>
      <c r="Y785" s="4" t="n">
        <f aca="false">YEAR(B785)</f>
        <v>2024</v>
      </c>
      <c r="Z785" s="0" t="str">
        <f aca="false">PROPER(TRIM(AU785))</f>
        <v>Paid</v>
      </c>
      <c r="AA785" s="0" t="str">
        <f aca="false">PROPER(TRIM(AV785))</f>
        <v>Completed</v>
      </c>
      <c r="AB785" s="0" t="str">
        <f aca="false">IF(TRIM(AN785)="","Yes","No")</f>
        <v>No</v>
      </c>
      <c r="AC785" s="0" t="str">
        <f aca="false">IF(TRIM(AS785)="","Yes","No")</f>
        <v>No</v>
      </c>
      <c r="AD785" s="0" t="str">
        <f aca="false">IF(AT785="","Yes","No")</f>
        <v>No</v>
      </c>
      <c r="AE785" s="0" t="str">
        <f aca="false">IF(W785&lt;0,"Yes","No")</f>
        <v>No</v>
      </c>
      <c r="AF785" s="0" t="str">
        <f aca="false">IF(P785="","No",IF(OR(P785&lt;0,P785&gt;0.3),"Yes","No"))</f>
        <v>No</v>
      </c>
      <c r="AG785" s="4" t="s">
        <v>50</v>
      </c>
      <c r="AH785" s="0" t="str">
        <f aca="false">IF(AND(AA785="Completed",Z785="Paid"),"Yes","No")</f>
        <v>Yes</v>
      </c>
      <c r="AI785" s="0" t="str">
        <f aca="false">IF(OR(AE785="Yes",AF785="Yes",AG785="Yes"),"Invalid",IF(OR(AB785="Yes",AC785="Yes",AD785="Yes"),"Warning","Clean"))</f>
        <v>Clean</v>
      </c>
      <c r="AJ785" s="4" t="s">
        <v>2896</v>
      </c>
      <c r="AK785" s="4" t="s">
        <v>2897</v>
      </c>
      <c r="AL785" s="4" t="s">
        <v>176</v>
      </c>
      <c r="AM785" s="4" t="s">
        <v>68</v>
      </c>
      <c r="AN785" s="4" t="s">
        <v>69</v>
      </c>
      <c r="AO785" s="4" t="s">
        <v>196</v>
      </c>
      <c r="AP785" s="4" t="s">
        <v>197</v>
      </c>
      <c r="AQ785" s="4" t="s">
        <v>58</v>
      </c>
      <c r="AR785" s="4" t="s">
        <v>80</v>
      </c>
      <c r="AS785" s="4" t="s">
        <v>60</v>
      </c>
      <c r="AT785" s="0" t="n">
        <v>0.05</v>
      </c>
      <c r="AU785" s="4" t="s">
        <v>61</v>
      </c>
      <c r="AV785" s="4" t="s">
        <v>62</v>
      </c>
    </row>
    <row r="786" customFormat="false" ht="15" hidden="false" customHeight="false" outlineLevel="0" collapsed="false">
      <c r="A786" s="0" t="s">
        <v>2898</v>
      </c>
      <c r="B786" s="3" t="n">
        <f aca="false">IF(AJ786="","",IF(ISNUMBER(SEARCH("/",AJ786)),DATE(VALUE(RIGHT(AJ786,4)),VALUE(LEFT(AJ786,2)),VALUE(MID(AJ786,4,2))),IF(ISNUMBER(SEARCH("-",AJ786)),IF(LEN(LEFT(AJ786,FIND("-",AJ786)-1))=4,DATE(VALUE(LEFT(AJ786,4)),VALUE(MID(AJ786,6,2)),VALUE(RIGHT(AJ786,2))),DATE(VALUE(RIGHT(AJ786,4)),VALUE(MID(AJ786,4,2)),VALUE(LEFT(AJ786,2)))),DATE(VALUE(RIGHT(AJ786,4)),MATCH(MID(AJ786,4,3),{"Jan","Feb","Mar","Apr","May","Jun","Jul","Aug","Sep","Oct","Nov","Dec"},0),VALUE(LEFT(AJ786,2))))))</f>
        <v>45934</v>
      </c>
      <c r="C786" s="3" t="n">
        <f aca="false">IF(AK786="","",IF(ISNUMBER(SEARCH("/",AK786)),DATE(VALUE(RIGHT(AK786,4)),VALUE(LEFT(AK786,2)),VALUE(MID(AK786,4,2))),IF(ISNUMBER(SEARCH("-",AK786)),IF(LEN(LEFT(AK786,FIND("-",AK786)-1))=4,DATE(VALUE(LEFT(AK786,4)),VALUE(MID(AK786,6,2)),VALUE(RIGHT(AK786,2))),DATE(VALUE(RIGHT(AK786,4)),VALUE(MID(AK786,4,2)),VALUE(LEFT(AK786,2)))),DATE(VALUE(RIGHT(AK786,4)),MATCH(MID(AK786,4,3),{"Jan","Feb","Mar","Apr","May","Jun","Jul","Aug","Sep","Oct","Nov","Dec"},0),VALUE(LEFT(AK786,2))))))</f>
        <v>45935</v>
      </c>
      <c r="D786" s="4" t="s">
        <v>2899</v>
      </c>
      <c r="E786" s="0" t="str">
        <f aca="false">PROPER(TRIM(AL786))</f>
        <v>Priya Menon</v>
      </c>
      <c r="F786" s="0" t="str">
        <f aca="false">PROPER(TRIM(AM786))</f>
        <v>Corporate</v>
      </c>
      <c r="G786" s="0" t="str">
        <f aca="false">IF(TRIM(AN786)="","Unknown",PROPER(TRIM(AN786)))</f>
        <v>North</v>
      </c>
      <c r="H786" s="0" t="str">
        <f aca="false">PROPER(TRIM(AO786))</f>
        <v>Punjab</v>
      </c>
      <c r="I786" s="0" t="str">
        <f aca="false">PROPER(TRIM(AP786))</f>
        <v>Ludhiana</v>
      </c>
      <c r="J786" s="0" t="str">
        <f aca="false">PROPER(TRIM(AQ786))</f>
        <v>Technology</v>
      </c>
      <c r="K786" s="0" t="str">
        <f aca="false">PROPER(TRIM(AR786))</f>
        <v>Copiers</v>
      </c>
      <c r="M786" s="0" t="str">
        <f aca="false">IF(TRIM(AS786)="","Unknown",PROPER(TRIM(AS786)))</f>
        <v>First Class</v>
      </c>
      <c r="N786" s="0" t="n">
        <v>4</v>
      </c>
      <c r="O786" s="0" t="n">
        <v>418.18</v>
      </c>
      <c r="P786" s="5" t="n">
        <f aca="false">IF(AT786="","",IF(ISNUMBER(AT786),AT786,VALUE(SUBSTITUTE(AT786,"%",""))/100))</f>
        <v>0.05</v>
      </c>
      <c r="Q786" s="5" t="n">
        <f aca="false">IF(P786="",IF(AND(N786&lt;&gt;"",O786&lt;&gt;"",R786&lt;&gt;"",S786&lt;&gt;""),0,"REVIEW"),IF(OR(P786&lt;0,P786&gt;0.3),0,P786))</f>
        <v>0.05</v>
      </c>
      <c r="R786" s="0" t="n">
        <v>1589.08</v>
      </c>
      <c r="S786" s="0" t="n">
        <v>1084.66</v>
      </c>
      <c r="T786" s="6" t="n">
        <f aca="false">N786*O786*(1-Q786)</f>
        <v>1589.084</v>
      </c>
      <c r="U786" s="6" t="n">
        <f aca="false">T786-S786</f>
        <v>504.424</v>
      </c>
      <c r="V786" s="7" t="n">
        <f aca="false">IF(T786=0,0,U786/T786)</f>
        <v>0.3174306707512</v>
      </c>
      <c r="W786" s="4" t="n">
        <f aca="false">C786-B786</f>
        <v>1</v>
      </c>
      <c r="X786" s="0" t="str">
        <f aca="false">TEXT(B786,"mmmm")</f>
        <v>October</v>
      </c>
      <c r="Y786" s="4" t="n">
        <f aca="false">YEAR(B786)</f>
        <v>2025</v>
      </c>
      <c r="Z786" s="0" t="str">
        <f aca="false">PROPER(TRIM(AU786))</f>
        <v>Paid</v>
      </c>
      <c r="AA786" s="0" t="str">
        <f aca="false">PROPER(TRIM(AV786))</f>
        <v>Completed</v>
      </c>
      <c r="AB786" s="0" t="str">
        <f aca="false">IF(TRIM(AN786)="","Yes","No")</f>
        <v>No</v>
      </c>
      <c r="AC786" s="0" t="str">
        <f aca="false">IF(TRIM(AS786)="","Yes","No")</f>
        <v>No</v>
      </c>
      <c r="AD786" s="0" t="str">
        <f aca="false">IF(AT786="","Yes","No")</f>
        <v>No</v>
      </c>
      <c r="AE786" s="0" t="str">
        <f aca="false">IF(W786&lt;0,"Yes","No")</f>
        <v>No</v>
      </c>
      <c r="AF786" s="0" t="str">
        <f aca="false">IF(P786="","No",IF(OR(P786&lt;0,P786&gt;0.3),"Yes","No"))</f>
        <v>No</v>
      </c>
      <c r="AG786" s="4" t="s">
        <v>50</v>
      </c>
      <c r="AH786" s="0" t="str">
        <f aca="false">IF(AND(AA786="Completed",Z786="Paid"),"Yes","No")</f>
        <v>Yes</v>
      </c>
      <c r="AI786" s="0" t="str">
        <f aca="false">IF(OR(AE786="Yes",AF786="Yes",AG786="Yes"),"Invalid",IF(OR(AB786="Yes",AC786="Yes",AD786="Yes"),"Warning","Clean"))</f>
        <v>Clean</v>
      </c>
      <c r="AJ786" s="4" t="s">
        <v>2900</v>
      </c>
      <c r="AK786" s="4" t="s">
        <v>2081</v>
      </c>
      <c r="AL786" s="4" t="s">
        <v>158</v>
      </c>
      <c r="AM786" s="4" t="s">
        <v>128</v>
      </c>
      <c r="AN786" s="4" t="s">
        <v>2901</v>
      </c>
      <c r="AO786" s="4" t="s">
        <v>169</v>
      </c>
      <c r="AP786" s="4" t="s">
        <v>170</v>
      </c>
      <c r="AQ786" s="4" t="s">
        <v>109</v>
      </c>
      <c r="AR786" s="4" t="s">
        <v>116</v>
      </c>
      <c r="AS786" s="4" t="s">
        <v>81</v>
      </c>
      <c r="AT786" s="0" t="n">
        <v>0.05</v>
      </c>
      <c r="AU786" s="4" t="s">
        <v>61</v>
      </c>
      <c r="AV786" s="4" t="s">
        <v>62</v>
      </c>
    </row>
    <row r="787" customFormat="false" ht="15" hidden="false" customHeight="false" outlineLevel="0" collapsed="false">
      <c r="A787" s="0" t="s">
        <v>2902</v>
      </c>
      <c r="B787" s="3" t="n">
        <f aca="false">IF(AJ787="","",IF(ISNUMBER(SEARCH("/",AJ787)),DATE(VALUE(RIGHT(AJ787,4)),VALUE(LEFT(AJ787,2)),VALUE(MID(AJ787,4,2))),IF(ISNUMBER(SEARCH("-",AJ787)),IF(LEN(LEFT(AJ787,FIND("-",AJ787)-1))=4,DATE(VALUE(LEFT(AJ787,4)),VALUE(MID(AJ787,6,2)),VALUE(RIGHT(AJ787,2))),DATE(VALUE(RIGHT(AJ787,4)),VALUE(MID(AJ787,4,2)),VALUE(LEFT(AJ787,2)))),DATE(VALUE(RIGHT(AJ787,4)),MATCH(MID(AJ787,4,3),{"Jan","Feb","Mar","Apr","May","Jun","Jul","Aug","Sep","Oct","Nov","Dec"},0),VALUE(LEFT(AJ787,2))))))</f>
        <v>45435</v>
      </c>
      <c r="C787" s="3" t="n">
        <f aca="false">IF(AK787="","",IF(ISNUMBER(SEARCH("/",AK787)),DATE(VALUE(RIGHT(AK787,4)),VALUE(LEFT(AK787,2)),VALUE(MID(AK787,4,2))),IF(ISNUMBER(SEARCH("-",AK787)),IF(LEN(LEFT(AK787,FIND("-",AK787)-1))=4,DATE(VALUE(LEFT(AK787,4)),VALUE(MID(AK787,6,2)),VALUE(RIGHT(AK787,2))),DATE(VALUE(RIGHT(AK787,4)),VALUE(MID(AK787,4,2)),VALUE(LEFT(AK787,2)))),DATE(VALUE(RIGHT(AK787,4)),MATCH(MID(AK787,4,3),{"Jan","Feb","Mar","Apr","May","Jun","Jul","Aug","Sep","Oct","Nov","Dec"},0),VALUE(LEFT(AK787,2))))))</f>
        <v>45441</v>
      </c>
      <c r="D787" s="4" t="s">
        <v>2903</v>
      </c>
      <c r="E787" s="0" t="str">
        <f aca="false">PROPER(TRIM(AL787))</f>
        <v>Diya Patel</v>
      </c>
      <c r="F787" s="0" t="str">
        <f aca="false">PROPER(TRIM(AM787))</f>
        <v>Small Business</v>
      </c>
      <c r="G787" s="0" t="str">
        <f aca="false">IF(TRIM(AN787)="","Unknown",PROPER(TRIM(AN787)))</f>
        <v>North</v>
      </c>
      <c r="H787" s="0" t="str">
        <f aca="false">PROPER(TRIM(AO787))</f>
        <v>Haryana</v>
      </c>
      <c r="I787" s="0" t="str">
        <f aca="false">PROPER(TRIM(AP787))</f>
        <v>Gurugram</v>
      </c>
      <c r="J787" s="0" t="str">
        <f aca="false">PROPER(TRIM(AQ787))</f>
        <v>Office Supplies</v>
      </c>
      <c r="K787" s="0" t="str">
        <f aca="false">PROPER(TRIM(AR787))</f>
        <v>Storage</v>
      </c>
      <c r="M787" s="0" t="str">
        <f aca="false">IF(TRIM(AS787)="","Unknown",PROPER(TRIM(AS787)))</f>
        <v>Same Day</v>
      </c>
      <c r="N787" s="0" t="n">
        <v>2</v>
      </c>
      <c r="O787" s="0" t="n">
        <v>3012.94</v>
      </c>
      <c r="P787" s="5" t="n">
        <f aca="false">IF(AT787="","",IF(ISNUMBER(AT787),AT787,VALUE(SUBSTITUTE(AT787,"%",""))/100))</f>
        <v>0.25</v>
      </c>
      <c r="Q787" s="5" t="n">
        <f aca="false">IF(P787="",IF(AND(N787&lt;&gt;"",O787&lt;&gt;"",R787&lt;&gt;"",S787&lt;&gt;""),0,"REVIEW"),IF(OR(P787&lt;0,P787&gt;0.3),0,P787))</f>
        <v>0.25</v>
      </c>
      <c r="R787" s="0" t="n">
        <v>4519.41</v>
      </c>
      <c r="S787" s="0" t="n">
        <v>3504.16</v>
      </c>
      <c r="T787" s="6" t="n">
        <f aca="false">N787*O787*(1-Q787)</f>
        <v>4519.41</v>
      </c>
      <c r="U787" s="6" t="n">
        <f aca="false">T787-S787</f>
        <v>1015.25</v>
      </c>
      <c r="V787" s="7" t="n">
        <f aca="false">IF(T787=0,0,U787/T787)</f>
        <v>0.224642154617528</v>
      </c>
      <c r="W787" s="4" t="n">
        <f aca="false">C787-B787</f>
        <v>6</v>
      </c>
      <c r="X787" s="0" t="str">
        <f aca="false">TEXT(B787,"mmmm")</f>
        <v>May</v>
      </c>
      <c r="Y787" s="4" t="n">
        <f aca="false">YEAR(B787)</f>
        <v>2024</v>
      </c>
      <c r="Z787" s="0" t="str">
        <f aca="false">PROPER(TRIM(AU787))</f>
        <v>Failed</v>
      </c>
      <c r="AA787" s="0" t="str">
        <f aca="false">PROPER(TRIM(AV787))</f>
        <v>Cancelled</v>
      </c>
      <c r="AB787" s="0" t="str">
        <f aca="false">IF(TRIM(AN787)="","Yes","No")</f>
        <v>No</v>
      </c>
      <c r="AC787" s="0" t="str">
        <f aca="false">IF(TRIM(AS787)="","Yes","No")</f>
        <v>No</v>
      </c>
      <c r="AD787" s="0" t="str">
        <f aca="false">IF(AT787="","Yes","No")</f>
        <v>No</v>
      </c>
      <c r="AE787" s="0" t="str">
        <f aca="false">IF(W787&lt;0,"Yes","No")</f>
        <v>No</v>
      </c>
      <c r="AF787" s="0" t="str">
        <f aca="false">IF(P787="","No",IF(OR(P787&lt;0,P787&gt;0.3),"Yes","No"))</f>
        <v>No</v>
      </c>
      <c r="AG787" s="4" t="s">
        <v>50</v>
      </c>
      <c r="AH787" s="0" t="str">
        <f aca="false">IF(AND(AA787="Completed",Z787="Paid"),"Yes","No")</f>
        <v>No</v>
      </c>
      <c r="AI787" s="0" t="str">
        <f aca="false">IF(OR(AE787="Yes",AF787="Yes",AG787="Yes"),"Invalid",IF(OR(AB787="Yes",AC787="Yes",AD787="Yes"),"Warning","Clean"))</f>
        <v>Clean</v>
      </c>
      <c r="AJ787" s="4" t="s">
        <v>2904</v>
      </c>
      <c r="AK787" s="4" t="s">
        <v>270</v>
      </c>
      <c r="AL787" s="4" t="s">
        <v>216</v>
      </c>
      <c r="AM787" s="4" t="s">
        <v>68</v>
      </c>
      <c r="AN787" s="4" t="s">
        <v>168</v>
      </c>
      <c r="AO787" s="4" t="s">
        <v>310</v>
      </c>
      <c r="AP787" s="4" t="s">
        <v>311</v>
      </c>
      <c r="AQ787" s="4" t="s">
        <v>58</v>
      </c>
      <c r="AR787" s="4" t="s">
        <v>171</v>
      </c>
      <c r="AS787" s="4" t="s">
        <v>74</v>
      </c>
      <c r="AT787" s="0" t="n">
        <v>0.25</v>
      </c>
      <c r="AU787" s="4" t="s">
        <v>207</v>
      </c>
      <c r="AV787" s="4" t="s">
        <v>101</v>
      </c>
    </row>
    <row r="788" customFormat="false" ht="15" hidden="false" customHeight="false" outlineLevel="0" collapsed="false">
      <c r="A788" s="0" t="s">
        <v>2905</v>
      </c>
      <c r="B788" s="3" t="n">
        <f aca="false">IF(AJ788="","",IF(ISNUMBER(SEARCH("/",AJ788)),DATE(VALUE(RIGHT(AJ788,4)),VALUE(LEFT(AJ788,2)),VALUE(MID(AJ788,4,2))),IF(ISNUMBER(SEARCH("-",AJ788)),IF(LEN(LEFT(AJ788,FIND("-",AJ788)-1))=4,DATE(VALUE(LEFT(AJ788,4)),VALUE(MID(AJ788,6,2)),VALUE(RIGHT(AJ788,2))),DATE(VALUE(RIGHT(AJ788,4)),VALUE(MID(AJ788,4,2)),VALUE(LEFT(AJ788,2)))),DATE(VALUE(RIGHT(AJ788,4)),MATCH(MID(AJ788,4,3),{"Jan","Feb","Mar","Apr","May","Jun","Jul","Aug","Sep","Oct","Nov","Dec"},0),VALUE(LEFT(AJ788,2))))))</f>
        <v>45844</v>
      </c>
      <c r="C788" s="3" t="n">
        <f aca="false">IF(AK788="","",IF(ISNUMBER(SEARCH("/",AK788)),DATE(VALUE(RIGHT(AK788,4)),VALUE(LEFT(AK788,2)),VALUE(MID(AK788,4,2))),IF(ISNUMBER(SEARCH("-",AK788)),IF(LEN(LEFT(AK788,FIND("-",AK788)-1))=4,DATE(VALUE(LEFT(AK788,4)),VALUE(MID(AK788,6,2)),VALUE(RIGHT(AK788,2))),DATE(VALUE(RIGHT(AK788,4)),VALUE(MID(AK788,4,2)),VALUE(LEFT(AK788,2)))),DATE(VALUE(RIGHT(AK788,4)),MATCH(MID(AK788,4,3),{"Jan","Feb","Mar","Apr","May","Jun","Jul","Aug","Sep","Oct","Nov","Dec"},0),VALUE(LEFT(AK788,2))))))</f>
        <v>45846</v>
      </c>
      <c r="D788" s="4" t="s">
        <v>2906</v>
      </c>
      <c r="E788" s="0" t="str">
        <f aca="false">PROPER(TRIM(AL788))</f>
        <v>Ananya Rao</v>
      </c>
      <c r="F788" s="0" t="str">
        <f aca="false">PROPER(TRIM(AM788))</f>
        <v>Corporate</v>
      </c>
      <c r="G788" s="0" t="str">
        <f aca="false">IF(TRIM(AN788)="","Unknown",PROPER(TRIM(AN788)))</f>
        <v>North</v>
      </c>
      <c r="H788" s="0" t="str">
        <f aca="false">PROPER(TRIM(AO788))</f>
        <v>Rajasthan</v>
      </c>
      <c r="I788" s="0" t="str">
        <f aca="false">PROPER(TRIM(AP788))</f>
        <v>Jaipur</v>
      </c>
      <c r="J788" s="0" t="str">
        <f aca="false">PROPER(TRIM(AQ788))</f>
        <v>Furniture</v>
      </c>
      <c r="K788" s="0" t="str">
        <f aca="false">PROPER(TRIM(AR788))</f>
        <v>Furnishings</v>
      </c>
      <c r="M788" s="0" t="str">
        <f aca="false">IF(TRIM(AS788)="","Unknown",PROPER(TRIM(AS788)))</f>
        <v>Unknown</v>
      </c>
      <c r="N788" s="0" t="n">
        <v>4</v>
      </c>
      <c r="O788" s="0" t="n">
        <v>715.45</v>
      </c>
      <c r="P788" s="5" t="n">
        <f aca="false">IF(AT788="","",IF(ISNUMBER(AT788),AT788,VALUE(SUBSTITUTE(AT788,"%",""))/100))</f>
        <v>0.05</v>
      </c>
      <c r="Q788" s="5" t="n">
        <f aca="false">IF(P788="",IF(AND(N788&lt;&gt;"",O788&lt;&gt;"",R788&lt;&gt;"",S788&lt;&gt;""),0,"REVIEW"),IF(OR(P788&lt;0,P788&gt;0.3),0,P788))</f>
        <v>0.05</v>
      </c>
      <c r="R788" s="0" t="n">
        <v>2718.71</v>
      </c>
      <c r="S788" s="0" t="n">
        <v>2065.05</v>
      </c>
      <c r="T788" s="6" t="n">
        <f aca="false">N788*O788*(1-Q788)</f>
        <v>2718.71</v>
      </c>
      <c r="U788" s="6" t="n">
        <f aca="false">T788-S788</f>
        <v>653.66</v>
      </c>
      <c r="V788" s="7" t="n">
        <f aca="false">IF(T788=0,0,U788/T788)</f>
        <v>0.240430204030588</v>
      </c>
      <c r="W788" s="4" t="n">
        <f aca="false">C788-B788</f>
        <v>2</v>
      </c>
      <c r="X788" s="0" t="str">
        <f aca="false">TEXT(B788,"mmmm")</f>
        <v>July</v>
      </c>
      <c r="Y788" s="4" t="n">
        <f aca="false">YEAR(B788)</f>
        <v>2025</v>
      </c>
      <c r="Z788" s="0" t="str">
        <f aca="false">PROPER(TRIM(AU788))</f>
        <v>Refunded</v>
      </c>
      <c r="AA788" s="0" t="str">
        <f aca="false">PROPER(TRIM(AV788))</f>
        <v>Returned</v>
      </c>
      <c r="AB788" s="0" t="str">
        <f aca="false">IF(TRIM(AN788)="","Yes","No")</f>
        <v>No</v>
      </c>
      <c r="AC788" s="0" t="str">
        <f aca="false">IF(TRIM(AS788)="","Yes","No")</f>
        <v>Yes</v>
      </c>
      <c r="AD788" s="0" t="str">
        <f aca="false">IF(AT788="","Yes","No")</f>
        <v>No</v>
      </c>
      <c r="AE788" s="0" t="str">
        <f aca="false">IF(W788&lt;0,"Yes","No")</f>
        <v>No</v>
      </c>
      <c r="AF788" s="0" t="str">
        <f aca="false">IF(P788="","No",IF(OR(P788&lt;0,P788&gt;0.3),"Yes","No"))</f>
        <v>No</v>
      </c>
      <c r="AG788" s="4" t="s">
        <v>50</v>
      </c>
      <c r="AH788" s="0" t="str">
        <f aca="false">IF(AND(AA788="Completed",Z788="Paid"),"Yes","No")</f>
        <v>No</v>
      </c>
      <c r="AI788" s="0" t="str">
        <f aca="false">IF(OR(AE788="Yes",AF788="Yes",AG788="Yes"),"Invalid",IF(OR(AB788="Yes",AC788="Yes",AD788="Yes"),"Warning","Clean"))</f>
        <v>Warning</v>
      </c>
      <c r="AJ788" s="4" t="s">
        <v>1076</v>
      </c>
      <c r="AK788" s="4" t="s">
        <v>2314</v>
      </c>
      <c r="AL788" s="4" t="s">
        <v>96</v>
      </c>
      <c r="AM788" s="4" t="s">
        <v>128</v>
      </c>
      <c r="AN788" s="4" t="s">
        <v>168</v>
      </c>
      <c r="AO788" s="4" t="s">
        <v>56</v>
      </c>
      <c r="AP788" s="4" t="s">
        <v>57</v>
      </c>
      <c r="AQ788" s="4" t="s">
        <v>72</v>
      </c>
      <c r="AR788" s="4" t="s">
        <v>90</v>
      </c>
      <c r="AT788" s="0" t="n">
        <v>0.05</v>
      </c>
      <c r="AU788" s="4" t="s">
        <v>141</v>
      </c>
      <c r="AV788" s="4" t="s">
        <v>142</v>
      </c>
    </row>
    <row r="789" customFormat="false" ht="15" hidden="false" customHeight="false" outlineLevel="0" collapsed="false">
      <c r="A789" s="0" t="s">
        <v>2907</v>
      </c>
      <c r="B789" s="3" t="n">
        <f aca="false">IF(AJ789="","",IF(ISNUMBER(SEARCH("/",AJ789)),DATE(VALUE(RIGHT(AJ789,4)),VALUE(LEFT(AJ789,2)),VALUE(MID(AJ789,4,2))),IF(ISNUMBER(SEARCH("-",AJ789)),IF(LEN(LEFT(AJ789,FIND("-",AJ789)-1))=4,DATE(VALUE(LEFT(AJ789,4)),VALUE(MID(AJ789,6,2)),VALUE(RIGHT(AJ789,2))),DATE(VALUE(RIGHT(AJ789,4)),VALUE(MID(AJ789,4,2)),VALUE(LEFT(AJ789,2)))),DATE(VALUE(RIGHT(AJ789,4)),MATCH(MID(AJ789,4,3),{"Jan","Feb","Mar","Apr","May","Jun","Jul","Aug","Sep","Oct","Nov","Dec"},0),VALUE(LEFT(AJ789,2))))))</f>
        <v>45547</v>
      </c>
      <c r="C789" s="3" t="n">
        <f aca="false">IF(AK789="","",IF(ISNUMBER(SEARCH("/",AK789)),DATE(VALUE(RIGHT(AK789,4)),VALUE(LEFT(AK789,2)),VALUE(MID(AK789,4,2))),IF(ISNUMBER(SEARCH("-",AK789)),IF(LEN(LEFT(AK789,FIND("-",AK789)-1))=4,DATE(VALUE(LEFT(AK789,4)),VALUE(MID(AK789,6,2)),VALUE(RIGHT(AK789,2))),DATE(VALUE(RIGHT(AK789,4)),VALUE(MID(AK789,4,2)),VALUE(LEFT(AK789,2)))),DATE(VALUE(RIGHT(AK789,4)),MATCH(MID(AK789,4,3),{"Jan","Feb","Mar","Apr","May","Jun","Jul","Aug","Sep","Oct","Nov","Dec"},0),VALUE(LEFT(AK789,2))))))</f>
        <v>45553</v>
      </c>
      <c r="D789" s="4" t="s">
        <v>2908</v>
      </c>
      <c r="E789" s="0" t="str">
        <f aca="false">PROPER(TRIM(AL789))</f>
        <v>Ananya Rao</v>
      </c>
      <c r="F789" s="0" t="str">
        <f aca="false">PROPER(TRIM(AM789))</f>
        <v>Home Office</v>
      </c>
      <c r="G789" s="0" t="str">
        <f aca="false">IF(TRIM(AN789)="","Unknown",PROPER(TRIM(AN789)))</f>
        <v>East</v>
      </c>
      <c r="H789" s="0" t="str">
        <f aca="false">PROPER(TRIM(AO789))</f>
        <v>Bihar</v>
      </c>
      <c r="I789" s="0" t="str">
        <f aca="false">PROPER(TRIM(AP789))</f>
        <v>Patna</v>
      </c>
      <c r="J789" s="0" t="str">
        <f aca="false">PROPER(TRIM(AQ789))</f>
        <v>Office Supplies</v>
      </c>
      <c r="K789" s="0" t="str">
        <f aca="false">PROPER(TRIM(AR789))</f>
        <v>Paper</v>
      </c>
      <c r="M789" s="0" t="str">
        <f aca="false">IF(TRIM(AS789)="","Unknown",PROPER(TRIM(AS789)))</f>
        <v>Second Class</v>
      </c>
      <c r="N789" s="0" t="n">
        <v>2</v>
      </c>
      <c r="O789" s="0" t="n">
        <v>3718.77</v>
      </c>
      <c r="P789" s="5" t="n">
        <f aca="false">IF(AT789="","",IF(ISNUMBER(AT789),AT789,VALUE(SUBSTITUTE(AT789,"%",""))/100))</f>
        <v>0.05</v>
      </c>
      <c r="Q789" s="5" t="n">
        <f aca="false">IF(P789="",IF(AND(N789&lt;&gt;"",O789&lt;&gt;"",R789&lt;&gt;"",S789&lt;&gt;""),0,"REVIEW"),IF(OR(P789&lt;0,P789&gt;0.3),0,P789))</f>
        <v>0.05</v>
      </c>
      <c r="R789" s="0" t="n">
        <v>7065.66</v>
      </c>
      <c r="S789" s="0" t="n">
        <v>4915.27</v>
      </c>
      <c r="T789" s="6" t="n">
        <f aca="false">N789*O789*(1-Q789)</f>
        <v>7065.663</v>
      </c>
      <c r="U789" s="6" t="n">
        <f aca="false">T789-S789</f>
        <v>2150.393</v>
      </c>
      <c r="V789" s="7" t="n">
        <f aca="false">IF(T789=0,0,U789/T789)</f>
        <v>0.30434412170521</v>
      </c>
      <c r="W789" s="4" t="n">
        <f aca="false">C789-B789</f>
        <v>6</v>
      </c>
      <c r="X789" s="0" t="str">
        <f aca="false">TEXT(B789,"mmmm")</f>
        <v>September</v>
      </c>
      <c r="Y789" s="4" t="n">
        <f aca="false">YEAR(B789)</f>
        <v>2024</v>
      </c>
      <c r="Z789" s="0" t="str">
        <f aca="false">PROPER(TRIM(AU789))</f>
        <v>Paid</v>
      </c>
      <c r="AA789" s="0" t="str">
        <f aca="false">PROPER(TRIM(AV789))</f>
        <v>Completed</v>
      </c>
      <c r="AB789" s="0" t="str">
        <f aca="false">IF(TRIM(AN789)="","Yes","No")</f>
        <v>No</v>
      </c>
      <c r="AC789" s="0" t="str">
        <f aca="false">IF(TRIM(AS789)="","Yes","No")</f>
        <v>No</v>
      </c>
      <c r="AD789" s="0" t="str">
        <f aca="false">IF(AT789="","Yes","No")</f>
        <v>No</v>
      </c>
      <c r="AE789" s="0" t="str">
        <f aca="false">IF(W789&lt;0,"Yes","No")</f>
        <v>No</v>
      </c>
      <c r="AF789" s="0" t="str">
        <f aca="false">IF(P789="","No",IF(OR(P789&lt;0,P789&gt;0.3),"Yes","No"))</f>
        <v>No</v>
      </c>
      <c r="AG789" s="4" t="s">
        <v>50</v>
      </c>
      <c r="AH789" s="0" t="str">
        <f aca="false">IF(AND(AA789="Completed",Z789="Paid"),"Yes","No")</f>
        <v>Yes</v>
      </c>
      <c r="AI789" s="0" t="str">
        <f aca="false">IF(OR(AE789="Yes",AF789="Yes",AG789="Yes"),"Invalid",IF(OR(AB789="Yes",AC789="Yes",AD789="Yes"),"Warning","Clean"))</f>
        <v>Clean</v>
      </c>
      <c r="AJ789" s="4" t="s">
        <v>1117</v>
      </c>
      <c r="AK789" s="4" t="s">
        <v>2909</v>
      </c>
      <c r="AL789" s="4" t="s">
        <v>96</v>
      </c>
      <c r="AM789" s="4" t="s">
        <v>134</v>
      </c>
      <c r="AN789" s="4" t="s">
        <v>69</v>
      </c>
      <c r="AO789" s="4" t="s">
        <v>196</v>
      </c>
      <c r="AP789" s="4" t="s">
        <v>197</v>
      </c>
      <c r="AQ789" s="4" t="s">
        <v>58</v>
      </c>
      <c r="AR789" s="4" t="s">
        <v>59</v>
      </c>
      <c r="AS789" s="4" t="s">
        <v>60</v>
      </c>
      <c r="AT789" s="0" t="n">
        <v>0.05</v>
      </c>
      <c r="AU789" s="4" t="s">
        <v>228</v>
      </c>
      <c r="AV789" s="4" t="s">
        <v>62</v>
      </c>
    </row>
    <row r="790" customFormat="false" ht="15" hidden="false" customHeight="false" outlineLevel="0" collapsed="false">
      <c r="A790" s="0" t="s">
        <v>2910</v>
      </c>
      <c r="B790" s="3" t="n">
        <f aca="false">IF(AJ790="","",IF(ISNUMBER(SEARCH("/",AJ790)),DATE(VALUE(RIGHT(AJ790,4)),VALUE(LEFT(AJ790,2)),VALUE(MID(AJ790,4,2))),IF(ISNUMBER(SEARCH("-",AJ790)),IF(LEN(LEFT(AJ790,FIND("-",AJ790)-1))=4,DATE(VALUE(LEFT(AJ790,4)),VALUE(MID(AJ790,6,2)),VALUE(RIGHT(AJ790,2))),DATE(VALUE(RIGHT(AJ790,4)),VALUE(MID(AJ790,4,2)),VALUE(LEFT(AJ790,2)))),DATE(VALUE(RIGHT(AJ790,4)),MATCH(MID(AJ790,4,3),{"Jan","Feb","Mar","Apr","May","Jun","Jul","Aug","Sep","Oct","Nov","Dec"},0),VALUE(LEFT(AJ790,2))))))</f>
        <v>45505</v>
      </c>
      <c r="C790" s="3" t="n">
        <f aca="false">IF(AK790="","",IF(ISNUMBER(SEARCH("/",AK790)),DATE(VALUE(RIGHT(AK790,4)),VALUE(LEFT(AK790,2)),VALUE(MID(AK790,4,2))),IF(ISNUMBER(SEARCH("-",AK790)),IF(LEN(LEFT(AK790,FIND("-",AK790)-1))=4,DATE(VALUE(LEFT(AK790,4)),VALUE(MID(AK790,6,2)),VALUE(RIGHT(AK790,2))),DATE(VALUE(RIGHT(AK790,4)),VALUE(MID(AK790,4,2)),VALUE(LEFT(AK790,2)))),DATE(VALUE(RIGHT(AK790,4)),MATCH(MID(AK790,4,3),{"Jan","Feb","Mar","Apr","May","Jun","Jul","Aug","Sep","Oct","Nov","Dec"},0),VALUE(LEFT(AK790,2))))))</f>
        <v>45506</v>
      </c>
      <c r="D790" s="4" t="s">
        <v>2911</v>
      </c>
      <c r="E790" s="0" t="str">
        <f aca="false">PROPER(TRIM(AL790))</f>
        <v>Isha Nair</v>
      </c>
      <c r="F790" s="0" t="str">
        <f aca="false">PROPER(TRIM(AM790))</f>
        <v>Corporate</v>
      </c>
      <c r="G790" s="0" t="str">
        <f aca="false">IF(TRIM(AN790)="","Unknown",PROPER(TRIM(AN790)))</f>
        <v>North</v>
      </c>
      <c r="H790" s="0" t="str">
        <f aca="false">PROPER(TRIM(AO790))</f>
        <v>Uttar Pradesh</v>
      </c>
      <c r="I790" s="0" t="str">
        <f aca="false">PROPER(TRIM(AP790))</f>
        <v>Noida</v>
      </c>
      <c r="J790" s="0" t="str">
        <f aca="false">PROPER(TRIM(AQ790))</f>
        <v>Furniture</v>
      </c>
      <c r="K790" s="0" t="str">
        <f aca="false">PROPER(TRIM(AR790))</f>
        <v>Chairs</v>
      </c>
      <c r="M790" s="0" t="str">
        <f aca="false">IF(TRIM(AS790)="","Unknown",PROPER(TRIM(AS790)))</f>
        <v>Standard Class</v>
      </c>
      <c r="N790" s="0" t="n">
        <v>8</v>
      </c>
      <c r="O790" s="0" t="n">
        <v>2487.64</v>
      </c>
      <c r="P790" s="5" t="n">
        <f aca="false">IF(AT790="","",IF(ISNUMBER(AT790),AT790,VALUE(SUBSTITUTE(AT790,"%",""))/100))</f>
        <v>0.1</v>
      </c>
      <c r="Q790" s="5" t="n">
        <f aca="false">IF(P790="",IF(AND(N790&lt;&gt;"",O790&lt;&gt;"",R790&lt;&gt;"",S790&lt;&gt;""),0,"REVIEW"),IF(OR(P790&lt;0,P790&gt;0.3),0,P790))</f>
        <v>0.1</v>
      </c>
      <c r="R790" s="0" t="n">
        <v>17911.01</v>
      </c>
      <c r="S790" s="0" t="n">
        <v>11546.05</v>
      </c>
      <c r="T790" s="6" t="n">
        <f aca="false">N790*O790*(1-Q790)</f>
        <v>17911.008</v>
      </c>
      <c r="U790" s="6" t="n">
        <f aca="false">T790-S790</f>
        <v>6364.958</v>
      </c>
      <c r="V790" s="7" t="n">
        <f aca="false">IF(T790=0,0,U790/T790)</f>
        <v>0.355365705827388</v>
      </c>
      <c r="W790" s="4" t="n">
        <f aca="false">C790-B790</f>
        <v>1</v>
      </c>
      <c r="X790" s="0" t="str">
        <f aca="false">TEXT(B790,"mmmm")</f>
        <v>August</v>
      </c>
      <c r="Y790" s="4" t="n">
        <f aca="false">YEAR(B790)</f>
        <v>2024</v>
      </c>
      <c r="Z790" s="0" t="str">
        <f aca="false">PROPER(TRIM(AU790))</f>
        <v>Failed</v>
      </c>
      <c r="AA790" s="0" t="str">
        <f aca="false">PROPER(TRIM(AV790))</f>
        <v>Returned</v>
      </c>
      <c r="AB790" s="0" t="str">
        <f aca="false">IF(TRIM(AN790)="","Yes","No")</f>
        <v>No</v>
      </c>
      <c r="AC790" s="0" t="str">
        <f aca="false">IF(TRIM(AS790)="","Yes","No")</f>
        <v>No</v>
      </c>
      <c r="AD790" s="0" t="str">
        <f aca="false">IF(AT790="","Yes","No")</f>
        <v>No</v>
      </c>
      <c r="AE790" s="0" t="str">
        <f aca="false">IF(W790&lt;0,"Yes","No")</f>
        <v>No</v>
      </c>
      <c r="AF790" s="0" t="str">
        <f aca="false">IF(P790="","No",IF(OR(P790&lt;0,P790&gt;0.3),"Yes","No"))</f>
        <v>No</v>
      </c>
      <c r="AG790" s="4" t="s">
        <v>50</v>
      </c>
      <c r="AH790" s="0" t="str">
        <f aca="false">IF(AND(AA790="Completed",Z790="Paid"),"Yes","No")</f>
        <v>No</v>
      </c>
      <c r="AI790" s="0" t="str">
        <f aca="false">IF(OR(AE790="Yes",AF790="Yes",AG790="Yes"),"Invalid",IF(OR(AB790="Yes",AC790="Yes",AD790="Yes"),"Warning","Clean"))</f>
        <v>Clean</v>
      </c>
      <c r="AJ790" s="4" t="s">
        <v>1098</v>
      </c>
      <c r="AK790" s="4" t="s">
        <v>488</v>
      </c>
      <c r="AL790" s="4" t="s">
        <v>79</v>
      </c>
      <c r="AM790" s="4" t="s">
        <v>128</v>
      </c>
      <c r="AN790" s="4" t="s">
        <v>168</v>
      </c>
      <c r="AO790" s="4" t="s">
        <v>186</v>
      </c>
      <c r="AP790" s="4" t="s">
        <v>187</v>
      </c>
      <c r="AQ790" s="4" t="s">
        <v>72</v>
      </c>
      <c r="AR790" s="4" t="s">
        <v>100</v>
      </c>
      <c r="AS790" s="4" t="s">
        <v>91</v>
      </c>
      <c r="AT790" s="0" t="n">
        <v>0.1</v>
      </c>
      <c r="AU790" s="4" t="s">
        <v>207</v>
      </c>
      <c r="AV790" s="4" t="s">
        <v>142</v>
      </c>
    </row>
    <row r="791" customFormat="false" ht="15" hidden="false" customHeight="false" outlineLevel="0" collapsed="false">
      <c r="A791" s="0" t="s">
        <v>2912</v>
      </c>
      <c r="B791" s="3" t="n">
        <f aca="false">IF(AJ791="","",IF(ISNUMBER(SEARCH("/",AJ791)),DATE(VALUE(RIGHT(AJ791,4)),VALUE(LEFT(AJ791,2)),VALUE(MID(AJ791,4,2))),IF(ISNUMBER(SEARCH("-",AJ791)),IF(LEN(LEFT(AJ791,FIND("-",AJ791)-1))=4,DATE(VALUE(LEFT(AJ791,4)),VALUE(MID(AJ791,6,2)),VALUE(RIGHT(AJ791,2))),DATE(VALUE(RIGHT(AJ791,4)),VALUE(MID(AJ791,4,2)),VALUE(LEFT(AJ791,2)))),DATE(VALUE(RIGHT(AJ791,4)),MATCH(MID(AJ791,4,3),{"Jan","Feb","Mar","Apr","May","Jun","Jul","Aug","Sep","Oct","Nov","Dec"},0),VALUE(LEFT(AJ791,2))))))</f>
        <v>45723</v>
      </c>
      <c r="C791" s="3" t="n">
        <f aca="false">IF(AK791="","",IF(ISNUMBER(SEARCH("/",AK791)),DATE(VALUE(RIGHT(AK791,4)),VALUE(LEFT(AK791,2)),VALUE(MID(AK791,4,2))),IF(ISNUMBER(SEARCH("-",AK791)),IF(LEN(LEFT(AK791,FIND("-",AK791)-1))=4,DATE(VALUE(LEFT(AK791,4)),VALUE(MID(AK791,6,2)),VALUE(RIGHT(AK791,2))),DATE(VALUE(RIGHT(AK791,4)),VALUE(MID(AK791,4,2)),VALUE(LEFT(AK791,2)))),DATE(VALUE(RIGHT(AK791,4)),MATCH(MID(AK791,4,3),{"Jan","Feb","Mar","Apr","May","Jun","Jul","Aug","Sep","Oct","Nov","Dec"},0),VALUE(LEFT(AK791,2))))))</f>
        <v>45724</v>
      </c>
      <c r="D791" s="4" t="s">
        <v>2913</v>
      </c>
      <c r="E791" s="0" t="str">
        <f aca="false">PROPER(TRIM(AL791))</f>
        <v>Priya Menon</v>
      </c>
      <c r="F791" s="0" t="str">
        <f aca="false">PROPER(TRIM(AM791))</f>
        <v>Home Office</v>
      </c>
      <c r="G791" s="0" t="str">
        <f aca="false">IF(TRIM(AN791)="","Unknown",PROPER(TRIM(AN791)))</f>
        <v>Unknown</v>
      </c>
      <c r="H791" s="0" t="str">
        <f aca="false">PROPER(TRIM(AO791))</f>
        <v>Rajasthan</v>
      </c>
      <c r="I791" s="0" t="str">
        <f aca="false">PROPER(TRIM(AP791))</f>
        <v>Udaipur</v>
      </c>
      <c r="J791" s="0" t="str">
        <f aca="false">PROPER(TRIM(AQ791))</f>
        <v>Technology</v>
      </c>
      <c r="K791" s="0" t="str">
        <f aca="false">PROPER(TRIM(AR791))</f>
        <v>Copiers</v>
      </c>
      <c r="M791" s="0" t="str">
        <f aca="false">IF(TRIM(AS791)="","Unknown",PROPER(TRIM(AS791)))</f>
        <v>Same Day</v>
      </c>
      <c r="N791" s="0" t="n">
        <v>4</v>
      </c>
      <c r="O791" s="0" t="n">
        <v>3537.48</v>
      </c>
      <c r="P791" s="5" t="n">
        <f aca="false">IF(AT791="","",IF(ISNUMBER(AT791),AT791,VALUE(SUBSTITUTE(AT791,"%",""))/100))</f>
        <v>0</v>
      </c>
      <c r="Q791" s="5" t="n">
        <f aca="false">IF(P791="",IF(AND(N791&lt;&gt;"",O791&lt;&gt;"",R791&lt;&gt;"",S791&lt;&gt;""),0,"REVIEW"),IF(OR(P791&lt;0,P791&gt;0.3),0,P791))</f>
        <v>0</v>
      </c>
      <c r="R791" s="0" t="n">
        <v>14149.92</v>
      </c>
      <c r="S791" s="0" t="n">
        <v>9466.51</v>
      </c>
      <c r="T791" s="6" t="n">
        <f aca="false">N791*O791*(1-Q791)</f>
        <v>14149.92</v>
      </c>
      <c r="U791" s="6" t="n">
        <f aca="false">T791-S791</f>
        <v>4683.41</v>
      </c>
      <c r="V791" s="7" t="n">
        <f aca="false">IF(T791=0,0,U791/T791)</f>
        <v>0.330984910162036</v>
      </c>
      <c r="W791" s="4" t="n">
        <f aca="false">C791-B791</f>
        <v>1</v>
      </c>
      <c r="X791" s="0" t="str">
        <f aca="false">TEXT(B791,"mmmm")</f>
        <v>March</v>
      </c>
      <c r="Y791" s="4" t="n">
        <f aca="false">YEAR(B791)</f>
        <v>2025</v>
      </c>
      <c r="Z791" s="0" t="str">
        <f aca="false">PROPER(TRIM(AU791))</f>
        <v>Paid</v>
      </c>
      <c r="AA791" s="0" t="str">
        <f aca="false">PROPER(TRIM(AV791))</f>
        <v>Completed</v>
      </c>
      <c r="AB791" s="0" t="str">
        <f aca="false">IF(TRIM(AN791)="","Yes","No")</f>
        <v>Yes</v>
      </c>
      <c r="AC791" s="0" t="str">
        <f aca="false">IF(TRIM(AS791)="","Yes","No")</f>
        <v>No</v>
      </c>
      <c r="AD791" s="0" t="str">
        <f aca="false">IF(AT791="","Yes","No")</f>
        <v>No</v>
      </c>
      <c r="AE791" s="0" t="str">
        <f aca="false">IF(W791&lt;0,"Yes","No")</f>
        <v>No</v>
      </c>
      <c r="AF791" s="0" t="str">
        <f aca="false">IF(P791="","No",IF(OR(P791&lt;0,P791&gt;0.3),"Yes","No"))</f>
        <v>No</v>
      </c>
      <c r="AG791" s="4" t="s">
        <v>50</v>
      </c>
      <c r="AH791" s="0" t="str">
        <f aca="false">IF(AND(AA791="Completed",Z791="Paid"),"Yes","No")</f>
        <v>Yes</v>
      </c>
      <c r="AI791" s="0" t="str">
        <f aca="false">IF(OR(AE791="Yes",AF791="Yes",AG791="Yes"),"Invalid",IF(OR(AB791="Yes",AC791="Yes",AD791="Yes"),"Warning","Clean"))</f>
        <v>Warning</v>
      </c>
      <c r="AJ791" s="4" t="s">
        <v>2914</v>
      </c>
      <c r="AK791" s="4" t="s">
        <v>1901</v>
      </c>
      <c r="AL791" s="4" t="s">
        <v>158</v>
      </c>
      <c r="AM791" s="4" t="s">
        <v>134</v>
      </c>
      <c r="AO791" s="4" t="s">
        <v>56</v>
      </c>
      <c r="AP791" s="4" t="s">
        <v>152</v>
      </c>
      <c r="AQ791" s="4" t="s">
        <v>109</v>
      </c>
      <c r="AR791" s="4" t="s">
        <v>116</v>
      </c>
      <c r="AS791" s="4" t="s">
        <v>74</v>
      </c>
      <c r="AT791" s="0" t="n">
        <v>0</v>
      </c>
      <c r="AU791" s="4" t="s">
        <v>61</v>
      </c>
      <c r="AV791" s="4" t="s">
        <v>62</v>
      </c>
    </row>
    <row r="792" customFormat="false" ht="15" hidden="false" customHeight="false" outlineLevel="0" collapsed="false">
      <c r="A792" s="0" t="s">
        <v>2915</v>
      </c>
      <c r="B792" s="3" t="n">
        <f aca="false">IF(AJ792="","",IF(ISNUMBER(SEARCH("/",AJ792)),DATE(VALUE(RIGHT(AJ792,4)),VALUE(LEFT(AJ792,2)),VALUE(MID(AJ792,4,2))),IF(ISNUMBER(SEARCH("-",AJ792)),IF(LEN(LEFT(AJ792,FIND("-",AJ792)-1))=4,DATE(VALUE(LEFT(AJ792,4)),VALUE(MID(AJ792,6,2)),VALUE(RIGHT(AJ792,2))),DATE(VALUE(RIGHT(AJ792,4)),VALUE(MID(AJ792,4,2)),VALUE(LEFT(AJ792,2)))),DATE(VALUE(RIGHT(AJ792,4)),MATCH(MID(AJ792,4,3),{"Jan","Feb","Mar","Apr","May","Jun","Jul","Aug","Sep","Oct","Nov","Dec"},0),VALUE(LEFT(AJ792,2))))))</f>
        <v>45443</v>
      </c>
      <c r="C792" s="3" t="n">
        <f aca="false">IF(AK792="","",IF(ISNUMBER(SEARCH("/",AK792)),DATE(VALUE(RIGHT(AK792,4)),VALUE(LEFT(AK792,2)),VALUE(MID(AK792,4,2))),IF(ISNUMBER(SEARCH("-",AK792)),IF(LEN(LEFT(AK792,FIND("-",AK792)-1))=4,DATE(VALUE(LEFT(AK792,4)),VALUE(MID(AK792,6,2)),VALUE(RIGHT(AK792,2))),DATE(VALUE(RIGHT(AK792,4)),VALUE(MID(AK792,4,2)),VALUE(LEFT(AK792,2)))),DATE(VALUE(RIGHT(AK792,4)),MATCH(MID(AK792,4,3),{"Jan","Feb","Mar","Apr","May","Jun","Jul","Aug","Sep","Oct","Nov","Dec"},0),VALUE(LEFT(AK792,2))))))</f>
        <v>45445</v>
      </c>
      <c r="D792" s="4" t="s">
        <v>2916</v>
      </c>
      <c r="E792" s="0" t="str">
        <f aca="false">PROPER(TRIM(AL792))</f>
        <v>Rahul Verma</v>
      </c>
      <c r="F792" s="0" t="str">
        <f aca="false">PROPER(TRIM(AM792))</f>
        <v>Corporate</v>
      </c>
      <c r="G792" s="0" t="str">
        <f aca="false">IF(TRIM(AN792)="","Unknown",PROPER(TRIM(AN792)))</f>
        <v>South</v>
      </c>
      <c r="H792" s="0" t="str">
        <f aca="false">PROPER(TRIM(AO792))</f>
        <v>Andhra Pradesh</v>
      </c>
      <c r="I792" s="0" t="str">
        <f aca="false">PROPER(TRIM(AP792))</f>
        <v>Vijayawada</v>
      </c>
      <c r="J792" s="0" t="str">
        <f aca="false">PROPER(TRIM(AQ792))</f>
        <v>Office Supplies</v>
      </c>
      <c r="K792" s="0" t="str">
        <f aca="false">PROPER(TRIM(AR792))</f>
        <v>Art</v>
      </c>
      <c r="M792" s="0" t="str">
        <f aca="false">IF(TRIM(AS792)="","Unknown",PROPER(TRIM(AS792)))</f>
        <v>Standard Class</v>
      </c>
      <c r="N792" s="0" t="n">
        <v>8</v>
      </c>
      <c r="O792" s="0" t="n">
        <v>667.59</v>
      </c>
      <c r="P792" s="5" t="n">
        <f aca="false">IF(AT792="","",IF(ISNUMBER(AT792),AT792,VALUE(SUBSTITUTE(AT792,"%",""))/100))</f>
        <v>0.2</v>
      </c>
      <c r="Q792" s="5" t="n">
        <f aca="false">IF(P792="",IF(AND(N792&lt;&gt;"",O792&lt;&gt;"",R792&lt;&gt;"",S792&lt;&gt;""),0,"REVIEW"),IF(OR(P792&lt;0,P792&gt;0.3),0,P792))</f>
        <v>0.2</v>
      </c>
      <c r="R792" s="0" t="n">
        <v>4272.58</v>
      </c>
      <c r="S792" s="0" t="n">
        <v>3328.92</v>
      </c>
      <c r="T792" s="6" t="n">
        <f aca="false">N792*O792*(1-Q792)</f>
        <v>4272.576</v>
      </c>
      <c r="U792" s="6" t="n">
        <f aca="false">T792-S792</f>
        <v>943.656</v>
      </c>
      <c r="V792" s="7" t="n">
        <f aca="false">IF(T792=0,0,U792/T792)</f>
        <v>0.220863479081472</v>
      </c>
      <c r="W792" s="4" t="n">
        <f aca="false">C792-B792</f>
        <v>2</v>
      </c>
      <c r="X792" s="0" t="str">
        <f aca="false">TEXT(B792,"mmmm")</f>
        <v>May</v>
      </c>
      <c r="Y792" s="4" t="n">
        <f aca="false">YEAR(B792)</f>
        <v>2024</v>
      </c>
      <c r="Z792" s="0" t="str">
        <f aca="false">PROPER(TRIM(AU792))</f>
        <v>Paid</v>
      </c>
      <c r="AA792" s="0" t="str">
        <f aca="false">PROPER(TRIM(AV792))</f>
        <v>Completed</v>
      </c>
      <c r="AB792" s="0" t="str">
        <f aca="false">IF(TRIM(AN792)="","Yes","No")</f>
        <v>No</v>
      </c>
      <c r="AC792" s="0" t="str">
        <f aca="false">IF(TRIM(AS792)="","Yes","No")</f>
        <v>No</v>
      </c>
      <c r="AD792" s="0" t="str">
        <f aca="false">IF(AT792="","Yes","No")</f>
        <v>No</v>
      </c>
      <c r="AE792" s="0" t="str">
        <f aca="false">IF(W792&lt;0,"Yes","No")</f>
        <v>No</v>
      </c>
      <c r="AF792" s="0" t="str">
        <f aca="false">IF(P792="","No",IF(OR(P792&lt;0,P792&gt;0.3),"Yes","No"))</f>
        <v>No</v>
      </c>
      <c r="AG792" s="4" t="s">
        <v>50</v>
      </c>
      <c r="AH792" s="0" t="str">
        <f aca="false">IF(AND(AA792="Completed",Z792="Paid"),"Yes","No")</f>
        <v>Yes</v>
      </c>
      <c r="AI792" s="0" t="str">
        <f aca="false">IF(OR(AE792="Yes",AF792="Yes",AG792="Yes"),"Invalid",IF(OR(AB792="Yes",AC792="Yes",AD792="Yes"),"Warning","Clean"))</f>
        <v>Clean</v>
      </c>
      <c r="AJ792" s="4" t="s">
        <v>2917</v>
      </c>
      <c r="AK792" s="4" t="s">
        <v>2918</v>
      </c>
      <c r="AL792" s="4" t="s">
        <v>163</v>
      </c>
      <c r="AM792" s="4" t="s">
        <v>128</v>
      </c>
      <c r="AN792" s="4" t="s">
        <v>87</v>
      </c>
      <c r="AO792" s="4" t="s">
        <v>121</v>
      </c>
      <c r="AP792" s="4" t="s">
        <v>122</v>
      </c>
      <c r="AQ792" s="4" t="s">
        <v>58</v>
      </c>
      <c r="AR792" s="4" t="s">
        <v>80</v>
      </c>
      <c r="AS792" s="4" t="s">
        <v>91</v>
      </c>
      <c r="AT792" s="0" t="n">
        <v>0.2</v>
      </c>
      <c r="AU792" s="4" t="s">
        <v>61</v>
      </c>
      <c r="AV792" s="4" t="s">
        <v>62</v>
      </c>
    </row>
    <row r="793" customFormat="false" ht="15" hidden="false" customHeight="false" outlineLevel="0" collapsed="false">
      <c r="A793" s="0" t="s">
        <v>2919</v>
      </c>
      <c r="B793" s="3" t="n">
        <f aca="false">IF(AJ793="","",IF(ISNUMBER(SEARCH("/",AJ793)),DATE(VALUE(RIGHT(AJ793,4)),VALUE(LEFT(AJ793,2)),VALUE(MID(AJ793,4,2))),IF(ISNUMBER(SEARCH("-",AJ793)),IF(LEN(LEFT(AJ793,FIND("-",AJ793)-1))=4,DATE(VALUE(LEFT(AJ793,4)),VALUE(MID(AJ793,6,2)),VALUE(RIGHT(AJ793,2))),DATE(VALUE(RIGHT(AJ793,4)),VALUE(MID(AJ793,4,2)),VALUE(LEFT(AJ793,2)))),DATE(VALUE(RIGHT(AJ793,4)),MATCH(MID(AJ793,4,3),{"Jan","Feb","Mar","Apr","May","Jun","Jul","Aug","Sep","Oct","Nov","Dec"},0),VALUE(LEFT(AJ793,2))))))</f>
        <v>45567</v>
      </c>
      <c r="C793" s="3" t="n">
        <f aca="false">IF(AK793="","",IF(ISNUMBER(SEARCH("/",AK793)),DATE(VALUE(RIGHT(AK793,4)),VALUE(LEFT(AK793,2)),VALUE(MID(AK793,4,2))),IF(ISNUMBER(SEARCH("-",AK793)),IF(LEN(LEFT(AK793,FIND("-",AK793)-1))=4,DATE(VALUE(LEFT(AK793,4)),VALUE(MID(AK793,6,2)),VALUE(RIGHT(AK793,2))),DATE(VALUE(RIGHT(AK793,4)),VALUE(MID(AK793,4,2)),VALUE(LEFT(AK793,2)))),DATE(VALUE(RIGHT(AK793,4)),MATCH(MID(AK793,4,3),{"Jan","Feb","Mar","Apr","May","Jun","Jul","Aug","Sep","Oct","Nov","Dec"},0),VALUE(LEFT(AK793,2))))))</f>
        <v>45571</v>
      </c>
      <c r="D793" s="4" t="s">
        <v>2920</v>
      </c>
      <c r="E793" s="0" t="str">
        <f aca="false">PROPER(TRIM(AL793))</f>
        <v>Rahul Verma</v>
      </c>
      <c r="F793" s="0" t="str">
        <f aca="false">PROPER(TRIM(AM793))</f>
        <v>Home Office</v>
      </c>
      <c r="G793" s="0" t="str">
        <f aca="false">IF(TRIM(AN793)="","Unknown",PROPER(TRIM(AN793)))</f>
        <v>South</v>
      </c>
      <c r="H793" s="0" t="str">
        <f aca="false">PROPER(TRIM(AO793))</f>
        <v>Karnataka</v>
      </c>
      <c r="I793" s="0" t="str">
        <f aca="false">PROPER(TRIM(AP793))</f>
        <v>Bengaluru</v>
      </c>
      <c r="J793" s="0" t="str">
        <f aca="false">PROPER(TRIM(AQ793))</f>
        <v>Furniture</v>
      </c>
      <c r="K793" s="0" t="str">
        <f aca="false">PROPER(TRIM(AR793))</f>
        <v>Bookcases</v>
      </c>
      <c r="M793" s="0" t="str">
        <f aca="false">IF(TRIM(AS793)="","Unknown",PROPER(TRIM(AS793)))</f>
        <v>Same Day</v>
      </c>
      <c r="N793" s="0" t="n">
        <v>8</v>
      </c>
      <c r="O793" s="0" t="n">
        <v>1558.77</v>
      </c>
      <c r="P793" s="5" t="n">
        <f aca="false">IF(AT793="","",IF(ISNUMBER(AT793),AT793,VALUE(SUBSTITUTE(AT793,"%",""))/100))</f>
        <v>0.25</v>
      </c>
      <c r="Q793" s="5" t="n">
        <f aca="false">IF(P793="",IF(AND(N793&lt;&gt;"",O793&lt;&gt;"",R793&lt;&gt;"",S793&lt;&gt;""),0,"REVIEW"),IF(OR(P793&lt;0,P793&gt;0.3),0,P793))</f>
        <v>0.25</v>
      </c>
      <c r="R793" s="0" t="n">
        <v>9352.62</v>
      </c>
      <c r="S793" s="0" t="n">
        <v>5269.41</v>
      </c>
      <c r="T793" s="6" t="n">
        <f aca="false">N793*O793*(1-Q793)</f>
        <v>9352.62</v>
      </c>
      <c r="U793" s="6" t="n">
        <f aca="false">T793-S793</f>
        <v>4083.21</v>
      </c>
      <c r="V793" s="7" t="n">
        <f aca="false">IF(T793=0,0,U793/T793)</f>
        <v>0.436584614792432</v>
      </c>
      <c r="W793" s="4" t="n">
        <f aca="false">C793-B793</f>
        <v>4</v>
      </c>
      <c r="X793" s="0" t="str">
        <f aca="false">TEXT(B793,"mmmm")</f>
        <v>October</v>
      </c>
      <c r="Y793" s="4" t="n">
        <f aca="false">YEAR(B793)</f>
        <v>2024</v>
      </c>
      <c r="Z793" s="0" t="str">
        <f aca="false">PROPER(TRIM(AU793))</f>
        <v>Paid</v>
      </c>
      <c r="AA793" s="0" t="str">
        <f aca="false">PROPER(TRIM(AV793))</f>
        <v>Completed</v>
      </c>
      <c r="AB793" s="0" t="str">
        <f aca="false">IF(TRIM(AN793)="","Yes","No")</f>
        <v>No</v>
      </c>
      <c r="AC793" s="0" t="str">
        <f aca="false">IF(TRIM(AS793)="","Yes","No")</f>
        <v>No</v>
      </c>
      <c r="AD793" s="0" t="str">
        <f aca="false">IF(AT793="","Yes","No")</f>
        <v>No</v>
      </c>
      <c r="AE793" s="0" t="str">
        <f aca="false">IF(W793&lt;0,"Yes","No")</f>
        <v>No</v>
      </c>
      <c r="AF793" s="0" t="str">
        <f aca="false">IF(P793="","No",IF(OR(P793&lt;0,P793&gt;0.3),"Yes","No"))</f>
        <v>No</v>
      </c>
      <c r="AG793" s="4" t="s">
        <v>50</v>
      </c>
      <c r="AH793" s="0" t="str">
        <f aca="false">IF(AND(AA793="Completed",Z793="Paid"),"Yes","No")</f>
        <v>Yes</v>
      </c>
      <c r="AI793" s="0" t="str">
        <f aca="false">IF(OR(AE793="Yes",AF793="Yes",AG793="Yes"),"Invalid",IF(OR(AB793="Yes",AC793="Yes",AD793="Yes"),"Warning","Clean"))</f>
        <v>Clean</v>
      </c>
      <c r="AJ793" s="4" t="s">
        <v>2436</v>
      </c>
      <c r="AK793" s="4" t="s">
        <v>2921</v>
      </c>
      <c r="AL793" s="4" t="s">
        <v>163</v>
      </c>
      <c r="AM793" s="4" t="s">
        <v>134</v>
      </c>
      <c r="AN793" s="4" t="s">
        <v>87</v>
      </c>
      <c r="AO793" s="4" t="s">
        <v>233</v>
      </c>
      <c r="AP793" s="4" t="s">
        <v>234</v>
      </c>
      <c r="AQ793" s="4" t="s">
        <v>72</v>
      </c>
      <c r="AR793" s="4" t="s">
        <v>211</v>
      </c>
      <c r="AS793" s="4" t="s">
        <v>74</v>
      </c>
      <c r="AT793" s="0" t="n">
        <v>0.25</v>
      </c>
      <c r="AU793" s="4" t="s">
        <v>61</v>
      </c>
      <c r="AV793" s="4" t="s">
        <v>62</v>
      </c>
    </row>
    <row r="794" customFormat="false" ht="15" hidden="false" customHeight="false" outlineLevel="0" collapsed="false">
      <c r="A794" s="0" t="s">
        <v>2922</v>
      </c>
      <c r="B794" s="3" t="n">
        <f aca="false">IF(AJ794="","",IF(ISNUMBER(SEARCH("/",AJ794)),DATE(VALUE(RIGHT(AJ794,4)),VALUE(LEFT(AJ794,2)),VALUE(MID(AJ794,4,2))),IF(ISNUMBER(SEARCH("-",AJ794)),IF(LEN(LEFT(AJ794,FIND("-",AJ794)-1))=4,DATE(VALUE(LEFT(AJ794,4)),VALUE(MID(AJ794,6,2)),VALUE(RIGHT(AJ794,2))),DATE(VALUE(RIGHT(AJ794,4)),VALUE(MID(AJ794,4,2)),VALUE(LEFT(AJ794,2)))),DATE(VALUE(RIGHT(AJ794,4)),MATCH(MID(AJ794,4,3),{"Jan","Feb","Mar","Apr","May","Jun","Jul","Aug","Sep","Oct","Nov","Dec"},0),VALUE(LEFT(AJ794,2))))))</f>
        <v>45812</v>
      </c>
      <c r="C794" s="3" t="n">
        <f aca="false">IF(AK794="","",IF(ISNUMBER(SEARCH("/",AK794)),DATE(VALUE(RIGHT(AK794,4)),VALUE(LEFT(AK794,2)),VALUE(MID(AK794,4,2))),IF(ISNUMBER(SEARCH("-",AK794)),IF(LEN(LEFT(AK794,FIND("-",AK794)-1))=4,DATE(VALUE(LEFT(AK794,4)),VALUE(MID(AK794,6,2)),VALUE(RIGHT(AK794,2))),DATE(VALUE(RIGHT(AK794,4)),VALUE(MID(AK794,4,2)),VALUE(LEFT(AK794,2)))),DATE(VALUE(RIGHT(AK794,4)),MATCH(MID(AK794,4,3),{"Jan","Feb","Mar","Apr","May","Jun","Jul","Aug","Sep","Oct","Nov","Dec"},0),VALUE(LEFT(AK794,2))))))</f>
        <v>45816</v>
      </c>
      <c r="D794" s="4" t="s">
        <v>2923</v>
      </c>
      <c r="E794" s="0" t="str">
        <f aca="false">PROPER(TRIM(AL794))</f>
        <v>Arjun Bose</v>
      </c>
      <c r="F794" s="0" t="str">
        <f aca="false">PROPER(TRIM(AM794))</f>
        <v>Small Business</v>
      </c>
      <c r="G794" s="0" t="str">
        <f aca="false">IF(TRIM(AN794)="","Unknown",PROPER(TRIM(AN794)))</f>
        <v>East</v>
      </c>
      <c r="H794" s="0" t="str">
        <f aca="false">PROPER(TRIM(AO794))</f>
        <v>Assam</v>
      </c>
      <c r="I794" s="0" t="str">
        <f aca="false">PROPER(TRIM(AP794))</f>
        <v>Guwahati</v>
      </c>
      <c r="J794" s="0" t="str">
        <f aca="false">PROPER(TRIM(AQ794))</f>
        <v>Furniture</v>
      </c>
      <c r="K794" s="0" t="str">
        <f aca="false">PROPER(TRIM(AR794))</f>
        <v>Furnishings</v>
      </c>
      <c r="M794" s="0" t="str">
        <f aca="false">IF(TRIM(AS794)="","Unknown",PROPER(TRIM(AS794)))</f>
        <v>Second Class</v>
      </c>
      <c r="N794" s="0" t="n">
        <v>1</v>
      </c>
      <c r="O794" s="0" t="n">
        <v>3501.12</v>
      </c>
      <c r="P794" s="5" t="n">
        <f aca="false">IF(AT794="","",IF(ISNUMBER(AT794),AT794,VALUE(SUBSTITUTE(AT794,"%",""))/100))</f>
        <v>0.2</v>
      </c>
      <c r="Q794" s="5" t="n">
        <f aca="false">IF(P794="",IF(AND(N794&lt;&gt;"",O794&lt;&gt;"",R794&lt;&gt;"",S794&lt;&gt;""),0,"REVIEW"),IF(OR(P794&lt;0,P794&gt;0.3),0,P794))</f>
        <v>0.2</v>
      </c>
      <c r="R794" s="0" t="n">
        <v>2800.9</v>
      </c>
      <c r="S794" s="0" t="n">
        <v>1735.98</v>
      </c>
      <c r="T794" s="6" t="n">
        <f aca="false">N794*O794*(1-Q794)</f>
        <v>2800.896</v>
      </c>
      <c r="U794" s="6" t="n">
        <f aca="false">T794-S794</f>
        <v>1064.916</v>
      </c>
      <c r="V794" s="7" t="n">
        <f aca="false">IF(T794=0,0,U794/T794)</f>
        <v>0.380205477104469</v>
      </c>
      <c r="W794" s="4" t="n">
        <f aca="false">C794-B794</f>
        <v>4</v>
      </c>
      <c r="X794" s="0" t="str">
        <f aca="false">TEXT(B794,"mmmm")</f>
        <v>June</v>
      </c>
      <c r="Y794" s="4" t="n">
        <f aca="false">YEAR(B794)</f>
        <v>2025</v>
      </c>
      <c r="Z794" s="0" t="str">
        <f aca="false">PROPER(TRIM(AU794))</f>
        <v>Paid</v>
      </c>
      <c r="AA794" s="0" t="str">
        <f aca="false">PROPER(TRIM(AV794))</f>
        <v>Returned</v>
      </c>
      <c r="AB794" s="0" t="str">
        <f aca="false">IF(TRIM(AN794)="","Yes","No")</f>
        <v>No</v>
      </c>
      <c r="AC794" s="0" t="str">
        <f aca="false">IF(TRIM(AS794)="","Yes","No")</f>
        <v>No</v>
      </c>
      <c r="AD794" s="0" t="str">
        <f aca="false">IF(AT794="","Yes","No")</f>
        <v>No</v>
      </c>
      <c r="AE794" s="0" t="str">
        <f aca="false">IF(W794&lt;0,"Yes","No")</f>
        <v>No</v>
      </c>
      <c r="AF794" s="0" t="str">
        <f aca="false">IF(P794="","No",IF(OR(P794&lt;0,P794&gt;0.3),"Yes","No"))</f>
        <v>No</v>
      </c>
      <c r="AG794" s="4" t="s">
        <v>50</v>
      </c>
      <c r="AH794" s="0" t="str">
        <f aca="false">IF(AND(AA794="Completed",Z794="Paid"),"Yes","No")</f>
        <v>No</v>
      </c>
      <c r="AI794" s="0" t="str">
        <f aca="false">IF(OR(AE794="Yes",AF794="Yes",AG794="Yes"),"Invalid",IF(OR(AB794="Yes",AC794="Yes",AD794="Yes"),"Warning","Clean"))</f>
        <v>Clean</v>
      </c>
      <c r="AJ794" s="4" t="s">
        <v>1044</v>
      </c>
      <c r="AK794" s="4" t="s">
        <v>2924</v>
      </c>
      <c r="AL794" s="4" t="s">
        <v>86</v>
      </c>
      <c r="AM794" s="4" t="s">
        <v>68</v>
      </c>
      <c r="AN794" s="4" t="s">
        <v>69</v>
      </c>
      <c r="AO794" s="4" t="s">
        <v>221</v>
      </c>
      <c r="AP794" s="4" t="s">
        <v>222</v>
      </c>
      <c r="AQ794" s="4" t="s">
        <v>72</v>
      </c>
      <c r="AR794" s="4" t="s">
        <v>90</v>
      </c>
      <c r="AS794" s="4" t="s">
        <v>60</v>
      </c>
      <c r="AT794" s="0" t="n">
        <v>0.2</v>
      </c>
      <c r="AU794" s="4" t="s">
        <v>61</v>
      </c>
      <c r="AV794" s="4" t="s">
        <v>142</v>
      </c>
    </row>
    <row r="795" customFormat="false" ht="15" hidden="false" customHeight="false" outlineLevel="0" collapsed="false">
      <c r="A795" s="0" t="s">
        <v>2925</v>
      </c>
      <c r="B795" s="3" t="n">
        <f aca="false">IF(AJ795="","",IF(ISNUMBER(SEARCH("/",AJ795)),DATE(VALUE(RIGHT(AJ795,4)),VALUE(LEFT(AJ795,2)),VALUE(MID(AJ795,4,2))),IF(ISNUMBER(SEARCH("-",AJ795)),IF(LEN(LEFT(AJ795,FIND("-",AJ795)-1))=4,DATE(VALUE(LEFT(AJ795,4)),VALUE(MID(AJ795,6,2)),VALUE(RIGHT(AJ795,2))),DATE(VALUE(RIGHT(AJ795,4)),VALUE(MID(AJ795,4,2)),VALUE(LEFT(AJ795,2)))),DATE(VALUE(RIGHT(AJ795,4)),MATCH(MID(AJ795,4,3),{"Jan","Feb","Mar","Apr","May","Jun","Jul","Aug","Sep","Oct","Nov","Dec"},0),VALUE(LEFT(AJ795,2))))))</f>
        <v>45440</v>
      </c>
      <c r="C795" s="3" t="n">
        <f aca="false">IF(AK795="","",IF(ISNUMBER(SEARCH("/",AK795)),DATE(VALUE(RIGHT(AK795,4)),VALUE(LEFT(AK795,2)),VALUE(MID(AK795,4,2))),IF(ISNUMBER(SEARCH("-",AK795)),IF(LEN(LEFT(AK795,FIND("-",AK795)-1))=4,DATE(VALUE(LEFT(AK795,4)),VALUE(MID(AK795,6,2)),VALUE(RIGHT(AK795,2))),DATE(VALUE(RIGHT(AK795,4)),VALUE(MID(AK795,4,2)),VALUE(LEFT(AK795,2)))),DATE(VALUE(RIGHT(AK795,4)),MATCH(MID(AK795,4,3),{"Jan","Feb","Mar","Apr","May","Jun","Jul","Aug","Sep","Oct","Nov","Dec"},0),VALUE(LEFT(AK795,2))))))</f>
        <v>45446</v>
      </c>
      <c r="D795" s="4" t="s">
        <v>2926</v>
      </c>
      <c r="E795" s="0" t="str">
        <f aca="false">PROPER(TRIM(AL795))</f>
        <v>Vikram Iyer</v>
      </c>
      <c r="F795" s="0" t="str">
        <f aca="false">PROPER(TRIM(AM795))</f>
        <v>Corporate</v>
      </c>
      <c r="G795" s="0" t="str">
        <f aca="false">IF(TRIM(AN795)="","Unknown",PROPER(TRIM(AN795)))</f>
        <v>North</v>
      </c>
      <c r="H795" s="0" t="str">
        <f aca="false">PROPER(TRIM(AO795))</f>
        <v>Rajasthan</v>
      </c>
      <c r="I795" s="0" t="str">
        <f aca="false">PROPER(TRIM(AP795))</f>
        <v>Jaipur</v>
      </c>
      <c r="J795" s="0" t="str">
        <f aca="false">PROPER(TRIM(AQ795))</f>
        <v>Technology</v>
      </c>
      <c r="K795" s="0" t="str">
        <f aca="false">PROPER(TRIM(AR795))</f>
        <v>Copiers</v>
      </c>
      <c r="M795" s="0" t="str">
        <f aca="false">IF(TRIM(AS795)="","Unknown",PROPER(TRIM(AS795)))</f>
        <v>Second Class</v>
      </c>
      <c r="N795" s="0" t="n">
        <v>5</v>
      </c>
      <c r="O795" s="0" t="n">
        <v>4302.32</v>
      </c>
      <c r="P795" s="5" t="n">
        <f aca="false">IF(AT795="","",IF(ISNUMBER(AT795),AT795,VALUE(SUBSTITUTE(AT795,"%",""))/100))</f>
        <v>0</v>
      </c>
      <c r="Q795" s="5" t="n">
        <f aca="false">IF(P795="",IF(AND(N795&lt;&gt;"",O795&lt;&gt;"",R795&lt;&gt;"",S795&lt;&gt;""),0,"REVIEW"),IF(OR(P795&lt;0,P795&gt;0.3),0,P795))</f>
        <v>0</v>
      </c>
      <c r="R795" s="0" t="n">
        <v>21511.6</v>
      </c>
      <c r="S795" s="0" t="n">
        <v>15408.47</v>
      </c>
      <c r="T795" s="6" t="n">
        <f aca="false">N795*O795*(1-Q795)</f>
        <v>21511.6</v>
      </c>
      <c r="U795" s="6" t="n">
        <f aca="false">T795-S795</f>
        <v>6103.13</v>
      </c>
      <c r="V795" s="7" t="n">
        <f aca="false">IF(T795=0,0,U795/T795)</f>
        <v>0.283713438330947</v>
      </c>
      <c r="W795" s="4" t="n">
        <f aca="false">C795-B795</f>
        <v>6</v>
      </c>
      <c r="X795" s="0" t="str">
        <f aca="false">TEXT(B795,"mmmm")</f>
        <v>May</v>
      </c>
      <c r="Y795" s="4" t="n">
        <f aca="false">YEAR(B795)</f>
        <v>2024</v>
      </c>
      <c r="Z795" s="0" t="str">
        <f aca="false">PROPER(TRIM(AU795))</f>
        <v>Paid</v>
      </c>
      <c r="AA795" s="0" t="str">
        <f aca="false">PROPER(TRIM(AV795))</f>
        <v>Completed</v>
      </c>
      <c r="AB795" s="0" t="str">
        <f aca="false">IF(TRIM(AN795)="","Yes","No")</f>
        <v>No</v>
      </c>
      <c r="AC795" s="0" t="str">
        <f aca="false">IF(TRIM(AS795)="","Yes","No")</f>
        <v>No</v>
      </c>
      <c r="AD795" s="0" t="str">
        <f aca="false">IF(AT795="","Yes","No")</f>
        <v>No</v>
      </c>
      <c r="AE795" s="0" t="str">
        <f aca="false">IF(W795&lt;0,"Yes","No")</f>
        <v>No</v>
      </c>
      <c r="AF795" s="0" t="str">
        <f aca="false">IF(P795="","No",IF(OR(P795&lt;0,P795&gt;0.3),"Yes","No"))</f>
        <v>No</v>
      </c>
      <c r="AG795" s="4" t="s">
        <v>50</v>
      </c>
      <c r="AH795" s="0" t="str">
        <f aca="false">IF(AND(AA795="Completed",Z795="Paid"),"Yes","No")</f>
        <v>Yes</v>
      </c>
      <c r="AI795" s="0" t="str">
        <f aca="false">IF(OR(AE795="Yes",AF795="Yes",AG795="Yes"),"Invalid",IF(OR(AB795="Yes",AC795="Yes",AD795="Yes"),"Warning","Clean"))</f>
        <v>Clean</v>
      </c>
      <c r="AJ795" s="4" t="s">
        <v>105</v>
      </c>
      <c r="AK795" s="4" t="s">
        <v>2927</v>
      </c>
      <c r="AL795" s="4" t="s">
        <v>106</v>
      </c>
      <c r="AM795" s="4" t="s">
        <v>128</v>
      </c>
      <c r="AN795" s="4" t="s">
        <v>168</v>
      </c>
      <c r="AO795" s="4" t="s">
        <v>56</v>
      </c>
      <c r="AP795" s="4" t="s">
        <v>57</v>
      </c>
      <c r="AQ795" s="4" t="s">
        <v>109</v>
      </c>
      <c r="AR795" s="4" t="s">
        <v>116</v>
      </c>
      <c r="AS795" s="4" t="s">
        <v>60</v>
      </c>
      <c r="AT795" s="0" t="n">
        <v>0</v>
      </c>
      <c r="AU795" s="4" t="s">
        <v>61</v>
      </c>
      <c r="AV795" s="4" t="s">
        <v>62</v>
      </c>
    </row>
    <row r="796" customFormat="false" ht="15" hidden="false" customHeight="false" outlineLevel="0" collapsed="false">
      <c r="A796" s="0" t="s">
        <v>2928</v>
      </c>
      <c r="B796" s="3" t="n">
        <f aca="false">IF(AJ796="","",IF(ISNUMBER(SEARCH("/",AJ796)),DATE(VALUE(RIGHT(AJ796,4)),VALUE(LEFT(AJ796,2)),VALUE(MID(AJ796,4,2))),IF(ISNUMBER(SEARCH("-",AJ796)),IF(LEN(LEFT(AJ796,FIND("-",AJ796)-1))=4,DATE(VALUE(LEFT(AJ796,4)),VALUE(MID(AJ796,6,2)),VALUE(RIGHT(AJ796,2))),DATE(VALUE(RIGHT(AJ796,4)),VALUE(MID(AJ796,4,2)),VALUE(LEFT(AJ796,2)))),DATE(VALUE(RIGHT(AJ796,4)),MATCH(MID(AJ796,4,3),{"Jan","Feb","Mar","Apr","May","Jun","Jul","Aug","Sep","Oct","Nov","Dec"},0),VALUE(LEFT(AJ796,2))))))</f>
        <v>45830</v>
      </c>
      <c r="C796" s="3" t="n">
        <f aca="false">IF(AK796="","",IF(ISNUMBER(SEARCH("/",AK796)),DATE(VALUE(RIGHT(AK796,4)),VALUE(LEFT(AK796,2)),VALUE(MID(AK796,4,2))),IF(ISNUMBER(SEARCH("-",AK796)),IF(LEN(LEFT(AK796,FIND("-",AK796)-1))=4,DATE(VALUE(LEFT(AK796,4)),VALUE(MID(AK796,6,2)),VALUE(RIGHT(AK796,2))),DATE(VALUE(RIGHT(AK796,4)),VALUE(MID(AK796,4,2)),VALUE(LEFT(AK796,2)))),DATE(VALUE(RIGHT(AK796,4)),MATCH(MID(AK796,4,3),{"Jan","Feb","Mar","Apr","May","Jun","Jul","Aug","Sep","Oct","Nov","Dec"},0),VALUE(LEFT(AK796,2))))))</f>
        <v>45832</v>
      </c>
      <c r="D796" s="4" t="s">
        <v>2929</v>
      </c>
      <c r="E796" s="0" t="str">
        <f aca="false">PROPER(TRIM(AL796))</f>
        <v>Sneha Kapoor</v>
      </c>
      <c r="F796" s="0" t="str">
        <f aca="false">PROPER(TRIM(AM796))</f>
        <v>Corporate</v>
      </c>
      <c r="G796" s="0" t="str">
        <f aca="false">IF(TRIM(AN796)="","Unknown",PROPER(TRIM(AN796)))</f>
        <v>East</v>
      </c>
      <c r="H796" s="0" t="str">
        <f aca="false">PROPER(TRIM(AO796))</f>
        <v>Assam</v>
      </c>
      <c r="I796" s="0" t="str">
        <f aca="false">PROPER(TRIM(AP796))</f>
        <v>Guwahati</v>
      </c>
      <c r="J796" s="0" t="str">
        <f aca="false">PROPER(TRIM(AQ796))</f>
        <v>Office Supplies</v>
      </c>
      <c r="K796" s="0" t="str">
        <f aca="false">PROPER(TRIM(AR796))</f>
        <v>Paper</v>
      </c>
      <c r="M796" s="0" t="str">
        <f aca="false">IF(TRIM(AS796)="","Unknown",PROPER(TRIM(AS796)))</f>
        <v>Standard Class</v>
      </c>
      <c r="N796" s="0" t="n">
        <v>9</v>
      </c>
      <c r="O796" s="0" t="n">
        <v>951.55</v>
      </c>
      <c r="P796" s="5" t="n">
        <f aca="false">IF(AT796="","",IF(ISNUMBER(AT796),AT796,VALUE(SUBSTITUTE(AT796,"%",""))/100))</f>
        <v>0.15</v>
      </c>
      <c r="Q796" s="5" t="n">
        <f aca="false">IF(P796="",IF(AND(N796&lt;&gt;"",O796&lt;&gt;"",R796&lt;&gt;"",S796&lt;&gt;""),0,"REVIEW"),IF(OR(P796&lt;0,P796&gt;0.3),0,P796))</f>
        <v>0.15</v>
      </c>
      <c r="R796" s="0" t="n">
        <v>7279.36</v>
      </c>
      <c r="S796" s="0" t="n">
        <v>4870.39</v>
      </c>
      <c r="T796" s="6" t="n">
        <f aca="false">N796*O796*(1-Q796)</f>
        <v>7279.3575</v>
      </c>
      <c r="U796" s="6" t="n">
        <f aca="false">T796-S796</f>
        <v>2408.9675</v>
      </c>
      <c r="V796" s="7" t="n">
        <f aca="false">IF(T796=0,0,U796/T796)</f>
        <v>0.330931335629552</v>
      </c>
      <c r="W796" s="4" t="n">
        <f aca="false">C796-B796</f>
        <v>2</v>
      </c>
      <c r="X796" s="0" t="str">
        <f aca="false">TEXT(B796,"mmmm")</f>
        <v>June</v>
      </c>
      <c r="Y796" s="4" t="n">
        <f aca="false">YEAR(B796)</f>
        <v>2025</v>
      </c>
      <c r="Z796" s="0" t="str">
        <f aca="false">PROPER(TRIM(AU796))</f>
        <v>Paid</v>
      </c>
      <c r="AA796" s="0" t="str">
        <f aca="false">PROPER(TRIM(AV796))</f>
        <v>Completed</v>
      </c>
      <c r="AB796" s="0" t="str">
        <f aca="false">IF(TRIM(AN796)="","Yes","No")</f>
        <v>No</v>
      </c>
      <c r="AC796" s="0" t="str">
        <f aca="false">IF(TRIM(AS796)="","Yes","No")</f>
        <v>No</v>
      </c>
      <c r="AD796" s="0" t="str">
        <f aca="false">IF(AT796="","Yes","No")</f>
        <v>No</v>
      </c>
      <c r="AE796" s="0" t="str">
        <f aca="false">IF(W796&lt;0,"Yes","No")</f>
        <v>No</v>
      </c>
      <c r="AF796" s="0" t="str">
        <f aca="false">IF(P796="","No",IF(OR(P796&lt;0,P796&gt;0.3),"Yes","No"))</f>
        <v>No</v>
      </c>
      <c r="AG796" s="4" t="s">
        <v>50</v>
      </c>
      <c r="AH796" s="0" t="str">
        <f aca="false">IF(AND(AA796="Completed",Z796="Paid"),"Yes","No")</f>
        <v>Yes</v>
      </c>
      <c r="AI796" s="0" t="str">
        <f aca="false">IF(OR(AE796="Yes",AF796="Yes",AG796="Yes"),"Invalid",IF(OR(AB796="Yes",AC796="Yes",AD796="Yes"),"Warning","Clean"))</f>
        <v>Clean</v>
      </c>
      <c r="AJ796" s="4" t="s">
        <v>2930</v>
      </c>
      <c r="AK796" s="4" t="s">
        <v>856</v>
      </c>
      <c r="AL796" s="4" t="s">
        <v>181</v>
      </c>
      <c r="AM796" s="4" t="s">
        <v>128</v>
      </c>
      <c r="AN796" s="4" t="s">
        <v>69</v>
      </c>
      <c r="AO796" s="4" t="s">
        <v>221</v>
      </c>
      <c r="AP796" s="4" t="s">
        <v>222</v>
      </c>
      <c r="AQ796" s="4" t="s">
        <v>58</v>
      </c>
      <c r="AR796" s="4" t="s">
        <v>59</v>
      </c>
      <c r="AS796" s="4" t="s">
        <v>91</v>
      </c>
      <c r="AT796" s="0" t="n">
        <v>0.15</v>
      </c>
      <c r="AU796" s="4" t="s">
        <v>61</v>
      </c>
      <c r="AV796" s="4" t="s">
        <v>62</v>
      </c>
    </row>
    <row r="797" customFormat="false" ht="15" hidden="false" customHeight="false" outlineLevel="0" collapsed="false">
      <c r="A797" s="0" t="s">
        <v>2931</v>
      </c>
      <c r="B797" s="3" t="n">
        <f aca="false">IF(AJ797="","",IF(ISNUMBER(SEARCH("/",AJ797)),DATE(VALUE(RIGHT(AJ797,4)),VALUE(LEFT(AJ797,2)),VALUE(MID(AJ797,4,2))),IF(ISNUMBER(SEARCH("-",AJ797)),IF(LEN(LEFT(AJ797,FIND("-",AJ797)-1))=4,DATE(VALUE(LEFT(AJ797,4)),VALUE(MID(AJ797,6,2)),VALUE(RIGHT(AJ797,2))),DATE(VALUE(RIGHT(AJ797,4)),VALUE(MID(AJ797,4,2)),VALUE(LEFT(AJ797,2)))),DATE(VALUE(RIGHT(AJ797,4)),MATCH(MID(AJ797,4,3),{"Jan","Feb","Mar","Apr","May","Jun","Jul","Aug","Sep","Oct","Nov","Dec"},0),VALUE(LEFT(AJ797,2))))))</f>
        <v>45503</v>
      </c>
      <c r="C797" s="3" t="n">
        <f aca="false">IF(AK797="","",IF(ISNUMBER(SEARCH("/",AK797)),DATE(VALUE(RIGHT(AK797,4)),VALUE(LEFT(AK797,2)),VALUE(MID(AK797,4,2))),IF(ISNUMBER(SEARCH("-",AK797)),IF(LEN(LEFT(AK797,FIND("-",AK797)-1))=4,DATE(VALUE(LEFT(AK797,4)),VALUE(MID(AK797,6,2)),VALUE(RIGHT(AK797,2))),DATE(VALUE(RIGHT(AK797,4)),VALUE(MID(AK797,4,2)),VALUE(LEFT(AK797,2)))),DATE(VALUE(RIGHT(AK797,4)),MATCH(MID(AK797,4,3),{"Jan","Feb","Mar","Apr","May","Jun","Jul","Aug","Sep","Oct","Nov","Dec"},0),VALUE(LEFT(AK797,2))))))</f>
        <v>45503</v>
      </c>
      <c r="D797" s="4" t="s">
        <v>2932</v>
      </c>
      <c r="E797" s="0" t="str">
        <f aca="false">PROPER(TRIM(AL797))</f>
        <v>Diya Patel</v>
      </c>
      <c r="F797" s="0" t="str">
        <f aca="false">PROPER(TRIM(AM797))</f>
        <v>Home Office</v>
      </c>
      <c r="G797" s="0" t="str">
        <f aca="false">IF(TRIM(AN797)="","Unknown",PROPER(TRIM(AN797)))</f>
        <v>East</v>
      </c>
      <c r="H797" s="0" t="str">
        <f aca="false">PROPER(TRIM(AO797))</f>
        <v>Odisha</v>
      </c>
      <c r="I797" s="0" t="str">
        <f aca="false">PROPER(TRIM(AP797))</f>
        <v>Bhubaneswar</v>
      </c>
      <c r="J797" s="0" t="str">
        <f aca="false">PROPER(TRIM(AQ797))</f>
        <v>Technology</v>
      </c>
      <c r="K797" s="0" t="str">
        <f aca="false">PROPER(TRIM(AR797))</f>
        <v>Copiers</v>
      </c>
      <c r="M797" s="0" t="str">
        <f aca="false">IF(TRIM(AS797)="","Unknown",PROPER(TRIM(AS797)))</f>
        <v>Same Day</v>
      </c>
      <c r="N797" s="0" t="n">
        <v>9</v>
      </c>
      <c r="O797" s="0" t="n">
        <v>2894.66</v>
      </c>
      <c r="P797" s="5" t="n">
        <f aca="false">IF(AT797="","",IF(ISNUMBER(AT797),AT797,VALUE(SUBSTITUTE(AT797,"%",""))/100))</f>
        <v>0</v>
      </c>
      <c r="Q797" s="5" t="n">
        <f aca="false">IF(P797="",IF(AND(N797&lt;&gt;"",O797&lt;&gt;"",R797&lt;&gt;"",S797&lt;&gt;""),0,"REVIEW"),IF(OR(P797&lt;0,P797&gt;0.3),0,P797))</f>
        <v>0</v>
      </c>
      <c r="R797" s="0" t="n">
        <v>26051.94</v>
      </c>
      <c r="S797" s="0" t="n">
        <v>16883.59</v>
      </c>
      <c r="T797" s="6" t="n">
        <f aca="false">N797*O797*(1-Q797)</f>
        <v>26051.94</v>
      </c>
      <c r="U797" s="6" t="n">
        <f aca="false">T797-S797</f>
        <v>9168.35</v>
      </c>
      <c r="V797" s="7" t="n">
        <f aca="false">IF(T797=0,0,U797/T797)</f>
        <v>0.351925806676969</v>
      </c>
      <c r="W797" s="4" t="n">
        <f aca="false">C797-B797</f>
        <v>0</v>
      </c>
      <c r="X797" s="0" t="str">
        <f aca="false">TEXT(B797,"mmmm")</f>
        <v>July</v>
      </c>
      <c r="Y797" s="4" t="n">
        <f aca="false">YEAR(B797)</f>
        <v>2024</v>
      </c>
      <c r="Z797" s="0" t="str">
        <f aca="false">PROPER(TRIM(AU797))</f>
        <v>Refunded</v>
      </c>
      <c r="AA797" s="0" t="str">
        <f aca="false">PROPER(TRIM(AV797))</f>
        <v>Cancelled</v>
      </c>
      <c r="AB797" s="0" t="str">
        <f aca="false">IF(TRIM(AN797)="","Yes","No")</f>
        <v>No</v>
      </c>
      <c r="AC797" s="0" t="str">
        <f aca="false">IF(TRIM(AS797)="","Yes","No")</f>
        <v>No</v>
      </c>
      <c r="AD797" s="0" t="str">
        <f aca="false">IF(AT797="","Yes","No")</f>
        <v>No</v>
      </c>
      <c r="AE797" s="0" t="str">
        <f aca="false">IF(W797&lt;0,"Yes","No")</f>
        <v>No</v>
      </c>
      <c r="AF797" s="0" t="str">
        <f aca="false">IF(P797="","No",IF(OR(P797&lt;0,P797&gt;0.3),"Yes","No"))</f>
        <v>No</v>
      </c>
      <c r="AG797" s="4" t="s">
        <v>50</v>
      </c>
      <c r="AH797" s="0" t="str">
        <f aca="false">IF(AND(AA797="Completed",Z797="Paid"),"Yes","No")</f>
        <v>No</v>
      </c>
      <c r="AI797" s="0" t="str">
        <f aca="false">IF(OR(AE797="Yes",AF797="Yes",AG797="Yes"),"Invalid",IF(OR(AB797="Yes",AC797="Yes",AD797="Yes"),"Warning","Clean"))</f>
        <v>Clean</v>
      </c>
      <c r="AJ797" s="4" t="s">
        <v>2933</v>
      </c>
      <c r="AK797" s="4" t="s">
        <v>481</v>
      </c>
      <c r="AL797" s="4" t="s">
        <v>216</v>
      </c>
      <c r="AM797" s="4" t="s">
        <v>134</v>
      </c>
      <c r="AN797" s="4" t="s">
        <v>69</v>
      </c>
      <c r="AO797" s="4" t="s">
        <v>70</v>
      </c>
      <c r="AP797" s="4" t="s">
        <v>71</v>
      </c>
      <c r="AQ797" s="4" t="s">
        <v>109</v>
      </c>
      <c r="AR797" s="4" t="s">
        <v>116</v>
      </c>
      <c r="AS797" s="4" t="s">
        <v>74</v>
      </c>
      <c r="AT797" s="0" t="n">
        <v>0</v>
      </c>
      <c r="AU797" s="4" t="s">
        <v>141</v>
      </c>
      <c r="AV797" s="4" t="s">
        <v>101</v>
      </c>
    </row>
    <row r="798" customFormat="false" ht="15" hidden="false" customHeight="false" outlineLevel="0" collapsed="false">
      <c r="A798" s="0" t="s">
        <v>2934</v>
      </c>
      <c r="B798" s="3" t="n">
        <f aca="false">IF(AJ798="","",IF(ISNUMBER(SEARCH("/",AJ798)),DATE(VALUE(RIGHT(AJ798,4)),VALUE(LEFT(AJ798,2)),VALUE(MID(AJ798,4,2))),IF(ISNUMBER(SEARCH("-",AJ798)),IF(LEN(LEFT(AJ798,FIND("-",AJ798)-1))=4,DATE(VALUE(LEFT(AJ798,4)),VALUE(MID(AJ798,6,2)),VALUE(RIGHT(AJ798,2))),DATE(VALUE(RIGHT(AJ798,4)),VALUE(MID(AJ798,4,2)),VALUE(LEFT(AJ798,2)))),DATE(VALUE(RIGHT(AJ798,4)),MATCH(MID(AJ798,4,3),{"Jan","Feb","Mar","Apr","May","Jun","Jul","Aug","Sep","Oct","Nov","Dec"},0),VALUE(LEFT(AJ798,2))))))</f>
        <v>45374</v>
      </c>
      <c r="C798" s="3" t="n">
        <f aca="false">IF(AK798="","",IF(ISNUMBER(SEARCH("/",AK798)),DATE(VALUE(RIGHT(AK798,4)),VALUE(LEFT(AK798,2)),VALUE(MID(AK798,4,2))),IF(ISNUMBER(SEARCH("-",AK798)),IF(LEN(LEFT(AK798,FIND("-",AK798)-1))=4,DATE(VALUE(LEFT(AK798,4)),VALUE(MID(AK798,6,2)),VALUE(RIGHT(AK798,2))),DATE(VALUE(RIGHT(AK798,4)),VALUE(MID(AK798,4,2)),VALUE(LEFT(AK798,2)))),DATE(VALUE(RIGHT(AK798,4)),MATCH(MID(AK798,4,3),{"Jan","Feb","Mar","Apr","May","Jun","Jul","Aug","Sep","Oct","Nov","Dec"},0),VALUE(LEFT(AK798,2))))))</f>
        <v>45381</v>
      </c>
      <c r="D798" s="4" t="s">
        <v>2935</v>
      </c>
      <c r="E798" s="0" t="str">
        <f aca="false">PROPER(TRIM(AL798))</f>
        <v>Rohan Mehta</v>
      </c>
      <c r="F798" s="0" t="str">
        <f aca="false">PROPER(TRIM(AM798))</f>
        <v>Small Business</v>
      </c>
      <c r="G798" s="0" t="str">
        <f aca="false">IF(TRIM(AN798)="","Unknown",PROPER(TRIM(AN798)))</f>
        <v>South</v>
      </c>
      <c r="H798" s="0" t="str">
        <f aca="false">PROPER(TRIM(AO798))</f>
        <v>Andhra Pradesh</v>
      </c>
      <c r="I798" s="0" t="str">
        <f aca="false">PROPER(TRIM(AP798))</f>
        <v>Vijayawada</v>
      </c>
      <c r="J798" s="0" t="str">
        <f aca="false">PROPER(TRIM(AQ798))</f>
        <v>Technology</v>
      </c>
      <c r="K798" s="0" t="str">
        <f aca="false">PROPER(TRIM(AR798))</f>
        <v>Machines</v>
      </c>
      <c r="M798" s="0" t="str">
        <f aca="false">IF(TRIM(AS798)="","Unknown",PROPER(TRIM(AS798)))</f>
        <v>First Class</v>
      </c>
      <c r="N798" s="0" t="n">
        <v>6</v>
      </c>
      <c r="O798" s="0" t="n">
        <v>1894.44</v>
      </c>
      <c r="P798" s="5" t="n">
        <f aca="false">IF(AT798="","",IF(ISNUMBER(AT798),AT798,VALUE(SUBSTITUTE(AT798,"%",""))/100))</f>
        <v>0.15</v>
      </c>
      <c r="Q798" s="5" t="n">
        <f aca="false">IF(P798="",IF(AND(N798&lt;&gt;"",O798&lt;&gt;"",R798&lt;&gt;"",S798&lt;&gt;""),0,"REVIEW"),IF(OR(P798&lt;0,P798&gt;0.3),0,P798))</f>
        <v>0.15</v>
      </c>
      <c r="R798" s="0" t="n">
        <v>9661.64</v>
      </c>
      <c r="S798" s="0" t="n">
        <v>6303.77</v>
      </c>
      <c r="T798" s="6" t="n">
        <f aca="false">N798*O798*(1-Q798)</f>
        <v>9661.644</v>
      </c>
      <c r="U798" s="6" t="n">
        <f aca="false">T798-S798</f>
        <v>3357.874</v>
      </c>
      <c r="V798" s="7" t="n">
        <f aca="false">IF(T798=0,0,U798/T798)</f>
        <v>0.347546856414912</v>
      </c>
      <c r="W798" s="4" t="n">
        <f aca="false">C798-B798</f>
        <v>7</v>
      </c>
      <c r="X798" s="0" t="str">
        <f aca="false">TEXT(B798,"mmmm")</f>
        <v>March</v>
      </c>
      <c r="Y798" s="4" t="n">
        <f aca="false">YEAR(B798)</f>
        <v>2024</v>
      </c>
      <c r="Z798" s="0" t="str">
        <f aca="false">PROPER(TRIM(AU798))</f>
        <v>Paid</v>
      </c>
      <c r="AA798" s="0" t="str">
        <f aca="false">PROPER(TRIM(AV798))</f>
        <v>Completed</v>
      </c>
      <c r="AB798" s="0" t="str">
        <f aca="false">IF(TRIM(AN798)="","Yes","No")</f>
        <v>No</v>
      </c>
      <c r="AC798" s="0" t="str">
        <f aca="false">IF(TRIM(AS798)="","Yes","No")</f>
        <v>No</v>
      </c>
      <c r="AD798" s="0" t="str">
        <f aca="false">IF(AT798="","Yes","No")</f>
        <v>No</v>
      </c>
      <c r="AE798" s="0" t="str">
        <f aca="false">IF(W798&lt;0,"Yes","No")</f>
        <v>No</v>
      </c>
      <c r="AF798" s="0" t="str">
        <f aca="false">IF(P798="","No",IF(OR(P798&lt;0,P798&gt;0.3),"Yes","No"))</f>
        <v>No</v>
      </c>
      <c r="AG798" s="4" t="s">
        <v>50</v>
      </c>
      <c r="AH798" s="0" t="str">
        <f aca="false">IF(AND(AA798="Completed",Z798="Paid"),"Yes","No")</f>
        <v>Yes</v>
      </c>
      <c r="AI798" s="0" t="str">
        <f aca="false">IF(OR(AE798="Yes",AF798="Yes",AG798="Yes"),"Invalid",IF(OR(AB798="Yes",AC798="Yes",AD798="Yes"),"Warning","Clean"))</f>
        <v>Clean</v>
      </c>
      <c r="AJ798" s="4" t="s">
        <v>698</v>
      </c>
      <c r="AK798" s="4" t="s">
        <v>2936</v>
      </c>
      <c r="AL798" s="4" t="s">
        <v>191</v>
      </c>
      <c r="AM798" s="4" t="s">
        <v>68</v>
      </c>
      <c r="AN798" s="4" t="s">
        <v>87</v>
      </c>
      <c r="AO798" s="4" t="s">
        <v>121</v>
      </c>
      <c r="AP798" s="4" t="s">
        <v>122</v>
      </c>
      <c r="AQ798" s="4" t="s">
        <v>109</v>
      </c>
      <c r="AR798" s="4" t="s">
        <v>360</v>
      </c>
      <c r="AS798" s="4" t="s">
        <v>81</v>
      </c>
      <c r="AT798" s="0" t="n">
        <v>0.15</v>
      </c>
      <c r="AU798" s="4" t="s">
        <v>61</v>
      </c>
      <c r="AV798" s="4" t="s">
        <v>62</v>
      </c>
    </row>
    <row r="799" customFormat="false" ht="15" hidden="false" customHeight="false" outlineLevel="0" collapsed="false">
      <c r="A799" s="0" t="s">
        <v>2937</v>
      </c>
      <c r="B799" s="3" t="n">
        <f aca="false">IF(AJ799="","",IF(ISNUMBER(SEARCH("/",AJ799)),DATE(VALUE(RIGHT(AJ799,4)),VALUE(LEFT(AJ799,2)),VALUE(MID(AJ799,4,2))),IF(ISNUMBER(SEARCH("-",AJ799)),IF(LEN(LEFT(AJ799,FIND("-",AJ799)-1))=4,DATE(VALUE(LEFT(AJ799,4)),VALUE(MID(AJ799,6,2)),VALUE(RIGHT(AJ799,2))),DATE(VALUE(RIGHT(AJ799,4)),VALUE(MID(AJ799,4,2)),VALUE(LEFT(AJ799,2)))),DATE(VALUE(RIGHT(AJ799,4)),MATCH(MID(AJ799,4,3),{"Jan","Feb","Mar","Apr","May","Jun","Jul","Aug","Sep","Oct","Nov","Dec"},0),VALUE(LEFT(AJ799,2))))))</f>
        <v>45400</v>
      </c>
      <c r="C799" s="3" t="n">
        <f aca="false">IF(AK799="","",IF(ISNUMBER(SEARCH("/",AK799)),DATE(VALUE(RIGHT(AK799,4)),VALUE(LEFT(AK799,2)),VALUE(MID(AK799,4,2))),IF(ISNUMBER(SEARCH("-",AK799)),IF(LEN(LEFT(AK799,FIND("-",AK799)-1))=4,DATE(VALUE(LEFT(AK799,4)),VALUE(MID(AK799,6,2)),VALUE(RIGHT(AK799,2))),DATE(VALUE(RIGHT(AK799,4)),VALUE(MID(AK799,4,2)),VALUE(LEFT(AK799,2)))),DATE(VALUE(RIGHT(AK799,4)),MATCH(MID(AK799,4,3),{"Jan","Feb","Mar","Apr","May","Jun","Jul","Aug","Sep","Oct","Nov","Dec"},0),VALUE(LEFT(AK799,2))))))</f>
        <v>45404</v>
      </c>
      <c r="D799" s="4" t="s">
        <v>2938</v>
      </c>
      <c r="E799" s="0" t="str">
        <f aca="false">PROPER(TRIM(AL799))</f>
        <v>Aarav Sharma</v>
      </c>
      <c r="F799" s="0" t="str">
        <f aca="false">PROPER(TRIM(AM799))</f>
        <v>Consumer</v>
      </c>
      <c r="G799" s="0" t="str">
        <f aca="false">IF(TRIM(AN799)="","Unknown",PROPER(TRIM(AN799)))</f>
        <v>East</v>
      </c>
      <c r="H799" s="0" t="str">
        <f aca="false">PROPER(TRIM(AO799))</f>
        <v>Odisha</v>
      </c>
      <c r="I799" s="0" t="str">
        <f aca="false">PROPER(TRIM(AP799))</f>
        <v>Bhubaneswar</v>
      </c>
      <c r="J799" s="0" t="str">
        <f aca="false">PROPER(TRIM(AQ799))</f>
        <v>Office Supplies</v>
      </c>
      <c r="K799" s="0" t="str">
        <f aca="false">PROPER(TRIM(AR799))</f>
        <v>Binders</v>
      </c>
      <c r="M799" s="0" t="str">
        <f aca="false">IF(TRIM(AS799)="","Unknown",PROPER(TRIM(AS799)))</f>
        <v>First Class</v>
      </c>
      <c r="N799" s="0" t="n">
        <v>8</v>
      </c>
      <c r="O799" s="0" t="n">
        <v>1714.37</v>
      </c>
      <c r="P799" s="5" t="n">
        <f aca="false">IF(AT799="","",IF(ISNUMBER(AT799),AT799,VALUE(SUBSTITUTE(AT799,"%",""))/100))</f>
        <v>0</v>
      </c>
      <c r="Q799" s="5" t="n">
        <f aca="false">IF(P799="",IF(AND(N799&lt;&gt;"",O799&lt;&gt;"",R799&lt;&gt;"",S799&lt;&gt;""),0,"REVIEW"),IF(OR(P799&lt;0,P799&gt;0.3),0,P799))</f>
        <v>0</v>
      </c>
      <c r="R799" s="0" t="n">
        <v>13714.96</v>
      </c>
      <c r="S799" s="0" t="n">
        <v>10550.47</v>
      </c>
      <c r="T799" s="6" t="n">
        <f aca="false">N799*O799*(1-Q799)</f>
        <v>13714.96</v>
      </c>
      <c r="U799" s="6" t="n">
        <f aca="false">T799-S799</f>
        <v>3164.49</v>
      </c>
      <c r="V799" s="7" t="n">
        <f aca="false">IF(T799=0,0,U799/T799)</f>
        <v>0.230732718141358</v>
      </c>
      <c r="W799" s="4" t="n">
        <f aca="false">C799-B799</f>
        <v>4</v>
      </c>
      <c r="X799" s="0" t="str">
        <f aca="false">TEXT(B799,"mmmm")</f>
        <v>April</v>
      </c>
      <c r="Y799" s="4" t="n">
        <f aca="false">YEAR(B799)</f>
        <v>2024</v>
      </c>
      <c r="Z799" s="0" t="str">
        <f aca="false">PROPER(TRIM(AU799))</f>
        <v>Failed</v>
      </c>
      <c r="AA799" s="0" t="str">
        <f aca="false">PROPER(TRIM(AV799))</f>
        <v>Cancelled</v>
      </c>
      <c r="AB799" s="0" t="str">
        <f aca="false">IF(TRIM(AN799)="","Yes","No")</f>
        <v>No</v>
      </c>
      <c r="AC799" s="0" t="str">
        <f aca="false">IF(TRIM(AS799)="","Yes","No")</f>
        <v>No</v>
      </c>
      <c r="AD799" s="0" t="str">
        <f aca="false">IF(AT799="","Yes","No")</f>
        <v>No</v>
      </c>
      <c r="AE799" s="0" t="str">
        <f aca="false">IF(W799&lt;0,"Yes","No")</f>
        <v>No</v>
      </c>
      <c r="AF799" s="0" t="str">
        <f aca="false">IF(P799="","No",IF(OR(P799&lt;0,P799&gt;0.3),"Yes","No"))</f>
        <v>No</v>
      </c>
      <c r="AG799" s="4" t="s">
        <v>50</v>
      </c>
      <c r="AH799" s="0" t="str">
        <f aca="false">IF(AND(AA799="Completed",Z799="Paid"),"Yes","No")</f>
        <v>No</v>
      </c>
      <c r="AI799" s="0" t="str">
        <f aca="false">IF(OR(AE799="Yes",AF799="Yes",AG799="Yes"),"Invalid",IF(OR(AB799="Yes",AC799="Yes",AD799="Yes"),"Warning","Clean"))</f>
        <v>Clean</v>
      </c>
      <c r="AJ799" s="4" t="s">
        <v>2939</v>
      </c>
      <c r="AK799" s="4" t="s">
        <v>2872</v>
      </c>
      <c r="AL799" s="4" t="s">
        <v>176</v>
      </c>
      <c r="AM799" s="4" t="s">
        <v>54</v>
      </c>
      <c r="AN799" s="4" t="s">
        <v>69</v>
      </c>
      <c r="AO799" s="4" t="s">
        <v>70</v>
      </c>
      <c r="AP799" s="4" t="s">
        <v>71</v>
      </c>
      <c r="AQ799" s="4" t="s">
        <v>58</v>
      </c>
      <c r="AR799" s="4" t="s">
        <v>206</v>
      </c>
      <c r="AS799" s="4" t="s">
        <v>81</v>
      </c>
      <c r="AT799" s="0" t="n">
        <v>0</v>
      </c>
      <c r="AU799" s="4" t="s">
        <v>207</v>
      </c>
      <c r="AV799" s="4" t="s">
        <v>101</v>
      </c>
    </row>
    <row r="800" customFormat="false" ht="15" hidden="false" customHeight="false" outlineLevel="0" collapsed="false">
      <c r="A800" s="0" t="s">
        <v>2940</v>
      </c>
      <c r="B800" s="3" t="n">
        <f aca="false">IF(AJ800="","",IF(ISNUMBER(SEARCH("/",AJ800)),DATE(VALUE(RIGHT(AJ800,4)),VALUE(LEFT(AJ800,2)),VALUE(MID(AJ800,4,2))),IF(ISNUMBER(SEARCH("-",AJ800)),IF(LEN(LEFT(AJ800,FIND("-",AJ800)-1))=4,DATE(VALUE(LEFT(AJ800,4)),VALUE(MID(AJ800,6,2)),VALUE(RIGHT(AJ800,2))),DATE(VALUE(RIGHT(AJ800,4)),VALUE(MID(AJ800,4,2)),VALUE(LEFT(AJ800,2)))),DATE(VALUE(RIGHT(AJ800,4)),MATCH(MID(AJ800,4,3),{"Jan","Feb","Mar","Apr","May","Jun","Jul","Aug","Sep","Oct","Nov","Dec"},0),VALUE(LEFT(AJ800,2))))))</f>
        <v>45849</v>
      </c>
      <c r="C800" s="3" t="n">
        <f aca="false">IF(AK800="","",IF(ISNUMBER(SEARCH("/",AK800)),DATE(VALUE(RIGHT(AK800,4)),VALUE(LEFT(AK800,2)),VALUE(MID(AK800,4,2))),IF(ISNUMBER(SEARCH("-",AK800)),IF(LEN(LEFT(AK800,FIND("-",AK800)-1))=4,DATE(VALUE(LEFT(AK800,4)),VALUE(MID(AK800,6,2)),VALUE(RIGHT(AK800,2))),DATE(VALUE(RIGHT(AK800,4)),VALUE(MID(AK800,4,2)),VALUE(LEFT(AK800,2)))),DATE(VALUE(RIGHT(AK800,4)),MATCH(MID(AK800,4,3),{"Jan","Feb","Mar","Apr","May","Jun","Jul","Aug","Sep","Oct","Nov","Dec"},0),VALUE(LEFT(AK800,2))))))</f>
        <v>45847</v>
      </c>
      <c r="D800" s="4" t="s">
        <v>2941</v>
      </c>
      <c r="E800" s="0" t="str">
        <f aca="false">PROPER(TRIM(AL800))</f>
        <v>Aditi Sen</v>
      </c>
      <c r="F800" s="0" t="str">
        <f aca="false">PROPER(TRIM(AM800))</f>
        <v>Corporate</v>
      </c>
      <c r="G800" s="0" t="str">
        <f aca="false">IF(TRIM(AN800)="","Unknown",PROPER(TRIM(AN800)))</f>
        <v>North</v>
      </c>
      <c r="H800" s="0" t="str">
        <f aca="false">PROPER(TRIM(AO800))</f>
        <v>Delhi</v>
      </c>
      <c r="I800" s="0" t="str">
        <f aca="false">PROPER(TRIM(AP800))</f>
        <v>New Delhi</v>
      </c>
      <c r="J800" s="0" t="str">
        <f aca="false">PROPER(TRIM(AQ800))</f>
        <v>Furniture</v>
      </c>
      <c r="K800" s="0" t="str">
        <f aca="false">PROPER(TRIM(AR800))</f>
        <v>Furnishings</v>
      </c>
      <c r="M800" s="0" t="str">
        <f aca="false">IF(TRIM(AS800)="","Unknown",PROPER(TRIM(AS800)))</f>
        <v>Standard Class</v>
      </c>
      <c r="N800" s="0" t="n">
        <v>9</v>
      </c>
      <c r="O800" s="0" t="n">
        <v>1706.05</v>
      </c>
      <c r="P800" s="5" t="n">
        <f aca="false">IF(AT800="","",IF(ISNUMBER(AT800),AT800,VALUE(SUBSTITUTE(AT800,"%",""))/100))</f>
        <v>0</v>
      </c>
      <c r="Q800" s="5" t="n">
        <f aca="false">IF(P800="",IF(AND(N800&lt;&gt;"",O800&lt;&gt;"",R800&lt;&gt;"",S800&lt;&gt;""),0,"REVIEW"),IF(OR(P800&lt;0,P800&gt;0.3),0,P800))</f>
        <v>0</v>
      </c>
      <c r="R800" s="0" t="n">
        <v>15354.45</v>
      </c>
      <c r="S800" s="0" t="n">
        <v>9656.5</v>
      </c>
      <c r="T800" s="6" t="n">
        <f aca="false">N800*O800*(1-Q800)</f>
        <v>15354.45</v>
      </c>
      <c r="U800" s="6" t="n">
        <f aca="false">T800-S800</f>
        <v>5697.95</v>
      </c>
      <c r="V800" s="7" t="n">
        <f aca="false">IF(T800=0,0,U800/T800)</f>
        <v>0.371094373292433</v>
      </c>
      <c r="W800" s="4" t="n">
        <f aca="false">C800-B800</f>
        <v>-2</v>
      </c>
      <c r="X800" s="0" t="str">
        <f aca="false">TEXT(B800,"mmmm")</f>
        <v>July</v>
      </c>
      <c r="Y800" s="4" t="n">
        <f aca="false">YEAR(B800)</f>
        <v>2025</v>
      </c>
      <c r="Z800" s="0" t="str">
        <f aca="false">PROPER(TRIM(AU800))</f>
        <v>Paid</v>
      </c>
      <c r="AA800" s="0" t="str">
        <f aca="false">PROPER(TRIM(AV800))</f>
        <v>Completed</v>
      </c>
      <c r="AB800" s="0" t="str">
        <f aca="false">IF(TRIM(AN800)="","Yes","No")</f>
        <v>No</v>
      </c>
      <c r="AC800" s="0" t="str">
        <f aca="false">IF(TRIM(AS800)="","Yes","No")</f>
        <v>No</v>
      </c>
      <c r="AD800" s="0" t="str">
        <f aca="false">IF(AT800="","Yes","No")</f>
        <v>No</v>
      </c>
      <c r="AE800" s="0" t="str">
        <f aca="false">IF(W800&lt;0,"Yes","No")</f>
        <v>Yes</v>
      </c>
      <c r="AF800" s="0" t="str">
        <f aca="false">IF(P800="","No",IF(OR(P800&lt;0,P800&gt;0.3),"Yes","No"))</f>
        <v>No</v>
      </c>
      <c r="AG800" s="4" t="s">
        <v>50</v>
      </c>
      <c r="AH800" s="0" t="str">
        <f aca="false">IF(AND(AA800="Completed",Z800="Paid"),"Yes","No")</f>
        <v>Yes</v>
      </c>
      <c r="AI800" s="0" t="str">
        <f aca="false">IF(OR(AE800="Yes",AF800="Yes",AG800="Yes"),"Invalid",IF(OR(AB800="Yes",AC800="Yes",AD800="Yes"),"Warning","Clean"))</f>
        <v>Invalid</v>
      </c>
      <c r="AJ800" s="4" t="s">
        <v>2942</v>
      </c>
      <c r="AK800" s="4" t="s">
        <v>2943</v>
      </c>
      <c r="AL800" s="4" t="s">
        <v>127</v>
      </c>
      <c r="AM800" s="4" t="s">
        <v>128</v>
      </c>
      <c r="AN800" s="4" t="s">
        <v>168</v>
      </c>
      <c r="AO800" s="4" t="s">
        <v>461</v>
      </c>
      <c r="AP800" s="4" t="s">
        <v>462</v>
      </c>
      <c r="AQ800" s="4" t="s">
        <v>72</v>
      </c>
      <c r="AR800" s="4" t="s">
        <v>90</v>
      </c>
      <c r="AS800" s="4" t="s">
        <v>91</v>
      </c>
      <c r="AT800" s="0" t="n">
        <v>0</v>
      </c>
      <c r="AU800" s="4" t="s">
        <v>61</v>
      </c>
      <c r="AV800" s="4" t="s">
        <v>62</v>
      </c>
    </row>
    <row r="801" customFormat="false" ht="15" hidden="false" customHeight="false" outlineLevel="0" collapsed="false">
      <c r="A801" s="0" t="s">
        <v>2944</v>
      </c>
      <c r="B801" s="3" t="n">
        <f aca="false">IF(AJ801="","",IF(ISNUMBER(SEARCH("/",AJ801)),DATE(VALUE(RIGHT(AJ801,4)),VALUE(LEFT(AJ801,2)),VALUE(MID(AJ801,4,2))),IF(ISNUMBER(SEARCH("-",AJ801)),IF(LEN(LEFT(AJ801,FIND("-",AJ801)-1))=4,DATE(VALUE(LEFT(AJ801,4)),VALUE(MID(AJ801,6,2)),VALUE(RIGHT(AJ801,2))),DATE(VALUE(RIGHT(AJ801,4)),VALUE(MID(AJ801,4,2)),VALUE(LEFT(AJ801,2)))),DATE(VALUE(RIGHT(AJ801,4)),MATCH(MID(AJ801,4,3),{"Jan","Feb","Mar","Apr","May","Jun","Jul","Aug","Sep","Oct","Nov","Dec"},0),VALUE(LEFT(AJ801,2))))))</f>
        <v>45575</v>
      </c>
      <c r="C801" s="3" t="n">
        <f aca="false">IF(AK801="","",IF(ISNUMBER(SEARCH("/",AK801)),DATE(VALUE(RIGHT(AK801,4)),VALUE(LEFT(AK801,2)),VALUE(MID(AK801,4,2))),IF(ISNUMBER(SEARCH("-",AK801)),IF(LEN(LEFT(AK801,FIND("-",AK801)-1))=4,DATE(VALUE(LEFT(AK801,4)),VALUE(MID(AK801,6,2)),VALUE(RIGHT(AK801,2))),DATE(VALUE(RIGHT(AK801,4)),VALUE(MID(AK801,4,2)),VALUE(LEFT(AK801,2)))),DATE(VALUE(RIGHT(AK801,4)),MATCH(MID(AK801,4,3),{"Jan","Feb","Mar","Apr","May","Jun","Jul","Aug","Sep","Oct","Nov","Dec"},0),VALUE(LEFT(AK801,2))))))</f>
        <v>45582</v>
      </c>
      <c r="D801" s="4" t="s">
        <v>2945</v>
      </c>
      <c r="E801" s="0" t="str">
        <f aca="false">PROPER(TRIM(AL801))</f>
        <v>Isha Nair</v>
      </c>
      <c r="F801" s="0" t="str">
        <f aca="false">PROPER(TRIM(AM801))</f>
        <v>Home Office</v>
      </c>
      <c r="G801" s="0" t="str">
        <f aca="false">IF(TRIM(AN801)="","Unknown",PROPER(TRIM(AN801)))</f>
        <v>North</v>
      </c>
      <c r="H801" s="0" t="str">
        <f aca="false">PROPER(TRIM(AO801))</f>
        <v>Haryana</v>
      </c>
      <c r="I801" s="0" t="str">
        <f aca="false">PROPER(TRIM(AP801))</f>
        <v>Gurugram</v>
      </c>
      <c r="J801" s="0" t="str">
        <f aca="false">PROPER(TRIM(AQ801))</f>
        <v>Technology</v>
      </c>
      <c r="K801" s="0" t="str">
        <f aca="false">PROPER(TRIM(AR801))</f>
        <v>Accessories</v>
      </c>
      <c r="M801" s="0" t="str">
        <f aca="false">IF(TRIM(AS801)="","Unknown",PROPER(TRIM(AS801)))</f>
        <v>Unknown</v>
      </c>
      <c r="N801" s="0" t="n">
        <v>5</v>
      </c>
      <c r="O801" s="0" t="n">
        <v>967.41</v>
      </c>
      <c r="P801" s="5" t="n">
        <f aca="false">IF(AT801="","",IF(ISNUMBER(AT801),AT801,VALUE(SUBSTITUTE(AT801,"%",""))/100))</f>
        <v>0.05</v>
      </c>
      <c r="Q801" s="5" t="n">
        <f aca="false">IF(P801="",IF(AND(N801&lt;&gt;"",O801&lt;&gt;"",R801&lt;&gt;"",S801&lt;&gt;""),0,"REVIEW"),IF(OR(P801&lt;0,P801&gt;0.3),0,P801))</f>
        <v>0.05</v>
      </c>
      <c r="R801" s="0" t="n">
        <v>4595.2</v>
      </c>
      <c r="S801" s="0" t="n">
        <v>3887.41</v>
      </c>
      <c r="T801" s="6" t="n">
        <f aca="false">N801*O801*(1-Q801)</f>
        <v>4595.1975</v>
      </c>
      <c r="U801" s="6" t="n">
        <f aca="false">T801-S801</f>
        <v>707.7875</v>
      </c>
      <c r="V801" s="7" t="n">
        <f aca="false">IF(T801=0,0,U801/T801)</f>
        <v>0.154027656047428</v>
      </c>
      <c r="W801" s="4" t="n">
        <f aca="false">C801-B801</f>
        <v>7</v>
      </c>
      <c r="X801" s="0" t="str">
        <f aca="false">TEXT(B801,"mmmm")</f>
        <v>October</v>
      </c>
      <c r="Y801" s="4" t="n">
        <f aca="false">YEAR(B801)</f>
        <v>2024</v>
      </c>
      <c r="Z801" s="0" t="str">
        <f aca="false">PROPER(TRIM(AU801))</f>
        <v>Paid</v>
      </c>
      <c r="AA801" s="0" t="str">
        <f aca="false">PROPER(TRIM(AV801))</f>
        <v>Returned</v>
      </c>
      <c r="AB801" s="0" t="str">
        <f aca="false">IF(TRIM(AN801)="","Yes","No")</f>
        <v>No</v>
      </c>
      <c r="AC801" s="0" t="str">
        <f aca="false">IF(TRIM(AS801)="","Yes","No")</f>
        <v>Yes</v>
      </c>
      <c r="AD801" s="0" t="str">
        <f aca="false">IF(AT801="","Yes","No")</f>
        <v>No</v>
      </c>
      <c r="AE801" s="0" t="str">
        <f aca="false">IF(W801&lt;0,"Yes","No")</f>
        <v>No</v>
      </c>
      <c r="AF801" s="0" t="str">
        <f aca="false">IF(P801="","No",IF(OR(P801&lt;0,P801&gt;0.3),"Yes","No"))</f>
        <v>No</v>
      </c>
      <c r="AG801" s="4" t="s">
        <v>50</v>
      </c>
      <c r="AH801" s="0" t="str">
        <f aca="false">IF(AND(AA801="Completed",Z801="Paid"),"Yes","No")</f>
        <v>No</v>
      </c>
      <c r="AI801" s="0" t="str">
        <f aca="false">IF(OR(AE801="Yes",AF801="Yes",AG801="Yes"),"Invalid",IF(OR(AB801="Yes",AC801="Yes",AD801="Yes"),"Warning","Clean"))</f>
        <v>Warning</v>
      </c>
      <c r="AJ801" s="4" t="s">
        <v>2705</v>
      </c>
      <c r="AK801" s="4" t="s">
        <v>2073</v>
      </c>
      <c r="AL801" s="4" t="s">
        <v>79</v>
      </c>
      <c r="AM801" s="4" t="s">
        <v>134</v>
      </c>
      <c r="AN801" s="4" t="s">
        <v>168</v>
      </c>
      <c r="AO801" s="4" t="s">
        <v>310</v>
      </c>
      <c r="AP801" s="4" t="s">
        <v>311</v>
      </c>
      <c r="AQ801" s="4" t="s">
        <v>109</v>
      </c>
      <c r="AR801" s="4" t="s">
        <v>110</v>
      </c>
      <c r="AT801" s="0" t="n">
        <v>0.05</v>
      </c>
      <c r="AU801" s="4" t="s">
        <v>61</v>
      </c>
      <c r="AV801" s="4" t="s">
        <v>142</v>
      </c>
    </row>
    <row r="802" customFormat="false" ht="15" hidden="false" customHeight="false" outlineLevel="0" collapsed="false">
      <c r="A802" s="0" t="s">
        <v>2946</v>
      </c>
      <c r="B802" s="3" t="n">
        <f aca="false">IF(AJ802="","",IF(ISNUMBER(SEARCH("/",AJ802)),DATE(VALUE(RIGHT(AJ802,4)),VALUE(LEFT(AJ802,2)),VALUE(MID(AJ802,4,2))),IF(ISNUMBER(SEARCH("-",AJ802)),IF(LEN(LEFT(AJ802,FIND("-",AJ802)-1))=4,DATE(VALUE(LEFT(AJ802,4)),VALUE(MID(AJ802,6,2)),VALUE(RIGHT(AJ802,2))),DATE(VALUE(RIGHT(AJ802,4)),VALUE(MID(AJ802,4,2)),VALUE(LEFT(AJ802,2)))),DATE(VALUE(RIGHT(AJ802,4)),MATCH(MID(AJ802,4,3),{"Jan","Feb","Mar","Apr","May","Jun","Jul","Aug","Sep","Oct","Nov","Dec"},0),VALUE(LEFT(AJ802,2))))))</f>
        <v>45352</v>
      </c>
      <c r="C802" s="3" t="n">
        <f aca="false">IF(AK802="","",IF(ISNUMBER(SEARCH("/",AK802)),DATE(VALUE(RIGHT(AK802,4)),VALUE(LEFT(AK802,2)),VALUE(MID(AK802,4,2))),IF(ISNUMBER(SEARCH("-",AK802)),IF(LEN(LEFT(AK802,FIND("-",AK802)-1))=4,DATE(VALUE(LEFT(AK802,4)),VALUE(MID(AK802,6,2)),VALUE(RIGHT(AK802,2))),DATE(VALUE(RIGHT(AK802,4)),VALUE(MID(AK802,4,2)),VALUE(LEFT(AK802,2)))),DATE(VALUE(RIGHT(AK802,4)),MATCH(MID(AK802,4,3),{"Jan","Feb","Mar","Apr","May","Jun","Jul","Aug","Sep","Oct","Nov","Dec"},0),VALUE(LEFT(AK802,2))))))</f>
        <v>45358</v>
      </c>
      <c r="D802" s="4" t="s">
        <v>2947</v>
      </c>
      <c r="E802" s="0" t="str">
        <f aca="false">PROPER(TRIM(AL802))</f>
        <v>Vikram Iyer</v>
      </c>
      <c r="F802" s="0" t="str">
        <f aca="false">PROPER(TRIM(AM802))</f>
        <v>Small Business</v>
      </c>
      <c r="G802" s="0" t="str">
        <f aca="false">IF(TRIM(AN802)="","Unknown",PROPER(TRIM(AN802)))</f>
        <v>West</v>
      </c>
      <c r="H802" s="0" t="str">
        <f aca="false">PROPER(TRIM(AO802))</f>
        <v>Maharashtra</v>
      </c>
      <c r="I802" s="0" t="str">
        <f aca="false">PROPER(TRIM(AP802))</f>
        <v>Mumbai</v>
      </c>
      <c r="J802" s="0" t="str">
        <f aca="false">PROPER(TRIM(AQ802))</f>
        <v>Office Supplies</v>
      </c>
      <c r="K802" s="0" t="str">
        <f aca="false">PROPER(TRIM(AR802))</f>
        <v>Storage</v>
      </c>
      <c r="M802" s="0" t="str">
        <f aca="false">IF(TRIM(AS802)="","Unknown",PROPER(TRIM(AS802)))</f>
        <v>Second Class</v>
      </c>
      <c r="N802" s="0" t="n">
        <v>6</v>
      </c>
      <c r="O802" s="0" t="n">
        <v>4163.72</v>
      </c>
      <c r="P802" s="5" t="n">
        <f aca="false">IF(AT802="","",IF(ISNUMBER(AT802),AT802,VALUE(SUBSTITUTE(AT802,"%",""))/100))</f>
        <v>0.15</v>
      </c>
      <c r="Q802" s="5" t="n">
        <f aca="false">IF(P802="",IF(AND(N802&lt;&gt;"",O802&lt;&gt;"",R802&lt;&gt;"",S802&lt;&gt;""),0,"REVIEW"),IF(OR(P802&lt;0,P802&gt;0.3),0,P802))</f>
        <v>0.15</v>
      </c>
      <c r="R802" s="0" t="n">
        <v>21234.97</v>
      </c>
      <c r="S802" s="0" t="n">
        <v>16736.09</v>
      </c>
      <c r="T802" s="6" t="n">
        <f aca="false">N802*O802*(1-Q802)</f>
        <v>21234.972</v>
      </c>
      <c r="U802" s="6" t="n">
        <f aca="false">T802-S802</f>
        <v>4498.882</v>
      </c>
      <c r="V802" s="7" t="n">
        <f aca="false">IF(T802=0,0,U802/T802)</f>
        <v>0.2118619228695</v>
      </c>
      <c r="W802" s="4" t="n">
        <f aca="false">C802-B802</f>
        <v>6</v>
      </c>
      <c r="X802" s="0" t="str">
        <f aca="false">TEXT(B802,"mmmm")</f>
        <v>March</v>
      </c>
      <c r="Y802" s="4" t="n">
        <f aca="false">YEAR(B802)</f>
        <v>2024</v>
      </c>
      <c r="Z802" s="0" t="str">
        <f aca="false">PROPER(TRIM(AU802))</f>
        <v>Paid</v>
      </c>
      <c r="AA802" s="0" t="str">
        <f aca="false">PROPER(TRIM(AV802))</f>
        <v>Completed</v>
      </c>
      <c r="AB802" s="0" t="str">
        <f aca="false">IF(TRIM(AN802)="","Yes","No")</f>
        <v>No</v>
      </c>
      <c r="AC802" s="0" t="str">
        <f aca="false">IF(TRIM(AS802)="","Yes","No")</f>
        <v>No</v>
      </c>
      <c r="AD802" s="0" t="str">
        <f aca="false">IF(AT802="","Yes","No")</f>
        <v>No</v>
      </c>
      <c r="AE802" s="0" t="str">
        <f aca="false">IF(W802&lt;0,"Yes","No")</f>
        <v>No</v>
      </c>
      <c r="AF802" s="0" t="str">
        <f aca="false">IF(P802="","No",IF(OR(P802&lt;0,P802&gt;0.3),"Yes","No"))</f>
        <v>No</v>
      </c>
      <c r="AG802" s="4" t="s">
        <v>50</v>
      </c>
      <c r="AH802" s="0" t="str">
        <f aca="false">IF(AND(AA802="Completed",Z802="Paid"),"Yes","No")</f>
        <v>Yes</v>
      </c>
      <c r="AI802" s="0" t="str">
        <f aca="false">IF(OR(AE802="Yes",AF802="Yes",AG802="Yes"),"Invalid",IF(OR(AB802="Yes",AC802="Yes",AD802="Yes"),"Warning","Clean"))</f>
        <v>Clean</v>
      </c>
      <c r="AJ802" s="4" t="s">
        <v>2948</v>
      </c>
      <c r="AK802" s="4" t="s">
        <v>2949</v>
      </c>
      <c r="AL802" s="4" t="s">
        <v>106</v>
      </c>
      <c r="AM802" s="4" t="s">
        <v>68</v>
      </c>
      <c r="AN802" s="4" t="s">
        <v>97</v>
      </c>
      <c r="AO802" s="4" t="s">
        <v>98</v>
      </c>
      <c r="AP802" s="4" t="s">
        <v>99</v>
      </c>
      <c r="AQ802" s="4" t="s">
        <v>58</v>
      </c>
      <c r="AR802" s="4" t="s">
        <v>171</v>
      </c>
      <c r="AS802" s="4" t="s">
        <v>60</v>
      </c>
      <c r="AT802" s="0" t="n">
        <v>0.15</v>
      </c>
      <c r="AU802" s="4" t="s">
        <v>61</v>
      </c>
      <c r="AV802" s="4" t="s">
        <v>62</v>
      </c>
    </row>
    <row r="803" customFormat="false" ht="15" hidden="false" customHeight="false" outlineLevel="0" collapsed="false">
      <c r="A803" s="0" t="s">
        <v>2950</v>
      </c>
      <c r="B803" s="3" t="n">
        <f aca="false">IF(AJ803="","",IF(ISNUMBER(SEARCH("/",AJ803)),DATE(VALUE(RIGHT(AJ803,4)),VALUE(LEFT(AJ803,2)),VALUE(MID(AJ803,4,2))),IF(ISNUMBER(SEARCH("-",AJ803)),IF(LEN(LEFT(AJ803,FIND("-",AJ803)-1))=4,DATE(VALUE(LEFT(AJ803,4)),VALUE(MID(AJ803,6,2)),VALUE(RIGHT(AJ803,2))),DATE(VALUE(RIGHT(AJ803,4)),VALUE(MID(AJ803,4,2)),VALUE(LEFT(AJ803,2)))),DATE(VALUE(RIGHT(AJ803,4)),MATCH(MID(AJ803,4,3),{"Jan","Feb","Mar","Apr","May","Jun","Jul","Aug","Sep","Oct","Nov","Dec"},0),VALUE(LEFT(AJ803,2))))))</f>
        <v>45938</v>
      </c>
      <c r="C803" s="3" t="n">
        <f aca="false">IF(AK803="","",IF(ISNUMBER(SEARCH("/",AK803)),DATE(VALUE(RIGHT(AK803,4)),VALUE(LEFT(AK803,2)),VALUE(MID(AK803,4,2))),IF(ISNUMBER(SEARCH("-",AK803)),IF(LEN(LEFT(AK803,FIND("-",AK803)-1))=4,DATE(VALUE(LEFT(AK803,4)),VALUE(MID(AK803,6,2)),VALUE(RIGHT(AK803,2))),DATE(VALUE(RIGHT(AK803,4)),VALUE(MID(AK803,4,2)),VALUE(LEFT(AK803,2)))),DATE(VALUE(RIGHT(AK803,4)),MATCH(MID(AK803,4,3),{"Jan","Feb","Mar","Apr","May","Jun","Jul","Aug","Sep","Oct","Nov","Dec"},0),VALUE(LEFT(AK803,2))))))</f>
        <v>45945</v>
      </c>
      <c r="D803" s="4" t="s">
        <v>2951</v>
      </c>
      <c r="E803" s="0" t="str">
        <f aca="false">PROPER(TRIM(AL803))</f>
        <v>Aarav Sharma</v>
      </c>
      <c r="F803" s="0" t="str">
        <f aca="false">PROPER(TRIM(AM803))</f>
        <v>Home Office</v>
      </c>
      <c r="G803" s="0" t="str">
        <f aca="false">IF(TRIM(AN803)="","Unknown",PROPER(TRIM(AN803)))</f>
        <v>East</v>
      </c>
      <c r="H803" s="0" t="str">
        <f aca="false">PROPER(TRIM(AO803))</f>
        <v>Odisha</v>
      </c>
      <c r="I803" s="0" t="str">
        <f aca="false">PROPER(TRIM(AP803))</f>
        <v>Bhubaneswar</v>
      </c>
      <c r="J803" s="0" t="str">
        <f aca="false">PROPER(TRIM(AQ803))</f>
        <v>Technology</v>
      </c>
      <c r="K803" s="0" t="str">
        <f aca="false">PROPER(TRIM(AR803))</f>
        <v>Accessories</v>
      </c>
      <c r="M803" s="0" t="str">
        <f aca="false">IF(TRIM(AS803)="","Unknown",PROPER(TRIM(AS803)))</f>
        <v>Second Class</v>
      </c>
      <c r="N803" s="0" t="n">
        <v>3</v>
      </c>
      <c r="O803" s="0" t="n">
        <v>3372.21</v>
      </c>
      <c r="P803" s="5" t="n">
        <f aca="false">IF(AT803="","",IF(ISNUMBER(AT803),AT803,VALUE(SUBSTITUTE(AT803,"%",""))/100))</f>
        <v>0.2</v>
      </c>
      <c r="Q803" s="5" t="n">
        <f aca="false">IF(P803="",IF(AND(N803&lt;&gt;"",O803&lt;&gt;"",R803&lt;&gt;"",S803&lt;&gt;""),0,"REVIEW"),IF(OR(P803&lt;0,P803&gt;0.3),0,P803))</f>
        <v>0.2</v>
      </c>
      <c r="R803" s="0" t="n">
        <v>8093.3</v>
      </c>
      <c r="S803" s="0" t="n">
        <v>6052.43</v>
      </c>
      <c r="T803" s="6" t="n">
        <f aca="false">N803*O803*(1-Q803)</f>
        <v>8093.304</v>
      </c>
      <c r="U803" s="6" t="n">
        <f aca="false">T803-S803</f>
        <v>2040.874</v>
      </c>
      <c r="V803" s="7" t="n">
        <f aca="false">IF(T803=0,0,U803/T803)</f>
        <v>0.25216821214179</v>
      </c>
      <c r="W803" s="4" t="n">
        <f aca="false">C803-B803</f>
        <v>7</v>
      </c>
      <c r="X803" s="0" t="str">
        <f aca="false">TEXT(B803,"mmmm")</f>
        <v>October</v>
      </c>
      <c r="Y803" s="4" t="n">
        <f aca="false">YEAR(B803)</f>
        <v>2025</v>
      </c>
      <c r="Z803" s="0" t="str">
        <f aca="false">PROPER(TRIM(AU803))</f>
        <v>Pending</v>
      </c>
      <c r="AA803" s="0" t="str">
        <f aca="false">PROPER(TRIM(AV803))</f>
        <v>Cancelled</v>
      </c>
      <c r="AB803" s="0" t="str">
        <f aca="false">IF(TRIM(AN803)="","Yes","No")</f>
        <v>No</v>
      </c>
      <c r="AC803" s="0" t="str">
        <f aca="false">IF(TRIM(AS803)="","Yes","No")</f>
        <v>No</v>
      </c>
      <c r="AD803" s="0" t="str">
        <f aca="false">IF(AT803="","Yes","No")</f>
        <v>No</v>
      </c>
      <c r="AE803" s="0" t="str">
        <f aca="false">IF(W803&lt;0,"Yes","No")</f>
        <v>No</v>
      </c>
      <c r="AF803" s="0" t="str">
        <f aca="false">IF(P803="","No",IF(OR(P803&lt;0,P803&gt;0.3),"Yes","No"))</f>
        <v>No</v>
      </c>
      <c r="AG803" s="4" t="s">
        <v>50</v>
      </c>
      <c r="AH803" s="0" t="str">
        <f aca="false">IF(AND(AA803="Completed",Z803="Paid"),"Yes","No")</f>
        <v>No</v>
      </c>
      <c r="AI803" s="0" t="str">
        <f aca="false">IF(OR(AE803="Yes",AF803="Yes",AG803="Yes"),"Invalid",IF(OR(AB803="Yes",AC803="Yes",AD803="Yes"),"Warning","Clean"))</f>
        <v>Clean</v>
      </c>
      <c r="AJ803" s="4" t="s">
        <v>2952</v>
      </c>
      <c r="AK803" s="4" t="s">
        <v>299</v>
      </c>
      <c r="AL803" s="4" t="s">
        <v>176</v>
      </c>
      <c r="AM803" s="4" t="s">
        <v>134</v>
      </c>
      <c r="AN803" s="4" t="s">
        <v>69</v>
      </c>
      <c r="AO803" s="4" t="s">
        <v>70</v>
      </c>
      <c r="AP803" s="4" t="s">
        <v>71</v>
      </c>
      <c r="AQ803" s="4" t="s">
        <v>109</v>
      </c>
      <c r="AR803" s="4" t="s">
        <v>110</v>
      </c>
      <c r="AS803" s="4" t="s">
        <v>60</v>
      </c>
      <c r="AT803" s="0" t="n">
        <v>0.2</v>
      </c>
      <c r="AU803" s="4" t="s">
        <v>153</v>
      </c>
      <c r="AV803" s="4" t="s">
        <v>101</v>
      </c>
    </row>
    <row r="804" customFormat="false" ht="15" hidden="false" customHeight="false" outlineLevel="0" collapsed="false">
      <c r="A804" s="0" t="s">
        <v>2953</v>
      </c>
      <c r="B804" s="3" t="n">
        <f aca="false">IF(AJ804="","",IF(ISNUMBER(SEARCH("/",AJ804)),DATE(VALUE(RIGHT(AJ804,4)),VALUE(LEFT(AJ804,2)),VALUE(MID(AJ804,4,2))),IF(ISNUMBER(SEARCH("-",AJ804)),IF(LEN(LEFT(AJ804,FIND("-",AJ804)-1))=4,DATE(VALUE(LEFT(AJ804,4)),VALUE(MID(AJ804,6,2)),VALUE(RIGHT(AJ804,2))),DATE(VALUE(RIGHT(AJ804,4)),VALUE(MID(AJ804,4,2)),VALUE(LEFT(AJ804,2)))),DATE(VALUE(RIGHT(AJ804,4)),MATCH(MID(AJ804,4,3),{"Jan","Feb","Mar","Apr","May","Jun","Jul","Aug","Sep","Oct","Nov","Dec"},0),VALUE(LEFT(AJ804,2))))))</f>
        <v>45704</v>
      </c>
      <c r="C804" s="3" t="n">
        <f aca="false">IF(AK804="","",IF(ISNUMBER(SEARCH("/",AK804)),DATE(VALUE(RIGHT(AK804,4)),VALUE(LEFT(AK804,2)),VALUE(MID(AK804,4,2))),IF(ISNUMBER(SEARCH("-",AK804)),IF(LEN(LEFT(AK804,FIND("-",AK804)-1))=4,DATE(VALUE(LEFT(AK804,4)),VALUE(MID(AK804,6,2)),VALUE(RIGHT(AK804,2))),DATE(VALUE(RIGHT(AK804,4)),VALUE(MID(AK804,4,2)),VALUE(LEFT(AK804,2)))),DATE(VALUE(RIGHT(AK804,4)),MATCH(MID(AK804,4,3),{"Jan","Feb","Mar","Apr","May","Jun","Jul","Aug","Sep","Oct","Nov","Dec"},0),VALUE(LEFT(AK804,2))))))</f>
        <v>45704</v>
      </c>
      <c r="D804" s="4" t="s">
        <v>2954</v>
      </c>
      <c r="E804" s="0" t="str">
        <f aca="false">PROPER(TRIM(AL804))</f>
        <v>Rohan Mehta</v>
      </c>
      <c r="F804" s="0" t="str">
        <f aca="false">PROPER(TRIM(AM804))</f>
        <v>Small Business</v>
      </c>
      <c r="G804" s="0" t="str">
        <f aca="false">IF(TRIM(AN804)="","Unknown",PROPER(TRIM(AN804)))</f>
        <v>East</v>
      </c>
      <c r="H804" s="0" t="str">
        <f aca="false">PROPER(TRIM(AO804))</f>
        <v>Assam</v>
      </c>
      <c r="I804" s="0" t="str">
        <f aca="false">PROPER(TRIM(AP804))</f>
        <v>Guwahati</v>
      </c>
      <c r="J804" s="0" t="str">
        <f aca="false">PROPER(TRIM(AQ804))</f>
        <v>Furniture</v>
      </c>
      <c r="K804" s="0" t="str">
        <f aca="false">PROPER(TRIM(AR804))</f>
        <v>Furnishings</v>
      </c>
      <c r="M804" s="0" t="str">
        <f aca="false">IF(TRIM(AS804)="","Unknown",PROPER(TRIM(AS804)))</f>
        <v>Second Class</v>
      </c>
      <c r="N804" s="0" t="n">
        <v>6</v>
      </c>
      <c r="O804" s="0" t="n">
        <v>1441.91</v>
      </c>
      <c r="P804" s="5" t="n">
        <f aca="false">IF(AT804="","",IF(ISNUMBER(AT804),AT804,VALUE(SUBSTITUTE(AT804,"%",""))/100))</f>
        <v>0</v>
      </c>
      <c r="Q804" s="5" t="n">
        <f aca="false">IF(P804="",IF(AND(N804&lt;&gt;"",O804&lt;&gt;"",R804&lt;&gt;"",S804&lt;&gt;""),0,"REVIEW"),IF(OR(P804&lt;0,P804&gt;0.3),0,P804))</f>
        <v>0</v>
      </c>
      <c r="R804" s="0" t="n">
        <v>8651.46</v>
      </c>
      <c r="S804" s="0" t="n">
        <v>5254.62</v>
      </c>
      <c r="T804" s="6" t="n">
        <f aca="false">N804*O804*(1-Q804)</f>
        <v>8651.46</v>
      </c>
      <c r="U804" s="6" t="n">
        <f aca="false">T804-S804</f>
        <v>3396.84</v>
      </c>
      <c r="V804" s="7" t="n">
        <f aca="false">IF(T804=0,0,U804/T804)</f>
        <v>0.392631995062105</v>
      </c>
      <c r="W804" s="4" t="n">
        <f aca="false">C804-B804</f>
        <v>0</v>
      </c>
      <c r="X804" s="0" t="str">
        <f aca="false">TEXT(B804,"mmmm")</f>
        <v>February</v>
      </c>
      <c r="Y804" s="4" t="n">
        <f aca="false">YEAR(B804)</f>
        <v>2025</v>
      </c>
      <c r="Z804" s="0" t="str">
        <f aca="false">PROPER(TRIM(AU804))</f>
        <v>Failed</v>
      </c>
      <c r="AA804" s="0" t="str">
        <f aca="false">PROPER(TRIM(AV804))</f>
        <v>Returned</v>
      </c>
      <c r="AB804" s="0" t="str">
        <f aca="false">IF(TRIM(AN804)="","Yes","No")</f>
        <v>No</v>
      </c>
      <c r="AC804" s="0" t="str">
        <f aca="false">IF(TRIM(AS804)="","Yes","No")</f>
        <v>No</v>
      </c>
      <c r="AD804" s="0" t="str">
        <f aca="false">IF(AT804="","Yes","No")</f>
        <v>No</v>
      </c>
      <c r="AE804" s="0" t="str">
        <f aca="false">IF(W804&lt;0,"Yes","No")</f>
        <v>No</v>
      </c>
      <c r="AF804" s="0" t="str">
        <f aca="false">IF(P804="","No",IF(OR(P804&lt;0,P804&gt;0.3),"Yes","No"))</f>
        <v>No</v>
      </c>
      <c r="AG804" s="4" t="s">
        <v>50</v>
      </c>
      <c r="AH804" s="0" t="str">
        <f aca="false">IF(AND(AA804="Completed",Z804="Paid"),"Yes","No")</f>
        <v>No</v>
      </c>
      <c r="AI804" s="0" t="str">
        <f aca="false">IF(OR(AE804="Yes",AF804="Yes",AG804="Yes"),"Invalid",IF(OR(AB804="Yes",AC804="Yes",AD804="Yes"),"Warning","Clean"))</f>
        <v>Clean</v>
      </c>
      <c r="AJ804" s="4" t="s">
        <v>2559</v>
      </c>
      <c r="AK804" s="4" t="s">
        <v>2955</v>
      </c>
      <c r="AL804" s="4" t="s">
        <v>191</v>
      </c>
      <c r="AM804" s="4" t="s">
        <v>68</v>
      </c>
      <c r="AN804" s="4" t="s">
        <v>69</v>
      </c>
      <c r="AO804" s="4" t="s">
        <v>221</v>
      </c>
      <c r="AP804" s="4" t="s">
        <v>222</v>
      </c>
      <c r="AQ804" s="4" t="s">
        <v>72</v>
      </c>
      <c r="AR804" s="4" t="s">
        <v>90</v>
      </c>
      <c r="AS804" s="4" t="s">
        <v>60</v>
      </c>
      <c r="AT804" s="0" t="n">
        <v>0</v>
      </c>
      <c r="AU804" s="4" t="s">
        <v>2956</v>
      </c>
      <c r="AV804" s="4" t="s">
        <v>142</v>
      </c>
    </row>
    <row r="805" customFormat="false" ht="15" hidden="false" customHeight="false" outlineLevel="0" collapsed="false">
      <c r="A805" s="0" t="s">
        <v>2957</v>
      </c>
      <c r="B805" s="3" t="n">
        <f aca="false">IF(AJ805="","",IF(ISNUMBER(SEARCH("/",AJ805)),DATE(VALUE(RIGHT(AJ805,4)),VALUE(LEFT(AJ805,2)),VALUE(MID(AJ805,4,2))),IF(ISNUMBER(SEARCH("-",AJ805)),IF(LEN(LEFT(AJ805,FIND("-",AJ805)-1))=4,DATE(VALUE(LEFT(AJ805,4)),VALUE(MID(AJ805,6,2)),VALUE(RIGHT(AJ805,2))),DATE(VALUE(RIGHT(AJ805,4)),VALUE(MID(AJ805,4,2)),VALUE(LEFT(AJ805,2)))),DATE(VALUE(RIGHT(AJ805,4)),MATCH(MID(AJ805,4,3),{"Jan","Feb","Mar","Apr","May","Jun","Jul","Aug","Sep","Oct","Nov","Dec"},0),VALUE(LEFT(AJ805,2))))))</f>
        <v>45635</v>
      </c>
      <c r="C805" s="3" t="n">
        <f aca="false">IF(AK805="","",IF(ISNUMBER(SEARCH("/",AK805)),DATE(VALUE(RIGHT(AK805,4)),VALUE(LEFT(AK805,2)),VALUE(MID(AK805,4,2))),IF(ISNUMBER(SEARCH("-",AK805)),IF(LEN(LEFT(AK805,FIND("-",AK805)-1))=4,DATE(VALUE(LEFT(AK805,4)),VALUE(MID(AK805,6,2)),VALUE(RIGHT(AK805,2))),DATE(VALUE(RIGHT(AK805,4)),VALUE(MID(AK805,4,2)),VALUE(LEFT(AK805,2)))),DATE(VALUE(RIGHT(AK805,4)),MATCH(MID(AK805,4,3),{"Jan","Feb","Mar","Apr","May","Jun","Jul","Aug","Sep","Oct","Nov","Dec"},0),VALUE(LEFT(AK805,2))))))</f>
        <v>45639</v>
      </c>
      <c r="D805" s="4" t="s">
        <v>2958</v>
      </c>
      <c r="E805" s="0" t="str">
        <f aca="false">PROPER(TRIM(AL805))</f>
        <v>Rohan Mehta</v>
      </c>
      <c r="F805" s="0" t="str">
        <f aca="false">PROPER(TRIM(AM805))</f>
        <v>Consumer</v>
      </c>
      <c r="G805" s="0" t="str">
        <f aca="false">IF(TRIM(AN805)="","Unknown",PROPER(TRIM(AN805)))</f>
        <v>Unknown</v>
      </c>
      <c r="H805" s="0" t="str">
        <f aca="false">PROPER(TRIM(AO805))</f>
        <v>Jharkhand</v>
      </c>
      <c r="I805" s="0" t="str">
        <f aca="false">PROPER(TRIM(AP805))</f>
        <v>Ranchi</v>
      </c>
      <c r="J805" s="0" t="str">
        <f aca="false">PROPER(TRIM(AQ805))</f>
        <v>Office Supplies</v>
      </c>
      <c r="K805" s="0" t="str">
        <f aca="false">PROPER(TRIM(AR805))</f>
        <v>Labels</v>
      </c>
      <c r="M805" s="0" t="str">
        <f aca="false">IF(TRIM(AS805)="","Unknown",PROPER(TRIM(AS805)))</f>
        <v>First Class</v>
      </c>
      <c r="N805" s="0" t="n">
        <v>1</v>
      </c>
      <c r="O805" s="0" t="n">
        <v>4306.65</v>
      </c>
      <c r="P805" s="5" t="n">
        <f aca="false">IF(AT805="","",IF(ISNUMBER(AT805),AT805,VALUE(SUBSTITUTE(AT805,"%",""))/100))</f>
        <v>0</v>
      </c>
      <c r="Q805" s="5" t="n">
        <f aca="false">IF(P805="",IF(AND(N805&lt;&gt;"",O805&lt;&gt;"",R805&lt;&gt;"",S805&lt;&gt;""),0,"REVIEW"),IF(OR(P805&lt;0,P805&gt;0.3),0,P805))</f>
        <v>0</v>
      </c>
      <c r="R805" s="0" t="n">
        <v>4306.65</v>
      </c>
      <c r="S805" s="0" t="n">
        <v>2568.82</v>
      </c>
      <c r="T805" s="6" t="n">
        <f aca="false">N805*O805*(1-Q805)</f>
        <v>4306.65</v>
      </c>
      <c r="U805" s="6" t="n">
        <f aca="false">T805-S805</f>
        <v>1737.83</v>
      </c>
      <c r="V805" s="7" t="n">
        <f aca="false">IF(T805=0,0,U805/T805)</f>
        <v>0.403522459452242</v>
      </c>
      <c r="W805" s="4" t="n">
        <f aca="false">C805-B805</f>
        <v>4</v>
      </c>
      <c r="X805" s="0" t="str">
        <f aca="false">TEXT(B805,"mmmm")</f>
        <v>December</v>
      </c>
      <c r="Y805" s="4" t="n">
        <f aca="false">YEAR(B805)</f>
        <v>2024</v>
      </c>
      <c r="Z805" s="0" t="str">
        <f aca="false">PROPER(TRIM(AU805))</f>
        <v>Paid</v>
      </c>
      <c r="AA805" s="0" t="str">
        <f aca="false">PROPER(TRIM(AV805))</f>
        <v>Completed</v>
      </c>
      <c r="AB805" s="0" t="str">
        <f aca="false">IF(TRIM(AN805)="","Yes","No")</f>
        <v>Yes</v>
      </c>
      <c r="AC805" s="0" t="str">
        <f aca="false">IF(TRIM(AS805)="","Yes","No")</f>
        <v>No</v>
      </c>
      <c r="AD805" s="0" t="str">
        <f aca="false">IF(AT805="","Yes","No")</f>
        <v>No</v>
      </c>
      <c r="AE805" s="0" t="str">
        <f aca="false">IF(W805&lt;0,"Yes","No")</f>
        <v>No</v>
      </c>
      <c r="AF805" s="0" t="str">
        <f aca="false">IF(P805="","No",IF(OR(P805&lt;0,P805&gt;0.3),"Yes","No"))</f>
        <v>No</v>
      </c>
      <c r="AG805" s="4" t="s">
        <v>50</v>
      </c>
      <c r="AH805" s="0" t="str">
        <f aca="false">IF(AND(AA805="Completed",Z805="Paid"),"Yes","No")</f>
        <v>Yes</v>
      </c>
      <c r="AI805" s="0" t="str">
        <f aca="false">IF(OR(AE805="Yes",AF805="Yes",AG805="Yes"),"Invalid",IF(OR(AB805="Yes",AC805="Yes",AD805="Yes"),"Warning","Clean"))</f>
        <v>Warning</v>
      </c>
      <c r="AJ805" s="4" t="s">
        <v>2959</v>
      </c>
      <c r="AK805" s="4" t="s">
        <v>647</v>
      </c>
      <c r="AL805" s="4" t="s">
        <v>191</v>
      </c>
      <c r="AM805" s="4" t="s">
        <v>54</v>
      </c>
      <c r="AO805" s="4" t="s">
        <v>300</v>
      </c>
      <c r="AP805" s="4" t="s">
        <v>301</v>
      </c>
      <c r="AQ805" s="4" t="s">
        <v>58</v>
      </c>
      <c r="AR805" s="4" t="s">
        <v>129</v>
      </c>
      <c r="AS805" s="4" t="s">
        <v>81</v>
      </c>
      <c r="AT805" s="0" t="n">
        <v>0</v>
      </c>
      <c r="AU805" s="4" t="s">
        <v>61</v>
      </c>
      <c r="AV805" s="4" t="s">
        <v>62</v>
      </c>
    </row>
    <row r="806" customFormat="false" ht="15" hidden="false" customHeight="false" outlineLevel="0" collapsed="false">
      <c r="A806" s="0" t="s">
        <v>2960</v>
      </c>
      <c r="B806" s="3" t="n">
        <f aca="false">IF(AJ806="","",IF(ISNUMBER(SEARCH("/",AJ806)),DATE(VALUE(RIGHT(AJ806,4)),VALUE(LEFT(AJ806,2)),VALUE(MID(AJ806,4,2))),IF(ISNUMBER(SEARCH("-",AJ806)),IF(LEN(LEFT(AJ806,FIND("-",AJ806)-1))=4,DATE(VALUE(LEFT(AJ806,4)),VALUE(MID(AJ806,6,2)),VALUE(RIGHT(AJ806,2))),DATE(VALUE(RIGHT(AJ806,4)),VALUE(MID(AJ806,4,2)),VALUE(LEFT(AJ806,2)))),DATE(VALUE(RIGHT(AJ806,4)),MATCH(MID(AJ806,4,3),{"Jan","Feb","Mar","Apr","May","Jun","Jul","Aug","Sep","Oct","Nov","Dec"},0),VALUE(LEFT(AJ806,2))))))</f>
        <v>45910</v>
      </c>
      <c r="C806" s="3" t="n">
        <f aca="false">IF(AK806="","",IF(ISNUMBER(SEARCH("/",AK806)),DATE(VALUE(RIGHT(AK806,4)),VALUE(LEFT(AK806,2)),VALUE(MID(AK806,4,2))),IF(ISNUMBER(SEARCH("-",AK806)),IF(LEN(LEFT(AK806,FIND("-",AK806)-1))=4,DATE(VALUE(LEFT(AK806,4)),VALUE(MID(AK806,6,2)),VALUE(RIGHT(AK806,2))),DATE(VALUE(RIGHT(AK806,4)),VALUE(MID(AK806,4,2)),VALUE(LEFT(AK806,2)))),DATE(VALUE(RIGHT(AK806,4)),MATCH(MID(AK806,4,3),{"Jan","Feb","Mar","Apr","May","Jun","Jul","Aug","Sep","Oct","Nov","Dec"},0),VALUE(LEFT(AK806,2))))))</f>
        <v>45918</v>
      </c>
      <c r="D806" s="4" t="s">
        <v>2961</v>
      </c>
      <c r="E806" s="0" t="str">
        <f aca="false">PROPER(TRIM(AL806))</f>
        <v>Rahul Verma</v>
      </c>
      <c r="F806" s="0" t="str">
        <f aca="false">PROPER(TRIM(AM806))</f>
        <v>Home Office</v>
      </c>
      <c r="G806" s="0" t="str">
        <f aca="false">IF(TRIM(AN806)="","Unknown",PROPER(TRIM(AN806)))</f>
        <v>South</v>
      </c>
      <c r="H806" s="0" t="str">
        <f aca="false">PROPER(TRIM(AO806))</f>
        <v>Telangana</v>
      </c>
      <c r="I806" s="0" t="str">
        <f aca="false">PROPER(TRIM(AP806))</f>
        <v>Hyderabad</v>
      </c>
      <c r="J806" s="0" t="str">
        <f aca="false">PROPER(TRIM(AQ806))</f>
        <v>Furniture</v>
      </c>
      <c r="K806" s="0" t="str">
        <f aca="false">PROPER(TRIM(AR806))</f>
        <v>Furnishings</v>
      </c>
      <c r="M806" s="0" t="str">
        <f aca="false">IF(TRIM(AS806)="","Unknown",PROPER(TRIM(AS806)))</f>
        <v>Standard Class</v>
      </c>
      <c r="N806" s="0" t="n">
        <v>1</v>
      </c>
      <c r="O806" s="0" t="n">
        <v>2050.62</v>
      </c>
      <c r="P806" s="5" t="n">
        <f aca="false">IF(AT806="","",IF(ISNUMBER(AT806),AT806,VALUE(SUBSTITUTE(AT806,"%",""))/100))</f>
        <v>0.05</v>
      </c>
      <c r="Q806" s="5" t="n">
        <f aca="false">IF(P806="",IF(AND(N806&lt;&gt;"",O806&lt;&gt;"",R806&lt;&gt;"",S806&lt;&gt;""),0,"REVIEW"),IF(OR(P806&lt;0,P806&gt;0.3),0,P806))</f>
        <v>0.05</v>
      </c>
      <c r="R806" s="0" t="n">
        <v>1948.09</v>
      </c>
      <c r="S806" s="0" t="n">
        <v>1507.08</v>
      </c>
      <c r="T806" s="6" t="n">
        <f aca="false">N806*O806*(1-Q806)</f>
        <v>1948.089</v>
      </c>
      <c r="U806" s="6" t="n">
        <f aca="false">T806-S806</f>
        <v>441.009</v>
      </c>
      <c r="V806" s="7" t="n">
        <f aca="false">IF(T806=0,0,U806/T806)</f>
        <v>0.226380314246423</v>
      </c>
      <c r="W806" s="4" t="n">
        <f aca="false">C806-B806</f>
        <v>8</v>
      </c>
      <c r="X806" s="0" t="str">
        <f aca="false">TEXT(B806,"mmmm")</f>
        <v>September</v>
      </c>
      <c r="Y806" s="4" t="n">
        <f aca="false">YEAR(B806)</f>
        <v>2025</v>
      </c>
      <c r="Z806" s="0" t="str">
        <f aca="false">PROPER(TRIM(AU806))</f>
        <v>Paid</v>
      </c>
      <c r="AA806" s="0" t="str">
        <f aca="false">PROPER(TRIM(AV806))</f>
        <v>Completed</v>
      </c>
      <c r="AB806" s="0" t="str">
        <f aca="false">IF(TRIM(AN806)="","Yes","No")</f>
        <v>No</v>
      </c>
      <c r="AC806" s="0" t="str">
        <f aca="false">IF(TRIM(AS806)="","Yes","No")</f>
        <v>No</v>
      </c>
      <c r="AD806" s="0" t="str">
        <f aca="false">IF(AT806="","Yes","No")</f>
        <v>No</v>
      </c>
      <c r="AE806" s="0" t="str">
        <f aca="false">IF(W806&lt;0,"Yes","No")</f>
        <v>No</v>
      </c>
      <c r="AF806" s="0" t="str">
        <f aca="false">IF(P806="","No",IF(OR(P806&lt;0,P806&gt;0.3),"Yes","No"))</f>
        <v>No</v>
      </c>
      <c r="AG806" s="4" t="s">
        <v>50</v>
      </c>
      <c r="AH806" s="0" t="str">
        <f aca="false">IF(AND(AA806="Completed",Z806="Paid"),"Yes","No")</f>
        <v>Yes</v>
      </c>
      <c r="AI806" s="0" t="str">
        <f aca="false">IF(OR(AE806="Yes",AF806="Yes",AG806="Yes"),"Invalid",IF(OR(AB806="Yes",AC806="Yes",AD806="Yes"),"Warning","Clean"))</f>
        <v>Clean</v>
      </c>
      <c r="AJ806" s="4" t="s">
        <v>851</v>
      </c>
      <c r="AK806" s="4" t="s">
        <v>1802</v>
      </c>
      <c r="AL806" s="4" t="s">
        <v>163</v>
      </c>
      <c r="AM806" s="4" t="s">
        <v>134</v>
      </c>
      <c r="AN806" s="4" t="s">
        <v>87</v>
      </c>
      <c r="AO806" s="4" t="s">
        <v>88</v>
      </c>
      <c r="AP806" s="4" t="s">
        <v>89</v>
      </c>
      <c r="AQ806" s="4" t="s">
        <v>72</v>
      </c>
      <c r="AR806" s="4" t="s">
        <v>90</v>
      </c>
      <c r="AS806" s="4" t="s">
        <v>91</v>
      </c>
      <c r="AT806" s="0" t="n">
        <v>0.05</v>
      </c>
      <c r="AU806" s="4" t="s">
        <v>61</v>
      </c>
      <c r="AV806" s="4" t="s">
        <v>62</v>
      </c>
    </row>
    <row r="807" customFormat="false" ht="15" hidden="false" customHeight="false" outlineLevel="0" collapsed="false">
      <c r="A807" s="0" t="s">
        <v>2962</v>
      </c>
      <c r="B807" s="3" t="n">
        <f aca="false">IF(AJ807="","",IF(ISNUMBER(SEARCH("/",AJ807)),DATE(VALUE(RIGHT(AJ807,4)),VALUE(LEFT(AJ807,2)),VALUE(MID(AJ807,4,2))),IF(ISNUMBER(SEARCH("-",AJ807)),IF(LEN(LEFT(AJ807,FIND("-",AJ807)-1))=4,DATE(VALUE(LEFT(AJ807,4)),VALUE(MID(AJ807,6,2)),VALUE(RIGHT(AJ807,2))),DATE(VALUE(RIGHT(AJ807,4)),VALUE(MID(AJ807,4,2)),VALUE(LEFT(AJ807,2)))),DATE(VALUE(RIGHT(AJ807,4)),MATCH(MID(AJ807,4,3),{"Jan","Feb","Mar","Apr","May","Jun","Jul","Aug","Sep","Oct","Nov","Dec"},0),VALUE(LEFT(AJ807,2))))))</f>
        <v>45753</v>
      </c>
      <c r="C807" s="3" t="n">
        <f aca="false">IF(AK807="","",IF(ISNUMBER(SEARCH("/",AK807)),DATE(VALUE(RIGHT(AK807,4)),VALUE(LEFT(AK807,2)),VALUE(MID(AK807,4,2))),IF(ISNUMBER(SEARCH("-",AK807)),IF(LEN(LEFT(AK807,FIND("-",AK807)-1))=4,DATE(VALUE(LEFT(AK807,4)),VALUE(MID(AK807,6,2)),VALUE(RIGHT(AK807,2))),DATE(VALUE(RIGHT(AK807,4)),VALUE(MID(AK807,4,2)),VALUE(LEFT(AK807,2)))),DATE(VALUE(RIGHT(AK807,4)),MATCH(MID(AK807,4,3),{"Jan","Feb","Mar","Apr","May","Jun","Jul","Aug","Sep","Oct","Nov","Dec"},0),VALUE(LEFT(AK807,2))))))</f>
        <v>45754</v>
      </c>
      <c r="D807" s="4" t="s">
        <v>2822</v>
      </c>
      <c r="E807" s="0" t="str">
        <f aca="false">PROPER(TRIM(AL807))</f>
        <v>Priya Menon</v>
      </c>
      <c r="F807" s="0" t="str">
        <f aca="false">PROPER(TRIM(AM807))</f>
        <v>Home Office</v>
      </c>
      <c r="G807" s="0" t="str">
        <f aca="false">IF(TRIM(AN807)="","Unknown",PROPER(TRIM(AN807)))</f>
        <v>East</v>
      </c>
      <c r="H807" s="0" t="str">
        <f aca="false">PROPER(TRIM(AO807))</f>
        <v>Assam</v>
      </c>
      <c r="I807" s="0" t="str">
        <f aca="false">PROPER(TRIM(AP807))</f>
        <v>Guwahati</v>
      </c>
      <c r="J807" s="0" t="str">
        <f aca="false">PROPER(TRIM(AQ807))</f>
        <v>Office Supplies</v>
      </c>
      <c r="K807" s="0" t="str">
        <f aca="false">PROPER(TRIM(AR807))</f>
        <v>Binders</v>
      </c>
      <c r="M807" s="0" t="str">
        <f aca="false">IF(TRIM(AS807)="","Unknown",PROPER(TRIM(AS807)))</f>
        <v>Second Class</v>
      </c>
      <c r="N807" s="0" t="n">
        <v>2</v>
      </c>
      <c r="O807" s="0" t="n">
        <v>2030.06</v>
      </c>
      <c r="P807" s="5" t="n">
        <f aca="false">IF(AT807="","",IF(ISNUMBER(AT807),AT807,VALUE(SUBSTITUTE(AT807,"%",""))/100))</f>
        <v>0.25</v>
      </c>
      <c r="Q807" s="5" t="n">
        <f aca="false">IF(P807="",IF(AND(N807&lt;&gt;"",O807&lt;&gt;"",R807&lt;&gt;"",S807&lt;&gt;""),0,"REVIEW"),IF(OR(P807&lt;0,P807&gt;0.3),0,P807))</f>
        <v>0.25</v>
      </c>
      <c r="R807" s="0" t="n">
        <v>3045.09</v>
      </c>
      <c r="S807" s="0" t="n">
        <v>2601.09</v>
      </c>
      <c r="T807" s="6" t="n">
        <f aca="false">N807*O807*(1-Q807)</f>
        <v>3045.09</v>
      </c>
      <c r="U807" s="6" t="n">
        <f aca="false">T807-S807</f>
        <v>444</v>
      </c>
      <c r="V807" s="7" t="n">
        <f aca="false">IF(T807=0,0,U807/T807)</f>
        <v>0.145808498270987</v>
      </c>
      <c r="W807" s="4" t="n">
        <f aca="false">C807-B807</f>
        <v>1</v>
      </c>
      <c r="X807" s="0" t="str">
        <f aca="false">TEXT(B807,"mmmm")</f>
        <v>April</v>
      </c>
      <c r="Y807" s="4" t="n">
        <f aca="false">YEAR(B807)</f>
        <v>2025</v>
      </c>
      <c r="Z807" s="0" t="str">
        <f aca="false">PROPER(TRIM(AU807))</f>
        <v>Paid</v>
      </c>
      <c r="AA807" s="0" t="str">
        <f aca="false">PROPER(TRIM(AV807))</f>
        <v>Completed</v>
      </c>
      <c r="AB807" s="0" t="str">
        <f aca="false">IF(TRIM(AN807)="","Yes","No")</f>
        <v>No</v>
      </c>
      <c r="AC807" s="0" t="str">
        <f aca="false">IF(TRIM(AS807)="","Yes","No")</f>
        <v>No</v>
      </c>
      <c r="AD807" s="0" t="str">
        <f aca="false">IF(AT807="","Yes","No")</f>
        <v>No</v>
      </c>
      <c r="AE807" s="0" t="str">
        <f aca="false">IF(W807&lt;0,"Yes","No")</f>
        <v>No</v>
      </c>
      <c r="AF807" s="0" t="str">
        <f aca="false">IF(P807="","No",IF(OR(P807&lt;0,P807&gt;0.3),"Yes","No"))</f>
        <v>No</v>
      </c>
      <c r="AG807" s="4" t="s">
        <v>50</v>
      </c>
      <c r="AH807" s="0" t="str">
        <f aca="false">IF(AND(AA807="Completed",Z807="Paid"),"Yes","No")</f>
        <v>Yes</v>
      </c>
      <c r="AI807" s="0" t="str">
        <f aca="false">IF(OR(AE807="Yes",AF807="Yes",AG807="Yes"),"Invalid",IF(OR(AB807="Yes",AC807="Yes",AD807="Yes"),"Warning","Clean"))</f>
        <v>Clean</v>
      </c>
      <c r="AJ807" s="4" t="s">
        <v>1111</v>
      </c>
      <c r="AK807" s="4" t="s">
        <v>909</v>
      </c>
      <c r="AL807" s="4" t="s">
        <v>158</v>
      </c>
      <c r="AM807" s="4" t="s">
        <v>134</v>
      </c>
      <c r="AN807" s="4" t="s">
        <v>69</v>
      </c>
      <c r="AO807" s="4" t="s">
        <v>221</v>
      </c>
      <c r="AP807" s="4" t="s">
        <v>222</v>
      </c>
      <c r="AQ807" s="4" t="s">
        <v>58</v>
      </c>
      <c r="AR807" s="4" t="s">
        <v>206</v>
      </c>
      <c r="AS807" s="4" t="s">
        <v>60</v>
      </c>
      <c r="AT807" s="0" t="n">
        <v>0.25</v>
      </c>
      <c r="AU807" s="4" t="s">
        <v>61</v>
      </c>
      <c r="AV807" s="4" t="s">
        <v>62</v>
      </c>
    </row>
    <row r="808" customFormat="false" ht="15" hidden="false" customHeight="false" outlineLevel="0" collapsed="false">
      <c r="A808" s="0" t="s">
        <v>2963</v>
      </c>
      <c r="B808" s="3" t="n">
        <f aca="false">IF(AJ808="","",IF(ISNUMBER(SEARCH("/",AJ808)),DATE(VALUE(RIGHT(AJ808,4)),VALUE(LEFT(AJ808,2)),VALUE(MID(AJ808,4,2))),IF(ISNUMBER(SEARCH("-",AJ808)),IF(LEN(LEFT(AJ808,FIND("-",AJ808)-1))=4,DATE(VALUE(LEFT(AJ808,4)),VALUE(MID(AJ808,6,2)),VALUE(RIGHT(AJ808,2))),DATE(VALUE(RIGHT(AJ808,4)),VALUE(MID(AJ808,4,2)),VALUE(LEFT(AJ808,2)))),DATE(VALUE(RIGHT(AJ808,4)),MATCH(MID(AJ808,4,3),{"Jan","Feb","Mar","Apr","May","Jun","Jul","Aug","Sep","Oct","Nov","Dec"},0),VALUE(LEFT(AJ808,2))))))</f>
        <v>45605</v>
      </c>
      <c r="C808" s="3" t="n">
        <f aca="false">IF(AK808="","",IF(ISNUMBER(SEARCH("/",AK808)),DATE(VALUE(RIGHT(AK808,4)),VALUE(LEFT(AK808,2)),VALUE(MID(AK808,4,2))),IF(ISNUMBER(SEARCH("-",AK808)),IF(LEN(LEFT(AK808,FIND("-",AK808)-1))=4,DATE(VALUE(LEFT(AK808,4)),VALUE(MID(AK808,6,2)),VALUE(RIGHT(AK808,2))),DATE(VALUE(RIGHT(AK808,4)),VALUE(MID(AK808,4,2)),VALUE(LEFT(AK808,2)))),DATE(VALUE(RIGHT(AK808,4)),MATCH(MID(AK808,4,3),{"Jan","Feb","Mar","Apr","May","Jun","Jul","Aug","Sep","Oct","Nov","Dec"},0),VALUE(LEFT(AK808,2))))))</f>
        <v>45611</v>
      </c>
      <c r="D808" s="4" t="s">
        <v>2964</v>
      </c>
      <c r="E808" s="0" t="str">
        <f aca="false">PROPER(TRIM(AL808))</f>
        <v>Isha Nair</v>
      </c>
      <c r="F808" s="0" t="str">
        <f aca="false">PROPER(TRIM(AM808))</f>
        <v>Home Office</v>
      </c>
      <c r="G808" s="0" t="str">
        <f aca="false">IF(TRIM(AN808)="","Unknown",PROPER(TRIM(AN808)))</f>
        <v>North</v>
      </c>
      <c r="H808" s="0" t="str">
        <f aca="false">PROPER(TRIM(AO808))</f>
        <v>Rajasthan</v>
      </c>
      <c r="I808" s="0" t="str">
        <f aca="false">PROPER(TRIM(AP808))</f>
        <v>Jaipur</v>
      </c>
      <c r="J808" s="0" t="str">
        <f aca="false">PROPER(TRIM(AQ808))</f>
        <v>Technology</v>
      </c>
      <c r="K808" s="0" t="str">
        <f aca="false">PROPER(TRIM(AR808))</f>
        <v>Copiers</v>
      </c>
      <c r="M808" s="0" t="str">
        <f aca="false">IF(TRIM(AS808)="","Unknown",PROPER(TRIM(AS808)))</f>
        <v>Standard Class</v>
      </c>
      <c r="N808" s="0" t="n">
        <v>1</v>
      </c>
      <c r="O808" s="0" t="n">
        <v>3665.97</v>
      </c>
      <c r="P808" s="5" t="n">
        <f aca="false">IF(AT808="","",IF(ISNUMBER(AT808),AT808,VALUE(SUBSTITUTE(AT808,"%",""))/100))</f>
        <v>0.2</v>
      </c>
      <c r="Q808" s="5" t="n">
        <f aca="false">IF(P808="",IF(AND(N808&lt;&gt;"",O808&lt;&gt;"",R808&lt;&gt;"",S808&lt;&gt;""),0,"REVIEW"),IF(OR(P808&lt;0,P808&gt;0.3),0,P808))</f>
        <v>0.2</v>
      </c>
      <c r="R808" s="0" t="n">
        <v>2932.78</v>
      </c>
      <c r="S808" s="0" t="n">
        <v>1900.35</v>
      </c>
      <c r="T808" s="6" t="n">
        <f aca="false">N808*O808*(1-Q808)</f>
        <v>2932.776</v>
      </c>
      <c r="U808" s="6" t="n">
        <f aca="false">T808-S808</f>
        <v>1032.426</v>
      </c>
      <c r="V808" s="7" t="n">
        <f aca="false">IF(T808=0,0,U808/T808)</f>
        <v>0.35203029484693</v>
      </c>
      <c r="W808" s="4" t="n">
        <f aca="false">C808-B808</f>
        <v>6</v>
      </c>
      <c r="X808" s="0" t="str">
        <f aca="false">TEXT(B808,"mmmm")</f>
        <v>November</v>
      </c>
      <c r="Y808" s="4" t="n">
        <f aca="false">YEAR(B808)</f>
        <v>2024</v>
      </c>
      <c r="Z808" s="0" t="str">
        <f aca="false">PROPER(TRIM(AU808))</f>
        <v>Failed</v>
      </c>
      <c r="AA808" s="0" t="str">
        <f aca="false">PROPER(TRIM(AV808))</f>
        <v>Cancelled</v>
      </c>
      <c r="AB808" s="0" t="str">
        <f aca="false">IF(TRIM(AN808)="","Yes","No")</f>
        <v>No</v>
      </c>
      <c r="AC808" s="0" t="str">
        <f aca="false">IF(TRIM(AS808)="","Yes","No")</f>
        <v>No</v>
      </c>
      <c r="AD808" s="0" t="str">
        <f aca="false">IF(AT808="","Yes","No")</f>
        <v>No</v>
      </c>
      <c r="AE808" s="0" t="str">
        <f aca="false">IF(W808&lt;0,"Yes","No")</f>
        <v>No</v>
      </c>
      <c r="AF808" s="0" t="str">
        <f aca="false">IF(P808="","No",IF(OR(P808&lt;0,P808&gt;0.3),"Yes","No"))</f>
        <v>No</v>
      </c>
      <c r="AG808" s="4" t="s">
        <v>50</v>
      </c>
      <c r="AH808" s="0" t="str">
        <f aca="false">IF(AND(AA808="Completed",Z808="Paid"),"Yes","No")</f>
        <v>No</v>
      </c>
      <c r="AI808" s="0" t="str">
        <f aca="false">IF(OR(AE808="Yes",AF808="Yes",AG808="Yes"),"Invalid",IF(OR(AB808="Yes",AC808="Yes",AD808="Yes"),"Warning","Clean"))</f>
        <v>Clean</v>
      </c>
      <c r="AJ808" s="4" t="s">
        <v>2965</v>
      </c>
      <c r="AK808" s="4" t="s">
        <v>2966</v>
      </c>
      <c r="AL808" s="4" t="s">
        <v>79</v>
      </c>
      <c r="AM808" s="4" t="s">
        <v>134</v>
      </c>
      <c r="AN808" s="4" t="s">
        <v>168</v>
      </c>
      <c r="AO808" s="4" t="s">
        <v>56</v>
      </c>
      <c r="AP808" s="4" t="s">
        <v>57</v>
      </c>
      <c r="AQ808" s="4" t="s">
        <v>109</v>
      </c>
      <c r="AR808" s="4" t="s">
        <v>116</v>
      </c>
      <c r="AS808" s="4" t="s">
        <v>91</v>
      </c>
      <c r="AT808" s="0" t="n">
        <v>0.2</v>
      </c>
      <c r="AU808" s="4" t="s">
        <v>207</v>
      </c>
      <c r="AV808" s="4" t="s">
        <v>101</v>
      </c>
    </row>
    <row r="809" customFormat="false" ht="15" hidden="false" customHeight="false" outlineLevel="0" collapsed="false">
      <c r="A809" s="0" t="s">
        <v>2967</v>
      </c>
      <c r="B809" s="3" t="n">
        <f aca="false">IF(AJ809="","",IF(ISNUMBER(SEARCH("/",AJ809)),DATE(VALUE(RIGHT(AJ809,4)),VALUE(LEFT(AJ809,2)),VALUE(MID(AJ809,4,2))),IF(ISNUMBER(SEARCH("-",AJ809)),IF(LEN(LEFT(AJ809,FIND("-",AJ809)-1))=4,DATE(VALUE(LEFT(AJ809,4)),VALUE(MID(AJ809,6,2)),VALUE(RIGHT(AJ809,2))),DATE(VALUE(RIGHT(AJ809,4)),VALUE(MID(AJ809,4,2)),VALUE(LEFT(AJ809,2)))),DATE(VALUE(RIGHT(AJ809,4)),MATCH(MID(AJ809,4,3),{"Jan","Feb","Mar","Apr","May","Jun","Jul","Aug","Sep","Oct","Nov","Dec"},0),VALUE(LEFT(AJ809,2))))))</f>
        <v>45695</v>
      </c>
      <c r="C809" s="3" t="n">
        <f aca="false">IF(AK809="","",IF(ISNUMBER(SEARCH("/",AK809)),DATE(VALUE(RIGHT(AK809,4)),VALUE(LEFT(AK809,2)),VALUE(MID(AK809,4,2))),IF(ISNUMBER(SEARCH("-",AK809)),IF(LEN(LEFT(AK809,FIND("-",AK809)-1))=4,DATE(VALUE(LEFT(AK809,4)),VALUE(MID(AK809,6,2)),VALUE(RIGHT(AK809,2))),DATE(VALUE(RIGHT(AK809,4)),VALUE(MID(AK809,4,2)),VALUE(LEFT(AK809,2)))),DATE(VALUE(RIGHT(AK809,4)),MATCH(MID(AK809,4,3),{"Jan","Feb","Mar","Apr","May","Jun","Jul","Aug","Sep","Oct","Nov","Dec"},0),VALUE(LEFT(AK809,2))))))</f>
        <v>45696</v>
      </c>
      <c r="D809" s="4" t="s">
        <v>2968</v>
      </c>
      <c r="E809" s="0" t="str">
        <f aca="false">PROPER(TRIM(AL809))</f>
        <v>Karan Malhotra</v>
      </c>
      <c r="F809" s="0" t="str">
        <f aca="false">PROPER(TRIM(AM809))</f>
        <v>Small Business</v>
      </c>
      <c r="G809" s="0" t="str">
        <f aca="false">IF(TRIM(AN809)="","Unknown",PROPER(TRIM(AN809)))</f>
        <v>South</v>
      </c>
      <c r="H809" s="0" t="str">
        <f aca="false">PROPER(TRIM(AO809))</f>
        <v>Telangana</v>
      </c>
      <c r="I809" s="0" t="str">
        <f aca="false">PROPER(TRIM(AP809))</f>
        <v>Hyderabad</v>
      </c>
      <c r="J809" s="0" t="str">
        <f aca="false">PROPER(TRIM(AQ809))</f>
        <v>Office Supplies</v>
      </c>
      <c r="K809" s="0" t="str">
        <f aca="false">PROPER(TRIM(AR809))</f>
        <v>Labels</v>
      </c>
      <c r="M809" s="0" t="str">
        <f aca="false">IF(TRIM(AS809)="","Unknown",PROPER(TRIM(AS809)))</f>
        <v>Standard Class</v>
      </c>
      <c r="N809" s="0" t="n">
        <v>2</v>
      </c>
      <c r="O809" s="0" t="n">
        <v>2432.98</v>
      </c>
      <c r="P809" s="5" t="n">
        <f aca="false">IF(AT809="","",IF(ISNUMBER(AT809),AT809,VALUE(SUBSTITUTE(AT809,"%",""))/100))</f>
        <v>0.1</v>
      </c>
      <c r="Q809" s="5" t="n">
        <f aca="false">IF(P809="",IF(AND(N809&lt;&gt;"",O809&lt;&gt;"",R809&lt;&gt;"",S809&lt;&gt;""),0,"REVIEW"),IF(OR(P809&lt;0,P809&gt;0.3),0,P809))</f>
        <v>0.1</v>
      </c>
      <c r="R809" s="0" t="n">
        <v>4379.36</v>
      </c>
      <c r="S809" s="0" t="n">
        <v>3723.93</v>
      </c>
      <c r="T809" s="6" t="n">
        <f aca="false">N809*O809*(1-Q809)</f>
        <v>4379.364</v>
      </c>
      <c r="U809" s="6" t="n">
        <f aca="false">T809-S809</f>
        <v>655.434000000001</v>
      </c>
      <c r="V809" s="7" t="n">
        <f aca="false">IF(T809=0,0,U809/T809)</f>
        <v>0.149664197815025</v>
      </c>
      <c r="W809" s="4" t="n">
        <f aca="false">C809-B809</f>
        <v>1</v>
      </c>
      <c r="X809" s="0" t="str">
        <f aca="false">TEXT(B809,"mmmm")</f>
        <v>February</v>
      </c>
      <c r="Y809" s="4" t="n">
        <f aca="false">YEAR(B809)</f>
        <v>2025</v>
      </c>
      <c r="Z809" s="0" t="str">
        <f aca="false">PROPER(TRIM(AU809))</f>
        <v>Paid</v>
      </c>
      <c r="AA809" s="0" t="str">
        <f aca="false">PROPER(TRIM(AV809))</f>
        <v>Completed</v>
      </c>
      <c r="AB809" s="0" t="str">
        <f aca="false">IF(TRIM(AN809)="","Yes","No")</f>
        <v>No</v>
      </c>
      <c r="AC809" s="0" t="str">
        <f aca="false">IF(TRIM(AS809)="","Yes","No")</f>
        <v>No</v>
      </c>
      <c r="AD809" s="0" t="str">
        <f aca="false">IF(AT809="","Yes","No")</f>
        <v>No</v>
      </c>
      <c r="AE809" s="0" t="str">
        <f aca="false">IF(W809&lt;0,"Yes","No")</f>
        <v>No</v>
      </c>
      <c r="AF809" s="0" t="str">
        <f aca="false">IF(P809="","No",IF(OR(P809&lt;0,P809&gt;0.3),"Yes","No"))</f>
        <v>No</v>
      </c>
      <c r="AG809" s="4" t="s">
        <v>50</v>
      </c>
      <c r="AH809" s="0" t="str">
        <f aca="false">IF(AND(AA809="Completed",Z809="Paid"),"Yes","No")</f>
        <v>Yes</v>
      </c>
      <c r="AI809" s="0" t="str">
        <f aca="false">IF(OR(AE809="Yes",AF809="Yes",AG809="Yes"),"Invalid",IF(OR(AB809="Yes",AC809="Yes",AD809="Yes"),"Warning","Clean"))</f>
        <v>Clean</v>
      </c>
      <c r="AJ809" s="4" t="s">
        <v>1080</v>
      </c>
      <c r="AK809" s="4" t="s">
        <v>1859</v>
      </c>
      <c r="AL809" s="4" t="s">
        <v>53</v>
      </c>
      <c r="AM809" s="4" t="s">
        <v>68</v>
      </c>
      <c r="AN809" s="4" t="s">
        <v>87</v>
      </c>
      <c r="AO809" s="4" t="s">
        <v>88</v>
      </c>
      <c r="AP809" s="4" t="s">
        <v>89</v>
      </c>
      <c r="AQ809" s="4" t="s">
        <v>58</v>
      </c>
      <c r="AR809" s="4" t="s">
        <v>129</v>
      </c>
      <c r="AS809" s="4" t="s">
        <v>2969</v>
      </c>
      <c r="AT809" s="0" t="n">
        <v>0.1</v>
      </c>
      <c r="AU809" s="4" t="s">
        <v>61</v>
      </c>
      <c r="AV809" s="4" t="s">
        <v>62</v>
      </c>
    </row>
    <row r="810" customFormat="false" ht="15" hidden="false" customHeight="false" outlineLevel="0" collapsed="false">
      <c r="A810" s="0" t="s">
        <v>2970</v>
      </c>
      <c r="B810" s="3" t="n">
        <f aca="false">IF(AJ810="","",IF(ISNUMBER(SEARCH("/",AJ810)),DATE(VALUE(RIGHT(AJ810,4)),VALUE(LEFT(AJ810,2)),VALUE(MID(AJ810,4,2))),IF(ISNUMBER(SEARCH("-",AJ810)),IF(LEN(LEFT(AJ810,FIND("-",AJ810)-1))=4,DATE(VALUE(LEFT(AJ810,4)),VALUE(MID(AJ810,6,2)),VALUE(RIGHT(AJ810,2))),DATE(VALUE(RIGHT(AJ810,4)),VALUE(MID(AJ810,4,2)),VALUE(LEFT(AJ810,2)))),DATE(VALUE(RIGHT(AJ810,4)),MATCH(MID(AJ810,4,3),{"Jan","Feb","Mar","Apr","May","Jun","Jul","Aug","Sep","Oct","Nov","Dec"},0),VALUE(LEFT(AJ810,2))))))</f>
        <v>45900</v>
      </c>
      <c r="C810" s="3" t="n">
        <f aca="false">IF(AK810="","",IF(ISNUMBER(SEARCH("/",AK810)),DATE(VALUE(RIGHT(AK810,4)),VALUE(LEFT(AK810,2)),VALUE(MID(AK810,4,2))),IF(ISNUMBER(SEARCH("-",AK810)),IF(LEN(LEFT(AK810,FIND("-",AK810)-1))=4,DATE(VALUE(LEFT(AK810,4)),VALUE(MID(AK810,6,2)),VALUE(RIGHT(AK810,2))),DATE(VALUE(RIGHT(AK810,4)),VALUE(MID(AK810,4,2)),VALUE(LEFT(AK810,2)))),DATE(VALUE(RIGHT(AK810,4)),MATCH(MID(AK810,4,3),{"Jan","Feb","Mar","Apr","May","Jun","Jul","Aug","Sep","Oct","Nov","Dec"},0),VALUE(LEFT(AK810,2))))))</f>
        <v>45897</v>
      </c>
      <c r="D810" s="4" t="s">
        <v>2971</v>
      </c>
      <c r="E810" s="0" t="str">
        <f aca="false">PROPER(TRIM(AL810))</f>
        <v>Aarav Sharma</v>
      </c>
      <c r="F810" s="0" t="str">
        <f aca="false">PROPER(TRIM(AM810))</f>
        <v>Small Business</v>
      </c>
      <c r="G810" s="0" t="str">
        <f aca="false">IF(TRIM(AN810)="","Unknown",PROPER(TRIM(AN810)))</f>
        <v>South</v>
      </c>
      <c r="H810" s="0" t="str">
        <f aca="false">PROPER(TRIM(AO810))</f>
        <v>Tamil Nadu</v>
      </c>
      <c r="I810" s="0" t="str">
        <f aca="false">PROPER(TRIM(AP810))</f>
        <v>Chennai</v>
      </c>
      <c r="J810" s="0" t="str">
        <f aca="false">PROPER(TRIM(AQ810))</f>
        <v>Furniture</v>
      </c>
      <c r="K810" s="0" t="str">
        <f aca="false">PROPER(TRIM(AR810))</f>
        <v>Furnishings</v>
      </c>
      <c r="M810" s="0" t="str">
        <f aca="false">IF(TRIM(AS810)="","Unknown",PROPER(TRIM(AS810)))</f>
        <v>First Class</v>
      </c>
      <c r="N810" s="0" t="n">
        <v>7</v>
      </c>
      <c r="O810" s="0" t="n">
        <v>977.28</v>
      </c>
      <c r="P810" s="5" t="n">
        <f aca="false">IF(AT810="","",IF(ISNUMBER(AT810),AT810,VALUE(SUBSTITUTE(AT810,"%",""))/100))</f>
        <v>0.2</v>
      </c>
      <c r="Q810" s="5" t="n">
        <f aca="false">IF(P810="",IF(AND(N810&lt;&gt;"",O810&lt;&gt;"",R810&lt;&gt;"",S810&lt;&gt;""),0,"REVIEW"),IF(OR(P810&lt;0,P810&gt;0.3),0,P810))</f>
        <v>0.2</v>
      </c>
      <c r="R810" s="0" t="n">
        <v>5472.77</v>
      </c>
      <c r="S810" s="0" t="n">
        <v>4477.33</v>
      </c>
      <c r="T810" s="6" t="n">
        <f aca="false">N810*O810*(1-Q810)</f>
        <v>5472.768</v>
      </c>
      <c r="U810" s="6" t="n">
        <f aca="false">T810-S810</f>
        <v>995.438</v>
      </c>
      <c r="V810" s="7" t="n">
        <f aca="false">IF(T810=0,0,U810/T810)</f>
        <v>0.181889310856956</v>
      </c>
      <c r="W810" s="4" t="n">
        <f aca="false">C810-B810</f>
        <v>-3</v>
      </c>
      <c r="X810" s="0" t="str">
        <f aca="false">TEXT(B810,"mmmm")</f>
        <v>August</v>
      </c>
      <c r="Y810" s="4" t="n">
        <f aca="false">YEAR(B810)</f>
        <v>2025</v>
      </c>
      <c r="Z810" s="0" t="str">
        <f aca="false">PROPER(TRIM(AU810))</f>
        <v>Paid</v>
      </c>
      <c r="AA810" s="0" t="str">
        <f aca="false">PROPER(TRIM(AV810))</f>
        <v>Completed</v>
      </c>
      <c r="AB810" s="0" t="str">
        <f aca="false">IF(TRIM(AN810)="","Yes","No")</f>
        <v>No</v>
      </c>
      <c r="AC810" s="0" t="str">
        <f aca="false">IF(TRIM(AS810)="","Yes","No")</f>
        <v>No</v>
      </c>
      <c r="AD810" s="0" t="str">
        <f aca="false">IF(AT810="","Yes","No")</f>
        <v>No</v>
      </c>
      <c r="AE810" s="0" t="str">
        <f aca="false">IF(W810&lt;0,"Yes","No")</f>
        <v>Yes</v>
      </c>
      <c r="AF810" s="0" t="str">
        <f aca="false">IF(P810="","No",IF(OR(P810&lt;0,P810&gt;0.3),"Yes","No"))</f>
        <v>No</v>
      </c>
      <c r="AG810" s="4" t="s">
        <v>50</v>
      </c>
      <c r="AH810" s="0" t="str">
        <f aca="false">IF(AND(AA810="Completed",Z810="Paid"),"Yes","No")</f>
        <v>Yes</v>
      </c>
      <c r="AI810" s="0" t="str">
        <f aca="false">IF(OR(AE810="Yes",AF810="Yes",AG810="Yes"),"Invalid",IF(OR(AB810="Yes",AC810="Yes",AD810="Yes"),"Warning","Clean"))</f>
        <v>Invalid</v>
      </c>
      <c r="AJ810" s="4" t="s">
        <v>2972</v>
      </c>
      <c r="AK810" s="4" t="s">
        <v>1673</v>
      </c>
      <c r="AL810" s="4" t="s">
        <v>176</v>
      </c>
      <c r="AM810" s="4" t="s">
        <v>68</v>
      </c>
      <c r="AN810" s="4" t="s">
        <v>87</v>
      </c>
      <c r="AO810" s="4" t="s">
        <v>323</v>
      </c>
      <c r="AP810" s="4" t="s">
        <v>324</v>
      </c>
      <c r="AQ810" s="4" t="s">
        <v>72</v>
      </c>
      <c r="AR810" s="4" t="s">
        <v>90</v>
      </c>
      <c r="AS810" s="4" t="s">
        <v>81</v>
      </c>
      <c r="AT810" s="0" t="n">
        <v>0.2</v>
      </c>
      <c r="AU810" s="4" t="s">
        <v>61</v>
      </c>
      <c r="AV810" s="4" t="s">
        <v>62</v>
      </c>
    </row>
    <row r="811" customFormat="false" ht="15" hidden="false" customHeight="false" outlineLevel="0" collapsed="false">
      <c r="A811" s="0" t="s">
        <v>2973</v>
      </c>
      <c r="B811" s="3" t="n">
        <f aca="false">IF(AJ811="","",IF(ISNUMBER(SEARCH("/",AJ811)),DATE(VALUE(RIGHT(AJ811,4)),VALUE(LEFT(AJ811,2)),VALUE(MID(AJ811,4,2))),IF(ISNUMBER(SEARCH("-",AJ811)),IF(LEN(LEFT(AJ811,FIND("-",AJ811)-1))=4,DATE(VALUE(LEFT(AJ811,4)),VALUE(MID(AJ811,6,2)),VALUE(RIGHT(AJ811,2))),DATE(VALUE(RIGHT(AJ811,4)),VALUE(MID(AJ811,4,2)),VALUE(LEFT(AJ811,2)))),DATE(VALUE(RIGHT(AJ811,4)),MATCH(MID(AJ811,4,3),{"Jan","Feb","Mar","Apr","May","Jun","Jul","Aug","Sep","Oct","Nov","Dec"},0),VALUE(LEFT(AJ811,2))))))</f>
        <v>45833</v>
      </c>
      <c r="C811" s="3" t="n">
        <f aca="false">IF(AK811="","",IF(ISNUMBER(SEARCH("/",AK811)),DATE(VALUE(RIGHT(AK811,4)),VALUE(LEFT(AK811,2)),VALUE(MID(AK811,4,2))),IF(ISNUMBER(SEARCH("-",AK811)),IF(LEN(LEFT(AK811,FIND("-",AK811)-1))=4,DATE(VALUE(LEFT(AK811,4)),VALUE(MID(AK811,6,2)),VALUE(RIGHT(AK811,2))),DATE(VALUE(RIGHT(AK811,4)),VALUE(MID(AK811,4,2)),VALUE(LEFT(AK811,2)))),DATE(VALUE(RIGHT(AK811,4)),MATCH(MID(AK811,4,3),{"Jan","Feb","Mar","Apr","May","Jun","Jul","Aug","Sep","Oct","Nov","Dec"},0),VALUE(LEFT(AK811,2))))))</f>
        <v>45833</v>
      </c>
      <c r="D811" s="4" t="s">
        <v>2974</v>
      </c>
      <c r="E811" s="0" t="str">
        <f aca="false">PROPER(TRIM(AL811))</f>
        <v>Arjun Bose</v>
      </c>
      <c r="F811" s="0" t="str">
        <f aca="false">PROPER(TRIM(AM811))</f>
        <v>Small Business</v>
      </c>
      <c r="G811" s="0" t="str">
        <f aca="false">IF(TRIM(AN811)="","Unknown",PROPER(TRIM(AN811)))</f>
        <v>Unknown</v>
      </c>
      <c r="H811" s="0" t="str">
        <f aca="false">PROPER(TRIM(AO811))</f>
        <v>Punjab</v>
      </c>
      <c r="I811" s="0" t="str">
        <f aca="false">PROPER(TRIM(AP811))</f>
        <v>Ludhiana</v>
      </c>
      <c r="J811" s="0" t="str">
        <f aca="false">PROPER(TRIM(AQ811))</f>
        <v>Office Supplies</v>
      </c>
      <c r="K811" s="0" t="str">
        <f aca="false">PROPER(TRIM(AR811))</f>
        <v>Binders</v>
      </c>
      <c r="M811" s="0" t="str">
        <f aca="false">IF(TRIM(AS811)="","Unknown",PROPER(TRIM(AS811)))</f>
        <v>Second Class</v>
      </c>
      <c r="N811" s="0" t="n">
        <v>6</v>
      </c>
      <c r="O811" s="0" t="n">
        <v>1366.13</v>
      </c>
      <c r="P811" s="5" t="n">
        <f aca="false">IF(AT811="","",IF(ISNUMBER(AT811),AT811,VALUE(SUBSTITUTE(AT811,"%",""))/100))</f>
        <v>0.1</v>
      </c>
      <c r="Q811" s="5" t="n">
        <f aca="false">IF(P811="",IF(AND(N811&lt;&gt;"",O811&lt;&gt;"",R811&lt;&gt;"",S811&lt;&gt;""),0,"REVIEW"),IF(OR(P811&lt;0,P811&gt;0.3),0,P811))</f>
        <v>0.1</v>
      </c>
      <c r="R811" s="0" t="n">
        <v>7377.1</v>
      </c>
      <c r="S811" s="0" t="n">
        <v>5085.21</v>
      </c>
      <c r="T811" s="6" t="n">
        <f aca="false">N811*O811*(1-Q811)</f>
        <v>7377.102</v>
      </c>
      <c r="U811" s="6" t="n">
        <f aca="false">T811-S811</f>
        <v>2291.892</v>
      </c>
      <c r="V811" s="7" t="n">
        <f aca="false">IF(T811=0,0,U811/T811)</f>
        <v>0.310676468889816</v>
      </c>
      <c r="W811" s="4" t="n">
        <f aca="false">C811-B811</f>
        <v>0</v>
      </c>
      <c r="X811" s="0" t="str">
        <f aca="false">TEXT(B811,"mmmm")</f>
        <v>June</v>
      </c>
      <c r="Y811" s="4" t="n">
        <f aca="false">YEAR(B811)</f>
        <v>2025</v>
      </c>
      <c r="Z811" s="0" t="str">
        <f aca="false">PROPER(TRIM(AU811))</f>
        <v>Paid</v>
      </c>
      <c r="AA811" s="0" t="str">
        <f aca="false">PROPER(TRIM(AV811))</f>
        <v>Completed</v>
      </c>
      <c r="AB811" s="0" t="str">
        <f aca="false">IF(TRIM(AN811)="","Yes","No")</f>
        <v>Yes</v>
      </c>
      <c r="AC811" s="0" t="str">
        <f aca="false">IF(TRIM(AS811)="","Yes","No")</f>
        <v>No</v>
      </c>
      <c r="AD811" s="0" t="str">
        <f aca="false">IF(AT811="","Yes","No")</f>
        <v>No</v>
      </c>
      <c r="AE811" s="0" t="str">
        <f aca="false">IF(W811&lt;0,"Yes","No")</f>
        <v>No</v>
      </c>
      <c r="AF811" s="0" t="str">
        <f aca="false">IF(P811="","No",IF(OR(P811&lt;0,P811&gt;0.3),"Yes","No"))</f>
        <v>No</v>
      </c>
      <c r="AG811" s="4" t="s">
        <v>50</v>
      </c>
      <c r="AH811" s="0" t="str">
        <f aca="false">IF(AND(AA811="Completed",Z811="Paid"),"Yes","No")</f>
        <v>Yes</v>
      </c>
      <c r="AI811" s="0" t="str">
        <f aca="false">IF(OR(AE811="Yes",AF811="Yes",AG811="Yes"),"Invalid",IF(OR(AB811="Yes",AC811="Yes",AD811="Yes"),"Warning","Clean"))</f>
        <v>Warning</v>
      </c>
      <c r="AJ811" s="4" t="s">
        <v>1269</v>
      </c>
      <c r="AK811" s="4" t="s">
        <v>1269</v>
      </c>
      <c r="AL811" s="4" t="s">
        <v>86</v>
      </c>
      <c r="AM811" s="4" t="s">
        <v>68</v>
      </c>
      <c r="AO811" s="4" t="s">
        <v>169</v>
      </c>
      <c r="AP811" s="4" t="s">
        <v>170</v>
      </c>
      <c r="AQ811" s="4" t="s">
        <v>58</v>
      </c>
      <c r="AR811" s="4" t="s">
        <v>206</v>
      </c>
      <c r="AS811" s="4" t="s">
        <v>60</v>
      </c>
      <c r="AT811" s="0" t="n">
        <v>0.1</v>
      </c>
      <c r="AU811" s="4" t="s">
        <v>61</v>
      </c>
      <c r="AV811" s="4" t="s">
        <v>62</v>
      </c>
    </row>
    <row r="812" customFormat="false" ht="15" hidden="false" customHeight="false" outlineLevel="0" collapsed="false">
      <c r="A812" s="0" t="s">
        <v>2975</v>
      </c>
      <c r="B812" s="3" t="n">
        <f aca="false">IF(AJ812="","",IF(ISNUMBER(SEARCH("/",AJ812)),DATE(VALUE(RIGHT(AJ812,4)),VALUE(LEFT(AJ812,2)),VALUE(MID(AJ812,4,2))),IF(ISNUMBER(SEARCH("-",AJ812)),IF(LEN(LEFT(AJ812,FIND("-",AJ812)-1))=4,DATE(VALUE(LEFT(AJ812,4)),VALUE(MID(AJ812,6,2)),VALUE(RIGHT(AJ812,2))),DATE(VALUE(RIGHT(AJ812,4)),VALUE(MID(AJ812,4,2)),VALUE(LEFT(AJ812,2)))),DATE(VALUE(RIGHT(AJ812,4)),MATCH(MID(AJ812,4,3),{"Jan","Feb","Mar","Apr","May","Jun","Jul","Aug","Sep","Oct","Nov","Dec"},0),VALUE(LEFT(AJ812,2))))))</f>
        <v>45385</v>
      </c>
      <c r="C812" s="3" t="n">
        <f aca="false">IF(AK812="","",IF(ISNUMBER(SEARCH("/",AK812)),DATE(VALUE(RIGHT(AK812,4)),VALUE(LEFT(AK812,2)),VALUE(MID(AK812,4,2))),IF(ISNUMBER(SEARCH("-",AK812)),IF(LEN(LEFT(AK812,FIND("-",AK812)-1))=4,DATE(VALUE(LEFT(AK812,4)),VALUE(MID(AK812,6,2)),VALUE(RIGHT(AK812,2))),DATE(VALUE(RIGHT(AK812,4)),VALUE(MID(AK812,4,2)),VALUE(LEFT(AK812,2)))),DATE(VALUE(RIGHT(AK812,4)),MATCH(MID(AK812,4,3),{"Jan","Feb","Mar","Apr","May","Jun","Jul","Aug","Sep","Oct","Nov","Dec"},0),VALUE(LEFT(AK812,2))))))</f>
        <v>45390</v>
      </c>
      <c r="D812" s="4" t="s">
        <v>2063</v>
      </c>
      <c r="E812" s="0" t="str">
        <f aca="false">PROPER(TRIM(AL812))</f>
        <v>Kabir Singh</v>
      </c>
      <c r="F812" s="0" t="str">
        <f aca="false">PROPER(TRIM(AM812))</f>
        <v>Home Office</v>
      </c>
      <c r="G812" s="0" t="str">
        <f aca="false">IF(TRIM(AN812)="","Unknown",PROPER(TRIM(AN812)))</f>
        <v>West</v>
      </c>
      <c r="H812" s="0" t="str">
        <f aca="false">PROPER(TRIM(AO812))</f>
        <v>Gujarat</v>
      </c>
      <c r="I812" s="0" t="str">
        <f aca="false">PROPER(TRIM(AP812))</f>
        <v>Ahmedabad</v>
      </c>
      <c r="J812" s="0" t="str">
        <f aca="false">PROPER(TRIM(AQ812))</f>
        <v>Technology</v>
      </c>
      <c r="K812" s="0" t="str">
        <f aca="false">PROPER(TRIM(AR812))</f>
        <v>Copiers</v>
      </c>
      <c r="M812" s="0" t="str">
        <f aca="false">IF(TRIM(AS812)="","Unknown",PROPER(TRIM(AS812)))</f>
        <v>First Class</v>
      </c>
      <c r="N812" s="0" t="n">
        <v>1</v>
      </c>
      <c r="O812" s="0" t="n">
        <v>3151.85</v>
      </c>
      <c r="P812" s="5" t="n">
        <f aca="false">IF(AT812="","",IF(ISNUMBER(AT812),AT812,VALUE(SUBSTITUTE(AT812,"%",""))/100))</f>
        <v>0.25</v>
      </c>
      <c r="Q812" s="5" t="n">
        <f aca="false">IF(P812="",IF(AND(N812&lt;&gt;"",O812&lt;&gt;"",R812&lt;&gt;"",S812&lt;&gt;""),0,"REVIEW"),IF(OR(P812&lt;0,P812&gt;0.3),0,P812))</f>
        <v>0.25</v>
      </c>
      <c r="R812" s="0" t="n">
        <v>2363.89</v>
      </c>
      <c r="S812" s="0" t="n">
        <v>1471.51</v>
      </c>
      <c r="T812" s="6" t="n">
        <f aca="false">N812*O812*(1-Q812)</f>
        <v>2363.8875</v>
      </c>
      <c r="U812" s="6" t="n">
        <f aca="false">T812-S812</f>
        <v>892.3775</v>
      </c>
      <c r="V812" s="7" t="n">
        <f aca="false">IF(T812=0,0,U812/T812)</f>
        <v>0.37750421710001</v>
      </c>
      <c r="W812" s="4" t="n">
        <f aca="false">C812-B812</f>
        <v>5</v>
      </c>
      <c r="X812" s="0" t="str">
        <f aca="false">TEXT(B812,"mmmm")</f>
        <v>April</v>
      </c>
      <c r="Y812" s="4" t="n">
        <f aca="false">YEAR(B812)</f>
        <v>2024</v>
      </c>
      <c r="Z812" s="0" t="str">
        <f aca="false">PROPER(TRIM(AU812))</f>
        <v>Paid</v>
      </c>
      <c r="AA812" s="0" t="str">
        <f aca="false">PROPER(TRIM(AV812))</f>
        <v>Completed</v>
      </c>
      <c r="AB812" s="0" t="str">
        <f aca="false">IF(TRIM(AN812)="","Yes","No")</f>
        <v>No</v>
      </c>
      <c r="AC812" s="0" t="str">
        <f aca="false">IF(TRIM(AS812)="","Yes","No")</f>
        <v>No</v>
      </c>
      <c r="AD812" s="0" t="str">
        <f aca="false">IF(AT812="","Yes","No")</f>
        <v>No</v>
      </c>
      <c r="AE812" s="0" t="str">
        <f aca="false">IF(W812&lt;0,"Yes","No")</f>
        <v>No</v>
      </c>
      <c r="AF812" s="0" t="str">
        <f aca="false">IF(P812="","No",IF(OR(P812&lt;0,P812&gt;0.3),"Yes","No"))</f>
        <v>No</v>
      </c>
      <c r="AG812" s="4" t="s">
        <v>50</v>
      </c>
      <c r="AH812" s="0" t="str">
        <f aca="false">IF(AND(AA812="Completed",Z812="Paid"),"Yes","No")</f>
        <v>Yes</v>
      </c>
      <c r="AI812" s="0" t="str">
        <f aca="false">IF(OR(AE812="Yes",AF812="Yes",AG812="Yes"),"Invalid",IF(OR(AB812="Yes",AC812="Yes",AD812="Yes"),"Warning","Clean"))</f>
        <v>Clean</v>
      </c>
      <c r="AJ812" s="4" t="s">
        <v>2976</v>
      </c>
      <c r="AK812" s="4" t="s">
        <v>2977</v>
      </c>
      <c r="AL812" s="4" t="s">
        <v>347</v>
      </c>
      <c r="AM812" s="4" t="s">
        <v>2752</v>
      </c>
      <c r="AN812" s="4" t="s">
        <v>97</v>
      </c>
      <c r="AO812" s="4" t="s">
        <v>238</v>
      </c>
      <c r="AP812" s="4" t="s">
        <v>239</v>
      </c>
      <c r="AQ812" s="4" t="s">
        <v>109</v>
      </c>
      <c r="AR812" s="4" t="s">
        <v>116</v>
      </c>
      <c r="AS812" s="4" t="s">
        <v>81</v>
      </c>
      <c r="AT812" s="0" t="n">
        <v>0.25</v>
      </c>
      <c r="AU812" s="4" t="s">
        <v>61</v>
      </c>
      <c r="AV812" s="4" t="s">
        <v>62</v>
      </c>
    </row>
    <row r="813" customFormat="false" ht="15" hidden="false" customHeight="false" outlineLevel="0" collapsed="false">
      <c r="A813" s="0" t="s">
        <v>2978</v>
      </c>
      <c r="B813" s="3" t="n">
        <f aca="false">IF(AJ813="","",IF(ISNUMBER(SEARCH("/",AJ813)),DATE(VALUE(RIGHT(AJ813,4)),VALUE(LEFT(AJ813,2)),VALUE(MID(AJ813,4,2))),IF(ISNUMBER(SEARCH("-",AJ813)),IF(LEN(LEFT(AJ813,FIND("-",AJ813)-1))=4,DATE(VALUE(LEFT(AJ813,4)),VALUE(MID(AJ813,6,2)),VALUE(RIGHT(AJ813,2))),DATE(VALUE(RIGHT(AJ813,4)),VALUE(MID(AJ813,4,2)),VALUE(LEFT(AJ813,2)))),DATE(VALUE(RIGHT(AJ813,4)),MATCH(MID(AJ813,4,3),{"Jan","Feb","Mar","Apr","May","Jun","Jul","Aug","Sep","Oct","Nov","Dec"},0),VALUE(LEFT(AJ813,2))))))</f>
        <v>45638</v>
      </c>
      <c r="C813" s="3" t="n">
        <f aca="false">IF(AK813="","",IF(ISNUMBER(SEARCH("/",AK813)),DATE(VALUE(RIGHT(AK813,4)),VALUE(LEFT(AK813,2)),VALUE(MID(AK813,4,2))),IF(ISNUMBER(SEARCH("-",AK813)),IF(LEN(LEFT(AK813,FIND("-",AK813)-1))=4,DATE(VALUE(LEFT(AK813,4)),VALUE(MID(AK813,6,2)),VALUE(RIGHT(AK813,2))),DATE(VALUE(RIGHT(AK813,4)),VALUE(MID(AK813,4,2)),VALUE(LEFT(AK813,2)))),DATE(VALUE(RIGHT(AK813,4)),MATCH(MID(AK813,4,3),{"Jan","Feb","Mar","Apr","May","Jun","Jul","Aug","Sep","Oct","Nov","Dec"},0),VALUE(LEFT(AK813,2))))))</f>
        <v>45645</v>
      </c>
      <c r="D813" s="4" t="s">
        <v>2979</v>
      </c>
      <c r="E813" s="0" t="str">
        <f aca="false">PROPER(TRIM(AL813))</f>
        <v>Rohan Mehta</v>
      </c>
      <c r="F813" s="0" t="str">
        <f aca="false">PROPER(TRIM(AM813))</f>
        <v>Home Office</v>
      </c>
      <c r="G813" s="0" t="str">
        <f aca="false">IF(TRIM(AN813)="","Unknown",PROPER(TRIM(AN813)))</f>
        <v>North</v>
      </c>
      <c r="H813" s="0" t="str">
        <f aca="false">PROPER(TRIM(AO813))</f>
        <v>Haryana</v>
      </c>
      <c r="I813" s="0" t="str">
        <f aca="false">PROPER(TRIM(AP813))</f>
        <v>Gurugram</v>
      </c>
      <c r="J813" s="0" t="str">
        <f aca="false">PROPER(TRIM(AQ813))</f>
        <v>Technology</v>
      </c>
      <c r="K813" s="0" t="str">
        <f aca="false">PROPER(TRIM(AR813))</f>
        <v>Accessories</v>
      </c>
      <c r="M813" s="0" t="str">
        <f aca="false">IF(TRIM(AS813)="","Unknown",PROPER(TRIM(AS813)))</f>
        <v>First Class</v>
      </c>
      <c r="N813" s="0" t="n">
        <v>2</v>
      </c>
      <c r="O813" s="0" t="n">
        <v>1610.75</v>
      </c>
      <c r="P813" s="5" t="n">
        <f aca="false">IF(AT813="","",IF(ISNUMBER(AT813),AT813,VALUE(SUBSTITUTE(AT813,"%",""))/100))</f>
        <v>0.2</v>
      </c>
      <c r="Q813" s="5" t="n">
        <f aca="false">IF(P813="",IF(AND(N813&lt;&gt;"",O813&lt;&gt;"",R813&lt;&gt;"",S813&lt;&gt;""),0,"REVIEW"),IF(OR(P813&lt;0,P813&gt;0.3),0,P813))</f>
        <v>0.2</v>
      </c>
      <c r="R813" s="0" t="n">
        <v>2577.2</v>
      </c>
      <c r="S813" s="0" t="n">
        <v>1475.87</v>
      </c>
      <c r="T813" s="6" t="n">
        <f aca="false">N813*O813*(1-Q813)</f>
        <v>2577.2</v>
      </c>
      <c r="U813" s="6" t="n">
        <f aca="false">T813-S813</f>
        <v>1101.33</v>
      </c>
      <c r="V813" s="7" t="n">
        <f aca="false">IF(T813=0,0,U813/T813)</f>
        <v>0.427335868384293</v>
      </c>
      <c r="W813" s="4" t="n">
        <f aca="false">C813-B813</f>
        <v>7</v>
      </c>
      <c r="X813" s="0" t="str">
        <f aca="false">TEXT(B813,"mmmm")</f>
        <v>December</v>
      </c>
      <c r="Y813" s="4" t="n">
        <f aca="false">YEAR(B813)</f>
        <v>2024</v>
      </c>
      <c r="Z813" s="0" t="str">
        <f aca="false">PROPER(TRIM(AU813))</f>
        <v>Paid</v>
      </c>
      <c r="AA813" s="0" t="str">
        <f aca="false">PROPER(TRIM(AV813))</f>
        <v>Completed</v>
      </c>
      <c r="AB813" s="0" t="str">
        <f aca="false">IF(TRIM(AN813)="","Yes","No")</f>
        <v>No</v>
      </c>
      <c r="AC813" s="0" t="str">
        <f aca="false">IF(TRIM(AS813)="","Yes","No")</f>
        <v>No</v>
      </c>
      <c r="AD813" s="0" t="str">
        <f aca="false">IF(AT813="","Yes","No")</f>
        <v>No</v>
      </c>
      <c r="AE813" s="0" t="str">
        <f aca="false">IF(W813&lt;0,"Yes","No")</f>
        <v>No</v>
      </c>
      <c r="AF813" s="0" t="str">
        <f aca="false">IF(P813="","No",IF(OR(P813&lt;0,P813&gt;0.3),"Yes","No"))</f>
        <v>No</v>
      </c>
      <c r="AG813" s="4" t="s">
        <v>50</v>
      </c>
      <c r="AH813" s="0" t="str">
        <f aca="false">IF(AND(AA813="Completed",Z813="Paid"),"Yes","No")</f>
        <v>Yes</v>
      </c>
      <c r="AI813" s="0" t="str">
        <f aca="false">IF(OR(AE813="Yes",AF813="Yes",AG813="Yes"),"Invalid",IF(OR(AB813="Yes",AC813="Yes",AD813="Yes"),"Warning","Clean"))</f>
        <v>Clean</v>
      </c>
      <c r="AJ813" s="4" t="s">
        <v>2980</v>
      </c>
      <c r="AK813" s="4" t="s">
        <v>2981</v>
      </c>
      <c r="AL813" s="4" t="s">
        <v>191</v>
      </c>
      <c r="AM813" s="4" t="s">
        <v>134</v>
      </c>
      <c r="AN813" s="4" t="s">
        <v>168</v>
      </c>
      <c r="AO813" s="4" t="s">
        <v>310</v>
      </c>
      <c r="AP813" s="4" t="s">
        <v>311</v>
      </c>
      <c r="AQ813" s="4" t="s">
        <v>109</v>
      </c>
      <c r="AR813" s="4" t="s">
        <v>110</v>
      </c>
      <c r="AS813" s="4" t="s">
        <v>81</v>
      </c>
      <c r="AT813" s="0" t="n">
        <v>0.2</v>
      </c>
      <c r="AU813" s="4" t="s">
        <v>61</v>
      </c>
      <c r="AV813" s="4" t="s">
        <v>62</v>
      </c>
    </row>
    <row r="814" customFormat="false" ht="15" hidden="false" customHeight="false" outlineLevel="0" collapsed="false">
      <c r="A814" s="0" t="s">
        <v>2982</v>
      </c>
      <c r="B814" s="3" t="n">
        <f aca="false">IF(AJ814="","",IF(ISNUMBER(SEARCH("/",AJ814)),DATE(VALUE(RIGHT(AJ814,4)),VALUE(LEFT(AJ814,2)),VALUE(MID(AJ814,4,2))),IF(ISNUMBER(SEARCH("-",AJ814)),IF(LEN(LEFT(AJ814,FIND("-",AJ814)-1))=4,DATE(VALUE(LEFT(AJ814,4)),VALUE(MID(AJ814,6,2)),VALUE(RIGHT(AJ814,2))),DATE(VALUE(RIGHT(AJ814,4)),VALUE(MID(AJ814,4,2)),VALUE(LEFT(AJ814,2)))),DATE(VALUE(RIGHT(AJ814,4)),MATCH(MID(AJ814,4,3),{"Jan","Feb","Mar","Apr","May","Jun","Jul","Aug","Sep","Oct","Nov","Dec"},0),VALUE(LEFT(AJ814,2))))))</f>
        <v>45458</v>
      </c>
      <c r="C814" s="3" t="n">
        <f aca="false">IF(AK814="","",IF(ISNUMBER(SEARCH("/",AK814)),DATE(VALUE(RIGHT(AK814,4)),VALUE(LEFT(AK814,2)),VALUE(MID(AK814,4,2))),IF(ISNUMBER(SEARCH("-",AK814)),IF(LEN(LEFT(AK814,FIND("-",AK814)-1))=4,DATE(VALUE(LEFT(AK814,4)),VALUE(MID(AK814,6,2)),VALUE(RIGHT(AK814,2))),DATE(VALUE(RIGHT(AK814,4)),VALUE(MID(AK814,4,2)),VALUE(LEFT(AK814,2)))),DATE(VALUE(RIGHT(AK814,4)),MATCH(MID(AK814,4,3),{"Jan","Feb","Mar","Apr","May","Jun","Jul","Aug","Sep","Oct","Nov","Dec"},0),VALUE(LEFT(AK814,2))))))</f>
        <v>45463</v>
      </c>
      <c r="D814" s="4" t="s">
        <v>2983</v>
      </c>
      <c r="E814" s="0" t="str">
        <f aca="false">PROPER(TRIM(AL814))</f>
        <v>Sneha Kapoor</v>
      </c>
      <c r="F814" s="0" t="str">
        <f aca="false">PROPER(TRIM(AM814))</f>
        <v>Small Business</v>
      </c>
      <c r="G814" s="0" t="str">
        <f aca="false">IF(TRIM(AN814)="","Unknown",PROPER(TRIM(AN814)))</f>
        <v>East</v>
      </c>
      <c r="H814" s="0" t="str">
        <f aca="false">PROPER(TRIM(AO814))</f>
        <v>Jharkhand</v>
      </c>
      <c r="I814" s="0" t="str">
        <f aca="false">PROPER(TRIM(AP814))</f>
        <v>Ranchi</v>
      </c>
      <c r="J814" s="0" t="str">
        <f aca="false">PROPER(TRIM(AQ814))</f>
        <v>Furniture</v>
      </c>
      <c r="K814" s="0" t="str">
        <f aca="false">PROPER(TRIM(AR814))</f>
        <v>Tables</v>
      </c>
      <c r="M814" s="0" t="str">
        <f aca="false">IF(TRIM(AS814)="","Unknown",PROPER(TRIM(AS814)))</f>
        <v>First Class</v>
      </c>
      <c r="N814" s="0" t="n">
        <v>8</v>
      </c>
      <c r="O814" s="0" t="n">
        <v>2228.47</v>
      </c>
      <c r="P814" s="5" t="n">
        <f aca="false">IF(AT814="","",IF(ISNUMBER(AT814),AT814,VALUE(SUBSTITUTE(AT814,"%",""))/100))</f>
        <v>0</v>
      </c>
      <c r="Q814" s="5" t="n">
        <f aca="false">IF(P814="",IF(AND(N814&lt;&gt;"",O814&lt;&gt;"",R814&lt;&gt;"",S814&lt;&gt;""),0,"REVIEW"),IF(OR(P814&lt;0,P814&gt;0.3),0,P814))</f>
        <v>0</v>
      </c>
      <c r="R814" s="0" t="n">
        <v>17827.76</v>
      </c>
      <c r="S814" s="0" t="n">
        <v>14122.13</v>
      </c>
      <c r="T814" s="6" t="n">
        <f aca="false">N814*O814*(1-Q814)</f>
        <v>17827.76</v>
      </c>
      <c r="U814" s="6" t="n">
        <f aca="false">T814-S814</f>
        <v>3705.63</v>
      </c>
      <c r="V814" s="7" t="n">
        <f aca="false">IF(T814=0,0,U814/T814)</f>
        <v>0.207857296710299</v>
      </c>
      <c r="W814" s="4" t="n">
        <f aca="false">C814-B814</f>
        <v>5</v>
      </c>
      <c r="X814" s="0" t="str">
        <f aca="false">TEXT(B814,"mmmm")</f>
        <v>June</v>
      </c>
      <c r="Y814" s="4" t="n">
        <f aca="false">YEAR(B814)</f>
        <v>2024</v>
      </c>
      <c r="Z814" s="0" t="str">
        <f aca="false">PROPER(TRIM(AU814))</f>
        <v>Paid</v>
      </c>
      <c r="AA814" s="0" t="str">
        <f aca="false">PROPER(TRIM(AV814))</f>
        <v>Completed</v>
      </c>
      <c r="AB814" s="0" t="str">
        <f aca="false">IF(TRIM(AN814)="","Yes","No")</f>
        <v>No</v>
      </c>
      <c r="AC814" s="0" t="str">
        <f aca="false">IF(TRIM(AS814)="","Yes","No")</f>
        <v>No</v>
      </c>
      <c r="AD814" s="0" t="str">
        <f aca="false">IF(AT814="","Yes","No")</f>
        <v>No</v>
      </c>
      <c r="AE814" s="0" t="str">
        <f aca="false">IF(W814&lt;0,"Yes","No")</f>
        <v>No</v>
      </c>
      <c r="AF814" s="0" t="str">
        <f aca="false">IF(P814="","No",IF(OR(P814&lt;0,P814&gt;0.3),"Yes","No"))</f>
        <v>No</v>
      </c>
      <c r="AG814" s="4" t="s">
        <v>50</v>
      </c>
      <c r="AH814" s="0" t="str">
        <f aca="false">IF(AND(AA814="Completed",Z814="Paid"),"Yes","No")</f>
        <v>Yes</v>
      </c>
      <c r="AI814" s="0" t="str">
        <f aca="false">IF(OR(AE814="Yes",AF814="Yes",AG814="Yes"),"Invalid",IF(OR(AB814="Yes",AC814="Yes",AD814="Yes"),"Warning","Clean"))</f>
        <v>Clean</v>
      </c>
      <c r="AJ814" s="4" t="s">
        <v>709</v>
      </c>
      <c r="AK814" s="4" t="s">
        <v>2984</v>
      </c>
      <c r="AL814" s="4" t="s">
        <v>181</v>
      </c>
      <c r="AM814" s="4" t="s">
        <v>68</v>
      </c>
      <c r="AN814" s="4" t="s">
        <v>69</v>
      </c>
      <c r="AO814" s="4" t="s">
        <v>300</v>
      </c>
      <c r="AP814" s="4" t="s">
        <v>301</v>
      </c>
      <c r="AQ814" s="4" t="s">
        <v>72</v>
      </c>
      <c r="AR814" s="4" t="s">
        <v>73</v>
      </c>
      <c r="AS814" s="4" t="s">
        <v>81</v>
      </c>
      <c r="AT814" s="0" t="n">
        <v>0</v>
      </c>
      <c r="AU814" s="4" t="s">
        <v>61</v>
      </c>
      <c r="AV814" s="4" t="s">
        <v>62</v>
      </c>
    </row>
    <row r="815" customFormat="false" ht="15" hidden="false" customHeight="false" outlineLevel="0" collapsed="false">
      <c r="A815" s="0" t="s">
        <v>2985</v>
      </c>
      <c r="B815" s="3" t="n">
        <f aca="false">IF(AJ815="","",IF(ISNUMBER(SEARCH("/",AJ815)),DATE(VALUE(RIGHT(AJ815,4)),VALUE(LEFT(AJ815,2)),VALUE(MID(AJ815,4,2))),IF(ISNUMBER(SEARCH("-",AJ815)),IF(LEN(LEFT(AJ815,FIND("-",AJ815)-1))=4,DATE(VALUE(LEFT(AJ815,4)),VALUE(MID(AJ815,6,2)),VALUE(RIGHT(AJ815,2))),DATE(VALUE(RIGHT(AJ815,4)),VALUE(MID(AJ815,4,2)),VALUE(LEFT(AJ815,2)))),DATE(VALUE(RIGHT(AJ815,4)),MATCH(MID(AJ815,4,3),{"Jan","Feb","Mar","Apr","May","Jun","Jul","Aug","Sep","Oct","Nov","Dec"},0),VALUE(LEFT(AJ815,2))))))</f>
        <v>45753</v>
      </c>
      <c r="C815" s="3" t="n">
        <f aca="false">IF(AK815="","",IF(ISNUMBER(SEARCH("/",AK815)),DATE(VALUE(RIGHT(AK815,4)),VALUE(LEFT(AK815,2)),VALUE(MID(AK815,4,2))),IF(ISNUMBER(SEARCH("-",AK815)),IF(LEN(LEFT(AK815,FIND("-",AK815)-1))=4,DATE(VALUE(LEFT(AK815,4)),VALUE(MID(AK815,6,2)),VALUE(RIGHT(AK815,2))),DATE(VALUE(RIGHT(AK815,4)),VALUE(MID(AK815,4,2)),VALUE(LEFT(AK815,2)))),DATE(VALUE(RIGHT(AK815,4)),MATCH(MID(AK815,4,3),{"Jan","Feb","Mar","Apr","May","Jun","Jul","Aug","Sep","Oct","Nov","Dec"},0),VALUE(LEFT(AK815,2))))))</f>
        <v>45757</v>
      </c>
      <c r="D815" s="4" t="s">
        <v>2986</v>
      </c>
      <c r="E815" s="0" t="str">
        <f aca="false">PROPER(TRIM(AL815))</f>
        <v>Rohan Mehta</v>
      </c>
      <c r="F815" s="0" t="str">
        <f aca="false">PROPER(TRIM(AM815))</f>
        <v>Consumer</v>
      </c>
      <c r="G815" s="0" t="str">
        <f aca="false">IF(TRIM(AN815)="","Unknown",PROPER(TRIM(AN815)))</f>
        <v>East</v>
      </c>
      <c r="H815" s="0" t="str">
        <f aca="false">PROPER(TRIM(AO815))</f>
        <v>Odisha</v>
      </c>
      <c r="I815" s="0" t="str">
        <f aca="false">PROPER(TRIM(AP815))</f>
        <v>Bhubaneswar</v>
      </c>
      <c r="J815" s="0" t="str">
        <f aca="false">PROPER(TRIM(AQ815))</f>
        <v>Furniture</v>
      </c>
      <c r="K815" s="0" t="str">
        <f aca="false">PROPER(TRIM(AR815))</f>
        <v>Bookcases</v>
      </c>
      <c r="M815" s="0" t="str">
        <f aca="false">IF(TRIM(AS815)="","Unknown",PROPER(TRIM(AS815)))</f>
        <v>Standard Class</v>
      </c>
      <c r="N815" s="0" t="n">
        <v>2</v>
      </c>
      <c r="O815" s="0" t="n">
        <v>1337.67</v>
      </c>
      <c r="P815" s="5" t="n">
        <f aca="false">IF(AT815="","",IF(ISNUMBER(AT815),AT815,VALUE(SUBSTITUTE(AT815,"%",""))/100))</f>
        <v>0</v>
      </c>
      <c r="Q815" s="5" t="n">
        <f aca="false">IF(P815="",IF(AND(N815&lt;&gt;"",O815&lt;&gt;"",R815&lt;&gt;"",S815&lt;&gt;""),0,"REVIEW"),IF(OR(P815&lt;0,P815&gt;0.3),0,P815))</f>
        <v>0</v>
      </c>
      <c r="R815" s="0" t="n">
        <v>2675.34</v>
      </c>
      <c r="S815" s="0" t="n">
        <v>1595.87</v>
      </c>
      <c r="T815" s="6" t="n">
        <f aca="false">N815*O815*(1-Q815)</f>
        <v>2675.34</v>
      </c>
      <c r="U815" s="6" t="n">
        <f aca="false">T815-S815</f>
        <v>1079.47</v>
      </c>
      <c r="V815" s="7" t="n">
        <f aca="false">IF(T815=0,0,U815/T815)</f>
        <v>0.403488902345123</v>
      </c>
      <c r="W815" s="4" t="n">
        <f aca="false">C815-B815</f>
        <v>4</v>
      </c>
      <c r="X815" s="0" t="str">
        <f aca="false">TEXT(B815,"mmmm")</f>
        <v>April</v>
      </c>
      <c r="Y815" s="4" t="n">
        <f aca="false">YEAR(B815)</f>
        <v>2025</v>
      </c>
      <c r="Z815" s="0" t="str">
        <f aca="false">PROPER(TRIM(AU815))</f>
        <v>Paid</v>
      </c>
      <c r="AA815" s="0" t="str">
        <f aca="false">PROPER(TRIM(AV815))</f>
        <v>Completed</v>
      </c>
      <c r="AB815" s="0" t="str">
        <f aca="false">IF(TRIM(AN815)="","Yes","No")</f>
        <v>No</v>
      </c>
      <c r="AC815" s="0" t="str">
        <f aca="false">IF(TRIM(AS815)="","Yes","No")</f>
        <v>No</v>
      </c>
      <c r="AD815" s="0" t="str">
        <f aca="false">IF(AT815="","Yes","No")</f>
        <v>No</v>
      </c>
      <c r="AE815" s="0" t="str">
        <f aca="false">IF(W815&lt;0,"Yes","No")</f>
        <v>No</v>
      </c>
      <c r="AF815" s="0" t="str">
        <f aca="false">IF(P815="","No",IF(OR(P815&lt;0,P815&gt;0.3),"Yes","No"))</f>
        <v>No</v>
      </c>
      <c r="AG815" s="4" t="s">
        <v>50</v>
      </c>
      <c r="AH815" s="0" t="str">
        <f aca="false">IF(AND(AA815="Completed",Z815="Paid"),"Yes","No")</f>
        <v>Yes</v>
      </c>
      <c r="AI815" s="0" t="str">
        <f aca="false">IF(OR(AE815="Yes",AF815="Yes",AG815="Yes"),"Invalid",IF(OR(AB815="Yes",AC815="Yes",AD815="Yes"),"Warning","Clean"))</f>
        <v>Clean</v>
      </c>
      <c r="AJ815" s="4" t="s">
        <v>2987</v>
      </c>
      <c r="AK815" s="4" t="s">
        <v>2988</v>
      </c>
      <c r="AL815" s="4" t="s">
        <v>191</v>
      </c>
      <c r="AM815" s="4" t="s">
        <v>54</v>
      </c>
      <c r="AN815" s="4" t="s">
        <v>69</v>
      </c>
      <c r="AO815" s="4" t="s">
        <v>70</v>
      </c>
      <c r="AP815" s="4" t="s">
        <v>71</v>
      </c>
      <c r="AQ815" s="4" t="s">
        <v>72</v>
      </c>
      <c r="AR815" s="4" t="s">
        <v>211</v>
      </c>
      <c r="AS815" s="4" t="s">
        <v>91</v>
      </c>
      <c r="AT815" s="0" t="n">
        <v>0</v>
      </c>
      <c r="AU815" s="4" t="s">
        <v>61</v>
      </c>
      <c r="AV815" s="4" t="s">
        <v>62</v>
      </c>
    </row>
    <row r="816" customFormat="false" ht="15" hidden="false" customHeight="false" outlineLevel="0" collapsed="false">
      <c r="A816" s="0" t="s">
        <v>2989</v>
      </c>
      <c r="B816" s="3" t="n">
        <f aca="false">IF(AJ816="","",IF(ISNUMBER(SEARCH("/",AJ816)),DATE(VALUE(RIGHT(AJ816,4)),VALUE(LEFT(AJ816,2)),VALUE(MID(AJ816,4,2))),IF(ISNUMBER(SEARCH("-",AJ816)),IF(LEN(LEFT(AJ816,FIND("-",AJ816)-1))=4,DATE(VALUE(LEFT(AJ816,4)),VALUE(MID(AJ816,6,2)),VALUE(RIGHT(AJ816,2))),DATE(VALUE(RIGHT(AJ816,4)),VALUE(MID(AJ816,4,2)),VALUE(LEFT(AJ816,2)))),DATE(VALUE(RIGHT(AJ816,4)),MATCH(MID(AJ816,4,3),{"Jan","Feb","Mar","Apr","May","Jun","Jul","Aug","Sep","Oct","Nov","Dec"},0),VALUE(LEFT(AJ816,2))))))</f>
        <v>45875</v>
      </c>
      <c r="C816" s="3" t="n">
        <f aca="false">IF(AK816="","",IF(ISNUMBER(SEARCH("/",AK816)),DATE(VALUE(RIGHT(AK816,4)),VALUE(LEFT(AK816,2)),VALUE(MID(AK816,4,2))),IF(ISNUMBER(SEARCH("-",AK816)),IF(LEN(LEFT(AK816,FIND("-",AK816)-1))=4,DATE(VALUE(LEFT(AK816,4)),VALUE(MID(AK816,6,2)),VALUE(RIGHT(AK816,2))),DATE(VALUE(RIGHT(AK816,4)),VALUE(MID(AK816,4,2)),VALUE(LEFT(AK816,2)))),DATE(VALUE(RIGHT(AK816,4)),MATCH(MID(AK816,4,3),{"Jan","Feb","Mar","Apr","May","Jun","Jul","Aug","Sep","Oct","Nov","Dec"},0),VALUE(LEFT(AK816,2))))))</f>
        <v>45880</v>
      </c>
      <c r="D816" s="4" t="s">
        <v>2990</v>
      </c>
      <c r="E816" s="0" t="str">
        <f aca="false">PROPER(TRIM(AL816))</f>
        <v>Arjun Bose</v>
      </c>
      <c r="F816" s="0" t="str">
        <f aca="false">PROPER(TRIM(AM816))</f>
        <v>Consumer</v>
      </c>
      <c r="G816" s="0" t="str">
        <f aca="false">IF(TRIM(AN816)="","Unknown",PROPER(TRIM(AN816)))</f>
        <v>West</v>
      </c>
      <c r="H816" s="0" t="str">
        <f aca="false">PROPER(TRIM(AO816))</f>
        <v>Madhya Pradesh</v>
      </c>
      <c r="I816" s="0" t="str">
        <f aca="false">PROPER(TRIM(AP816))</f>
        <v>Indore</v>
      </c>
      <c r="J816" s="0" t="str">
        <f aca="false">PROPER(TRIM(AQ816))</f>
        <v>Office Supplies</v>
      </c>
      <c r="K816" s="0" t="str">
        <f aca="false">PROPER(TRIM(AR816))</f>
        <v>Labels</v>
      </c>
      <c r="M816" s="0" t="str">
        <f aca="false">IF(TRIM(AS816)="","Unknown",PROPER(TRIM(AS816)))</f>
        <v>First Class</v>
      </c>
      <c r="N816" s="0" t="n">
        <v>2</v>
      </c>
      <c r="O816" s="0" t="n">
        <v>2375.94</v>
      </c>
      <c r="P816" s="5" t="n">
        <f aca="false">IF(AT816="","",IF(ISNUMBER(AT816),AT816,VALUE(SUBSTITUTE(AT816,"%",""))/100))</f>
        <v>0.25</v>
      </c>
      <c r="Q816" s="5" t="n">
        <f aca="false">IF(P816="",IF(AND(N816&lt;&gt;"",O816&lt;&gt;"",R816&lt;&gt;"",S816&lt;&gt;""),0,"REVIEW"),IF(OR(P816&lt;0,P816&gt;0.3),0,P816))</f>
        <v>0.25</v>
      </c>
      <c r="R816" s="0" t="n">
        <v>3563.91</v>
      </c>
      <c r="S816" s="0" t="n">
        <v>2639.7</v>
      </c>
      <c r="T816" s="6" t="n">
        <f aca="false">N816*O816*(1-Q816)</f>
        <v>3563.91</v>
      </c>
      <c r="U816" s="6" t="n">
        <f aca="false">T816-S816</f>
        <v>924.21</v>
      </c>
      <c r="V816" s="7" t="n">
        <f aca="false">IF(T816=0,0,U816/T816)</f>
        <v>0.259324730422485</v>
      </c>
      <c r="W816" s="4" t="n">
        <f aca="false">C816-B816</f>
        <v>5</v>
      </c>
      <c r="X816" s="0" t="str">
        <f aca="false">TEXT(B816,"mmmm")</f>
        <v>August</v>
      </c>
      <c r="Y816" s="4" t="n">
        <f aca="false">YEAR(B816)</f>
        <v>2025</v>
      </c>
      <c r="Z816" s="0" t="str">
        <f aca="false">PROPER(TRIM(AU816))</f>
        <v>Paid</v>
      </c>
      <c r="AA816" s="0" t="str">
        <f aca="false">PROPER(TRIM(AV816))</f>
        <v>Completed</v>
      </c>
      <c r="AB816" s="0" t="str">
        <f aca="false">IF(TRIM(AN816)="","Yes","No")</f>
        <v>No</v>
      </c>
      <c r="AC816" s="0" t="str">
        <f aca="false">IF(TRIM(AS816)="","Yes","No")</f>
        <v>No</v>
      </c>
      <c r="AD816" s="0" t="str">
        <f aca="false">IF(AT816="","Yes","No")</f>
        <v>No</v>
      </c>
      <c r="AE816" s="0" t="str">
        <f aca="false">IF(W816&lt;0,"Yes","No")</f>
        <v>No</v>
      </c>
      <c r="AF816" s="0" t="str">
        <f aca="false">IF(P816="","No",IF(OR(P816&lt;0,P816&gt;0.3),"Yes","No"))</f>
        <v>No</v>
      </c>
      <c r="AG816" s="4" t="s">
        <v>50</v>
      </c>
      <c r="AH816" s="0" t="str">
        <f aca="false">IF(AND(AA816="Completed",Z816="Paid"),"Yes","No")</f>
        <v>Yes</v>
      </c>
      <c r="AI816" s="0" t="str">
        <f aca="false">IF(OR(AE816="Yes",AF816="Yes",AG816="Yes"),"Invalid",IF(OR(AB816="Yes",AC816="Yes",AD816="Yes"),"Warning","Clean"))</f>
        <v>Clean</v>
      </c>
      <c r="AJ816" s="4" t="s">
        <v>1154</v>
      </c>
      <c r="AK816" s="4" t="s">
        <v>524</v>
      </c>
      <c r="AL816" s="4" t="s">
        <v>86</v>
      </c>
      <c r="AM816" s="4" t="s">
        <v>54</v>
      </c>
      <c r="AN816" s="4" t="s">
        <v>97</v>
      </c>
      <c r="AO816" s="4" t="s">
        <v>107</v>
      </c>
      <c r="AP816" s="4" t="s">
        <v>108</v>
      </c>
      <c r="AQ816" s="4" t="s">
        <v>58</v>
      </c>
      <c r="AR816" s="4" t="s">
        <v>129</v>
      </c>
      <c r="AS816" s="4" t="s">
        <v>81</v>
      </c>
      <c r="AT816" s="0" t="n">
        <v>0.25</v>
      </c>
      <c r="AU816" s="4" t="s">
        <v>61</v>
      </c>
      <c r="AV816" s="4" t="s">
        <v>62</v>
      </c>
    </row>
    <row r="817" customFormat="false" ht="15" hidden="false" customHeight="false" outlineLevel="0" collapsed="false">
      <c r="A817" s="0" t="s">
        <v>2991</v>
      </c>
      <c r="B817" s="3" t="n">
        <f aca="false">IF(AJ817="","",IF(ISNUMBER(SEARCH("/",AJ817)),DATE(VALUE(RIGHT(AJ817,4)),VALUE(LEFT(AJ817,2)),VALUE(MID(AJ817,4,2))),IF(ISNUMBER(SEARCH("-",AJ817)),IF(LEN(LEFT(AJ817,FIND("-",AJ817)-1))=4,DATE(VALUE(LEFT(AJ817,4)),VALUE(MID(AJ817,6,2)),VALUE(RIGHT(AJ817,2))),DATE(VALUE(RIGHT(AJ817,4)),VALUE(MID(AJ817,4,2)),VALUE(LEFT(AJ817,2)))),DATE(VALUE(RIGHT(AJ817,4)),MATCH(MID(AJ817,4,3),{"Jan","Feb","Mar","Apr","May","Jun","Jul","Aug","Sep","Oct","Nov","Dec"},0),VALUE(LEFT(AJ817,2))))))</f>
        <v>45383</v>
      </c>
      <c r="C817" s="3" t="n">
        <f aca="false">IF(AK817="","",IF(ISNUMBER(SEARCH("/",AK817)),DATE(VALUE(RIGHT(AK817,4)),VALUE(LEFT(AK817,2)),VALUE(MID(AK817,4,2))),IF(ISNUMBER(SEARCH("-",AK817)),IF(LEN(LEFT(AK817,FIND("-",AK817)-1))=4,DATE(VALUE(LEFT(AK817,4)),VALUE(MID(AK817,6,2)),VALUE(RIGHT(AK817,2))),DATE(VALUE(RIGHT(AK817,4)),VALUE(MID(AK817,4,2)),VALUE(LEFT(AK817,2)))),DATE(VALUE(RIGHT(AK817,4)),MATCH(MID(AK817,4,3),{"Jan","Feb","Mar","Apr","May","Jun","Jul","Aug","Sep","Oct","Nov","Dec"},0),VALUE(LEFT(AK817,2))))))</f>
        <v>45390</v>
      </c>
      <c r="D817" s="4" t="s">
        <v>2992</v>
      </c>
      <c r="E817" s="0" t="str">
        <f aca="false">PROPER(TRIM(AL817))</f>
        <v>Diya Patel</v>
      </c>
      <c r="F817" s="0" t="str">
        <f aca="false">PROPER(TRIM(AM817))</f>
        <v>Consumer</v>
      </c>
      <c r="G817" s="0" t="str">
        <f aca="false">IF(TRIM(AN817)="","Unknown",PROPER(TRIM(AN817)))</f>
        <v>East</v>
      </c>
      <c r="H817" s="0" t="str">
        <f aca="false">PROPER(TRIM(AO817))</f>
        <v>Odisha</v>
      </c>
      <c r="I817" s="0" t="str">
        <f aca="false">PROPER(TRIM(AP817))</f>
        <v>Bhubaneswar</v>
      </c>
      <c r="J817" s="0" t="str">
        <f aca="false">PROPER(TRIM(AQ817))</f>
        <v>Technology</v>
      </c>
      <c r="K817" s="0" t="str">
        <f aca="false">PROPER(TRIM(AR817))</f>
        <v>Machines</v>
      </c>
      <c r="M817" s="0" t="str">
        <f aca="false">IF(TRIM(AS817)="","Unknown",PROPER(TRIM(AS817)))</f>
        <v>Standard Class</v>
      </c>
      <c r="N817" s="0" t="n">
        <v>7</v>
      </c>
      <c r="O817" s="0" t="n">
        <v>715.81</v>
      </c>
      <c r="P817" s="5" t="n">
        <f aca="false">IF(AT817="","",IF(ISNUMBER(AT817),AT817,VALUE(SUBSTITUTE(AT817,"%",""))/100))</f>
        <v>0.15</v>
      </c>
      <c r="Q817" s="5" t="n">
        <f aca="false">IF(P817="",IF(AND(N817&lt;&gt;"",O817&lt;&gt;"",R817&lt;&gt;"",S817&lt;&gt;""),0,"REVIEW"),IF(OR(P817&lt;0,P817&gt;0.3),0,P817))</f>
        <v>0.15</v>
      </c>
      <c r="R817" s="0" t="n">
        <v>4259.07</v>
      </c>
      <c r="S817" s="0" t="n">
        <v>3130.32</v>
      </c>
      <c r="T817" s="6" t="n">
        <f aca="false">N817*O817*(1-Q817)</f>
        <v>4259.0695</v>
      </c>
      <c r="U817" s="6" t="n">
        <f aca="false">T817-S817</f>
        <v>1128.7495</v>
      </c>
      <c r="V817" s="7" t="n">
        <f aca="false">IF(T817=0,0,U817/T817)</f>
        <v>0.265022559505075</v>
      </c>
      <c r="W817" s="4" t="n">
        <f aca="false">C817-B817</f>
        <v>7</v>
      </c>
      <c r="X817" s="0" t="str">
        <f aca="false">TEXT(B817,"mmmm")</f>
        <v>April</v>
      </c>
      <c r="Y817" s="4" t="n">
        <f aca="false">YEAR(B817)</f>
        <v>2024</v>
      </c>
      <c r="Z817" s="0" t="str">
        <f aca="false">PROPER(TRIM(AU817))</f>
        <v>Pending</v>
      </c>
      <c r="AA817" s="0" t="str">
        <f aca="false">PROPER(TRIM(AV817))</f>
        <v>Cancelled</v>
      </c>
      <c r="AB817" s="0" t="str">
        <f aca="false">IF(TRIM(AN817)="","Yes","No")</f>
        <v>No</v>
      </c>
      <c r="AC817" s="0" t="str">
        <f aca="false">IF(TRIM(AS817)="","Yes","No")</f>
        <v>No</v>
      </c>
      <c r="AD817" s="0" t="str">
        <f aca="false">IF(AT817="","Yes","No")</f>
        <v>No</v>
      </c>
      <c r="AE817" s="0" t="str">
        <f aca="false">IF(W817&lt;0,"Yes","No")</f>
        <v>No</v>
      </c>
      <c r="AF817" s="0" t="str">
        <f aca="false">IF(P817="","No",IF(OR(P817&lt;0,P817&gt;0.3),"Yes","No"))</f>
        <v>No</v>
      </c>
      <c r="AG817" s="4" t="s">
        <v>50</v>
      </c>
      <c r="AH817" s="0" t="str">
        <f aca="false">IF(AND(AA817="Completed",Z817="Paid"),"Yes","No")</f>
        <v>No</v>
      </c>
      <c r="AI817" s="0" t="str">
        <f aca="false">IF(OR(AE817="Yes",AF817="Yes",AG817="Yes"),"Invalid",IF(OR(AB817="Yes",AC817="Yes",AD817="Yes"),"Warning","Clean"))</f>
        <v>Clean</v>
      </c>
      <c r="AJ817" s="4" t="s">
        <v>1993</v>
      </c>
      <c r="AK817" s="4" t="s">
        <v>2993</v>
      </c>
      <c r="AL817" s="4" t="s">
        <v>216</v>
      </c>
      <c r="AM817" s="4" t="s">
        <v>54</v>
      </c>
      <c r="AN817" s="4" t="s">
        <v>69</v>
      </c>
      <c r="AO817" s="4" t="s">
        <v>70</v>
      </c>
      <c r="AP817" s="4" t="s">
        <v>71</v>
      </c>
      <c r="AQ817" s="4" t="s">
        <v>109</v>
      </c>
      <c r="AR817" s="4" t="s">
        <v>360</v>
      </c>
      <c r="AS817" s="4" t="s">
        <v>91</v>
      </c>
      <c r="AT817" s="0" t="n">
        <v>0.15</v>
      </c>
      <c r="AU817" s="4" t="s">
        <v>153</v>
      </c>
      <c r="AV817" s="4" t="s">
        <v>101</v>
      </c>
    </row>
    <row r="818" customFormat="false" ht="15" hidden="false" customHeight="false" outlineLevel="0" collapsed="false">
      <c r="A818" s="0" t="s">
        <v>2994</v>
      </c>
      <c r="B818" s="3" t="n">
        <f aca="false">IF(AJ818="","",IF(ISNUMBER(SEARCH("/",AJ818)),DATE(VALUE(RIGHT(AJ818,4)),VALUE(LEFT(AJ818,2)),VALUE(MID(AJ818,4,2))),IF(ISNUMBER(SEARCH("-",AJ818)),IF(LEN(LEFT(AJ818,FIND("-",AJ818)-1))=4,DATE(VALUE(LEFT(AJ818,4)),VALUE(MID(AJ818,6,2)),VALUE(RIGHT(AJ818,2))),DATE(VALUE(RIGHT(AJ818,4)),VALUE(MID(AJ818,4,2)),VALUE(LEFT(AJ818,2)))),DATE(VALUE(RIGHT(AJ818,4)),MATCH(MID(AJ818,4,3),{"Jan","Feb","Mar","Apr","May","Jun","Jul","Aug","Sep","Oct","Nov","Dec"},0),VALUE(LEFT(AJ818,2))))))</f>
        <v>45623</v>
      </c>
      <c r="C818" s="3" t="n">
        <f aca="false">IF(AK818="","",IF(ISNUMBER(SEARCH("/",AK818)),DATE(VALUE(RIGHT(AK818,4)),VALUE(LEFT(AK818,2)),VALUE(MID(AK818,4,2))),IF(ISNUMBER(SEARCH("-",AK818)),IF(LEN(LEFT(AK818,FIND("-",AK818)-1))=4,DATE(VALUE(LEFT(AK818,4)),VALUE(MID(AK818,6,2)),VALUE(RIGHT(AK818,2))),DATE(VALUE(RIGHT(AK818,4)),VALUE(MID(AK818,4,2)),VALUE(LEFT(AK818,2)))),DATE(VALUE(RIGHT(AK818,4)),MATCH(MID(AK818,4,3),{"Jan","Feb","Mar","Apr","May","Jun","Jul","Aug","Sep","Oct","Nov","Dec"},0),VALUE(LEFT(AK818,2))))))</f>
        <v>45626</v>
      </c>
      <c r="D818" s="4" t="s">
        <v>2995</v>
      </c>
      <c r="E818" s="0" t="str">
        <f aca="false">PROPER(TRIM(AL818))</f>
        <v>Rahul Verma</v>
      </c>
      <c r="F818" s="0" t="str">
        <f aca="false">PROPER(TRIM(AM818))</f>
        <v>Small Business</v>
      </c>
      <c r="G818" s="0" t="str">
        <f aca="false">IF(TRIM(AN818)="","Unknown",PROPER(TRIM(AN818)))</f>
        <v>East</v>
      </c>
      <c r="H818" s="0" t="str">
        <f aca="false">PROPER(TRIM(AO818))</f>
        <v>Jharkhand</v>
      </c>
      <c r="I818" s="0" t="str">
        <f aca="false">PROPER(TRIM(AP818))</f>
        <v>Ranchi</v>
      </c>
      <c r="J818" s="0" t="str">
        <f aca="false">PROPER(TRIM(AQ818))</f>
        <v>Furniture</v>
      </c>
      <c r="K818" s="0" t="str">
        <f aca="false">PROPER(TRIM(AR818))</f>
        <v>Furnishings</v>
      </c>
      <c r="M818" s="0" t="str">
        <f aca="false">IF(TRIM(AS818)="","Unknown",PROPER(TRIM(AS818)))</f>
        <v>First Class</v>
      </c>
      <c r="N818" s="0" t="n">
        <v>1</v>
      </c>
      <c r="O818" s="0" t="n">
        <v>874.3</v>
      </c>
      <c r="P818" s="5" t="n">
        <f aca="false">IF(AT818="","",IF(ISNUMBER(AT818),AT818,VALUE(SUBSTITUTE(AT818,"%",""))/100))</f>
        <v>0.1</v>
      </c>
      <c r="Q818" s="5" t="n">
        <f aca="false">IF(P818="",IF(AND(N818&lt;&gt;"",O818&lt;&gt;"",R818&lt;&gt;"",S818&lt;&gt;""),0,"REVIEW"),IF(OR(P818&lt;0,P818&gt;0.3),0,P818))</f>
        <v>0.1</v>
      </c>
      <c r="R818" s="0" t="n">
        <v>786.87</v>
      </c>
      <c r="S818" s="0" t="n">
        <v>498.5</v>
      </c>
      <c r="T818" s="6" t="n">
        <f aca="false">N818*O818*(1-Q818)</f>
        <v>786.87</v>
      </c>
      <c r="U818" s="6" t="n">
        <f aca="false">T818-S818</f>
        <v>288.37</v>
      </c>
      <c r="V818" s="7" t="n">
        <f aca="false">IF(T818=0,0,U818/T818)</f>
        <v>0.366477308831192</v>
      </c>
      <c r="W818" s="4" t="n">
        <f aca="false">C818-B818</f>
        <v>3</v>
      </c>
      <c r="X818" s="0" t="str">
        <f aca="false">TEXT(B818,"mmmm")</f>
        <v>November</v>
      </c>
      <c r="Y818" s="4" t="n">
        <f aca="false">YEAR(B818)</f>
        <v>2024</v>
      </c>
      <c r="Z818" s="0" t="str">
        <f aca="false">PROPER(TRIM(AU818))</f>
        <v>Paid</v>
      </c>
      <c r="AA818" s="0" t="str">
        <f aca="false">PROPER(TRIM(AV818))</f>
        <v>Completed</v>
      </c>
      <c r="AB818" s="0" t="str">
        <f aca="false">IF(TRIM(AN818)="","Yes","No")</f>
        <v>No</v>
      </c>
      <c r="AC818" s="0" t="str">
        <f aca="false">IF(TRIM(AS818)="","Yes","No")</f>
        <v>No</v>
      </c>
      <c r="AD818" s="0" t="str">
        <f aca="false">IF(AT818="","Yes","No")</f>
        <v>No</v>
      </c>
      <c r="AE818" s="0" t="str">
        <f aca="false">IF(W818&lt;0,"Yes","No")</f>
        <v>No</v>
      </c>
      <c r="AF818" s="0" t="str">
        <f aca="false">IF(P818="","No",IF(OR(P818&lt;0,P818&gt;0.3),"Yes","No"))</f>
        <v>No</v>
      </c>
      <c r="AG818" s="4" t="s">
        <v>50</v>
      </c>
      <c r="AH818" s="0" t="str">
        <f aca="false">IF(AND(AA818="Completed",Z818="Paid"),"Yes","No")</f>
        <v>Yes</v>
      </c>
      <c r="AI818" s="0" t="str">
        <f aca="false">IF(OR(AE818="Yes",AF818="Yes",AG818="Yes"),"Invalid",IF(OR(AB818="Yes",AC818="Yes",AD818="Yes"),"Warning","Clean"))</f>
        <v>Clean</v>
      </c>
      <c r="AJ818" s="4" t="s">
        <v>2996</v>
      </c>
      <c r="AK818" s="4" t="s">
        <v>2997</v>
      </c>
      <c r="AL818" s="4" t="s">
        <v>163</v>
      </c>
      <c r="AM818" s="4" t="s">
        <v>68</v>
      </c>
      <c r="AN818" s="4" t="s">
        <v>69</v>
      </c>
      <c r="AO818" s="4" t="s">
        <v>300</v>
      </c>
      <c r="AP818" s="4" t="s">
        <v>301</v>
      </c>
      <c r="AQ818" s="4" t="s">
        <v>72</v>
      </c>
      <c r="AR818" s="4" t="s">
        <v>90</v>
      </c>
      <c r="AS818" s="4" t="s">
        <v>81</v>
      </c>
      <c r="AT818" s="0" t="n">
        <v>0.1</v>
      </c>
      <c r="AU818" s="4" t="s">
        <v>61</v>
      </c>
      <c r="AV818" s="4" t="s">
        <v>62</v>
      </c>
    </row>
    <row r="819" customFormat="false" ht="15" hidden="false" customHeight="false" outlineLevel="0" collapsed="false">
      <c r="A819" s="0" t="s">
        <v>2998</v>
      </c>
      <c r="B819" s="3" t="n">
        <f aca="false">IF(AJ819="","",IF(ISNUMBER(SEARCH("/",AJ819)),DATE(VALUE(RIGHT(AJ819,4)),VALUE(LEFT(AJ819,2)),VALUE(MID(AJ819,4,2))),IF(ISNUMBER(SEARCH("-",AJ819)),IF(LEN(LEFT(AJ819,FIND("-",AJ819)-1))=4,DATE(VALUE(LEFT(AJ819,4)),VALUE(MID(AJ819,6,2)),VALUE(RIGHT(AJ819,2))),DATE(VALUE(RIGHT(AJ819,4)),VALUE(MID(AJ819,4,2)),VALUE(LEFT(AJ819,2)))),DATE(VALUE(RIGHT(AJ819,4)),MATCH(MID(AJ819,4,3),{"Jan","Feb","Mar","Apr","May","Jun","Jul","Aug","Sep","Oct","Nov","Dec"},0),VALUE(LEFT(AJ819,2))))))</f>
        <v>45752</v>
      </c>
      <c r="C819" s="3" t="n">
        <f aca="false">IF(AK819="","",IF(ISNUMBER(SEARCH("/",AK819)),DATE(VALUE(RIGHT(AK819,4)),VALUE(LEFT(AK819,2)),VALUE(MID(AK819,4,2))),IF(ISNUMBER(SEARCH("-",AK819)),IF(LEN(LEFT(AK819,FIND("-",AK819)-1))=4,DATE(VALUE(LEFT(AK819,4)),VALUE(MID(AK819,6,2)),VALUE(RIGHT(AK819,2))),DATE(VALUE(RIGHT(AK819,4)),VALUE(MID(AK819,4,2)),VALUE(LEFT(AK819,2)))),DATE(VALUE(RIGHT(AK819,4)),MATCH(MID(AK819,4,3),{"Jan","Feb","Mar","Apr","May","Jun","Jul","Aug","Sep","Oct","Nov","Dec"},0),VALUE(LEFT(AK819,2))))))</f>
        <v>45752</v>
      </c>
      <c r="D819" s="4" t="s">
        <v>2999</v>
      </c>
      <c r="E819" s="0" t="str">
        <f aca="false">PROPER(TRIM(AL819))</f>
        <v>Sneha Kapoor</v>
      </c>
      <c r="F819" s="0" t="str">
        <f aca="false">PROPER(TRIM(AM819))</f>
        <v>Consumer</v>
      </c>
      <c r="G819" s="0" t="str">
        <f aca="false">IF(TRIM(AN819)="","Unknown",PROPER(TRIM(AN819)))</f>
        <v>East</v>
      </c>
      <c r="H819" s="0" t="str">
        <f aca="false">PROPER(TRIM(AO819))</f>
        <v>Bihar</v>
      </c>
      <c r="I819" s="0" t="str">
        <f aca="false">PROPER(TRIM(AP819))</f>
        <v>Patna</v>
      </c>
      <c r="J819" s="0" t="str">
        <f aca="false">PROPER(TRIM(AQ819))</f>
        <v>Office Supplies</v>
      </c>
      <c r="K819" s="0" t="str">
        <f aca="false">PROPER(TRIM(AR819))</f>
        <v>Binders</v>
      </c>
      <c r="M819" s="0" t="str">
        <f aca="false">IF(TRIM(AS819)="","Unknown",PROPER(TRIM(AS819)))</f>
        <v>Standard Class</v>
      </c>
      <c r="N819" s="0" t="n">
        <v>6</v>
      </c>
      <c r="O819" s="0" t="n">
        <v>1829.69</v>
      </c>
      <c r="P819" s="5" t="n">
        <f aca="false">IF(AT819="","",IF(ISNUMBER(AT819),AT819,VALUE(SUBSTITUTE(AT819,"%",""))/100))</f>
        <v>0.25</v>
      </c>
      <c r="Q819" s="5" t="n">
        <f aca="false">IF(P819="",IF(AND(N819&lt;&gt;"",O819&lt;&gt;"",R819&lt;&gt;"",S819&lt;&gt;""),0,"REVIEW"),IF(OR(P819&lt;0,P819&gt;0.3),0,P819))</f>
        <v>0.25</v>
      </c>
      <c r="R819" s="0" t="n">
        <v>8233.6</v>
      </c>
      <c r="S819" s="0" t="n">
        <v>4713.79</v>
      </c>
      <c r="T819" s="6" t="n">
        <f aca="false">N819*O819*(1-Q819)</f>
        <v>8233.605</v>
      </c>
      <c r="U819" s="6" t="n">
        <f aca="false">T819-S819</f>
        <v>3519.815</v>
      </c>
      <c r="V819" s="7" t="n">
        <f aca="false">IF(T819=0,0,U819/T819)</f>
        <v>0.427493789172544</v>
      </c>
      <c r="W819" s="4" t="n">
        <f aca="false">C819-B819</f>
        <v>0</v>
      </c>
      <c r="X819" s="0" t="str">
        <f aca="false">TEXT(B819,"mmmm")</f>
        <v>April</v>
      </c>
      <c r="Y819" s="4" t="n">
        <f aca="false">YEAR(B819)</f>
        <v>2025</v>
      </c>
      <c r="Z819" s="0" t="str">
        <f aca="false">PROPER(TRIM(AU819))</f>
        <v>Paid</v>
      </c>
      <c r="AA819" s="0" t="str">
        <f aca="false">PROPER(TRIM(AV819))</f>
        <v>Completed</v>
      </c>
      <c r="AB819" s="0" t="str">
        <f aca="false">IF(TRIM(AN819)="","Yes","No")</f>
        <v>No</v>
      </c>
      <c r="AC819" s="0" t="str">
        <f aca="false">IF(TRIM(AS819)="","Yes","No")</f>
        <v>No</v>
      </c>
      <c r="AD819" s="0" t="str">
        <f aca="false">IF(AT819="","Yes","No")</f>
        <v>No</v>
      </c>
      <c r="AE819" s="0" t="str">
        <f aca="false">IF(W819&lt;0,"Yes","No")</f>
        <v>No</v>
      </c>
      <c r="AF819" s="0" t="str">
        <f aca="false">IF(P819="","No",IF(OR(P819&lt;0,P819&gt;0.3),"Yes","No"))</f>
        <v>No</v>
      </c>
      <c r="AG819" s="4" t="s">
        <v>50</v>
      </c>
      <c r="AH819" s="0" t="str">
        <f aca="false">IF(AND(AA819="Completed",Z819="Paid"),"Yes","No")</f>
        <v>Yes</v>
      </c>
      <c r="AI819" s="0" t="str">
        <f aca="false">IF(OR(AE819="Yes",AF819="Yes",AG819="Yes"),"Invalid",IF(OR(AB819="Yes",AC819="Yes",AD819="Yes"),"Warning","Clean"))</f>
        <v>Clean</v>
      </c>
      <c r="AJ819" s="4" t="s">
        <v>3000</v>
      </c>
      <c r="AK819" s="4" t="s">
        <v>3001</v>
      </c>
      <c r="AL819" s="4" t="s">
        <v>181</v>
      </c>
      <c r="AM819" s="4" t="s">
        <v>54</v>
      </c>
      <c r="AN819" s="4" t="s">
        <v>69</v>
      </c>
      <c r="AO819" s="4" t="s">
        <v>196</v>
      </c>
      <c r="AP819" s="4" t="s">
        <v>197</v>
      </c>
      <c r="AQ819" s="4" t="s">
        <v>58</v>
      </c>
      <c r="AR819" s="4" t="s">
        <v>206</v>
      </c>
      <c r="AS819" s="4" t="s">
        <v>91</v>
      </c>
      <c r="AT819" s="0" t="n">
        <v>0.25</v>
      </c>
      <c r="AU819" s="4" t="s">
        <v>61</v>
      </c>
      <c r="AV819" s="4" t="s">
        <v>62</v>
      </c>
    </row>
    <row r="820" customFormat="false" ht="15" hidden="false" customHeight="false" outlineLevel="0" collapsed="false">
      <c r="A820" s="0" t="s">
        <v>3002</v>
      </c>
      <c r="B820" s="3" t="n">
        <f aca="false">IF(AJ820="","",IF(ISNUMBER(SEARCH("/",AJ820)),DATE(VALUE(RIGHT(AJ820,4)),VALUE(LEFT(AJ820,2)),VALUE(MID(AJ820,4,2))),IF(ISNUMBER(SEARCH("-",AJ820)),IF(LEN(LEFT(AJ820,FIND("-",AJ820)-1))=4,DATE(VALUE(LEFT(AJ820,4)),VALUE(MID(AJ820,6,2)),VALUE(RIGHT(AJ820,2))),DATE(VALUE(RIGHT(AJ820,4)),VALUE(MID(AJ820,4,2)),VALUE(LEFT(AJ820,2)))),DATE(VALUE(RIGHT(AJ820,4)),MATCH(MID(AJ820,4,3),{"Jan","Feb","Mar","Apr","May","Jun","Jul","Aug","Sep","Oct","Nov","Dec"},0),VALUE(LEFT(AJ820,2))))))</f>
        <v>45564</v>
      </c>
      <c r="C820" s="3" t="n">
        <f aca="false">IF(AK820="","",IF(ISNUMBER(SEARCH("/",AK820)),DATE(VALUE(RIGHT(AK820,4)),VALUE(LEFT(AK820,2)),VALUE(MID(AK820,4,2))),IF(ISNUMBER(SEARCH("-",AK820)),IF(LEN(LEFT(AK820,FIND("-",AK820)-1))=4,DATE(VALUE(LEFT(AK820,4)),VALUE(MID(AK820,6,2)),VALUE(RIGHT(AK820,2))),DATE(VALUE(RIGHT(AK820,4)),VALUE(MID(AK820,4,2)),VALUE(LEFT(AK820,2)))),DATE(VALUE(RIGHT(AK820,4)),MATCH(MID(AK820,4,3),{"Jan","Feb","Mar","Apr","May","Jun","Jul","Aug","Sep","Oct","Nov","Dec"},0),VALUE(LEFT(AK820,2))))))</f>
        <v>45570</v>
      </c>
      <c r="D820" s="4" t="s">
        <v>3003</v>
      </c>
      <c r="E820" s="0" t="str">
        <f aca="false">PROPER(TRIM(AL820))</f>
        <v>Priya Menon</v>
      </c>
      <c r="F820" s="0" t="str">
        <f aca="false">PROPER(TRIM(AM820))</f>
        <v>Small Business</v>
      </c>
      <c r="G820" s="0" t="str">
        <f aca="false">IF(TRIM(AN820)="","Unknown",PROPER(TRIM(AN820)))</f>
        <v>West</v>
      </c>
      <c r="H820" s="0" t="str">
        <f aca="false">PROPER(TRIM(AO820))</f>
        <v>Maharashtra</v>
      </c>
      <c r="I820" s="0" t="str">
        <f aca="false">PROPER(TRIM(AP820))</f>
        <v>Mumbai</v>
      </c>
      <c r="J820" s="0" t="str">
        <f aca="false">PROPER(TRIM(AQ820))</f>
        <v>Office Supplies</v>
      </c>
      <c r="K820" s="0" t="str">
        <f aca="false">PROPER(TRIM(AR820))</f>
        <v>Labels</v>
      </c>
      <c r="M820" s="0" t="str">
        <f aca="false">IF(TRIM(AS820)="","Unknown",PROPER(TRIM(AS820)))</f>
        <v>First Class</v>
      </c>
      <c r="N820" s="0" t="n">
        <v>8</v>
      </c>
      <c r="O820" s="0" t="n">
        <v>1981.04</v>
      </c>
      <c r="P820" s="5" t="n">
        <f aca="false">IF(AT820="","",IF(ISNUMBER(AT820),AT820,VALUE(SUBSTITUTE(AT820,"%",""))/100))</f>
        <v>-0.14</v>
      </c>
      <c r="Q820" s="5" t="n">
        <f aca="false">IF(P820="",IF(AND(N820&lt;&gt;"",O820&lt;&gt;"",R820&lt;&gt;"",S820&lt;&gt;""),0,"REVIEW"),IF(OR(P820&lt;0,P820&gt;0.3),0,P820))</f>
        <v>0</v>
      </c>
      <c r="R820" s="0" t="n">
        <v>12678.66</v>
      </c>
      <c r="S820" s="0" t="n">
        <v>10088.65</v>
      </c>
      <c r="T820" s="6" t="n">
        <f aca="false">N820*O820*(1-Q820)</f>
        <v>15848.32</v>
      </c>
      <c r="U820" s="6" t="n">
        <f aca="false">T820-S820</f>
        <v>5759.67</v>
      </c>
      <c r="V820" s="7" t="n">
        <f aca="false">IF(T820=0,0,U820/T820)</f>
        <v>0.36342464059282</v>
      </c>
      <c r="W820" s="4" t="n">
        <f aca="false">C820-B820</f>
        <v>6</v>
      </c>
      <c r="X820" s="0" t="str">
        <f aca="false">TEXT(B820,"mmmm")</f>
        <v>September</v>
      </c>
      <c r="Y820" s="4" t="n">
        <f aca="false">YEAR(B820)</f>
        <v>2024</v>
      </c>
      <c r="Z820" s="0" t="str">
        <f aca="false">PROPER(TRIM(AU820))</f>
        <v>Paid</v>
      </c>
      <c r="AA820" s="0" t="str">
        <f aca="false">PROPER(TRIM(AV820))</f>
        <v>Completed</v>
      </c>
      <c r="AB820" s="0" t="str">
        <f aca="false">IF(TRIM(AN820)="","Yes","No")</f>
        <v>No</v>
      </c>
      <c r="AC820" s="0" t="str">
        <f aca="false">IF(TRIM(AS820)="","Yes","No")</f>
        <v>No</v>
      </c>
      <c r="AD820" s="0" t="str">
        <f aca="false">IF(AT820="","Yes","No")</f>
        <v>No</v>
      </c>
      <c r="AE820" s="0" t="str">
        <f aca="false">IF(W820&lt;0,"Yes","No")</f>
        <v>No</v>
      </c>
      <c r="AF820" s="0" t="str">
        <f aca="false">IF(P820="","No",IF(OR(P820&lt;0,P820&gt;0.3),"Yes","No"))</f>
        <v>Yes</v>
      </c>
      <c r="AG820" s="4" t="s">
        <v>50</v>
      </c>
      <c r="AH820" s="0" t="str">
        <f aca="false">IF(AND(AA820="Completed",Z820="Paid"),"Yes","No")</f>
        <v>Yes</v>
      </c>
      <c r="AI820" s="0" t="str">
        <f aca="false">IF(OR(AE820="Yes",AF820="Yes",AG820="Yes"),"Invalid",IF(OR(AB820="Yes",AC820="Yes",AD820="Yes"),"Warning","Clean"))</f>
        <v>Invalid</v>
      </c>
      <c r="AJ820" s="4" t="s">
        <v>3004</v>
      </c>
      <c r="AK820" s="4" t="s">
        <v>2609</v>
      </c>
      <c r="AL820" s="4" t="s">
        <v>158</v>
      </c>
      <c r="AM820" s="4" t="s">
        <v>68</v>
      </c>
      <c r="AN820" s="4" t="s">
        <v>97</v>
      </c>
      <c r="AO820" s="4" t="s">
        <v>98</v>
      </c>
      <c r="AP820" s="4" t="s">
        <v>99</v>
      </c>
      <c r="AQ820" s="4" t="s">
        <v>58</v>
      </c>
      <c r="AR820" s="4" t="s">
        <v>129</v>
      </c>
      <c r="AS820" s="4" t="s">
        <v>81</v>
      </c>
      <c r="AT820" s="0" t="n">
        <v>-0.14</v>
      </c>
      <c r="AU820" s="4" t="s">
        <v>61</v>
      </c>
      <c r="AV820" s="4" t="s">
        <v>62</v>
      </c>
    </row>
    <row r="821" customFormat="false" ht="15" hidden="false" customHeight="false" outlineLevel="0" collapsed="false">
      <c r="A821" s="0" t="s">
        <v>3005</v>
      </c>
      <c r="B821" s="3" t="n">
        <f aca="false">IF(AJ821="","",IF(ISNUMBER(SEARCH("/",AJ821)),DATE(VALUE(RIGHT(AJ821,4)),VALUE(LEFT(AJ821,2)),VALUE(MID(AJ821,4,2))),IF(ISNUMBER(SEARCH("-",AJ821)),IF(LEN(LEFT(AJ821,FIND("-",AJ821)-1))=4,DATE(VALUE(LEFT(AJ821,4)),VALUE(MID(AJ821,6,2)),VALUE(RIGHT(AJ821,2))),DATE(VALUE(RIGHT(AJ821,4)),VALUE(MID(AJ821,4,2)),VALUE(LEFT(AJ821,2)))),DATE(VALUE(RIGHT(AJ821,4)),MATCH(MID(AJ821,4,3),{"Jan","Feb","Mar","Apr","May","Jun","Jul","Aug","Sep","Oct","Nov","Dec"},0),VALUE(LEFT(AJ821,2))))))</f>
        <v>45504</v>
      </c>
      <c r="C821" s="3" t="n">
        <f aca="false">IF(AK821="","",IF(ISNUMBER(SEARCH("/",AK821)),DATE(VALUE(RIGHT(AK821,4)),VALUE(LEFT(AK821,2)),VALUE(MID(AK821,4,2))),IF(ISNUMBER(SEARCH("-",AK821)),IF(LEN(LEFT(AK821,FIND("-",AK821)-1))=4,DATE(VALUE(LEFT(AK821,4)),VALUE(MID(AK821,6,2)),VALUE(RIGHT(AK821,2))),DATE(VALUE(RIGHT(AK821,4)),VALUE(MID(AK821,4,2)),VALUE(LEFT(AK821,2)))),DATE(VALUE(RIGHT(AK821,4)),MATCH(MID(AK821,4,3),{"Jan","Feb","Mar","Apr","May","Jun","Jul","Aug","Sep","Oct","Nov","Dec"},0),VALUE(LEFT(AK821,2))))))</f>
        <v>45504</v>
      </c>
      <c r="D821" s="4" t="s">
        <v>3006</v>
      </c>
      <c r="E821" s="0" t="str">
        <f aca="false">PROPER(TRIM(AL821))</f>
        <v>Karan Malhotra</v>
      </c>
      <c r="F821" s="0" t="str">
        <f aca="false">PROPER(TRIM(AM821))</f>
        <v>Home Office</v>
      </c>
      <c r="G821" s="0" t="str">
        <f aca="false">IF(TRIM(AN821)="","Unknown",PROPER(TRIM(AN821)))</f>
        <v>South</v>
      </c>
      <c r="H821" s="0" t="str">
        <f aca="false">PROPER(TRIM(AO821))</f>
        <v>Kerala</v>
      </c>
      <c r="I821" s="0" t="str">
        <f aca="false">PROPER(TRIM(AP821))</f>
        <v>Kochi</v>
      </c>
      <c r="J821" s="0" t="str">
        <f aca="false">PROPER(TRIM(AQ821))</f>
        <v>Technology</v>
      </c>
      <c r="K821" s="0" t="str">
        <f aca="false">PROPER(TRIM(AR821))</f>
        <v>Machines</v>
      </c>
      <c r="M821" s="0" t="str">
        <f aca="false">IF(TRIM(AS821)="","Unknown",PROPER(TRIM(AS821)))</f>
        <v>Standard Class</v>
      </c>
      <c r="N821" s="0" t="n">
        <v>8</v>
      </c>
      <c r="O821" s="0" t="n">
        <v>4246.01</v>
      </c>
      <c r="P821" s="5" t="n">
        <f aca="false">IF(AT821="","",IF(ISNUMBER(AT821),AT821,VALUE(SUBSTITUTE(AT821,"%",""))/100))</f>
        <v>0</v>
      </c>
      <c r="Q821" s="5" t="n">
        <f aca="false">IF(P821="",IF(AND(N821&lt;&gt;"",O821&lt;&gt;"",R821&lt;&gt;"",S821&lt;&gt;""),0,"REVIEW"),IF(OR(P821&lt;0,P821&gt;0.3),0,P821))</f>
        <v>0</v>
      </c>
      <c r="R821" s="0" t="n">
        <v>33968.08</v>
      </c>
      <c r="S821" s="0" t="n">
        <v>26902.44</v>
      </c>
      <c r="T821" s="6" t="n">
        <f aca="false">N821*O821*(1-Q821)</f>
        <v>33968.08</v>
      </c>
      <c r="U821" s="6" t="n">
        <f aca="false">T821-S821</f>
        <v>7065.64</v>
      </c>
      <c r="V821" s="7" t="n">
        <f aca="false">IF(T821=0,0,U821/T821)</f>
        <v>0.208008224191653</v>
      </c>
      <c r="W821" s="4" t="n">
        <f aca="false">C821-B821</f>
        <v>0</v>
      </c>
      <c r="X821" s="0" t="str">
        <f aca="false">TEXT(B821,"mmmm")</f>
        <v>July</v>
      </c>
      <c r="Y821" s="4" t="n">
        <f aca="false">YEAR(B821)</f>
        <v>2024</v>
      </c>
      <c r="Z821" s="0" t="str">
        <f aca="false">PROPER(TRIM(AU821))</f>
        <v>Failed</v>
      </c>
      <c r="AA821" s="0" t="str">
        <f aca="false">PROPER(TRIM(AV821))</f>
        <v>Cancelled</v>
      </c>
      <c r="AB821" s="0" t="str">
        <f aca="false">IF(TRIM(AN821)="","Yes","No")</f>
        <v>No</v>
      </c>
      <c r="AC821" s="0" t="str">
        <f aca="false">IF(TRIM(AS821)="","Yes","No")</f>
        <v>No</v>
      </c>
      <c r="AD821" s="0" t="str">
        <f aca="false">IF(AT821="","Yes","No")</f>
        <v>No</v>
      </c>
      <c r="AE821" s="0" t="str">
        <f aca="false">IF(W821&lt;0,"Yes","No")</f>
        <v>No</v>
      </c>
      <c r="AF821" s="0" t="str">
        <f aca="false">IF(P821="","No",IF(OR(P821&lt;0,P821&gt;0.3),"Yes","No"))</f>
        <v>No</v>
      </c>
      <c r="AG821" s="4" t="s">
        <v>50</v>
      </c>
      <c r="AH821" s="0" t="str">
        <f aca="false">IF(AND(AA821="Completed",Z821="Paid"),"Yes","No")</f>
        <v>No</v>
      </c>
      <c r="AI821" s="0" t="str">
        <f aca="false">IF(OR(AE821="Yes",AF821="Yes",AG821="Yes"),"Invalid",IF(OR(AB821="Yes",AC821="Yes",AD821="Yes"),"Warning","Clean"))</f>
        <v>Clean</v>
      </c>
      <c r="AJ821" s="4" t="s">
        <v>1330</v>
      </c>
      <c r="AK821" s="4" t="s">
        <v>3007</v>
      </c>
      <c r="AL821" s="4" t="s">
        <v>53</v>
      </c>
      <c r="AM821" s="4" t="s">
        <v>134</v>
      </c>
      <c r="AN821" s="4" t="s">
        <v>87</v>
      </c>
      <c r="AO821" s="4" t="s">
        <v>244</v>
      </c>
      <c r="AP821" s="4" t="s">
        <v>245</v>
      </c>
      <c r="AQ821" s="4" t="s">
        <v>109</v>
      </c>
      <c r="AR821" s="4" t="s">
        <v>3008</v>
      </c>
      <c r="AS821" s="4" t="s">
        <v>91</v>
      </c>
      <c r="AT821" s="0" t="n">
        <v>0</v>
      </c>
      <c r="AU821" s="4" t="s">
        <v>207</v>
      </c>
      <c r="AV821" s="4" t="s">
        <v>101</v>
      </c>
    </row>
    <row r="822" customFormat="false" ht="15" hidden="false" customHeight="false" outlineLevel="0" collapsed="false">
      <c r="A822" s="0" t="s">
        <v>3009</v>
      </c>
      <c r="B822" s="3" t="n">
        <f aca="false">IF(AJ822="","",IF(ISNUMBER(SEARCH("/",AJ822)),DATE(VALUE(RIGHT(AJ822,4)),VALUE(LEFT(AJ822,2)),VALUE(MID(AJ822,4,2))),IF(ISNUMBER(SEARCH("-",AJ822)),IF(LEN(LEFT(AJ822,FIND("-",AJ822)-1))=4,DATE(VALUE(LEFT(AJ822,4)),VALUE(MID(AJ822,6,2)),VALUE(RIGHT(AJ822,2))),DATE(VALUE(RIGHT(AJ822,4)),VALUE(MID(AJ822,4,2)),VALUE(LEFT(AJ822,2)))),DATE(VALUE(RIGHT(AJ822,4)),MATCH(MID(AJ822,4,3),{"Jan","Feb","Mar","Apr","May","Jun","Jul","Aug","Sep","Oct","Nov","Dec"},0),VALUE(LEFT(AJ822,2))))))</f>
        <v>45694</v>
      </c>
      <c r="C822" s="3" t="n">
        <f aca="false">IF(AK822="","",IF(ISNUMBER(SEARCH("/",AK822)),DATE(VALUE(RIGHT(AK822,4)),VALUE(LEFT(AK822,2)),VALUE(MID(AK822,4,2))),IF(ISNUMBER(SEARCH("-",AK822)),IF(LEN(LEFT(AK822,FIND("-",AK822)-1))=4,DATE(VALUE(LEFT(AK822,4)),VALUE(MID(AK822,6,2)),VALUE(RIGHT(AK822,2))),DATE(VALUE(RIGHT(AK822,4)),VALUE(MID(AK822,4,2)),VALUE(LEFT(AK822,2)))),DATE(VALUE(RIGHT(AK822,4)),MATCH(MID(AK822,4,3),{"Jan","Feb","Mar","Apr","May","Jun","Jul","Aug","Sep","Oct","Nov","Dec"},0),VALUE(LEFT(AK822,2))))))</f>
        <v>45698</v>
      </c>
      <c r="D822" s="4" t="s">
        <v>3010</v>
      </c>
      <c r="E822" s="0" t="str">
        <f aca="false">PROPER(TRIM(AL822))</f>
        <v>Ananya Rao</v>
      </c>
      <c r="F822" s="0" t="str">
        <f aca="false">PROPER(TRIM(AM822))</f>
        <v>Home Office</v>
      </c>
      <c r="G822" s="0" t="str">
        <f aca="false">IF(TRIM(AN822)="","Unknown",PROPER(TRIM(AN822)))</f>
        <v>North</v>
      </c>
      <c r="H822" s="0" t="str">
        <f aca="false">PROPER(TRIM(AO822))</f>
        <v>Uttar Pradesh</v>
      </c>
      <c r="I822" s="0" t="str">
        <f aca="false">PROPER(TRIM(AP822))</f>
        <v>Noida</v>
      </c>
      <c r="J822" s="0" t="str">
        <f aca="false">PROPER(TRIM(AQ822))</f>
        <v>Furniture</v>
      </c>
      <c r="K822" s="0" t="str">
        <f aca="false">PROPER(TRIM(AR822))</f>
        <v>Bookcases</v>
      </c>
      <c r="M822" s="0" t="str">
        <f aca="false">IF(TRIM(AS822)="","Unknown",PROPER(TRIM(AS822)))</f>
        <v>Standard Class</v>
      </c>
      <c r="N822" s="0" t="n">
        <v>2</v>
      </c>
      <c r="O822" s="0" t="n">
        <v>319.57</v>
      </c>
      <c r="P822" s="5" t="n">
        <f aca="false">IF(AT822="","",IF(ISNUMBER(AT822),AT822,VALUE(SUBSTITUTE(AT822,"%",""))/100))</f>
        <v>0.2</v>
      </c>
      <c r="Q822" s="5" t="n">
        <f aca="false">IF(P822="",IF(AND(N822&lt;&gt;"",O822&lt;&gt;"",R822&lt;&gt;"",S822&lt;&gt;""),0,"REVIEW"),IF(OR(P822&lt;0,P822&gt;0.3),0,P822))</f>
        <v>0.2</v>
      </c>
      <c r="R822" s="0" t="n">
        <v>511.31</v>
      </c>
      <c r="S822" s="0" t="n">
        <v>436.43</v>
      </c>
      <c r="T822" s="6" t="n">
        <f aca="false">N822*O822*(1-Q822)</f>
        <v>511.312</v>
      </c>
      <c r="U822" s="6" t="n">
        <f aca="false">T822-S822</f>
        <v>74.882</v>
      </c>
      <c r="V822" s="7" t="n">
        <f aca="false">IF(T822=0,0,U822/T822)</f>
        <v>0.146450699377288</v>
      </c>
      <c r="W822" s="4" t="n">
        <f aca="false">C822-B822</f>
        <v>4</v>
      </c>
      <c r="X822" s="0" t="str">
        <f aca="false">TEXT(B822,"mmmm")</f>
        <v>February</v>
      </c>
      <c r="Y822" s="4" t="n">
        <f aca="false">YEAR(B822)</f>
        <v>2025</v>
      </c>
      <c r="Z822" s="0" t="str">
        <f aca="false">PROPER(TRIM(AU822))</f>
        <v>Paid</v>
      </c>
      <c r="AA822" s="0" t="str">
        <f aca="false">PROPER(TRIM(AV822))</f>
        <v>Completed</v>
      </c>
      <c r="AB822" s="0" t="str">
        <f aca="false">IF(TRIM(AN822)="","Yes","No")</f>
        <v>No</v>
      </c>
      <c r="AC822" s="0" t="str">
        <f aca="false">IF(TRIM(AS822)="","Yes","No")</f>
        <v>No</v>
      </c>
      <c r="AD822" s="0" t="str">
        <f aca="false">IF(AT822="","Yes","No")</f>
        <v>No</v>
      </c>
      <c r="AE822" s="0" t="str">
        <f aca="false">IF(W822&lt;0,"Yes","No")</f>
        <v>No</v>
      </c>
      <c r="AF822" s="0" t="str">
        <f aca="false">IF(P822="","No",IF(OR(P822&lt;0,P822&gt;0.3),"Yes","No"))</f>
        <v>No</v>
      </c>
      <c r="AG822" s="4" t="s">
        <v>50</v>
      </c>
      <c r="AH822" s="0" t="str">
        <f aca="false">IF(AND(AA822="Completed",Z822="Paid"),"Yes","No")</f>
        <v>Yes</v>
      </c>
      <c r="AI822" s="0" t="str">
        <f aca="false">IF(OR(AE822="Yes",AF822="Yes",AG822="Yes"),"Invalid",IF(OR(AB822="Yes",AC822="Yes",AD822="Yes"),"Warning","Clean"))</f>
        <v>Clean</v>
      </c>
      <c r="AJ822" s="4" t="s">
        <v>3011</v>
      </c>
      <c r="AK822" s="4" t="s">
        <v>3012</v>
      </c>
      <c r="AL822" s="4" t="s">
        <v>96</v>
      </c>
      <c r="AM822" s="4" t="s">
        <v>134</v>
      </c>
      <c r="AN822" s="4" t="s">
        <v>168</v>
      </c>
      <c r="AO822" s="4" t="s">
        <v>186</v>
      </c>
      <c r="AP822" s="4" t="s">
        <v>187</v>
      </c>
      <c r="AQ822" s="4" t="s">
        <v>72</v>
      </c>
      <c r="AR822" s="4" t="s">
        <v>211</v>
      </c>
      <c r="AS822" s="4" t="s">
        <v>91</v>
      </c>
      <c r="AT822" s="0" t="n">
        <v>0.2</v>
      </c>
      <c r="AU822" s="4" t="s">
        <v>61</v>
      </c>
      <c r="AV822" s="4" t="s">
        <v>62</v>
      </c>
    </row>
    <row r="823" customFormat="false" ht="15" hidden="false" customHeight="false" outlineLevel="0" collapsed="false">
      <c r="A823" s="0" t="s">
        <v>3013</v>
      </c>
      <c r="B823" s="3" t="n">
        <f aca="false">IF(AJ823="","",IF(ISNUMBER(SEARCH("/",AJ823)),DATE(VALUE(RIGHT(AJ823,4)),VALUE(LEFT(AJ823,2)),VALUE(MID(AJ823,4,2))),IF(ISNUMBER(SEARCH("-",AJ823)),IF(LEN(LEFT(AJ823,FIND("-",AJ823)-1))=4,DATE(VALUE(LEFT(AJ823,4)),VALUE(MID(AJ823,6,2)),VALUE(RIGHT(AJ823,2))),DATE(VALUE(RIGHT(AJ823,4)),VALUE(MID(AJ823,4,2)),VALUE(LEFT(AJ823,2)))),DATE(VALUE(RIGHT(AJ823,4)),MATCH(MID(AJ823,4,3),{"Jan","Feb","Mar","Apr","May","Jun","Jul","Aug","Sep","Oct","Nov","Dec"},0),VALUE(LEFT(AJ823,2))))))</f>
        <v>45476</v>
      </c>
      <c r="C823" s="3" t="n">
        <f aca="false">IF(AK823="","",IF(ISNUMBER(SEARCH("/",AK823)),DATE(VALUE(RIGHT(AK823,4)),VALUE(LEFT(AK823,2)),VALUE(MID(AK823,4,2))),IF(ISNUMBER(SEARCH("-",AK823)),IF(LEN(LEFT(AK823,FIND("-",AK823)-1))=4,DATE(VALUE(LEFT(AK823,4)),VALUE(MID(AK823,6,2)),VALUE(RIGHT(AK823,2))),DATE(VALUE(RIGHT(AK823,4)),VALUE(MID(AK823,4,2)),VALUE(LEFT(AK823,2)))),DATE(VALUE(RIGHT(AK823,4)),MATCH(MID(AK823,4,3),{"Jan","Feb","Mar","Apr","May","Jun","Jul","Aug","Sep","Oct","Nov","Dec"},0),VALUE(LEFT(AK823,2))))))</f>
        <v>45479</v>
      </c>
      <c r="D823" s="4" t="s">
        <v>3014</v>
      </c>
      <c r="E823" s="0" t="str">
        <f aca="false">PROPER(TRIM(AL823))</f>
        <v>Aarav Sharma</v>
      </c>
      <c r="F823" s="0" t="str">
        <f aca="false">PROPER(TRIM(AM823))</f>
        <v>Corporate</v>
      </c>
      <c r="G823" s="0" t="str">
        <f aca="false">IF(TRIM(AN823)="","Unknown",PROPER(TRIM(AN823)))</f>
        <v>South</v>
      </c>
      <c r="H823" s="0" t="str">
        <f aca="false">PROPER(TRIM(AO823))</f>
        <v>Karnataka</v>
      </c>
      <c r="I823" s="0" t="str">
        <f aca="false">PROPER(TRIM(AP823))</f>
        <v>Bengaluru</v>
      </c>
      <c r="J823" s="0" t="str">
        <f aca="false">PROPER(TRIM(AQ823))</f>
        <v>Technology</v>
      </c>
      <c r="K823" s="0" t="str">
        <f aca="false">PROPER(TRIM(AR823))</f>
        <v>Accessories</v>
      </c>
      <c r="M823" s="0" t="str">
        <f aca="false">IF(TRIM(AS823)="","Unknown",PROPER(TRIM(AS823)))</f>
        <v>First Class</v>
      </c>
      <c r="N823" s="0" t="n">
        <v>7</v>
      </c>
      <c r="O823" s="0" t="n">
        <v>1942.49</v>
      </c>
      <c r="P823" s="5" t="n">
        <f aca="false">IF(AT823="","",IF(ISNUMBER(AT823),AT823,VALUE(SUBSTITUTE(AT823,"%",""))/100))</f>
        <v>0.2</v>
      </c>
      <c r="Q823" s="5" t="n">
        <f aca="false">IF(P823="",IF(AND(N823&lt;&gt;"",O823&lt;&gt;"",R823&lt;&gt;"",S823&lt;&gt;""),0,"REVIEW"),IF(OR(P823&lt;0,P823&gt;0.3),0,P823))</f>
        <v>0.2</v>
      </c>
      <c r="R823" s="0" t="n">
        <v>10877.94</v>
      </c>
      <c r="S823" s="0" t="n">
        <v>9110.14</v>
      </c>
      <c r="T823" s="6" t="n">
        <f aca="false">N823*O823*(1-Q823)</f>
        <v>10877.944</v>
      </c>
      <c r="U823" s="6" t="n">
        <f aca="false">T823-S823</f>
        <v>1767.804</v>
      </c>
      <c r="V823" s="7" t="n">
        <f aca="false">IF(T823=0,0,U823/T823)</f>
        <v>0.162512695413766</v>
      </c>
      <c r="W823" s="4" t="n">
        <f aca="false">C823-B823</f>
        <v>3</v>
      </c>
      <c r="X823" s="0" t="str">
        <f aca="false">TEXT(B823,"mmmm")</f>
        <v>July</v>
      </c>
      <c r="Y823" s="4" t="n">
        <f aca="false">YEAR(B823)</f>
        <v>2024</v>
      </c>
      <c r="Z823" s="0" t="str">
        <f aca="false">PROPER(TRIM(AU823))</f>
        <v>Paid</v>
      </c>
      <c r="AA823" s="0" t="str">
        <f aca="false">PROPER(TRIM(AV823))</f>
        <v>Completed</v>
      </c>
      <c r="AB823" s="0" t="str">
        <f aca="false">IF(TRIM(AN823)="","Yes","No")</f>
        <v>No</v>
      </c>
      <c r="AC823" s="0" t="str">
        <f aca="false">IF(TRIM(AS823)="","Yes","No")</f>
        <v>No</v>
      </c>
      <c r="AD823" s="0" t="str">
        <f aca="false">IF(AT823="","Yes","No")</f>
        <v>No</v>
      </c>
      <c r="AE823" s="0" t="str">
        <f aca="false">IF(W823&lt;0,"Yes","No")</f>
        <v>No</v>
      </c>
      <c r="AF823" s="0" t="str">
        <f aca="false">IF(P823="","No",IF(OR(P823&lt;0,P823&gt;0.3),"Yes","No"))</f>
        <v>No</v>
      </c>
      <c r="AG823" s="4" t="s">
        <v>50</v>
      </c>
      <c r="AH823" s="0" t="str">
        <f aca="false">IF(AND(AA823="Completed",Z823="Paid"),"Yes","No")</f>
        <v>Yes</v>
      </c>
      <c r="AI823" s="0" t="str">
        <f aca="false">IF(OR(AE823="Yes",AF823="Yes",AG823="Yes"),"Invalid",IF(OR(AB823="Yes",AC823="Yes",AD823="Yes"),"Warning","Clean"))</f>
        <v>Clean</v>
      </c>
      <c r="AJ823" s="4" t="s">
        <v>3015</v>
      </c>
      <c r="AK823" s="4" t="s">
        <v>3016</v>
      </c>
      <c r="AL823" s="4" t="s">
        <v>176</v>
      </c>
      <c r="AM823" s="4" t="s">
        <v>128</v>
      </c>
      <c r="AN823" s="4" t="s">
        <v>87</v>
      </c>
      <c r="AO823" s="4" t="s">
        <v>233</v>
      </c>
      <c r="AP823" s="4" t="s">
        <v>234</v>
      </c>
      <c r="AQ823" s="4" t="s">
        <v>109</v>
      </c>
      <c r="AR823" s="4" t="s">
        <v>110</v>
      </c>
      <c r="AS823" s="4" t="s">
        <v>81</v>
      </c>
      <c r="AT823" s="0" t="n">
        <v>0.2</v>
      </c>
      <c r="AU823" s="4" t="s">
        <v>61</v>
      </c>
      <c r="AV823" s="4" t="s">
        <v>62</v>
      </c>
    </row>
    <row r="824" customFormat="false" ht="15" hidden="false" customHeight="false" outlineLevel="0" collapsed="false">
      <c r="A824" s="0" t="s">
        <v>3017</v>
      </c>
      <c r="B824" s="3" t="n">
        <f aca="false">IF(AJ824="","",IF(ISNUMBER(SEARCH("/",AJ824)),DATE(VALUE(RIGHT(AJ824,4)),VALUE(LEFT(AJ824,2)),VALUE(MID(AJ824,4,2))),IF(ISNUMBER(SEARCH("-",AJ824)),IF(LEN(LEFT(AJ824,FIND("-",AJ824)-1))=4,DATE(VALUE(LEFT(AJ824,4)),VALUE(MID(AJ824,6,2)),VALUE(RIGHT(AJ824,2))),DATE(VALUE(RIGHT(AJ824,4)),VALUE(MID(AJ824,4,2)),VALUE(LEFT(AJ824,2)))),DATE(VALUE(RIGHT(AJ824,4)),MATCH(MID(AJ824,4,3),{"Jan","Feb","Mar","Apr","May","Jun","Jul","Aug","Sep","Oct","Nov","Dec"},0),VALUE(LEFT(AJ824,2))))))</f>
        <v>45577</v>
      </c>
      <c r="C824" s="3" t="n">
        <f aca="false">IF(AK824="","",IF(ISNUMBER(SEARCH("/",AK824)),DATE(VALUE(RIGHT(AK824,4)),VALUE(LEFT(AK824,2)),VALUE(MID(AK824,4,2))),IF(ISNUMBER(SEARCH("-",AK824)),IF(LEN(LEFT(AK824,FIND("-",AK824)-1))=4,DATE(VALUE(LEFT(AK824,4)),VALUE(MID(AK824,6,2)),VALUE(RIGHT(AK824,2))),DATE(VALUE(RIGHT(AK824,4)),VALUE(MID(AK824,4,2)),VALUE(LEFT(AK824,2)))),DATE(VALUE(RIGHT(AK824,4)),MATCH(MID(AK824,4,3),{"Jan","Feb","Mar","Apr","May","Jun","Jul","Aug","Sep","Oct","Nov","Dec"},0),VALUE(LEFT(AK824,2))))))</f>
        <v>45573</v>
      </c>
      <c r="D824" s="4" t="s">
        <v>3018</v>
      </c>
      <c r="E824" s="0" t="str">
        <f aca="false">PROPER(TRIM(AL824))</f>
        <v>Mira Das</v>
      </c>
      <c r="F824" s="0" t="str">
        <f aca="false">PROPER(TRIM(AM824))</f>
        <v>Corporate</v>
      </c>
      <c r="G824" s="0" t="str">
        <f aca="false">IF(TRIM(AN824)="","Unknown",PROPER(TRIM(AN824)))</f>
        <v>East</v>
      </c>
      <c r="H824" s="0" t="str">
        <f aca="false">PROPER(TRIM(AO824))</f>
        <v>Assam</v>
      </c>
      <c r="I824" s="0" t="str">
        <f aca="false">PROPER(TRIM(AP824))</f>
        <v>Guwahati</v>
      </c>
      <c r="J824" s="0" t="str">
        <f aca="false">PROPER(TRIM(AQ824))</f>
        <v>Furniture</v>
      </c>
      <c r="K824" s="0" t="str">
        <f aca="false">PROPER(TRIM(AR824))</f>
        <v>Furnishings</v>
      </c>
      <c r="M824" s="0" t="str">
        <f aca="false">IF(TRIM(AS824)="","Unknown",PROPER(TRIM(AS824)))</f>
        <v>Second Class</v>
      </c>
      <c r="N824" s="0" t="n">
        <v>4</v>
      </c>
      <c r="O824" s="0" t="n">
        <v>3202.04</v>
      </c>
      <c r="P824" s="5" t="n">
        <f aca="false">IF(AT824="","",IF(ISNUMBER(AT824),AT824,VALUE(SUBSTITUTE(AT824,"%",""))/100))</f>
        <v>0.2</v>
      </c>
      <c r="Q824" s="5" t="n">
        <f aca="false">IF(P824="",IF(AND(N824&lt;&gt;"",O824&lt;&gt;"",R824&lt;&gt;"",S824&lt;&gt;""),0,"REVIEW"),IF(OR(P824&lt;0,P824&gt;0.3),0,P824))</f>
        <v>0.2</v>
      </c>
      <c r="R824" s="0" t="n">
        <v>10246.53</v>
      </c>
      <c r="S824" s="0" t="n">
        <v>8634.42</v>
      </c>
      <c r="T824" s="6" t="n">
        <f aca="false">N824*O824*(1-Q824)</f>
        <v>10246.528</v>
      </c>
      <c r="U824" s="6" t="n">
        <f aca="false">T824-S824</f>
        <v>1612.108</v>
      </c>
      <c r="V824" s="7" t="n">
        <f aca="false">IF(T824=0,0,U824/T824)</f>
        <v>0.157332122646813</v>
      </c>
      <c r="W824" s="4" t="n">
        <f aca="false">C824-B824</f>
        <v>-4</v>
      </c>
      <c r="X824" s="0" t="str">
        <f aca="false">TEXT(B824,"mmmm")</f>
        <v>October</v>
      </c>
      <c r="Y824" s="4" t="n">
        <f aca="false">YEAR(B824)</f>
        <v>2024</v>
      </c>
      <c r="Z824" s="0" t="str">
        <f aca="false">PROPER(TRIM(AU824))</f>
        <v>Pending</v>
      </c>
      <c r="AA824" s="0" t="str">
        <f aca="false">PROPER(TRIM(AV824))</f>
        <v>Returned</v>
      </c>
      <c r="AB824" s="0" t="str">
        <f aca="false">IF(TRIM(AN824)="","Yes","No")</f>
        <v>No</v>
      </c>
      <c r="AC824" s="0" t="str">
        <f aca="false">IF(TRIM(AS824)="","Yes","No")</f>
        <v>No</v>
      </c>
      <c r="AD824" s="0" t="str">
        <f aca="false">IF(AT824="","Yes","No")</f>
        <v>No</v>
      </c>
      <c r="AE824" s="0" t="str">
        <f aca="false">IF(W824&lt;0,"Yes","No")</f>
        <v>Yes</v>
      </c>
      <c r="AF824" s="0" t="str">
        <f aca="false">IF(P824="","No",IF(OR(P824&lt;0,P824&gt;0.3),"Yes","No"))</f>
        <v>No</v>
      </c>
      <c r="AG824" s="4" t="s">
        <v>50</v>
      </c>
      <c r="AH824" s="0" t="str">
        <f aca="false">IF(AND(AA824="Completed",Z824="Paid"),"Yes","No")</f>
        <v>No</v>
      </c>
      <c r="AI824" s="0" t="str">
        <f aca="false">IF(OR(AE824="Yes",AF824="Yes",AG824="Yes"),"Invalid",IF(OR(AB824="Yes",AC824="Yes",AD824="Yes"),"Warning","Clean"))</f>
        <v>Invalid</v>
      </c>
      <c r="AJ824" s="4" t="s">
        <v>3019</v>
      </c>
      <c r="AK824" s="4" t="s">
        <v>3020</v>
      </c>
      <c r="AL824" s="4" t="s">
        <v>67</v>
      </c>
      <c r="AM824" s="4" t="s">
        <v>128</v>
      </c>
      <c r="AN824" s="4" t="s">
        <v>69</v>
      </c>
      <c r="AO824" s="4" t="s">
        <v>221</v>
      </c>
      <c r="AP824" s="4" t="s">
        <v>222</v>
      </c>
      <c r="AQ824" s="4" t="s">
        <v>72</v>
      </c>
      <c r="AR824" s="4" t="s">
        <v>90</v>
      </c>
      <c r="AS824" s="4" t="s">
        <v>60</v>
      </c>
      <c r="AT824" s="0" t="n">
        <v>0.2</v>
      </c>
      <c r="AU824" s="4" t="s">
        <v>153</v>
      </c>
      <c r="AV824" s="4" t="s">
        <v>142</v>
      </c>
    </row>
    <row r="825" customFormat="false" ht="15" hidden="false" customHeight="false" outlineLevel="0" collapsed="false">
      <c r="A825" s="0" t="s">
        <v>3021</v>
      </c>
      <c r="B825" s="3" t="n">
        <f aca="false">IF(AJ825="","",IF(ISNUMBER(SEARCH("/",AJ825)),DATE(VALUE(RIGHT(AJ825,4)),VALUE(LEFT(AJ825,2)),VALUE(MID(AJ825,4,2))),IF(ISNUMBER(SEARCH("-",AJ825)),IF(LEN(LEFT(AJ825,FIND("-",AJ825)-1))=4,DATE(VALUE(LEFT(AJ825,4)),VALUE(MID(AJ825,6,2)),VALUE(RIGHT(AJ825,2))),DATE(VALUE(RIGHT(AJ825,4)),VALUE(MID(AJ825,4,2)),VALUE(LEFT(AJ825,2)))),DATE(VALUE(RIGHT(AJ825,4)),MATCH(MID(AJ825,4,3),{"Jan","Feb","Mar","Apr","May","Jun","Jul","Aug","Sep","Oct","Nov","Dec"},0),VALUE(LEFT(AJ825,2))))))</f>
        <v>45663</v>
      </c>
      <c r="C825" s="3" t="n">
        <f aca="false">IF(AK825="","",IF(ISNUMBER(SEARCH("/",AK825)),DATE(VALUE(RIGHT(AK825,4)),VALUE(LEFT(AK825,2)),VALUE(MID(AK825,4,2))),IF(ISNUMBER(SEARCH("-",AK825)),IF(LEN(LEFT(AK825,FIND("-",AK825)-1))=4,DATE(VALUE(LEFT(AK825,4)),VALUE(MID(AK825,6,2)),VALUE(RIGHT(AK825,2))),DATE(VALUE(RIGHT(AK825,4)),VALUE(MID(AK825,4,2)),VALUE(LEFT(AK825,2)))),DATE(VALUE(RIGHT(AK825,4)),MATCH(MID(AK825,4,3),{"Jan","Feb","Mar","Apr","May","Jun","Jul","Aug","Sep","Oct","Nov","Dec"},0),VALUE(LEFT(AK825,2))))))</f>
        <v>45669</v>
      </c>
      <c r="D825" s="4" t="s">
        <v>3022</v>
      </c>
      <c r="E825" s="0" t="str">
        <f aca="false">PROPER(TRIM(AL825))</f>
        <v>Mira Das</v>
      </c>
      <c r="F825" s="0" t="str">
        <f aca="false">PROPER(TRIM(AM825))</f>
        <v>Home Office</v>
      </c>
      <c r="G825" s="0" t="str">
        <f aca="false">IF(TRIM(AN825)="","Unknown",PROPER(TRIM(AN825)))</f>
        <v>West</v>
      </c>
      <c r="H825" s="0" t="str">
        <f aca="false">PROPER(TRIM(AO825))</f>
        <v>Goa</v>
      </c>
      <c r="I825" s="0" t="str">
        <f aca="false">PROPER(TRIM(AP825))</f>
        <v>Panaji</v>
      </c>
      <c r="J825" s="0" t="str">
        <f aca="false">PROPER(TRIM(AQ825))</f>
        <v>Office Supplies</v>
      </c>
      <c r="K825" s="0" t="str">
        <f aca="false">PROPER(TRIM(AR825))</f>
        <v>Paper</v>
      </c>
      <c r="M825" s="0" t="str">
        <f aca="false">IF(TRIM(AS825)="","Unknown",PROPER(TRIM(AS825)))</f>
        <v>Same Day</v>
      </c>
      <c r="N825" s="0" t="n">
        <v>3</v>
      </c>
      <c r="O825" s="0" t="n">
        <v>668.33</v>
      </c>
      <c r="P825" s="5" t="n">
        <f aca="false">IF(AT825="","",IF(ISNUMBER(AT825),AT825,VALUE(SUBSTITUTE(AT825,"%",""))/100))</f>
        <v>0.15</v>
      </c>
      <c r="Q825" s="5" t="n">
        <f aca="false">IF(P825="",IF(AND(N825&lt;&gt;"",O825&lt;&gt;"",R825&lt;&gt;"",S825&lt;&gt;""),0,"REVIEW"),IF(OR(P825&lt;0,P825&gt;0.3),0,P825))</f>
        <v>0.15</v>
      </c>
      <c r="R825" s="0" t="n">
        <v>1704.24</v>
      </c>
      <c r="S825" s="0" t="n">
        <v>957.55</v>
      </c>
      <c r="T825" s="6" t="n">
        <f aca="false">N825*O825*(1-Q825)</f>
        <v>1704.2415</v>
      </c>
      <c r="U825" s="6" t="n">
        <f aca="false">T825-S825</f>
        <v>746.6915</v>
      </c>
      <c r="V825" s="7" t="n">
        <f aca="false">IF(T825=0,0,U825/T825)</f>
        <v>0.438137141948486</v>
      </c>
      <c r="W825" s="4" t="n">
        <f aca="false">C825-B825</f>
        <v>6</v>
      </c>
      <c r="X825" s="0" t="str">
        <f aca="false">TEXT(B825,"mmmm")</f>
        <v>January</v>
      </c>
      <c r="Y825" s="4" t="n">
        <f aca="false">YEAR(B825)</f>
        <v>2025</v>
      </c>
      <c r="Z825" s="0" t="str">
        <f aca="false">PROPER(TRIM(AU825))</f>
        <v>Paid</v>
      </c>
      <c r="AA825" s="0" t="str">
        <f aca="false">PROPER(TRIM(AV825))</f>
        <v>Completed</v>
      </c>
      <c r="AB825" s="0" t="str">
        <f aca="false">IF(TRIM(AN825)="","Yes","No")</f>
        <v>No</v>
      </c>
      <c r="AC825" s="0" t="str">
        <f aca="false">IF(TRIM(AS825)="","Yes","No")</f>
        <v>No</v>
      </c>
      <c r="AD825" s="0" t="str">
        <f aca="false">IF(AT825="","Yes","No")</f>
        <v>No</v>
      </c>
      <c r="AE825" s="0" t="str">
        <f aca="false">IF(W825&lt;0,"Yes","No")</f>
        <v>No</v>
      </c>
      <c r="AF825" s="0" t="str">
        <f aca="false">IF(P825="","No",IF(OR(P825&lt;0,P825&gt;0.3),"Yes","No"))</f>
        <v>No</v>
      </c>
      <c r="AG825" s="4" t="s">
        <v>50</v>
      </c>
      <c r="AH825" s="0" t="str">
        <f aca="false">IF(AND(AA825="Completed",Z825="Paid"),"Yes","No")</f>
        <v>Yes</v>
      </c>
      <c r="AI825" s="0" t="str">
        <f aca="false">IF(OR(AE825="Yes",AF825="Yes",AG825="Yes"),"Invalid",IF(OR(AB825="Yes",AC825="Yes",AD825="Yes"),"Warning","Clean"))</f>
        <v>Clean</v>
      </c>
      <c r="AJ825" s="4" t="s">
        <v>3023</v>
      </c>
      <c r="AK825" s="4" t="s">
        <v>1788</v>
      </c>
      <c r="AL825" s="4" t="s">
        <v>67</v>
      </c>
      <c r="AM825" s="4" t="s">
        <v>134</v>
      </c>
      <c r="AN825" s="4" t="s">
        <v>97</v>
      </c>
      <c r="AO825" s="4" t="s">
        <v>250</v>
      </c>
      <c r="AP825" s="4" t="s">
        <v>251</v>
      </c>
      <c r="AQ825" s="4" t="s">
        <v>58</v>
      </c>
      <c r="AR825" s="4" t="s">
        <v>59</v>
      </c>
      <c r="AS825" s="4" t="s">
        <v>74</v>
      </c>
      <c r="AT825" s="0" t="n">
        <v>0.15</v>
      </c>
      <c r="AU825" s="4" t="s">
        <v>61</v>
      </c>
      <c r="AV825" s="4" t="s">
        <v>62</v>
      </c>
    </row>
    <row r="826" customFormat="false" ht="15" hidden="false" customHeight="false" outlineLevel="0" collapsed="false">
      <c r="A826" s="0" t="s">
        <v>3024</v>
      </c>
      <c r="B826" s="3" t="n">
        <f aca="false">IF(AJ826="","",IF(ISNUMBER(SEARCH("/",AJ826)),DATE(VALUE(RIGHT(AJ826,4)),VALUE(LEFT(AJ826,2)),VALUE(MID(AJ826,4,2))),IF(ISNUMBER(SEARCH("-",AJ826)),IF(LEN(LEFT(AJ826,FIND("-",AJ826)-1))=4,DATE(VALUE(LEFT(AJ826,4)),VALUE(MID(AJ826,6,2)),VALUE(RIGHT(AJ826,2))),DATE(VALUE(RIGHT(AJ826,4)),VALUE(MID(AJ826,4,2)),VALUE(LEFT(AJ826,2)))),DATE(VALUE(RIGHT(AJ826,4)),MATCH(MID(AJ826,4,3),{"Jan","Feb","Mar","Apr","May","Jun","Jul","Aug","Sep","Oct","Nov","Dec"},0),VALUE(LEFT(AJ826,2))))))</f>
        <v>45737</v>
      </c>
      <c r="C826" s="3" t="n">
        <f aca="false">IF(AK826="","",IF(ISNUMBER(SEARCH("/",AK826)),DATE(VALUE(RIGHT(AK826,4)),VALUE(LEFT(AK826,2)),VALUE(MID(AK826,4,2))),IF(ISNUMBER(SEARCH("-",AK826)),IF(LEN(LEFT(AK826,FIND("-",AK826)-1))=4,DATE(VALUE(LEFT(AK826,4)),VALUE(MID(AK826,6,2)),VALUE(RIGHT(AK826,2))),DATE(VALUE(RIGHT(AK826,4)),VALUE(MID(AK826,4,2)),VALUE(LEFT(AK826,2)))),DATE(VALUE(RIGHT(AK826,4)),MATCH(MID(AK826,4,3),{"Jan","Feb","Mar","Apr","May","Jun","Jul","Aug","Sep","Oct","Nov","Dec"},0),VALUE(LEFT(AK826,2))))))</f>
        <v>45738</v>
      </c>
      <c r="D826" s="4" t="s">
        <v>3025</v>
      </c>
      <c r="E826" s="0" t="str">
        <f aca="false">PROPER(TRIM(AL826))</f>
        <v>Priya Menon</v>
      </c>
      <c r="F826" s="0" t="str">
        <f aca="false">PROPER(TRIM(AM826))</f>
        <v>Consumer</v>
      </c>
      <c r="G826" s="0" t="str">
        <f aca="false">IF(TRIM(AN826)="","Unknown",PROPER(TRIM(AN826)))</f>
        <v>West</v>
      </c>
      <c r="H826" s="0" t="str">
        <f aca="false">PROPER(TRIM(AO826))</f>
        <v>Goa</v>
      </c>
      <c r="I826" s="0" t="str">
        <f aca="false">PROPER(TRIM(AP826))</f>
        <v>Panaji</v>
      </c>
      <c r="J826" s="0" t="str">
        <f aca="false">PROPER(TRIM(AQ826))</f>
        <v>Office Supplies</v>
      </c>
      <c r="K826" s="0" t="str">
        <f aca="false">PROPER(TRIM(AR826))</f>
        <v>Paper</v>
      </c>
      <c r="M826" s="0" t="str">
        <f aca="false">IF(TRIM(AS826)="","Unknown",PROPER(TRIM(AS826)))</f>
        <v>First Class</v>
      </c>
      <c r="N826" s="0" t="n">
        <v>8</v>
      </c>
      <c r="O826" s="0" t="n">
        <v>4436.74</v>
      </c>
      <c r="P826" s="5" t="n">
        <f aca="false">IF(AT826="","",IF(ISNUMBER(AT826),AT826,VALUE(SUBSTITUTE(AT826,"%",""))/100))</f>
        <v>0.05</v>
      </c>
      <c r="Q826" s="5" t="n">
        <f aca="false">IF(P826="",IF(AND(N826&lt;&gt;"",O826&lt;&gt;"",R826&lt;&gt;"",S826&lt;&gt;""),0,"REVIEW"),IF(OR(P826&lt;0,P826&gt;0.3),0,P826))</f>
        <v>0.05</v>
      </c>
      <c r="R826" s="0" t="n">
        <v>33719.22</v>
      </c>
      <c r="S826" s="0" t="n">
        <v>28924.43</v>
      </c>
      <c r="T826" s="6" t="n">
        <f aca="false">N826*O826*(1-Q826)</f>
        <v>33719.224</v>
      </c>
      <c r="U826" s="6" t="n">
        <f aca="false">T826-S826</f>
        <v>4794.79399999999</v>
      </c>
      <c r="V826" s="7" t="n">
        <f aca="false">IF(T826=0,0,U826/T826)</f>
        <v>0.142197637762957</v>
      </c>
      <c r="W826" s="4" t="n">
        <f aca="false">C826-B826</f>
        <v>1</v>
      </c>
      <c r="X826" s="0" t="str">
        <f aca="false">TEXT(B826,"mmmm")</f>
        <v>March</v>
      </c>
      <c r="Y826" s="4" t="n">
        <f aca="false">YEAR(B826)</f>
        <v>2025</v>
      </c>
      <c r="Z826" s="0" t="str">
        <f aca="false">PROPER(TRIM(AU826))</f>
        <v>Paid</v>
      </c>
      <c r="AA826" s="0" t="str">
        <f aca="false">PROPER(TRIM(AV826))</f>
        <v>Completed</v>
      </c>
      <c r="AB826" s="0" t="str">
        <f aca="false">IF(TRIM(AN826)="","Yes","No")</f>
        <v>No</v>
      </c>
      <c r="AC826" s="0" t="str">
        <f aca="false">IF(TRIM(AS826)="","Yes","No")</f>
        <v>No</v>
      </c>
      <c r="AD826" s="0" t="str">
        <f aca="false">IF(AT826="","Yes","No")</f>
        <v>No</v>
      </c>
      <c r="AE826" s="0" t="str">
        <f aca="false">IF(W826&lt;0,"Yes","No")</f>
        <v>No</v>
      </c>
      <c r="AF826" s="0" t="str">
        <f aca="false">IF(P826="","No",IF(OR(P826&lt;0,P826&gt;0.3),"Yes","No"))</f>
        <v>No</v>
      </c>
      <c r="AG826" s="4" t="s">
        <v>50</v>
      </c>
      <c r="AH826" s="0" t="str">
        <f aca="false">IF(AND(AA826="Completed",Z826="Paid"),"Yes","No")</f>
        <v>Yes</v>
      </c>
      <c r="AI826" s="0" t="str">
        <f aca="false">IF(OR(AE826="Yes",AF826="Yes",AG826="Yes"),"Invalid",IF(OR(AB826="Yes",AC826="Yes",AD826="Yes"),"Warning","Clean"))</f>
        <v>Clean</v>
      </c>
      <c r="AJ826" s="4" t="s">
        <v>3026</v>
      </c>
      <c r="AK826" s="4" t="s">
        <v>1737</v>
      </c>
      <c r="AL826" s="4" t="s">
        <v>158</v>
      </c>
      <c r="AM826" s="4" t="s">
        <v>54</v>
      </c>
      <c r="AN826" s="4" t="s">
        <v>97</v>
      </c>
      <c r="AO826" s="4" t="s">
        <v>250</v>
      </c>
      <c r="AP826" s="4" t="s">
        <v>251</v>
      </c>
      <c r="AQ826" s="4" t="s">
        <v>58</v>
      </c>
      <c r="AR826" s="4" t="s">
        <v>59</v>
      </c>
      <c r="AS826" s="4" t="s">
        <v>81</v>
      </c>
      <c r="AT826" s="0" t="n">
        <v>0.05</v>
      </c>
      <c r="AU826" s="4" t="s">
        <v>61</v>
      </c>
      <c r="AV826" s="4" t="s">
        <v>62</v>
      </c>
    </row>
    <row r="827" customFormat="false" ht="15" hidden="false" customHeight="false" outlineLevel="0" collapsed="false">
      <c r="A827" s="0" t="s">
        <v>3027</v>
      </c>
      <c r="B827" s="3" t="n">
        <f aca="false">IF(AJ827="","",IF(ISNUMBER(SEARCH("/",AJ827)),DATE(VALUE(RIGHT(AJ827,4)),VALUE(LEFT(AJ827,2)),VALUE(MID(AJ827,4,2))),IF(ISNUMBER(SEARCH("-",AJ827)),IF(LEN(LEFT(AJ827,FIND("-",AJ827)-1))=4,DATE(VALUE(LEFT(AJ827,4)),VALUE(MID(AJ827,6,2)),VALUE(RIGHT(AJ827,2))),DATE(VALUE(RIGHT(AJ827,4)),VALUE(MID(AJ827,4,2)),VALUE(LEFT(AJ827,2)))),DATE(VALUE(RIGHT(AJ827,4)),MATCH(MID(AJ827,4,3),{"Jan","Feb","Mar","Apr","May","Jun","Jul","Aug","Sep","Oct","Nov","Dec"},0),VALUE(LEFT(AJ827,2))))))</f>
        <v>45763</v>
      </c>
      <c r="C827" s="3" t="n">
        <f aca="false">IF(AK827="","",IF(ISNUMBER(SEARCH("/",AK827)),DATE(VALUE(RIGHT(AK827,4)),VALUE(LEFT(AK827,2)),VALUE(MID(AK827,4,2))),IF(ISNUMBER(SEARCH("-",AK827)),IF(LEN(LEFT(AK827,FIND("-",AK827)-1))=4,DATE(VALUE(LEFT(AK827,4)),VALUE(MID(AK827,6,2)),VALUE(RIGHT(AK827,2))),DATE(VALUE(RIGHT(AK827,4)),VALUE(MID(AK827,4,2)),VALUE(LEFT(AK827,2)))),DATE(VALUE(RIGHT(AK827,4)),MATCH(MID(AK827,4,3),{"Jan","Feb","Mar","Apr","May","Jun","Jul","Aug","Sep","Oct","Nov","Dec"},0),VALUE(LEFT(AK827,2))))))</f>
        <v>45764</v>
      </c>
      <c r="D827" s="4" t="s">
        <v>3028</v>
      </c>
      <c r="E827" s="0" t="str">
        <f aca="false">PROPER(TRIM(AL827))</f>
        <v>Vikram Iyer</v>
      </c>
      <c r="F827" s="0" t="str">
        <f aca="false">PROPER(TRIM(AM827))</f>
        <v>Small Business</v>
      </c>
      <c r="G827" s="0" t="str">
        <f aca="false">IF(TRIM(AN827)="","Unknown",PROPER(TRIM(AN827)))</f>
        <v>North</v>
      </c>
      <c r="H827" s="0" t="str">
        <f aca="false">PROPER(TRIM(AO827))</f>
        <v>Uttar Pradesh</v>
      </c>
      <c r="I827" s="0" t="str">
        <f aca="false">PROPER(TRIM(AP827))</f>
        <v>Noida</v>
      </c>
      <c r="J827" s="0" t="str">
        <f aca="false">PROPER(TRIM(AQ827))</f>
        <v>Technology</v>
      </c>
      <c r="K827" s="0" t="str">
        <f aca="false">PROPER(TRIM(AR827))</f>
        <v>Machines</v>
      </c>
      <c r="M827" s="0" t="str">
        <f aca="false">IF(TRIM(AS827)="","Unknown",PROPER(TRIM(AS827)))</f>
        <v>First Class</v>
      </c>
      <c r="N827" s="0" t="n">
        <v>1</v>
      </c>
      <c r="O827" s="0" t="n">
        <v>2720.17</v>
      </c>
      <c r="P827" s="5" t="n">
        <f aca="false">IF(AT827="","",IF(ISNUMBER(AT827),AT827,VALUE(SUBSTITUTE(AT827,"%",""))/100))</f>
        <v>0</v>
      </c>
      <c r="Q827" s="5" t="n">
        <f aca="false">IF(P827="",IF(AND(N827&lt;&gt;"",O827&lt;&gt;"",R827&lt;&gt;"",S827&lt;&gt;""),0,"REVIEW"),IF(OR(P827&lt;0,P827&gt;0.3),0,P827))</f>
        <v>0</v>
      </c>
      <c r="R827" s="0" t="n">
        <v>2720.17</v>
      </c>
      <c r="S827" s="0" t="n">
        <v>1834.23</v>
      </c>
      <c r="T827" s="6" t="n">
        <f aca="false">N827*O827*(1-Q827)</f>
        <v>2720.17</v>
      </c>
      <c r="U827" s="6" t="n">
        <f aca="false">T827-S827</f>
        <v>885.94</v>
      </c>
      <c r="V827" s="7" t="n">
        <f aca="false">IF(T827=0,0,U827/T827)</f>
        <v>0.32569287948915</v>
      </c>
      <c r="W827" s="4" t="n">
        <f aca="false">C827-B827</f>
        <v>1</v>
      </c>
      <c r="X827" s="0" t="str">
        <f aca="false">TEXT(B827,"mmmm")</f>
        <v>April</v>
      </c>
      <c r="Y827" s="4" t="n">
        <f aca="false">YEAR(B827)</f>
        <v>2025</v>
      </c>
      <c r="Z827" s="0" t="str">
        <f aca="false">PROPER(TRIM(AU827))</f>
        <v>Paid</v>
      </c>
      <c r="AA827" s="0" t="str">
        <f aca="false">PROPER(TRIM(AV827))</f>
        <v>Completed</v>
      </c>
      <c r="AB827" s="0" t="str">
        <f aca="false">IF(TRIM(AN827)="","Yes","No")</f>
        <v>No</v>
      </c>
      <c r="AC827" s="0" t="str">
        <f aca="false">IF(TRIM(AS827)="","Yes","No")</f>
        <v>No</v>
      </c>
      <c r="AD827" s="0" t="str">
        <f aca="false">IF(AT827="","Yes","No")</f>
        <v>No</v>
      </c>
      <c r="AE827" s="0" t="str">
        <f aca="false">IF(W827&lt;0,"Yes","No")</f>
        <v>No</v>
      </c>
      <c r="AF827" s="0" t="str">
        <f aca="false">IF(P827="","No",IF(OR(P827&lt;0,P827&gt;0.3),"Yes","No"))</f>
        <v>No</v>
      </c>
      <c r="AG827" s="4" t="s">
        <v>50</v>
      </c>
      <c r="AH827" s="0" t="str">
        <f aca="false">IF(AND(AA827="Completed",Z827="Paid"),"Yes","No")</f>
        <v>Yes</v>
      </c>
      <c r="AI827" s="0" t="str">
        <f aca="false">IF(OR(AE827="Yes",AF827="Yes",AG827="Yes"),"Invalid",IF(OR(AB827="Yes",AC827="Yes",AD827="Yes"),"Warning","Clean"))</f>
        <v>Clean</v>
      </c>
      <c r="AJ827" s="4" t="s">
        <v>3029</v>
      </c>
      <c r="AK827" s="4" t="s">
        <v>3030</v>
      </c>
      <c r="AL827" s="4" t="s">
        <v>106</v>
      </c>
      <c r="AM827" s="4" t="s">
        <v>68</v>
      </c>
      <c r="AN827" s="4" t="s">
        <v>168</v>
      </c>
      <c r="AO827" s="4" t="s">
        <v>186</v>
      </c>
      <c r="AP827" s="4" t="s">
        <v>187</v>
      </c>
      <c r="AQ827" s="4" t="s">
        <v>109</v>
      </c>
      <c r="AR827" s="4" t="s">
        <v>360</v>
      </c>
      <c r="AS827" s="4" t="s">
        <v>81</v>
      </c>
      <c r="AT827" s="0" t="n">
        <v>0</v>
      </c>
      <c r="AU827" s="4" t="s">
        <v>61</v>
      </c>
      <c r="AV827" s="4" t="s">
        <v>62</v>
      </c>
    </row>
    <row r="828" customFormat="false" ht="15" hidden="false" customHeight="false" outlineLevel="0" collapsed="false">
      <c r="A828" s="0" t="s">
        <v>3031</v>
      </c>
      <c r="B828" s="3" t="n">
        <f aca="false">IF(AJ828="","",IF(ISNUMBER(SEARCH("/",AJ828)),DATE(VALUE(RIGHT(AJ828,4)),VALUE(LEFT(AJ828,2)),VALUE(MID(AJ828,4,2))),IF(ISNUMBER(SEARCH("-",AJ828)),IF(LEN(LEFT(AJ828,FIND("-",AJ828)-1))=4,DATE(VALUE(LEFT(AJ828,4)),VALUE(MID(AJ828,6,2)),VALUE(RIGHT(AJ828,2))),DATE(VALUE(RIGHT(AJ828,4)),VALUE(MID(AJ828,4,2)),VALUE(LEFT(AJ828,2)))),DATE(VALUE(RIGHT(AJ828,4)),MATCH(MID(AJ828,4,3),{"Jan","Feb","Mar","Apr","May","Jun","Jul","Aug","Sep","Oct","Nov","Dec"},0),VALUE(LEFT(AJ828,2))))))</f>
        <v>45879</v>
      </c>
      <c r="C828" s="3" t="n">
        <f aca="false">IF(AK828="","",IF(ISNUMBER(SEARCH("/",AK828)),DATE(VALUE(RIGHT(AK828,4)),VALUE(LEFT(AK828,2)),VALUE(MID(AK828,4,2))),IF(ISNUMBER(SEARCH("-",AK828)),IF(LEN(LEFT(AK828,FIND("-",AK828)-1))=4,DATE(VALUE(LEFT(AK828,4)),VALUE(MID(AK828,6,2)),VALUE(RIGHT(AK828,2))),DATE(VALUE(RIGHT(AK828,4)),VALUE(MID(AK828,4,2)),VALUE(LEFT(AK828,2)))),DATE(VALUE(RIGHT(AK828,4)),MATCH(MID(AK828,4,3),{"Jan","Feb","Mar","Apr","May","Jun","Jul","Aug","Sep","Oct","Nov","Dec"},0),VALUE(LEFT(AK828,2))))))</f>
        <v>45883</v>
      </c>
      <c r="D828" s="4" t="s">
        <v>3032</v>
      </c>
      <c r="E828" s="0" t="str">
        <f aca="false">PROPER(TRIM(AL828))</f>
        <v>Aditi Sen</v>
      </c>
      <c r="F828" s="0" t="str">
        <f aca="false">PROPER(TRIM(AM828))</f>
        <v>Consumer</v>
      </c>
      <c r="G828" s="0" t="str">
        <f aca="false">IF(TRIM(AN828)="","Unknown",PROPER(TRIM(AN828)))</f>
        <v>West</v>
      </c>
      <c r="H828" s="0" t="str">
        <f aca="false">PROPER(TRIM(AO828))</f>
        <v>Rajasthan</v>
      </c>
      <c r="I828" s="0" t="str">
        <f aca="false">PROPER(TRIM(AP828))</f>
        <v>Udaipur</v>
      </c>
      <c r="J828" s="0" t="str">
        <f aca="false">PROPER(TRIM(AQ828))</f>
        <v>Technology</v>
      </c>
      <c r="K828" s="0" t="str">
        <f aca="false">PROPER(TRIM(AR828))</f>
        <v>Accessories</v>
      </c>
      <c r="M828" s="0" t="str">
        <f aca="false">IF(TRIM(AS828)="","Unknown",PROPER(TRIM(AS828)))</f>
        <v>Standard Class</v>
      </c>
      <c r="N828" s="0" t="n">
        <v>5</v>
      </c>
      <c r="O828" s="0" t="n">
        <v>2190.14</v>
      </c>
      <c r="P828" s="5" t="n">
        <f aca="false">IF(AT828="","",IF(ISNUMBER(AT828),AT828,VALUE(SUBSTITUTE(AT828,"%",""))/100))</f>
        <v>0.25</v>
      </c>
      <c r="Q828" s="5" t="n">
        <f aca="false">IF(P828="",IF(AND(N828&lt;&gt;"",O828&lt;&gt;"",R828&lt;&gt;"",S828&lt;&gt;""),0,"REVIEW"),IF(OR(P828&lt;0,P828&gt;0.3),0,P828))</f>
        <v>0.25</v>
      </c>
      <c r="R828" s="0" t="n">
        <v>8213.02</v>
      </c>
      <c r="S828" s="0" t="n">
        <v>5569.3</v>
      </c>
      <c r="T828" s="6" t="n">
        <f aca="false">N828*O828*(1-Q828)</f>
        <v>8213.025</v>
      </c>
      <c r="U828" s="6" t="n">
        <f aca="false">T828-S828</f>
        <v>2643.725</v>
      </c>
      <c r="V828" s="7" t="n">
        <f aca="false">IF(T828=0,0,U828/T828)</f>
        <v>0.321894186368603</v>
      </c>
      <c r="W828" s="4" t="n">
        <f aca="false">C828-B828</f>
        <v>4</v>
      </c>
      <c r="X828" s="0" t="str">
        <f aca="false">TEXT(B828,"mmmm")</f>
        <v>August</v>
      </c>
      <c r="Y828" s="4" t="n">
        <f aca="false">YEAR(B828)</f>
        <v>2025</v>
      </c>
      <c r="Z828" s="0" t="str">
        <f aca="false">PROPER(TRIM(AU828))</f>
        <v>Paid</v>
      </c>
      <c r="AA828" s="0" t="str">
        <f aca="false">PROPER(TRIM(AV828))</f>
        <v>Completed</v>
      </c>
      <c r="AB828" s="0" t="str">
        <f aca="false">IF(TRIM(AN828)="","Yes","No")</f>
        <v>No</v>
      </c>
      <c r="AC828" s="0" t="str">
        <f aca="false">IF(TRIM(AS828)="","Yes","No")</f>
        <v>No</v>
      </c>
      <c r="AD828" s="0" t="str">
        <f aca="false">IF(AT828="","Yes","No")</f>
        <v>No</v>
      </c>
      <c r="AE828" s="0" t="str">
        <f aca="false">IF(W828&lt;0,"Yes","No")</f>
        <v>No</v>
      </c>
      <c r="AF828" s="0" t="str">
        <f aca="false">IF(P828="","No",IF(OR(P828&lt;0,P828&gt;0.3),"Yes","No"))</f>
        <v>No</v>
      </c>
      <c r="AG828" s="4" t="s">
        <v>50</v>
      </c>
      <c r="AH828" s="0" t="str">
        <f aca="false">IF(AND(AA828="Completed",Z828="Paid"),"Yes","No")</f>
        <v>Yes</v>
      </c>
      <c r="AI828" s="0" t="str">
        <f aca="false">IF(OR(AE828="Yes",AF828="Yes",AG828="Yes"),"Invalid",IF(OR(AB828="Yes",AC828="Yes",AD828="Yes"),"Warning","Clean"))</f>
        <v>Clean</v>
      </c>
      <c r="AJ828" s="4" t="s">
        <v>2505</v>
      </c>
      <c r="AK828" s="4" t="s">
        <v>3033</v>
      </c>
      <c r="AL828" s="4" t="s">
        <v>127</v>
      </c>
      <c r="AM828" s="4" t="s">
        <v>54</v>
      </c>
      <c r="AN828" s="4" t="s">
        <v>97</v>
      </c>
      <c r="AO828" s="4" t="s">
        <v>56</v>
      </c>
      <c r="AP828" s="4" t="s">
        <v>152</v>
      </c>
      <c r="AQ828" s="4" t="s">
        <v>109</v>
      </c>
      <c r="AR828" s="4" t="s">
        <v>110</v>
      </c>
      <c r="AS828" s="4" t="s">
        <v>91</v>
      </c>
      <c r="AT828" s="0" t="n">
        <v>0.25</v>
      </c>
      <c r="AU828" s="4" t="s">
        <v>61</v>
      </c>
      <c r="AV828" s="4" t="s">
        <v>62</v>
      </c>
    </row>
    <row r="829" customFormat="false" ht="15" hidden="false" customHeight="false" outlineLevel="0" collapsed="false">
      <c r="A829" s="0" t="s">
        <v>3034</v>
      </c>
      <c r="B829" s="3" t="n">
        <f aca="false">IF(AJ829="","",IF(ISNUMBER(SEARCH("/",AJ829)),DATE(VALUE(RIGHT(AJ829,4)),VALUE(LEFT(AJ829,2)),VALUE(MID(AJ829,4,2))),IF(ISNUMBER(SEARCH("-",AJ829)),IF(LEN(LEFT(AJ829,FIND("-",AJ829)-1))=4,DATE(VALUE(LEFT(AJ829,4)),VALUE(MID(AJ829,6,2)),VALUE(RIGHT(AJ829,2))),DATE(VALUE(RIGHT(AJ829,4)),VALUE(MID(AJ829,4,2)),VALUE(LEFT(AJ829,2)))),DATE(VALUE(RIGHT(AJ829,4)),MATCH(MID(AJ829,4,3),{"Jan","Feb","Mar","Apr","May","Jun","Jul","Aug","Sep","Oct","Nov","Dec"},0),VALUE(LEFT(AJ829,2))))))</f>
        <v>45620</v>
      </c>
      <c r="C829" s="3" t="n">
        <f aca="false">IF(AK829="","",IF(ISNUMBER(SEARCH("/",AK829)),DATE(VALUE(RIGHT(AK829,4)),VALUE(LEFT(AK829,2)),VALUE(MID(AK829,4,2))),IF(ISNUMBER(SEARCH("-",AK829)),IF(LEN(LEFT(AK829,FIND("-",AK829)-1))=4,DATE(VALUE(LEFT(AK829,4)),VALUE(MID(AK829,6,2)),VALUE(RIGHT(AK829,2))),DATE(VALUE(RIGHT(AK829,4)),VALUE(MID(AK829,4,2)),VALUE(LEFT(AK829,2)))),DATE(VALUE(RIGHT(AK829,4)),MATCH(MID(AK829,4,3),{"Jan","Feb","Mar","Apr","May","Jun","Jul","Aug","Sep","Oct","Nov","Dec"},0),VALUE(LEFT(AK829,2))))))</f>
        <v>45627</v>
      </c>
      <c r="D829" s="4" t="s">
        <v>3035</v>
      </c>
      <c r="E829" s="0" t="str">
        <f aca="false">PROPER(TRIM(AL829))</f>
        <v>Priya Menon</v>
      </c>
      <c r="F829" s="0" t="str">
        <f aca="false">PROPER(TRIM(AM829))</f>
        <v>Home Office</v>
      </c>
      <c r="G829" s="0" t="str">
        <f aca="false">IF(TRIM(AN829)="","Unknown",PROPER(TRIM(AN829)))</f>
        <v>South</v>
      </c>
      <c r="H829" s="0" t="str">
        <f aca="false">PROPER(TRIM(AO829))</f>
        <v>Tamil Nadu</v>
      </c>
      <c r="I829" s="0" t="str">
        <f aca="false">PROPER(TRIM(AP829))</f>
        <v>Chennai</v>
      </c>
      <c r="J829" s="0" t="str">
        <f aca="false">PROPER(TRIM(AQ829))</f>
        <v>Office Supplies</v>
      </c>
      <c r="K829" s="0" t="str">
        <f aca="false">PROPER(TRIM(AR829))</f>
        <v>Paper</v>
      </c>
      <c r="M829" s="0" t="str">
        <f aca="false">IF(TRIM(AS829)="","Unknown",PROPER(TRIM(AS829)))</f>
        <v>Same Day</v>
      </c>
      <c r="N829" s="0" t="n">
        <v>1</v>
      </c>
      <c r="O829" s="0" t="n">
        <v>844.89</v>
      </c>
      <c r="P829" s="5" t="n">
        <f aca="false">IF(AT829="","",IF(ISNUMBER(AT829),AT829,VALUE(SUBSTITUTE(AT829,"%",""))/100))</f>
        <v>0.25</v>
      </c>
      <c r="Q829" s="5" t="n">
        <f aca="false">IF(P829="",IF(AND(N829&lt;&gt;"",O829&lt;&gt;"",R829&lt;&gt;"",S829&lt;&gt;""),0,"REVIEW"),IF(OR(P829&lt;0,P829&gt;0.3),0,P829))</f>
        <v>0.25</v>
      </c>
      <c r="R829" s="0" t="n">
        <v>633.67</v>
      </c>
      <c r="S829" s="0" t="n">
        <v>520.47</v>
      </c>
      <c r="T829" s="6" t="n">
        <f aca="false">N829*O829*(1-Q829)</f>
        <v>633.6675</v>
      </c>
      <c r="U829" s="6" t="n">
        <f aca="false">T829-S829</f>
        <v>113.1975</v>
      </c>
      <c r="V829" s="7" t="n">
        <f aca="false">IF(T829=0,0,U829/T829)</f>
        <v>0.178638639349501</v>
      </c>
      <c r="W829" s="4" t="n">
        <f aca="false">C829-B829</f>
        <v>7</v>
      </c>
      <c r="X829" s="0" t="str">
        <f aca="false">TEXT(B829,"mmmm")</f>
        <v>November</v>
      </c>
      <c r="Y829" s="4" t="n">
        <f aca="false">YEAR(B829)</f>
        <v>2024</v>
      </c>
      <c r="Z829" s="0" t="str">
        <f aca="false">PROPER(TRIM(AU829))</f>
        <v>Paid</v>
      </c>
      <c r="AA829" s="0" t="str">
        <f aca="false">PROPER(TRIM(AV829))</f>
        <v>Cancelled</v>
      </c>
      <c r="AB829" s="0" t="str">
        <f aca="false">IF(TRIM(AN829)="","Yes","No")</f>
        <v>No</v>
      </c>
      <c r="AC829" s="0" t="str">
        <f aca="false">IF(TRIM(AS829)="","Yes","No")</f>
        <v>No</v>
      </c>
      <c r="AD829" s="0" t="str">
        <f aca="false">IF(AT829="","Yes","No")</f>
        <v>No</v>
      </c>
      <c r="AE829" s="0" t="str">
        <f aca="false">IF(W829&lt;0,"Yes","No")</f>
        <v>No</v>
      </c>
      <c r="AF829" s="0" t="str">
        <f aca="false">IF(P829="","No",IF(OR(P829&lt;0,P829&gt;0.3),"Yes","No"))</f>
        <v>No</v>
      </c>
      <c r="AG829" s="4" t="s">
        <v>50</v>
      </c>
      <c r="AH829" s="0" t="str">
        <f aca="false">IF(AND(AA829="Completed",Z829="Paid"),"Yes","No")</f>
        <v>No</v>
      </c>
      <c r="AI829" s="0" t="str">
        <f aca="false">IF(OR(AE829="Yes",AF829="Yes",AG829="Yes"),"Invalid",IF(OR(AB829="Yes",AC829="Yes",AD829="Yes"),"Warning","Clean"))</f>
        <v>Clean</v>
      </c>
      <c r="AJ829" s="4" t="s">
        <v>3036</v>
      </c>
      <c r="AK829" s="4" t="s">
        <v>1452</v>
      </c>
      <c r="AL829" s="4" t="s">
        <v>158</v>
      </c>
      <c r="AM829" s="4" t="s">
        <v>134</v>
      </c>
      <c r="AN829" s="4" t="s">
        <v>87</v>
      </c>
      <c r="AO829" s="4" t="s">
        <v>323</v>
      </c>
      <c r="AP829" s="4" t="s">
        <v>324</v>
      </c>
      <c r="AQ829" s="4" t="s">
        <v>58</v>
      </c>
      <c r="AR829" s="4" t="s">
        <v>59</v>
      </c>
      <c r="AS829" s="4" t="s">
        <v>74</v>
      </c>
      <c r="AT829" s="0" t="n">
        <v>0.25</v>
      </c>
      <c r="AU829" s="4" t="s">
        <v>61</v>
      </c>
      <c r="AV829" s="4" t="s">
        <v>101</v>
      </c>
    </row>
    <row r="830" customFormat="false" ht="15" hidden="false" customHeight="false" outlineLevel="0" collapsed="false">
      <c r="A830" s="0" t="s">
        <v>3037</v>
      </c>
      <c r="B830" s="3" t="n">
        <f aca="false">IF(AJ830="","",IF(ISNUMBER(SEARCH("/",AJ830)),DATE(VALUE(RIGHT(AJ830,4)),VALUE(LEFT(AJ830,2)),VALUE(MID(AJ830,4,2))),IF(ISNUMBER(SEARCH("-",AJ830)),IF(LEN(LEFT(AJ830,FIND("-",AJ830)-1))=4,DATE(VALUE(LEFT(AJ830,4)),VALUE(MID(AJ830,6,2)),VALUE(RIGHT(AJ830,2))),DATE(VALUE(RIGHT(AJ830,4)),VALUE(MID(AJ830,4,2)),VALUE(LEFT(AJ830,2)))),DATE(VALUE(RIGHT(AJ830,4)),MATCH(MID(AJ830,4,3),{"Jan","Feb","Mar","Apr","May","Jun","Jul","Aug","Sep","Oct","Nov","Dec"},0),VALUE(LEFT(AJ830,2))))))</f>
        <v>45940</v>
      </c>
      <c r="C830" s="3" t="n">
        <f aca="false">IF(AK830="","",IF(ISNUMBER(SEARCH("/",AK830)),DATE(VALUE(RIGHT(AK830,4)),VALUE(LEFT(AK830,2)),VALUE(MID(AK830,4,2))),IF(ISNUMBER(SEARCH("-",AK830)),IF(LEN(LEFT(AK830,FIND("-",AK830)-1))=4,DATE(VALUE(LEFT(AK830,4)),VALUE(MID(AK830,6,2)),VALUE(RIGHT(AK830,2))),DATE(VALUE(RIGHT(AK830,4)),VALUE(MID(AK830,4,2)),VALUE(LEFT(AK830,2)))),DATE(VALUE(RIGHT(AK830,4)),MATCH(MID(AK830,4,3),{"Jan","Feb","Mar","Apr","May","Jun","Jul","Aug","Sep","Oct","Nov","Dec"},0),VALUE(LEFT(AK830,2))))))</f>
        <v>45941</v>
      </c>
      <c r="D830" s="4" t="s">
        <v>3038</v>
      </c>
      <c r="E830" s="0" t="str">
        <f aca="false">PROPER(TRIM(AL830))</f>
        <v>Karan Malhotra</v>
      </c>
      <c r="F830" s="0" t="str">
        <f aca="false">PROPER(TRIM(AM830))</f>
        <v>Corporate</v>
      </c>
      <c r="G830" s="0" t="str">
        <f aca="false">IF(TRIM(AN830)="","Unknown",PROPER(TRIM(AN830)))</f>
        <v>East</v>
      </c>
      <c r="H830" s="0" t="str">
        <f aca="false">PROPER(TRIM(AO830))</f>
        <v>Odisha</v>
      </c>
      <c r="I830" s="0" t="str">
        <f aca="false">PROPER(TRIM(AP830))</f>
        <v>Bhubaneswar</v>
      </c>
      <c r="J830" s="0" t="str">
        <f aca="false">PROPER(TRIM(AQ830))</f>
        <v>Furniture</v>
      </c>
      <c r="K830" s="0" t="str">
        <f aca="false">PROPER(TRIM(AR830))</f>
        <v>Chairs</v>
      </c>
      <c r="M830" s="0" t="str">
        <f aca="false">IF(TRIM(AS830)="","Unknown",PROPER(TRIM(AS830)))</f>
        <v>Second Class</v>
      </c>
      <c r="N830" s="0" t="n">
        <v>7</v>
      </c>
      <c r="O830" s="0" t="n">
        <v>3791.96</v>
      </c>
      <c r="P830" s="5" t="n">
        <f aca="false">IF(AT830="","",IF(ISNUMBER(AT830),AT830,VALUE(SUBSTITUTE(AT830,"%",""))/100))</f>
        <v>0.05</v>
      </c>
      <c r="Q830" s="5" t="n">
        <f aca="false">IF(P830="",IF(AND(N830&lt;&gt;"",O830&lt;&gt;"",R830&lt;&gt;"",S830&lt;&gt;""),0,"REVIEW"),IF(OR(P830&lt;0,P830&gt;0.3),0,P830))</f>
        <v>0.05</v>
      </c>
      <c r="R830" s="0" t="n">
        <v>25216.53</v>
      </c>
      <c r="S830" s="0" t="n">
        <v>14216.94</v>
      </c>
      <c r="T830" s="6" t="n">
        <f aca="false">N830*O830*(1-Q830)</f>
        <v>25216.534</v>
      </c>
      <c r="U830" s="6" t="n">
        <f aca="false">T830-S830</f>
        <v>10999.594</v>
      </c>
      <c r="V830" s="7" t="n">
        <f aca="false">IF(T830=0,0,U830/T830)</f>
        <v>0.436205626038852</v>
      </c>
      <c r="W830" s="4" t="n">
        <f aca="false">C830-B830</f>
        <v>1</v>
      </c>
      <c r="X830" s="0" t="str">
        <f aca="false">TEXT(B830,"mmmm")</f>
        <v>October</v>
      </c>
      <c r="Y830" s="4" t="n">
        <f aca="false">YEAR(B830)</f>
        <v>2025</v>
      </c>
      <c r="Z830" s="0" t="str">
        <f aca="false">PROPER(TRIM(AU830))</f>
        <v>Failed</v>
      </c>
      <c r="AA830" s="0" t="str">
        <f aca="false">PROPER(TRIM(AV830))</f>
        <v>Cancelled</v>
      </c>
      <c r="AB830" s="0" t="str">
        <f aca="false">IF(TRIM(AN830)="","Yes","No")</f>
        <v>No</v>
      </c>
      <c r="AC830" s="0" t="str">
        <f aca="false">IF(TRIM(AS830)="","Yes","No")</f>
        <v>No</v>
      </c>
      <c r="AD830" s="0" t="str">
        <f aca="false">IF(AT830="","Yes","No")</f>
        <v>No</v>
      </c>
      <c r="AE830" s="0" t="str">
        <f aca="false">IF(W830&lt;0,"Yes","No")</f>
        <v>No</v>
      </c>
      <c r="AF830" s="0" t="str">
        <f aca="false">IF(P830="","No",IF(OR(P830&lt;0,P830&gt;0.3),"Yes","No"))</f>
        <v>No</v>
      </c>
      <c r="AG830" s="4" t="s">
        <v>50</v>
      </c>
      <c r="AH830" s="0" t="str">
        <f aca="false">IF(AND(AA830="Completed",Z830="Paid"),"Yes","No")</f>
        <v>No</v>
      </c>
      <c r="AI830" s="0" t="str">
        <f aca="false">IF(OR(AE830="Yes",AF830="Yes",AG830="Yes"),"Invalid",IF(OR(AB830="Yes",AC830="Yes",AD830="Yes"),"Warning","Clean"))</f>
        <v>Clean</v>
      </c>
      <c r="AJ830" s="4" t="s">
        <v>3039</v>
      </c>
      <c r="AK830" s="4" t="s">
        <v>3040</v>
      </c>
      <c r="AL830" s="4" t="s">
        <v>3041</v>
      </c>
      <c r="AM830" s="4" t="s">
        <v>128</v>
      </c>
      <c r="AN830" s="4" t="s">
        <v>69</v>
      </c>
      <c r="AO830" s="4" t="s">
        <v>70</v>
      </c>
      <c r="AP830" s="4" t="s">
        <v>71</v>
      </c>
      <c r="AQ830" s="4" t="s">
        <v>72</v>
      </c>
      <c r="AR830" s="4" t="s">
        <v>100</v>
      </c>
      <c r="AS830" s="4" t="s">
        <v>60</v>
      </c>
      <c r="AT830" s="0" t="n">
        <v>0.05</v>
      </c>
      <c r="AU830" s="4" t="s">
        <v>207</v>
      </c>
      <c r="AV830" s="4" t="s">
        <v>101</v>
      </c>
    </row>
    <row r="831" customFormat="false" ht="15" hidden="false" customHeight="false" outlineLevel="0" collapsed="false">
      <c r="A831" s="0" t="s">
        <v>3042</v>
      </c>
      <c r="B831" s="3" t="n">
        <f aca="false">IF(AJ831="","",IF(ISNUMBER(SEARCH("/",AJ831)),DATE(VALUE(RIGHT(AJ831,4)),VALUE(LEFT(AJ831,2)),VALUE(MID(AJ831,4,2))),IF(ISNUMBER(SEARCH("-",AJ831)),IF(LEN(LEFT(AJ831,FIND("-",AJ831)-1))=4,DATE(VALUE(LEFT(AJ831,4)),VALUE(MID(AJ831,6,2)),VALUE(RIGHT(AJ831,2))),DATE(VALUE(RIGHT(AJ831,4)),VALUE(MID(AJ831,4,2)),VALUE(LEFT(AJ831,2)))),DATE(VALUE(RIGHT(AJ831,4)),MATCH(MID(AJ831,4,3),{"Jan","Feb","Mar","Apr","May","Jun","Jul","Aug","Sep","Oct","Nov","Dec"},0),VALUE(LEFT(AJ831,2))))))</f>
        <v>45348</v>
      </c>
      <c r="C831" s="3" t="n">
        <f aca="false">IF(AK831="","",IF(ISNUMBER(SEARCH("/",AK831)),DATE(VALUE(RIGHT(AK831,4)),VALUE(LEFT(AK831,2)),VALUE(MID(AK831,4,2))),IF(ISNUMBER(SEARCH("-",AK831)),IF(LEN(LEFT(AK831,FIND("-",AK831)-1))=4,DATE(VALUE(LEFT(AK831,4)),VALUE(MID(AK831,6,2)),VALUE(RIGHT(AK831,2))),DATE(VALUE(RIGHT(AK831,4)),VALUE(MID(AK831,4,2)),VALUE(LEFT(AK831,2)))),DATE(VALUE(RIGHT(AK831,4)),MATCH(MID(AK831,4,3),{"Jan","Feb","Mar","Apr","May","Jun","Jul","Aug","Sep","Oct","Nov","Dec"},0),VALUE(LEFT(AK831,2))))))</f>
        <v>45350</v>
      </c>
      <c r="D831" s="4" t="s">
        <v>3043</v>
      </c>
      <c r="E831" s="0" t="str">
        <f aca="false">PROPER(TRIM(AL831))</f>
        <v>Aditi Sen</v>
      </c>
      <c r="F831" s="0" t="str">
        <f aca="false">PROPER(TRIM(AM831))</f>
        <v>Small Business</v>
      </c>
      <c r="G831" s="0" t="str">
        <f aca="false">IF(TRIM(AN831)="","Unknown",PROPER(TRIM(AN831)))</f>
        <v>West</v>
      </c>
      <c r="H831" s="0" t="str">
        <f aca="false">PROPER(TRIM(AO831))</f>
        <v>Goa</v>
      </c>
      <c r="I831" s="0" t="str">
        <f aca="false">PROPER(TRIM(AP831))</f>
        <v>Panaji</v>
      </c>
      <c r="J831" s="0" t="str">
        <f aca="false">PROPER(TRIM(AQ831))</f>
        <v>Furniture</v>
      </c>
      <c r="K831" s="0" t="str">
        <f aca="false">PROPER(TRIM(AR831))</f>
        <v>Furnishings</v>
      </c>
      <c r="M831" s="0" t="str">
        <f aca="false">IF(TRIM(AS831)="","Unknown",PROPER(TRIM(AS831)))</f>
        <v>Second Class</v>
      </c>
      <c r="N831" s="0" t="n">
        <v>7</v>
      </c>
      <c r="O831" s="0" t="n">
        <v>1035.14</v>
      </c>
      <c r="P831" s="5" t="n">
        <f aca="false">IF(AT831="","",IF(ISNUMBER(AT831),AT831,VALUE(SUBSTITUTE(AT831,"%",""))/100))</f>
        <v>0.1</v>
      </c>
      <c r="Q831" s="5" t="n">
        <f aca="false">IF(P831="",IF(AND(N831&lt;&gt;"",O831&lt;&gt;"",R831&lt;&gt;"",S831&lt;&gt;""),0,"REVIEW"),IF(OR(P831&lt;0,P831&gt;0.3),0,P831))</f>
        <v>0.1</v>
      </c>
      <c r="R831" s="0" t="n">
        <v>6521.38</v>
      </c>
      <c r="S831" s="0" t="n">
        <v>4511.1</v>
      </c>
      <c r="T831" s="6" t="n">
        <f aca="false">N831*O831*(1-Q831)</f>
        <v>6521.382</v>
      </c>
      <c r="U831" s="6" t="n">
        <f aca="false">T831-S831</f>
        <v>2010.282</v>
      </c>
      <c r="V831" s="7" t="n">
        <f aca="false">IF(T831=0,0,U831/T831)</f>
        <v>0.308260120324189</v>
      </c>
      <c r="W831" s="4" t="n">
        <f aca="false">C831-B831</f>
        <v>2</v>
      </c>
      <c r="X831" s="0" t="str">
        <f aca="false">TEXT(B831,"mmmm")</f>
        <v>February</v>
      </c>
      <c r="Y831" s="4" t="n">
        <f aca="false">YEAR(B831)</f>
        <v>2024</v>
      </c>
      <c r="Z831" s="0" t="str">
        <f aca="false">PROPER(TRIM(AU831))</f>
        <v>Paid</v>
      </c>
      <c r="AA831" s="0" t="str">
        <f aca="false">PROPER(TRIM(AV831))</f>
        <v>Completed</v>
      </c>
      <c r="AB831" s="0" t="str">
        <f aca="false">IF(TRIM(AN831)="","Yes","No")</f>
        <v>No</v>
      </c>
      <c r="AC831" s="0" t="str">
        <f aca="false">IF(TRIM(AS831)="","Yes","No")</f>
        <v>No</v>
      </c>
      <c r="AD831" s="0" t="str">
        <f aca="false">IF(AT831="","Yes","No")</f>
        <v>No</v>
      </c>
      <c r="AE831" s="0" t="str">
        <f aca="false">IF(W831&lt;0,"Yes","No")</f>
        <v>No</v>
      </c>
      <c r="AF831" s="0" t="str">
        <f aca="false">IF(P831="","No",IF(OR(P831&lt;0,P831&gt;0.3),"Yes","No"))</f>
        <v>No</v>
      </c>
      <c r="AG831" s="4" t="s">
        <v>50</v>
      </c>
      <c r="AH831" s="0" t="str">
        <f aca="false">IF(AND(AA831="Completed",Z831="Paid"),"Yes","No")</f>
        <v>Yes</v>
      </c>
      <c r="AI831" s="0" t="str">
        <f aca="false">IF(OR(AE831="Yes",AF831="Yes",AG831="Yes"),"Invalid",IF(OR(AB831="Yes",AC831="Yes",AD831="Yes"),"Warning","Clean"))</f>
        <v>Clean</v>
      </c>
      <c r="AJ831" s="4" t="s">
        <v>3044</v>
      </c>
      <c r="AK831" s="4" t="s">
        <v>1236</v>
      </c>
      <c r="AL831" s="4" t="s">
        <v>127</v>
      </c>
      <c r="AM831" s="4" t="s">
        <v>68</v>
      </c>
      <c r="AN831" s="4" t="s">
        <v>97</v>
      </c>
      <c r="AO831" s="4" t="s">
        <v>250</v>
      </c>
      <c r="AP831" s="4" t="s">
        <v>251</v>
      </c>
      <c r="AQ831" s="4" t="s">
        <v>72</v>
      </c>
      <c r="AR831" s="4" t="s">
        <v>90</v>
      </c>
      <c r="AS831" s="4" t="s">
        <v>60</v>
      </c>
      <c r="AT831" s="0" t="n">
        <v>0.1</v>
      </c>
      <c r="AU831" s="4" t="s">
        <v>61</v>
      </c>
      <c r="AV831" s="4" t="s">
        <v>62</v>
      </c>
    </row>
    <row r="832" customFormat="false" ht="15" hidden="false" customHeight="false" outlineLevel="0" collapsed="false">
      <c r="A832" s="0" t="s">
        <v>3045</v>
      </c>
      <c r="B832" s="3" t="n">
        <f aca="false">IF(AJ832="","",IF(ISNUMBER(SEARCH("/",AJ832)),DATE(VALUE(RIGHT(AJ832,4)),VALUE(LEFT(AJ832,2)),VALUE(MID(AJ832,4,2))),IF(ISNUMBER(SEARCH("-",AJ832)),IF(LEN(LEFT(AJ832,FIND("-",AJ832)-1))=4,DATE(VALUE(LEFT(AJ832,4)),VALUE(MID(AJ832,6,2)),VALUE(RIGHT(AJ832,2))),DATE(VALUE(RIGHT(AJ832,4)),VALUE(MID(AJ832,4,2)),VALUE(LEFT(AJ832,2)))),DATE(VALUE(RIGHT(AJ832,4)),MATCH(MID(AJ832,4,3),{"Jan","Feb","Mar","Apr","May","Jun","Jul","Aug","Sep","Oct","Nov","Dec"},0),VALUE(LEFT(AJ832,2))))))</f>
        <v>45853</v>
      </c>
      <c r="C832" s="3" t="n">
        <f aca="false">IF(AK832="","",IF(ISNUMBER(SEARCH("/",AK832)),DATE(VALUE(RIGHT(AK832,4)),VALUE(LEFT(AK832,2)),VALUE(MID(AK832,4,2))),IF(ISNUMBER(SEARCH("-",AK832)),IF(LEN(LEFT(AK832,FIND("-",AK832)-1))=4,DATE(VALUE(LEFT(AK832,4)),VALUE(MID(AK832,6,2)),VALUE(RIGHT(AK832,2))),DATE(VALUE(RIGHT(AK832,4)),VALUE(MID(AK832,4,2)),VALUE(LEFT(AK832,2)))),DATE(VALUE(RIGHT(AK832,4)),MATCH(MID(AK832,4,3),{"Jan","Feb","Mar","Apr","May","Jun","Jul","Aug","Sep","Oct","Nov","Dec"},0),VALUE(LEFT(AK832,2))))))</f>
        <v>45856</v>
      </c>
      <c r="D832" s="4" t="s">
        <v>3046</v>
      </c>
      <c r="E832" s="0" t="str">
        <f aca="false">PROPER(TRIM(AL832))</f>
        <v>Aditi Sen</v>
      </c>
      <c r="F832" s="0" t="str">
        <f aca="false">PROPER(TRIM(AM832))</f>
        <v>Small Business</v>
      </c>
      <c r="G832" s="0" t="str">
        <f aca="false">IF(TRIM(AN832)="","Unknown",PROPER(TRIM(AN832)))</f>
        <v>Unknown</v>
      </c>
      <c r="H832" s="0" t="str">
        <f aca="false">PROPER(TRIM(AO832))</f>
        <v>Tamil Nadu</v>
      </c>
      <c r="I832" s="0" t="str">
        <f aca="false">PROPER(TRIM(AP832))</f>
        <v>Chennai</v>
      </c>
      <c r="J832" s="0" t="str">
        <f aca="false">PROPER(TRIM(AQ832))</f>
        <v>Technology</v>
      </c>
      <c r="K832" s="0" t="str">
        <f aca="false">PROPER(TRIM(AR832))</f>
        <v>Machines</v>
      </c>
      <c r="M832" s="0" t="str">
        <f aca="false">IF(TRIM(AS832)="","Unknown",PROPER(TRIM(AS832)))</f>
        <v>First Class</v>
      </c>
      <c r="N832" s="0" t="n">
        <v>6</v>
      </c>
      <c r="O832" s="0" t="n">
        <v>2382.88</v>
      </c>
      <c r="P832" s="5" t="n">
        <f aca="false">IF(AT832="","",IF(ISNUMBER(AT832),AT832,VALUE(SUBSTITUTE(AT832,"%",""))/100))</f>
        <v>0.1</v>
      </c>
      <c r="Q832" s="5" t="n">
        <f aca="false">IF(P832="",IF(AND(N832&lt;&gt;"",O832&lt;&gt;"",R832&lt;&gt;"",S832&lt;&gt;""),0,"REVIEW"),IF(OR(P832&lt;0,P832&gt;0.3),0,P832))</f>
        <v>0.1</v>
      </c>
      <c r="R832" s="0" t="n">
        <v>12867.55</v>
      </c>
      <c r="S832" s="0" t="n">
        <v>10068.94</v>
      </c>
      <c r="T832" s="6" t="n">
        <f aca="false">N832*O832*(1-Q832)</f>
        <v>12867.552</v>
      </c>
      <c r="U832" s="6" t="n">
        <f aca="false">T832-S832</f>
        <v>2798.612</v>
      </c>
      <c r="V832" s="7" t="n">
        <f aca="false">IF(T832=0,0,U832/T832)</f>
        <v>0.217493739290892</v>
      </c>
      <c r="W832" s="4" t="n">
        <f aca="false">C832-B832</f>
        <v>3</v>
      </c>
      <c r="X832" s="0" t="str">
        <f aca="false">TEXT(B832,"mmmm")</f>
        <v>July</v>
      </c>
      <c r="Y832" s="4" t="n">
        <f aca="false">YEAR(B832)</f>
        <v>2025</v>
      </c>
      <c r="Z832" s="0" t="str">
        <f aca="false">PROPER(TRIM(AU832))</f>
        <v>Paid</v>
      </c>
      <c r="AA832" s="0" t="str">
        <f aca="false">PROPER(TRIM(AV832))</f>
        <v>Completed</v>
      </c>
      <c r="AB832" s="0" t="str">
        <f aca="false">IF(TRIM(AN832)="","Yes","No")</f>
        <v>Yes</v>
      </c>
      <c r="AC832" s="0" t="str">
        <f aca="false">IF(TRIM(AS832)="","Yes","No")</f>
        <v>No</v>
      </c>
      <c r="AD832" s="0" t="str">
        <f aca="false">IF(AT832="","Yes","No")</f>
        <v>No</v>
      </c>
      <c r="AE832" s="0" t="str">
        <f aca="false">IF(W832&lt;0,"Yes","No")</f>
        <v>No</v>
      </c>
      <c r="AF832" s="0" t="str">
        <f aca="false">IF(P832="","No",IF(OR(P832&lt;0,P832&gt;0.3),"Yes","No"))</f>
        <v>No</v>
      </c>
      <c r="AG832" s="4" t="s">
        <v>50</v>
      </c>
      <c r="AH832" s="0" t="str">
        <f aca="false">IF(AND(AA832="Completed",Z832="Paid"),"Yes","No")</f>
        <v>Yes</v>
      </c>
      <c r="AI832" s="0" t="str">
        <f aca="false">IF(OR(AE832="Yes",AF832="Yes",AG832="Yes"),"Invalid",IF(OR(AB832="Yes",AC832="Yes",AD832="Yes"),"Warning","Clean"))</f>
        <v>Warning</v>
      </c>
      <c r="AJ832" s="4" t="s">
        <v>2355</v>
      </c>
      <c r="AK832" s="4" t="s">
        <v>637</v>
      </c>
      <c r="AL832" s="4" t="s">
        <v>127</v>
      </c>
      <c r="AM832" s="4" t="s">
        <v>68</v>
      </c>
      <c r="AO832" s="4" t="s">
        <v>323</v>
      </c>
      <c r="AP832" s="4" t="s">
        <v>324</v>
      </c>
      <c r="AQ832" s="4" t="s">
        <v>109</v>
      </c>
      <c r="AR832" s="4" t="s">
        <v>360</v>
      </c>
      <c r="AS832" s="4" t="s">
        <v>81</v>
      </c>
      <c r="AT832" s="0" t="n">
        <v>0.1</v>
      </c>
      <c r="AU832" s="4" t="s">
        <v>61</v>
      </c>
      <c r="AV832" s="4" t="s">
        <v>62</v>
      </c>
    </row>
    <row r="833" customFormat="false" ht="15" hidden="false" customHeight="false" outlineLevel="0" collapsed="false">
      <c r="A833" s="0" t="s">
        <v>3047</v>
      </c>
      <c r="B833" s="3" t="n">
        <f aca="false">IF(AJ833="","",IF(ISNUMBER(SEARCH("/",AJ833)),DATE(VALUE(RIGHT(AJ833,4)),VALUE(LEFT(AJ833,2)),VALUE(MID(AJ833,4,2))),IF(ISNUMBER(SEARCH("-",AJ833)),IF(LEN(LEFT(AJ833,FIND("-",AJ833)-1))=4,DATE(VALUE(LEFT(AJ833,4)),VALUE(MID(AJ833,6,2)),VALUE(RIGHT(AJ833,2))),DATE(VALUE(RIGHT(AJ833,4)),VALUE(MID(AJ833,4,2)),VALUE(LEFT(AJ833,2)))),DATE(VALUE(RIGHT(AJ833,4)),MATCH(MID(AJ833,4,3),{"Jan","Feb","Mar","Apr","May","Jun","Jul","Aug","Sep","Oct","Nov","Dec"},0),VALUE(LEFT(AJ833,2))))))</f>
        <v>45750</v>
      </c>
      <c r="C833" s="3" t="n">
        <f aca="false">IF(AK833="","",IF(ISNUMBER(SEARCH("/",AK833)),DATE(VALUE(RIGHT(AK833,4)),VALUE(LEFT(AK833,2)),VALUE(MID(AK833,4,2))),IF(ISNUMBER(SEARCH("-",AK833)),IF(LEN(LEFT(AK833,FIND("-",AK833)-1))=4,DATE(VALUE(LEFT(AK833,4)),VALUE(MID(AK833,6,2)),VALUE(RIGHT(AK833,2))),DATE(VALUE(RIGHT(AK833,4)),VALUE(MID(AK833,4,2)),VALUE(LEFT(AK833,2)))),DATE(VALUE(RIGHT(AK833,4)),MATCH(MID(AK833,4,3),{"Jan","Feb","Mar","Apr","May","Jun","Jul","Aug","Sep","Oct","Nov","Dec"},0),VALUE(LEFT(AK833,2))))))</f>
        <v>45750</v>
      </c>
      <c r="D833" s="4" t="s">
        <v>3048</v>
      </c>
      <c r="E833" s="0" t="str">
        <f aca="false">PROPER(TRIM(AL833))</f>
        <v>Diya Patel</v>
      </c>
      <c r="F833" s="0" t="str">
        <f aca="false">PROPER(TRIM(AM833))</f>
        <v>Home Office</v>
      </c>
      <c r="G833" s="0" t="str">
        <f aca="false">IF(TRIM(AN833)="","Unknown",PROPER(TRIM(AN833)))</f>
        <v>Unknown</v>
      </c>
      <c r="H833" s="0" t="str">
        <f aca="false">PROPER(TRIM(AO833))</f>
        <v>Haryana</v>
      </c>
      <c r="I833" s="0" t="str">
        <f aca="false">PROPER(TRIM(AP833))</f>
        <v>Gurugram</v>
      </c>
      <c r="J833" s="0" t="str">
        <f aca="false">PROPER(TRIM(AQ833))</f>
        <v>Furniture</v>
      </c>
      <c r="K833" s="0" t="str">
        <f aca="false">PROPER(TRIM(AR833))</f>
        <v>Chairs</v>
      </c>
      <c r="M833" s="0" t="str">
        <f aca="false">IF(TRIM(AS833)="","Unknown",PROPER(TRIM(AS833)))</f>
        <v>First Class</v>
      </c>
      <c r="N833" s="0" t="n">
        <v>9</v>
      </c>
      <c r="O833" s="0" t="n">
        <v>3462.7</v>
      </c>
      <c r="P833" s="5" t="n">
        <f aca="false">IF(AT833="","",IF(ISNUMBER(AT833),AT833,VALUE(SUBSTITUTE(AT833,"%",""))/100))</f>
        <v>0.15</v>
      </c>
      <c r="Q833" s="5" t="n">
        <f aca="false">IF(P833="",IF(AND(N833&lt;&gt;"",O833&lt;&gt;"",R833&lt;&gt;"",S833&lt;&gt;""),0,"REVIEW"),IF(OR(P833&lt;0,P833&gt;0.3),0,P833))</f>
        <v>0.15</v>
      </c>
      <c r="R833" s="0" t="n">
        <v>26489.65</v>
      </c>
      <c r="S833" s="0" t="n">
        <v>15818.46</v>
      </c>
      <c r="T833" s="6" t="n">
        <f aca="false">N833*O833*(1-Q833)</f>
        <v>26489.655</v>
      </c>
      <c r="U833" s="6" t="n">
        <f aca="false">T833-S833</f>
        <v>10671.195</v>
      </c>
      <c r="V833" s="7" t="n">
        <f aca="false">IF(T833=0,0,U833/T833)</f>
        <v>0.402843864897448</v>
      </c>
      <c r="W833" s="4" t="n">
        <f aca="false">C833-B833</f>
        <v>0</v>
      </c>
      <c r="X833" s="0" t="str">
        <f aca="false">TEXT(B833,"mmmm")</f>
        <v>April</v>
      </c>
      <c r="Y833" s="4" t="n">
        <f aca="false">YEAR(B833)</f>
        <v>2025</v>
      </c>
      <c r="Z833" s="0" t="str">
        <f aca="false">PROPER(TRIM(AU833))</f>
        <v>Failed</v>
      </c>
      <c r="AA833" s="0" t="str">
        <f aca="false">PROPER(TRIM(AV833))</f>
        <v>Returned</v>
      </c>
      <c r="AB833" s="0" t="str">
        <f aca="false">IF(TRIM(AN833)="","Yes","No")</f>
        <v>Yes</v>
      </c>
      <c r="AC833" s="0" t="str">
        <f aca="false">IF(TRIM(AS833)="","Yes","No")</f>
        <v>No</v>
      </c>
      <c r="AD833" s="0" t="str">
        <f aca="false">IF(AT833="","Yes","No")</f>
        <v>No</v>
      </c>
      <c r="AE833" s="0" t="str">
        <f aca="false">IF(W833&lt;0,"Yes","No")</f>
        <v>No</v>
      </c>
      <c r="AF833" s="0" t="str">
        <f aca="false">IF(P833="","No",IF(OR(P833&lt;0,P833&gt;0.3),"Yes","No"))</f>
        <v>No</v>
      </c>
      <c r="AG833" s="4" t="s">
        <v>50</v>
      </c>
      <c r="AH833" s="0" t="str">
        <f aca="false">IF(AND(AA833="Completed",Z833="Paid"),"Yes","No")</f>
        <v>No</v>
      </c>
      <c r="AI833" s="0" t="str">
        <f aca="false">IF(OR(AE833="Yes",AF833="Yes",AG833="Yes"),"Invalid",IF(OR(AB833="Yes",AC833="Yes",AD833="Yes"),"Warning","Clean"))</f>
        <v>Warning</v>
      </c>
      <c r="AJ833" s="4" t="s">
        <v>431</v>
      </c>
      <c r="AK833" s="4" t="s">
        <v>2622</v>
      </c>
      <c r="AL833" s="4" t="s">
        <v>216</v>
      </c>
      <c r="AM833" s="4" t="s">
        <v>134</v>
      </c>
      <c r="AO833" s="4" t="s">
        <v>310</v>
      </c>
      <c r="AP833" s="4" t="s">
        <v>311</v>
      </c>
      <c r="AQ833" s="4" t="s">
        <v>72</v>
      </c>
      <c r="AR833" s="4" t="s">
        <v>100</v>
      </c>
      <c r="AS833" s="4" t="s">
        <v>81</v>
      </c>
      <c r="AT833" s="0" t="n">
        <v>0.15</v>
      </c>
      <c r="AU833" s="4" t="s">
        <v>207</v>
      </c>
      <c r="AV833" s="4" t="s">
        <v>142</v>
      </c>
    </row>
    <row r="834" customFormat="false" ht="15" hidden="false" customHeight="false" outlineLevel="0" collapsed="false">
      <c r="A834" s="0" t="s">
        <v>3049</v>
      </c>
      <c r="B834" s="3" t="n">
        <f aca="false">IF(AJ834="","",IF(ISNUMBER(SEARCH("/",AJ834)),DATE(VALUE(RIGHT(AJ834,4)),VALUE(LEFT(AJ834,2)),VALUE(MID(AJ834,4,2))),IF(ISNUMBER(SEARCH("-",AJ834)),IF(LEN(LEFT(AJ834,FIND("-",AJ834)-1))=4,DATE(VALUE(LEFT(AJ834,4)),VALUE(MID(AJ834,6,2)),VALUE(RIGHT(AJ834,2))),DATE(VALUE(RIGHT(AJ834,4)),VALUE(MID(AJ834,4,2)),VALUE(LEFT(AJ834,2)))),DATE(VALUE(RIGHT(AJ834,4)),MATCH(MID(AJ834,4,3),{"Jan","Feb","Mar","Apr","May","Jun","Jul","Aug","Sep","Oct","Nov","Dec"},0),VALUE(LEFT(AJ834,2))))))</f>
        <v>45803</v>
      </c>
      <c r="C834" s="3" t="n">
        <f aca="false">IF(AK834="","",IF(ISNUMBER(SEARCH("/",AK834)),DATE(VALUE(RIGHT(AK834,4)),VALUE(LEFT(AK834,2)),VALUE(MID(AK834,4,2))),IF(ISNUMBER(SEARCH("-",AK834)),IF(LEN(LEFT(AK834,FIND("-",AK834)-1))=4,DATE(VALUE(LEFT(AK834,4)),VALUE(MID(AK834,6,2)),VALUE(RIGHT(AK834,2))),DATE(VALUE(RIGHT(AK834,4)),VALUE(MID(AK834,4,2)),VALUE(LEFT(AK834,2)))),DATE(VALUE(RIGHT(AK834,4)),MATCH(MID(AK834,4,3),{"Jan","Feb","Mar","Apr","May","Jun","Jul","Aug","Sep","Oct","Nov","Dec"},0),VALUE(LEFT(AK834,2))))))</f>
        <v>45805</v>
      </c>
      <c r="D834" s="4" t="s">
        <v>3050</v>
      </c>
      <c r="E834" s="0" t="str">
        <f aca="false">PROPER(TRIM(AL834))</f>
        <v>Kabir Singh</v>
      </c>
      <c r="F834" s="0" t="str">
        <f aca="false">PROPER(TRIM(AM834))</f>
        <v>Small Business</v>
      </c>
      <c r="G834" s="0" t="str">
        <f aca="false">IF(TRIM(AN834)="","Unknown",PROPER(TRIM(AN834)))</f>
        <v>South</v>
      </c>
      <c r="H834" s="0" t="str">
        <f aca="false">PROPER(TRIM(AO834))</f>
        <v>Andhra Pradesh</v>
      </c>
      <c r="I834" s="0" t="str">
        <f aca="false">PROPER(TRIM(AP834))</f>
        <v>Vijayawada</v>
      </c>
      <c r="J834" s="0" t="str">
        <f aca="false">PROPER(TRIM(AQ834))</f>
        <v>Technology</v>
      </c>
      <c r="K834" s="0" t="str">
        <f aca="false">PROPER(TRIM(AR834))</f>
        <v>Phones</v>
      </c>
      <c r="M834" s="0" t="str">
        <f aca="false">IF(TRIM(AS834)="","Unknown",PROPER(TRIM(AS834)))</f>
        <v>Second Class</v>
      </c>
      <c r="N834" s="0" t="n">
        <v>9</v>
      </c>
      <c r="O834" s="0" t="n">
        <v>4302.02</v>
      </c>
      <c r="P834" s="5" t="n">
        <f aca="false">IF(AT834="","",IF(ISNUMBER(AT834),AT834,VALUE(SUBSTITUTE(AT834,"%",""))/100))</f>
        <v>0.05</v>
      </c>
      <c r="Q834" s="5" t="n">
        <f aca="false">IF(P834="",IF(AND(N834&lt;&gt;"",O834&lt;&gt;"",R834&lt;&gt;"",S834&lt;&gt;""),0,"REVIEW"),IF(OR(P834&lt;0,P834&gt;0.3),0,P834))</f>
        <v>0.05</v>
      </c>
      <c r="R834" s="0" t="n">
        <v>36782.27</v>
      </c>
      <c r="S834" s="0" t="n">
        <v>25902.81</v>
      </c>
      <c r="T834" s="6" t="n">
        <f aca="false">N834*O834*(1-Q834)</f>
        <v>36782.271</v>
      </c>
      <c r="U834" s="6" t="n">
        <f aca="false">T834-S834</f>
        <v>10879.461</v>
      </c>
      <c r="V834" s="7" t="n">
        <f aca="false">IF(T834=0,0,U834/T834)</f>
        <v>0.295780024022987</v>
      </c>
      <c r="W834" s="4" t="n">
        <f aca="false">C834-B834</f>
        <v>2</v>
      </c>
      <c r="X834" s="0" t="str">
        <f aca="false">TEXT(B834,"mmmm")</f>
        <v>May</v>
      </c>
      <c r="Y834" s="4" t="n">
        <f aca="false">YEAR(B834)</f>
        <v>2025</v>
      </c>
      <c r="Z834" s="0" t="str">
        <f aca="false">PROPER(TRIM(AU834))</f>
        <v>Paid</v>
      </c>
      <c r="AA834" s="0" t="str">
        <f aca="false">PROPER(TRIM(AV834))</f>
        <v>Completed</v>
      </c>
      <c r="AB834" s="0" t="str">
        <f aca="false">IF(TRIM(AN834)="","Yes","No")</f>
        <v>No</v>
      </c>
      <c r="AC834" s="0" t="str">
        <f aca="false">IF(TRIM(AS834)="","Yes","No")</f>
        <v>No</v>
      </c>
      <c r="AD834" s="0" t="str">
        <f aca="false">IF(AT834="","Yes","No")</f>
        <v>No</v>
      </c>
      <c r="AE834" s="0" t="str">
        <f aca="false">IF(W834&lt;0,"Yes","No")</f>
        <v>No</v>
      </c>
      <c r="AF834" s="0" t="str">
        <f aca="false">IF(P834="","No",IF(OR(P834&lt;0,P834&gt;0.3),"Yes","No"))</f>
        <v>No</v>
      </c>
      <c r="AG834" s="4" t="s">
        <v>50</v>
      </c>
      <c r="AH834" s="0" t="str">
        <f aca="false">IF(AND(AA834="Completed",Z834="Paid"),"Yes","No")</f>
        <v>Yes</v>
      </c>
      <c r="AI834" s="0" t="str">
        <f aca="false">IF(OR(AE834="Yes",AF834="Yes",AG834="Yes"),"Invalid",IF(OR(AB834="Yes",AC834="Yes",AD834="Yes"),"Warning","Clean"))</f>
        <v>Clean</v>
      </c>
      <c r="AJ834" s="4" t="s">
        <v>3051</v>
      </c>
      <c r="AK834" s="4" t="s">
        <v>3052</v>
      </c>
      <c r="AL834" s="4" t="s">
        <v>347</v>
      </c>
      <c r="AM834" s="4" t="s">
        <v>68</v>
      </c>
      <c r="AN834" s="4" t="s">
        <v>87</v>
      </c>
      <c r="AO834" s="4" t="s">
        <v>121</v>
      </c>
      <c r="AP834" s="4" t="s">
        <v>122</v>
      </c>
      <c r="AQ834" s="4" t="s">
        <v>109</v>
      </c>
      <c r="AR834" s="4" t="s">
        <v>227</v>
      </c>
      <c r="AS834" s="4" t="s">
        <v>60</v>
      </c>
      <c r="AT834" s="0" t="n">
        <v>0.05</v>
      </c>
      <c r="AU834" s="4" t="s">
        <v>61</v>
      </c>
      <c r="AV834" s="4" t="s">
        <v>62</v>
      </c>
    </row>
    <row r="835" customFormat="false" ht="15" hidden="false" customHeight="false" outlineLevel="0" collapsed="false">
      <c r="A835" s="0" t="s">
        <v>3053</v>
      </c>
      <c r="B835" s="3" t="n">
        <f aca="false">IF(AJ835="","",IF(ISNUMBER(SEARCH("/",AJ835)),DATE(VALUE(RIGHT(AJ835,4)),VALUE(LEFT(AJ835,2)),VALUE(MID(AJ835,4,2))),IF(ISNUMBER(SEARCH("-",AJ835)),IF(LEN(LEFT(AJ835,FIND("-",AJ835)-1))=4,DATE(VALUE(LEFT(AJ835,4)),VALUE(MID(AJ835,6,2)),VALUE(RIGHT(AJ835,2))),DATE(VALUE(RIGHT(AJ835,4)),VALUE(MID(AJ835,4,2)),VALUE(LEFT(AJ835,2)))),DATE(VALUE(RIGHT(AJ835,4)),MATCH(MID(AJ835,4,3),{"Jan","Feb","Mar","Apr","May","Jun","Jul","Aug","Sep","Oct","Nov","Dec"},0),VALUE(LEFT(AJ835,2))))))</f>
        <v>45447</v>
      </c>
      <c r="C835" s="3" t="n">
        <f aca="false">IF(AK835="","",IF(ISNUMBER(SEARCH("/",AK835)),DATE(VALUE(RIGHT(AK835,4)),VALUE(LEFT(AK835,2)),VALUE(MID(AK835,4,2))),IF(ISNUMBER(SEARCH("-",AK835)),IF(LEN(LEFT(AK835,FIND("-",AK835)-1))=4,DATE(VALUE(LEFT(AK835,4)),VALUE(MID(AK835,6,2)),VALUE(RIGHT(AK835,2))),DATE(VALUE(RIGHT(AK835,4)),VALUE(MID(AK835,4,2)),VALUE(LEFT(AK835,2)))),DATE(VALUE(RIGHT(AK835,4)),MATCH(MID(AK835,4,3),{"Jan","Feb","Mar","Apr","May","Jun","Jul","Aug","Sep","Oct","Nov","Dec"},0),VALUE(LEFT(AK835,2))))))</f>
        <v>45447</v>
      </c>
      <c r="D835" s="4" t="s">
        <v>3054</v>
      </c>
      <c r="E835" s="0" t="str">
        <f aca="false">PROPER(TRIM(AL835))</f>
        <v>Rahul Verma</v>
      </c>
      <c r="F835" s="0" t="str">
        <f aca="false">PROPER(TRIM(AM835))</f>
        <v>Home Office</v>
      </c>
      <c r="G835" s="0" t="str">
        <f aca="false">IF(TRIM(AN835)="","Unknown",PROPER(TRIM(AN835)))</f>
        <v>East</v>
      </c>
      <c r="H835" s="0" t="str">
        <f aca="false">PROPER(TRIM(AO835))</f>
        <v>West Bengal</v>
      </c>
      <c r="I835" s="0" t="str">
        <f aca="false">PROPER(TRIM(AP835))</f>
        <v>Kolkata</v>
      </c>
      <c r="J835" s="0" t="str">
        <f aca="false">PROPER(TRIM(AQ835))</f>
        <v>Furniture</v>
      </c>
      <c r="K835" s="0" t="str">
        <f aca="false">PROPER(TRIM(AR835))</f>
        <v>Bookcases</v>
      </c>
      <c r="M835" s="0" t="str">
        <f aca="false">IF(TRIM(AS835)="","Unknown",PROPER(TRIM(AS835)))</f>
        <v>First Class</v>
      </c>
      <c r="N835" s="0" t="n">
        <v>6</v>
      </c>
      <c r="O835" s="0" t="n">
        <v>3949.4</v>
      </c>
      <c r="P835" s="5" t="n">
        <f aca="false">IF(AT835="","",IF(ISNUMBER(AT835),AT835,VALUE(SUBSTITUTE(AT835,"%",""))/100))</f>
        <v>0</v>
      </c>
      <c r="Q835" s="5" t="n">
        <f aca="false">IF(P835="",IF(AND(N835&lt;&gt;"",O835&lt;&gt;"",R835&lt;&gt;"",S835&lt;&gt;""),0,"REVIEW"),IF(OR(P835&lt;0,P835&gt;0.3),0,P835))</f>
        <v>0</v>
      </c>
      <c r="R835" s="0" t="n">
        <v>23696.4</v>
      </c>
      <c r="S835" s="0" t="n">
        <v>18109.77</v>
      </c>
      <c r="T835" s="6" t="n">
        <f aca="false">N835*O835*(1-Q835)</f>
        <v>23696.4</v>
      </c>
      <c r="U835" s="6" t="n">
        <f aca="false">T835-S835</f>
        <v>5586.63</v>
      </c>
      <c r="V835" s="7" t="n">
        <f aca="false">IF(T835=0,0,U835/T835)</f>
        <v>0.235758596242467</v>
      </c>
      <c r="W835" s="4" t="n">
        <f aca="false">C835-B835</f>
        <v>0</v>
      </c>
      <c r="X835" s="0" t="str">
        <f aca="false">TEXT(B835,"mmmm")</f>
        <v>June</v>
      </c>
      <c r="Y835" s="4" t="n">
        <f aca="false">YEAR(B835)</f>
        <v>2024</v>
      </c>
      <c r="Z835" s="0" t="str">
        <f aca="false">PROPER(TRIM(AU835))</f>
        <v>Paid</v>
      </c>
      <c r="AA835" s="0" t="str">
        <f aca="false">PROPER(TRIM(AV835))</f>
        <v>Completed</v>
      </c>
      <c r="AB835" s="0" t="str">
        <f aca="false">IF(TRIM(AN835)="","Yes","No")</f>
        <v>No</v>
      </c>
      <c r="AC835" s="0" t="str">
        <f aca="false">IF(TRIM(AS835)="","Yes","No")</f>
        <v>No</v>
      </c>
      <c r="AD835" s="0" t="str">
        <f aca="false">IF(AT835="","Yes","No")</f>
        <v>No</v>
      </c>
      <c r="AE835" s="0" t="str">
        <f aca="false">IF(W835&lt;0,"Yes","No")</f>
        <v>No</v>
      </c>
      <c r="AF835" s="0" t="str">
        <f aca="false">IF(P835="","No",IF(OR(P835&lt;0,P835&gt;0.3),"Yes","No"))</f>
        <v>No</v>
      </c>
      <c r="AG835" s="4" t="s">
        <v>50</v>
      </c>
      <c r="AH835" s="0" t="str">
        <f aca="false">IF(AND(AA835="Completed",Z835="Paid"),"Yes","No")</f>
        <v>Yes</v>
      </c>
      <c r="AI835" s="0" t="str">
        <f aca="false">IF(OR(AE835="Yes",AF835="Yes",AG835="Yes"),"Invalid",IF(OR(AB835="Yes",AC835="Yes",AD835="Yes"),"Warning","Clean"))</f>
        <v>Clean</v>
      </c>
      <c r="AJ835" s="4" t="s">
        <v>3055</v>
      </c>
      <c r="AK835" s="4" t="s">
        <v>3056</v>
      </c>
      <c r="AL835" s="4" t="s">
        <v>163</v>
      </c>
      <c r="AM835" s="4" t="s">
        <v>134</v>
      </c>
      <c r="AN835" s="4" t="s">
        <v>69</v>
      </c>
      <c r="AO835" s="4" t="s">
        <v>139</v>
      </c>
      <c r="AP835" s="4" t="s">
        <v>140</v>
      </c>
      <c r="AQ835" s="4" t="s">
        <v>72</v>
      </c>
      <c r="AR835" s="4" t="s">
        <v>211</v>
      </c>
      <c r="AS835" s="4" t="s">
        <v>81</v>
      </c>
      <c r="AT835" s="0" t="n">
        <v>0</v>
      </c>
      <c r="AU835" s="4" t="s">
        <v>61</v>
      </c>
      <c r="AV835" s="4" t="s">
        <v>62</v>
      </c>
    </row>
    <row r="836" customFormat="false" ht="15" hidden="false" customHeight="false" outlineLevel="0" collapsed="false">
      <c r="A836" s="0" t="s">
        <v>3057</v>
      </c>
      <c r="B836" s="3" t="n">
        <f aca="false">IF(AJ836="","",IF(ISNUMBER(SEARCH("/",AJ836)),DATE(VALUE(RIGHT(AJ836,4)),VALUE(LEFT(AJ836,2)),VALUE(MID(AJ836,4,2))),IF(ISNUMBER(SEARCH("-",AJ836)),IF(LEN(LEFT(AJ836,FIND("-",AJ836)-1))=4,DATE(VALUE(LEFT(AJ836,4)),VALUE(MID(AJ836,6,2)),VALUE(RIGHT(AJ836,2))),DATE(VALUE(RIGHT(AJ836,4)),VALUE(MID(AJ836,4,2)),VALUE(LEFT(AJ836,2)))),DATE(VALUE(RIGHT(AJ836,4)),MATCH(MID(AJ836,4,3),{"Jan","Feb","Mar","Apr","May","Jun","Jul","Aug","Sep","Oct","Nov","Dec"},0),VALUE(LEFT(AJ836,2))))))</f>
        <v>45583</v>
      </c>
      <c r="C836" s="3" t="n">
        <f aca="false">IF(AK836="","",IF(ISNUMBER(SEARCH("/",AK836)),DATE(VALUE(RIGHT(AK836,4)),VALUE(LEFT(AK836,2)),VALUE(MID(AK836,4,2))),IF(ISNUMBER(SEARCH("-",AK836)),IF(LEN(LEFT(AK836,FIND("-",AK836)-1))=4,DATE(VALUE(LEFT(AK836,4)),VALUE(MID(AK836,6,2)),VALUE(RIGHT(AK836,2))),DATE(VALUE(RIGHT(AK836,4)),VALUE(MID(AK836,4,2)),VALUE(LEFT(AK836,2)))),DATE(VALUE(RIGHT(AK836,4)),MATCH(MID(AK836,4,3),{"Jan","Feb","Mar","Apr","May","Jun","Jul","Aug","Sep","Oct","Nov","Dec"},0),VALUE(LEFT(AK836,2))))))</f>
        <v>45587</v>
      </c>
      <c r="D836" s="4" t="s">
        <v>3058</v>
      </c>
      <c r="E836" s="0" t="str">
        <f aca="false">PROPER(TRIM(AL836))</f>
        <v>Aarav Sharma</v>
      </c>
      <c r="F836" s="0" t="str">
        <f aca="false">PROPER(TRIM(AM836))</f>
        <v>Home Office</v>
      </c>
      <c r="G836" s="0" t="str">
        <f aca="false">IF(TRIM(AN836)="","Unknown",PROPER(TRIM(AN836)))</f>
        <v>South</v>
      </c>
      <c r="H836" s="0" t="str">
        <f aca="false">PROPER(TRIM(AO836))</f>
        <v>Telangana</v>
      </c>
      <c r="I836" s="0" t="str">
        <f aca="false">PROPER(TRIM(AP836))</f>
        <v>Hyderabad</v>
      </c>
      <c r="J836" s="0" t="str">
        <f aca="false">PROPER(TRIM(AQ836))</f>
        <v>Office Supplies</v>
      </c>
      <c r="K836" s="0" t="str">
        <f aca="false">PROPER(TRIM(AR836))</f>
        <v>Art</v>
      </c>
      <c r="M836" s="0" t="str">
        <f aca="false">IF(TRIM(AS836)="","Unknown",PROPER(TRIM(AS836)))</f>
        <v>First Class</v>
      </c>
      <c r="N836" s="0" t="n">
        <v>6</v>
      </c>
      <c r="O836" s="0" t="n">
        <v>674.61</v>
      </c>
      <c r="P836" s="5" t="n">
        <f aca="false">IF(AT836="","",IF(ISNUMBER(AT836),AT836,VALUE(SUBSTITUTE(AT836,"%",""))/100))</f>
        <v>0</v>
      </c>
      <c r="Q836" s="5" t="n">
        <f aca="false">IF(P836="",IF(AND(N836&lt;&gt;"",O836&lt;&gt;"",R836&lt;&gt;"",S836&lt;&gt;""),0,"REVIEW"),IF(OR(P836&lt;0,P836&gt;0.3),0,P836))</f>
        <v>0</v>
      </c>
      <c r="R836" s="0" t="n">
        <v>4047.66</v>
      </c>
      <c r="S836" s="0" t="n">
        <v>3078.93</v>
      </c>
      <c r="T836" s="6" t="n">
        <f aca="false">N836*O836*(1-Q836)</f>
        <v>4047.66</v>
      </c>
      <c r="U836" s="6" t="n">
        <f aca="false">T836-S836</f>
        <v>968.73</v>
      </c>
      <c r="V836" s="7" t="n">
        <f aca="false">IF(T836=0,0,U836/T836)</f>
        <v>0.239330872652347</v>
      </c>
      <c r="W836" s="4" t="n">
        <f aca="false">C836-B836</f>
        <v>4</v>
      </c>
      <c r="X836" s="0" t="str">
        <f aca="false">TEXT(B836,"mmmm")</f>
        <v>October</v>
      </c>
      <c r="Y836" s="4" t="n">
        <f aca="false">YEAR(B836)</f>
        <v>2024</v>
      </c>
      <c r="Z836" s="0" t="str">
        <f aca="false">PROPER(TRIM(AU836))</f>
        <v>Paid</v>
      </c>
      <c r="AA836" s="0" t="str">
        <f aca="false">PROPER(TRIM(AV836))</f>
        <v>Completed</v>
      </c>
      <c r="AB836" s="0" t="str">
        <f aca="false">IF(TRIM(AN836)="","Yes","No")</f>
        <v>No</v>
      </c>
      <c r="AC836" s="0" t="str">
        <f aca="false">IF(TRIM(AS836)="","Yes","No")</f>
        <v>No</v>
      </c>
      <c r="AD836" s="0" t="str">
        <f aca="false">IF(AT836="","Yes","No")</f>
        <v>No</v>
      </c>
      <c r="AE836" s="0" t="str">
        <f aca="false">IF(W836&lt;0,"Yes","No")</f>
        <v>No</v>
      </c>
      <c r="AF836" s="0" t="str">
        <f aca="false">IF(P836="","No",IF(OR(P836&lt;0,P836&gt;0.3),"Yes","No"))</f>
        <v>No</v>
      </c>
      <c r="AG836" s="4" t="s">
        <v>50</v>
      </c>
      <c r="AH836" s="0" t="str">
        <f aca="false">IF(AND(AA836="Completed",Z836="Paid"),"Yes","No")</f>
        <v>Yes</v>
      </c>
      <c r="AI836" s="0" t="str">
        <f aca="false">IF(OR(AE836="Yes",AF836="Yes",AG836="Yes"),"Invalid",IF(OR(AB836="Yes",AC836="Yes",AD836="Yes"),"Warning","Clean"))</f>
        <v>Clean</v>
      </c>
      <c r="AJ836" s="4" t="s">
        <v>237</v>
      </c>
      <c r="AK836" s="4" t="s">
        <v>3059</v>
      </c>
      <c r="AL836" s="4" t="s">
        <v>176</v>
      </c>
      <c r="AM836" s="4" t="s">
        <v>134</v>
      </c>
      <c r="AN836" s="4" t="s">
        <v>87</v>
      </c>
      <c r="AO836" s="4" t="s">
        <v>88</v>
      </c>
      <c r="AP836" s="4" t="s">
        <v>89</v>
      </c>
      <c r="AQ836" s="4" t="s">
        <v>58</v>
      </c>
      <c r="AR836" s="4" t="s">
        <v>80</v>
      </c>
      <c r="AS836" s="4" t="s">
        <v>81</v>
      </c>
      <c r="AT836" s="0" t="n">
        <v>0</v>
      </c>
      <c r="AU836" s="4" t="s">
        <v>61</v>
      </c>
      <c r="AV836" s="4" t="s">
        <v>62</v>
      </c>
    </row>
    <row r="837" customFormat="false" ht="15" hidden="false" customHeight="false" outlineLevel="0" collapsed="false">
      <c r="A837" s="0" t="s">
        <v>3060</v>
      </c>
      <c r="B837" s="3" t="n">
        <f aca="false">IF(AJ837="","",IF(ISNUMBER(SEARCH("/",AJ837)),DATE(VALUE(RIGHT(AJ837,4)),VALUE(LEFT(AJ837,2)),VALUE(MID(AJ837,4,2))),IF(ISNUMBER(SEARCH("-",AJ837)),IF(LEN(LEFT(AJ837,FIND("-",AJ837)-1))=4,DATE(VALUE(LEFT(AJ837,4)),VALUE(MID(AJ837,6,2)),VALUE(RIGHT(AJ837,2))),DATE(VALUE(RIGHT(AJ837,4)),VALUE(MID(AJ837,4,2)),VALUE(LEFT(AJ837,2)))),DATE(VALUE(RIGHT(AJ837,4)),MATCH(MID(AJ837,4,3),{"Jan","Feb","Mar","Apr","May","Jun","Jul","Aug","Sep","Oct","Nov","Dec"},0),VALUE(LEFT(AJ837,2))))))</f>
        <v>45926</v>
      </c>
      <c r="C837" s="3" t="n">
        <f aca="false">IF(AK837="","",IF(ISNUMBER(SEARCH("/",AK837)),DATE(VALUE(RIGHT(AK837,4)),VALUE(LEFT(AK837,2)),VALUE(MID(AK837,4,2))),IF(ISNUMBER(SEARCH("-",AK837)),IF(LEN(LEFT(AK837,FIND("-",AK837)-1))=4,DATE(VALUE(LEFT(AK837,4)),VALUE(MID(AK837,6,2)),VALUE(RIGHT(AK837,2))),DATE(VALUE(RIGHT(AK837,4)),VALUE(MID(AK837,4,2)),VALUE(LEFT(AK837,2)))),DATE(VALUE(RIGHT(AK837,4)),MATCH(MID(AK837,4,3),{"Jan","Feb","Mar","Apr","May","Jun","Jul","Aug","Sep","Oct","Nov","Dec"},0),VALUE(LEFT(AK837,2))))))</f>
        <v>45934</v>
      </c>
      <c r="D837" s="4" t="s">
        <v>3061</v>
      </c>
      <c r="E837" s="0" t="str">
        <f aca="false">PROPER(TRIM(AL837))</f>
        <v>Priya Menon</v>
      </c>
      <c r="F837" s="0" t="str">
        <f aca="false">PROPER(TRIM(AM837))</f>
        <v>Small Business</v>
      </c>
      <c r="G837" s="0" t="str">
        <f aca="false">IF(TRIM(AN837)="","Unknown",PROPER(TRIM(AN837)))</f>
        <v>East</v>
      </c>
      <c r="H837" s="0" t="str">
        <f aca="false">PROPER(TRIM(AO837))</f>
        <v>Assam</v>
      </c>
      <c r="I837" s="0" t="str">
        <f aca="false">PROPER(TRIM(AP837))</f>
        <v>Guwahati</v>
      </c>
      <c r="J837" s="0" t="str">
        <f aca="false">PROPER(TRIM(AQ837))</f>
        <v>Technology</v>
      </c>
      <c r="K837" s="0" t="str">
        <f aca="false">PROPER(TRIM(AR837))</f>
        <v>Phones</v>
      </c>
      <c r="M837" s="0" t="str">
        <f aca="false">IF(TRIM(AS837)="","Unknown",PROPER(TRIM(AS837)))</f>
        <v>Second Class</v>
      </c>
      <c r="N837" s="0" t="n">
        <v>7</v>
      </c>
      <c r="O837" s="0" t="n">
        <v>1509.59</v>
      </c>
      <c r="P837" s="5" t="n">
        <f aca="false">IF(AT837="","",IF(ISNUMBER(AT837),AT837,VALUE(SUBSTITUTE(AT837,"%",""))/100))</f>
        <v>0.05</v>
      </c>
      <c r="Q837" s="5" t="n">
        <f aca="false">IF(P837="",IF(AND(N837&lt;&gt;"",O837&lt;&gt;"",R837&lt;&gt;"",S837&lt;&gt;""),0,"REVIEW"),IF(OR(P837&lt;0,P837&gt;0.3),0,P837))</f>
        <v>0.05</v>
      </c>
      <c r="R837" s="0" t="n">
        <v>10038.77</v>
      </c>
      <c r="S837" s="0" t="n">
        <v>5673.1</v>
      </c>
      <c r="T837" s="6" t="n">
        <f aca="false">N837*O837*(1-Q837)</f>
        <v>10038.7735</v>
      </c>
      <c r="U837" s="6" t="n">
        <f aca="false">T837-S837</f>
        <v>4365.6735</v>
      </c>
      <c r="V837" s="7" t="n">
        <f aca="false">IF(T837=0,0,U837/T837)</f>
        <v>0.434881163520623</v>
      </c>
      <c r="W837" s="4" t="n">
        <f aca="false">C837-B837</f>
        <v>8</v>
      </c>
      <c r="X837" s="0" t="str">
        <f aca="false">TEXT(B837,"mmmm")</f>
        <v>September</v>
      </c>
      <c r="Y837" s="4" t="n">
        <f aca="false">YEAR(B837)</f>
        <v>2025</v>
      </c>
      <c r="Z837" s="0" t="str">
        <f aca="false">PROPER(TRIM(AU837))</f>
        <v>Paid</v>
      </c>
      <c r="AA837" s="0" t="str">
        <f aca="false">PROPER(TRIM(AV837))</f>
        <v>Completed</v>
      </c>
      <c r="AB837" s="0" t="str">
        <f aca="false">IF(TRIM(AN837)="","Yes","No")</f>
        <v>No</v>
      </c>
      <c r="AC837" s="0" t="str">
        <f aca="false">IF(TRIM(AS837)="","Yes","No")</f>
        <v>No</v>
      </c>
      <c r="AD837" s="0" t="str">
        <f aca="false">IF(AT837="","Yes","No")</f>
        <v>No</v>
      </c>
      <c r="AE837" s="0" t="str">
        <f aca="false">IF(W837&lt;0,"Yes","No")</f>
        <v>No</v>
      </c>
      <c r="AF837" s="0" t="str">
        <f aca="false">IF(P837="","No",IF(OR(P837&lt;0,P837&gt;0.3),"Yes","No"))</f>
        <v>No</v>
      </c>
      <c r="AG837" s="4" t="s">
        <v>50</v>
      </c>
      <c r="AH837" s="0" t="str">
        <f aca="false">IF(AND(AA837="Completed",Z837="Paid"),"Yes","No")</f>
        <v>Yes</v>
      </c>
      <c r="AI837" s="0" t="str">
        <f aca="false">IF(OR(AE837="Yes",AF837="Yes",AG837="Yes"),"Invalid",IF(OR(AB837="Yes",AC837="Yes",AD837="Yes"),"Warning","Clean"))</f>
        <v>Clean</v>
      </c>
      <c r="AJ837" s="4" t="s">
        <v>2234</v>
      </c>
      <c r="AK837" s="4" t="s">
        <v>824</v>
      </c>
      <c r="AL837" s="4" t="s">
        <v>158</v>
      </c>
      <c r="AM837" s="4" t="s">
        <v>68</v>
      </c>
      <c r="AN837" s="4" t="s">
        <v>69</v>
      </c>
      <c r="AO837" s="4" t="s">
        <v>221</v>
      </c>
      <c r="AP837" s="4" t="s">
        <v>222</v>
      </c>
      <c r="AQ837" s="4" t="s">
        <v>109</v>
      </c>
      <c r="AR837" s="4" t="s">
        <v>227</v>
      </c>
      <c r="AS837" s="4" t="s">
        <v>60</v>
      </c>
      <c r="AT837" s="0" t="n">
        <v>0.05</v>
      </c>
      <c r="AU837" s="4" t="s">
        <v>61</v>
      </c>
      <c r="AV837" s="4" t="s">
        <v>62</v>
      </c>
    </row>
    <row r="838" customFormat="false" ht="15" hidden="false" customHeight="false" outlineLevel="0" collapsed="false">
      <c r="A838" s="0" t="s">
        <v>3062</v>
      </c>
      <c r="B838" s="3" t="n">
        <f aca="false">IF(AJ838="","",IF(ISNUMBER(SEARCH("/",AJ838)),DATE(VALUE(RIGHT(AJ838,4)),VALUE(LEFT(AJ838,2)),VALUE(MID(AJ838,4,2))),IF(ISNUMBER(SEARCH("-",AJ838)),IF(LEN(LEFT(AJ838,FIND("-",AJ838)-1))=4,DATE(VALUE(LEFT(AJ838,4)),VALUE(MID(AJ838,6,2)),VALUE(RIGHT(AJ838,2))),DATE(VALUE(RIGHT(AJ838,4)),VALUE(MID(AJ838,4,2)),VALUE(LEFT(AJ838,2)))),DATE(VALUE(RIGHT(AJ838,4)),MATCH(MID(AJ838,4,3),{"Jan","Feb","Mar","Apr","May","Jun","Jul","Aug","Sep","Oct","Nov","Dec"},0),VALUE(LEFT(AJ838,2))))))</f>
        <v>45641</v>
      </c>
      <c r="C838" s="3" t="n">
        <f aca="false">IF(AK838="","",IF(ISNUMBER(SEARCH("/",AK838)),DATE(VALUE(RIGHT(AK838,4)),VALUE(LEFT(AK838,2)),VALUE(MID(AK838,4,2))),IF(ISNUMBER(SEARCH("-",AK838)),IF(LEN(LEFT(AK838,FIND("-",AK838)-1))=4,DATE(VALUE(LEFT(AK838,4)),VALUE(MID(AK838,6,2)),VALUE(RIGHT(AK838,2))),DATE(VALUE(RIGHT(AK838,4)),VALUE(MID(AK838,4,2)),VALUE(LEFT(AK838,2)))),DATE(VALUE(RIGHT(AK838,4)),MATCH(MID(AK838,4,3),{"Jan","Feb","Mar","Apr","May","Jun","Jul","Aug","Sep","Oct","Nov","Dec"},0),VALUE(LEFT(AK838,2))))))</f>
        <v>45644</v>
      </c>
      <c r="D838" s="4" t="s">
        <v>3063</v>
      </c>
      <c r="E838" s="0" t="str">
        <f aca="false">PROPER(TRIM(AL838))</f>
        <v>Isha Nair</v>
      </c>
      <c r="F838" s="0" t="str">
        <f aca="false">PROPER(TRIM(AM838))</f>
        <v>Small Business</v>
      </c>
      <c r="G838" s="0" t="str">
        <f aca="false">IF(TRIM(AN838)="","Unknown",PROPER(TRIM(AN838)))</f>
        <v>North</v>
      </c>
      <c r="H838" s="0" t="str">
        <f aca="false">PROPER(TRIM(AO838))</f>
        <v>Rajasthan</v>
      </c>
      <c r="I838" s="0" t="str">
        <f aca="false">PROPER(TRIM(AP838))</f>
        <v>Jaipur</v>
      </c>
      <c r="J838" s="0" t="str">
        <f aca="false">PROPER(TRIM(AQ838))</f>
        <v>Office Supplies</v>
      </c>
      <c r="K838" s="0" t="str">
        <f aca="false">PROPER(TRIM(AR838))</f>
        <v>Labels</v>
      </c>
      <c r="M838" s="0" t="str">
        <f aca="false">IF(TRIM(AS838)="","Unknown",PROPER(TRIM(AS838)))</f>
        <v>Second Class</v>
      </c>
      <c r="N838" s="0" t="n">
        <v>2</v>
      </c>
      <c r="O838" s="0" t="n">
        <v>537.11</v>
      </c>
      <c r="P838" s="5" t="n">
        <f aca="false">IF(AT838="","",IF(ISNUMBER(AT838),AT838,VALUE(SUBSTITUTE(AT838,"%",""))/100))</f>
        <v>0</v>
      </c>
      <c r="Q838" s="5" t="n">
        <f aca="false">IF(P838="",IF(AND(N838&lt;&gt;"",O838&lt;&gt;"",R838&lt;&gt;"",S838&lt;&gt;""),0,"REVIEW"),IF(OR(P838&lt;0,P838&gt;0.3),0,P838))</f>
        <v>0</v>
      </c>
      <c r="R838" s="0" t="n">
        <v>1074.22</v>
      </c>
      <c r="S838" s="0" t="n">
        <v>850.86</v>
      </c>
      <c r="T838" s="6" t="n">
        <f aca="false">N838*O838*(1-Q838)</f>
        <v>1074.22</v>
      </c>
      <c r="U838" s="6" t="n">
        <f aca="false">T838-S838</f>
        <v>223.36</v>
      </c>
      <c r="V838" s="7" t="n">
        <f aca="false">IF(T838=0,0,U838/T838)</f>
        <v>0.207927612593324</v>
      </c>
      <c r="W838" s="4" t="n">
        <f aca="false">C838-B838</f>
        <v>3</v>
      </c>
      <c r="X838" s="0" t="str">
        <f aca="false">TEXT(B838,"mmmm")</f>
        <v>December</v>
      </c>
      <c r="Y838" s="4" t="n">
        <f aca="false">YEAR(B838)</f>
        <v>2024</v>
      </c>
      <c r="Z838" s="0" t="str">
        <f aca="false">PROPER(TRIM(AU838))</f>
        <v>Paid</v>
      </c>
      <c r="AA838" s="0" t="str">
        <f aca="false">PROPER(TRIM(AV838))</f>
        <v>Completed</v>
      </c>
      <c r="AB838" s="0" t="str">
        <f aca="false">IF(TRIM(AN838)="","Yes","No")</f>
        <v>No</v>
      </c>
      <c r="AC838" s="0" t="str">
        <f aca="false">IF(TRIM(AS838)="","Yes","No")</f>
        <v>No</v>
      </c>
      <c r="AD838" s="0" t="str">
        <f aca="false">IF(AT838="","Yes","No")</f>
        <v>No</v>
      </c>
      <c r="AE838" s="0" t="str">
        <f aca="false">IF(W838&lt;0,"Yes","No")</f>
        <v>No</v>
      </c>
      <c r="AF838" s="0" t="str">
        <f aca="false">IF(P838="","No",IF(OR(P838&lt;0,P838&gt;0.3),"Yes","No"))</f>
        <v>No</v>
      </c>
      <c r="AG838" s="4" t="s">
        <v>50</v>
      </c>
      <c r="AH838" s="0" t="str">
        <f aca="false">IF(AND(AA838="Completed",Z838="Paid"),"Yes","No")</f>
        <v>Yes</v>
      </c>
      <c r="AI838" s="0" t="str">
        <f aca="false">IF(OR(AE838="Yes",AF838="Yes",AG838="Yes"),"Invalid",IF(OR(AB838="Yes",AC838="Yes",AD838="Yes"),"Warning","Clean"))</f>
        <v>Clean</v>
      </c>
      <c r="AJ838" s="4" t="s">
        <v>2010</v>
      </c>
      <c r="AK838" s="4" t="s">
        <v>3064</v>
      </c>
      <c r="AL838" s="4" t="s">
        <v>79</v>
      </c>
      <c r="AM838" s="4" t="s">
        <v>68</v>
      </c>
      <c r="AN838" s="4" t="s">
        <v>168</v>
      </c>
      <c r="AO838" s="4" t="s">
        <v>56</v>
      </c>
      <c r="AP838" s="4" t="s">
        <v>57</v>
      </c>
      <c r="AQ838" s="4" t="s">
        <v>58</v>
      </c>
      <c r="AR838" s="4" t="s">
        <v>129</v>
      </c>
      <c r="AS838" s="4" t="s">
        <v>60</v>
      </c>
      <c r="AT838" s="0" t="n">
        <v>0</v>
      </c>
      <c r="AU838" s="4" t="s">
        <v>61</v>
      </c>
      <c r="AV838" s="4" t="s">
        <v>62</v>
      </c>
    </row>
    <row r="839" customFormat="false" ht="15" hidden="false" customHeight="false" outlineLevel="0" collapsed="false">
      <c r="A839" s="0" t="s">
        <v>3065</v>
      </c>
      <c r="B839" s="3" t="n">
        <f aca="false">IF(AJ839="","",IF(ISNUMBER(SEARCH("/",AJ839)),DATE(VALUE(RIGHT(AJ839,4)),VALUE(LEFT(AJ839,2)),VALUE(MID(AJ839,4,2))),IF(ISNUMBER(SEARCH("-",AJ839)),IF(LEN(LEFT(AJ839,FIND("-",AJ839)-1))=4,DATE(VALUE(LEFT(AJ839,4)),VALUE(MID(AJ839,6,2)),VALUE(RIGHT(AJ839,2))),DATE(VALUE(RIGHT(AJ839,4)),VALUE(MID(AJ839,4,2)),VALUE(LEFT(AJ839,2)))),DATE(VALUE(RIGHT(AJ839,4)),MATCH(MID(AJ839,4,3),{"Jan","Feb","Mar","Apr","May","Jun","Jul","Aug","Sep","Oct","Nov","Dec"},0),VALUE(LEFT(AJ839,2))))))</f>
        <v>45927</v>
      </c>
      <c r="C839" s="3" t="n">
        <f aca="false">IF(AK839="","",IF(ISNUMBER(SEARCH("/",AK839)),DATE(VALUE(RIGHT(AK839,4)),VALUE(LEFT(AK839,2)),VALUE(MID(AK839,4,2))),IF(ISNUMBER(SEARCH("-",AK839)),IF(LEN(LEFT(AK839,FIND("-",AK839)-1))=4,DATE(VALUE(LEFT(AK839,4)),VALUE(MID(AK839,6,2)),VALUE(RIGHT(AK839,2))),DATE(VALUE(RIGHT(AK839,4)),VALUE(MID(AK839,4,2)),VALUE(LEFT(AK839,2)))),DATE(VALUE(RIGHT(AK839,4)),MATCH(MID(AK839,4,3),{"Jan","Feb","Mar","Apr","May","Jun","Jul","Aug","Sep","Oct","Nov","Dec"},0),VALUE(LEFT(AK839,2))))))</f>
        <v>45928</v>
      </c>
      <c r="D839" s="4" t="s">
        <v>3066</v>
      </c>
      <c r="E839" s="0" t="str">
        <f aca="false">PROPER(TRIM(AL839))</f>
        <v>Karan Malhotra</v>
      </c>
      <c r="F839" s="0" t="str">
        <f aca="false">PROPER(TRIM(AM839))</f>
        <v>Home Office</v>
      </c>
      <c r="G839" s="0" t="str">
        <f aca="false">IF(TRIM(AN839)="","Unknown",PROPER(TRIM(AN839)))</f>
        <v>West</v>
      </c>
      <c r="H839" s="0" t="str">
        <f aca="false">PROPER(TRIM(AO839))</f>
        <v>Maharashtra</v>
      </c>
      <c r="I839" s="0" t="str">
        <f aca="false">PROPER(TRIM(AP839))</f>
        <v>Mumbai</v>
      </c>
      <c r="J839" s="0" t="str">
        <f aca="false">PROPER(TRIM(AQ839))</f>
        <v>Office Supplies</v>
      </c>
      <c r="K839" s="0" t="str">
        <f aca="false">PROPER(TRIM(AR839))</f>
        <v>Paper</v>
      </c>
      <c r="M839" s="0" t="str">
        <f aca="false">IF(TRIM(AS839)="","Unknown",PROPER(TRIM(AS839)))</f>
        <v>First Class</v>
      </c>
      <c r="N839" s="0" t="n">
        <v>3</v>
      </c>
      <c r="O839" s="0" t="n">
        <v>4177.63</v>
      </c>
      <c r="P839" s="5" t="n">
        <f aca="false">IF(AT839="","",IF(ISNUMBER(AT839),AT839,VALUE(SUBSTITUTE(AT839,"%",""))/100))</f>
        <v>0.25</v>
      </c>
      <c r="Q839" s="5" t="n">
        <f aca="false">IF(P839="",IF(AND(N839&lt;&gt;"",O839&lt;&gt;"",R839&lt;&gt;"",S839&lt;&gt;""),0,"REVIEW"),IF(OR(P839&lt;0,P839&gt;0.3),0,P839))</f>
        <v>0.25</v>
      </c>
      <c r="R839" s="0" t="n">
        <v>9399.67</v>
      </c>
      <c r="S839" s="0" t="n">
        <v>6540.37</v>
      </c>
      <c r="T839" s="6" t="n">
        <f aca="false">N839*O839*(1-Q839)</f>
        <v>9399.6675</v>
      </c>
      <c r="U839" s="6" t="n">
        <f aca="false">T839-S839</f>
        <v>2859.2975</v>
      </c>
      <c r="V839" s="7" t="n">
        <f aca="false">IF(T839=0,0,U839/T839)</f>
        <v>0.304191345066195</v>
      </c>
      <c r="W839" s="4" t="n">
        <f aca="false">C839-B839</f>
        <v>1</v>
      </c>
      <c r="X839" s="0" t="str">
        <f aca="false">TEXT(B839,"mmmm")</f>
        <v>September</v>
      </c>
      <c r="Y839" s="4" t="n">
        <f aca="false">YEAR(B839)</f>
        <v>2025</v>
      </c>
      <c r="Z839" s="0" t="str">
        <f aca="false">PROPER(TRIM(AU839))</f>
        <v>Paid</v>
      </c>
      <c r="AA839" s="0" t="str">
        <f aca="false">PROPER(TRIM(AV839))</f>
        <v>Completed</v>
      </c>
      <c r="AB839" s="0" t="str">
        <f aca="false">IF(TRIM(AN839)="","Yes","No")</f>
        <v>No</v>
      </c>
      <c r="AC839" s="0" t="str">
        <f aca="false">IF(TRIM(AS839)="","Yes","No")</f>
        <v>No</v>
      </c>
      <c r="AD839" s="0" t="str">
        <f aca="false">IF(AT839="","Yes","No")</f>
        <v>No</v>
      </c>
      <c r="AE839" s="0" t="str">
        <f aca="false">IF(W839&lt;0,"Yes","No")</f>
        <v>No</v>
      </c>
      <c r="AF839" s="0" t="str">
        <f aca="false">IF(P839="","No",IF(OR(P839&lt;0,P839&gt;0.3),"Yes","No"))</f>
        <v>No</v>
      </c>
      <c r="AG839" s="4" t="s">
        <v>50</v>
      </c>
      <c r="AH839" s="0" t="str">
        <f aca="false">IF(AND(AA839="Completed",Z839="Paid"),"Yes","No")</f>
        <v>Yes</v>
      </c>
      <c r="AI839" s="0" t="str">
        <f aca="false">IF(OR(AE839="Yes",AF839="Yes",AG839="Yes"),"Invalid",IF(OR(AB839="Yes",AC839="Yes",AD839="Yes"),"Warning","Clean"))</f>
        <v>Clean</v>
      </c>
      <c r="AJ839" s="4" t="s">
        <v>454</v>
      </c>
      <c r="AK839" s="4" t="s">
        <v>3067</v>
      </c>
      <c r="AL839" s="4" t="s">
        <v>53</v>
      </c>
      <c r="AM839" s="4" t="s">
        <v>134</v>
      </c>
      <c r="AN839" s="4" t="s">
        <v>97</v>
      </c>
      <c r="AO839" s="4" t="s">
        <v>98</v>
      </c>
      <c r="AP839" s="4" t="s">
        <v>99</v>
      </c>
      <c r="AQ839" s="4" t="s">
        <v>58</v>
      </c>
      <c r="AR839" s="4" t="s">
        <v>59</v>
      </c>
      <c r="AS839" s="4" t="s">
        <v>81</v>
      </c>
      <c r="AT839" s="0" t="n">
        <v>0.25</v>
      </c>
      <c r="AU839" s="4" t="s">
        <v>61</v>
      </c>
      <c r="AV839" s="4" t="s">
        <v>62</v>
      </c>
    </row>
    <row r="840" customFormat="false" ht="15" hidden="false" customHeight="false" outlineLevel="0" collapsed="false">
      <c r="A840" s="0" t="s">
        <v>3068</v>
      </c>
      <c r="B840" s="3" t="n">
        <f aca="false">IF(AJ840="","",IF(ISNUMBER(SEARCH("/",AJ840)),DATE(VALUE(RIGHT(AJ840,4)),VALUE(LEFT(AJ840,2)),VALUE(MID(AJ840,4,2))),IF(ISNUMBER(SEARCH("-",AJ840)),IF(LEN(LEFT(AJ840,FIND("-",AJ840)-1))=4,DATE(VALUE(LEFT(AJ840,4)),VALUE(MID(AJ840,6,2)),VALUE(RIGHT(AJ840,2))),DATE(VALUE(RIGHT(AJ840,4)),VALUE(MID(AJ840,4,2)),VALUE(LEFT(AJ840,2)))),DATE(VALUE(RIGHT(AJ840,4)),MATCH(MID(AJ840,4,3),{"Jan","Feb","Mar","Apr","May","Jun","Jul","Aug","Sep","Oct","Nov","Dec"},0),VALUE(LEFT(AJ840,2))))))</f>
        <v>45750</v>
      </c>
      <c r="C840" s="3" t="n">
        <f aca="false">IF(AK840="","",IF(ISNUMBER(SEARCH("/",AK840)),DATE(VALUE(RIGHT(AK840,4)),VALUE(LEFT(AK840,2)),VALUE(MID(AK840,4,2))),IF(ISNUMBER(SEARCH("-",AK840)),IF(LEN(LEFT(AK840,FIND("-",AK840)-1))=4,DATE(VALUE(LEFT(AK840,4)),VALUE(MID(AK840,6,2)),VALUE(RIGHT(AK840,2))),DATE(VALUE(RIGHT(AK840,4)),VALUE(MID(AK840,4,2)),VALUE(LEFT(AK840,2)))),DATE(VALUE(RIGHT(AK840,4)),MATCH(MID(AK840,4,3),{"Jan","Feb","Mar","Apr","May","Jun","Jul","Aug","Sep","Oct","Nov","Dec"},0),VALUE(LEFT(AK840,2))))))</f>
        <v>45754</v>
      </c>
      <c r="D840" s="4" t="s">
        <v>3069</v>
      </c>
      <c r="E840" s="0" t="str">
        <f aca="false">PROPER(TRIM(AL840))</f>
        <v>Ananya Rao</v>
      </c>
      <c r="F840" s="0" t="str">
        <f aca="false">PROPER(TRIM(AM840))</f>
        <v>Small Business</v>
      </c>
      <c r="G840" s="0" t="str">
        <f aca="false">IF(TRIM(AN840)="","Unknown",PROPER(TRIM(AN840)))</f>
        <v>West</v>
      </c>
      <c r="H840" s="0" t="str">
        <f aca="false">PROPER(TRIM(AO840))</f>
        <v>Goa</v>
      </c>
      <c r="I840" s="0" t="str">
        <f aca="false">PROPER(TRIM(AP840))</f>
        <v>Panaji</v>
      </c>
      <c r="J840" s="0" t="str">
        <f aca="false">PROPER(TRIM(AQ840))</f>
        <v>Office Supplies</v>
      </c>
      <c r="K840" s="0" t="str">
        <f aca="false">PROPER(TRIM(AR840))</f>
        <v>Paper</v>
      </c>
      <c r="M840" s="0" t="str">
        <f aca="false">IF(TRIM(AS840)="","Unknown",PROPER(TRIM(AS840)))</f>
        <v>Same Day</v>
      </c>
      <c r="N840" s="0" t="n">
        <v>1</v>
      </c>
      <c r="O840" s="0" t="n">
        <v>1470.57</v>
      </c>
      <c r="P840" s="5" t="n">
        <f aca="false">IF(AT840="","",IF(ISNUMBER(AT840),AT840,VALUE(SUBSTITUTE(AT840,"%",""))/100))</f>
        <v>0</v>
      </c>
      <c r="Q840" s="5" t="n">
        <f aca="false">IF(P840="",IF(AND(N840&lt;&gt;"",O840&lt;&gt;"",R840&lt;&gt;"",S840&lt;&gt;""),0,"REVIEW"),IF(OR(P840&lt;0,P840&gt;0.3),0,P840))</f>
        <v>0</v>
      </c>
      <c r="R840" s="0" t="n">
        <v>1470.57</v>
      </c>
      <c r="S840" s="0" t="n">
        <v>834.02</v>
      </c>
      <c r="T840" s="6" t="n">
        <f aca="false">N840*O840*(1-Q840)</f>
        <v>1470.57</v>
      </c>
      <c r="U840" s="6" t="n">
        <f aca="false">T840-S840</f>
        <v>636.55</v>
      </c>
      <c r="V840" s="7" t="n">
        <f aca="false">IF(T840=0,0,U840/T840)</f>
        <v>0.432859367456156</v>
      </c>
      <c r="W840" s="4" t="n">
        <f aca="false">C840-B840</f>
        <v>4</v>
      </c>
      <c r="X840" s="0" t="str">
        <f aca="false">TEXT(B840,"mmmm")</f>
        <v>April</v>
      </c>
      <c r="Y840" s="4" t="n">
        <f aca="false">YEAR(B840)</f>
        <v>2025</v>
      </c>
      <c r="Z840" s="0" t="str">
        <f aca="false">PROPER(TRIM(AU840))</f>
        <v>Paid</v>
      </c>
      <c r="AA840" s="0" t="str">
        <f aca="false">PROPER(TRIM(AV840))</f>
        <v>Returned</v>
      </c>
      <c r="AB840" s="0" t="str">
        <f aca="false">IF(TRIM(AN840)="","Yes","No")</f>
        <v>No</v>
      </c>
      <c r="AC840" s="0" t="str">
        <f aca="false">IF(TRIM(AS840)="","Yes","No")</f>
        <v>No</v>
      </c>
      <c r="AD840" s="0" t="str">
        <f aca="false">IF(AT840="","Yes","No")</f>
        <v>No</v>
      </c>
      <c r="AE840" s="0" t="str">
        <f aca="false">IF(W840&lt;0,"Yes","No")</f>
        <v>No</v>
      </c>
      <c r="AF840" s="0" t="str">
        <f aca="false">IF(P840="","No",IF(OR(P840&lt;0,P840&gt;0.3),"Yes","No"))</f>
        <v>No</v>
      </c>
      <c r="AG840" s="4" t="s">
        <v>50</v>
      </c>
      <c r="AH840" s="0" t="str">
        <f aca="false">IF(AND(AA840="Completed",Z840="Paid"),"Yes","No")</f>
        <v>No</v>
      </c>
      <c r="AI840" s="0" t="str">
        <f aca="false">IF(OR(AE840="Yes",AF840="Yes",AG840="Yes"),"Invalid",IF(OR(AB840="Yes",AC840="Yes",AD840="Yes"),"Warning","Clean"))</f>
        <v>Clean</v>
      </c>
      <c r="AJ840" s="4" t="s">
        <v>431</v>
      </c>
      <c r="AK840" s="4" t="s">
        <v>3070</v>
      </c>
      <c r="AL840" s="4" t="s">
        <v>96</v>
      </c>
      <c r="AM840" s="4" t="s">
        <v>68</v>
      </c>
      <c r="AN840" s="4" t="s">
        <v>97</v>
      </c>
      <c r="AO840" s="4" t="s">
        <v>250</v>
      </c>
      <c r="AP840" s="4" t="s">
        <v>251</v>
      </c>
      <c r="AQ840" s="4" t="s">
        <v>58</v>
      </c>
      <c r="AR840" s="4" t="s">
        <v>59</v>
      </c>
      <c r="AS840" s="4" t="s">
        <v>74</v>
      </c>
      <c r="AT840" s="0" t="n">
        <v>0</v>
      </c>
      <c r="AU840" s="4" t="s">
        <v>61</v>
      </c>
      <c r="AV840" s="4" t="s">
        <v>142</v>
      </c>
    </row>
    <row r="841" customFormat="false" ht="15" hidden="false" customHeight="false" outlineLevel="0" collapsed="false">
      <c r="A841" s="0" t="s">
        <v>3071</v>
      </c>
      <c r="B841" s="3" t="n">
        <f aca="false">IF(AJ841="","",IF(ISNUMBER(SEARCH("/",AJ841)),DATE(VALUE(RIGHT(AJ841,4)),VALUE(LEFT(AJ841,2)),VALUE(MID(AJ841,4,2))),IF(ISNUMBER(SEARCH("-",AJ841)),IF(LEN(LEFT(AJ841,FIND("-",AJ841)-1))=4,DATE(VALUE(LEFT(AJ841,4)),VALUE(MID(AJ841,6,2)),VALUE(RIGHT(AJ841,2))),DATE(VALUE(RIGHT(AJ841,4)),VALUE(MID(AJ841,4,2)),VALUE(LEFT(AJ841,2)))),DATE(VALUE(RIGHT(AJ841,4)),MATCH(MID(AJ841,4,3),{"Jan","Feb","Mar","Apr","May","Jun","Jul","Aug","Sep","Oct","Nov","Dec"},0),VALUE(LEFT(AJ841,2))))))</f>
        <v>45555</v>
      </c>
      <c r="C841" s="3" t="n">
        <f aca="false">IF(AK841="","",IF(ISNUMBER(SEARCH("/",AK841)),DATE(VALUE(RIGHT(AK841,4)),VALUE(LEFT(AK841,2)),VALUE(MID(AK841,4,2))),IF(ISNUMBER(SEARCH("-",AK841)),IF(LEN(LEFT(AK841,FIND("-",AK841)-1))=4,DATE(VALUE(LEFT(AK841,4)),VALUE(MID(AK841,6,2)),VALUE(RIGHT(AK841,2))),DATE(VALUE(RIGHT(AK841,4)),VALUE(MID(AK841,4,2)),VALUE(LEFT(AK841,2)))),DATE(VALUE(RIGHT(AK841,4)),MATCH(MID(AK841,4,3),{"Jan","Feb","Mar","Apr","May","Jun","Jul","Aug","Sep","Oct","Nov","Dec"},0),VALUE(LEFT(AK841,2))))))</f>
        <v>45557</v>
      </c>
      <c r="D841" s="4" t="s">
        <v>3072</v>
      </c>
      <c r="E841" s="0" t="str">
        <f aca="false">PROPER(TRIM(AL841))</f>
        <v>Rohan Mehta</v>
      </c>
      <c r="F841" s="0" t="str">
        <f aca="false">PROPER(TRIM(AM841))</f>
        <v>Home Office</v>
      </c>
      <c r="G841" s="0" t="str">
        <f aca="false">IF(TRIM(AN841)="","Unknown",PROPER(TRIM(AN841)))</f>
        <v>East</v>
      </c>
      <c r="H841" s="0" t="str">
        <f aca="false">PROPER(TRIM(AO841))</f>
        <v>Odisha</v>
      </c>
      <c r="I841" s="0" t="str">
        <f aca="false">PROPER(TRIM(AP841))</f>
        <v>Bhubaneswar</v>
      </c>
      <c r="J841" s="0" t="str">
        <f aca="false">PROPER(TRIM(AQ841))</f>
        <v>Technology</v>
      </c>
      <c r="K841" s="0" t="str">
        <f aca="false">PROPER(TRIM(AR841))</f>
        <v>Phones</v>
      </c>
      <c r="M841" s="0" t="str">
        <f aca="false">IF(TRIM(AS841)="","Unknown",PROPER(TRIM(AS841)))</f>
        <v>Standard Class</v>
      </c>
      <c r="N841" s="0" t="n">
        <v>8</v>
      </c>
      <c r="O841" s="0" t="n">
        <v>531.43</v>
      </c>
      <c r="P841" s="5" t="n">
        <f aca="false">IF(AT841="","",IF(ISNUMBER(AT841),AT841,VALUE(SUBSTITUTE(AT841,"%",""))/100))</f>
        <v>0.1</v>
      </c>
      <c r="Q841" s="5" t="n">
        <f aca="false">IF(P841="",IF(AND(N841&lt;&gt;"",O841&lt;&gt;"",R841&lt;&gt;"",S841&lt;&gt;""),0,"REVIEW"),IF(OR(P841&lt;0,P841&gt;0.3),0,P841))</f>
        <v>0.1</v>
      </c>
      <c r="R841" s="0" t="n">
        <v>3826.3</v>
      </c>
      <c r="S841" s="0" t="n">
        <v>2194.12</v>
      </c>
      <c r="T841" s="6" t="n">
        <f aca="false">N841*O841*(1-Q841)</f>
        <v>3826.296</v>
      </c>
      <c r="U841" s="6" t="n">
        <f aca="false">T841-S841</f>
        <v>1632.176</v>
      </c>
      <c r="V841" s="7" t="n">
        <f aca="false">IF(T841=0,0,U841/T841)</f>
        <v>0.426568148412982</v>
      </c>
      <c r="W841" s="4" t="n">
        <f aca="false">C841-B841</f>
        <v>2</v>
      </c>
      <c r="X841" s="0" t="str">
        <f aca="false">TEXT(B841,"mmmm")</f>
        <v>September</v>
      </c>
      <c r="Y841" s="4" t="n">
        <f aca="false">YEAR(B841)</f>
        <v>2024</v>
      </c>
      <c r="Z841" s="0" t="str">
        <f aca="false">PROPER(TRIM(AU841))</f>
        <v>Paid</v>
      </c>
      <c r="AA841" s="0" t="str">
        <f aca="false">PROPER(TRIM(AV841))</f>
        <v>Completed</v>
      </c>
      <c r="AB841" s="0" t="str">
        <f aca="false">IF(TRIM(AN841)="","Yes","No")</f>
        <v>No</v>
      </c>
      <c r="AC841" s="0" t="str">
        <f aca="false">IF(TRIM(AS841)="","Yes","No")</f>
        <v>No</v>
      </c>
      <c r="AD841" s="0" t="str">
        <f aca="false">IF(AT841="","Yes","No")</f>
        <v>No</v>
      </c>
      <c r="AE841" s="0" t="str">
        <f aca="false">IF(W841&lt;0,"Yes","No")</f>
        <v>No</v>
      </c>
      <c r="AF841" s="0" t="str">
        <f aca="false">IF(P841="","No",IF(OR(P841&lt;0,P841&gt;0.3),"Yes","No"))</f>
        <v>No</v>
      </c>
      <c r="AG841" s="4" t="s">
        <v>50</v>
      </c>
      <c r="AH841" s="0" t="str">
        <f aca="false">IF(AND(AA841="Completed",Z841="Paid"),"Yes","No")</f>
        <v>Yes</v>
      </c>
      <c r="AI841" s="0" t="str">
        <f aca="false">IF(OR(AE841="Yes",AF841="Yes",AG841="Yes"),"Invalid",IF(OR(AB841="Yes",AC841="Yes",AD841="Yes"),"Warning","Clean"))</f>
        <v>Clean</v>
      </c>
      <c r="AJ841" s="4" t="s">
        <v>3073</v>
      </c>
      <c r="AK841" s="4" t="s">
        <v>3074</v>
      </c>
      <c r="AL841" s="4" t="s">
        <v>191</v>
      </c>
      <c r="AM841" s="4" t="s">
        <v>134</v>
      </c>
      <c r="AN841" s="4" t="s">
        <v>69</v>
      </c>
      <c r="AO841" s="4" t="s">
        <v>70</v>
      </c>
      <c r="AP841" s="4" t="s">
        <v>71</v>
      </c>
      <c r="AQ841" s="4" t="s">
        <v>109</v>
      </c>
      <c r="AR841" s="4" t="s">
        <v>227</v>
      </c>
      <c r="AS841" s="4" t="s">
        <v>91</v>
      </c>
      <c r="AT841" s="0" t="n">
        <v>0.1</v>
      </c>
      <c r="AU841" s="4" t="s">
        <v>61</v>
      </c>
      <c r="AV841" s="4" t="s">
        <v>62</v>
      </c>
    </row>
    <row r="842" customFormat="false" ht="15" hidden="false" customHeight="false" outlineLevel="0" collapsed="false">
      <c r="A842" s="0" t="s">
        <v>3075</v>
      </c>
      <c r="B842" s="3" t="n">
        <f aca="false">IF(AJ842="","",IF(ISNUMBER(SEARCH("/",AJ842)),DATE(VALUE(RIGHT(AJ842,4)),VALUE(LEFT(AJ842,2)),VALUE(MID(AJ842,4,2))),IF(ISNUMBER(SEARCH("-",AJ842)),IF(LEN(LEFT(AJ842,FIND("-",AJ842)-1))=4,DATE(VALUE(LEFT(AJ842,4)),VALUE(MID(AJ842,6,2)),VALUE(RIGHT(AJ842,2))),DATE(VALUE(RIGHT(AJ842,4)),VALUE(MID(AJ842,4,2)),VALUE(LEFT(AJ842,2)))),DATE(VALUE(RIGHT(AJ842,4)),MATCH(MID(AJ842,4,3),{"Jan","Feb","Mar","Apr","May","Jun","Jul","Aug","Sep","Oct","Nov","Dec"},0),VALUE(LEFT(AJ842,2))))))</f>
        <v>45919</v>
      </c>
      <c r="C842" s="3" t="n">
        <f aca="false">IF(AK842="","",IF(ISNUMBER(SEARCH("/",AK842)),DATE(VALUE(RIGHT(AK842,4)),VALUE(LEFT(AK842,2)),VALUE(MID(AK842,4,2))),IF(ISNUMBER(SEARCH("-",AK842)),IF(LEN(LEFT(AK842,FIND("-",AK842)-1))=4,DATE(VALUE(LEFT(AK842,4)),VALUE(MID(AK842,6,2)),VALUE(RIGHT(AK842,2))),DATE(VALUE(RIGHT(AK842,4)),VALUE(MID(AK842,4,2)),VALUE(LEFT(AK842,2)))),DATE(VALUE(RIGHT(AK842,4)),MATCH(MID(AK842,4,3),{"Jan","Feb","Mar","Apr","May","Jun","Jul","Aug","Sep","Oct","Nov","Dec"},0),VALUE(LEFT(AK842,2))))))</f>
        <v>45919</v>
      </c>
      <c r="D842" s="4" t="s">
        <v>3076</v>
      </c>
      <c r="E842" s="0" t="str">
        <f aca="false">PROPER(TRIM(AL842))</f>
        <v>Neha Gupta</v>
      </c>
      <c r="F842" s="0" t="str">
        <f aca="false">PROPER(TRIM(AM842))</f>
        <v>Home Office</v>
      </c>
      <c r="G842" s="0" t="str">
        <f aca="false">IF(TRIM(AN842)="","Unknown",PROPER(TRIM(AN842)))</f>
        <v>North</v>
      </c>
      <c r="H842" s="0" t="str">
        <f aca="false">PROPER(TRIM(AO842))</f>
        <v>Delhi</v>
      </c>
      <c r="I842" s="0" t="str">
        <f aca="false">PROPER(TRIM(AP842))</f>
        <v>New Delhi</v>
      </c>
      <c r="J842" s="0" t="str">
        <f aca="false">PROPER(TRIM(AQ842))</f>
        <v>Furniture</v>
      </c>
      <c r="K842" s="0" t="str">
        <f aca="false">PROPER(TRIM(AR842))</f>
        <v>Chairs</v>
      </c>
      <c r="M842" s="0" t="str">
        <f aca="false">IF(TRIM(AS842)="","Unknown",PROPER(TRIM(AS842)))</f>
        <v>Same Day</v>
      </c>
      <c r="N842" s="0" t="n">
        <v>4</v>
      </c>
      <c r="O842" s="0" t="n">
        <v>1584.11</v>
      </c>
      <c r="P842" s="5" t="n">
        <f aca="false">IF(AT842="","",IF(ISNUMBER(AT842),AT842,VALUE(SUBSTITUTE(AT842,"%",""))/100))</f>
        <v>0</v>
      </c>
      <c r="Q842" s="5" t="n">
        <f aca="false">IF(P842="",IF(AND(N842&lt;&gt;"",O842&lt;&gt;"",R842&lt;&gt;"",S842&lt;&gt;""),0,"REVIEW"),IF(OR(P842&lt;0,P842&gt;0.3),0,P842))</f>
        <v>0</v>
      </c>
      <c r="R842" s="0" t="n">
        <v>6336.44</v>
      </c>
      <c r="S842" s="0" t="n">
        <v>4680.68</v>
      </c>
      <c r="T842" s="6" t="n">
        <f aca="false">N842*O842*(1-Q842)</f>
        <v>6336.44</v>
      </c>
      <c r="U842" s="6" t="n">
        <f aca="false">T842-S842</f>
        <v>1655.76</v>
      </c>
      <c r="V842" s="7" t="n">
        <f aca="false">IF(T842=0,0,U842/T842)</f>
        <v>0.261307611213868</v>
      </c>
      <c r="W842" s="4" t="n">
        <f aca="false">C842-B842</f>
        <v>0</v>
      </c>
      <c r="X842" s="0" t="str">
        <f aca="false">TEXT(B842,"mmmm")</f>
        <v>September</v>
      </c>
      <c r="Y842" s="4" t="n">
        <f aca="false">YEAR(B842)</f>
        <v>2025</v>
      </c>
      <c r="Z842" s="0" t="str">
        <f aca="false">PROPER(TRIM(AU842))</f>
        <v>Paid</v>
      </c>
      <c r="AA842" s="0" t="str">
        <f aca="false">PROPER(TRIM(AV842))</f>
        <v>Completed</v>
      </c>
      <c r="AB842" s="0" t="str">
        <f aca="false">IF(TRIM(AN842)="","Yes","No")</f>
        <v>No</v>
      </c>
      <c r="AC842" s="0" t="str">
        <f aca="false">IF(TRIM(AS842)="","Yes","No")</f>
        <v>No</v>
      </c>
      <c r="AD842" s="0" t="str">
        <f aca="false">IF(AT842="","Yes","No")</f>
        <v>No</v>
      </c>
      <c r="AE842" s="0" t="str">
        <f aca="false">IF(W842&lt;0,"Yes","No")</f>
        <v>No</v>
      </c>
      <c r="AF842" s="0" t="str">
        <f aca="false">IF(P842="","No",IF(OR(P842&lt;0,P842&gt;0.3),"Yes","No"))</f>
        <v>No</v>
      </c>
      <c r="AG842" s="4" t="s">
        <v>50</v>
      </c>
      <c r="AH842" s="0" t="str">
        <f aca="false">IF(AND(AA842="Completed",Z842="Paid"),"Yes","No")</f>
        <v>Yes</v>
      </c>
      <c r="AI842" s="0" t="str">
        <f aca="false">IF(OR(AE842="Yes",AF842="Yes",AG842="Yes"),"Invalid",IF(OR(AB842="Yes",AC842="Yes",AD842="Yes"),"Warning","Clean"))</f>
        <v>Clean</v>
      </c>
      <c r="AJ842" s="4" t="s">
        <v>1566</v>
      </c>
      <c r="AK842" s="4" t="s">
        <v>1803</v>
      </c>
      <c r="AL842" s="4" t="s">
        <v>115</v>
      </c>
      <c r="AM842" s="4" t="s">
        <v>134</v>
      </c>
      <c r="AN842" s="4" t="s">
        <v>168</v>
      </c>
      <c r="AO842" s="4" t="s">
        <v>461</v>
      </c>
      <c r="AP842" s="4" t="s">
        <v>462</v>
      </c>
      <c r="AQ842" s="4" t="s">
        <v>72</v>
      </c>
      <c r="AR842" s="4" t="s">
        <v>100</v>
      </c>
      <c r="AS842" s="4" t="s">
        <v>74</v>
      </c>
      <c r="AT842" s="0" t="n">
        <v>0</v>
      </c>
      <c r="AU842" s="4" t="s">
        <v>61</v>
      </c>
      <c r="AV842" s="4" t="s">
        <v>62</v>
      </c>
    </row>
    <row r="843" customFormat="false" ht="15" hidden="false" customHeight="false" outlineLevel="0" collapsed="false">
      <c r="A843" s="0" t="s">
        <v>3077</v>
      </c>
      <c r="B843" s="3" t="n">
        <f aca="false">IF(AJ843="","",IF(ISNUMBER(SEARCH("/",AJ843)),DATE(VALUE(RIGHT(AJ843,4)),VALUE(LEFT(AJ843,2)),VALUE(MID(AJ843,4,2))),IF(ISNUMBER(SEARCH("-",AJ843)),IF(LEN(LEFT(AJ843,FIND("-",AJ843)-1))=4,DATE(VALUE(LEFT(AJ843,4)),VALUE(MID(AJ843,6,2)),VALUE(RIGHT(AJ843,2))),DATE(VALUE(RIGHT(AJ843,4)),VALUE(MID(AJ843,4,2)),VALUE(LEFT(AJ843,2)))),DATE(VALUE(RIGHT(AJ843,4)),MATCH(MID(AJ843,4,3),{"Jan","Feb","Mar","Apr","May","Jun","Jul","Aug","Sep","Oct","Nov","Dec"},0),VALUE(LEFT(AJ843,2))))))</f>
        <v>45694</v>
      </c>
      <c r="C843" s="3" t="n">
        <f aca="false">IF(AK843="","",IF(ISNUMBER(SEARCH("/",AK843)),DATE(VALUE(RIGHT(AK843,4)),VALUE(LEFT(AK843,2)),VALUE(MID(AK843,4,2))),IF(ISNUMBER(SEARCH("-",AK843)),IF(LEN(LEFT(AK843,FIND("-",AK843)-1))=4,DATE(VALUE(LEFT(AK843,4)),VALUE(MID(AK843,6,2)),VALUE(RIGHT(AK843,2))),DATE(VALUE(RIGHT(AK843,4)),VALUE(MID(AK843,4,2)),VALUE(LEFT(AK843,2)))),DATE(VALUE(RIGHT(AK843,4)),MATCH(MID(AK843,4,3),{"Jan","Feb","Mar","Apr","May","Jun","Jul","Aug","Sep","Oct","Nov","Dec"},0),VALUE(LEFT(AK843,2))))))</f>
        <v>45700</v>
      </c>
      <c r="D843" s="4" t="s">
        <v>3078</v>
      </c>
      <c r="E843" s="0" t="str">
        <f aca="false">PROPER(TRIM(AL843))</f>
        <v>Ananya Rao</v>
      </c>
      <c r="F843" s="0" t="str">
        <f aca="false">PROPER(TRIM(AM843))</f>
        <v>Small Business</v>
      </c>
      <c r="G843" s="0" t="str">
        <f aca="false">IF(TRIM(AN843)="","Unknown",PROPER(TRIM(AN843)))</f>
        <v>East</v>
      </c>
      <c r="H843" s="0" t="str">
        <f aca="false">PROPER(TRIM(AO843))</f>
        <v>Bihar</v>
      </c>
      <c r="I843" s="0" t="str">
        <f aca="false">PROPER(TRIM(AP843))</f>
        <v>Patna</v>
      </c>
      <c r="J843" s="0" t="str">
        <f aca="false">PROPER(TRIM(AQ843))</f>
        <v>Office Supplies</v>
      </c>
      <c r="K843" s="0" t="str">
        <f aca="false">PROPER(TRIM(AR843))</f>
        <v>Art</v>
      </c>
      <c r="M843" s="0" t="str">
        <f aca="false">IF(TRIM(AS843)="","Unknown",PROPER(TRIM(AS843)))</f>
        <v>Standard Class</v>
      </c>
      <c r="N843" s="0" t="n">
        <v>9</v>
      </c>
      <c r="O843" s="0" t="n">
        <v>3237.16</v>
      </c>
      <c r="P843" s="5" t="n">
        <f aca="false">IF(AT843="","",IF(ISNUMBER(AT843),AT843,VALUE(SUBSTITUTE(AT843,"%",""))/100))</f>
        <v>0.25</v>
      </c>
      <c r="Q843" s="5" t="n">
        <f aca="false">IF(P843="",IF(AND(N843&lt;&gt;"",O843&lt;&gt;"",R843&lt;&gt;"",S843&lt;&gt;""),0,"REVIEW"),IF(OR(P843&lt;0,P843&gt;0.3),0,P843))</f>
        <v>0.25</v>
      </c>
      <c r="R843" s="0" t="n">
        <v>21850.83</v>
      </c>
      <c r="S843" s="0" t="n">
        <v>16600.13</v>
      </c>
      <c r="T843" s="6" t="n">
        <f aca="false">N843*O843*(1-Q843)</f>
        <v>21850.83</v>
      </c>
      <c r="U843" s="6" t="n">
        <f aca="false">T843-S843</f>
        <v>5250.7</v>
      </c>
      <c r="V843" s="7" t="n">
        <f aca="false">IF(T843=0,0,U843/T843)</f>
        <v>0.240297508149576</v>
      </c>
      <c r="W843" s="4" t="n">
        <f aca="false">C843-B843</f>
        <v>6</v>
      </c>
      <c r="X843" s="0" t="str">
        <f aca="false">TEXT(B843,"mmmm")</f>
        <v>February</v>
      </c>
      <c r="Y843" s="4" t="n">
        <f aca="false">YEAR(B843)</f>
        <v>2025</v>
      </c>
      <c r="Z843" s="0" t="str">
        <f aca="false">PROPER(TRIM(AU843))</f>
        <v>Paid</v>
      </c>
      <c r="AA843" s="0" t="str">
        <f aca="false">PROPER(TRIM(AV843))</f>
        <v>Completed</v>
      </c>
      <c r="AB843" s="0" t="str">
        <f aca="false">IF(TRIM(AN843)="","Yes","No")</f>
        <v>No</v>
      </c>
      <c r="AC843" s="0" t="str">
        <f aca="false">IF(TRIM(AS843)="","Yes","No")</f>
        <v>No</v>
      </c>
      <c r="AD843" s="0" t="str">
        <f aca="false">IF(AT843="","Yes","No")</f>
        <v>No</v>
      </c>
      <c r="AE843" s="0" t="str">
        <f aca="false">IF(W843&lt;0,"Yes","No")</f>
        <v>No</v>
      </c>
      <c r="AF843" s="0" t="str">
        <f aca="false">IF(P843="","No",IF(OR(P843&lt;0,P843&gt;0.3),"Yes","No"))</f>
        <v>No</v>
      </c>
      <c r="AG843" s="4" t="s">
        <v>50</v>
      </c>
      <c r="AH843" s="0" t="str">
        <f aca="false">IF(AND(AA843="Completed",Z843="Paid"),"Yes","No")</f>
        <v>Yes</v>
      </c>
      <c r="AI843" s="0" t="str">
        <f aca="false">IF(OR(AE843="Yes",AF843="Yes",AG843="Yes"),"Invalid",IF(OR(AB843="Yes",AC843="Yes",AD843="Yes"),"Warning","Clean"))</f>
        <v>Clean</v>
      </c>
      <c r="AJ843" s="4" t="s">
        <v>3079</v>
      </c>
      <c r="AK843" s="4" t="s">
        <v>3080</v>
      </c>
      <c r="AL843" s="4" t="s">
        <v>96</v>
      </c>
      <c r="AM843" s="4" t="s">
        <v>68</v>
      </c>
      <c r="AN843" s="4" t="s">
        <v>69</v>
      </c>
      <c r="AO843" s="4" t="s">
        <v>196</v>
      </c>
      <c r="AP843" s="4" t="s">
        <v>197</v>
      </c>
      <c r="AQ843" s="4" t="s">
        <v>58</v>
      </c>
      <c r="AR843" s="4" t="s">
        <v>80</v>
      </c>
      <c r="AS843" s="4" t="s">
        <v>91</v>
      </c>
      <c r="AT843" s="0" t="n">
        <v>0.25</v>
      </c>
      <c r="AU843" s="4" t="s">
        <v>61</v>
      </c>
      <c r="AV843" s="4" t="s">
        <v>62</v>
      </c>
    </row>
    <row r="844" customFormat="false" ht="15" hidden="false" customHeight="false" outlineLevel="0" collapsed="false">
      <c r="A844" s="0" t="s">
        <v>3081</v>
      </c>
      <c r="B844" s="3" t="n">
        <f aca="false">IF(AJ844="","",IF(ISNUMBER(SEARCH("/",AJ844)),DATE(VALUE(RIGHT(AJ844,4)),VALUE(LEFT(AJ844,2)),VALUE(MID(AJ844,4,2))),IF(ISNUMBER(SEARCH("-",AJ844)),IF(LEN(LEFT(AJ844,FIND("-",AJ844)-1))=4,DATE(VALUE(LEFT(AJ844,4)),VALUE(MID(AJ844,6,2)),VALUE(RIGHT(AJ844,2))),DATE(VALUE(RIGHT(AJ844,4)),VALUE(MID(AJ844,4,2)),VALUE(LEFT(AJ844,2)))),DATE(VALUE(RIGHT(AJ844,4)),MATCH(MID(AJ844,4,3),{"Jan","Feb","Mar","Apr","May","Jun","Jul","Aug","Sep","Oct","Nov","Dec"},0),VALUE(LEFT(AJ844,2))))))</f>
        <v>45382</v>
      </c>
      <c r="C844" s="3" t="n">
        <f aca="false">IF(AK844="","",IF(ISNUMBER(SEARCH("/",AK844)),DATE(VALUE(RIGHT(AK844,4)),VALUE(LEFT(AK844,2)),VALUE(MID(AK844,4,2))),IF(ISNUMBER(SEARCH("-",AK844)),IF(LEN(LEFT(AK844,FIND("-",AK844)-1))=4,DATE(VALUE(LEFT(AK844,4)),VALUE(MID(AK844,6,2)),VALUE(RIGHT(AK844,2))),DATE(VALUE(RIGHT(AK844,4)),VALUE(MID(AK844,4,2)),VALUE(LEFT(AK844,2)))),DATE(VALUE(RIGHT(AK844,4)),MATCH(MID(AK844,4,3),{"Jan","Feb","Mar","Apr","May","Jun","Jul","Aug","Sep","Oct","Nov","Dec"},0),VALUE(LEFT(AK844,2))))))</f>
        <v>45381</v>
      </c>
      <c r="D844" s="4" t="s">
        <v>3082</v>
      </c>
      <c r="E844" s="0" t="str">
        <f aca="false">PROPER(TRIM(AL844))</f>
        <v>Kabir Singh</v>
      </c>
      <c r="F844" s="0" t="str">
        <f aca="false">PROPER(TRIM(AM844))</f>
        <v>Consumer</v>
      </c>
      <c r="G844" s="0" t="str">
        <f aca="false">IF(TRIM(AN844)="","Unknown",PROPER(TRIM(AN844)))</f>
        <v>North</v>
      </c>
      <c r="H844" s="0" t="str">
        <f aca="false">PROPER(TRIM(AO844))</f>
        <v>Haryana</v>
      </c>
      <c r="I844" s="0" t="str">
        <f aca="false">PROPER(TRIM(AP844))</f>
        <v>Gurugram</v>
      </c>
      <c r="J844" s="0" t="str">
        <f aca="false">PROPER(TRIM(AQ844))</f>
        <v>Technology</v>
      </c>
      <c r="K844" s="0" t="str">
        <f aca="false">PROPER(TRIM(AR844))</f>
        <v>Machines</v>
      </c>
      <c r="M844" s="0" t="str">
        <f aca="false">IF(TRIM(AS844)="","Unknown",PROPER(TRIM(AS844)))</f>
        <v>First Class</v>
      </c>
      <c r="N844" s="0" t="n">
        <v>4</v>
      </c>
      <c r="O844" s="0" t="n">
        <v>2192.08</v>
      </c>
      <c r="P844" s="5" t="n">
        <f aca="false">IF(AT844="","",IF(ISNUMBER(AT844),AT844,VALUE(SUBSTITUTE(AT844,"%",""))/100))</f>
        <v>0.15</v>
      </c>
      <c r="Q844" s="5" t="n">
        <f aca="false">IF(P844="",IF(AND(N844&lt;&gt;"",O844&lt;&gt;"",R844&lt;&gt;"",S844&lt;&gt;""),0,"REVIEW"),IF(OR(P844&lt;0,P844&gt;0.3),0,P844))</f>
        <v>0.15</v>
      </c>
      <c r="R844" s="0" t="n">
        <v>7453.07</v>
      </c>
      <c r="S844" s="0" t="n">
        <v>5133.78</v>
      </c>
      <c r="T844" s="6" t="n">
        <f aca="false">N844*O844*(1-Q844)</f>
        <v>7453.072</v>
      </c>
      <c r="U844" s="6" t="n">
        <f aca="false">T844-S844</f>
        <v>2319.292</v>
      </c>
      <c r="V844" s="7" t="n">
        <f aca="false">IF(T844=0,0,U844/T844)</f>
        <v>0.311186045163659</v>
      </c>
      <c r="W844" s="4" t="n">
        <f aca="false">C844-B844</f>
        <v>-1</v>
      </c>
      <c r="X844" s="0" t="str">
        <f aca="false">TEXT(B844,"mmmm")</f>
        <v>March</v>
      </c>
      <c r="Y844" s="4" t="n">
        <f aca="false">YEAR(B844)</f>
        <v>2024</v>
      </c>
      <c r="Z844" s="0" t="str">
        <f aca="false">PROPER(TRIM(AU844))</f>
        <v>Paid</v>
      </c>
      <c r="AA844" s="0" t="str">
        <f aca="false">PROPER(TRIM(AV844))</f>
        <v>Returned</v>
      </c>
      <c r="AB844" s="0" t="str">
        <f aca="false">IF(TRIM(AN844)="","Yes","No")</f>
        <v>No</v>
      </c>
      <c r="AC844" s="0" t="str">
        <f aca="false">IF(TRIM(AS844)="","Yes","No")</f>
        <v>No</v>
      </c>
      <c r="AD844" s="0" t="str">
        <f aca="false">IF(AT844="","Yes","No")</f>
        <v>No</v>
      </c>
      <c r="AE844" s="0" t="str">
        <f aca="false">IF(W844&lt;0,"Yes","No")</f>
        <v>Yes</v>
      </c>
      <c r="AF844" s="0" t="str">
        <f aca="false">IF(P844="","No",IF(OR(P844&lt;0,P844&gt;0.3),"Yes","No"))</f>
        <v>No</v>
      </c>
      <c r="AG844" s="4" t="s">
        <v>50</v>
      </c>
      <c r="AH844" s="0" t="str">
        <f aca="false">IF(AND(AA844="Completed",Z844="Paid"),"Yes","No")</f>
        <v>No</v>
      </c>
      <c r="AI844" s="0" t="str">
        <f aca="false">IF(OR(AE844="Yes",AF844="Yes",AG844="Yes"),"Invalid",IF(OR(AB844="Yes",AC844="Yes",AD844="Yes"),"Warning","Clean"))</f>
        <v>Invalid</v>
      </c>
      <c r="AJ844" s="4" t="s">
        <v>3083</v>
      </c>
      <c r="AK844" s="4" t="s">
        <v>3084</v>
      </c>
      <c r="AL844" s="4" t="s">
        <v>3085</v>
      </c>
      <c r="AM844" s="4" t="s">
        <v>54</v>
      </c>
      <c r="AN844" s="4" t="s">
        <v>168</v>
      </c>
      <c r="AO844" s="4" t="s">
        <v>310</v>
      </c>
      <c r="AP844" s="4" t="s">
        <v>311</v>
      </c>
      <c r="AQ844" s="4" t="s">
        <v>109</v>
      </c>
      <c r="AR844" s="4" t="s">
        <v>360</v>
      </c>
      <c r="AS844" s="4" t="s">
        <v>81</v>
      </c>
      <c r="AT844" s="0" t="n">
        <v>0.15</v>
      </c>
      <c r="AU844" s="4" t="s">
        <v>61</v>
      </c>
      <c r="AV844" s="4" t="s">
        <v>142</v>
      </c>
    </row>
    <row r="845" customFormat="false" ht="15" hidden="false" customHeight="false" outlineLevel="0" collapsed="false">
      <c r="A845" s="0" t="s">
        <v>3086</v>
      </c>
      <c r="B845" s="3" t="n">
        <f aca="false">IF(AJ845="","",IF(ISNUMBER(SEARCH("/",AJ845)),DATE(VALUE(RIGHT(AJ845,4)),VALUE(LEFT(AJ845,2)),VALUE(MID(AJ845,4,2))),IF(ISNUMBER(SEARCH("-",AJ845)),IF(LEN(LEFT(AJ845,FIND("-",AJ845)-1))=4,DATE(VALUE(LEFT(AJ845,4)),VALUE(MID(AJ845,6,2)),VALUE(RIGHT(AJ845,2))),DATE(VALUE(RIGHT(AJ845,4)),VALUE(MID(AJ845,4,2)),VALUE(LEFT(AJ845,2)))),DATE(VALUE(RIGHT(AJ845,4)),MATCH(MID(AJ845,4,3),{"Jan","Feb","Mar","Apr","May","Jun","Jul","Aug","Sep","Oct","Nov","Dec"},0),VALUE(LEFT(AJ845,2))))))</f>
        <v>45856</v>
      </c>
      <c r="C845" s="3" t="n">
        <f aca="false">IF(AK845="","",IF(ISNUMBER(SEARCH("/",AK845)),DATE(VALUE(RIGHT(AK845,4)),VALUE(LEFT(AK845,2)),VALUE(MID(AK845,4,2))),IF(ISNUMBER(SEARCH("-",AK845)),IF(LEN(LEFT(AK845,FIND("-",AK845)-1))=4,DATE(VALUE(LEFT(AK845,4)),VALUE(MID(AK845,6,2)),VALUE(RIGHT(AK845,2))),DATE(VALUE(RIGHT(AK845,4)),VALUE(MID(AK845,4,2)),VALUE(LEFT(AK845,2)))),DATE(VALUE(RIGHT(AK845,4)),MATCH(MID(AK845,4,3),{"Jan","Feb","Mar","Apr","May","Jun","Jul","Aug","Sep","Oct","Nov","Dec"},0),VALUE(LEFT(AK845,2))))))</f>
        <v>45863</v>
      </c>
      <c r="D845" s="4" t="s">
        <v>3087</v>
      </c>
      <c r="E845" s="0" t="str">
        <f aca="false">PROPER(TRIM(AL845))</f>
        <v>Priya Menon</v>
      </c>
      <c r="F845" s="0" t="str">
        <f aca="false">PROPER(TRIM(AM845))</f>
        <v>Small Business</v>
      </c>
      <c r="G845" s="0" t="str">
        <f aca="false">IF(TRIM(AN845)="","Unknown",PROPER(TRIM(AN845)))</f>
        <v>North</v>
      </c>
      <c r="H845" s="0" t="str">
        <f aca="false">PROPER(TRIM(AO845))</f>
        <v>Uttar Pradesh</v>
      </c>
      <c r="I845" s="0" t="str">
        <f aca="false">PROPER(TRIM(AP845))</f>
        <v>Noida</v>
      </c>
      <c r="J845" s="0" t="str">
        <f aca="false">PROPER(TRIM(AQ845))</f>
        <v>Technology</v>
      </c>
      <c r="K845" s="0" t="str">
        <f aca="false">PROPER(TRIM(AR845))</f>
        <v>Phones</v>
      </c>
      <c r="M845" s="0" t="str">
        <f aca="false">IF(TRIM(AS845)="","Unknown",PROPER(TRIM(AS845)))</f>
        <v>First Class</v>
      </c>
      <c r="N845" s="0" t="n">
        <v>9</v>
      </c>
      <c r="O845" s="0" t="n">
        <v>3989.52</v>
      </c>
      <c r="P845" s="5" t="n">
        <f aca="false">IF(AT845="","",IF(ISNUMBER(AT845),AT845,VALUE(SUBSTITUTE(AT845,"%",""))/100))</f>
        <v>-0.02</v>
      </c>
      <c r="Q845" s="5" t="n">
        <f aca="false">IF(P845="",IF(AND(N845&lt;&gt;"",O845&lt;&gt;"",R845&lt;&gt;"",S845&lt;&gt;""),0,"REVIEW"),IF(OR(P845&lt;0,P845&gt;0.3),0,P845))</f>
        <v>0</v>
      </c>
      <c r="R845" s="0" t="n">
        <v>35905.68</v>
      </c>
      <c r="S845" s="0" t="n">
        <v>23916.1</v>
      </c>
      <c r="T845" s="6" t="n">
        <f aca="false">N845*O845*(1-Q845)</f>
        <v>35905.68</v>
      </c>
      <c r="U845" s="6" t="n">
        <f aca="false">T845-S845</f>
        <v>11989.58</v>
      </c>
      <c r="V845" s="7" t="n">
        <f aca="false">IF(T845=0,0,U845/T845)</f>
        <v>0.333918756029687</v>
      </c>
      <c r="W845" s="4" t="n">
        <f aca="false">C845-B845</f>
        <v>7</v>
      </c>
      <c r="X845" s="0" t="str">
        <f aca="false">TEXT(B845,"mmmm")</f>
        <v>July</v>
      </c>
      <c r="Y845" s="4" t="n">
        <f aca="false">YEAR(B845)</f>
        <v>2025</v>
      </c>
      <c r="Z845" s="0" t="str">
        <f aca="false">PROPER(TRIM(AU845))</f>
        <v>Paid</v>
      </c>
      <c r="AA845" s="0" t="str">
        <f aca="false">PROPER(TRIM(AV845))</f>
        <v>Completed</v>
      </c>
      <c r="AB845" s="0" t="str">
        <f aca="false">IF(TRIM(AN845)="","Yes","No")</f>
        <v>No</v>
      </c>
      <c r="AC845" s="0" t="str">
        <f aca="false">IF(TRIM(AS845)="","Yes","No")</f>
        <v>No</v>
      </c>
      <c r="AD845" s="0" t="str">
        <f aca="false">IF(AT845="","Yes","No")</f>
        <v>No</v>
      </c>
      <c r="AE845" s="0" t="str">
        <f aca="false">IF(W845&lt;0,"Yes","No")</f>
        <v>No</v>
      </c>
      <c r="AF845" s="0" t="str">
        <f aca="false">IF(P845="","No",IF(OR(P845&lt;0,P845&gt;0.3),"Yes","No"))</f>
        <v>Yes</v>
      </c>
      <c r="AG845" s="4" t="s">
        <v>50</v>
      </c>
      <c r="AH845" s="0" t="str">
        <f aca="false">IF(AND(AA845="Completed",Z845="Paid"),"Yes","No")</f>
        <v>Yes</v>
      </c>
      <c r="AI845" s="0" t="str">
        <f aca="false">IF(OR(AE845="Yes",AF845="Yes",AG845="Yes"),"Invalid",IF(OR(AB845="Yes",AC845="Yes",AD845="Yes"),"Warning","Clean"))</f>
        <v>Invalid</v>
      </c>
      <c r="AJ845" s="4" t="s">
        <v>2194</v>
      </c>
      <c r="AK845" s="4" t="s">
        <v>3088</v>
      </c>
      <c r="AL845" s="4" t="s">
        <v>158</v>
      </c>
      <c r="AM845" s="4" t="s">
        <v>68</v>
      </c>
      <c r="AN845" s="4" t="s">
        <v>168</v>
      </c>
      <c r="AO845" s="4" t="s">
        <v>186</v>
      </c>
      <c r="AP845" s="4" t="s">
        <v>187</v>
      </c>
      <c r="AQ845" s="4" t="s">
        <v>109</v>
      </c>
      <c r="AR845" s="4" t="s">
        <v>227</v>
      </c>
      <c r="AS845" s="4" t="s">
        <v>81</v>
      </c>
      <c r="AT845" s="0" t="n">
        <v>-0.02</v>
      </c>
      <c r="AU845" s="4" t="s">
        <v>61</v>
      </c>
      <c r="AV845" s="4" t="s">
        <v>62</v>
      </c>
    </row>
    <row r="846" customFormat="false" ht="15" hidden="false" customHeight="false" outlineLevel="0" collapsed="false">
      <c r="A846" s="0" t="s">
        <v>3089</v>
      </c>
      <c r="B846" s="3" t="n">
        <f aca="false">IF(AJ846="","",IF(ISNUMBER(SEARCH("/",AJ846)),DATE(VALUE(RIGHT(AJ846,4)),VALUE(LEFT(AJ846,2)),VALUE(MID(AJ846,4,2))),IF(ISNUMBER(SEARCH("-",AJ846)),IF(LEN(LEFT(AJ846,FIND("-",AJ846)-1))=4,DATE(VALUE(LEFT(AJ846,4)),VALUE(MID(AJ846,6,2)),VALUE(RIGHT(AJ846,2))),DATE(VALUE(RIGHT(AJ846,4)),VALUE(MID(AJ846,4,2)),VALUE(LEFT(AJ846,2)))),DATE(VALUE(RIGHT(AJ846,4)),MATCH(MID(AJ846,4,3),{"Jan","Feb","Mar","Apr","May","Jun","Jul","Aug","Sep","Oct","Nov","Dec"},0),VALUE(LEFT(AJ846,2))))))</f>
        <v>45677</v>
      </c>
      <c r="C846" s="3" t="n">
        <f aca="false">IF(AK846="","",IF(ISNUMBER(SEARCH("/",AK846)),DATE(VALUE(RIGHT(AK846,4)),VALUE(LEFT(AK846,2)),VALUE(MID(AK846,4,2))),IF(ISNUMBER(SEARCH("-",AK846)),IF(LEN(LEFT(AK846,FIND("-",AK846)-1))=4,DATE(VALUE(LEFT(AK846,4)),VALUE(MID(AK846,6,2)),VALUE(RIGHT(AK846,2))),DATE(VALUE(RIGHT(AK846,4)),VALUE(MID(AK846,4,2)),VALUE(LEFT(AK846,2)))),DATE(VALUE(RIGHT(AK846,4)),MATCH(MID(AK846,4,3),{"Jan","Feb","Mar","Apr","May","Jun","Jul","Aug","Sep","Oct","Nov","Dec"},0),VALUE(LEFT(AK846,2))))))</f>
        <v>45682</v>
      </c>
      <c r="D846" s="4" t="s">
        <v>3090</v>
      </c>
      <c r="E846" s="0" t="str">
        <f aca="false">PROPER(TRIM(AL846))</f>
        <v>Aditi Sen</v>
      </c>
      <c r="F846" s="0" t="str">
        <f aca="false">PROPER(TRIM(AM846))</f>
        <v>Home Office</v>
      </c>
      <c r="G846" s="0" t="str">
        <f aca="false">IF(TRIM(AN846)="","Unknown",PROPER(TRIM(AN846)))</f>
        <v>West</v>
      </c>
      <c r="H846" s="0" t="str">
        <f aca="false">PROPER(TRIM(AO846))</f>
        <v>Goa</v>
      </c>
      <c r="I846" s="0" t="str">
        <f aca="false">PROPER(TRIM(AP846))</f>
        <v>Panaji</v>
      </c>
      <c r="J846" s="0" t="str">
        <f aca="false">PROPER(TRIM(AQ846))</f>
        <v>Office Supplies</v>
      </c>
      <c r="K846" s="0" t="str">
        <f aca="false">PROPER(TRIM(AR846))</f>
        <v>Art</v>
      </c>
      <c r="M846" s="0" t="str">
        <f aca="false">IF(TRIM(AS846)="","Unknown",PROPER(TRIM(AS846)))</f>
        <v>First Class</v>
      </c>
      <c r="N846" s="0" t="n">
        <v>1</v>
      </c>
      <c r="O846" s="0" t="n">
        <v>3515.15</v>
      </c>
      <c r="P846" s="5" t="n">
        <f aca="false">IF(AT846="","",IF(ISNUMBER(AT846),AT846,VALUE(SUBSTITUTE(AT846,"%",""))/100))</f>
        <v>0</v>
      </c>
      <c r="Q846" s="5" t="n">
        <f aca="false">IF(P846="",IF(AND(N846&lt;&gt;"",O846&lt;&gt;"",R846&lt;&gt;"",S846&lt;&gt;""),0,"REVIEW"),IF(OR(P846&lt;0,P846&gt;0.3),0,P846))</f>
        <v>0</v>
      </c>
      <c r="R846" s="0" t="n">
        <v>3515.15</v>
      </c>
      <c r="S846" s="0" t="n">
        <v>2216.34</v>
      </c>
      <c r="T846" s="6" t="n">
        <f aca="false">N846*O846*(1-Q846)</f>
        <v>3515.15</v>
      </c>
      <c r="U846" s="6" t="n">
        <f aca="false">T846-S846</f>
        <v>1298.81</v>
      </c>
      <c r="V846" s="7" t="n">
        <f aca="false">IF(T846=0,0,U846/T846)</f>
        <v>0.369489210986729</v>
      </c>
      <c r="W846" s="4" t="n">
        <f aca="false">C846-B846</f>
        <v>5</v>
      </c>
      <c r="X846" s="0" t="str">
        <f aca="false">TEXT(B846,"mmmm")</f>
        <v>January</v>
      </c>
      <c r="Y846" s="4" t="n">
        <f aca="false">YEAR(B846)</f>
        <v>2025</v>
      </c>
      <c r="Z846" s="0" t="str">
        <f aca="false">PROPER(TRIM(AU846))</f>
        <v>Paid</v>
      </c>
      <c r="AA846" s="0" t="str">
        <f aca="false">PROPER(TRIM(AV846))</f>
        <v>Completed</v>
      </c>
      <c r="AB846" s="0" t="str">
        <f aca="false">IF(TRIM(AN846)="","Yes","No")</f>
        <v>No</v>
      </c>
      <c r="AC846" s="0" t="str">
        <f aca="false">IF(TRIM(AS846)="","Yes","No")</f>
        <v>No</v>
      </c>
      <c r="AD846" s="0" t="str">
        <f aca="false">IF(AT846="","Yes","No")</f>
        <v>No</v>
      </c>
      <c r="AE846" s="0" t="str">
        <f aca="false">IF(W846&lt;0,"Yes","No")</f>
        <v>No</v>
      </c>
      <c r="AF846" s="0" t="str">
        <f aca="false">IF(P846="","No",IF(OR(P846&lt;0,P846&gt;0.3),"Yes","No"))</f>
        <v>No</v>
      </c>
      <c r="AG846" s="4" t="s">
        <v>50</v>
      </c>
      <c r="AH846" s="0" t="str">
        <f aca="false">IF(AND(AA846="Completed",Z846="Paid"),"Yes","No")</f>
        <v>Yes</v>
      </c>
      <c r="AI846" s="0" t="str">
        <f aca="false">IF(OR(AE846="Yes",AF846="Yes",AG846="Yes"),"Invalid",IF(OR(AB846="Yes",AC846="Yes",AD846="Yes"),"Warning","Clean"))</f>
        <v>Clean</v>
      </c>
      <c r="AJ846" s="4" t="s">
        <v>3091</v>
      </c>
      <c r="AK846" s="4" t="s">
        <v>3092</v>
      </c>
      <c r="AL846" s="4" t="s">
        <v>127</v>
      </c>
      <c r="AM846" s="4" t="s">
        <v>134</v>
      </c>
      <c r="AN846" s="4" t="s">
        <v>97</v>
      </c>
      <c r="AO846" s="4" t="s">
        <v>250</v>
      </c>
      <c r="AP846" s="4" t="s">
        <v>251</v>
      </c>
      <c r="AQ846" s="4" t="s">
        <v>58</v>
      </c>
      <c r="AR846" s="4" t="s">
        <v>80</v>
      </c>
      <c r="AS846" s="4" t="s">
        <v>81</v>
      </c>
      <c r="AT846" s="0" t="n">
        <v>0</v>
      </c>
      <c r="AU846" s="4" t="s">
        <v>61</v>
      </c>
      <c r="AV846" s="4" t="s">
        <v>62</v>
      </c>
    </row>
    <row r="847" customFormat="false" ht="15" hidden="false" customHeight="false" outlineLevel="0" collapsed="false">
      <c r="A847" s="0" t="s">
        <v>3093</v>
      </c>
      <c r="B847" s="3" t="n">
        <f aca="false">IF(AJ847="","",IF(ISNUMBER(SEARCH("/",AJ847)),DATE(VALUE(RIGHT(AJ847,4)),VALUE(LEFT(AJ847,2)),VALUE(MID(AJ847,4,2))),IF(ISNUMBER(SEARCH("-",AJ847)),IF(LEN(LEFT(AJ847,FIND("-",AJ847)-1))=4,DATE(VALUE(LEFT(AJ847,4)),VALUE(MID(AJ847,6,2)),VALUE(RIGHT(AJ847,2))),DATE(VALUE(RIGHT(AJ847,4)),VALUE(MID(AJ847,4,2)),VALUE(LEFT(AJ847,2)))),DATE(VALUE(RIGHT(AJ847,4)),MATCH(MID(AJ847,4,3),{"Jan","Feb","Mar","Apr","May","Jun","Jul","Aug","Sep","Oct","Nov","Dec"},0),VALUE(LEFT(AJ847,2))))))</f>
        <v>45345</v>
      </c>
      <c r="C847" s="3" t="n">
        <f aca="false">IF(AK847="","",IF(ISNUMBER(SEARCH("/",AK847)),DATE(VALUE(RIGHT(AK847,4)),VALUE(LEFT(AK847,2)),VALUE(MID(AK847,4,2))),IF(ISNUMBER(SEARCH("-",AK847)),IF(LEN(LEFT(AK847,FIND("-",AK847)-1))=4,DATE(VALUE(LEFT(AK847,4)),VALUE(MID(AK847,6,2)),VALUE(RIGHT(AK847,2))),DATE(VALUE(RIGHT(AK847,4)),VALUE(MID(AK847,4,2)),VALUE(LEFT(AK847,2)))),DATE(VALUE(RIGHT(AK847,4)),MATCH(MID(AK847,4,3),{"Jan","Feb","Mar","Apr","May","Jun","Jul","Aug","Sep","Oct","Nov","Dec"},0),VALUE(LEFT(AK847,2))))))</f>
        <v>45349</v>
      </c>
      <c r="D847" s="4" t="s">
        <v>772</v>
      </c>
      <c r="E847" s="0" t="str">
        <f aca="false">PROPER(TRIM(AL847))</f>
        <v>Karan Malhotra</v>
      </c>
      <c r="F847" s="0" t="str">
        <f aca="false">PROPER(TRIM(AM847))</f>
        <v>Consumer</v>
      </c>
      <c r="G847" s="0" t="str">
        <f aca="false">IF(TRIM(AN847)="","Unknown",PROPER(TRIM(AN847)))</f>
        <v>East</v>
      </c>
      <c r="H847" s="0" t="str">
        <f aca="false">PROPER(TRIM(AO847))</f>
        <v>Odisha</v>
      </c>
      <c r="I847" s="0" t="str">
        <f aca="false">PROPER(TRIM(AP847))</f>
        <v>Bhubaneswar</v>
      </c>
      <c r="J847" s="0" t="str">
        <f aca="false">PROPER(TRIM(AQ847))</f>
        <v>Furniture</v>
      </c>
      <c r="K847" s="0" t="str">
        <f aca="false">PROPER(TRIM(AR847))</f>
        <v>Tables</v>
      </c>
      <c r="M847" s="0" t="str">
        <f aca="false">IF(TRIM(AS847)="","Unknown",PROPER(TRIM(AS847)))</f>
        <v>First Class</v>
      </c>
      <c r="N847" s="0" t="n">
        <v>9</v>
      </c>
      <c r="O847" s="0" t="n">
        <v>3616.23</v>
      </c>
      <c r="P847" s="5" t="n">
        <f aca="false">IF(AT847="","",IF(ISNUMBER(AT847),AT847,VALUE(SUBSTITUTE(AT847,"%",""))/100))</f>
        <v>0.25</v>
      </c>
      <c r="Q847" s="5" t="n">
        <f aca="false">IF(P847="",IF(AND(N847&lt;&gt;"",O847&lt;&gt;"",R847&lt;&gt;"",S847&lt;&gt;""),0,"REVIEW"),IF(OR(P847&lt;0,P847&gt;0.3),0,P847))</f>
        <v>0.25</v>
      </c>
      <c r="R847" s="0" t="n">
        <v>24409.55</v>
      </c>
      <c r="S847" s="0" t="n">
        <v>17157.58</v>
      </c>
      <c r="T847" s="6" t="n">
        <f aca="false">N847*O847*(1-Q847)</f>
        <v>24409.5525</v>
      </c>
      <c r="U847" s="6" t="n">
        <f aca="false">T847-S847</f>
        <v>7251.9725</v>
      </c>
      <c r="V847" s="7" t="n">
        <f aca="false">IF(T847=0,0,U847/T847)</f>
        <v>0.297095675965383</v>
      </c>
      <c r="W847" s="4" t="n">
        <f aca="false">C847-B847</f>
        <v>4</v>
      </c>
      <c r="X847" s="0" t="str">
        <f aca="false">TEXT(B847,"mmmm")</f>
        <v>February</v>
      </c>
      <c r="Y847" s="4" t="n">
        <f aca="false">YEAR(B847)</f>
        <v>2024</v>
      </c>
      <c r="Z847" s="0" t="str">
        <f aca="false">PROPER(TRIM(AU847))</f>
        <v>Pending</v>
      </c>
      <c r="AA847" s="0" t="str">
        <f aca="false">PROPER(TRIM(AV847))</f>
        <v>Returned</v>
      </c>
      <c r="AB847" s="0" t="str">
        <f aca="false">IF(TRIM(AN847)="","Yes","No")</f>
        <v>No</v>
      </c>
      <c r="AC847" s="0" t="str">
        <f aca="false">IF(TRIM(AS847)="","Yes","No")</f>
        <v>No</v>
      </c>
      <c r="AD847" s="0" t="str">
        <f aca="false">IF(AT847="","Yes","No")</f>
        <v>No</v>
      </c>
      <c r="AE847" s="0" t="str">
        <f aca="false">IF(W847&lt;0,"Yes","No")</f>
        <v>No</v>
      </c>
      <c r="AF847" s="0" t="str">
        <f aca="false">IF(P847="","No",IF(OR(P847&lt;0,P847&gt;0.3),"Yes","No"))</f>
        <v>No</v>
      </c>
      <c r="AG847" s="4" t="s">
        <v>50</v>
      </c>
      <c r="AH847" s="0" t="str">
        <f aca="false">IF(AND(AA847="Completed",Z847="Paid"),"Yes","No")</f>
        <v>No</v>
      </c>
      <c r="AI847" s="0" t="str">
        <f aca="false">IF(OR(AE847="Yes",AF847="Yes",AG847="Yes"),"Invalid",IF(OR(AB847="Yes",AC847="Yes",AD847="Yes"),"Warning","Clean"))</f>
        <v>Clean</v>
      </c>
      <c r="AJ847" s="4" t="s">
        <v>2250</v>
      </c>
      <c r="AK847" s="4" t="s">
        <v>3094</v>
      </c>
      <c r="AL847" s="4" t="s">
        <v>53</v>
      </c>
      <c r="AM847" s="4" t="s">
        <v>54</v>
      </c>
      <c r="AN847" s="4" t="s">
        <v>69</v>
      </c>
      <c r="AO847" s="4" t="s">
        <v>70</v>
      </c>
      <c r="AP847" s="4" t="s">
        <v>71</v>
      </c>
      <c r="AQ847" s="4" t="s">
        <v>72</v>
      </c>
      <c r="AR847" s="4" t="s">
        <v>73</v>
      </c>
      <c r="AS847" s="4" t="s">
        <v>81</v>
      </c>
      <c r="AT847" s="0" t="n">
        <v>0.25</v>
      </c>
      <c r="AU847" s="4" t="s">
        <v>153</v>
      </c>
      <c r="AV847" s="4" t="s">
        <v>142</v>
      </c>
    </row>
    <row r="848" customFormat="false" ht="15" hidden="false" customHeight="false" outlineLevel="0" collapsed="false">
      <c r="A848" s="0" t="s">
        <v>3095</v>
      </c>
      <c r="B848" s="3" t="n">
        <f aca="false">IF(AJ848="","",IF(ISNUMBER(SEARCH("/",AJ848)),DATE(VALUE(RIGHT(AJ848,4)),VALUE(LEFT(AJ848,2)),VALUE(MID(AJ848,4,2))),IF(ISNUMBER(SEARCH("-",AJ848)),IF(LEN(LEFT(AJ848,FIND("-",AJ848)-1))=4,DATE(VALUE(LEFT(AJ848,4)),VALUE(MID(AJ848,6,2)),VALUE(RIGHT(AJ848,2))),DATE(VALUE(RIGHT(AJ848,4)),VALUE(MID(AJ848,4,2)),VALUE(LEFT(AJ848,2)))),DATE(VALUE(RIGHT(AJ848,4)),MATCH(MID(AJ848,4,3),{"Jan","Feb","Mar","Apr","May","Jun","Jul","Aug","Sep","Oct","Nov","Dec"},0),VALUE(LEFT(AJ848,2))))))</f>
        <v>45396</v>
      </c>
      <c r="C848" s="3" t="n">
        <f aca="false">IF(AK848="","",IF(ISNUMBER(SEARCH("/",AK848)),DATE(VALUE(RIGHT(AK848,4)),VALUE(LEFT(AK848,2)),VALUE(MID(AK848,4,2))),IF(ISNUMBER(SEARCH("-",AK848)),IF(LEN(LEFT(AK848,FIND("-",AK848)-1))=4,DATE(VALUE(LEFT(AK848,4)),VALUE(MID(AK848,6,2)),VALUE(RIGHT(AK848,2))),DATE(VALUE(RIGHT(AK848,4)),VALUE(MID(AK848,4,2)),VALUE(LEFT(AK848,2)))),DATE(VALUE(RIGHT(AK848,4)),MATCH(MID(AK848,4,3),{"Jan","Feb","Mar","Apr","May","Jun","Jul","Aug","Sep","Oct","Nov","Dec"},0),VALUE(LEFT(AK848,2))))))</f>
        <v>45404</v>
      </c>
      <c r="D848" s="4" t="s">
        <v>3096</v>
      </c>
      <c r="E848" s="0" t="str">
        <f aca="false">PROPER(TRIM(AL848))</f>
        <v>Priya Menon</v>
      </c>
      <c r="F848" s="0" t="str">
        <f aca="false">PROPER(TRIM(AM848))</f>
        <v>Small Business</v>
      </c>
      <c r="G848" s="0" t="str">
        <f aca="false">IF(TRIM(AN848)="","Unknown",PROPER(TRIM(AN848)))</f>
        <v>West</v>
      </c>
      <c r="H848" s="0" t="str">
        <f aca="false">PROPER(TRIM(AO848))</f>
        <v>Gujarat</v>
      </c>
      <c r="I848" s="0" t="str">
        <f aca="false">PROPER(TRIM(AP848))</f>
        <v>Ahmedabad</v>
      </c>
      <c r="J848" s="0" t="str">
        <f aca="false">PROPER(TRIM(AQ848))</f>
        <v>Furniture</v>
      </c>
      <c r="K848" s="0" t="str">
        <f aca="false">PROPER(TRIM(AR848))</f>
        <v>Bookcases</v>
      </c>
      <c r="M848" s="0" t="str">
        <f aca="false">IF(TRIM(AS848)="","Unknown",PROPER(TRIM(AS848)))</f>
        <v>Standard Class</v>
      </c>
      <c r="N848" s="0" t="n">
        <v>2</v>
      </c>
      <c r="O848" s="0" t="n">
        <v>3977.52</v>
      </c>
      <c r="P848" s="5" t="n">
        <f aca="false">IF(AT848="","",IF(ISNUMBER(AT848),AT848,VALUE(SUBSTITUTE(AT848,"%",""))/100))</f>
        <v>0</v>
      </c>
      <c r="Q848" s="5" t="n">
        <f aca="false">IF(P848="",IF(AND(N848&lt;&gt;"",O848&lt;&gt;"",R848&lt;&gt;"",S848&lt;&gt;""),0,"REVIEW"),IF(OR(P848&lt;0,P848&gt;0.3),0,P848))</f>
        <v>0</v>
      </c>
      <c r="R848" s="0" t="n">
        <v>7955.04</v>
      </c>
      <c r="S848" s="0" t="n">
        <v>5580.68</v>
      </c>
      <c r="T848" s="6" t="n">
        <f aca="false">N848*O848*(1-Q848)</f>
        <v>7955.04</v>
      </c>
      <c r="U848" s="6" t="n">
        <f aca="false">T848-S848</f>
        <v>2374.36</v>
      </c>
      <c r="V848" s="7" t="n">
        <f aca="false">IF(T848=0,0,U848/T848)</f>
        <v>0.298472414972143</v>
      </c>
      <c r="W848" s="4" t="n">
        <f aca="false">C848-B848</f>
        <v>8</v>
      </c>
      <c r="X848" s="0" t="str">
        <f aca="false">TEXT(B848,"mmmm")</f>
        <v>April</v>
      </c>
      <c r="Y848" s="4" t="n">
        <f aca="false">YEAR(B848)</f>
        <v>2024</v>
      </c>
      <c r="Z848" s="0" t="str">
        <f aca="false">PROPER(TRIM(AU848))</f>
        <v>Pending</v>
      </c>
      <c r="AA848" s="0" t="str">
        <f aca="false">PROPER(TRIM(AV848))</f>
        <v>Returned</v>
      </c>
      <c r="AB848" s="0" t="str">
        <f aca="false">IF(TRIM(AN848)="","Yes","No")</f>
        <v>No</v>
      </c>
      <c r="AC848" s="0" t="str">
        <f aca="false">IF(TRIM(AS848)="","Yes","No")</f>
        <v>No</v>
      </c>
      <c r="AD848" s="0" t="str">
        <f aca="false">IF(AT848="","Yes","No")</f>
        <v>No</v>
      </c>
      <c r="AE848" s="0" t="str">
        <f aca="false">IF(W848&lt;0,"Yes","No")</f>
        <v>No</v>
      </c>
      <c r="AF848" s="0" t="str">
        <f aca="false">IF(P848="","No",IF(OR(P848&lt;0,P848&gt;0.3),"Yes","No"))</f>
        <v>No</v>
      </c>
      <c r="AG848" s="4" t="s">
        <v>50</v>
      </c>
      <c r="AH848" s="0" t="str">
        <f aca="false">IF(AND(AA848="Completed",Z848="Paid"),"Yes","No")</f>
        <v>No</v>
      </c>
      <c r="AI848" s="0" t="str">
        <f aca="false">IF(OR(AE848="Yes",AF848="Yes",AG848="Yes"),"Invalid",IF(OR(AB848="Yes",AC848="Yes",AD848="Yes"),"Warning","Clean"))</f>
        <v>Clean</v>
      </c>
      <c r="AJ848" s="4" t="s">
        <v>3097</v>
      </c>
      <c r="AK848" s="4" t="s">
        <v>3098</v>
      </c>
      <c r="AL848" s="4" t="s">
        <v>158</v>
      </c>
      <c r="AM848" s="4" t="s">
        <v>68</v>
      </c>
      <c r="AN848" s="4" t="s">
        <v>97</v>
      </c>
      <c r="AO848" s="4" t="s">
        <v>238</v>
      </c>
      <c r="AP848" s="4" t="s">
        <v>239</v>
      </c>
      <c r="AQ848" s="4" t="s">
        <v>72</v>
      </c>
      <c r="AR848" s="4" t="s">
        <v>211</v>
      </c>
      <c r="AS848" s="4" t="s">
        <v>91</v>
      </c>
      <c r="AT848" s="0" t="n">
        <v>0</v>
      </c>
      <c r="AU848" s="4" t="s">
        <v>153</v>
      </c>
      <c r="AV848" s="4" t="s">
        <v>142</v>
      </c>
    </row>
    <row r="849" customFormat="false" ht="15" hidden="false" customHeight="false" outlineLevel="0" collapsed="false">
      <c r="A849" s="0" t="s">
        <v>3099</v>
      </c>
      <c r="B849" s="3" t="n">
        <f aca="false">IF(AJ849="","",IF(ISNUMBER(SEARCH("/",AJ849)),DATE(VALUE(RIGHT(AJ849,4)),VALUE(LEFT(AJ849,2)),VALUE(MID(AJ849,4,2))),IF(ISNUMBER(SEARCH("-",AJ849)),IF(LEN(LEFT(AJ849,FIND("-",AJ849)-1))=4,DATE(VALUE(LEFT(AJ849,4)),VALUE(MID(AJ849,6,2)),VALUE(RIGHT(AJ849,2))),DATE(VALUE(RIGHT(AJ849,4)),VALUE(MID(AJ849,4,2)),VALUE(LEFT(AJ849,2)))),DATE(VALUE(RIGHT(AJ849,4)),MATCH(MID(AJ849,4,3),{"Jan","Feb","Mar","Apr","May","Jun","Jul","Aug","Sep","Oct","Nov","Dec"},0),VALUE(LEFT(AJ849,2))))))</f>
        <v>45797</v>
      </c>
      <c r="C849" s="3" t="n">
        <f aca="false">IF(AK849="","",IF(ISNUMBER(SEARCH("/",AK849)),DATE(VALUE(RIGHT(AK849,4)),VALUE(LEFT(AK849,2)),VALUE(MID(AK849,4,2))),IF(ISNUMBER(SEARCH("-",AK849)),IF(LEN(LEFT(AK849,FIND("-",AK849)-1))=4,DATE(VALUE(LEFT(AK849,4)),VALUE(MID(AK849,6,2)),VALUE(RIGHT(AK849,2))),DATE(VALUE(RIGHT(AK849,4)),VALUE(MID(AK849,4,2)),VALUE(LEFT(AK849,2)))),DATE(VALUE(RIGHT(AK849,4)),MATCH(MID(AK849,4,3),{"Jan","Feb","Mar","Apr","May","Jun","Jul","Aug","Sep","Oct","Nov","Dec"},0),VALUE(LEFT(AK849,2))))))</f>
        <v>45799</v>
      </c>
      <c r="D849" s="4" t="s">
        <v>3100</v>
      </c>
      <c r="E849" s="0" t="str">
        <f aca="false">PROPER(TRIM(AL849))</f>
        <v>Diya Patel</v>
      </c>
      <c r="F849" s="0" t="str">
        <f aca="false">PROPER(TRIM(AM849))</f>
        <v>Home Office</v>
      </c>
      <c r="G849" s="0" t="str">
        <f aca="false">IF(TRIM(AN849)="","Unknown",PROPER(TRIM(AN849)))</f>
        <v>East</v>
      </c>
      <c r="H849" s="0" t="str">
        <f aca="false">PROPER(TRIM(AO849))</f>
        <v>Odisha</v>
      </c>
      <c r="I849" s="0" t="str">
        <f aca="false">PROPER(TRIM(AP849))</f>
        <v>Bhubaneswar</v>
      </c>
      <c r="J849" s="0" t="str">
        <f aca="false">PROPER(TRIM(AQ849))</f>
        <v>Furniture</v>
      </c>
      <c r="K849" s="0" t="str">
        <f aca="false">PROPER(TRIM(AR849))</f>
        <v>Tables</v>
      </c>
      <c r="M849" s="0" t="str">
        <f aca="false">IF(TRIM(AS849)="","Unknown",PROPER(TRIM(AS849)))</f>
        <v>Second Class</v>
      </c>
      <c r="N849" s="0" t="n">
        <v>2</v>
      </c>
      <c r="O849" s="0" t="n">
        <v>210.08</v>
      </c>
      <c r="P849" s="5" t="n">
        <f aca="false">IF(AT849="","",IF(ISNUMBER(AT849),AT849,VALUE(SUBSTITUTE(AT849,"%",""))/100))</f>
        <v>0.2</v>
      </c>
      <c r="Q849" s="5" t="n">
        <f aca="false">IF(P849="",IF(AND(N849&lt;&gt;"",O849&lt;&gt;"",R849&lt;&gt;"",S849&lt;&gt;""),0,"REVIEW"),IF(OR(P849&lt;0,P849&gt;0.3),0,P849))</f>
        <v>0.2</v>
      </c>
      <c r="R849" s="0" t="n">
        <v>336.13</v>
      </c>
      <c r="S849" s="0" t="n">
        <v>242.19</v>
      </c>
      <c r="T849" s="6" t="n">
        <f aca="false">N849*O849*(1-Q849)</f>
        <v>336.128</v>
      </c>
      <c r="U849" s="6" t="n">
        <f aca="false">T849-S849</f>
        <v>93.9380000000001</v>
      </c>
      <c r="V849" s="7" t="n">
        <f aca="false">IF(T849=0,0,U849/T849)</f>
        <v>0.279470915841584</v>
      </c>
      <c r="W849" s="4" t="n">
        <f aca="false">C849-B849</f>
        <v>2</v>
      </c>
      <c r="X849" s="0" t="str">
        <f aca="false">TEXT(B849,"mmmm")</f>
        <v>May</v>
      </c>
      <c r="Y849" s="4" t="n">
        <f aca="false">YEAR(B849)</f>
        <v>2025</v>
      </c>
      <c r="Z849" s="0" t="str">
        <f aca="false">PROPER(TRIM(AU849))</f>
        <v>Paid</v>
      </c>
      <c r="AA849" s="0" t="str">
        <f aca="false">PROPER(TRIM(AV849))</f>
        <v>Completed</v>
      </c>
      <c r="AB849" s="0" t="str">
        <f aca="false">IF(TRIM(AN849)="","Yes","No")</f>
        <v>No</v>
      </c>
      <c r="AC849" s="0" t="str">
        <f aca="false">IF(TRIM(AS849)="","Yes","No")</f>
        <v>No</v>
      </c>
      <c r="AD849" s="0" t="str">
        <f aca="false">IF(AT849="","Yes","No")</f>
        <v>No</v>
      </c>
      <c r="AE849" s="0" t="str">
        <f aca="false">IF(W849&lt;0,"Yes","No")</f>
        <v>No</v>
      </c>
      <c r="AF849" s="0" t="str">
        <f aca="false">IF(P849="","No",IF(OR(P849&lt;0,P849&gt;0.3),"Yes","No"))</f>
        <v>No</v>
      </c>
      <c r="AG849" s="4" t="s">
        <v>50</v>
      </c>
      <c r="AH849" s="0" t="str">
        <f aca="false">IF(AND(AA849="Completed",Z849="Paid"),"Yes","No")</f>
        <v>Yes</v>
      </c>
      <c r="AI849" s="0" t="str">
        <f aca="false">IF(OR(AE849="Yes",AF849="Yes",AG849="Yes"),"Invalid",IF(OR(AB849="Yes",AC849="Yes",AD849="Yes"),"Warning","Clean"))</f>
        <v>Clean</v>
      </c>
      <c r="AJ849" s="4" t="s">
        <v>3101</v>
      </c>
      <c r="AK849" s="4" t="s">
        <v>3102</v>
      </c>
      <c r="AL849" s="4" t="s">
        <v>216</v>
      </c>
      <c r="AM849" s="4" t="s">
        <v>134</v>
      </c>
      <c r="AN849" s="4" t="s">
        <v>69</v>
      </c>
      <c r="AO849" s="4" t="s">
        <v>70</v>
      </c>
      <c r="AP849" s="4" t="s">
        <v>71</v>
      </c>
      <c r="AQ849" s="4" t="s">
        <v>72</v>
      </c>
      <c r="AR849" s="4" t="s">
        <v>73</v>
      </c>
      <c r="AS849" s="4" t="s">
        <v>60</v>
      </c>
      <c r="AT849" s="0" t="n">
        <v>0.2</v>
      </c>
      <c r="AU849" s="4" t="s">
        <v>61</v>
      </c>
      <c r="AV849" s="4" t="s">
        <v>62</v>
      </c>
    </row>
    <row r="850" customFormat="false" ht="15" hidden="false" customHeight="false" outlineLevel="0" collapsed="false">
      <c r="A850" s="0" t="s">
        <v>3103</v>
      </c>
      <c r="B850" s="3" t="n">
        <f aca="false">IF(AJ850="","",IF(ISNUMBER(SEARCH("/",AJ850)),DATE(VALUE(RIGHT(AJ850,4)),VALUE(LEFT(AJ850,2)),VALUE(MID(AJ850,4,2))),IF(ISNUMBER(SEARCH("-",AJ850)),IF(LEN(LEFT(AJ850,FIND("-",AJ850)-1))=4,DATE(VALUE(LEFT(AJ850,4)),VALUE(MID(AJ850,6,2)),VALUE(RIGHT(AJ850,2))),DATE(VALUE(RIGHT(AJ850,4)),VALUE(MID(AJ850,4,2)),VALUE(LEFT(AJ850,2)))),DATE(VALUE(RIGHT(AJ850,4)),MATCH(MID(AJ850,4,3),{"Jan","Feb","Mar","Apr","May","Jun","Jul","Aug","Sep","Oct","Nov","Dec"},0),VALUE(LEFT(AJ850,2))))))</f>
        <v>45804</v>
      </c>
      <c r="C850" s="3" t="n">
        <f aca="false">IF(AK850="","",IF(ISNUMBER(SEARCH("/",AK850)),DATE(VALUE(RIGHT(AK850,4)),VALUE(LEFT(AK850,2)),VALUE(MID(AK850,4,2))),IF(ISNUMBER(SEARCH("-",AK850)),IF(LEN(LEFT(AK850,FIND("-",AK850)-1))=4,DATE(VALUE(LEFT(AK850,4)),VALUE(MID(AK850,6,2)),VALUE(RIGHT(AK850,2))),DATE(VALUE(RIGHT(AK850,4)),VALUE(MID(AK850,4,2)),VALUE(LEFT(AK850,2)))),DATE(VALUE(RIGHT(AK850,4)),MATCH(MID(AK850,4,3),{"Jan","Feb","Mar","Apr","May","Jun","Jul","Aug","Sep","Oct","Nov","Dec"},0),VALUE(LEFT(AK850,2))))))</f>
        <v>45806</v>
      </c>
      <c r="D850" s="4" t="s">
        <v>3104</v>
      </c>
      <c r="E850" s="0" t="str">
        <f aca="false">PROPER(TRIM(AL850))</f>
        <v>Rahul Verma</v>
      </c>
      <c r="F850" s="0" t="str">
        <f aca="false">PROPER(TRIM(AM850))</f>
        <v>Home Office</v>
      </c>
      <c r="G850" s="0" t="str">
        <f aca="false">IF(TRIM(AN850)="","Unknown",PROPER(TRIM(AN850)))</f>
        <v>South</v>
      </c>
      <c r="H850" s="0" t="str">
        <f aca="false">PROPER(TRIM(AO850))</f>
        <v>Tamil Nadu</v>
      </c>
      <c r="I850" s="0" t="str">
        <f aca="false">PROPER(TRIM(AP850))</f>
        <v>Chennai</v>
      </c>
      <c r="J850" s="0" t="str">
        <f aca="false">PROPER(TRIM(AQ850))</f>
        <v>Furniture</v>
      </c>
      <c r="K850" s="0" t="str">
        <f aca="false">PROPER(TRIM(AR850))</f>
        <v>Furnishings</v>
      </c>
      <c r="M850" s="0" t="str">
        <f aca="false">IF(TRIM(AS850)="","Unknown",PROPER(TRIM(AS850)))</f>
        <v>Second Class</v>
      </c>
      <c r="N850" s="0" t="n">
        <v>1</v>
      </c>
      <c r="O850" s="0" t="n">
        <v>1744.35</v>
      </c>
      <c r="P850" s="5" t="n">
        <f aca="false">IF(AT850="","",IF(ISNUMBER(AT850),AT850,VALUE(SUBSTITUTE(AT850,"%",""))/100))</f>
        <v>0.25</v>
      </c>
      <c r="Q850" s="5" t="n">
        <f aca="false">IF(P850="",IF(AND(N850&lt;&gt;"",O850&lt;&gt;"",R850&lt;&gt;"",S850&lt;&gt;""),0,"REVIEW"),IF(OR(P850&lt;0,P850&gt;0.3),0,P850))</f>
        <v>0.25</v>
      </c>
      <c r="R850" s="0" t="n">
        <v>1308.26</v>
      </c>
      <c r="S850" s="0" t="n">
        <v>1083.56</v>
      </c>
      <c r="T850" s="6" t="n">
        <f aca="false">N850*O850*(1-Q850)</f>
        <v>1308.2625</v>
      </c>
      <c r="U850" s="6" t="n">
        <f aca="false">T850-S850</f>
        <v>224.7025</v>
      </c>
      <c r="V850" s="7" t="n">
        <f aca="false">IF(T850=0,0,U850/T850)</f>
        <v>0.171756432673106</v>
      </c>
      <c r="W850" s="4" t="n">
        <f aca="false">C850-B850</f>
        <v>2</v>
      </c>
      <c r="X850" s="0" t="str">
        <f aca="false">TEXT(B850,"mmmm")</f>
        <v>May</v>
      </c>
      <c r="Y850" s="4" t="n">
        <f aca="false">YEAR(B850)</f>
        <v>2025</v>
      </c>
      <c r="Z850" s="0" t="str">
        <f aca="false">PROPER(TRIM(AU850))</f>
        <v>Paid</v>
      </c>
      <c r="AA850" s="0" t="str">
        <f aca="false">PROPER(TRIM(AV850))</f>
        <v>Completed</v>
      </c>
      <c r="AB850" s="0" t="str">
        <f aca="false">IF(TRIM(AN850)="","Yes","No")</f>
        <v>No</v>
      </c>
      <c r="AC850" s="0" t="str">
        <f aca="false">IF(TRIM(AS850)="","Yes","No")</f>
        <v>No</v>
      </c>
      <c r="AD850" s="0" t="str">
        <f aca="false">IF(AT850="","Yes","No")</f>
        <v>No</v>
      </c>
      <c r="AE850" s="0" t="str">
        <f aca="false">IF(W850&lt;0,"Yes","No")</f>
        <v>No</v>
      </c>
      <c r="AF850" s="0" t="str">
        <f aca="false">IF(P850="","No",IF(OR(P850&lt;0,P850&gt;0.3),"Yes","No"))</f>
        <v>No</v>
      </c>
      <c r="AG850" s="4" t="s">
        <v>50</v>
      </c>
      <c r="AH850" s="0" t="str">
        <f aca="false">IF(AND(AA850="Completed",Z850="Paid"),"Yes","No")</f>
        <v>Yes</v>
      </c>
      <c r="AI850" s="0" t="str">
        <f aca="false">IF(OR(AE850="Yes",AF850="Yes",AG850="Yes"),"Invalid",IF(OR(AB850="Yes",AC850="Yes",AD850="Yes"),"Warning","Clean"))</f>
        <v>Clean</v>
      </c>
      <c r="AJ850" s="4" t="s">
        <v>2538</v>
      </c>
      <c r="AK850" s="4" t="s">
        <v>3105</v>
      </c>
      <c r="AL850" s="4" t="s">
        <v>163</v>
      </c>
      <c r="AM850" s="4" t="s">
        <v>134</v>
      </c>
      <c r="AN850" s="4" t="s">
        <v>87</v>
      </c>
      <c r="AO850" s="4" t="s">
        <v>323</v>
      </c>
      <c r="AP850" s="4" t="s">
        <v>324</v>
      </c>
      <c r="AQ850" s="4" t="s">
        <v>72</v>
      </c>
      <c r="AR850" s="4" t="s">
        <v>90</v>
      </c>
      <c r="AS850" s="4" t="s">
        <v>60</v>
      </c>
      <c r="AT850" s="0" t="n">
        <v>0.25</v>
      </c>
      <c r="AU850" s="4" t="s">
        <v>61</v>
      </c>
      <c r="AV850" s="4" t="s">
        <v>62</v>
      </c>
    </row>
    <row r="851" customFormat="false" ht="15" hidden="false" customHeight="false" outlineLevel="0" collapsed="false">
      <c r="A851" s="0" t="s">
        <v>3106</v>
      </c>
      <c r="B851" s="3" t="n">
        <f aca="false">IF(AJ851="","",IF(ISNUMBER(SEARCH("/",AJ851)),DATE(VALUE(RIGHT(AJ851,4)),VALUE(LEFT(AJ851,2)),VALUE(MID(AJ851,4,2))),IF(ISNUMBER(SEARCH("-",AJ851)),IF(LEN(LEFT(AJ851,FIND("-",AJ851)-1))=4,DATE(VALUE(LEFT(AJ851,4)),VALUE(MID(AJ851,6,2)),VALUE(RIGHT(AJ851,2))),DATE(VALUE(RIGHT(AJ851,4)),VALUE(MID(AJ851,4,2)),VALUE(LEFT(AJ851,2)))),DATE(VALUE(RIGHT(AJ851,4)),MATCH(MID(AJ851,4,3),{"Jan","Feb","Mar","Apr","May","Jun","Jul","Aug","Sep","Oct","Nov","Dec"},0),VALUE(LEFT(AJ851,2))))))</f>
        <v>45357</v>
      </c>
      <c r="C851" s="3" t="n">
        <f aca="false">IF(AK851="","",IF(ISNUMBER(SEARCH("/",AK851)),DATE(VALUE(RIGHT(AK851,4)),VALUE(LEFT(AK851,2)),VALUE(MID(AK851,4,2))),IF(ISNUMBER(SEARCH("-",AK851)),IF(LEN(LEFT(AK851,FIND("-",AK851)-1))=4,DATE(VALUE(LEFT(AK851,4)),VALUE(MID(AK851,6,2)),VALUE(RIGHT(AK851,2))),DATE(VALUE(RIGHT(AK851,4)),VALUE(MID(AK851,4,2)),VALUE(LEFT(AK851,2)))),DATE(VALUE(RIGHT(AK851,4)),MATCH(MID(AK851,4,3),{"Jan","Feb","Mar","Apr","May","Jun","Jul","Aug","Sep","Oct","Nov","Dec"},0),VALUE(LEFT(AK851,2))))))</f>
        <v>45363</v>
      </c>
      <c r="D851" s="4" t="s">
        <v>3107</v>
      </c>
      <c r="E851" s="0" t="str">
        <f aca="false">PROPER(TRIM(AL851))</f>
        <v>Isha Nair</v>
      </c>
      <c r="F851" s="0" t="str">
        <f aca="false">PROPER(TRIM(AM851))</f>
        <v>Home Office</v>
      </c>
      <c r="G851" s="0" t="str">
        <f aca="false">IF(TRIM(AN851)="","Unknown",PROPER(TRIM(AN851)))</f>
        <v>West</v>
      </c>
      <c r="H851" s="0" t="str">
        <f aca="false">PROPER(TRIM(AO851))</f>
        <v>Gujarat</v>
      </c>
      <c r="I851" s="0" t="str">
        <f aca="false">PROPER(TRIM(AP851))</f>
        <v>Ahmedabad</v>
      </c>
      <c r="J851" s="0" t="str">
        <f aca="false">PROPER(TRIM(AQ851))</f>
        <v>Furniture</v>
      </c>
      <c r="K851" s="0" t="str">
        <f aca="false">PROPER(TRIM(AR851))</f>
        <v>Bookcases</v>
      </c>
      <c r="M851" s="0" t="str">
        <f aca="false">IF(TRIM(AS851)="","Unknown",PROPER(TRIM(AS851)))</f>
        <v>Standard Class</v>
      </c>
      <c r="N851" s="0" t="n">
        <v>3</v>
      </c>
      <c r="O851" s="0" t="n">
        <v>679.63</v>
      </c>
      <c r="P851" s="5" t="n">
        <f aca="false">IF(AT851="","",IF(ISNUMBER(AT851),AT851,VALUE(SUBSTITUTE(AT851,"%",""))/100))</f>
        <v>0.2</v>
      </c>
      <c r="Q851" s="5" t="n">
        <f aca="false">IF(P851="",IF(AND(N851&lt;&gt;"",O851&lt;&gt;"",R851&lt;&gt;"",S851&lt;&gt;""),0,"REVIEW"),IF(OR(P851&lt;0,P851&gt;0.3),0,P851))</f>
        <v>0.2</v>
      </c>
      <c r="R851" s="0" t="n">
        <v>1631.11</v>
      </c>
      <c r="S851" s="0" t="n">
        <v>898.73</v>
      </c>
      <c r="T851" s="6" t="n">
        <f aca="false">N851*O851*(1-Q851)</f>
        <v>1631.112</v>
      </c>
      <c r="U851" s="6" t="n">
        <f aca="false">T851-S851</f>
        <v>732.382</v>
      </c>
      <c r="V851" s="7" t="n">
        <f aca="false">IF(T851=0,0,U851/T851)</f>
        <v>0.449007793456243</v>
      </c>
      <c r="W851" s="4" t="n">
        <f aca="false">C851-B851</f>
        <v>6</v>
      </c>
      <c r="X851" s="0" t="str">
        <f aca="false">TEXT(B851,"mmmm")</f>
        <v>March</v>
      </c>
      <c r="Y851" s="4" t="n">
        <f aca="false">YEAR(B851)</f>
        <v>2024</v>
      </c>
      <c r="Z851" s="0" t="str">
        <f aca="false">PROPER(TRIM(AU851))</f>
        <v>Paid</v>
      </c>
      <c r="AA851" s="0" t="str">
        <f aca="false">PROPER(TRIM(AV851))</f>
        <v>Completed</v>
      </c>
      <c r="AB851" s="0" t="str">
        <f aca="false">IF(TRIM(AN851)="","Yes","No")</f>
        <v>No</v>
      </c>
      <c r="AC851" s="0" t="str">
        <f aca="false">IF(TRIM(AS851)="","Yes","No")</f>
        <v>No</v>
      </c>
      <c r="AD851" s="0" t="str">
        <f aca="false">IF(AT851="","Yes","No")</f>
        <v>No</v>
      </c>
      <c r="AE851" s="0" t="str">
        <f aca="false">IF(W851&lt;0,"Yes","No")</f>
        <v>No</v>
      </c>
      <c r="AF851" s="0" t="str">
        <f aca="false">IF(P851="","No",IF(OR(P851&lt;0,P851&gt;0.3),"Yes","No"))</f>
        <v>No</v>
      </c>
      <c r="AG851" s="4" t="s">
        <v>50</v>
      </c>
      <c r="AH851" s="0" t="str">
        <f aca="false">IF(AND(AA851="Completed",Z851="Paid"),"Yes","No")</f>
        <v>Yes</v>
      </c>
      <c r="AI851" s="0" t="str">
        <f aca="false">IF(OR(AE851="Yes",AF851="Yes",AG851="Yes"),"Invalid",IF(OR(AB851="Yes",AC851="Yes",AD851="Yes"),"Warning","Clean"))</f>
        <v>Clean</v>
      </c>
      <c r="AJ851" s="4" t="s">
        <v>3108</v>
      </c>
      <c r="AK851" s="4" t="s">
        <v>916</v>
      </c>
      <c r="AL851" s="4" t="s">
        <v>79</v>
      </c>
      <c r="AM851" s="4" t="s">
        <v>134</v>
      </c>
      <c r="AN851" s="4" t="s">
        <v>97</v>
      </c>
      <c r="AO851" s="4" t="s">
        <v>238</v>
      </c>
      <c r="AP851" s="4" t="s">
        <v>239</v>
      </c>
      <c r="AQ851" s="4" t="s">
        <v>72</v>
      </c>
      <c r="AR851" s="4" t="s">
        <v>211</v>
      </c>
      <c r="AS851" s="4" t="s">
        <v>91</v>
      </c>
      <c r="AT851" s="0" t="n">
        <v>0.2</v>
      </c>
      <c r="AU851" s="4" t="s">
        <v>61</v>
      </c>
      <c r="AV851" s="4" t="s">
        <v>633</v>
      </c>
    </row>
    <row r="852" customFormat="false" ht="15" hidden="false" customHeight="false" outlineLevel="0" collapsed="false">
      <c r="A852" s="0" t="s">
        <v>3109</v>
      </c>
      <c r="B852" s="3" t="n">
        <f aca="false">IF(AJ852="","",IF(ISNUMBER(SEARCH("/",AJ852)),DATE(VALUE(RIGHT(AJ852,4)),VALUE(LEFT(AJ852,2)),VALUE(MID(AJ852,4,2))),IF(ISNUMBER(SEARCH("-",AJ852)),IF(LEN(LEFT(AJ852,FIND("-",AJ852)-1))=4,DATE(VALUE(LEFT(AJ852,4)),VALUE(MID(AJ852,6,2)),VALUE(RIGHT(AJ852,2))),DATE(VALUE(RIGHT(AJ852,4)),VALUE(MID(AJ852,4,2)),VALUE(LEFT(AJ852,2)))),DATE(VALUE(RIGHT(AJ852,4)),MATCH(MID(AJ852,4,3),{"Jan","Feb","Mar","Apr","May","Jun","Jul","Aug","Sep","Oct","Nov","Dec"},0),VALUE(LEFT(AJ852,2))))))</f>
        <v>45473</v>
      </c>
      <c r="C852" s="3" t="n">
        <f aca="false">IF(AK852="","",IF(ISNUMBER(SEARCH("/",AK852)),DATE(VALUE(RIGHT(AK852,4)),VALUE(LEFT(AK852,2)),VALUE(MID(AK852,4,2))),IF(ISNUMBER(SEARCH("-",AK852)),IF(LEN(LEFT(AK852,FIND("-",AK852)-1))=4,DATE(VALUE(LEFT(AK852,4)),VALUE(MID(AK852,6,2)),VALUE(RIGHT(AK852,2))),DATE(VALUE(RIGHT(AK852,4)),VALUE(MID(AK852,4,2)),VALUE(LEFT(AK852,2)))),DATE(VALUE(RIGHT(AK852,4)),MATCH(MID(AK852,4,3),{"Jan","Feb","Mar","Apr","May","Jun","Jul","Aug","Sep","Oct","Nov","Dec"},0),VALUE(LEFT(AK852,2))))))</f>
        <v>45476</v>
      </c>
      <c r="D852" s="4" t="s">
        <v>3110</v>
      </c>
      <c r="E852" s="0" t="str">
        <f aca="false">PROPER(TRIM(AL852))</f>
        <v>Priya Menon</v>
      </c>
      <c r="F852" s="0" t="str">
        <f aca="false">PROPER(TRIM(AM852))</f>
        <v>Home Office</v>
      </c>
      <c r="G852" s="0" t="str">
        <f aca="false">IF(TRIM(AN852)="","Unknown",PROPER(TRIM(AN852)))</f>
        <v>East</v>
      </c>
      <c r="H852" s="0" t="str">
        <f aca="false">PROPER(TRIM(AO852))</f>
        <v>West Bengal</v>
      </c>
      <c r="I852" s="0" t="str">
        <f aca="false">PROPER(TRIM(AP852))</f>
        <v>Kolkata</v>
      </c>
      <c r="J852" s="0" t="str">
        <f aca="false">PROPER(TRIM(AQ852))</f>
        <v>Office Supplies</v>
      </c>
      <c r="K852" s="0" t="str">
        <f aca="false">PROPER(TRIM(AR852))</f>
        <v>Paper</v>
      </c>
      <c r="M852" s="0" t="str">
        <f aca="false">IF(TRIM(AS852)="","Unknown",PROPER(TRIM(AS852)))</f>
        <v>First Class</v>
      </c>
      <c r="N852" s="0" t="n">
        <v>6</v>
      </c>
      <c r="O852" s="0" t="n">
        <v>1211.01</v>
      </c>
      <c r="P852" s="5" t="n">
        <f aca="false">IF(AT852="","",IF(ISNUMBER(AT852),AT852,VALUE(SUBSTITUTE(AT852,"%",""))/100))</f>
        <v>0</v>
      </c>
      <c r="Q852" s="5" t="n">
        <f aca="false">IF(P852="",IF(AND(N852&lt;&gt;"",O852&lt;&gt;"",R852&lt;&gt;"",S852&lt;&gt;""),0,"REVIEW"),IF(OR(P852&lt;0,P852&gt;0.3),0,P852))</f>
        <v>0</v>
      </c>
      <c r="R852" s="0" t="n">
        <v>7266.06</v>
      </c>
      <c r="S852" s="0" t="n">
        <v>6216.89</v>
      </c>
      <c r="T852" s="6" t="n">
        <f aca="false">N852*O852*(1-Q852)</f>
        <v>7266.06</v>
      </c>
      <c r="U852" s="6" t="n">
        <f aca="false">T852-S852</f>
        <v>1049.17</v>
      </c>
      <c r="V852" s="7" t="n">
        <f aca="false">IF(T852=0,0,U852/T852)</f>
        <v>0.144393247509654</v>
      </c>
      <c r="W852" s="4" t="n">
        <f aca="false">C852-B852</f>
        <v>3</v>
      </c>
      <c r="X852" s="0" t="str">
        <f aca="false">TEXT(B852,"mmmm")</f>
        <v>June</v>
      </c>
      <c r="Y852" s="4" t="n">
        <f aca="false">YEAR(B852)</f>
        <v>2024</v>
      </c>
      <c r="Z852" s="0" t="str">
        <f aca="false">PROPER(TRIM(AU852))</f>
        <v>Paid</v>
      </c>
      <c r="AA852" s="0" t="str">
        <f aca="false">PROPER(TRIM(AV852))</f>
        <v>Completed</v>
      </c>
      <c r="AB852" s="0" t="str">
        <f aca="false">IF(TRIM(AN852)="","Yes","No")</f>
        <v>No</v>
      </c>
      <c r="AC852" s="0" t="str">
        <f aca="false">IF(TRIM(AS852)="","Yes","No")</f>
        <v>No</v>
      </c>
      <c r="AD852" s="0" t="str">
        <f aca="false">IF(AT852="","Yes","No")</f>
        <v>No</v>
      </c>
      <c r="AE852" s="0" t="str">
        <f aca="false">IF(W852&lt;0,"Yes","No")</f>
        <v>No</v>
      </c>
      <c r="AF852" s="0" t="str">
        <f aca="false">IF(P852="","No",IF(OR(P852&lt;0,P852&gt;0.3),"Yes","No"))</f>
        <v>No</v>
      </c>
      <c r="AG852" s="4" t="s">
        <v>50</v>
      </c>
      <c r="AH852" s="0" t="str">
        <f aca="false">IF(AND(AA852="Completed",Z852="Paid"),"Yes","No")</f>
        <v>Yes</v>
      </c>
      <c r="AI852" s="0" t="str">
        <f aca="false">IF(OR(AE852="Yes",AF852="Yes",AG852="Yes"),"Invalid",IF(OR(AB852="Yes",AC852="Yes",AD852="Yes"),"Warning","Clean"))</f>
        <v>Clean</v>
      </c>
      <c r="AJ852" s="4" t="s">
        <v>1728</v>
      </c>
      <c r="AK852" s="4" t="s">
        <v>3015</v>
      </c>
      <c r="AL852" s="4" t="s">
        <v>158</v>
      </c>
      <c r="AM852" s="4" t="s">
        <v>134</v>
      </c>
      <c r="AN852" s="4" t="s">
        <v>69</v>
      </c>
      <c r="AO852" s="4" t="s">
        <v>139</v>
      </c>
      <c r="AP852" s="4" t="s">
        <v>140</v>
      </c>
      <c r="AQ852" s="4" t="s">
        <v>58</v>
      </c>
      <c r="AR852" s="4" t="s">
        <v>59</v>
      </c>
      <c r="AS852" s="4" t="s">
        <v>81</v>
      </c>
      <c r="AT852" s="0" t="n">
        <v>0</v>
      </c>
      <c r="AU852" s="4" t="s">
        <v>61</v>
      </c>
      <c r="AV852" s="4" t="s">
        <v>62</v>
      </c>
    </row>
    <row r="853" customFormat="false" ht="15" hidden="false" customHeight="false" outlineLevel="0" collapsed="false">
      <c r="A853" s="0" t="s">
        <v>3111</v>
      </c>
      <c r="B853" s="3" t="n">
        <f aca="false">IF(AJ853="","",IF(ISNUMBER(SEARCH("/",AJ853)),DATE(VALUE(RIGHT(AJ853,4)),VALUE(LEFT(AJ853,2)),VALUE(MID(AJ853,4,2))),IF(ISNUMBER(SEARCH("-",AJ853)),IF(LEN(LEFT(AJ853,FIND("-",AJ853)-1))=4,DATE(VALUE(LEFT(AJ853,4)),VALUE(MID(AJ853,6,2)),VALUE(RIGHT(AJ853,2))),DATE(VALUE(RIGHT(AJ853,4)),VALUE(MID(AJ853,4,2)),VALUE(LEFT(AJ853,2)))),DATE(VALUE(RIGHT(AJ853,4)),MATCH(MID(AJ853,4,3),{"Jan","Feb","Mar","Apr","May","Jun","Jul","Aug","Sep","Oct","Nov","Dec"},0),VALUE(LEFT(AJ853,2))))))</f>
        <v>45377</v>
      </c>
      <c r="C853" s="3" t="n">
        <f aca="false">IF(AK853="","",IF(ISNUMBER(SEARCH("/",AK853)),DATE(VALUE(RIGHT(AK853,4)),VALUE(LEFT(AK853,2)),VALUE(MID(AK853,4,2))),IF(ISNUMBER(SEARCH("-",AK853)),IF(LEN(LEFT(AK853,FIND("-",AK853)-1))=4,DATE(VALUE(LEFT(AK853,4)),VALUE(MID(AK853,6,2)),VALUE(RIGHT(AK853,2))),DATE(VALUE(RIGHT(AK853,4)),VALUE(MID(AK853,4,2)),VALUE(LEFT(AK853,2)))),DATE(VALUE(RIGHT(AK853,4)),MATCH(MID(AK853,4,3),{"Jan","Feb","Mar","Apr","May","Jun","Jul","Aug","Sep","Oct","Nov","Dec"},0),VALUE(LEFT(AK853,2))))))</f>
        <v>45383</v>
      </c>
      <c r="D853" s="4" t="s">
        <v>3112</v>
      </c>
      <c r="E853" s="0" t="str">
        <f aca="false">PROPER(TRIM(AL853))</f>
        <v>Karan Malhotra</v>
      </c>
      <c r="F853" s="0" t="str">
        <f aca="false">PROPER(TRIM(AM853))</f>
        <v>Small Business</v>
      </c>
      <c r="G853" s="0" t="str">
        <f aca="false">IF(TRIM(AN853)="","Unknown",PROPER(TRIM(AN853)))</f>
        <v>West</v>
      </c>
      <c r="H853" s="0" t="str">
        <f aca="false">PROPER(TRIM(AO853))</f>
        <v>Gujarat</v>
      </c>
      <c r="I853" s="0" t="str">
        <f aca="false">PROPER(TRIM(AP853))</f>
        <v>Ahmedabad</v>
      </c>
      <c r="J853" s="0" t="str">
        <f aca="false">PROPER(TRIM(AQ853))</f>
        <v>Technology</v>
      </c>
      <c r="K853" s="0" t="str">
        <f aca="false">PROPER(TRIM(AR853))</f>
        <v>Accessories</v>
      </c>
      <c r="M853" s="0" t="str">
        <f aca="false">IF(TRIM(AS853)="","Unknown",PROPER(TRIM(AS853)))</f>
        <v>First Class</v>
      </c>
      <c r="N853" s="0" t="n">
        <v>2</v>
      </c>
      <c r="O853" s="0" t="n">
        <v>1161.3</v>
      </c>
      <c r="P853" s="5" t="n">
        <f aca="false">IF(AT853="","",IF(ISNUMBER(AT853),AT853,VALUE(SUBSTITUTE(AT853,"%",""))/100))</f>
        <v>0.2</v>
      </c>
      <c r="Q853" s="5" t="n">
        <f aca="false">IF(P853="",IF(AND(N853&lt;&gt;"",O853&lt;&gt;"",R853&lt;&gt;"",S853&lt;&gt;""),0,"REVIEW"),IF(OR(P853&lt;0,P853&gt;0.3),0,P853))</f>
        <v>0.2</v>
      </c>
      <c r="R853" s="0" t="n">
        <v>1858.08</v>
      </c>
      <c r="S853" s="0" t="n">
        <v>1590.75</v>
      </c>
      <c r="T853" s="6" t="n">
        <f aca="false">N853*O853*(1-Q853)</f>
        <v>1858.08</v>
      </c>
      <c r="U853" s="6" t="n">
        <f aca="false">T853-S853</f>
        <v>267.33</v>
      </c>
      <c r="V853" s="7" t="n">
        <f aca="false">IF(T853=0,0,U853/T853)</f>
        <v>0.143874321880651</v>
      </c>
      <c r="W853" s="4" t="n">
        <f aca="false">C853-B853</f>
        <v>6</v>
      </c>
      <c r="X853" s="0" t="str">
        <f aca="false">TEXT(B853,"mmmm")</f>
        <v>March</v>
      </c>
      <c r="Y853" s="4" t="n">
        <f aca="false">YEAR(B853)</f>
        <v>2024</v>
      </c>
      <c r="Z853" s="0" t="str">
        <f aca="false">PROPER(TRIM(AU853))</f>
        <v>Paid</v>
      </c>
      <c r="AA853" s="0" t="str">
        <f aca="false">PROPER(TRIM(AV853))</f>
        <v>Completed</v>
      </c>
      <c r="AB853" s="0" t="str">
        <f aca="false">IF(TRIM(AN853)="","Yes","No")</f>
        <v>No</v>
      </c>
      <c r="AC853" s="0" t="str">
        <f aca="false">IF(TRIM(AS853)="","Yes","No")</f>
        <v>No</v>
      </c>
      <c r="AD853" s="0" t="str">
        <f aca="false">IF(AT853="","Yes","No")</f>
        <v>No</v>
      </c>
      <c r="AE853" s="0" t="str">
        <f aca="false">IF(W853&lt;0,"Yes","No")</f>
        <v>No</v>
      </c>
      <c r="AF853" s="0" t="str">
        <f aca="false">IF(P853="","No",IF(OR(P853&lt;0,P853&gt;0.3),"Yes","No"))</f>
        <v>No</v>
      </c>
      <c r="AG853" s="4" t="s">
        <v>50</v>
      </c>
      <c r="AH853" s="0" t="str">
        <f aca="false">IF(AND(AA853="Completed",Z853="Paid"),"Yes","No")</f>
        <v>Yes</v>
      </c>
      <c r="AI853" s="0" t="str">
        <f aca="false">IF(OR(AE853="Yes",AF853="Yes",AG853="Yes"),"Invalid",IF(OR(AB853="Yes",AC853="Yes",AD853="Yes"),"Warning","Clean"))</f>
        <v>Clean</v>
      </c>
      <c r="AJ853" s="4" t="s">
        <v>706</v>
      </c>
      <c r="AK853" s="4" t="s">
        <v>2545</v>
      </c>
      <c r="AL853" s="4" t="s">
        <v>53</v>
      </c>
      <c r="AM853" s="4" t="s">
        <v>68</v>
      </c>
      <c r="AN853" s="4" t="s">
        <v>97</v>
      </c>
      <c r="AO853" s="4" t="s">
        <v>238</v>
      </c>
      <c r="AP853" s="4" t="s">
        <v>239</v>
      </c>
      <c r="AQ853" s="4" t="s">
        <v>109</v>
      </c>
      <c r="AR853" s="4" t="s">
        <v>110</v>
      </c>
      <c r="AS853" s="4" t="s">
        <v>81</v>
      </c>
      <c r="AT853" s="0" t="n">
        <v>0.2</v>
      </c>
      <c r="AU853" s="4" t="s">
        <v>61</v>
      </c>
      <c r="AV853" s="4" t="s">
        <v>62</v>
      </c>
    </row>
    <row r="854" customFormat="false" ht="15" hidden="false" customHeight="false" outlineLevel="0" collapsed="false">
      <c r="A854" s="0" t="s">
        <v>3113</v>
      </c>
      <c r="B854" s="3" t="n">
        <f aca="false">IF(AJ854="","",IF(ISNUMBER(SEARCH("/",AJ854)),DATE(VALUE(RIGHT(AJ854,4)),VALUE(LEFT(AJ854,2)),VALUE(MID(AJ854,4,2))),IF(ISNUMBER(SEARCH("-",AJ854)),IF(LEN(LEFT(AJ854,FIND("-",AJ854)-1))=4,DATE(VALUE(LEFT(AJ854,4)),VALUE(MID(AJ854,6,2)),VALUE(RIGHT(AJ854,2))),DATE(VALUE(RIGHT(AJ854,4)),VALUE(MID(AJ854,4,2)),VALUE(LEFT(AJ854,2)))),DATE(VALUE(RIGHT(AJ854,4)),MATCH(MID(AJ854,4,3),{"Jan","Feb","Mar","Apr","May","Jun","Jul","Aug","Sep","Oct","Nov","Dec"},0),VALUE(LEFT(AJ854,2))))))</f>
        <v>45383</v>
      </c>
      <c r="C854" s="3" t="n">
        <f aca="false">IF(AK854="","",IF(ISNUMBER(SEARCH("/",AK854)),DATE(VALUE(RIGHT(AK854,4)),VALUE(LEFT(AK854,2)),VALUE(MID(AK854,4,2))),IF(ISNUMBER(SEARCH("-",AK854)),IF(LEN(LEFT(AK854,FIND("-",AK854)-1))=4,DATE(VALUE(LEFT(AK854,4)),VALUE(MID(AK854,6,2)),VALUE(RIGHT(AK854,2))),DATE(VALUE(RIGHT(AK854,4)),VALUE(MID(AK854,4,2)),VALUE(LEFT(AK854,2)))),DATE(VALUE(RIGHT(AK854,4)),MATCH(MID(AK854,4,3),{"Jan","Feb","Mar","Apr","May","Jun","Jul","Aug","Sep","Oct","Nov","Dec"},0),VALUE(LEFT(AK854,2))))))</f>
        <v>45390</v>
      </c>
      <c r="D854" s="4" t="s">
        <v>3114</v>
      </c>
      <c r="E854" s="0" t="str">
        <f aca="false">PROPER(TRIM(AL854))</f>
        <v>Ananya Rao</v>
      </c>
      <c r="F854" s="0" t="str">
        <f aca="false">PROPER(TRIM(AM854))</f>
        <v>Consumer</v>
      </c>
      <c r="G854" s="0" t="str">
        <f aca="false">IF(TRIM(AN854)="","Unknown",PROPER(TRIM(AN854)))</f>
        <v>East</v>
      </c>
      <c r="H854" s="0" t="str">
        <f aca="false">PROPER(TRIM(AO854))</f>
        <v>Assam</v>
      </c>
      <c r="I854" s="0" t="str">
        <f aca="false">PROPER(TRIM(AP854))</f>
        <v>Guwahati</v>
      </c>
      <c r="J854" s="0" t="str">
        <f aca="false">PROPER(TRIM(AQ854))</f>
        <v>Furniture</v>
      </c>
      <c r="K854" s="0" t="str">
        <f aca="false">PROPER(TRIM(AR854))</f>
        <v>Tables</v>
      </c>
      <c r="M854" s="0" t="str">
        <f aca="false">IF(TRIM(AS854)="","Unknown",PROPER(TRIM(AS854)))</f>
        <v>Second Class</v>
      </c>
      <c r="N854" s="0" t="n">
        <v>7</v>
      </c>
      <c r="O854" s="0" t="n">
        <v>4205.35</v>
      </c>
      <c r="P854" s="5" t="n">
        <f aca="false">IF(AT854="","",IF(ISNUMBER(AT854),AT854,VALUE(SUBSTITUTE(AT854,"%",""))/100))</f>
        <v>0.15</v>
      </c>
      <c r="Q854" s="5" t="n">
        <f aca="false">IF(P854="",IF(AND(N854&lt;&gt;"",O854&lt;&gt;"",R854&lt;&gt;"",S854&lt;&gt;""),0,"REVIEW"),IF(OR(P854&lt;0,P854&gt;0.3),0,P854))</f>
        <v>0.15</v>
      </c>
      <c r="R854" s="0" t="n">
        <v>25021.83</v>
      </c>
      <c r="S854" s="0" t="n">
        <v>15544.44</v>
      </c>
      <c r="T854" s="6" t="n">
        <f aca="false">N854*O854*(1-Q854)</f>
        <v>25021.8325</v>
      </c>
      <c r="U854" s="6" t="n">
        <f aca="false">T854-S854</f>
        <v>9477.3925</v>
      </c>
      <c r="V854" s="7" t="n">
        <f aca="false">IF(T854=0,0,U854/T854)</f>
        <v>0.378764924591354</v>
      </c>
      <c r="W854" s="4" t="n">
        <f aca="false">C854-B854</f>
        <v>7</v>
      </c>
      <c r="X854" s="0" t="str">
        <f aca="false">TEXT(B854,"mmmm")</f>
        <v>April</v>
      </c>
      <c r="Y854" s="4" t="n">
        <f aca="false">YEAR(B854)</f>
        <v>2024</v>
      </c>
      <c r="Z854" s="0" t="str">
        <f aca="false">PROPER(TRIM(AU854))</f>
        <v>Pending</v>
      </c>
      <c r="AA854" s="0" t="str">
        <f aca="false">PROPER(TRIM(AV854))</f>
        <v>Cancelled</v>
      </c>
      <c r="AB854" s="0" t="str">
        <f aca="false">IF(TRIM(AN854)="","Yes","No")</f>
        <v>No</v>
      </c>
      <c r="AC854" s="0" t="str">
        <f aca="false">IF(TRIM(AS854)="","Yes","No")</f>
        <v>No</v>
      </c>
      <c r="AD854" s="0" t="str">
        <f aca="false">IF(AT854="","Yes","No")</f>
        <v>No</v>
      </c>
      <c r="AE854" s="0" t="str">
        <f aca="false">IF(W854&lt;0,"Yes","No")</f>
        <v>No</v>
      </c>
      <c r="AF854" s="0" t="str">
        <f aca="false">IF(P854="","No",IF(OR(P854&lt;0,P854&gt;0.3),"Yes","No"))</f>
        <v>No</v>
      </c>
      <c r="AG854" s="4" t="s">
        <v>50</v>
      </c>
      <c r="AH854" s="0" t="str">
        <f aca="false">IF(AND(AA854="Completed",Z854="Paid"),"Yes","No")</f>
        <v>No</v>
      </c>
      <c r="AI854" s="0" t="str">
        <f aca="false">IF(OR(AE854="Yes",AF854="Yes",AG854="Yes"),"Invalid",IF(OR(AB854="Yes",AC854="Yes",AD854="Yes"),"Warning","Clean"))</f>
        <v>Clean</v>
      </c>
      <c r="AJ854" s="4" t="s">
        <v>3115</v>
      </c>
      <c r="AK854" s="4" t="s">
        <v>2977</v>
      </c>
      <c r="AL854" s="4" t="s">
        <v>96</v>
      </c>
      <c r="AM854" s="4" t="s">
        <v>54</v>
      </c>
      <c r="AN854" s="4" t="s">
        <v>69</v>
      </c>
      <c r="AO854" s="4" t="s">
        <v>221</v>
      </c>
      <c r="AP854" s="4" t="s">
        <v>222</v>
      </c>
      <c r="AQ854" s="4" t="s">
        <v>72</v>
      </c>
      <c r="AR854" s="4" t="s">
        <v>73</v>
      </c>
      <c r="AS854" s="4" t="s">
        <v>60</v>
      </c>
      <c r="AT854" s="0" t="n">
        <v>0.15</v>
      </c>
      <c r="AU854" s="4" t="s">
        <v>153</v>
      </c>
      <c r="AV854" s="4" t="s">
        <v>101</v>
      </c>
    </row>
    <row r="855" customFormat="false" ht="15" hidden="false" customHeight="false" outlineLevel="0" collapsed="false">
      <c r="A855" s="0" t="s">
        <v>3116</v>
      </c>
      <c r="B855" s="3" t="n">
        <f aca="false">IF(AJ855="","",IF(ISNUMBER(SEARCH("/",AJ855)),DATE(VALUE(RIGHT(AJ855,4)),VALUE(LEFT(AJ855,2)),VALUE(MID(AJ855,4,2))),IF(ISNUMBER(SEARCH("-",AJ855)),IF(LEN(LEFT(AJ855,FIND("-",AJ855)-1))=4,DATE(VALUE(LEFT(AJ855,4)),VALUE(MID(AJ855,6,2)),VALUE(RIGHT(AJ855,2))),DATE(VALUE(RIGHT(AJ855,4)),VALUE(MID(AJ855,4,2)),VALUE(LEFT(AJ855,2)))),DATE(VALUE(RIGHT(AJ855,4)),MATCH(MID(AJ855,4,3),{"Jan","Feb","Mar","Apr","May","Jun","Jul","Aug","Sep","Oct","Nov","Dec"},0),VALUE(LEFT(AJ855,2))))))</f>
        <v>45793</v>
      </c>
      <c r="C855" s="3" t="n">
        <f aca="false">IF(AK855="","",IF(ISNUMBER(SEARCH("/",AK855)),DATE(VALUE(RIGHT(AK855,4)),VALUE(LEFT(AK855,2)),VALUE(MID(AK855,4,2))),IF(ISNUMBER(SEARCH("-",AK855)),IF(LEN(LEFT(AK855,FIND("-",AK855)-1))=4,DATE(VALUE(LEFT(AK855,4)),VALUE(MID(AK855,6,2)),VALUE(RIGHT(AK855,2))),DATE(VALUE(RIGHT(AK855,4)),VALUE(MID(AK855,4,2)),VALUE(LEFT(AK855,2)))),DATE(VALUE(RIGHT(AK855,4)),MATCH(MID(AK855,4,3),{"Jan","Feb","Mar","Apr","May","Jun","Jul","Aug","Sep","Oct","Nov","Dec"},0),VALUE(LEFT(AK855,2))))))</f>
        <v>45799</v>
      </c>
      <c r="D855" s="4" t="s">
        <v>3117</v>
      </c>
      <c r="E855" s="0" t="str">
        <f aca="false">PROPER(TRIM(AL855))</f>
        <v>Arjun Bose</v>
      </c>
      <c r="F855" s="0" t="str">
        <f aca="false">PROPER(TRIM(AM855))</f>
        <v>Corporate</v>
      </c>
      <c r="G855" s="0" t="str">
        <f aca="false">IF(TRIM(AN855)="","Unknown",PROPER(TRIM(AN855)))</f>
        <v>South</v>
      </c>
      <c r="H855" s="0" t="str">
        <f aca="false">PROPER(TRIM(AO855))</f>
        <v>Tamil Nadu</v>
      </c>
      <c r="I855" s="0" t="str">
        <f aca="false">PROPER(TRIM(AP855))</f>
        <v>Chennai</v>
      </c>
      <c r="J855" s="0" t="str">
        <f aca="false">PROPER(TRIM(AQ855))</f>
        <v>Technology</v>
      </c>
      <c r="K855" s="0" t="str">
        <f aca="false">PROPER(TRIM(AR855))</f>
        <v>Accessories</v>
      </c>
      <c r="M855" s="0" t="str">
        <f aca="false">IF(TRIM(AS855)="","Unknown",PROPER(TRIM(AS855)))</f>
        <v>Same Day</v>
      </c>
      <c r="N855" s="0" t="n">
        <v>8</v>
      </c>
      <c r="O855" s="0" t="n">
        <v>579.8</v>
      </c>
      <c r="P855" s="5" t="n">
        <f aca="false">IF(AT855="","",IF(ISNUMBER(AT855),AT855,VALUE(SUBSTITUTE(AT855,"%",""))/100))</f>
        <v>0.2</v>
      </c>
      <c r="Q855" s="5" t="n">
        <f aca="false">IF(P855="",IF(AND(N855&lt;&gt;"",O855&lt;&gt;"",R855&lt;&gt;"",S855&lt;&gt;""),0,"REVIEW"),IF(OR(P855&lt;0,P855&gt;0.3),0,P855))</f>
        <v>0.2</v>
      </c>
      <c r="R855" s="0" t="n">
        <v>3710.72</v>
      </c>
      <c r="S855" s="0" t="n">
        <v>3115.29</v>
      </c>
      <c r="T855" s="6" t="n">
        <f aca="false">N855*O855*(1-Q855)</f>
        <v>3710.72</v>
      </c>
      <c r="U855" s="6" t="n">
        <f aca="false">T855-S855</f>
        <v>595.43</v>
      </c>
      <c r="V855" s="7" t="n">
        <f aca="false">IF(T855=0,0,U855/T855)</f>
        <v>0.160462120558813</v>
      </c>
      <c r="W855" s="4" t="n">
        <f aca="false">C855-B855</f>
        <v>6</v>
      </c>
      <c r="X855" s="0" t="str">
        <f aca="false">TEXT(B855,"mmmm")</f>
        <v>May</v>
      </c>
      <c r="Y855" s="4" t="n">
        <f aca="false">YEAR(B855)</f>
        <v>2025</v>
      </c>
      <c r="Z855" s="0" t="str">
        <f aca="false">PROPER(TRIM(AU855))</f>
        <v>Paid</v>
      </c>
      <c r="AA855" s="0" t="str">
        <f aca="false">PROPER(TRIM(AV855))</f>
        <v>Completed</v>
      </c>
      <c r="AB855" s="0" t="str">
        <f aca="false">IF(TRIM(AN855)="","Yes","No")</f>
        <v>No</v>
      </c>
      <c r="AC855" s="0" t="str">
        <f aca="false">IF(TRIM(AS855)="","Yes","No")</f>
        <v>No</v>
      </c>
      <c r="AD855" s="0" t="str">
        <f aca="false">IF(AT855="","Yes","No")</f>
        <v>No</v>
      </c>
      <c r="AE855" s="0" t="str">
        <f aca="false">IF(W855&lt;0,"Yes","No")</f>
        <v>No</v>
      </c>
      <c r="AF855" s="0" t="str">
        <f aca="false">IF(P855="","No",IF(OR(P855&lt;0,P855&gt;0.3),"Yes","No"))</f>
        <v>No</v>
      </c>
      <c r="AG855" s="4" t="s">
        <v>50</v>
      </c>
      <c r="AH855" s="0" t="str">
        <f aca="false">IF(AND(AA855="Completed",Z855="Paid"),"Yes","No")</f>
        <v>Yes</v>
      </c>
      <c r="AI855" s="0" t="str">
        <f aca="false">IF(OR(AE855="Yes",AF855="Yes",AG855="Yes"),"Invalid",IF(OR(AB855="Yes",AC855="Yes",AD855="Yes"),"Warning","Clean"))</f>
        <v>Clean</v>
      </c>
      <c r="AJ855" s="4" t="s">
        <v>3118</v>
      </c>
      <c r="AK855" s="4" t="s">
        <v>3102</v>
      </c>
      <c r="AL855" s="4" t="s">
        <v>86</v>
      </c>
      <c r="AM855" s="4" t="s">
        <v>128</v>
      </c>
      <c r="AN855" s="4" t="s">
        <v>87</v>
      </c>
      <c r="AO855" s="4" t="s">
        <v>323</v>
      </c>
      <c r="AP855" s="4" t="s">
        <v>324</v>
      </c>
      <c r="AQ855" s="4" t="s">
        <v>109</v>
      </c>
      <c r="AR855" s="4" t="s">
        <v>110</v>
      </c>
      <c r="AS855" s="4" t="s">
        <v>74</v>
      </c>
      <c r="AT855" s="0" t="n">
        <v>0.2</v>
      </c>
      <c r="AU855" s="4" t="s">
        <v>61</v>
      </c>
      <c r="AV855" s="4" t="s">
        <v>62</v>
      </c>
    </row>
    <row r="856" customFormat="false" ht="15" hidden="false" customHeight="false" outlineLevel="0" collapsed="false">
      <c r="A856" s="0" t="s">
        <v>3119</v>
      </c>
      <c r="B856" s="3" t="n">
        <f aca="false">IF(AJ856="","",IF(ISNUMBER(SEARCH("/",AJ856)),DATE(VALUE(RIGHT(AJ856,4)),VALUE(LEFT(AJ856,2)),VALUE(MID(AJ856,4,2))),IF(ISNUMBER(SEARCH("-",AJ856)),IF(LEN(LEFT(AJ856,FIND("-",AJ856)-1))=4,DATE(VALUE(LEFT(AJ856,4)),VALUE(MID(AJ856,6,2)),VALUE(RIGHT(AJ856,2))),DATE(VALUE(RIGHT(AJ856,4)),VALUE(MID(AJ856,4,2)),VALUE(LEFT(AJ856,2)))),DATE(VALUE(RIGHT(AJ856,4)),MATCH(MID(AJ856,4,3),{"Jan","Feb","Mar","Apr","May","Jun","Jul","Aug","Sep","Oct","Nov","Dec"},0),VALUE(LEFT(AJ856,2))))))</f>
        <v>45741</v>
      </c>
      <c r="C856" s="3" t="n">
        <f aca="false">IF(AK856="","",IF(ISNUMBER(SEARCH("/",AK856)),DATE(VALUE(RIGHT(AK856,4)),VALUE(LEFT(AK856,2)),VALUE(MID(AK856,4,2))),IF(ISNUMBER(SEARCH("-",AK856)),IF(LEN(LEFT(AK856,FIND("-",AK856)-1))=4,DATE(VALUE(LEFT(AK856,4)),VALUE(MID(AK856,6,2)),VALUE(RIGHT(AK856,2))),DATE(VALUE(RIGHT(AK856,4)),VALUE(MID(AK856,4,2)),VALUE(LEFT(AK856,2)))),DATE(VALUE(RIGHT(AK856,4)),MATCH(MID(AK856,4,3),{"Jan","Feb","Mar","Apr","May","Jun","Jul","Aug","Sep","Oct","Nov","Dec"},0),VALUE(LEFT(AK856,2))))))</f>
        <v>45749</v>
      </c>
      <c r="D856" s="4" t="s">
        <v>3120</v>
      </c>
      <c r="E856" s="0" t="str">
        <f aca="false">PROPER(TRIM(AL856))</f>
        <v>Priya Menon</v>
      </c>
      <c r="F856" s="0" t="str">
        <f aca="false">PROPER(TRIM(AM856))</f>
        <v>Consumer</v>
      </c>
      <c r="G856" s="0" t="str">
        <f aca="false">IF(TRIM(AN856)="","Unknown",PROPER(TRIM(AN856)))</f>
        <v>South</v>
      </c>
      <c r="H856" s="0" t="str">
        <f aca="false">PROPER(TRIM(AO856))</f>
        <v>Karnataka</v>
      </c>
      <c r="I856" s="0" t="str">
        <f aca="false">PROPER(TRIM(AP856))</f>
        <v>Bengaluru</v>
      </c>
      <c r="J856" s="0" t="str">
        <f aca="false">PROPER(TRIM(AQ856))</f>
        <v>Furniture</v>
      </c>
      <c r="K856" s="0" t="str">
        <f aca="false">PROPER(TRIM(AR856))</f>
        <v>Bookcases</v>
      </c>
      <c r="M856" s="0" t="str">
        <f aca="false">IF(TRIM(AS856)="","Unknown",PROPER(TRIM(AS856)))</f>
        <v>Second Class</v>
      </c>
      <c r="N856" s="0" t="n">
        <v>4</v>
      </c>
      <c r="O856" s="0" t="n">
        <v>2233.64</v>
      </c>
      <c r="P856" s="5" t="n">
        <f aca="false">IF(AT856="","",IF(ISNUMBER(AT856),AT856,VALUE(SUBSTITUTE(AT856,"%",""))/100))</f>
        <v>0.05</v>
      </c>
      <c r="Q856" s="5" t="n">
        <f aca="false">IF(P856="",IF(AND(N856&lt;&gt;"",O856&lt;&gt;"",R856&lt;&gt;"",S856&lt;&gt;""),0,"REVIEW"),IF(OR(P856&lt;0,P856&gt;0.3),0,P856))</f>
        <v>0.05</v>
      </c>
      <c r="R856" s="0" t="n">
        <v>8487.83</v>
      </c>
      <c r="S856" s="0" t="n">
        <v>5245.72</v>
      </c>
      <c r="T856" s="6" t="n">
        <f aca="false">N856*O856*(1-Q856)</f>
        <v>8487.832</v>
      </c>
      <c r="U856" s="6" t="n">
        <f aca="false">T856-S856</f>
        <v>3242.112</v>
      </c>
      <c r="V856" s="7" t="n">
        <f aca="false">IF(T856=0,0,U856/T856)</f>
        <v>0.381971744963849</v>
      </c>
      <c r="W856" s="4" t="n">
        <f aca="false">C856-B856</f>
        <v>8</v>
      </c>
      <c r="X856" s="0" t="str">
        <f aca="false">TEXT(B856,"mmmm")</f>
        <v>March</v>
      </c>
      <c r="Y856" s="4" t="n">
        <f aca="false">YEAR(B856)</f>
        <v>2025</v>
      </c>
      <c r="Z856" s="0" t="str">
        <f aca="false">PROPER(TRIM(AU856))</f>
        <v>Paid</v>
      </c>
      <c r="AA856" s="0" t="str">
        <f aca="false">PROPER(TRIM(AV856))</f>
        <v>Completed</v>
      </c>
      <c r="AB856" s="0" t="str">
        <f aca="false">IF(TRIM(AN856)="","Yes","No")</f>
        <v>No</v>
      </c>
      <c r="AC856" s="0" t="str">
        <f aca="false">IF(TRIM(AS856)="","Yes","No")</f>
        <v>No</v>
      </c>
      <c r="AD856" s="0" t="str">
        <f aca="false">IF(AT856="","Yes","No")</f>
        <v>No</v>
      </c>
      <c r="AE856" s="0" t="str">
        <f aca="false">IF(W856&lt;0,"Yes","No")</f>
        <v>No</v>
      </c>
      <c r="AF856" s="0" t="str">
        <f aca="false">IF(P856="","No",IF(OR(P856&lt;0,P856&gt;0.3),"Yes","No"))</f>
        <v>No</v>
      </c>
      <c r="AG856" s="4" t="s">
        <v>50</v>
      </c>
      <c r="AH856" s="0" t="str">
        <f aca="false">IF(AND(AA856="Completed",Z856="Paid"),"Yes","No")</f>
        <v>Yes</v>
      </c>
      <c r="AI856" s="0" t="str">
        <f aca="false">IF(OR(AE856="Yes",AF856="Yes",AG856="Yes"),"Invalid",IF(OR(AB856="Yes",AC856="Yes",AD856="Yes"),"Warning","Clean"))</f>
        <v>Clean</v>
      </c>
      <c r="AJ856" s="4" t="s">
        <v>3121</v>
      </c>
      <c r="AK856" s="4" t="s">
        <v>3122</v>
      </c>
      <c r="AL856" s="4" t="s">
        <v>158</v>
      </c>
      <c r="AM856" s="4" t="s">
        <v>54</v>
      </c>
      <c r="AN856" s="4" t="s">
        <v>87</v>
      </c>
      <c r="AO856" s="4" t="s">
        <v>233</v>
      </c>
      <c r="AP856" s="4" t="s">
        <v>234</v>
      </c>
      <c r="AQ856" s="4" t="s">
        <v>72</v>
      </c>
      <c r="AR856" s="4" t="s">
        <v>211</v>
      </c>
      <c r="AS856" s="4" t="s">
        <v>60</v>
      </c>
      <c r="AT856" s="0" t="n">
        <v>0.05</v>
      </c>
      <c r="AU856" s="4" t="s">
        <v>61</v>
      </c>
      <c r="AV856" s="4" t="s">
        <v>62</v>
      </c>
    </row>
    <row r="857" customFormat="false" ht="15" hidden="false" customHeight="false" outlineLevel="0" collapsed="false">
      <c r="A857" s="0" t="s">
        <v>3123</v>
      </c>
      <c r="B857" s="3" t="n">
        <f aca="false">IF(AJ857="","",IF(ISNUMBER(SEARCH("/",AJ857)),DATE(VALUE(RIGHT(AJ857,4)),VALUE(LEFT(AJ857,2)),VALUE(MID(AJ857,4,2))),IF(ISNUMBER(SEARCH("-",AJ857)),IF(LEN(LEFT(AJ857,FIND("-",AJ857)-1))=4,DATE(VALUE(LEFT(AJ857,4)),VALUE(MID(AJ857,6,2)),VALUE(RIGHT(AJ857,2))),DATE(VALUE(RIGHT(AJ857,4)),VALUE(MID(AJ857,4,2)),VALUE(LEFT(AJ857,2)))),DATE(VALUE(RIGHT(AJ857,4)),MATCH(MID(AJ857,4,3),{"Jan","Feb","Mar","Apr","May","Jun","Jul","Aug","Sep","Oct","Nov","Dec"},0),VALUE(LEFT(AJ857,2))))))</f>
        <v>45498</v>
      </c>
      <c r="C857" s="3" t="n">
        <f aca="false">IF(AK857="","",IF(ISNUMBER(SEARCH("/",AK857)),DATE(VALUE(RIGHT(AK857,4)),VALUE(LEFT(AK857,2)),VALUE(MID(AK857,4,2))),IF(ISNUMBER(SEARCH("-",AK857)),IF(LEN(LEFT(AK857,FIND("-",AK857)-1))=4,DATE(VALUE(LEFT(AK857,4)),VALUE(MID(AK857,6,2)),VALUE(RIGHT(AK857,2))),DATE(VALUE(RIGHT(AK857,4)),VALUE(MID(AK857,4,2)),VALUE(LEFT(AK857,2)))),DATE(VALUE(RIGHT(AK857,4)),MATCH(MID(AK857,4,3),{"Jan","Feb","Mar","Apr","May","Jun","Jul","Aug","Sep","Oct","Nov","Dec"},0),VALUE(LEFT(AK857,2))))))</f>
        <v>45506</v>
      </c>
      <c r="D857" s="4" t="s">
        <v>1424</v>
      </c>
      <c r="E857" s="0" t="str">
        <f aca="false">PROPER(TRIM(AL857))</f>
        <v>Rahul Verma</v>
      </c>
      <c r="F857" s="0" t="str">
        <f aca="false">PROPER(TRIM(AM857))</f>
        <v>Consumer</v>
      </c>
      <c r="G857" s="0" t="str">
        <f aca="false">IF(TRIM(AN857)="","Unknown",PROPER(TRIM(AN857)))</f>
        <v>North</v>
      </c>
      <c r="H857" s="0" t="str">
        <f aca="false">PROPER(TRIM(AO857))</f>
        <v>Rajasthan</v>
      </c>
      <c r="I857" s="0" t="str">
        <f aca="false">PROPER(TRIM(AP857))</f>
        <v>Jaipur</v>
      </c>
      <c r="J857" s="0" t="str">
        <f aca="false">PROPER(TRIM(AQ857))</f>
        <v>Office Supplies</v>
      </c>
      <c r="K857" s="0" t="str">
        <f aca="false">PROPER(TRIM(AR857))</f>
        <v>Labels</v>
      </c>
      <c r="M857" s="0" t="str">
        <f aca="false">IF(TRIM(AS857)="","Unknown",PROPER(TRIM(AS857)))</f>
        <v>Second Class</v>
      </c>
      <c r="N857" s="0" t="n">
        <v>2</v>
      </c>
      <c r="O857" s="0" t="n">
        <v>2073.53</v>
      </c>
      <c r="P857" s="5" t="n">
        <f aca="false">IF(AT857="","",IF(ISNUMBER(AT857),AT857,VALUE(SUBSTITUTE(AT857,"%",""))/100))</f>
        <v>0.25</v>
      </c>
      <c r="Q857" s="5" t="n">
        <f aca="false">IF(P857="",IF(AND(N857&lt;&gt;"",O857&lt;&gt;"",R857&lt;&gt;"",S857&lt;&gt;""),0,"REVIEW"),IF(OR(P857&lt;0,P857&gt;0.3),0,P857))</f>
        <v>0.25</v>
      </c>
      <c r="R857" s="0" t="n">
        <v>3110.3</v>
      </c>
      <c r="S857" s="0" t="n">
        <v>2101.03</v>
      </c>
      <c r="T857" s="6" t="n">
        <f aca="false">N857*O857*(1-Q857)</f>
        <v>3110.295</v>
      </c>
      <c r="U857" s="6" t="n">
        <f aca="false">T857-S857</f>
        <v>1009.265</v>
      </c>
      <c r="V857" s="7" t="n">
        <f aca="false">IF(T857=0,0,U857/T857)</f>
        <v>0.324491728276578</v>
      </c>
      <c r="W857" s="4" t="n">
        <f aca="false">C857-B857</f>
        <v>8</v>
      </c>
      <c r="X857" s="0" t="str">
        <f aca="false">TEXT(B857,"mmmm")</f>
        <v>July</v>
      </c>
      <c r="Y857" s="4" t="n">
        <f aca="false">YEAR(B857)</f>
        <v>2024</v>
      </c>
      <c r="Z857" s="0" t="str">
        <f aca="false">PROPER(TRIM(AU857))</f>
        <v>Paid</v>
      </c>
      <c r="AA857" s="0" t="str">
        <f aca="false">PROPER(TRIM(AV857))</f>
        <v>Completed</v>
      </c>
      <c r="AB857" s="0" t="str">
        <f aca="false">IF(TRIM(AN857)="","Yes","No")</f>
        <v>No</v>
      </c>
      <c r="AC857" s="0" t="str">
        <f aca="false">IF(TRIM(AS857)="","Yes","No")</f>
        <v>No</v>
      </c>
      <c r="AD857" s="0" t="str">
        <f aca="false">IF(AT857="","Yes","No")</f>
        <v>No</v>
      </c>
      <c r="AE857" s="0" t="str">
        <f aca="false">IF(W857&lt;0,"Yes","No")</f>
        <v>No</v>
      </c>
      <c r="AF857" s="0" t="str">
        <f aca="false">IF(P857="","No",IF(OR(P857&lt;0,P857&gt;0.3),"Yes","No"))</f>
        <v>No</v>
      </c>
      <c r="AG857" s="4" t="s">
        <v>50</v>
      </c>
      <c r="AH857" s="0" t="str">
        <f aca="false">IF(AND(AA857="Completed",Z857="Paid"),"Yes","No")</f>
        <v>Yes</v>
      </c>
      <c r="AI857" s="0" t="str">
        <f aca="false">IF(OR(AE857="Yes",AF857="Yes",AG857="Yes"),"Invalid",IF(OR(AB857="Yes",AC857="Yes",AD857="Yes"),"Warning","Clean"))</f>
        <v>Clean</v>
      </c>
      <c r="AJ857" s="4" t="s">
        <v>651</v>
      </c>
      <c r="AK857" s="4" t="s">
        <v>3124</v>
      </c>
      <c r="AL857" s="4" t="s">
        <v>163</v>
      </c>
      <c r="AM857" s="4" t="s">
        <v>54</v>
      </c>
      <c r="AN857" s="4" t="s">
        <v>168</v>
      </c>
      <c r="AO857" s="4" t="s">
        <v>56</v>
      </c>
      <c r="AP857" s="4" t="s">
        <v>57</v>
      </c>
      <c r="AQ857" s="4" t="s">
        <v>58</v>
      </c>
      <c r="AR857" s="4" t="s">
        <v>3125</v>
      </c>
      <c r="AS857" s="4" t="s">
        <v>60</v>
      </c>
      <c r="AT857" s="0" t="n">
        <v>0.25</v>
      </c>
      <c r="AU857" s="4" t="s">
        <v>61</v>
      </c>
      <c r="AV857" s="4" t="s">
        <v>62</v>
      </c>
    </row>
    <row r="858" customFormat="false" ht="15" hidden="false" customHeight="false" outlineLevel="0" collapsed="false">
      <c r="A858" s="0" t="s">
        <v>3126</v>
      </c>
      <c r="B858" s="3" t="n">
        <f aca="false">IF(AJ858="","",IF(ISNUMBER(SEARCH("/",AJ858)),DATE(VALUE(RIGHT(AJ858,4)),VALUE(LEFT(AJ858,2)),VALUE(MID(AJ858,4,2))),IF(ISNUMBER(SEARCH("-",AJ858)),IF(LEN(LEFT(AJ858,FIND("-",AJ858)-1))=4,DATE(VALUE(LEFT(AJ858,4)),VALUE(MID(AJ858,6,2)),VALUE(RIGHT(AJ858,2))),DATE(VALUE(RIGHT(AJ858,4)),VALUE(MID(AJ858,4,2)),VALUE(LEFT(AJ858,2)))),DATE(VALUE(RIGHT(AJ858,4)),MATCH(MID(AJ858,4,3),{"Jan","Feb","Mar","Apr","May","Jun","Jul","Aug","Sep","Oct","Nov","Dec"},0),VALUE(LEFT(AJ858,2))))))</f>
        <v>45455</v>
      </c>
      <c r="C858" s="3" t="n">
        <f aca="false">IF(AK858="","",IF(ISNUMBER(SEARCH("/",AK858)),DATE(VALUE(RIGHT(AK858,4)),VALUE(LEFT(AK858,2)),VALUE(MID(AK858,4,2))),IF(ISNUMBER(SEARCH("-",AK858)),IF(LEN(LEFT(AK858,FIND("-",AK858)-1))=4,DATE(VALUE(LEFT(AK858,4)),VALUE(MID(AK858,6,2)),VALUE(RIGHT(AK858,2))),DATE(VALUE(RIGHT(AK858,4)),VALUE(MID(AK858,4,2)),VALUE(LEFT(AK858,2)))),DATE(VALUE(RIGHT(AK858,4)),MATCH(MID(AK858,4,3),{"Jan","Feb","Mar","Apr","May","Jun","Jul","Aug","Sep","Oct","Nov","Dec"},0),VALUE(LEFT(AK858,2))))))</f>
        <v>45462</v>
      </c>
      <c r="D858" s="4" t="s">
        <v>1627</v>
      </c>
      <c r="E858" s="0" t="str">
        <f aca="false">PROPER(TRIM(AL858))</f>
        <v>Rohan Mehta</v>
      </c>
      <c r="F858" s="0" t="str">
        <f aca="false">PROPER(TRIM(AM858))</f>
        <v>Home Office</v>
      </c>
      <c r="G858" s="0" t="str">
        <f aca="false">IF(TRIM(AN858)="","Unknown",PROPER(TRIM(AN858)))</f>
        <v>South</v>
      </c>
      <c r="H858" s="0" t="str">
        <f aca="false">PROPER(TRIM(AO858))</f>
        <v>Tamil Nadu</v>
      </c>
      <c r="I858" s="0" t="str">
        <f aca="false">PROPER(TRIM(AP858))</f>
        <v>Chennai</v>
      </c>
      <c r="J858" s="0" t="str">
        <f aca="false">PROPER(TRIM(AQ858))</f>
        <v>Office Supplies</v>
      </c>
      <c r="K858" s="0" t="str">
        <f aca="false">PROPER(TRIM(AR858))</f>
        <v>Storage</v>
      </c>
      <c r="M858" s="0" t="str">
        <f aca="false">IF(TRIM(AS858)="","Unknown",PROPER(TRIM(AS858)))</f>
        <v>Standard Class</v>
      </c>
      <c r="N858" s="0" t="n">
        <v>4</v>
      </c>
      <c r="O858" s="0" t="n">
        <v>395.1</v>
      </c>
      <c r="P858" s="5" t="n">
        <f aca="false">IF(AT858="","",IF(ISNUMBER(AT858),AT858,VALUE(SUBSTITUTE(AT858,"%",""))/100))</f>
        <v>-0.16</v>
      </c>
      <c r="Q858" s="5" t="n">
        <f aca="false">IF(P858="",IF(AND(N858&lt;&gt;"",O858&lt;&gt;"",R858&lt;&gt;"",S858&lt;&gt;""),0,"REVIEW"),IF(OR(P858&lt;0,P858&gt;0.3),0,P858))</f>
        <v>0</v>
      </c>
      <c r="R858" s="0" t="n">
        <v>1185.3</v>
      </c>
      <c r="S858" s="0" t="n">
        <v>966.55</v>
      </c>
      <c r="T858" s="6" t="n">
        <f aca="false">N858*O858*(1-Q858)</f>
        <v>1580.4</v>
      </c>
      <c r="U858" s="6" t="n">
        <f aca="false">T858-S858</f>
        <v>613.85</v>
      </c>
      <c r="V858" s="7" t="n">
        <f aca="false">IF(T858=0,0,U858/T858)</f>
        <v>0.388414325487219</v>
      </c>
      <c r="W858" s="4" t="n">
        <f aca="false">C858-B858</f>
        <v>7</v>
      </c>
      <c r="X858" s="0" t="str">
        <f aca="false">TEXT(B858,"mmmm")</f>
        <v>June</v>
      </c>
      <c r="Y858" s="4" t="n">
        <f aca="false">YEAR(B858)</f>
        <v>2024</v>
      </c>
      <c r="Z858" s="0" t="str">
        <f aca="false">PROPER(TRIM(AU858))</f>
        <v>Failed</v>
      </c>
      <c r="AA858" s="0" t="str">
        <f aca="false">PROPER(TRIM(AV858))</f>
        <v>Cancelled</v>
      </c>
      <c r="AB858" s="0" t="str">
        <f aca="false">IF(TRIM(AN858)="","Yes","No")</f>
        <v>No</v>
      </c>
      <c r="AC858" s="0" t="str">
        <f aca="false">IF(TRIM(AS858)="","Yes","No")</f>
        <v>No</v>
      </c>
      <c r="AD858" s="0" t="str">
        <f aca="false">IF(AT858="","Yes","No")</f>
        <v>No</v>
      </c>
      <c r="AE858" s="0" t="str">
        <f aca="false">IF(W858&lt;0,"Yes","No")</f>
        <v>No</v>
      </c>
      <c r="AF858" s="0" t="str">
        <f aca="false">IF(P858="","No",IF(OR(P858&lt;0,P858&gt;0.3),"Yes","No"))</f>
        <v>Yes</v>
      </c>
      <c r="AG858" s="4" t="s">
        <v>50</v>
      </c>
      <c r="AH858" s="0" t="str">
        <f aca="false">IF(AND(AA858="Completed",Z858="Paid"),"Yes","No")</f>
        <v>No</v>
      </c>
      <c r="AI858" s="0" t="str">
        <f aca="false">IF(OR(AE858="Yes",AF858="Yes",AG858="Yes"),"Invalid",IF(OR(AB858="Yes",AC858="Yes",AD858="Yes"),"Warning","Clean"))</f>
        <v>Invalid</v>
      </c>
      <c r="AJ858" s="4" t="s">
        <v>3127</v>
      </c>
      <c r="AK858" s="4" t="s">
        <v>611</v>
      </c>
      <c r="AL858" s="4" t="s">
        <v>191</v>
      </c>
      <c r="AM858" s="4" t="s">
        <v>134</v>
      </c>
      <c r="AN858" s="4" t="s">
        <v>87</v>
      </c>
      <c r="AO858" s="4" t="s">
        <v>323</v>
      </c>
      <c r="AP858" s="4" t="s">
        <v>324</v>
      </c>
      <c r="AQ858" s="4" t="s">
        <v>58</v>
      </c>
      <c r="AR858" s="4" t="s">
        <v>171</v>
      </c>
      <c r="AS858" s="4" t="s">
        <v>91</v>
      </c>
      <c r="AT858" s="0" t="n">
        <v>-0.16</v>
      </c>
      <c r="AU858" s="4" t="s">
        <v>207</v>
      </c>
      <c r="AV858" s="4" t="s">
        <v>101</v>
      </c>
    </row>
    <row r="859" customFormat="false" ht="15" hidden="false" customHeight="false" outlineLevel="0" collapsed="false">
      <c r="A859" s="0" t="s">
        <v>3128</v>
      </c>
      <c r="B859" s="3" t="n">
        <f aca="false">IF(AJ859="","",IF(ISNUMBER(SEARCH("/",AJ859)),DATE(VALUE(RIGHT(AJ859,4)),VALUE(LEFT(AJ859,2)),VALUE(MID(AJ859,4,2))),IF(ISNUMBER(SEARCH("-",AJ859)),IF(LEN(LEFT(AJ859,FIND("-",AJ859)-1))=4,DATE(VALUE(LEFT(AJ859,4)),VALUE(MID(AJ859,6,2)),VALUE(RIGHT(AJ859,2))),DATE(VALUE(RIGHT(AJ859,4)),VALUE(MID(AJ859,4,2)),VALUE(LEFT(AJ859,2)))),DATE(VALUE(RIGHT(AJ859,4)),MATCH(MID(AJ859,4,3),{"Jan","Feb","Mar","Apr","May","Jun","Jul","Aug","Sep","Oct","Nov","Dec"},0),VALUE(LEFT(AJ859,2))))))</f>
        <v>45447</v>
      </c>
      <c r="C859" s="3" t="n">
        <f aca="false">IF(AK859="","",IF(ISNUMBER(SEARCH("/",AK859)),DATE(VALUE(RIGHT(AK859,4)),VALUE(LEFT(AK859,2)),VALUE(MID(AK859,4,2))),IF(ISNUMBER(SEARCH("-",AK859)),IF(LEN(LEFT(AK859,FIND("-",AK859)-1))=4,DATE(VALUE(LEFT(AK859,4)),VALUE(MID(AK859,6,2)),VALUE(RIGHT(AK859,2))),DATE(VALUE(RIGHT(AK859,4)),VALUE(MID(AK859,4,2)),VALUE(LEFT(AK859,2)))),DATE(VALUE(RIGHT(AK859,4)),MATCH(MID(AK859,4,3),{"Jan","Feb","Mar","Apr","May","Jun","Jul","Aug","Sep","Oct","Nov","Dec"},0),VALUE(LEFT(AK859,2))))))</f>
        <v>45447</v>
      </c>
      <c r="D859" s="4" t="s">
        <v>2605</v>
      </c>
      <c r="E859" s="0" t="str">
        <f aca="false">PROPER(TRIM(AL859))</f>
        <v>Sneha Kapoor</v>
      </c>
      <c r="F859" s="0" t="str">
        <f aca="false">PROPER(TRIM(AM859))</f>
        <v>Home Office</v>
      </c>
      <c r="G859" s="0" t="str">
        <f aca="false">IF(TRIM(AN859)="","Unknown",PROPER(TRIM(AN859)))</f>
        <v>South</v>
      </c>
      <c r="H859" s="0" t="str">
        <f aca="false">PROPER(TRIM(AO859))</f>
        <v>Kerala</v>
      </c>
      <c r="I859" s="0" t="str">
        <f aca="false">PROPER(TRIM(AP859))</f>
        <v>Kochi</v>
      </c>
      <c r="J859" s="0" t="str">
        <f aca="false">PROPER(TRIM(AQ859))</f>
        <v>Office Supplies</v>
      </c>
      <c r="K859" s="0" t="str">
        <f aca="false">PROPER(TRIM(AR859))</f>
        <v>Storage</v>
      </c>
      <c r="M859" s="0" t="str">
        <f aca="false">IF(TRIM(AS859)="","Unknown",PROPER(TRIM(AS859)))</f>
        <v>First Class</v>
      </c>
      <c r="N859" s="0" t="n">
        <v>6</v>
      </c>
      <c r="O859" s="0" t="n">
        <v>2708.97</v>
      </c>
      <c r="P859" s="5" t="n">
        <f aca="false">IF(AT859="","",IF(ISNUMBER(AT859),AT859,VALUE(SUBSTITUTE(AT859,"%",""))/100))</f>
        <v>0.25</v>
      </c>
      <c r="Q859" s="5" t="n">
        <f aca="false">IF(P859="",IF(AND(N859&lt;&gt;"",O859&lt;&gt;"",R859&lt;&gt;"",S859&lt;&gt;""),0,"REVIEW"),IF(OR(P859&lt;0,P859&gt;0.3),0,P859))</f>
        <v>0.25</v>
      </c>
      <c r="R859" s="0" t="n">
        <v>12190.36</v>
      </c>
      <c r="S859" s="0" t="n">
        <v>10176.99</v>
      </c>
      <c r="T859" s="6" t="n">
        <f aca="false">N859*O859*(1-Q859)</f>
        <v>12190.365</v>
      </c>
      <c r="U859" s="6" t="n">
        <f aca="false">T859-S859</f>
        <v>2013.375</v>
      </c>
      <c r="V859" s="7" t="n">
        <f aca="false">IF(T859=0,0,U859/T859)</f>
        <v>0.165161174419306</v>
      </c>
      <c r="W859" s="4" t="n">
        <f aca="false">C859-B859</f>
        <v>0</v>
      </c>
      <c r="X859" s="0" t="str">
        <f aca="false">TEXT(B859,"mmmm")</f>
        <v>June</v>
      </c>
      <c r="Y859" s="4" t="n">
        <f aca="false">YEAR(B859)</f>
        <v>2024</v>
      </c>
      <c r="Z859" s="0" t="str">
        <f aca="false">PROPER(TRIM(AU859))</f>
        <v>Paid</v>
      </c>
      <c r="AA859" s="0" t="str">
        <f aca="false">PROPER(TRIM(AV859))</f>
        <v>Completed</v>
      </c>
      <c r="AB859" s="0" t="str">
        <f aca="false">IF(TRIM(AN859)="","Yes","No")</f>
        <v>No</v>
      </c>
      <c r="AC859" s="0" t="str">
        <f aca="false">IF(TRIM(AS859)="","Yes","No")</f>
        <v>No</v>
      </c>
      <c r="AD859" s="0" t="str">
        <f aca="false">IF(AT859="","Yes","No")</f>
        <v>No</v>
      </c>
      <c r="AE859" s="0" t="str">
        <f aca="false">IF(W859&lt;0,"Yes","No")</f>
        <v>No</v>
      </c>
      <c r="AF859" s="0" t="str">
        <f aca="false">IF(P859="","No",IF(OR(P859&lt;0,P859&gt;0.3),"Yes","No"))</f>
        <v>No</v>
      </c>
      <c r="AG859" s="4" t="s">
        <v>50</v>
      </c>
      <c r="AH859" s="0" t="str">
        <f aca="false">IF(AND(AA859="Completed",Z859="Paid"),"Yes","No")</f>
        <v>Yes</v>
      </c>
      <c r="AI859" s="0" t="str">
        <f aca="false">IF(OR(AE859="Yes",AF859="Yes",AG859="Yes"),"Invalid",IF(OR(AB859="Yes",AC859="Yes",AD859="Yes"),"Warning","Clean"))</f>
        <v>Clean</v>
      </c>
      <c r="AJ859" s="4" t="s">
        <v>3129</v>
      </c>
      <c r="AK859" s="4" t="s">
        <v>3130</v>
      </c>
      <c r="AL859" s="4" t="s">
        <v>181</v>
      </c>
      <c r="AM859" s="4" t="s">
        <v>134</v>
      </c>
      <c r="AN859" s="4" t="s">
        <v>87</v>
      </c>
      <c r="AO859" s="4" t="s">
        <v>244</v>
      </c>
      <c r="AP859" s="4" t="s">
        <v>245</v>
      </c>
      <c r="AQ859" s="4" t="s">
        <v>58</v>
      </c>
      <c r="AR859" s="4" t="s">
        <v>171</v>
      </c>
      <c r="AS859" s="4" t="s">
        <v>81</v>
      </c>
      <c r="AT859" s="0" t="n">
        <v>0.25</v>
      </c>
      <c r="AU859" s="4" t="s">
        <v>61</v>
      </c>
      <c r="AV859" s="4" t="s">
        <v>62</v>
      </c>
    </row>
    <row r="860" customFormat="false" ht="15" hidden="false" customHeight="false" outlineLevel="0" collapsed="false">
      <c r="A860" s="0" t="s">
        <v>3131</v>
      </c>
      <c r="B860" s="3" t="n">
        <f aca="false">IF(AJ860="","",IF(ISNUMBER(SEARCH("/",AJ860)),DATE(VALUE(RIGHT(AJ860,4)),VALUE(LEFT(AJ860,2)),VALUE(MID(AJ860,4,2))),IF(ISNUMBER(SEARCH("-",AJ860)),IF(LEN(LEFT(AJ860,FIND("-",AJ860)-1))=4,DATE(VALUE(LEFT(AJ860,4)),VALUE(MID(AJ860,6,2)),VALUE(RIGHT(AJ860,2))),DATE(VALUE(RIGHT(AJ860,4)),VALUE(MID(AJ860,4,2)),VALUE(LEFT(AJ860,2)))),DATE(VALUE(RIGHT(AJ860,4)),MATCH(MID(AJ860,4,3),{"Jan","Feb","Mar","Apr","May","Jun","Jul","Aug","Sep","Oct","Nov","Dec"},0),VALUE(LEFT(AJ860,2))))))</f>
        <v>45414</v>
      </c>
      <c r="C860" s="3" t="n">
        <f aca="false">IF(AK860="","",IF(ISNUMBER(SEARCH("/",AK860)),DATE(VALUE(RIGHT(AK860,4)),VALUE(LEFT(AK860,2)),VALUE(MID(AK860,4,2))),IF(ISNUMBER(SEARCH("-",AK860)),IF(LEN(LEFT(AK860,FIND("-",AK860)-1))=4,DATE(VALUE(LEFT(AK860,4)),VALUE(MID(AK860,6,2)),VALUE(RIGHT(AK860,2))),DATE(VALUE(RIGHT(AK860,4)),VALUE(MID(AK860,4,2)),VALUE(LEFT(AK860,2)))),DATE(VALUE(RIGHT(AK860,4)),MATCH(MID(AK860,4,3),{"Jan","Feb","Mar","Apr","May","Jun","Jul","Aug","Sep","Oct","Nov","Dec"},0),VALUE(LEFT(AK860,2))))))</f>
        <v>45421</v>
      </c>
      <c r="D860" s="4" t="s">
        <v>3132</v>
      </c>
      <c r="E860" s="0" t="str">
        <f aca="false">PROPER(TRIM(AL860))</f>
        <v>Arjun Bose</v>
      </c>
      <c r="F860" s="0" t="str">
        <f aca="false">PROPER(TRIM(AM860))</f>
        <v>Consumer</v>
      </c>
      <c r="G860" s="0" t="str">
        <f aca="false">IF(TRIM(AN860)="","Unknown",PROPER(TRIM(AN860)))</f>
        <v>East</v>
      </c>
      <c r="H860" s="0" t="str">
        <f aca="false">PROPER(TRIM(AO860))</f>
        <v>Odisha</v>
      </c>
      <c r="I860" s="0" t="str">
        <f aca="false">PROPER(TRIM(AP860))</f>
        <v>Bhubaneswar</v>
      </c>
      <c r="J860" s="0" t="str">
        <f aca="false">PROPER(TRIM(AQ860))</f>
        <v>Technology</v>
      </c>
      <c r="K860" s="0" t="str">
        <f aca="false">PROPER(TRIM(AR860))</f>
        <v>Accessories</v>
      </c>
      <c r="M860" s="0" t="str">
        <f aca="false">IF(TRIM(AS860)="","Unknown",PROPER(TRIM(AS860)))</f>
        <v>Second Class</v>
      </c>
      <c r="N860" s="0" t="n">
        <v>4</v>
      </c>
      <c r="O860" s="0" t="n">
        <v>2904.86</v>
      </c>
      <c r="P860" s="5" t="n">
        <f aca="false">IF(AT860="","",IF(ISNUMBER(AT860),AT860,VALUE(SUBSTITUTE(AT860,"%",""))/100))</f>
        <v>0</v>
      </c>
      <c r="Q860" s="5" t="n">
        <f aca="false">IF(P860="",IF(AND(N860&lt;&gt;"",O860&lt;&gt;"",R860&lt;&gt;"",S860&lt;&gt;""),0,"REVIEW"),IF(OR(P860&lt;0,P860&gt;0.3),0,P860))</f>
        <v>0</v>
      </c>
      <c r="R860" s="0" t="n">
        <v>11619.44</v>
      </c>
      <c r="S860" s="0" t="n">
        <v>7184.32</v>
      </c>
      <c r="T860" s="6" t="n">
        <f aca="false">N860*O860*(1-Q860)</f>
        <v>11619.44</v>
      </c>
      <c r="U860" s="6" t="n">
        <f aca="false">T860-S860</f>
        <v>4435.12</v>
      </c>
      <c r="V860" s="7" t="n">
        <f aca="false">IF(T860=0,0,U860/T860)</f>
        <v>0.381698257403111</v>
      </c>
      <c r="W860" s="4" t="n">
        <f aca="false">C860-B860</f>
        <v>7</v>
      </c>
      <c r="X860" s="0" t="str">
        <f aca="false">TEXT(B860,"mmmm")</f>
        <v>May</v>
      </c>
      <c r="Y860" s="4" t="n">
        <f aca="false">YEAR(B860)</f>
        <v>2024</v>
      </c>
      <c r="Z860" s="0" t="str">
        <f aca="false">PROPER(TRIM(AU860))</f>
        <v>Paid</v>
      </c>
      <c r="AA860" s="0" t="str">
        <f aca="false">PROPER(TRIM(AV860))</f>
        <v>Completed</v>
      </c>
      <c r="AB860" s="0" t="str">
        <f aca="false">IF(TRIM(AN860)="","Yes","No")</f>
        <v>No</v>
      </c>
      <c r="AC860" s="0" t="str">
        <f aca="false">IF(TRIM(AS860)="","Yes","No")</f>
        <v>No</v>
      </c>
      <c r="AD860" s="0" t="str">
        <f aca="false">IF(AT860="","Yes","No")</f>
        <v>No</v>
      </c>
      <c r="AE860" s="0" t="str">
        <f aca="false">IF(W860&lt;0,"Yes","No")</f>
        <v>No</v>
      </c>
      <c r="AF860" s="0" t="str">
        <f aca="false">IF(P860="","No",IF(OR(P860&lt;0,P860&gt;0.3),"Yes","No"))</f>
        <v>No</v>
      </c>
      <c r="AG860" s="4" t="s">
        <v>50</v>
      </c>
      <c r="AH860" s="0" t="str">
        <f aca="false">IF(AND(AA860="Completed",Z860="Paid"),"Yes","No")</f>
        <v>Yes</v>
      </c>
      <c r="AI860" s="0" t="str">
        <f aca="false">IF(OR(AE860="Yes",AF860="Yes",AG860="Yes"),"Invalid",IF(OR(AB860="Yes",AC860="Yes",AD860="Yes"),"Warning","Clean"))</f>
        <v>Clean</v>
      </c>
      <c r="AJ860" s="4" t="s">
        <v>1040</v>
      </c>
      <c r="AK860" s="4" t="s">
        <v>1094</v>
      </c>
      <c r="AL860" s="4" t="s">
        <v>86</v>
      </c>
      <c r="AM860" s="4" t="s">
        <v>54</v>
      </c>
      <c r="AN860" s="4" t="s">
        <v>69</v>
      </c>
      <c r="AO860" s="4" t="s">
        <v>70</v>
      </c>
      <c r="AP860" s="4" t="s">
        <v>71</v>
      </c>
      <c r="AQ860" s="4" t="s">
        <v>109</v>
      </c>
      <c r="AR860" s="4" t="s">
        <v>110</v>
      </c>
      <c r="AS860" s="4" t="s">
        <v>60</v>
      </c>
      <c r="AT860" s="0" t="n">
        <v>0</v>
      </c>
      <c r="AU860" s="4" t="s">
        <v>61</v>
      </c>
      <c r="AV860" s="4" t="s">
        <v>62</v>
      </c>
    </row>
    <row r="861" customFormat="false" ht="15" hidden="false" customHeight="false" outlineLevel="0" collapsed="false">
      <c r="A861" s="0" t="s">
        <v>3133</v>
      </c>
      <c r="B861" s="3" t="n">
        <f aca="false">IF(AJ861="","",IF(ISNUMBER(SEARCH("/",AJ861)),DATE(VALUE(RIGHT(AJ861,4)),VALUE(LEFT(AJ861,2)),VALUE(MID(AJ861,4,2))),IF(ISNUMBER(SEARCH("-",AJ861)),IF(LEN(LEFT(AJ861,FIND("-",AJ861)-1))=4,DATE(VALUE(LEFT(AJ861,4)),VALUE(MID(AJ861,6,2)),VALUE(RIGHT(AJ861,2))),DATE(VALUE(RIGHT(AJ861,4)),VALUE(MID(AJ861,4,2)),VALUE(LEFT(AJ861,2)))),DATE(VALUE(RIGHT(AJ861,4)),MATCH(MID(AJ861,4,3),{"Jan","Feb","Mar","Apr","May","Jun","Jul","Aug","Sep","Oct","Nov","Dec"},0),VALUE(LEFT(AJ861,2))))))</f>
        <v>45592</v>
      </c>
      <c r="C861" s="3" t="n">
        <f aca="false">IF(AK861="","",IF(ISNUMBER(SEARCH("/",AK861)),DATE(VALUE(RIGHT(AK861,4)),VALUE(LEFT(AK861,2)),VALUE(MID(AK861,4,2))),IF(ISNUMBER(SEARCH("-",AK861)),IF(LEN(LEFT(AK861,FIND("-",AK861)-1))=4,DATE(VALUE(LEFT(AK861,4)),VALUE(MID(AK861,6,2)),VALUE(RIGHT(AK861,2))),DATE(VALUE(RIGHT(AK861,4)),VALUE(MID(AK861,4,2)),VALUE(LEFT(AK861,2)))),DATE(VALUE(RIGHT(AK861,4)),MATCH(MID(AK861,4,3),{"Jan","Feb","Mar","Apr","May","Jun","Jul","Aug","Sep","Oct","Nov","Dec"},0),VALUE(LEFT(AK861,2))))))</f>
        <v>45597</v>
      </c>
      <c r="D861" s="4" t="s">
        <v>3134</v>
      </c>
      <c r="E861" s="0" t="str">
        <f aca="false">PROPER(TRIM(AL861))</f>
        <v>Aditi Sen</v>
      </c>
      <c r="F861" s="0" t="str">
        <f aca="false">PROPER(TRIM(AM861))</f>
        <v>Corporate</v>
      </c>
      <c r="G861" s="0" t="str">
        <f aca="false">IF(TRIM(AN861)="","Unknown",PROPER(TRIM(AN861)))</f>
        <v>South</v>
      </c>
      <c r="H861" s="0" t="str">
        <f aca="false">PROPER(TRIM(AO861))</f>
        <v>Tamil Nadu</v>
      </c>
      <c r="I861" s="0" t="str">
        <f aca="false">PROPER(TRIM(AP861))</f>
        <v>Chennai</v>
      </c>
      <c r="J861" s="0" t="str">
        <f aca="false">PROPER(TRIM(AQ861))</f>
        <v>Technology</v>
      </c>
      <c r="K861" s="0" t="str">
        <f aca="false">PROPER(TRIM(AR861))</f>
        <v>Phones</v>
      </c>
      <c r="M861" s="0" t="str">
        <f aca="false">IF(TRIM(AS861)="","Unknown",PROPER(TRIM(AS861)))</f>
        <v>Standard Class</v>
      </c>
      <c r="N861" s="0" t="n">
        <v>6</v>
      </c>
      <c r="O861" s="0" t="n">
        <v>4399.2</v>
      </c>
      <c r="P861" s="5" t="n">
        <f aca="false">IF(AT861="","",IF(ISNUMBER(AT861),AT861,VALUE(SUBSTITUTE(AT861,"%",""))/100))</f>
        <v>0.05</v>
      </c>
      <c r="Q861" s="5" t="n">
        <f aca="false">IF(P861="",IF(AND(N861&lt;&gt;"",O861&lt;&gt;"",R861&lt;&gt;"",S861&lt;&gt;""),0,"REVIEW"),IF(OR(P861&lt;0,P861&gt;0.3),0,P861))</f>
        <v>0.05</v>
      </c>
      <c r="R861" s="0" t="n">
        <v>25075.44</v>
      </c>
      <c r="S861" s="0" t="n">
        <v>16282.74</v>
      </c>
      <c r="T861" s="6" t="n">
        <f aca="false">N861*O861*(1-Q861)</f>
        <v>25075.44</v>
      </c>
      <c r="U861" s="6" t="n">
        <f aca="false">T861-S861</f>
        <v>8792.7</v>
      </c>
      <c r="V861" s="7" t="n">
        <f aca="false">IF(T861=0,0,U861/T861)</f>
        <v>0.350649878925355</v>
      </c>
      <c r="W861" s="4" t="n">
        <f aca="false">C861-B861</f>
        <v>5</v>
      </c>
      <c r="X861" s="0" t="str">
        <f aca="false">TEXT(B861,"mmmm")</f>
        <v>October</v>
      </c>
      <c r="Y861" s="4" t="n">
        <f aca="false">YEAR(B861)</f>
        <v>2024</v>
      </c>
      <c r="Z861" s="0" t="str">
        <f aca="false">PROPER(TRIM(AU861))</f>
        <v>Paid</v>
      </c>
      <c r="AA861" s="0" t="str">
        <f aca="false">PROPER(TRIM(AV861))</f>
        <v>Completed</v>
      </c>
      <c r="AB861" s="0" t="str">
        <f aca="false">IF(TRIM(AN861)="","Yes","No")</f>
        <v>No</v>
      </c>
      <c r="AC861" s="0" t="str">
        <f aca="false">IF(TRIM(AS861)="","Yes","No")</f>
        <v>No</v>
      </c>
      <c r="AD861" s="0" t="str">
        <f aca="false">IF(AT861="","Yes","No")</f>
        <v>No</v>
      </c>
      <c r="AE861" s="0" t="str">
        <f aca="false">IF(W861&lt;0,"Yes","No")</f>
        <v>No</v>
      </c>
      <c r="AF861" s="0" t="str">
        <f aca="false">IF(P861="","No",IF(OR(P861&lt;0,P861&gt;0.3),"Yes","No"))</f>
        <v>No</v>
      </c>
      <c r="AG861" s="4" t="s">
        <v>50</v>
      </c>
      <c r="AH861" s="0" t="str">
        <f aca="false">IF(AND(AA861="Completed",Z861="Paid"),"Yes","No")</f>
        <v>Yes</v>
      </c>
      <c r="AI861" s="0" t="str">
        <f aca="false">IF(OR(AE861="Yes",AF861="Yes",AG861="Yes"),"Invalid",IF(OR(AB861="Yes",AC861="Yes",AD861="Yes"),"Warning","Clean"))</f>
        <v>Clean</v>
      </c>
      <c r="AJ861" s="4" t="s">
        <v>2812</v>
      </c>
      <c r="AK861" s="4" t="s">
        <v>3135</v>
      </c>
      <c r="AL861" s="4" t="s">
        <v>127</v>
      </c>
      <c r="AM861" s="4" t="s">
        <v>128</v>
      </c>
      <c r="AN861" s="4" t="s">
        <v>87</v>
      </c>
      <c r="AO861" s="4" t="s">
        <v>323</v>
      </c>
      <c r="AP861" s="4" t="s">
        <v>324</v>
      </c>
      <c r="AQ861" s="4" t="s">
        <v>109</v>
      </c>
      <c r="AR861" s="4" t="s">
        <v>227</v>
      </c>
      <c r="AS861" s="4" t="s">
        <v>91</v>
      </c>
      <c r="AT861" s="0" t="n">
        <v>0.05</v>
      </c>
      <c r="AU861" s="4" t="s">
        <v>61</v>
      </c>
      <c r="AV861" s="4" t="s">
        <v>62</v>
      </c>
    </row>
    <row r="862" customFormat="false" ht="15" hidden="false" customHeight="false" outlineLevel="0" collapsed="false">
      <c r="A862" s="0" t="s">
        <v>3136</v>
      </c>
      <c r="B862" s="3" t="n">
        <f aca="false">IF(AJ862="","",IF(ISNUMBER(SEARCH("/",AJ862)),DATE(VALUE(RIGHT(AJ862,4)),VALUE(LEFT(AJ862,2)),VALUE(MID(AJ862,4,2))),IF(ISNUMBER(SEARCH("-",AJ862)),IF(LEN(LEFT(AJ862,FIND("-",AJ862)-1))=4,DATE(VALUE(LEFT(AJ862,4)),VALUE(MID(AJ862,6,2)),VALUE(RIGHT(AJ862,2))),DATE(VALUE(RIGHT(AJ862,4)),VALUE(MID(AJ862,4,2)),VALUE(LEFT(AJ862,2)))),DATE(VALUE(RIGHT(AJ862,4)),MATCH(MID(AJ862,4,3),{"Jan","Feb","Mar","Apr","May","Jun","Jul","Aug","Sep","Oct","Nov","Dec"},0),VALUE(LEFT(AJ862,2))))))</f>
        <v>45324</v>
      </c>
      <c r="C862" s="3" t="n">
        <f aca="false">IF(AK862="","",IF(ISNUMBER(SEARCH("/",AK862)),DATE(VALUE(RIGHT(AK862,4)),VALUE(LEFT(AK862,2)),VALUE(MID(AK862,4,2))),IF(ISNUMBER(SEARCH("-",AK862)),IF(LEN(LEFT(AK862,FIND("-",AK862)-1))=4,DATE(VALUE(LEFT(AK862,4)),VALUE(MID(AK862,6,2)),VALUE(RIGHT(AK862,2))),DATE(VALUE(RIGHT(AK862,4)),VALUE(MID(AK862,4,2)),VALUE(LEFT(AK862,2)))),DATE(VALUE(RIGHT(AK862,4)),MATCH(MID(AK862,4,3),{"Jan","Feb","Mar","Apr","May","Jun","Jul","Aug","Sep","Oct","Nov","Dec"},0),VALUE(LEFT(AK862,2))))))</f>
        <v>45326</v>
      </c>
      <c r="D862" s="4" t="s">
        <v>3137</v>
      </c>
      <c r="E862" s="0" t="str">
        <f aca="false">PROPER(TRIM(AL862))</f>
        <v>Vikram Iyer</v>
      </c>
      <c r="F862" s="0" t="str">
        <f aca="false">PROPER(TRIM(AM862))</f>
        <v>Home Office</v>
      </c>
      <c r="G862" s="0" t="str">
        <f aca="false">IF(TRIM(AN862)="","Unknown",PROPER(TRIM(AN862)))</f>
        <v>North</v>
      </c>
      <c r="H862" s="0" t="str">
        <f aca="false">PROPER(TRIM(AO862))</f>
        <v>Uttar Pradesh</v>
      </c>
      <c r="I862" s="0" t="str">
        <f aca="false">PROPER(TRIM(AP862))</f>
        <v>Noida</v>
      </c>
      <c r="J862" s="0" t="str">
        <f aca="false">PROPER(TRIM(AQ862))</f>
        <v>Office Supplies</v>
      </c>
      <c r="K862" s="0" t="str">
        <f aca="false">PROPER(TRIM(AR862))</f>
        <v>Storage</v>
      </c>
      <c r="M862" s="0" t="str">
        <f aca="false">IF(TRIM(AS862)="","Unknown",PROPER(TRIM(AS862)))</f>
        <v>Second Class</v>
      </c>
      <c r="N862" s="0" t="n">
        <v>1</v>
      </c>
      <c r="O862" s="0" t="n">
        <v>4397.32</v>
      </c>
      <c r="P862" s="5" t="n">
        <f aca="false">IF(AT862="","",IF(ISNUMBER(AT862),AT862,VALUE(SUBSTITUTE(AT862,"%",""))/100))</f>
        <v>0.05</v>
      </c>
      <c r="Q862" s="5" t="n">
        <f aca="false">IF(P862="",IF(AND(N862&lt;&gt;"",O862&lt;&gt;"",R862&lt;&gt;"",S862&lt;&gt;""),0,"REVIEW"),IF(OR(P862&lt;0,P862&gt;0.3),0,P862))</f>
        <v>0.05</v>
      </c>
      <c r="R862" s="0" t="n">
        <v>4177.45</v>
      </c>
      <c r="S862" s="0" t="n">
        <v>2299.5</v>
      </c>
      <c r="T862" s="6" t="n">
        <f aca="false">N862*O862*(1-Q862)</f>
        <v>4177.454</v>
      </c>
      <c r="U862" s="6" t="n">
        <f aca="false">T862-S862</f>
        <v>1877.954</v>
      </c>
      <c r="V862" s="7" t="n">
        <f aca="false">IF(T862=0,0,U862/T862)</f>
        <v>0.449545105703139</v>
      </c>
      <c r="W862" s="4" t="n">
        <f aca="false">C862-B862</f>
        <v>2</v>
      </c>
      <c r="X862" s="0" t="str">
        <f aca="false">TEXT(B862,"mmmm")</f>
        <v>February</v>
      </c>
      <c r="Y862" s="4" t="n">
        <f aca="false">YEAR(B862)</f>
        <v>2024</v>
      </c>
      <c r="Z862" s="0" t="str">
        <f aca="false">PROPER(TRIM(AU862))</f>
        <v>Paid</v>
      </c>
      <c r="AA862" s="0" t="str">
        <f aca="false">PROPER(TRIM(AV862))</f>
        <v>Completed</v>
      </c>
      <c r="AB862" s="0" t="str">
        <f aca="false">IF(TRIM(AN862)="","Yes","No")</f>
        <v>No</v>
      </c>
      <c r="AC862" s="0" t="str">
        <f aca="false">IF(TRIM(AS862)="","Yes","No")</f>
        <v>No</v>
      </c>
      <c r="AD862" s="0" t="str">
        <f aca="false">IF(AT862="","Yes","No")</f>
        <v>No</v>
      </c>
      <c r="AE862" s="0" t="str">
        <f aca="false">IF(W862&lt;0,"Yes","No")</f>
        <v>No</v>
      </c>
      <c r="AF862" s="0" t="str">
        <f aca="false">IF(P862="","No",IF(OR(P862&lt;0,P862&gt;0.3),"Yes","No"))</f>
        <v>No</v>
      </c>
      <c r="AG862" s="4" t="s">
        <v>50</v>
      </c>
      <c r="AH862" s="0" t="str">
        <f aca="false">IF(AND(AA862="Completed",Z862="Paid"),"Yes","No")</f>
        <v>Yes</v>
      </c>
      <c r="AI862" s="0" t="str">
        <f aca="false">IF(OR(AE862="Yes",AF862="Yes",AG862="Yes"),"Invalid",IF(OR(AB862="Yes",AC862="Yes",AD862="Yes"),"Warning","Clean"))</f>
        <v>Clean</v>
      </c>
      <c r="AJ862" s="4" t="s">
        <v>655</v>
      </c>
      <c r="AK862" s="4" t="s">
        <v>3138</v>
      </c>
      <c r="AL862" s="4" t="s">
        <v>106</v>
      </c>
      <c r="AM862" s="4" t="s">
        <v>134</v>
      </c>
      <c r="AN862" s="4" t="s">
        <v>168</v>
      </c>
      <c r="AO862" s="4" t="s">
        <v>186</v>
      </c>
      <c r="AP862" s="4" t="s">
        <v>187</v>
      </c>
      <c r="AQ862" s="4" t="s">
        <v>58</v>
      </c>
      <c r="AR862" s="4" t="s">
        <v>171</v>
      </c>
      <c r="AS862" s="4" t="s">
        <v>60</v>
      </c>
      <c r="AT862" s="0" t="n">
        <v>0.05</v>
      </c>
      <c r="AU862" s="4" t="s">
        <v>61</v>
      </c>
      <c r="AV862" s="4" t="s">
        <v>62</v>
      </c>
    </row>
    <row r="863" customFormat="false" ht="15" hidden="false" customHeight="false" outlineLevel="0" collapsed="false">
      <c r="A863" s="0" t="s">
        <v>3139</v>
      </c>
      <c r="B863" s="3" t="n">
        <f aca="false">IF(AJ863="","",IF(ISNUMBER(SEARCH("/",AJ863)),DATE(VALUE(RIGHT(AJ863,4)),VALUE(LEFT(AJ863,2)),VALUE(MID(AJ863,4,2))),IF(ISNUMBER(SEARCH("-",AJ863)),IF(LEN(LEFT(AJ863,FIND("-",AJ863)-1))=4,DATE(VALUE(LEFT(AJ863,4)),VALUE(MID(AJ863,6,2)),VALUE(RIGHT(AJ863,2))),DATE(VALUE(RIGHT(AJ863,4)),VALUE(MID(AJ863,4,2)),VALUE(LEFT(AJ863,2)))),DATE(VALUE(RIGHT(AJ863,4)),MATCH(MID(AJ863,4,3),{"Jan","Feb","Mar","Apr","May","Jun","Jul","Aug","Sep","Oct","Nov","Dec"},0),VALUE(LEFT(AJ863,2))))))</f>
        <v>45724</v>
      </c>
      <c r="C863" s="3" t="n">
        <f aca="false">IF(AK863="","",IF(ISNUMBER(SEARCH("/",AK863)),DATE(VALUE(RIGHT(AK863,4)),VALUE(LEFT(AK863,2)),VALUE(MID(AK863,4,2))),IF(ISNUMBER(SEARCH("-",AK863)),IF(LEN(LEFT(AK863,FIND("-",AK863)-1))=4,DATE(VALUE(LEFT(AK863,4)),VALUE(MID(AK863,6,2)),VALUE(RIGHT(AK863,2))),DATE(VALUE(RIGHT(AK863,4)),VALUE(MID(AK863,4,2)),VALUE(LEFT(AK863,2)))),DATE(VALUE(RIGHT(AK863,4)),MATCH(MID(AK863,4,3),{"Jan","Feb","Mar","Apr","May","Jun","Jul","Aug","Sep","Oct","Nov","Dec"},0),VALUE(LEFT(AK863,2))))))</f>
        <v>45725</v>
      </c>
      <c r="D863" s="4" t="s">
        <v>3140</v>
      </c>
      <c r="E863" s="0" t="str">
        <f aca="false">PROPER(TRIM(AL863))</f>
        <v>Priya Menon</v>
      </c>
      <c r="F863" s="0" t="str">
        <f aca="false">PROPER(TRIM(AM863))</f>
        <v>Home Office</v>
      </c>
      <c r="G863" s="0" t="str">
        <f aca="false">IF(TRIM(AN863)="","Unknown",PROPER(TRIM(AN863)))</f>
        <v>North</v>
      </c>
      <c r="H863" s="0" t="str">
        <f aca="false">PROPER(TRIM(AO863))</f>
        <v>Delhi</v>
      </c>
      <c r="I863" s="0" t="str">
        <f aca="false">PROPER(TRIM(AP863))</f>
        <v>New Delhi</v>
      </c>
      <c r="J863" s="0" t="str">
        <f aca="false">PROPER(TRIM(AQ863))</f>
        <v>Furniture</v>
      </c>
      <c r="K863" s="0" t="str">
        <f aca="false">PROPER(TRIM(AR863))</f>
        <v>Furnishings</v>
      </c>
      <c r="M863" s="0" t="str">
        <f aca="false">IF(TRIM(AS863)="","Unknown",PROPER(TRIM(AS863)))</f>
        <v>Same Day</v>
      </c>
      <c r="N863" s="0" t="n">
        <v>4</v>
      </c>
      <c r="O863" s="0" t="n">
        <v>3405.68</v>
      </c>
      <c r="P863" s="5" t="n">
        <f aca="false">IF(AT863="","",IF(ISNUMBER(AT863),AT863,VALUE(SUBSTITUTE(AT863,"%",""))/100))</f>
        <v>0.2</v>
      </c>
      <c r="Q863" s="5" t="n">
        <f aca="false">IF(P863="",IF(AND(N863&lt;&gt;"",O863&lt;&gt;"",R863&lt;&gt;"",S863&lt;&gt;""),0,"REVIEW"),IF(OR(P863&lt;0,P863&gt;0.3),0,P863))</f>
        <v>0.2</v>
      </c>
      <c r="R863" s="0" t="n">
        <v>10898.18</v>
      </c>
      <c r="S863" s="0" t="n">
        <v>6231.41</v>
      </c>
      <c r="T863" s="6" t="n">
        <f aca="false">N863*O863*(1-Q863)</f>
        <v>10898.176</v>
      </c>
      <c r="U863" s="6" t="n">
        <f aca="false">T863-S863</f>
        <v>4666.766</v>
      </c>
      <c r="V863" s="7" t="n">
        <f aca="false">IF(T863=0,0,U863/T863)</f>
        <v>0.428215327041883</v>
      </c>
      <c r="W863" s="4" t="n">
        <f aca="false">C863-B863</f>
        <v>1</v>
      </c>
      <c r="X863" s="0" t="str">
        <f aca="false">TEXT(B863,"mmmm")</f>
        <v>March</v>
      </c>
      <c r="Y863" s="4" t="n">
        <f aca="false">YEAR(B863)</f>
        <v>2025</v>
      </c>
      <c r="Z863" s="0" t="str">
        <f aca="false">PROPER(TRIM(AU863))</f>
        <v>Paid</v>
      </c>
      <c r="AA863" s="0" t="str">
        <f aca="false">PROPER(TRIM(AV863))</f>
        <v>Completed</v>
      </c>
      <c r="AB863" s="0" t="str">
        <f aca="false">IF(TRIM(AN863)="","Yes","No")</f>
        <v>No</v>
      </c>
      <c r="AC863" s="0" t="str">
        <f aca="false">IF(TRIM(AS863)="","Yes","No")</f>
        <v>No</v>
      </c>
      <c r="AD863" s="0" t="str">
        <f aca="false">IF(AT863="","Yes","No")</f>
        <v>No</v>
      </c>
      <c r="AE863" s="0" t="str">
        <f aca="false">IF(W863&lt;0,"Yes","No")</f>
        <v>No</v>
      </c>
      <c r="AF863" s="0" t="str">
        <f aca="false">IF(P863="","No",IF(OR(P863&lt;0,P863&gt;0.3),"Yes","No"))</f>
        <v>No</v>
      </c>
      <c r="AG863" s="4" t="s">
        <v>50</v>
      </c>
      <c r="AH863" s="0" t="str">
        <f aca="false">IF(AND(AA863="Completed",Z863="Paid"),"Yes","No")</f>
        <v>Yes</v>
      </c>
      <c r="AI863" s="0" t="str">
        <f aca="false">IF(OR(AE863="Yes",AF863="Yes",AG863="Yes"),"Invalid",IF(OR(AB863="Yes",AC863="Yes",AD863="Yes"),"Warning","Clean"))</f>
        <v>Clean</v>
      </c>
      <c r="AJ863" s="4" t="s">
        <v>3141</v>
      </c>
      <c r="AK863" s="4" t="s">
        <v>3142</v>
      </c>
      <c r="AL863" s="4" t="s">
        <v>158</v>
      </c>
      <c r="AM863" s="4" t="s">
        <v>134</v>
      </c>
      <c r="AN863" s="4" t="s">
        <v>168</v>
      </c>
      <c r="AO863" s="4" t="s">
        <v>461</v>
      </c>
      <c r="AP863" s="4" t="s">
        <v>462</v>
      </c>
      <c r="AQ863" s="4" t="s">
        <v>72</v>
      </c>
      <c r="AR863" s="4" t="s">
        <v>90</v>
      </c>
      <c r="AS863" s="4" t="s">
        <v>74</v>
      </c>
      <c r="AT863" s="0" t="n">
        <v>0.2</v>
      </c>
      <c r="AU863" s="4" t="s">
        <v>61</v>
      </c>
      <c r="AV863" s="4" t="s">
        <v>62</v>
      </c>
    </row>
    <row r="864" customFormat="false" ht="15" hidden="false" customHeight="false" outlineLevel="0" collapsed="false">
      <c r="A864" s="0" t="s">
        <v>3143</v>
      </c>
      <c r="B864" s="3" t="n">
        <f aca="false">IF(AJ864="","",IF(ISNUMBER(SEARCH("/",AJ864)),DATE(VALUE(RIGHT(AJ864,4)),VALUE(LEFT(AJ864,2)),VALUE(MID(AJ864,4,2))),IF(ISNUMBER(SEARCH("-",AJ864)),IF(LEN(LEFT(AJ864,FIND("-",AJ864)-1))=4,DATE(VALUE(LEFT(AJ864,4)),VALUE(MID(AJ864,6,2)),VALUE(RIGHT(AJ864,2))),DATE(VALUE(RIGHT(AJ864,4)),VALUE(MID(AJ864,4,2)),VALUE(LEFT(AJ864,2)))),DATE(VALUE(RIGHT(AJ864,4)),MATCH(MID(AJ864,4,3),{"Jan","Feb","Mar","Apr","May","Jun","Jul","Aug","Sep","Oct","Nov","Dec"},0),VALUE(LEFT(AJ864,2))))))</f>
        <v>45742</v>
      </c>
      <c r="C864" s="3" t="n">
        <f aca="false">IF(AK864="","",IF(ISNUMBER(SEARCH("/",AK864)),DATE(VALUE(RIGHT(AK864,4)),VALUE(LEFT(AK864,2)),VALUE(MID(AK864,4,2))),IF(ISNUMBER(SEARCH("-",AK864)),IF(LEN(LEFT(AK864,FIND("-",AK864)-1))=4,DATE(VALUE(LEFT(AK864,4)),VALUE(MID(AK864,6,2)),VALUE(RIGHT(AK864,2))),DATE(VALUE(RIGHT(AK864,4)),VALUE(MID(AK864,4,2)),VALUE(LEFT(AK864,2)))),DATE(VALUE(RIGHT(AK864,4)),MATCH(MID(AK864,4,3),{"Jan","Feb","Mar","Apr","May","Jun","Jul","Aug","Sep","Oct","Nov","Dec"},0),VALUE(LEFT(AK864,2))))))</f>
        <v>45747</v>
      </c>
      <c r="D864" s="4" t="s">
        <v>3144</v>
      </c>
      <c r="E864" s="0" t="str">
        <f aca="false">PROPER(TRIM(AL864))</f>
        <v>Priya Menon</v>
      </c>
      <c r="F864" s="0" t="str">
        <f aca="false">PROPER(TRIM(AM864))</f>
        <v>Small Business</v>
      </c>
      <c r="G864" s="0" t="str">
        <f aca="false">IF(TRIM(AN864)="","Unknown",PROPER(TRIM(AN864)))</f>
        <v>East</v>
      </c>
      <c r="H864" s="0" t="str">
        <f aca="false">PROPER(TRIM(AO864))</f>
        <v>Jharkhand</v>
      </c>
      <c r="I864" s="0" t="str">
        <f aca="false">PROPER(TRIM(AP864))</f>
        <v>Ranchi</v>
      </c>
      <c r="J864" s="0" t="str">
        <f aca="false">PROPER(TRIM(AQ864))</f>
        <v>Office Supplies</v>
      </c>
      <c r="K864" s="0" t="str">
        <f aca="false">PROPER(TRIM(AR864))</f>
        <v>Binders</v>
      </c>
      <c r="M864" s="0" t="str">
        <f aca="false">IF(TRIM(AS864)="","Unknown",PROPER(TRIM(AS864)))</f>
        <v>First Class</v>
      </c>
      <c r="N864" s="0" t="n">
        <v>5</v>
      </c>
      <c r="O864" s="0" t="n">
        <v>1395.14</v>
      </c>
      <c r="P864" s="5" t="n">
        <f aca="false">IF(AT864="","",IF(ISNUMBER(AT864),AT864,VALUE(SUBSTITUTE(AT864,"%",""))/100))</f>
        <v>0</v>
      </c>
      <c r="Q864" s="5" t="n">
        <f aca="false">IF(P864="",IF(AND(N864&lt;&gt;"",O864&lt;&gt;"",R864&lt;&gt;"",S864&lt;&gt;""),0,"REVIEW"),IF(OR(P864&lt;0,P864&gt;0.3),0,P864))</f>
        <v>0</v>
      </c>
      <c r="R864" s="0" t="n">
        <v>6975.7</v>
      </c>
      <c r="S864" s="0" t="n">
        <v>4797.88</v>
      </c>
      <c r="T864" s="6" t="n">
        <f aca="false">N864*O864*(1-Q864)</f>
        <v>6975.7</v>
      </c>
      <c r="U864" s="6" t="n">
        <f aca="false">T864-S864</f>
        <v>2177.82</v>
      </c>
      <c r="V864" s="7" t="n">
        <f aca="false">IF(T864=0,0,U864/T864)</f>
        <v>0.312200926071936</v>
      </c>
      <c r="W864" s="4" t="n">
        <f aca="false">C864-B864</f>
        <v>5</v>
      </c>
      <c r="X864" s="0" t="str">
        <f aca="false">TEXT(B864,"mmmm")</f>
        <v>March</v>
      </c>
      <c r="Y864" s="4" t="n">
        <f aca="false">YEAR(B864)</f>
        <v>2025</v>
      </c>
      <c r="Z864" s="0" t="str">
        <f aca="false">PROPER(TRIM(AU864))</f>
        <v>Paid</v>
      </c>
      <c r="AA864" s="0" t="str">
        <f aca="false">PROPER(TRIM(AV864))</f>
        <v>Cancelled</v>
      </c>
      <c r="AB864" s="0" t="str">
        <f aca="false">IF(TRIM(AN864)="","Yes","No")</f>
        <v>No</v>
      </c>
      <c r="AC864" s="0" t="str">
        <f aca="false">IF(TRIM(AS864)="","Yes","No")</f>
        <v>No</v>
      </c>
      <c r="AD864" s="0" t="str">
        <f aca="false">IF(AT864="","Yes","No")</f>
        <v>No</v>
      </c>
      <c r="AE864" s="0" t="str">
        <f aca="false">IF(W864&lt;0,"Yes","No")</f>
        <v>No</v>
      </c>
      <c r="AF864" s="0" t="str">
        <f aca="false">IF(P864="","No",IF(OR(P864&lt;0,P864&gt;0.3),"Yes","No"))</f>
        <v>No</v>
      </c>
      <c r="AG864" s="4" t="s">
        <v>50</v>
      </c>
      <c r="AH864" s="0" t="str">
        <f aca="false">IF(AND(AA864="Completed",Z864="Paid"),"Yes","No")</f>
        <v>No</v>
      </c>
      <c r="AI864" s="0" t="str">
        <f aca="false">IF(OR(AE864="Yes",AF864="Yes",AG864="Yes"),"Invalid",IF(OR(AB864="Yes",AC864="Yes",AD864="Yes"),"Warning","Clean"))</f>
        <v>Clean</v>
      </c>
      <c r="AJ864" s="4" t="s">
        <v>2668</v>
      </c>
      <c r="AK864" s="4" t="s">
        <v>3145</v>
      </c>
      <c r="AL864" s="4" t="s">
        <v>158</v>
      </c>
      <c r="AM864" s="4" t="s">
        <v>68</v>
      </c>
      <c r="AN864" s="4" t="s">
        <v>69</v>
      </c>
      <c r="AO864" s="4" t="s">
        <v>300</v>
      </c>
      <c r="AP864" s="4" t="s">
        <v>301</v>
      </c>
      <c r="AQ864" s="4" t="s">
        <v>58</v>
      </c>
      <c r="AR864" s="4" t="s">
        <v>206</v>
      </c>
      <c r="AS864" s="4" t="s">
        <v>81</v>
      </c>
      <c r="AT864" s="0" t="n">
        <v>0</v>
      </c>
      <c r="AU864" s="4" t="s">
        <v>61</v>
      </c>
      <c r="AV864" s="4" t="s">
        <v>101</v>
      </c>
    </row>
    <row r="865" customFormat="false" ht="15" hidden="false" customHeight="false" outlineLevel="0" collapsed="false">
      <c r="A865" s="0" t="s">
        <v>3146</v>
      </c>
      <c r="B865" s="3" t="n">
        <f aca="false">IF(AJ865="","",IF(ISNUMBER(SEARCH("/",AJ865)),DATE(VALUE(RIGHT(AJ865,4)),VALUE(LEFT(AJ865,2)),VALUE(MID(AJ865,4,2))),IF(ISNUMBER(SEARCH("-",AJ865)),IF(LEN(LEFT(AJ865,FIND("-",AJ865)-1))=4,DATE(VALUE(LEFT(AJ865,4)),VALUE(MID(AJ865,6,2)),VALUE(RIGHT(AJ865,2))),DATE(VALUE(RIGHT(AJ865,4)),VALUE(MID(AJ865,4,2)),VALUE(LEFT(AJ865,2)))),DATE(VALUE(RIGHT(AJ865,4)),MATCH(MID(AJ865,4,3),{"Jan","Feb","Mar","Apr","May","Jun","Jul","Aug","Sep","Oct","Nov","Dec"},0),VALUE(LEFT(AJ865,2))))))</f>
        <v>45906</v>
      </c>
      <c r="C865" s="3" t="n">
        <f aca="false">IF(AK865="","",IF(ISNUMBER(SEARCH("/",AK865)),DATE(VALUE(RIGHT(AK865,4)),VALUE(LEFT(AK865,2)),VALUE(MID(AK865,4,2))),IF(ISNUMBER(SEARCH("-",AK865)),IF(LEN(LEFT(AK865,FIND("-",AK865)-1))=4,DATE(VALUE(LEFT(AK865,4)),VALUE(MID(AK865,6,2)),VALUE(RIGHT(AK865,2))),DATE(VALUE(RIGHT(AK865,4)),VALUE(MID(AK865,4,2)),VALUE(LEFT(AK865,2)))),DATE(VALUE(RIGHT(AK865,4)),MATCH(MID(AK865,4,3),{"Jan","Feb","Mar","Apr","May","Jun","Jul","Aug","Sep","Oct","Nov","Dec"},0),VALUE(LEFT(AK865,2))))))</f>
        <v>45908</v>
      </c>
      <c r="D865" s="4" t="s">
        <v>3147</v>
      </c>
      <c r="E865" s="0" t="str">
        <f aca="false">PROPER(TRIM(AL865))</f>
        <v>Aarav Sharma</v>
      </c>
      <c r="F865" s="0" t="str">
        <f aca="false">PROPER(TRIM(AM865))</f>
        <v>Home Office</v>
      </c>
      <c r="G865" s="0" t="str">
        <f aca="false">IF(TRIM(AN865)="","Unknown",PROPER(TRIM(AN865)))</f>
        <v>West</v>
      </c>
      <c r="H865" s="0" t="str">
        <f aca="false">PROPER(TRIM(AO865))</f>
        <v>Madhya Pradesh</v>
      </c>
      <c r="I865" s="0" t="str">
        <f aca="false">PROPER(TRIM(AP865))</f>
        <v>Indore</v>
      </c>
      <c r="J865" s="0" t="str">
        <f aca="false">PROPER(TRIM(AQ865))</f>
        <v>Furniture</v>
      </c>
      <c r="K865" s="0" t="str">
        <f aca="false">PROPER(TRIM(AR865))</f>
        <v>Furnishings</v>
      </c>
      <c r="M865" s="0" t="str">
        <f aca="false">IF(TRIM(AS865)="","Unknown",PROPER(TRIM(AS865)))</f>
        <v>Same Day</v>
      </c>
      <c r="N865" s="0" t="n">
        <v>3</v>
      </c>
      <c r="O865" s="0" t="n">
        <v>2937.23</v>
      </c>
      <c r="P865" s="5" t="n">
        <f aca="false">IF(AT865="","",IF(ISNUMBER(AT865),AT865,VALUE(SUBSTITUTE(AT865,"%",""))/100))</f>
        <v>0</v>
      </c>
      <c r="Q865" s="5" t="n">
        <f aca="false">IF(P865="",IF(AND(N865&lt;&gt;"",O865&lt;&gt;"",R865&lt;&gt;"",S865&lt;&gt;""),0,"REVIEW"),IF(OR(P865&lt;0,P865&gt;0.3),0,P865))</f>
        <v>0</v>
      </c>
      <c r="R865" s="0" t="n">
        <v>8811.69</v>
      </c>
      <c r="S865" s="0" t="n">
        <v>6765.91</v>
      </c>
      <c r="T865" s="6" t="n">
        <f aca="false">N865*O865*(1-Q865)</f>
        <v>8811.69</v>
      </c>
      <c r="U865" s="6" t="n">
        <f aca="false">T865-S865</f>
        <v>2045.78</v>
      </c>
      <c r="V865" s="7" t="n">
        <f aca="false">IF(T865=0,0,U865/T865)</f>
        <v>0.232166587794169</v>
      </c>
      <c r="W865" s="4" t="n">
        <f aca="false">C865-B865</f>
        <v>2</v>
      </c>
      <c r="X865" s="0" t="str">
        <f aca="false">TEXT(B865,"mmmm")</f>
        <v>September</v>
      </c>
      <c r="Y865" s="4" t="n">
        <f aca="false">YEAR(B865)</f>
        <v>2025</v>
      </c>
      <c r="Z865" s="0" t="str">
        <f aca="false">PROPER(TRIM(AU865))</f>
        <v>Paid</v>
      </c>
      <c r="AA865" s="0" t="str">
        <f aca="false">PROPER(TRIM(AV865))</f>
        <v>Completed</v>
      </c>
      <c r="AB865" s="0" t="str">
        <f aca="false">IF(TRIM(AN865)="","Yes","No")</f>
        <v>No</v>
      </c>
      <c r="AC865" s="0" t="str">
        <f aca="false">IF(TRIM(AS865)="","Yes","No")</f>
        <v>No</v>
      </c>
      <c r="AD865" s="0" t="str">
        <f aca="false">IF(AT865="","Yes","No")</f>
        <v>No</v>
      </c>
      <c r="AE865" s="0" t="str">
        <f aca="false">IF(W865&lt;0,"Yes","No")</f>
        <v>No</v>
      </c>
      <c r="AF865" s="0" t="str">
        <f aca="false">IF(P865="","No",IF(OR(P865&lt;0,P865&gt;0.3),"Yes","No"))</f>
        <v>No</v>
      </c>
      <c r="AG865" s="4" t="s">
        <v>50</v>
      </c>
      <c r="AH865" s="0" t="str">
        <f aca="false">IF(AND(AA865="Completed",Z865="Paid"),"Yes","No")</f>
        <v>Yes</v>
      </c>
      <c r="AI865" s="0" t="str">
        <f aca="false">IF(OR(AE865="Yes",AF865="Yes",AG865="Yes"),"Invalid",IF(OR(AB865="Yes",AC865="Yes",AD865="Yes"),"Warning","Clean"))</f>
        <v>Clean</v>
      </c>
      <c r="AJ865" s="4" t="s">
        <v>3148</v>
      </c>
      <c r="AK865" s="4" t="s">
        <v>2219</v>
      </c>
      <c r="AL865" s="4" t="s">
        <v>176</v>
      </c>
      <c r="AM865" s="4" t="s">
        <v>134</v>
      </c>
      <c r="AN865" s="4" t="s">
        <v>97</v>
      </c>
      <c r="AO865" s="4" t="s">
        <v>107</v>
      </c>
      <c r="AP865" s="4" t="s">
        <v>108</v>
      </c>
      <c r="AQ865" s="4" t="s">
        <v>72</v>
      </c>
      <c r="AR865" s="4" t="s">
        <v>90</v>
      </c>
      <c r="AS865" s="4" t="s">
        <v>74</v>
      </c>
      <c r="AT865" s="0" t="n">
        <v>0</v>
      </c>
      <c r="AU865" s="4" t="s">
        <v>61</v>
      </c>
      <c r="AV865" s="4" t="s">
        <v>62</v>
      </c>
    </row>
    <row r="866" customFormat="false" ht="15" hidden="false" customHeight="false" outlineLevel="0" collapsed="false">
      <c r="A866" s="0" t="s">
        <v>3149</v>
      </c>
      <c r="B866" s="3" t="n">
        <f aca="false">IF(AJ866="","",IF(ISNUMBER(SEARCH("/",AJ866)),DATE(VALUE(RIGHT(AJ866,4)),VALUE(LEFT(AJ866,2)),VALUE(MID(AJ866,4,2))),IF(ISNUMBER(SEARCH("-",AJ866)),IF(LEN(LEFT(AJ866,FIND("-",AJ866)-1))=4,DATE(VALUE(LEFT(AJ866,4)),VALUE(MID(AJ866,6,2)),VALUE(RIGHT(AJ866,2))),DATE(VALUE(RIGHT(AJ866,4)),VALUE(MID(AJ866,4,2)),VALUE(LEFT(AJ866,2)))),DATE(VALUE(RIGHT(AJ866,4)),MATCH(MID(AJ866,4,3),{"Jan","Feb","Mar","Apr","May","Jun","Jul","Aug","Sep","Oct","Nov","Dec"},0),VALUE(LEFT(AJ866,2))))))</f>
        <v>45902</v>
      </c>
      <c r="C866" s="3" t="n">
        <f aca="false">IF(AK866="","",IF(ISNUMBER(SEARCH("/",AK866)),DATE(VALUE(RIGHT(AK866,4)),VALUE(LEFT(AK866,2)),VALUE(MID(AK866,4,2))),IF(ISNUMBER(SEARCH("-",AK866)),IF(LEN(LEFT(AK866,FIND("-",AK866)-1))=4,DATE(VALUE(LEFT(AK866,4)),VALUE(MID(AK866,6,2)),VALUE(RIGHT(AK866,2))),DATE(VALUE(RIGHT(AK866,4)),VALUE(MID(AK866,4,2)),VALUE(LEFT(AK866,2)))),DATE(VALUE(RIGHT(AK866,4)),MATCH(MID(AK866,4,3),{"Jan","Feb","Mar","Apr","May","Jun","Jul","Aug","Sep","Oct","Nov","Dec"},0),VALUE(LEFT(AK866,2))))))</f>
        <v>45905</v>
      </c>
      <c r="D866" s="4" t="s">
        <v>3150</v>
      </c>
      <c r="E866" s="0" t="str">
        <f aca="false">PROPER(TRIM(AL866))</f>
        <v>Vikram Iyer</v>
      </c>
      <c r="F866" s="0" t="str">
        <f aca="false">PROPER(TRIM(AM866))</f>
        <v>Consumer</v>
      </c>
      <c r="G866" s="0" t="str">
        <f aca="false">IF(TRIM(AN866)="","Unknown",PROPER(TRIM(AN866)))</f>
        <v>South</v>
      </c>
      <c r="H866" s="0" t="str">
        <f aca="false">PROPER(TRIM(AO866))</f>
        <v>Tamil Nadu</v>
      </c>
      <c r="I866" s="0" t="str">
        <f aca="false">PROPER(TRIM(AP866))</f>
        <v>Chennai</v>
      </c>
      <c r="J866" s="0" t="str">
        <f aca="false">PROPER(TRIM(AQ866))</f>
        <v>Technology</v>
      </c>
      <c r="K866" s="0" t="str">
        <f aca="false">PROPER(TRIM(AR866))</f>
        <v>Phones</v>
      </c>
      <c r="M866" s="0" t="str">
        <f aca="false">IF(TRIM(AS866)="","Unknown",PROPER(TRIM(AS866)))</f>
        <v>First Class</v>
      </c>
      <c r="N866" s="0" t="n">
        <v>5</v>
      </c>
      <c r="O866" s="0" t="n">
        <v>3406.87</v>
      </c>
      <c r="P866" s="5" t="n">
        <f aca="false">IF(AT866="","",IF(ISNUMBER(AT866),AT866,VALUE(SUBSTITUTE(AT866,"%",""))/100))</f>
        <v>0</v>
      </c>
      <c r="Q866" s="5" t="n">
        <f aca="false">IF(P866="",IF(AND(N866&lt;&gt;"",O866&lt;&gt;"",R866&lt;&gt;"",S866&lt;&gt;""),0,"REVIEW"),IF(OR(P866&lt;0,P866&gt;0.3),0,P866))</f>
        <v>0</v>
      </c>
      <c r="R866" s="0" t="n">
        <v>17034.35</v>
      </c>
      <c r="S866" s="0" t="n">
        <v>14631.36</v>
      </c>
      <c r="T866" s="6" t="n">
        <f aca="false">N866*O866*(1-Q866)</f>
        <v>17034.35</v>
      </c>
      <c r="U866" s="6" t="n">
        <f aca="false">T866-S866</f>
        <v>2402.99</v>
      </c>
      <c r="V866" s="7" t="n">
        <f aca="false">IF(T866=0,0,U866/T866)</f>
        <v>0.141067313986151</v>
      </c>
      <c r="W866" s="4" t="n">
        <f aca="false">C866-B866</f>
        <v>3</v>
      </c>
      <c r="X866" s="0" t="str">
        <f aca="false">TEXT(B866,"mmmm")</f>
        <v>September</v>
      </c>
      <c r="Y866" s="4" t="n">
        <f aca="false">YEAR(B866)</f>
        <v>2025</v>
      </c>
      <c r="Z866" s="0" t="str">
        <f aca="false">PROPER(TRIM(AU866))</f>
        <v>Paid</v>
      </c>
      <c r="AA866" s="0" t="str">
        <f aca="false">PROPER(TRIM(AV866))</f>
        <v>Completed</v>
      </c>
      <c r="AB866" s="0" t="str">
        <f aca="false">IF(TRIM(AN866)="","Yes","No")</f>
        <v>No</v>
      </c>
      <c r="AC866" s="0" t="str">
        <f aca="false">IF(TRIM(AS866)="","Yes","No")</f>
        <v>No</v>
      </c>
      <c r="AD866" s="0" t="str">
        <f aca="false">IF(AT866="","Yes","No")</f>
        <v>No</v>
      </c>
      <c r="AE866" s="0" t="str">
        <f aca="false">IF(W866&lt;0,"Yes","No")</f>
        <v>No</v>
      </c>
      <c r="AF866" s="0" t="str">
        <f aca="false">IF(P866="","No",IF(OR(P866&lt;0,P866&gt;0.3),"Yes","No"))</f>
        <v>No</v>
      </c>
      <c r="AG866" s="4" t="s">
        <v>50</v>
      </c>
      <c r="AH866" s="0" t="str">
        <f aca="false">IF(AND(AA866="Completed",Z866="Paid"),"Yes","No")</f>
        <v>Yes</v>
      </c>
      <c r="AI866" s="0" t="str">
        <f aca="false">IF(OR(AE866="Yes",AF866="Yes",AG866="Yes"),"Invalid",IF(OR(AB866="Yes",AC866="Yes",AD866="Yes"),"Warning","Clean"))</f>
        <v>Clean</v>
      </c>
      <c r="AJ866" s="4" t="s">
        <v>3151</v>
      </c>
      <c r="AK866" s="4" t="s">
        <v>515</v>
      </c>
      <c r="AL866" s="4" t="s">
        <v>106</v>
      </c>
      <c r="AM866" s="4" t="s">
        <v>54</v>
      </c>
      <c r="AN866" s="4" t="s">
        <v>87</v>
      </c>
      <c r="AO866" s="4" t="s">
        <v>323</v>
      </c>
      <c r="AP866" s="4" t="s">
        <v>324</v>
      </c>
      <c r="AQ866" s="4" t="s">
        <v>109</v>
      </c>
      <c r="AR866" s="4" t="s">
        <v>227</v>
      </c>
      <c r="AS866" s="4" t="s">
        <v>81</v>
      </c>
      <c r="AT866" s="0" t="n">
        <v>0</v>
      </c>
      <c r="AU866" s="4" t="s">
        <v>61</v>
      </c>
      <c r="AV866" s="4" t="s">
        <v>62</v>
      </c>
    </row>
    <row r="867" customFormat="false" ht="15" hidden="false" customHeight="false" outlineLevel="0" collapsed="false">
      <c r="A867" s="0" t="s">
        <v>3152</v>
      </c>
      <c r="B867" s="3" t="n">
        <f aca="false">IF(AJ867="","",IF(ISNUMBER(SEARCH("/",AJ867)),DATE(VALUE(RIGHT(AJ867,4)),VALUE(LEFT(AJ867,2)),VALUE(MID(AJ867,4,2))),IF(ISNUMBER(SEARCH("-",AJ867)),IF(LEN(LEFT(AJ867,FIND("-",AJ867)-1))=4,DATE(VALUE(LEFT(AJ867,4)),VALUE(MID(AJ867,6,2)),VALUE(RIGHT(AJ867,2))),DATE(VALUE(RIGHT(AJ867,4)),VALUE(MID(AJ867,4,2)),VALUE(LEFT(AJ867,2)))),DATE(VALUE(RIGHT(AJ867,4)),MATCH(MID(AJ867,4,3),{"Jan","Feb","Mar","Apr","May","Jun","Jul","Aug","Sep","Oct","Nov","Dec"},0),VALUE(LEFT(AJ867,2))))))</f>
        <v>45694</v>
      </c>
      <c r="C867" s="3" t="n">
        <f aca="false">IF(AK867="","",IF(ISNUMBER(SEARCH("/",AK867)),DATE(VALUE(RIGHT(AK867,4)),VALUE(LEFT(AK867,2)),VALUE(MID(AK867,4,2))),IF(ISNUMBER(SEARCH("-",AK867)),IF(LEN(LEFT(AK867,FIND("-",AK867)-1))=4,DATE(VALUE(LEFT(AK867,4)),VALUE(MID(AK867,6,2)),VALUE(RIGHT(AK867,2))),DATE(VALUE(RIGHT(AK867,4)),VALUE(MID(AK867,4,2)),VALUE(LEFT(AK867,2)))),DATE(VALUE(RIGHT(AK867,4)),MATCH(MID(AK867,4,3),{"Jan","Feb","Mar","Apr","May","Jun","Jul","Aug","Sep","Oct","Nov","Dec"},0),VALUE(LEFT(AK867,2))))))</f>
        <v>45702</v>
      </c>
      <c r="D867" s="4" t="s">
        <v>3153</v>
      </c>
      <c r="E867" s="0" t="str">
        <f aca="false">PROPER(TRIM(AL867))</f>
        <v>Kabir Singh</v>
      </c>
      <c r="F867" s="0" t="str">
        <f aca="false">PROPER(TRIM(AM867))</f>
        <v>Consumer</v>
      </c>
      <c r="G867" s="0" t="str">
        <f aca="false">IF(TRIM(AN867)="","Unknown",PROPER(TRIM(AN867)))</f>
        <v>West</v>
      </c>
      <c r="H867" s="0" t="str">
        <f aca="false">PROPER(TRIM(AO867))</f>
        <v>Maharashtra</v>
      </c>
      <c r="I867" s="0" t="str">
        <f aca="false">PROPER(TRIM(AP867))</f>
        <v>Mumbai</v>
      </c>
      <c r="J867" s="0" t="str">
        <f aca="false">PROPER(TRIM(AQ867))</f>
        <v>Office Supplies</v>
      </c>
      <c r="K867" s="0" t="str">
        <f aca="false">PROPER(TRIM(AR867))</f>
        <v>Labels</v>
      </c>
      <c r="M867" s="0" t="str">
        <f aca="false">IF(TRIM(AS867)="","Unknown",PROPER(TRIM(AS867)))</f>
        <v>Second Class</v>
      </c>
      <c r="N867" s="0" t="n">
        <v>2</v>
      </c>
      <c r="O867" s="0" t="n">
        <v>3992.04</v>
      </c>
      <c r="P867" s="5" t="n">
        <f aca="false">IF(AT867="","",IF(ISNUMBER(AT867),AT867,VALUE(SUBSTITUTE(AT867,"%",""))/100))</f>
        <v>0</v>
      </c>
      <c r="Q867" s="5" t="n">
        <f aca="false">IF(P867="",IF(AND(N867&lt;&gt;"",O867&lt;&gt;"",R867&lt;&gt;"",S867&lt;&gt;""),0,"REVIEW"),IF(OR(P867&lt;0,P867&gt;0.3),0,P867))</f>
        <v>0</v>
      </c>
      <c r="R867" s="0" t="n">
        <v>7984.08</v>
      </c>
      <c r="S867" s="0" t="n">
        <v>5658.05</v>
      </c>
      <c r="T867" s="6" t="n">
        <f aca="false">N867*O867*(1-Q867)</f>
        <v>7984.08</v>
      </c>
      <c r="U867" s="6" t="n">
        <f aca="false">T867-S867</f>
        <v>2326.03</v>
      </c>
      <c r="V867" s="7" t="n">
        <f aca="false">IF(T867=0,0,U867/T867)</f>
        <v>0.291333503672308</v>
      </c>
      <c r="W867" s="4" t="n">
        <f aca="false">C867-B867</f>
        <v>8</v>
      </c>
      <c r="X867" s="0" t="str">
        <f aca="false">TEXT(B867,"mmmm")</f>
        <v>February</v>
      </c>
      <c r="Y867" s="4" t="n">
        <f aca="false">YEAR(B867)</f>
        <v>2025</v>
      </c>
      <c r="Z867" s="0" t="str">
        <f aca="false">PROPER(TRIM(AU867))</f>
        <v>Paid</v>
      </c>
      <c r="AA867" s="0" t="str">
        <f aca="false">PROPER(TRIM(AV867))</f>
        <v>Completed</v>
      </c>
      <c r="AB867" s="0" t="str">
        <f aca="false">IF(TRIM(AN867)="","Yes","No")</f>
        <v>No</v>
      </c>
      <c r="AC867" s="0" t="str">
        <f aca="false">IF(TRIM(AS867)="","Yes","No")</f>
        <v>No</v>
      </c>
      <c r="AD867" s="0" t="str">
        <f aca="false">IF(AT867="","Yes","No")</f>
        <v>No</v>
      </c>
      <c r="AE867" s="0" t="str">
        <f aca="false">IF(W867&lt;0,"Yes","No")</f>
        <v>No</v>
      </c>
      <c r="AF867" s="0" t="str">
        <f aca="false">IF(P867="","No",IF(OR(P867&lt;0,P867&gt;0.3),"Yes","No"))</f>
        <v>No</v>
      </c>
      <c r="AG867" s="4" t="s">
        <v>50</v>
      </c>
      <c r="AH867" s="0" t="str">
        <f aca="false">IF(AND(AA867="Completed",Z867="Paid"),"Yes","No")</f>
        <v>Yes</v>
      </c>
      <c r="AI867" s="0" t="str">
        <f aca="false">IF(OR(AE867="Yes",AF867="Yes",AG867="Yes"),"Invalid",IF(OR(AB867="Yes",AC867="Yes",AD867="Yes"),"Warning","Clean"))</f>
        <v>Clean</v>
      </c>
      <c r="AJ867" s="4" t="s">
        <v>3011</v>
      </c>
      <c r="AK867" s="4" t="s">
        <v>1583</v>
      </c>
      <c r="AL867" s="4" t="s">
        <v>347</v>
      </c>
      <c r="AM867" s="4" t="s">
        <v>54</v>
      </c>
      <c r="AN867" s="4" t="s">
        <v>97</v>
      </c>
      <c r="AO867" s="4" t="s">
        <v>98</v>
      </c>
      <c r="AP867" s="4" t="s">
        <v>99</v>
      </c>
      <c r="AQ867" s="4" t="s">
        <v>58</v>
      </c>
      <c r="AR867" s="4" t="s">
        <v>129</v>
      </c>
      <c r="AS867" s="4" t="s">
        <v>60</v>
      </c>
      <c r="AT867" s="0" t="n">
        <v>0</v>
      </c>
      <c r="AU867" s="4" t="s">
        <v>61</v>
      </c>
      <c r="AV867" s="4" t="s">
        <v>62</v>
      </c>
    </row>
    <row r="868" customFormat="false" ht="15" hidden="false" customHeight="false" outlineLevel="0" collapsed="false">
      <c r="A868" s="0" t="s">
        <v>3154</v>
      </c>
      <c r="B868" s="3" t="n">
        <f aca="false">IF(AJ868="","",IF(ISNUMBER(SEARCH("/",AJ868)),DATE(VALUE(RIGHT(AJ868,4)),VALUE(LEFT(AJ868,2)),VALUE(MID(AJ868,4,2))),IF(ISNUMBER(SEARCH("-",AJ868)),IF(LEN(LEFT(AJ868,FIND("-",AJ868)-1))=4,DATE(VALUE(LEFT(AJ868,4)),VALUE(MID(AJ868,6,2)),VALUE(RIGHT(AJ868,2))),DATE(VALUE(RIGHT(AJ868,4)),VALUE(MID(AJ868,4,2)),VALUE(LEFT(AJ868,2)))),DATE(VALUE(RIGHT(AJ868,4)),MATCH(MID(AJ868,4,3),{"Jan","Feb","Mar","Apr","May","Jun","Jul","Aug","Sep","Oct","Nov","Dec"},0),VALUE(LEFT(AJ868,2))))))</f>
        <v>45714</v>
      </c>
      <c r="C868" s="3" t="n">
        <f aca="false">IF(AK868="","",IF(ISNUMBER(SEARCH("/",AK868)),DATE(VALUE(RIGHT(AK868,4)),VALUE(LEFT(AK868,2)),VALUE(MID(AK868,4,2))),IF(ISNUMBER(SEARCH("-",AK868)),IF(LEN(LEFT(AK868,FIND("-",AK868)-1))=4,DATE(VALUE(LEFT(AK868,4)),VALUE(MID(AK868,6,2)),VALUE(RIGHT(AK868,2))),DATE(VALUE(RIGHT(AK868,4)),VALUE(MID(AK868,4,2)),VALUE(LEFT(AK868,2)))),DATE(VALUE(RIGHT(AK868,4)),MATCH(MID(AK868,4,3),{"Jan","Feb","Mar","Apr","May","Jun","Jul","Aug","Sep","Oct","Nov","Dec"},0),VALUE(LEFT(AK868,2))))))</f>
        <v>45722</v>
      </c>
      <c r="D868" s="4" t="s">
        <v>3155</v>
      </c>
      <c r="E868" s="0" t="str">
        <f aca="false">PROPER(TRIM(AL868))</f>
        <v>Priya Menon</v>
      </c>
      <c r="F868" s="0" t="str">
        <f aca="false">PROPER(TRIM(AM868))</f>
        <v>Consumer</v>
      </c>
      <c r="G868" s="0" t="str">
        <f aca="false">IF(TRIM(AN868)="","Unknown",PROPER(TRIM(AN868)))</f>
        <v>East</v>
      </c>
      <c r="H868" s="0" t="str">
        <f aca="false">PROPER(TRIM(AO868))</f>
        <v>Bihar</v>
      </c>
      <c r="I868" s="0" t="str">
        <f aca="false">PROPER(TRIM(AP868))</f>
        <v>Patna</v>
      </c>
      <c r="J868" s="0" t="str">
        <f aca="false">PROPER(TRIM(AQ868))</f>
        <v>Furniture</v>
      </c>
      <c r="K868" s="0" t="str">
        <f aca="false">PROPER(TRIM(AR868))</f>
        <v>Bookcases</v>
      </c>
      <c r="M868" s="0" t="str">
        <f aca="false">IF(TRIM(AS868)="","Unknown",PROPER(TRIM(AS868)))</f>
        <v>First Class</v>
      </c>
      <c r="N868" s="0" t="n">
        <v>9</v>
      </c>
      <c r="O868" s="0" t="n">
        <v>3043.37</v>
      </c>
      <c r="P868" s="5" t="n">
        <f aca="false">IF(AT868="","",IF(ISNUMBER(AT868),AT868,VALUE(SUBSTITUTE(AT868,"%",""))/100))</f>
        <v>0.2</v>
      </c>
      <c r="Q868" s="5" t="n">
        <f aca="false">IF(P868="",IF(AND(N868&lt;&gt;"",O868&lt;&gt;"",R868&lt;&gt;"",S868&lt;&gt;""),0,"REVIEW"),IF(OR(P868&lt;0,P868&gt;0.3),0,P868))</f>
        <v>0.2</v>
      </c>
      <c r="R868" s="0" t="n">
        <v>21912.26</v>
      </c>
      <c r="S868" s="0" t="n">
        <v>16367.78</v>
      </c>
      <c r="T868" s="6" t="n">
        <f aca="false">N868*O868*(1-Q868)</f>
        <v>21912.264</v>
      </c>
      <c r="U868" s="6" t="n">
        <f aca="false">T868-S868</f>
        <v>5544.484</v>
      </c>
      <c r="V868" s="7" t="n">
        <f aca="false">IF(T868=0,0,U868/T868)</f>
        <v>0.25303108797886</v>
      </c>
      <c r="W868" s="4" t="n">
        <f aca="false">C868-B868</f>
        <v>8</v>
      </c>
      <c r="X868" s="0" t="str">
        <f aca="false">TEXT(B868,"mmmm")</f>
        <v>February</v>
      </c>
      <c r="Y868" s="4" t="n">
        <f aca="false">YEAR(B868)</f>
        <v>2025</v>
      </c>
      <c r="Z868" s="0" t="str">
        <f aca="false">PROPER(TRIM(AU868))</f>
        <v>Pending</v>
      </c>
      <c r="AA868" s="0" t="str">
        <f aca="false">PROPER(TRIM(AV868))</f>
        <v>Cancelled</v>
      </c>
      <c r="AB868" s="0" t="str">
        <f aca="false">IF(TRIM(AN868)="","Yes","No")</f>
        <v>No</v>
      </c>
      <c r="AC868" s="0" t="str">
        <f aca="false">IF(TRIM(AS868)="","Yes","No")</f>
        <v>No</v>
      </c>
      <c r="AD868" s="0" t="str">
        <f aca="false">IF(AT868="","Yes","No")</f>
        <v>No</v>
      </c>
      <c r="AE868" s="0" t="str">
        <f aca="false">IF(W868&lt;0,"Yes","No")</f>
        <v>No</v>
      </c>
      <c r="AF868" s="0" t="str">
        <f aca="false">IF(P868="","No",IF(OR(P868&lt;0,P868&gt;0.3),"Yes","No"))</f>
        <v>No</v>
      </c>
      <c r="AG868" s="4" t="s">
        <v>50</v>
      </c>
      <c r="AH868" s="0" t="str">
        <f aca="false">IF(AND(AA868="Completed",Z868="Paid"),"Yes","No")</f>
        <v>No</v>
      </c>
      <c r="AI868" s="0" t="str">
        <f aca="false">IF(OR(AE868="Yes",AF868="Yes",AG868="Yes"),"Invalid",IF(OR(AB868="Yes",AC868="Yes",AD868="Yes"),"Warning","Clean"))</f>
        <v>Clean</v>
      </c>
      <c r="AJ868" s="4" t="s">
        <v>1009</v>
      </c>
      <c r="AK868" s="4" t="s">
        <v>3156</v>
      </c>
      <c r="AL868" s="4" t="s">
        <v>158</v>
      </c>
      <c r="AM868" s="4" t="s">
        <v>54</v>
      </c>
      <c r="AN868" s="4" t="s">
        <v>69</v>
      </c>
      <c r="AO868" s="4" t="s">
        <v>196</v>
      </c>
      <c r="AP868" s="4" t="s">
        <v>197</v>
      </c>
      <c r="AQ868" s="4" t="s">
        <v>72</v>
      </c>
      <c r="AR868" s="4" t="s">
        <v>211</v>
      </c>
      <c r="AS868" s="4" t="s">
        <v>81</v>
      </c>
      <c r="AT868" s="0" t="n">
        <v>0.2</v>
      </c>
      <c r="AU868" s="4" t="s">
        <v>153</v>
      </c>
      <c r="AV868" s="4" t="s">
        <v>101</v>
      </c>
    </row>
    <row r="869" customFormat="false" ht="15" hidden="false" customHeight="false" outlineLevel="0" collapsed="false">
      <c r="A869" s="0" t="s">
        <v>3157</v>
      </c>
      <c r="B869" s="3" t="n">
        <f aca="false">IF(AJ869="","",IF(ISNUMBER(SEARCH("/",AJ869)),DATE(VALUE(RIGHT(AJ869,4)),VALUE(LEFT(AJ869,2)),VALUE(MID(AJ869,4,2))),IF(ISNUMBER(SEARCH("-",AJ869)),IF(LEN(LEFT(AJ869,FIND("-",AJ869)-1))=4,DATE(VALUE(LEFT(AJ869,4)),VALUE(MID(AJ869,6,2)),VALUE(RIGHT(AJ869,2))),DATE(VALUE(RIGHT(AJ869,4)),VALUE(MID(AJ869,4,2)),VALUE(LEFT(AJ869,2)))),DATE(VALUE(RIGHT(AJ869,4)),MATCH(MID(AJ869,4,3),{"Jan","Feb","Mar","Apr","May","Jun","Jul","Aug","Sep","Oct","Nov","Dec"},0),VALUE(LEFT(AJ869,2))))))</f>
        <v>45617</v>
      </c>
      <c r="C869" s="3" t="n">
        <f aca="false">IF(AK869="","",IF(ISNUMBER(SEARCH("/",AK869)),DATE(VALUE(RIGHT(AK869,4)),VALUE(LEFT(AK869,2)),VALUE(MID(AK869,4,2))),IF(ISNUMBER(SEARCH("-",AK869)),IF(LEN(LEFT(AK869,FIND("-",AK869)-1))=4,DATE(VALUE(LEFT(AK869,4)),VALUE(MID(AK869,6,2)),VALUE(RIGHT(AK869,2))),DATE(VALUE(RIGHT(AK869,4)),VALUE(MID(AK869,4,2)),VALUE(LEFT(AK869,2)))),DATE(VALUE(RIGHT(AK869,4)),MATCH(MID(AK869,4,3),{"Jan","Feb","Mar","Apr","May","Jun","Jul","Aug","Sep","Oct","Nov","Dec"},0),VALUE(LEFT(AK869,2))))))</f>
        <v>45618</v>
      </c>
      <c r="D869" s="4" t="s">
        <v>3158</v>
      </c>
      <c r="E869" s="0" t="str">
        <f aca="false">PROPER(TRIM(AL869))</f>
        <v>Rahul Verma</v>
      </c>
      <c r="F869" s="0" t="str">
        <f aca="false">PROPER(TRIM(AM869))</f>
        <v>Home Office</v>
      </c>
      <c r="G869" s="0" t="str">
        <f aca="false">IF(TRIM(AN869)="","Unknown",PROPER(TRIM(AN869)))</f>
        <v>South</v>
      </c>
      <c r="H869" s="0" t="str">
        <f aca="false">PROPER(TRIM(AO869))</f>
        <v>Andhra Pradesh</v>
      </c>
      <c r="I869" s="0" t="str">
        <f aca="false">PROPER(TRIM(AP869))</f>
        <v>Vijayawada</v>
      </c>
      <c r="J869" s="0" t="str">
        <f aca="false">PROPER(TRIM(AQ869))</f>
        <v>Technology</v>
      </c>
      <c r="K869" s="0" t="str">
        <f aca="false">PROPER(TRIM(AR869))</f>
        <v>Accessories</v>
      </c>
      <c r="M869" s="0" t="str">
        <f aca="false">IF(TRIM(AS869)="","Unknown",PROPER(TRIM(AS869)))</f>
        <v>Same Day</v>
      </c>
      <c r="N869" s="0" t="n">
        <v>6</v>
      </c>
      <c r="O869" s="0" t="n">
        <v>1043.49</v>
      </c>
      <c r="P869" s="5" t="n">
        <f aca="false">IF(AT869="","",IF(ISNUMBER(AT869),AT869,VALUE(SUBSTITUTE(AT869,"%",""))/100))</f>
        <v>0.25</v>
      </c>
      <c r="Q869" s="5" t="n">
        <f aca="false">IF(P869="",IF(AND(N869&lt;&gt;"",O869&lt;&gt;"",R869&lt;&gt;"",S869&lt;&gt;""),0,"REVIEW"),IF(OR(P869&lt;0,P869&gt;0.3),0,P869))</f>
        <v>0.25</v>
      </c>
      <c r="R869" s="0" t="n">
        <v>4695.7</v>
      </c>
      <c r="S869" s="0" t="n">
        <v>3871.69</v>
      </c>
      <c r="T869" s="6" t="n">
        <f aca="false">N869*O869*(1-Q869)</f>
        <v>4695.705</v>
      </c>
      <c r="U869" s="6" t="n">
        <f aca="false">T869-S869</f>
        <v>824.015</v>
      </c>
      <c r="V869" s="7" t="n">
        <f aca="false">IF(T869=0,0,U869/T869)</f>
        <v>0.175482701745531</v>
      </c>
      <c r="W869" s="4" t="n">
        <f aca="false">C869-B869</f>
        <v>1</v>
      </c>
      <c r="X869" s="0" t="str">
        <f aca="false">TEXT(B869,"mmmm")</f>
        <v>November</v>
      </c>
      <c r="Y869" s="4" t="n">
        <f aca="false">YEAR(B869)</f>
        <v>2024</v>
      </c>
      <c r="Z869" s="0" t="str">
        <f aca="false">PROPER(TRIM(AU869))</f>
        <v>Failed</v>
      </c>
      <c r="AA869" s="0" t="str">
        <f aca="false">PROPER(TRIM(AV869))</f>
        <v>Cancelled</v>
      </c>
      <c r="AB869" s="0" t="str">
        <f aca="false">IF(TRIM(AN869)="","Yes","No")</f>
        <v>No</v>
      </c>
      <c r="AC869" s="0" t="str">
        <f aca="false">IF(TRIM(AS869)="","Yes","No")</f>
        <v>No</v>
      </c>
      <c r="AD869" s="0" t="str">
        <f aca="false">IF(AT869="","Yes","No")</f>
        <v>No</v>
      </c>
      <c r="AE869" s="0" t="str">
        <f aca="false">IF(W869&lt;0,"Yes","No")</f>
        <v>No</v>
      </c>
      <c r="AF869" s="0" t="str">
        <f aca="false">IF(P869="","No",IF(OR(P869&lt;0,P869&gt;0.3),"Yes","No"))</f>
        <v>No</v>
      </c>
      <c r="AG869" s="4" t="s">
        <v>50</v>
      </c>
      <c r="AH869" s="0" t="str">
        <f aca="false">IF(AND(AA869="Completed",Z869="Paid"),"Yes","No")</f>
        <v>No</v>
      </c>
      <c r="AI869" s="0" t="str">
        <f aca="false">IF(OR(AE869="Yes",AF869="Yes",AG869="Yes"),"Invalid",IF(OR(AB869="Yes",AC869="Yes",AD869="Yes"),"Warning","Clean"))</f>
        <v>Clean</v>
      </c>
      <c r="AJ869" s="4" t="s">
        <v>3159</v>
      </c>
      <c r="AK869" s="4" t="s">
        <v>3160</v>
      </c>
      <c r="AL869" s="4" t="s">
        <v>163</v>
      </c>
      <c r="AM869" s="4" t="s">
        <v>134</v>
      </c>
      <c r="AN869" s="4" t="s">
        <v>87</v>
      </c>
      <c r="AO869" s="4" t="s">
        <v>121</v>
      </c>
      <c r="AP869" s="4" t="s">
        <v>122</v>
      </c>
      <c r="AQ869" s="4" t="s">
        <v>109</v>
      </c>
      <c r="AR869" s="4" t="s">
        <v>110</v>
      </c>
      <c r="AS869" s="4" t="s">
        <v>74</v>
      </c>
      <c r="AT869" s="0" t="n">
        <v>0.25</v>
      </c>
      <c r="AU869" s="4" t="s">
        <v>207</v>
      </c>
      <c r="AV869" s="4" t="s">
        <v>101</v>
      </c>
    </row>
    <row r="870" customFormat="false" ht="15" hidden="false" customHeight="false" outlineLevel="0" collapsed="false">
      <c r="A870" s="0" t="s">
        <v>3161</v>
      </c>
      <c r="B870" s="3" t="n">
        <f aca="false">IF(AJ870="","",IF(ISNUMBER(SEARCH("/",AJ870)),DATE(VALUE(RIGHT(AJ870,4)),VALUE(LEFT(AJ870,2)),VALUE(MID(AJ870,4,2))),IF(ISNUMBER(SEARCH("-",AJ870)),IF(LEN(LEFT(AJ870,FIND("-",AJ870)-1))=4,DATE(VALUE(LEFT(AJ870,4)),VALUE(MID(AJ870,6,2)),VALUE(RIGHT(AJ870,2))),DATE(VALUE(RIGHT(AJ870,4)),VALUE(MID(AJ870,4,2)),VALUE(LEFT(AJ870,2)))),DATE(VALUE(RIGHT(AJ870,4)),MATCH(MID(AJ870,4,3),{"Jan","Feb","Mar","Apr","May","Jun","Jul","Aug","Sep","Oct","Nov","Dec"},0),VALUE(LEFT(AJ870,2))))))</f>
        <v>45758</v>
      </c>
      <c r="C870" s="3" t="n">
        <f aca="false">IF(AK870="","",IF(ISNUMBER(SEARCH("/",AK870)),DATE(VALUE(RIGHT(AK870,4)),VALUE(LEFT(AK870,2)),VALUE(MID(AK870,4,2))),IF(ISNUMBER(SEARCH("-",AK870)),IF(LEN(LEFT(AK870,FIND("-",AK870)-1))=4,DATE(VALUE(LEFT(AK870,4)),VALUE(MID(AK870,6,2)),VALUE(RIGHT(AK870,2))),DATE(VALUE(RIGHT(AK870,4)),VALUE(MID(AK870,4,2)),VALUE(LEFT(AK870,2)))),DATE(VALUE(RIGHT(AK870,4)),MATCH(MID(AK870,4,3),{"Jan","Feb","Mar","Apr","May","Jun","Jul","Aug","Sep","Oct","Nov","Dec"},0),VALUE(LEFT(AK870,2))))))</f>
        <v>45762</v>
      </c>
      <c r="D870" s="4" t="s">
        <v>3162</v>
      </c>
      <c r="E870" s="0" t="str">
        <f aca="false">PROPER(TRIM(AL870))</f>
        <v>Vikram Iyer</v>
      </c>
      <c r="F870" s="0" t="str">
        <f aca="false">PROPER(TRIM(AM870))</f>
        <v>Home Office</v>
      </c>
      <c r="G870" s="0" t="str">
        <f aca="false">IF(TRIM(AN870)="","Unknown",PROPER(TRIM(AN870)))</f>
        <v>South</v>
      </c>
      <c r="H870" s="0" t="str">
        <f aca="false">PROPER(TRIM(AO870))</f>
        <v>Karnataka</v>
      </c>
      <c r="I870" s="0" t="str">
        <f aca="false">PROPER(TRIM(AP870))</f>
        <v>Bengaluru</v>
      </c>
      <c r="J870" s="0" t="str">
        <f aca="false">PROPER(TRIM(AQ870))</f>
        <v>Office Supplies</v>
      </c>
      <c r="K870" s="0" t="str">
        <f aca="false">PROPER(TRIM(AR870))</f>
        <v>Storage</v>
      </c>
      <c r="M870" s="0" t="str">
        <f aca="false">IF(TRIM(AS870)="","Unknown",PROPER(TRIM(AS870)))</f>
        <v>Same Day</v>
      </c>
      <c r="N870" s="0" t="n">
        <v>9</v>
      </c>
      <c r="O870" s="0" t="n">
        <v>224.94</v>
      </c>
      <c r="P870" s="5" t="n">
        <f aca="false">IF(AT870="","",IF(ISNUMBER(AT870),AT870,VALUE(SUBSTITUTE(AT870,"%",""))/100))</f>
        <v>0.05</v>
      </c>
      <c r="Q870" s="5" t="n">
        <f aca="false">IF(P870="",IF(AND(N870&lt;&gt;"",O870&lt;&gt;"",R870&lt;&gt;"",S870&lt;&gt;""),0,"REVIEW"),IF(OR(P870&lt;0,P870&gt;0.3),0,P870))</f>
        <v>0.05</v>
      </c>
      <c r="R870" s="0" t="n">
        <v>1923.24</v>
      </c>
      <c r="S870" s="0" t="n">
        <v>1093.66</v>
      </c>
      <c r="T870" s="6" t="n">
        <f aca="false">N870*O870*(1-Q870)</f>
        <v>1923.237</v>
      </c>
      <c r="U870" s="6" t="n">
        <f aca="false">T870-S870</f>
        <v>829.577</v>
      </c>
      <c r="V870" s="7" t="n">
        <f aca="false">IF(T870=0,0,U870/T870)</f>
        <v>0.43134413491421</v>
      </c>
      <c r="W870" s="4" t="n">
        <f aca="false">C870-B870</f>
        <v>4</v>
      </c>
      <c r="X870" s="0" t="str">
        <f aca="false">TEXT(B870,"mmmm")</f>
        <v>April</v>
      </c>
      <c r="Y870" s="4" t="n">
        <f aca="false">YEAR(B870)</f>
        <v>2025</v>
      </c>
      <c r="Z870" s="0" t="str">
        <f aca="false">PROPER(TRIM(AU870))</f>
        <v>Paid</v>
      </c>
      <c r="AA870" s="0" t="str">
        <f aca="false">PROPER(TRIM(AV870))</f>
        <v>Completed</v>
      </c>
      <c r="AB870" s="0" t="str">
        <f aca="false">IF(TRIM(AN870)="","Yes","No")</f>
        <v>No</v>
      </c>
      <c r="AC870" s="0" t="str">
        <f aca="false">IF(TRIM(AS870)="","Yes","No")</f>
        <v>No</v>
      </c>
      <c r="AD870" s="0" t="str">
        <f aca="false">IF(AT870="","Yes","No")</f>
        <v>No</v>
      </c>
      <c r="AE870" s="0" t="str">
        <f aca="false">IF(W870&lt;0,"Yes","No")</f>
        <v>No</v>
      </c>
      <c r="AF870" s="0" t="str">
        <f aca="false">IF(P870="","No",IF(OR(P870&lt;0,P870&gt;0.3),"Yes","No"))</f>
        <v>No</v>
      </c>
      <c r="AG870" s="4" t="s">
        <v>50</v>
      </c>
      <c r="AH870" s="0" t="str">
        <f aca="false">IF(AND(AA870="Completed",Z870="Paid"),"Yes","No")</f>
        <v>Yes</v>
      </c>
      <c r="AI870" s="0" t="str">
        <f aca="false">IF(OR(AE870="Yes",AF870="Yes",AG870="Yes"),"Invalid",IF(OR(AB870="Yes",AC870="Yes",AD870="Yes"),"Warning","Clean"))</f>
        <v>Clean</v>
      </c>
      <c r="AJ870" s="4" t="s">
        <v>712</v>
      </c>
      <c r="AK870" s="4" t="s">
        <v>1760</v>
      </c>
      <c r="AL870" s="4" t="s">
        <v>106</v>
      </c>
      <c r="AM870" s="4" t="s">
        <v>134</v>
      </c>
      <c r="AN870" s="4" t="s">
        <v>87</v>
      </c>
      <c r="AO870" s="4" t="s">
        <v>233</v>
      </c>
      <c r="AP870" s="4" t="s">
        <v>234</v>
      </c>
      <c r="AQ870" s="4" t="s">
        <v>58</v>
      </c>
      <c r="AR870" s="4" t="s">
        <v>171</v>
      </c>
      <c r="AS870" s="4" t="s">
        <v>74</v>
      </c>
      <c r="AT870" s="0" t="n">
        <v>0.05</v>
      </c>
      <c r="AU870" s="4" t="s">
        <v>61</v>
      </c>
      <c r="AV870" s="4" t="s">
        <v>62</v>
      </c>
    </row>
    <row r="871" customFormat="false" ht="15" hidden="false" customHeight="false" outlineLevel="0" collapsed="false">
      <c r="A871" s="0" t="s">
        <v>3163</v>
      </c>
      <c r="B871" s="3" t="n">
        <f aca="false">IF(AJ871="","",IF(ISNUMBER(SEARCH("/",AJ871)),DATE(VALUE(RIGHT(AJ871,4)),VALUE(LEFT(AJ871,2)),VALUE(MID(AJ871,4,2))),IF(ISNUMBER(SEARCH("-",AJ871)),IF(LEN(LEFT(AJ871,FIND("-",AJ871)-1))=4,DATE(VALUE(LEFT(AJ871,4)),VALUE(MID(AJ871,6,2)),VALUE(RIGHT(AJ871,2))),DATE(VALUE(RIGHT(AJ871,4)),VALUE(MID(AJ871,4,2)),VALUE(LEFT(AJ871,2)))),DATE(VALUE(RIGHT(AJ871,4)),MATCH(MID(AJ871,4,3),{"Jan","Feb","Mar","Apr","May","Jun","Jul","Aug","Sep","Oct","Nov","Dec"},0),VALUE(LEFT(AJ871,2))))))</f>
        <v>45722</v>
      </c>
      <c r="C871" s="3" t="n">
        <f aca="false">IF(AK871="","",IF(ISNUMBER(SEARCH("/",AK871)),DATE(VALUE(RIGHT(AK871,4)),VALUE(LEFT(AK871,2)),VALUE(MID(AK871,4,2))),IF(ISNUMBER(SEARCH("-",AK871)),IF(LEN(LEFT(AK871,FIND("-",AK871)-1))=4,DATE(VALUE(LEFT(AK871,4)),VALUE(MID(AK871,6,2)),VALUE(RIGHT(AK871,2))),DATE(VALUE(RIGHT(AK871,4)),VALUE(MID(AK871,4,2)),VALUE(LEFT(AK871,2)))),DATE(VALUE(RIGHT(AK871,4)),MATCH(MID(AK871,4,3),{"Jan","Feb","Mar","Apr","May","Jun","Jul","Aug","Sep","Oct","Nov","Dec"},0),VALUE(LEFT(AK871,2))))))</f>
        <v>45723</v>
      </c>
      <c r="D871" s="4" t="s">
        <v>3164</v>
      </c>
      <c r="E871" s="0" t="str">
        <f aca="false">PROPER(TRIM(AL871))</f>
        <v>Rohan Mehta</v>
      </c>
      <c r="F871" s="0" t="str">
        <f aca="false">PROPER(TRIM(AM871))</f>
        <v>Home Office</v>
      </c>
      <c r="G871" s="0" t="str">
        <f aca="false">IF(TRIM(AN871)="","Unknown",PROPER(TRIM(AN871)))</f>
        <v>Unknown</v>
      </c>
      <c r="H871" s="0" t="str">
        <f aca="false">PROPER(TRIM(AO871))</f>
        <v>Delhi</v>
      </c>
      <c r="I871" s="0" t="str">
        <f aca="false">PROPER(TRIM(AP871))</f>
        <v>New Delhi</v>
      </c>
      <c r="J871" s="0" t="str">
        <f aca="false">PROPER(TRIM(AQ871))</f>
        <v>Furniture</v>
      </c>
      <c r="K871" s="0" t="str">
        <f aca="false">PROPER(TRIM(AR871))</f>
        <v>Chairs</v>
      </c>
      <c r="M871" s="0" t="str">
        <f aca="false">IF(TRIM(AS871)="","Unknown",PROPER(TRIM(AS871)))</f>
        <v>Same Day</v>
      </c>
      <c r="N871" s="0" t="n">
        <v>6</v>
      </c>
      <c r="O871" s="0" t="n">
        <v>796.65</v>
      </c>
      <c r="P871" s="5" t="n">
        <f aca="false">IF(AT871="","",IF(ISNUMBER(AT871),AT871,VALUE(SUBSTITUTE(AT871,"%",""))/100))</f>
        <v>0.1</v>
      </c>
      <c r="Q871" s="5" t="n">
        <f aca="false">IF(P871="",IF(AND(N871&lt;&gt;"",O871&lt;&gt;"",R871&lt;&gt;"",S871&lt;&gt;""),0,"REVIEW"),IF(OR(P871&lt;0,P871&gt;0.3),0,P871))</f>
        <v>0.1</v>
      </c>
      <c r="R871" s="0" t="n">
        <v>4301.91</v>
      </c>
      <c r="S871" s="0" t="n">
        <v>2374.4</v>
      </c>
      <c r="T871" s="6" t="n">
        <f aca="false">N871*O871*(1-Q871)</f>
        <v>4301.91</v>
      </c>
      <c r="U871" s="6" t="n">
        <f aca="false">T871-S871</f>
        <v>1927.51</v>
      </c>
      <c r="V871" s="7" t="n">
        <f aca="false">IF(T871=0,0,U871/T871)</f>
        <v>0.448059117926688</v>
      </c>
      <c r="W871" s="4" t="n">
        <f aca="false">C871-B871</f>
        <v>1</v>
      </c>
      <c r="X871" s="0" t="str">
        <f aca="false">TEXT(B871,"mmmm")</f>
        <v>March</v>
      </c>
      <c r="Y871" s="4" t="n">
        <f aca="false">YEAR(B871)</f>
        <v>2025</v>
      </c>
      <c r="Z871" s="0" t="str">
        <f aca="false">PROPER(TRIM(AU871))</f>
        <v>Paid</v>
      </c>
      <c r="AA871" s="0" t="str">
        <f aca="false">PROPER(TRIM(AV871))</f>
        <v>Completed</v>
      </c>
      <c r="AB871" s="0" t="str">
        <f aca="false">IF(TRIM(AN871)="","Yes","No")</f>
        <v>Yes</v>
      </c>
      <c r="AC871" s="0" t="str">
        <f aca="false">IF(TRIM(AS871)="","Yes","No")</f>
        <v>No</v>
      </c>
      <c r="AD871" s="0" t="str">
        <f aca="false">IF(AT871="","Yes","No")</f>
        <v>No</v>
      </c>
      <c r="AE871" s="0" t="str">
        <f aca="false">IF(W871&lt;0,"Yes","No")</f>
        <v>No</v>
      </c>
      <c r="AF871" s="0" t="str">
        <f aca="false">IF(P871="","No",IF(OR(P871&lt;0,P871&gt;0.3),"Yes","No"))</f>
        <v>No</v>
      </c>
      <c r="AG871" s="4" t="s">
        <v>50</v>
      </c>
      <c r="AH871" s="0" t="str">
        <f aca="false">IF(AND(AA871="Completed",Z871="Paid"),"Yes","No")</f>
        <v>Yes</v>
      </c>
      <c r="AI871" s="0" t="str">
        <f aca="false">IF(OR(AE871="Yes",AF871="Yes",AG871="Yes"),"Invalid",IF(OR(AB871="Yes",AC871="Yes",AD871="Yes"),"Warning","Clean"))</f>
        <v>Warning</v>
      </c>
      <c r="AJ871" s="4" t="s">
        <v>3165</v>
      </c>
      <c r="AK871" s="4" t="s">
        <v>691</v>
      </c>
      <c r="AL871" s="4" t="s">
        <v>191</v>
      </c>
      <c r="AM871" s="4" t="s">
        <v>134</v>
      </c>
      <c r="AO871" s="4" t="s">
        <v>461</v>
      </c>
      <c r="AP871" s="4" t="s">
        <v>462</v>
      </c>
      <c r="AQ871" s="4" t="s">
        <v>72</v>
      </c>
      <c r="AR871" s="4" t="s">
        <v>100</v>
      </c>
      <c r="AS871" s="4" t="s">
        <v>74</v>
      </c>
      <c r="AT871" s="0" t="n">
        <v>0.1</v>
      </c>
      <c r="AU871" s="4" t="s">
        <v>61</v>
      </c>
      <c r="AV871" s="4" t="s">
        <v>62</v>
      </c>
    </row>
    <row r="872" customFormat="false" ht="15" hidden="false" customHeight="false" outlineLevel="0" collapsed="false">
      <c r="A872" s="0" t="s">
        <v>3166</v>
      </c>
      <c r="B872" s="3" t="n">
        <f aca="false">IF(AJ872="","",IF(ISNUMBER(SEARCH("/",AJ872)),DATE(VALUE(RIGHT(AJ872,4)),VALUE(LEFT(AJ872,2)),VALUE(MID(AJ872,4,2))),IF(ISNUMBER(SEARCH("-",AJ872)),IF(LEN(LEFT(AJ872,FIND("-",AJ872)-1))=4,DATE(VALUE(LEFT(AJ872,4)),VALUE(MID(AJ872,6,2)),VALUE(RIGHT(AJ872,2))),DATE(VALUE(RIGHT(AJ872,4)),VALUE(MID(AJ872,4,2)),VALUE(LEFT(AJ872,2)))),DATE(VALUE(RIGHT(AJ872,4)),MATCH(MID(AJ872,4,3),{"Jan","Feb","Mar","Apr","May","Jun","Jul","Aug","Sep","Oct","Nov","Dec"},0),VALUE(LEFT(AJ872,2))))))</f>
        <v>45814</v>
      </c>
      <c r="C872" s="3" t="n">
        <f aca="false">IF(AK872="","",IF(ISNUMBER(SEARCH("/",AK872)),DATE(VALUE(RIGHT(AK872,4)),VALUE(LEFT(AK872,2)),VALUE(MID(AK872,4,2))),IF(ISNUMBER(SEARCH("-",AK872)),IF(LEN(LEFT(AK872,FIND("-",AK872)-1))=4,DATE(VALUE(LEFT(AK872,4)),VALUE(MID(AK872,6,2)),VALUE(RIGHT(AK872,2))),DATE(VALUE(RIGHT(AK872,4)),VALUE(MID(AK872,4,2)),VALUE(LEFT(AK872,2)))),DATE(VALUE(RIGHT(AK872,4)),MATCH(MID(AK872,4,3),{"Jan","Feb","Mar","Apr","May","Jun","Jul","Aug","Sep","Oct","Nov","Dec"},0),VALUE(LEFT(AK872,2))))))</f>
        <v>45815</v>
      </c>
      <c r="D872" s="4" t="s">
        <v>3167</v>
      </c>
      <c r="E872" s="0" t="str">
        <f aca="false">PROPER(TRIM(AL872))</f>
        <v>Vikram Iyer</v>
      </c>
      <c r="F872" s="0" t="str">
        <f aca="false">PROPER(TRIM(AM872))</f>
        <v>Corporate</v>
      </c>
      <c r="G872" s="0" t="str">
        <f aca="false">IF(TRIM(AN872)="","Unknown",PROPER(TRIM(AN872)))</f>
        <v>West</v>
      </c>
      <c r="H872" s="0" t="str">
        <f aca="false">PROPER(TRIM(AO872))</f>
        <v>Goa</v>
      </c>
      <c r="I872" s="0" t="str">
        <f aca="false">PROPER(TRIM(AP872))</f>
        <v>Panaji</v>
      </c>
      <c r="J872" s="0" t="str">
        <f aca="false">PROPER(TRIM(AQ872))</f>
        <v>Furniture</v>
      </c>
      <c r="K872" s="0" t="str">
        <f aca="false">PROPER(TRIM(AR872))</f>
        <v>Tables</v>
      </c>
      <c r="M872" s="0" t="str">
        <f aca="false">IF(TRIM(AS872)="","Unknown",PROPER(TRIM(AS872)))</f>
        <v>Standard Class</v>
      </c>
      <c r="N872" s="0" t="n">
        <v>9</v>
      </c>
      <c r="O872" s="0" t="n">
        <v>2932.92</v>
      </c>
      <c r="P872" s="5" t="n">
        <f aca="false">IF(AT872="","",IF(ISNUMBER(AT872),AT872,VALUE(SUBSTITUTE(AT872,"%",""))/100))</f>
        <v>0.15</v>
      </c>
      <c r="Q872" s="5" t="n">
        <f aca="false">IF(P872="",IF(AND(N872&lt;&gt;"",O872&lt;&gt;"",R872&lt;&gt;"",S872&lt;&gt;""),0,"REVIEW"),IF(OR(P872&lt;0,P872&gt;0.3),0,P872))</f>
        <v>0.15</v>
      </c>
      <c r="R872" s="0" t="n">
        <v>22436.84</v>
      </c>
      <c r="S872" s="0" t="n">
        <v>17454.67</v>
      </c>
      <c r="T872" s="6" t="n">
        <f aca="false">N872*O872*(1-Q872)</f>
        <v>22436.838</v>
      </c>
      <c r="U872" s="6" t="n">
        <f aca="false">T872-S872</f>
        <v>4982.168</v>
      </c>
      <c r="V872" s="7" t="n">
        <f aca="false">IF(T872=0,0,U872/T872)</f>
        <v>0.222053036172031</v>
      </c>
      <c r="W872" s="4" t="n">
        <f aca="false">C872-B872</f>
        <v>1</v>
      </c>
      <c r="X872" s="0" t="str">
        <f aca="false">TEXT(B872,"mmmm")</f>
        <v>June</v>
      </c>
      <c r="Y872" s="4" t="n">
        <f aca="false">YEAR(B872)</f>
        <v>2025</v>
      </c>
      <c r="Z872" s="0" t="str">
        <f aca="false">PROPER(TRIM(AU872))</f>
        <v>Paid</v>
      </c>
      <c r="AA872" s="0" t="str">
        <f aca="false">PROPER(TRIM(AV872))</f>
        <v>Cancelled</v>
      </c>
      <c r="AB872" s="0" t="str">
        <f aca="false">IF(TRIM(AN872)="","Yes","No")</f>
        <v>No</v>
      </c>
      <c r="AC872" s="0" t="str">
        <f aca="false">IF(TRIM(AS872)="","Yes","No")</f>
        <v>No</v>
      </c>
      <c r="AD872" s="0" t="str">
        <f aca="false">IF(AT872="","Yes","No")</f>
        <v>No</v>
      </c>
      <c r="AE872" s="0" t="str">
        <f aca="false">IF(W872&lt;0,"Yes","No")</f>
        <v>No</v>
      </c>
      <c r="AF872" s="0" t="str">
        <f aca="false">IF(P872="","No",IF(OR(P872&lt;0,P872&gt;0.3),"Yes","No"))</f>
        <v>No</v>
      </c>
      <c r="AG872" s="4" t="s">
        <v>50</v>
      </c>
      <c r="AH872" s="0" t="str">
        <f aca="false">IF(AND(AA872="Completed",Z872="Paid"),"Yes","No")</f>
        <v>No</v>
      </c>
      <c r="AI872" s="0" t="str">
        <f aca="false">IF(OR(AE872="Yes",AF872="Yes",AG872="Yes"),"Invalid",IF(OR(AB872="Yes",AC872="Yes",AD872="Yes"),"Warning","Clean"))</f>
        <v>Clean</v>
      </c>
      <c r="AJ872" s="4" t="s">
        <v>3168</v>
      </c>
      <c r="AK872" s="4" t="s">
        <v>3169</v>
      </c>
      <c r="AL872" s="4" t="s">
        <v>106</v>
      </c>
      <c r="AM872" s="4" t="s">
        <v>128</v>
      </c>
      <c r="AN872" s="4" t="s">
        <v>97</v>
      </c>
      <c r="AO872" s="4" t="s">
        <v>250</v>
      </c>
      <c r="AP872" s="4" t="s">
        <v>251</v>
      </c>
      <c r="AQ872" s="4" t="s">
        <v>72</v>
      </c>
      <c r="AR872" s="4" t="s">
        <v>73</v>
      </c>
      <c r="AS872" s="4" t="s">
        <v>91</v>
      </c>
      <c r="AT872" s="0" t="n">
        <v>0.15</v>
      </c>
      <c r="AU872" s="4" t="s">
        <v>61</v>
      </c>
      <c r="AV872" s="4" t="s">
        <v>101</v>
      </c>
    </row>
    <row r="873" customFormat="false" ht="15" hidden="false" customHeight="false" outlineLevel="0" collapsed="false">
      <c r="A873" s="0" t="s">
        <v>3170</v>
      </c>
      <c r="B873" s="3" t="n">
        <f aca="false">IF(AJ873="","",IF(ISNUMBER(SEARCH("/",AJ873)),DATE(VALUE(RIGHT(AJ873,4)),VALUE(LEFT(AJ873,2)),VALUE(MID(AJ873,4,2))),IF(ISNUMBER(SEARCH("-",AJ873)),IF(LEN(LEFT(AJ873,FIND("-",AJ873)-1))=4,DATE(VALUE(LEFT(AJ873,4)),VALUE(MID(AJ873,6,2)),VALUE(RIGHT(AJ873,2))),DATE(VALUE(RIGHT(AJ873,4)),VALUE(MID(AJ873,4,2)),VALUE(LEFT(AJ873,2)))),DATE(VALUE(RIGHT(AJ873,4)),MATCH(MID(AJ873,4,3),{"Jan","Feb","Mar","Apr","May","Jun","Jul","Aug","Sep","Oct","Nov","Dec"},0),VALUE(LEFT(AJ873,2))))))</f>
        <v>45342</v>
      </c>
      <c r="C873" s="3" t="n">
        <f aca="false">IF(AK873="","",IF(ISNUMBER(SEARCH("/",AK873)),DATE(VALUE(RIGHT(AK873,4)),VALUE(LEFT(AK873,2)),VALUE(MID(AK873,4,2))),IF(ISNUMBER(SEARCH("-",AK873)),IF(LEN(LEFT(AK873,FIND("-",AK873)-1))=4,DATE(VALUE(LEFT(AK873,4)),VALUE(MID(AK873,6,2)),VALUE(RIGHT(AK873,2))),DATE(VALUE(RIGHT(AK873,4)),VALUE(MID(AK873,4,2)),VALUE(LEFT(AK873,2)))),DATE(VALUE(RIGHT(AK873,4)),MATCH(MID(AK873,4,3),{"Jan","Feb","Mar","Apr","May","Jun","Jul","Aug","Sep","Oct","Nov","Dec"},0),VALUE(LEFT(AK873,2))))))</f>
        <v>45344</v>
      </c>
      <c r="D873" s="4" t="s">
        <v>3032</v>
      </c>
      <c r="E873" s="0" t="str">
        <f aca="false">PROPER(TRIM(AL873))</f>
        <v>Neha Gupta</v>
      </c>
      <c r="F873" s="0" t="str">
        <f aca="false">PROPER(TRIM(AM873))</f>
        <v>Small Business</v>
      </c>
      <c r="G873" s="0" t="str">
        <f aca="false">IF(TRIM(AN873)="","Unknown",PROPER(TRIM(AN873)))</f>
        <v>South</v>
      </c>
      <c r="H873" s="0" t="str">
        <f aca="false">PROPER(TRIM(AO873))</f>
        <v>Telangana</v>
      </c>
      <c r="I873" s="0" t="str">
        <f aca="false">PROPER(TRIM(AP873))</f>
        <v>Hyderabad</v>
      </c>
      <c r="J873" s="0" t="str">
        <f aca="false">PROPER(TRIM(AQ873))</f>
        <v>Technology</v>
      </c>
      <c r="K873" s="0" t="str">
        <f aca="false">PROPER(TRIM(AR873))</f>
        <v>Accessories</v>
      </c>
      <c r="M873" s="0" t="str">
        <f aca="false">IF(TRIM(AS873)="","Unknown",PROPER(TRIM(AS873)))</f>
        <v>First Class</v>
      </c>
      <c r="N873" s="0" t="n">
        <v>9</v>
      </c>
      <c r="O873" s="0" t="n">
        <v>2186.23</v>
      </c>
      <c r="P873" s="5" t="n">
        <f aca="false">IF(AT873="","",IF(ISNUMBER(AT873),AT873,VALUE(SUBSTITUTE(AT873,"%",""))/100))</f>
        <v>0</v>
      </c>
      <c r="Q873" s="5" t="n">
        <f aca="false">IF(P873="",IF(AND(N873&lt;&gt;"",O873&lt;&gt;"",R873&lt;&gt;"",S873&lt;&gt;""),0,"REVIEW"),IF(OR(P873&lt;0,P873&gt;0.3),0,P873))</f>
        <v>0</v>
      </c>
      <c r="R873" s="0" t="n">
        <v>19676.07</v>
      </c>
      <c r="S873" s="0" t="n">
        <v>12458.62</v>
      </c>
      <c r="T873" s="6" t="n">
        <f aca="false">N873*O873*(1-Q873)</f>
        <v>19676.07</v>
      </c>
      <c r="U873" s="6" t="n">
        <f aca="false">T873-S873</f>
        <v>7217.45</v>
      </c>
      <c r="V873" s="7" t="n">
        <f aca="false">IF(T873=0,0,U873/T873)</f>
        <v>0.366813596414325</v>
      </c>
      <c r="W873" s="4" t="n">
        <f aca="false">C873-B873</f>
        <v>2</v>
      </c>
      <c r="X873" s="0" t="str">
        <f aca="false">TEXT(B873,"mmmm")</f>
        <v>February</v>
      </c>
      <c r="Y873" s="4" t="n">
        <f aca="false">YEAR(B873)</f>
        <v>2024</v>
      </c>
      <c r="Z873" s="0" t="str">
        <f aca="false">PROPER(TRIM(AU873))</f>
        <v>Refunded</v>
      </c>
      <c r="AA873" s="0" t="str">
        <f aca="false">PROPER(TRIM(AV873))</f>
        <v>Cancelled</v>
      </c>
      <c r="AB873" s="0" t="str">
        <f aca="false">IF(TRIM(AN873)="","Yes","No")</f>
        <v>No</v>
      </c>
      <c r="AC873" s="0" t="str">
        <f aca="false">IF(TRIM(AS873)="","Yes","No")</f>
        <v>No</v>
      </c>
      <c r="AD873" s="0" t="str">
        <f aca="false">IF(AT873="","Yes","No")</f>
        <v>No</v>
      </c>
      <c r="AE873" s="0" t="str">
        <f aca="false">IF(W873&lt;0,"Yes","No")</f>
        <v>No</v>
      </c>
      <c r="AF873" s="0" t="str">
        <f aca="false">IF(P873="","No",IF(OR(P873&lt;0,P873&gt;0.3),"Yes","No"))</f>
        <v>No</v>
      </c>
      <c r="AG873" s="4" t="s">
        <v>50</v>
      </c>
      <c r="AH873" s="0" t="str">
        <f aca="false">IF(AND(AA873="Completed",Z873="Paid"),"Yes","No")</f>
        <v>No</v>
      </c>
      <c r="AI873" s="0" t="str">
        <f aca="false">IF(OR(AE873="Yes",AF873="Yes",AG873="Yes"),"Invalid",IF(OR(AB873="Yes",AC873="Yes",AD873="Yes"),"Warning","Clean"))</f>
        <v>Clean</v>
      </c>
      <c r="AJ873" s="4" t="s">
        <v>3171</v>
      </c>
      <c r="AK873" s="4" t="s">
        <v>2297</v>
      </c>
      <c r="AL873" s="4" t="s">
        <v>115</v>
      </c>
      <c r="AM873" s="4" t="s">
        <v>68</v>
      </c>
      <c r="AN873" s="4" t="s">
        <v>87</v>
      </c>
      <c r="AO873" s="4" t="s">
        <v>88</v>
      </c>
      <c r="AP873" s="4" t="s">
        <v>89</v>
      </c>
      <c r="AQ873" s="4" t="s">
        <v>109</v>
      </c>
      <c r="AR873" s="4" t="s">
        <v>110</v>
      </c>
      <c r="AS873" s="4" t="s">
        <v>81</v>
      </c>
      <c r="AT873" s="0" t="n">
        <v>0</v>
      </c>
      <c r="AU873" s="4" t="s">
        <v>141</v>
      </c>
      <c r="AV873" s="4" t="s">
        <v>101</v>
      </c>
    </row>
    <row r="874" customFormat="false" ht="15" hidden="false" customHeight="false" outlineLevel="0" collapsed="false">
      <c r="A874" s="0" t="s">
        <v>3172</v>
      </c>
      <c r="B874" s="3" t="n">
        <f aca="false">IF(AJ874="","",IF(ISNUMBER(SEARCH("/",AJ874)),DATE(VALUE(RIGHT(AJ874,4)),VALUE(LEFT(AJ874,2)),VALUE(MID(AJ874,4,2))),IF(ISNUMBER(SEARCH("-",AJ874)),IF(LEN(LEFT(AJ874,FIND("-",AJ874)-1))=4,DATE(VALUE(LEFT(AJ874,4)),VALUE(MID(AJ874,6,2)),VALUE(RIGHT(AJ874,2))),DATE(VALUE(RIGHT(AJ874,4)),VALUE(MID(AJ874,4,2)),VALUE(LEFT(AJ874,2)))),DATE(VALUE(RIGHT(AJ874,4)),MATCH(MID(AJ874,4,3),{"Jan","Feb","Mar","Apr","May","Jun","Jul","Aug","Sep","Oct","Nov","Dec"},0),VALUE(LEFT(AJ874,2))))))</f>
        <v>45597</v>
      </c>
      <c r="C874" s="3" t="n">
        <f aca="false">IF(AK874="","",IF(ISNUMBER(SEARCH("/",AK874)),DATE(VALUE(RIGHT(AK874,4)),VALUE(LEFT(AK874,2)),VALUE(MID(AK874,4,2))),IF(ISNUMBER(SEARCH("-",AK874)),IF(LEN(LEFT(AK874,FIND("-",AK874)-1))=4,DATE(VALUE(LEFT(AK874,4)),VALUE(MID(AK874,6,2)),VALUE(RIGHT(AK874,2))),DATE(VALUE(RIGHT(AK874,4)),VALUE(MID(AK874,4,2)),VALUE(LEFT(AK874,2)))),DATE(VALUE(RIGHT(AK874,4)),MATCH(MID(AK874,4,3),{"Jan","Feb","Mar","Apr","May","Jun","Jul","Aug","Sep","Oct","Nov","Dec"},0),VALUE(LEFT(AK874,2))))))</f>
        <v>45598</v>
      </c>
      <c r="D874" s="4" t="s">
        <v>2394</v>
      </c>
      <c r="E874" s="0" t="str">
        <f aca="false">PROPER(TRIM(AL874))</f>
        <v>Karan Malhotra</v>
      </c>
      <c r="F874" s="0" t="str">
        <f aca="false">PROPER(TRIM(AM874))</f>
        <v>Corporate</v>
      </c>
      <c r="G874" s="0" t="str">
        <f aca="false">IF(TRIM(AN874)="","Unknown",PROPER(TRIM(AN874)))</f>
        <v>East</v>
      </c>
      <c r="H874" s="0" t="str">
        <f aca="false">PROPER(TRIM(AO874))</f>
        <v>West Bengal</v>
      </c>
      <c r="I874" s="0" t="str">
        <f aca="false">PROPER(TRIM(AP874))</f>
        <v>Kolkata</v>
      </c>
      <c r="J874" s="0" t="str">
        <f aca="false">PROPER(TRIM(AQ874))</f>
        <v>Furniture</v>
      </c>
      <c r="K874" s="0" t="str">
        <f aca="false">PROPER(TRIM(AR874))</f>
        <v>Furnishings</v>
      </c>
      <c r="M874" s="0" t="str">
        <f aca="false">IF(TRIM(AS874)="","Unknown",PROPER(TRIM(AS874)))</f>
        <v>Standard Class</v>
      </c>
      <c r="N874" s="0" t="n">
        <v>5</v>
      </c>
      <c r="O874" s="0" t="n">
        <v>2212.02</v>
      </c>
      <c r="P874" s="5" t="n">
        <f aca="false">IF(AT874="","",IF(ISNUMBER(AT874),AT874,VALUE(SUBSTITUTE(AT874,"%",""))/100))</f>
        <v>0.2</v>
      </c>
      <c r="Q874" s="5" t="n">
        <f aca="false">IF(P874="",IF(AND(N874&lt;&gt;"",O874&lt;&gt;"",R874&lt;&gt;"",S874&lt;&gt;""),0,"REVIEW"),IF(OR(P874&lt;0,P874&gt;0.3),0,P874))</f>
        <v>0.2</v>
      </c>
      <c r="R874" s="0" t="n">
        <v>8848.08</v>
      </c>
      <c r="S874" s="0" t="n">
        <v>5691.56</v>
      </c>
      <c r="T874" s="6" t="n">
        <f aca="false">N874*O874*(1-Q874)</f>
        <v>8848.08</v>
      </c>
      <c r="U874" s="6" t="n">
        <f aca="false">T874-S874</f>
        <v>3156.52</v>
      </c>
      <c r="V874" s="7" t="n">
        <f aca="false">IF(T874=0,0,U874/T874)</f>
        <v>0.356746322365982</v>
      </c>
      <c r="W874" s="4" t="n">
        <f aca="false">C874-B874</f>
        <v>1</v>
      </c>
      <c r="X874" s="0" t="str">
        <f aca="false">TEXT(B874,"mmmm")</f>
        <v>November</v>
      </c>
      <c r="Y874" s="4" t="n">
        <f aca="false">YEAR(B874)</f>
        <v>2024</v>
      </c>
      <c r="Z874" s="0" t="str">
        <f aca="false">PROPER(TRIM(AU874))</f>
        <v>Paid</v>
      </c>
      <c r="AA874" s="0" t="str">
        <f aca="false">PROPER(TRIM(AV874))</f>
        <v>Completed</v>
      </c>
      <c r="AB874" s="0" t="str">
        <f aca="false">IF(TRIM(AN874)="","Yes","No")</f>
        <v>No</v>
      </c>
      <c r="AC874" s="0" t="str">
        <f aca="false">IF(TRIM(AS874)="","Yes","No")</f>
        <v>No</v>
      </c>
      <c r="AD874" s="0" t="str">
        <f aca="false">IF(AT874="","Yes","No")</f>
        <v>No</v>
      </c>
      <c r="AE874" s="0" t="str">
        <f aca="false">IF(W874&lt;0,"Yes","No")</f>
        <v>No</v>
      </c>
      <c r="AF874" s="0" t="str">
        <f aca="false">IF(P874="","No",IF(OR(P874&lt;0,P874&gt;0.3),"Yes","No"))</f>
        <v>No</v>
      </c>
      <c r="AG874" s="4" t="s">
        <v>50</v>
      </c>
      <c r="AH874" s="0" t="str">
        <f aca="false">IF(AND(AA874="Completed",Z874="Paid"),"Yes","No")</f>
        <v>Yes</v>
      </c>
      <c r="AI874" s="0" t="str">
        <f aca="false">IF(OR(AE874="Yes",AF874="Yes",AG874="Yes"),"Invalid",IF(OR(AB874="Yes",AC874="Yes",AD874="Yes"),"Warning","Clean"))</f>
        <v>Clean</v>
      </c>
      <c r="AJ874" s="4" t="s">
        <v>2813</v>
      </c>
      <c r="AK874" s="4" t="s">
        <v>3173</v>
      </c>
      <c r="AL874" s="4" t="s">
        <v>53</v>
      </c>
      <c r="AM874" s="4" t="s">
        <v>128</v>
      </c>
      <c r="AN874" s="4" t="s">
        <v>69</v>
      </c>
      <c r="AO874" s="4" t="s">
        <v>139</v>
      </c>
      <c r="AP874" s="4" t="s">
        <v>140</v>
      </c>
      <c r="AQ874" s="4" t="s">
        <v>72</v>
      </c>
      <c r="AR874" s="4" t="s">
        <v>90</v>
      </c>
      <c r="AS874" s="4" t="s">
        <v>91</v>
      </c>
      <c r="AT874" s="0" t="n">
        <v>0.2</v>
      </c>
      <c r="AU874" s="4" t="s">
        <v>61</v>
      </c>
      <c r="AV874" s="4" t="s">
        <v>62</v>
      </c>
    </row>
    <row r="875" customFormat="false" ht="15" hidden="false" customHeight="false" outlineLevel="0" collapsed="false">
      <c r="A875" s="0" t="s">
        <v>3174</v>
      </c>
      <c r="B875" s="3" t="n">
        <f aca="false">IF(AJ875="","",IF(ISNUMBER(SEARCH("/",AJ875)),DATE(VALUE(RIGHT(AJ875,4)),VALUE(LEFT(AJ875,2)),VALUE(MID(AJ875,4,2))),IF(ISNUMBER(SEARCH("-",AJ875)),IF(LEN(LEFT(AJ875,FIND("-",AJ875)-1))=4,DATE(VALUE(LEFT(AJ875,4)),VALUE(MID(AJ875,6,2)),VALUE(RIGHT(AJ875,2))),DATE(VALUE(RIGHT(AJ875,4)),VALUE(MID(AJ875,4,2)),VALUE(LEFT(AJ875,2)))),DATE(VALUE(RIGHT(AJ875,4)),MATCH(MID(AJ875,4,3),{"Jan","Feb","Mar","Apr","May","Jun","Jul","Aug","Sep","Oct","Nov","Dec"},0),VALUE(LEFT(AJ875,2))))))</f>
        <v>45689</v>
      </c>
      <c r="C875" s="3" t="n">
        <f aca="false">IF(AK875="","",IF(ISNUMBER(SEARCH("/",AK875)),DATE(VALUE(RIGHT(AK875,4)),VALUE(LEFT(AK875,2)),VALUE(MID(AK875,4,2))),IF(ISNUMBER(SEARCH("-",AK875)),IF(LEN(LEFT(AK875,FIND("-",AK875)-1))=4,DATE(VALUE(LEFT(AK875,4)),VALUE(MID(AK875,6,2)),VALUE(RIGHT(AK875,2))),DATE(VALUE(RIGHT(AK875,4)),VALUE(MID(AK875,4,2)),VALUE(LEFT(AK875,2)))),DATE(VALUE(RIGHT(AK875,4)),MATCH(MID(AK875,4,3),{"Jan","Feb","Mar","Apr","May","Jun","Jul","Aug","Sep","Oct","Nov","Dec"},0),VALUE(LEFT(AK875,2))))))</f>
        <v>45696</v>
      </c>
      <c r="D875" s="4" t="s">
        <v>3175</v>
      </c>
      <c r="E875" s="0" t="str">
        <f aca="false">PROPER(TRIM(AL875))</f>
        <v>Aditi Sen</v>
      </c>
      <c r="F875" s="0" t="str">
        <f aca="false">PROPER(TRIM(AM875))</f>
        <v>Home Office</v>
      </c>
      <c r="G875" s="0" t="str">
        <f aca="false">IF(TRIM(AN875)="","Unknown",PROPER(TRIM(AN875)))</f>
        <v>West</v>
      </c>
      <c r="H875" s="0" t="str">
        <f aca="false">PROPER(TRIM(AO875))</f>
        <v>Gujarat</v>
      </c>
      <c r="I875" s="0" t="str">
        <f aca="false">PROPER(TRIM(AP875))</f>
        <v>Ahmedabad</v>
      </c>
      <c r="J875" s="0" t="str">
        <f aca="false">PROPER(TRIM(AQ875))</f>
        <v>Office Supplies</v>
      </c>
      <c r="K875" s="0" t="str">
        <f aca="false">PROPER(TRIM(AR875))</f>
        <v>Storage</v>
      </c>
      <c r="M875" s="0" t="str">
        <f aca="false">IF(TRIM(AS875)="","Unknown",PROPER(TRIM(AS875)))</f>
        <v>Second Class</v>
      </c>
      <c r="N875" s="0" t="n">
        <v>8</v>
      </c>
      <c r="O875" s="0" t="n">
        <v>623.31</v>
      </c>
      <c r="P875" s="5" t="n">
        <f aca="false">IF(AT875="","",IF(ISNUMBER(AT875),AT875,VALUE(SUBSTITUTE(AT875,"%",""))/100))</f>
        <v>0.1</v>
      </c>
      <c r="Q875" s="5" t="n">
        <f aca="false">IF(P875="",IF(AND(N875&lt;&gt;"",O875&lt;&gt;"",R875&lt;&gt;"",S875&lt;&gt;""),0,"REVIEW"),IF(OR(P875&lt;0,P875&gt;0.3),0,P875))</f>
        <v>0.1</v>
      </c>
      <c r="R875" s="0" t="n">
        <v>4487.83</v>
      </c>
      <c r="S875" s="0" t="n">
        <v>2633.78</v>
      </c>
      <c r="T875" s="6" t="n">
        <f aca="false">N875*O875*(1-Q875)</f>
        <v>4487.832</v>
      </c>
      <c r="U875" s="6" t="n">
        <f aca="false">T875-S875</f>
        <v>1854.052</v>
      </c>
      <c r="V875" s="7" t="n">
        <f aca="false">IF(T875=0,0,U875/T875)</f>
        <v>0.413128655439865</v>
      </c>
      <c r="W875" s="4" t="n">
        <f aca="false">C875-B875</f>
        <v>7</v>
      </c>
      <c r="X875" s="0" t="str">
        <f aca="false">TEXT(B875,"mmmm")</f>
        <v>February</v>
      </c>
      <c r="Y875" s="4" t="n">
        <f aca="false">YEAR(B875)</f>
        <v>2025</v>
      </c>
      <c r="Z875" s="0" t="str">
        <f aca="false">PROPER(TRIM(AU875))</f>
        <v>Paid</v>
      </c>
      <c r="AA875" s="0" t="str">
        <f aca="false">PROPER(TRIM(AV875))</f>
        <v>Completed</v>
      </c>
      <c r="AB875" s="0" t="str">
        <f aca="false">IF(TRIM(AN875)="","Yes","No")</f>
        <v>No</v>
      </c>
      <c r="AC875" s="0" t="str">
        <f aca="false">IF(TRIM(AS875)="","Yes","No")</f>
        <v>No</v>
      </c>
      <c r="AD875" s="0" t="str">
        <f aca="false">IF(AT875="","Yes","No")</f>
        <v>No</v>
      </c>
      <c r="AE875" s="0" t="str">
        <f aca="false">IF(W875&lt;0,"Yes","No")</f>
        <v>No</v>
      </c>
      <c r="AF875" s="0" t="str">
        <f aca="false">IF(P875="","No",IF(OR(P875&lt;0,P875&gt;0.3),"Yes","No"))</f>
        <v>No</v>
      </c>
      <c r="AG875" s="4" t="s">
        <v>50</v>
      </c>
      <c r="AH875" s="0" t="str">
        <f aca="false">IF(AND(AA875="Completed",Z875="Paid"),"Yes","No")</f>
        <v>Yes</v>
      </c>
      <c r="AI875" s="0" t="str">
        <f aca="false">IF(OR(AE875="Yes",AF875="Yes",AG875="Yes"),"Invalid",IF(OR(AB875="Yes",AC875="Yes",AD875="Yes"),"Warning","Clean"))</f>
        <v>Clean</v>
      </c>
      <c r="AJ875" s="4" t="s">
        <v>3176</v>
      </c>
      <c r="AK875" s="4" t="s">
        <v>3177</v>
      </c>
      <c r="AL875" s="4" t="s">
        <v>127</v>
      </c>
      <c r="AM875" s="4" t="s">
        <v>134</v>
      </c>
      <c r="AN875" s="4" t="s">
        <v>97</v>
      </c>
      <c r="AO875" s="4" t="s">
        <v>238</v>
      </c>
      <c r="AP875" s="4" t="s">
        <v>239</v>
      </c>
      <c r="AQ875" s="4" t="s">
        <v>58</v>
      </c>
      <c r="AR875" s="4" t="s">
        <v>171</v>
      </c>
      <c r="AS875" s="4" t="s">
        <v>60</v>
      </c>
      <c r="AT875" s="0" t="n">
        <v>0.1</v>
      </c>
      <c r="AU875" s="4" t="s">
        <v>61</v>
      </c>
      <c r="AV875" s="4" t="s">
        <v>62</v>
      </c>
    </row>
    <row r="876" customFormat="false" ht="15" hidden="false" customHeight="false" outlineLevel="0" collapsed="false">
      <c r="A876" s="0" t="s">
        <v>3178</v>
      </c>
      <c r="B876" s="3" t="n">
        <f aca="false">IF(AJ876="","",IF(ISNUMBER(SEARCH("/",AJ876)),DATE(VALUE(RIGHT(AJ876,4)),VALUE(LEFT(AJ876,2)),VALUE(MID(AJ876,4,2))),IF(ISNUMBER(SEARCH("-",AJ876)),IF(LEN(LEFT(AJ876,FIND("-",AJ876)-1))=4,DATE(VALUE(LEFT(AJ876,4)),VALUE(MID(AJ876,6,2)),VALUE(RIGHT(AJ876,2))),DATE(VALUE(RIGHT(AJ876,4)),VALUE(MID(AJ876,4,2)),VALUE(LEFT(AJ876,2)))),DATE(VALUE(RIGHT(AJ876,4)),MATCH(MID(AJ876,4,3),{"Jan","Feb","Mar","Apr","May","Jun","Jul","Aug","Sep","Oct","Nov","Dec"},0),VALUE(LEFT(AJ876,2))))))</f>
        <v>45853</v>
      </c>
      <c r="C876" s="3" t="n">
        <f aca="false">IF(AK876="","",IF(ISNUMBER(SEARCH("/",AK876)),DATE(VALUE(RIGHT(AK876,4)),VALUE(LEFT(AK876,2)),VALUE(MID(AK876,4,2))),IF(ISNUMBER(SEARCH("-",AK876)),IF(LEN(LEFT(AK876,FIND("-",AK876)-1))=4,DATE(VALUE(LEFT(AK876,4)),VALUE(MID(AK876,6,2)),VALUE(RIGHT(AK876,2))),DATE(VALUE(RIGHT(AK876,4)),VALUE(MID(AK876,4,2)),VALUE(LEFT(AK876,2)))),DATE(VALUE(RIGHT(AK876,4)),MATCH(MID(AK876,4,3),{"Jan","Feb","Mar","Apr","May","Jun","Jul","Aug","Sep","Oct","Nov","Dec"},0),VALUE(LEFT(AK876,2))))))</f>
        <v>45854</v>
      </c>
      <c r="D876" s="4" t="s">
        <v>3179</v>
      </c>
      <c r="E876" s="0" t="str">
        <f aca="false">PROPER(TRIM(AL876))</f>
        <v>Vikram Iyer</v>
      </c>
      <c r="F876" s="0" t="str">
        <f aca="false">PROPER(TRIM(AM876))</f>
        <v>Small Business</v>
      </c>
      <c r="G876" s="0" t="str">
        <f aca="false">IF(TRIM(AN876)="","Unknown",PROPER(TRIM(AN876)))</f>
        <v>West</v>
      </c>
      <c r="H876" s="0" t="str">
        <f aca="false">PROPER(TRIM(AO876))</f>
        <v>Maharashtra</v>
      </c>
      <c r="I876" s="0" t="str">
        <f aca="false">PROPER(TRIM(AP876))</f>
        <v>Mumbai</v>
      </c>
      <c r="J876" s="0" t="str">
        <f aca="false">PROPER(TRIM(AQ876))</f>
        <v>Office Supplies</v>
      </c>
      <c r="K876" s="0" t="str">
        <f aca="false">PROPER(TRIM(AR876))</f>
        <v>Paper</v>
      </c>
      <c r="M876" s="0" t="str">
        <f aca="false">IF(TRIM(AS876)="","Unknown",PROPER(TRIM(AS876)))</f>
        <v>Standard Class</v>
      </c>
      <c r="N876" s="0" t="n">
        <v>8</v>
      </c>
      <c r="O876" s="0" t="n">
        <v>3924.88</v>
      </c>
      <c r="P876" s="5" t="n">
        <f aca="false">IF(AT876="","",IF(ISNUMBER(AT876),AT876,VALUE(SUBSTITUTE(AT876,"%",""))/100))</f>
        <v>0.05</v>
      </c>
      <c r="Q876" s="5" t="n">
        <f aca="false">IF(P876="",IF(AND(N876&lt;&gt;"",O876&lt;&gt;"",R876&lt;&gt;"",S876&lt;&gt;""),0,"REVIEW"),IF(OR(P876&lt;0,P876&gt;0.3),0,P876))</f>
        <v>0.05</v>
      </c>
      <c r="R876" s="0" t="n">
        <v>29829.09</v>
      </c>
      <c r="S876" s="0" t="n">
        <v>20710.18</v>
      </c>
      <c r="T876" s="6" t="n">
        <f aca="false">N876*O876*(1-Q876)</f>
        <v>29829.088</v>
      </c>
      <c r="U876" s="6" t="n">
        <f aca="false">T876-S876</f>
        <v>9118.908</v>
      </c>
      <c r="V876" s="7" t="n">
        <f aca="false">IF(T876=0,0,U876/T876)</f>
        <v>0.305705223035984</v>
      </c>
      <c r="W876" s="4" t="n">
        <f aca="false">C876-B876</f>
        <v>1</v>
      </c>
      <c r="X876" s="0" t="str">
        <f aca="false">TEXT(B876,"mmmm")</f>
        <v>July</v>
      </c>
      <c r="Y876" s="4" t="n">
        <f aca="false">YEAR(B876)</f>
        <v>2025</v>
      </c>
      <c r="Z876" s="0" t="str">
        <f aca="false">PROPER(TRIM(AU876))</f>
        <v>Paid</v>
      </c>
      <c r="AA876" s="0" t="str">
        <f aca="false">PROPER(TRIM(AV876))</f>
        <v>Completed</v>
      </c>
      <c r="AB876" s="0" t="str">
        <f aca="false">IF(TRIM(AN876)="","Yes","No")</f>
        <v>No</v>
      </c>
      <c r="AC876" s="0" t="str">
        <f aca="false">IF(TRIM(AS876)="","Yes","No")</f>
        <v>No</v>
      </c>
      <c r="AD876" s="0" t="str">
        <f aca="false">IF(AT876="","Yes","No")</f>
        <v>No</v>
      </c>
      <c r="AE876" s="0" t="str">
        <f aca="false">IF(W876&lt;0,"Yes","No")</f>
        <v>No</v>
      </c>
      <c r="AF876" s="0" t="str">
        <f aca="false">IF(P876="","No",IF(OR(P876&lt;0,P876&gt;0.3),"Yes","No"))</f>
        <v>No</v>
      </c>
      <c r="AG876" s="4" t="s">
        <v>50</v>
      </c>
      <c r="AH876" s="0" t="str">
        <f aca="false">IF(AND(AA876="Completed",Z876="Paid"),"Yes","No")</f>
        <v>Yes</v>
      </c>
      <c r="AI876" s="0" t="str">
        <f aca="false">IF(OR(AE876="Yes",AF876="Yes",AG876="Yes"),"Invalid",IF(OR(AB876="Yes",AC876="Yes",AD876="Yes"),"Warning","Clean"))</f>
        <v>Clean</v>
      </c>
      <c r="AJ876" s="4" t="s">
        <v>2355</v>
      </c>
      <c r="AK876" s="4" t="s">
        <v>1265</v>
      </c>
      <c r="AL876" s="4" t="s">
        <v>106</v>
      </c>
      <c r="AM876" s="4" t="s">
        <v>68</v>
      </c>
      <c r="AN876" s="4" t="s">
        <v>97</v>
      </c>
      <c r="AO876" s="4" t="s">
        <v>98</v>
      </c>
      <c r="AP876" s="4" t="s">
        <v>99</v>
      </c>
      <c r="AQ876" s="4" t="s">
        <v>58</v>
      </c>
      <c r="AR876" s="4" t="s">
        <v>59</v>
      </c>
      <c r="AS876" s="4" t="s">
        <v>91</v>
      </c>
      <c r="AT876" s="0" t="n">
        <v>0.05</v>
      </c>
      <c r="AU876" s="4" t="s">
        <v>61</v>
      </c>
      <c r="AV876" s="4" t="s">
        <v>62</v>
      </c>
    </row>
    <row r="877" customFormat="false" ht="15" hidden="false" customHeight="false" outlineLevel="0" collapsed="false">
      <c r="A877" s="0" t="s">
        <v>3180</v>
      </c>
      <c r="B877" s="3" t="n">
        <f aca="false">IF(AJ877="","",IF(ISNUMBER(SEARCH("/",AJ877)),DATE(VALUE(RIGHT(AJ877,4)),VALUE(LEFT(AJ877,2)),VALUE(MID(AJ877,4,2))),IF(ISNUMBER(SEARCH("-",AJ877)),IF(LEN(LEFT(AJ877,FIND("-",AJ877)-1))=4,DATE(VALUE(LEFT(AJ877,4)),VALUE(MID(AJ877,6,2)),VALUE(RIGHT(AJ877,2))),DATE(VALUE(RIGHT(AJ877,4)),VALUE(MID(AJ877,4,2)),VALUE(LEFT(AJ877,2)))),DATE(VALUE(RIGHT(AJ877,4)),MATCH(MID(AJ877,4,3),{"Jan","Feb","Mar","Apr","May","Jun","Jul","Aug","Sep","Oct","Nov","Dec"},0),VALUE(LEFT(AJ877,2))))))</f>
        <v>45514</v>
      </c>
      <c r="C877" s="3" t="n">
        <f aca="false">IF(AK877="","",IF(ISNUMBER(SEARCH("/",AK877)),DATE(VALUE(RIGHT(AK877,4)),VALUE(LEFT(AK877,2)),VALUE(MID(AK877,4,2))),IF(ISNUMBER(SEARCH("-",AK877)),IF(LEN(LEFT(AK877,FIND("-",AK877)-1))=4,DATE(VALUE(LEFT(AK877,4)),VALUE(MID(AK877,6,2)),VALUE(RIGHT(AK877,2))),DATE(VALUE(RIGHT(AK877,4)),VALUE(MID(AK877,4,2)),VALUE(LEFT(AK877,2)))),DATE(VALUE(RIGHT(AK877,4)),MATCH(MID(AK877,4,3),{"Jan","Feb","Mar","Apr","May","Jun","Jul","Aug","Sep","Oct","Nov","Dec"},0),VALUE(LEFT(AK877,2))))))</f>
        <v>45515</v>
      </c>
      <c r="D877" s="4" t="s">
        <v>3181</v>
      </c>
      <c r="E877" s="0" t="str">
        <f aca="false">PROPER(TRIM(AL877))</f>
        <v>Mira Das</v>
      </c>
      <c r="F877" s="0" t="str">
        <f aca="false">PROPER(TRIM(AM877))</f>
        <v>Corporate</v>
      </c>
      <c r="G877" s="0" t="str">
        <f aca="false">IF(TRIM(AN877)="","Unknown",PROPER(TRIM(AN877)))</f>
        <v>West</v>
      </c>
      <c r="H877" s="0" t="str">
        <f aca="false">PROPER(TRIM(AO877))</f>
        <v>Maharashtra</v>
      </c>
      <c r="I877" s="0" t="str">
        <f aca="false">PROPER(TRIM(AP877))</f>
        <v>Mumbai</v>
      </c>
      <c r="J877" s="0" t="str">
        <f aca="false">PROPER(TRIM(AQ877))</f>
        <v>Technology</v>
      </c>
      <c r="K877" s="0" t="str">
        <f aca="false">PROPER(TRIM(AR877))</f>
        <v>Copiers</v>
      </c>
      <c r="M877" s="0" t="str">
        <f aca="false">IF(TRIM(AS877)="","Unknown",PROPER(TRIM(AS877)))</f>
        <v>First Class</v>
      </c>
      <c r="N877" s="0" t="n">
        <v>7</v>
      </c>
      <c r="O877" s="0" t="n">
        <v>3852.62</v>
      </c>
      <c r="P877" s="5" t="n">
        <f aca="false">IF(AT877="","",IF(ISNUMBER(AT877),AT877,VALUE(SUBSTITUTE(AT877,"%",""))/100))</f>
        <v>0.2</v>
      </c>
      <c r="Q877" s="5" t="n">
        <f aca="false">IF(P877="",IF(AND(N877&lt;&gt;"",O877&lt;&gt;"",R877&lt;&gt;"",S877&lt;&gt;""),0,"REVIEW"),IF(OR(P877&lt;0,P877&gt;0.3),0,P877))</f>
        <v>0.2</v>
      </c>
      <c r="R877" s="0" t="n">
        <v>21574.67</v>
      </c>
      <c r="S877" s="0" t="n">
        <v>14672.83</v>
      </c>
      <c r="T877" s="6" t="n">
        <f aca="false">N877*O877*(1-Q877)</f>
        <v>21574.672</v>
      </c>
      <c r="U877" s="6" t="n">
        <f aca="false">T877-S877</f>
        <v>6901.842</v>
      </c>
      <c r="V877" s="7" t="n">
        <f aca="false">IF(T877=0,0,U877/T877)</f>
        <v>0.319904840268255</v>
      </c>
      <c r="W877" s="4" t="n">
        <f aca="false">C877-B877</f>
        <v>1</v>
      </c>
      <c r="X877" s="0" t="str">
        <f aca="false">TEXT(B877,"mmmm")</f>
        <v>August</v>
      </c>
      <c r="Y877" s="4" t="n">
        <f aca="false">YEAR(B877)</f>
        <v>2024</v>
      </c>
      <c r="Z877" s="0" t="str">
        <f aca="false">PROPER(TRIM(AU877))</f>
        <v>Paid</v>
      </c>
      <c r="AA877" s="0" t="str">
        <f aca="false">PROPER(TRIM(AV877))</f>
        <v>Completed</v>
      </c>
      <c r="AB877" s="0" t="str">
        <f aca="false">IF(TRIM(AN877)="","Yes","No")</f>
        <v>No</v>
      </c>
      <c r="AC877" s="0" t="str">
        <f aca="false">IF(TRIM(AS877)="","Yes","No")</f>
        <v>No</v>
      </c>
      <c r="AD877" s="0" t="str">
        <f aca="false">IF(AT877="","Yes","No")</f>
        <v>No</v>
      </c>
      <c r="AE877" s="0" t="str">
        <f aca="false">IF(W877&lt;0,"Yes","No")</f>
        <v>No</v>
      </c>
      <c r="AF877" s="0" t="str">
        <f aca="false">IF(P877="","No",IF(OR(P877&lt;0,P877&gt;0.3),"Yes","No"))</f>
        <v>No</v>
      </c>
      <c r="AG877" s="4" t="s">
        <v>50</v>
      </c>
      <c r="AH877" s="0" t="str">
        <f aca="false">IF(AND(AA877="Completed",Z877="Paid"),"Yes","No")</f>
        <v>Yes</v>
      </c>
      <c r="AI877" s="0" t="str">
        <f aca="false">IF(OR(AE877="Yes",AF877="Yes",AG877="Yes"),"Invalid",IF(OR(AB877="Yes",AC877="Yes",AD877="Yes"),"Warning","Clean"))</f>
        <v>Clean</v>
      </c>
      <c r="AJ877" s="4" t="s">
        <v>3182</v>
      </c>
      <c r="AK877" s="4" t="s">
        <v>3183</v>
      </c>
      <c r="AL877" s="4" t="s">
        <v>67</v>
      </c>
      <c r="AM877" s="4" t="s">
        <v>128</v>
      </c>
      <c r="AN877" s="4" t="s">
        <v>97</v>
      </c>
      <c r="AO877" s="4" t="s">
        <v>98</v>
      </c>
      <c r="AP877" s="4" t="s">
        <v>99</v>
      </c>
      <c r="AQ877" s="4" t="s">
        <v>109</v>
      </c>
      <c r="AR877" s="4" t="s">
        <v>116</v>
      </c>
      <c r="AS877" s="4" t="s">
        <v>81</v>
      </c>
      <c r="AT877" s="0" t="n">
        <v>0.2</v>
      </c>
      <c r="AU877" s="4" t="s">
        <v>61</v>
      </c>
      <c r="AV877" s="4" t="s">
        <v>62</v>
      </c>
    </row>
    <row r="878" customFormat="false" ht="15" hidden="false" customHeight="false" outlineLevel="0" collapsed="false">
      <c r="A878" s="0" t="s">
        <v>3184</v>
      </c>
      <c r="B878" s="3" t="n">
        <f aca="false">IF(AJ878="","",IF(ISNUMBER(SEARCH("/",AJ878)),DATE(VALUE(RIGHT(AJ878,4)),VALUE(LEFT(AJ878,2)),VALUE(MID(AJ878,4,2))),IF(ISNUMBER(SEARCH("-",AJ878)),IF(LEN(LEFT(AJ878,FIND("-",AJ878)-1))=4,DATE(VALUE(LEFT(AJ878,4)),VALUE(MID(AJ878,6,2)),VALUE(RIGHT(AJ878,2))),DATE(VALUE(RIGHT(AJ878,4)),VALUE(MID(AJ878,4,2)),VALUE(LEFT(AJ878,2)))),DATE(VALUE(RIGHT(AJ878,4)),MATCH(MID(AJ878,4,3),{"Jan","Feb","Mar","Apr","May","Jun","Jul","Aug","Sep","Oct","Nov","Dec"},0),VALUE(LEFT(AJ878,2))))))</f>
        <v>45614</v>
      </c>
      <c r="C878" s="3" t="n">
        <f aca="false">IF(AK878="","",IF(ISNUMBER(SEARCH("/",AK878)),DATE(VALUE(RIGHT(AK878,4)),VALUE(LEFT(AK878,2)),VALUE(MID(AK878,4,2))),IF(ISNUMBER(SEARCH("-",AK878)),IF(LEN(LEFT(AK878,FIND("-",AK878)-1))=4,DATE(VALUE(LEFT(AK878,4)),VALUE(MID(AK878,6,2)),VALUE(RIGHT(AK878,2))),DATE(VALUE(RIGHT(AK878,4)),VALUE(MID(AK878,4,2)),VALUE(LEFT(AK878,2)))),DATE(VALUE(RIGHT(AK878,4)),MATCH(MID(AK878,4,3),{"Jan","Feb","Mar","Apr","May","Jun","Jul","Aug","Sep","Oct","Nov","Dec"},0),VALUE(LEFT(AK878,2))))))</f>
        <v>45616</v>
      </c>
      <c r="D878" s="4" t="s">
        <v>3185</v>
      </c>
      <c r="E878" s="0" t="str">
        <f aca="false">PROPER(TRIM(AL878))</f>
        <v>Priya Menon</v>
      </c>
      <c r="F878" s="0" t="str">
        <f aca="false">PROPER(TRIM(AM878))</f>
        <v>Consumer</v>
      </c>
      <c r="G878" s="0" t="str">
        <f aca="false">IF(TRIM(AN878)="","Unknown",PROPER(TRIM(AN878)))</f>
        <v>West</v>
      </c>
      <c r="H878" s="0" t="str">
        <f aca="false">PROPER(TRIM(AO878))</f>
        <v>Rajasthan</v>
      </c>
      <c r="I878" s="0" t="str">
        <f aca="false">PROPER(TRIM(AP878))</f>
        <v>Udaipur</v>
      </c>
      <c r="J878" s="0" t="str">
        <f aca="false">PROPER(TRIM(AQ878))</f>
        <v>Furniture</v>
      </c>
      <c r="K878" s="0" t="str">
        <f aca="false">PROPER(TRIM(AR878))</f>
        <v>Chairs</v>
      </c>
      <c r="M878" s="0" t="str">
        <f aca="false">IF(TRIM(AS878)="","Unknown",PROPER(TRIM(AS878)))</f>
        <v>First Class</v>
      </c>
      <c r="N878" s="0" t="n">
        <v>6</v>
      </c>
      <c r="O878" s="0" t="n">
        <v>3790.22</v>
      </c>
      <c r="P878" s="5" t="n">
        <f aca="false">IF(AT878="","",IF(ISNUMBER(AT878),AT878,VALUE(SUBSTITUTE(AT878,"%",""))/100))</f>
        <v>0</v>
      </c>
      <c r="Q878" s="5" t="n">
        <f aca="false">IF(P878="",IF(AND(N878&lt;&gt;"",O878&lt;&gt;"",R878&lt;&gt;"",S878&lt;&gt;""),0,"REVIEW"),IF(OR(P878&lt;0,P878&gt;0.3),0,P878))</f>
        <v>0</v>
      </c>
      <c r="R878" s="0" t="n">
        <v>22741.32</v>
      </c>
      <c r="S878" s="0" t="n">
        <v>16388.57</v>
      </c>
      <c r="T878" s="6" t="n">
        <f aca="false">N878*O878*(1-Q878)</f>
        <v>22741.32</v>
      </c>
      <c r="U878" s="6" t="n">
        <f aca="false">T878-S878</f>
        <v>6352.75</v>
      </c>
      <c r="V878" s="7" t="n">
        <f aca="false">IF(T878=0,0,U878/T878)</f>
        <v>0.279348340377779</v>
      </c>
      <c r="W878" s="4" t="n">
        <f aca="false">C878-B878</f>
        <v>2</v>
      </c>
      <c r="X878" s="0" t="str">
        <f aca="false">TEXT(B878,"mmmm")</f>
        <v>November</v>
      </c>
      <c r="Y878" s="4" t="n">
        <f aca="false">YEAR(B878)</f>
        <v>2024</v>
      </c>
      <c r="Z878" s="0" t="str">
        <f aca="false">PROPER(TRIM(AU878))</f>
        <v>Paid</v>
      </c>
      <c r="AA878" s="0" t="str">
        <f aca="false">PROPER(TRIM(AV878))</f>
        <v>Completed</v>
      </c>
      <c r="AB878" s="0" t="str">
        <f aca="false">IF(TRIM(AN878)="","Yes","No")</f>
        <v>No</v>
      </c>
      <c r="AC878" s="0" t="str">
        <f aca="false">IF(TRIM(AS878)="","Yes","No")</f>
        <v>No</v>
      </c>
      <c r="AD878" s="0" t="str">
        <f aca="false">IF(AT878="","Yes","No")</f>
        <v>No</v>
      </c>
      <c r="AE878" s="0" t="str">
        <f aca="false">IF(W878&lt;0,"Yes","No")</f>
        <v>No</v>
      </c>
      <c r="AF878" s="0" t="str">
        <f aca="false">IF(P878="","No",IF(OR(P878&lt;0,P878&gt;0.3),"Yes","No"))</f>
        <v>No</v>
      </c>
      <c r="AG878" s="4" t="s">
        <v>50</v>
      </c>
      <c r="AH878" s="0" t="str">
        <f aca="false">IF(AND(AA878="Completed",Z878="Paid"),"Yes","No")</f>
        <v>Yes</v>
      </c>
      <c r="AI878" s="0" t="str">
        <f aca="false">IF(OR(AE878="Yes",AF878="Yes",AG878="Yes"),"Invalid",IF(OR(AB878="Yes",AC878="Yes",AD878="Yes"),"Warning","Clean"))</f>
        <v>Clean</v>
      </c>
      <c r="AJ878" s="4" t="s">
        <v>3186</v>
      </c>
      <c r="AK878" s="4" t="s">
        <v>3187</v>
      </c>
      <c r="AL878" s="4" t="s">
        <v>158</v>
      </c>
      <c r="AM878" s="4" t="s">
        <v>54</v>
      </c>
      <c r="AN878" s="4" t="s">
        <v>97</v>
      </c>
      <c r="AO878" s="4" t="s">
        <v>56</v>
      </c>
      <c r="AP878" s="4" t="s">
        <v>152</v>
      </c>
      <c r="AQ878" s="4" t="s">
        <v>72</v>
      </c>
      <c r="AR878" s="4" t="s">
        <v>100</v>
      </c>
      <c r="AS878" s="4" t="s">
        <v>81</v>
      </c>
      <c r="AT878" s="0" t="n">
        <v>0</v>
      </c>
      <c r="AU878" s="4" t="s">
        <v>61</v>
      </c>
      <c r="AV878" s="4" t="s">
        <v>62</v>
      </c>
    </row>
    <row r="879" customFormat="false" ht="15" hidden="false" customHeight="false" outlineLevel="0" collapsed="false">
      <c r="A879" s="0" t="s">
        <v>3188</v>
      </c>
      <c r="B879" s="3" t="n">
        <f aca="false">IF(AJ879="","",IF(ISNUMBER(SEARCH("/",AJ879)),DATE(VALUE(RIGHT(AJ879,4)),VALUE(LEFT(AJ879,2)),VALUE(MID(AJ879,4,2))),IF(ISNUMBER(SEARCH("-",AJ879)),IF(LEN(LEFT(AJ879,FIND("-",AJ879)-1))=4,DATE(VALUE(LEFT(AJ879,4)),VALUE(MID(AJ879,6,2)),VALUE(RIGHT(AJ879,2))),DATE(VALUE(RIGHT(AJ879,4)),VALUE(MID(AJ879,4,2)),VALUE(LEFT(AJ879,2)))),DATE(VALUE(RIGHT(AJ879,4)),MATCH(MID(AJ879,4,3),{"Jan","Feb","Mar","Apr","May","Jun","Jul","Aug","Sep","Oct","Nov","Dec"},0),VALUE(LEFT(AJ879,2))))))</f>
        <v>45895</v>
      </c>
      <c r="C879" s="3" t="n">
        <f aca="false">IF(AK879="","",IF(ISNUMBER(SEARCH("/",AK879)),DATE(VALUE(RIGHT(AK879,4)),VALUE(LEFT(AK879,2)),VALUE(MID(AK879,4,2))),IF(ISNUMBER(SEARCH("-",AK879)),IF(LEN(LEFT(AK879,FIND("-",AK879)-1))=4,DATE(VALUE(LEFT(AK879,4)),VALUE(MID(AK879,6,2)),VALUE(RIGHT(AK879,2))),DATE(VALUE(RIGHT(AK879,4)),VALUE(MID(AK879,4,2)),VALUE(LEFT(AK879,2)))),DATE(VALUE(RIGHT(AK879,4)),MATCH(MID(AK879,4,3),{"Jan","Feb","Mar","Apr","May","Jun","Jul","Aug","Sep","Oct","Nov","Dec"},0),VALUE(LEFT(AK879,2))))))</f>
        <v>45903</v>
      </c>
      <c r="D879" s="4" t="s">
        <v>3189</v>
      </c>
      <c r="E879" s="0" t="str">
        <f aca="false">PROPER(TRIM(AL879))</f>
        <v>Aarav Sharma</v>
      </c>
      <c r="F879" s="0" t="str">
        <f aca="false">PROPER(TRIM(AM879))</f>
        <v>Consumer</v>
      </c>
      <c r="G879" s="0" t="str">
        <f aca="false">IF(TRIM(AN879)="","Unknown",PROPER(TRIM(AN879)))</f>
        <v>West</v>
      </c>
      <c r="H879" s="0" t="str">
        <f aca="false">PROPER(TRIM(AO879))</f>
        <v>Rajasthan</v>
      </c>
      <c r="I879" s="0" t="str">
        <f aca="false">PROPER(TRIM(AP879))</f>
        <v>Udaipur</v>
      </c>
      <c r="J879" s="0" t="str">
        <f aca="false">PROPER(TRIM(AQ879))</f>
        <v>Office Supplies</v>
      </c>
      <c r="K879" s="0" t="str">
        <f aca="false">PROPER(TRIM(AR879))</f>
        <v>Storage</v>
      </c>
      <c r="M879" s="0" t="str">
        <f aca="false">IF(TRIM(AS879)="","Unknown",PROPER(TRIM(AS879)))</f>
        <v>Second Class</v>
      </c>
      <c r="N879" s="0" t="n">
        <v>6</v>
      </c>
      <c r="O879" s="0" t="n">
        <v>674.36</v>
      </c>
      <c r="P879" s="5" t="n">
        <f aca="false">IF(AT879="","",IF(ISNUMBER(AT879),AT879,VALUE(SUBSTITUTE(AT879,"%",""))/100))</f>
        <v>0.1</v>
      </c>
      <c r="Q879" s="5" t="n">
        <f aca="false">IF(P879="",IF(AND(N879&lt;&gt;"",O879&lt;&gt;"",R879&lt;&gt;"",S879&lt;&gt;""),0,"REVIEW"),IF(OR(P879&lt;0,P879&gt;0.3),0,P879))</f>
        <v>0.1</v>
      </c>
      <c r="R879" s="0" t="n">
        <v>3641.54</v>
      </c>
      <c r="S879" s="0" t="n">
        <v>2690.37</v>
      </c>
      <c r="T879" s="6" t="n">
        <f aca="false">N879*O879*(1-Q879)</f>
        <v>3641.544</v>
      </c>
      <c r="U879" s="6" t="n">
        <f aca="false">T879-S879</f>
        <v>951.174</v>
      </c>
      <c r="V879" s="7" t="n">
        <f aca="false">IF(T879=0,0,U879/T879)</f>
        <v>0.261200743420923</v>
      </c>
      <c r="W879" s="4" t="n">
        <f aca="false">C879-B879</f>
        <v>8</v>
      </c>
      <c r="X879" s="0" t="str">
        <f aca="false">TEXT(B879,"mmmm")</f>
        <v>August</v>
      </c>
      <c r="Y879" s="4" t="n">
        <f aca="false">YEAR(B879)</f>
        <v>2025</v>
      </c>
      <c r="Z879" s="0" t="str">
        <f aca="false">PROPER(TRIM(AU879))</f>
        <v>Paid</v>
      </c>
      <c r="AA879" s="0" t="str">
        <f aca="false">PROPER(TRIM(AV879))</f>
        <v>Completed</v>
      </c>
      <c r="AB879" s="0" t="str">
        <f aca="false">IF(TRIM(AN879)="","Yes","No")</f>
        <v>No</v>
      </c>
      <c r="AC879" s="0" t="str">
        <f aca="false">IF(TRIM(AS879)="","Yes","No")</f>
        <v>No</v>
      </c>
      <c r="AD879" s="0" t="str">
        <f aca="false">IF(AT879="","Yes","No")</f>
        <v>No</v>
      </c>
      <c r="AE879" s="0" t="str">
        <f aca="false">IF(W879&lt;0,"Yes","No")</f>
        <v>No</v>
      </c>
      <c r="AF879" s="0" t="str">
        <f aca="false">IF(P879="","No",IF(OR(P879&lt;0,P879&gt;0.3),"Yes","No"))</f>
        <v>No</v>
      </c>
      <c r="AG879" s="4" t="s">
        <v>50</v>
      </c>
      <c r="AH879" s="0" t="str">
        <f aca="false">IF(AND(AA879="Completed",Z879="Paid"),"Yes","No")</f>
        <v>Yes</v>
      </c>
      <c r="AI879" s="0" t="str">
        <f aca="false">IF(OR(AE879="Yes",AF879="Yes",AG879="Yes"),"Invalid",IF(OR(AB879="Yes",AC879="Yes",AD879="Yes"),"Warning","Clean"))</f>
        <v>Clean</v>
      </c>
      <c r="AJ879" s="4" t="s">
        <v>3190</v>
      </c>
      <c r="AK879" s="4" t="s">
        <v>2247</v>
      </c>
      <c r="AL879" s="4" t="s">
        <v>176</v>
      </c>
      <c r="AM879" s="4" t="s">
        <v>54</v>
      </c>
      <c r="AN879" s="4" t="s">
        <v>97</v>
      </c>
      <c r="AO879" s="4" t="s">
        <v>56</v>
      </c>
      <c r="AP879" s="4" t="s">
        <v>152</v>
      </c>
      <c r="AQ879" s="4" t="s">
        <v>58</v>
      </c>
      <c r="AR879" s="4" t="s">
        <v>171</v>
      </c>
      <c r="AS879" s="4" t="s">
        <v>60</v>
      </c>
      <c r="AT879" s="0" t="n">
        <v>0.1</v>
      </c>
      <c r="AU879" s="4" t="s">
        <v>61</v>
      </c>
      <c r="AV879" s="4" t="s">
        <v>62</v>
      </c>
    </row>
    <row r="880" customFormat="false" ht="15" hidden="false" customHeight="false" outlineLevel="0" collapsed="false">
      <c r="A880" s="0" t="s">
        <v>3191</v>
      </c>
      <c r="B880" s="3" t="n">
        <f aca="false">IF(AJ880="","",IF(ISNUMBER(SEARCH("/",AJ880)),DATE(VALUE(RIGHT(AJ880,4)),VALUE(LEFT(AJ880,2)),VALUE(MID(AJ880,4,2))),IF(ISNUMBER(SEARCH("-",AJ880)),IF(LEN(LEFT(AJ880,FIND("-",AJ880)-1))=4,DATE(VALUE(LEFT(AJ880,4)),VALUE(MID(AJ880,6,2)),VALUE(RIGHT(AJ880,2))),DATE(VALUE(RIGHT(AJ880,4)),VALUE(MID(AJ880,4,2)),VALUE(LEFT(AJ880,2)))),DATE(VALUE(RIGHT(AJ880,4)),MATCH(MID(AJ880,4,3),{"Jan","Feb","Mar","Apr","May","Jun","Jul","Aug","Sep","Oct","Nov","Dec"},0),VALUE(LEFT(AJ880,2))))))</f>
        <v>45313</v>
      </c>
      <c r="C880" s="3" t="n">
        <f aca="false">IF(AK880="","",IF(ISNUMBER(SEARCH("/",AK880)),DATE(VALUE(RIGHT(AK880,4)),VALUE(LEFT(AK880,2)),VALUE(MID(AK880,4,2))),IF(ISNUMBER(SEARCH("-",AK880)),IF(LEN(LEFT(AK880,FIND("-",AK880)-1))=4,DATE(VALUE(LEFT(AK880,4)),VALUE(MID(AK880,6,2)),VALUE(RIGHT(AK880,2))),DATE(VALUE(RIGHT(AK880,4)),VALUE(MID(AK880,4,2)),VALUE(LEFT(AK880,2)))),DATE(VALUE(RIGHT(AK880,4)),MATCH(MID(AK880,4,3),{"Jan","Feb","Mar","Apr","May","Jun","Jul","Aug","Sep","Oct","Nov","Dec"},0),VALUE(LEFT(AK880,2))))))</f>
        <v>45313</v>
      </c>
      <c r="D880" s="4" t="s">
        <v>3192</v>
      </c>
      <c r="E880" s="0" t="str">
        <f aca="false">PROPER(TRIM(AL880))</f>
        <v>Karan Malhotra</v>
      </c>
      <c r="F880" s="0" t="str">
        <f aca="false">PROPER(TRIM(AM880))</f>
        <v>Corporate</v>
      </c>
      <c r="G880" s="0" t="str">
        <f aca="false">IF(TRIM(AN880)="","Unknown",PROPER(TRIM(AN880)))</f>
        <v>East</v>
      </c>
      <c r="H880" s="0" t="str">
        <f aca="false">PROPER(TRIM(AO880))</f>
        <v>West Bengal</v>
      </c>
      <c r="I880" s="0" t="str">
        <f aca="false">PROPER(TRIM(AP880))</f>
        <v>Kolkata</v>
      </c>
      <c r="J880" s="0" t="str">
        <f aca="false">PROPER(TRIM(AQ880))</f>
        <v>Office Supplies</v>
      </c>
      <c r="K880" s="0" t="str">
        <f aca="false">PROPER(TRIM(AR880))</f>
        <v>Paper</v>
      </c>
      <c r="M880" s="0" t="str">
        <f aca="false">IF(TRIM(AS880)="","Unknown",PROPER(TRIM(AS880)))</f>
        <v>First Class</v>
      </c>
      <c r="N880" s="0" t="n">
        <v>8</v>
      </c>
      <c r="O880" s="0" t="n">
        <v>1557.21</v>
      </c>
      <c r="P880" s="5" t="n">
        <f aca="false">IF(AT880="","",IF(ISNUMBER(AT880),AT880,VALUE(SUBSTITUTE(AT880,"%",""))/100))</f>
        <v>0.05</v>
      </c>
      <c r="Q880" s="5" t="n">
        <f aca="false">IF(P880="",IF(AND(N880&lt;&gt;"",O880&lt;&gt;"",R880&lt;&gt;"",S880&lt;&gt;""),0,"REVIEW"),IF(OR(P880&lt;0,P880&gt;0.3),0,P880))</f>
        <v>0.05</v>
      </c>
      <c r="R880" s="0" t="n">
        <v>11834.8</v>
      </c>
      <c r="S880" s="0" t="n">
        <v>9322.36</v>
      </c>
      <c r="T880" s="6" t="n">
        <f aca="false">N880*O880*(1-Q880)</f>
        <v>11834.796</v>
      </c>
      <c r="U880" s="6" t="n">
        <f aca="false">T880-S880</f>
        <v>2512.436</v>
      </c>
      <c r="V880" s="7" t="n">
        <f aca="false">IF(T880=0,0,U880/T880)</f>
        <v>0.212292294687631</v>
      </c>
      <c r="W880" s="4" t="n">
        <f aca="false">C880-B880</f>
        <v>0</v>
      </c>
      <c r="X880" s="0" t="str">
        <f aca="false">TEXT(B880,"mmmm")</f>
        <v>January</v>
      </c>
      <c r="Y880" s="4" t="n">
        <f aca="false">YEAR(B880)</f>
        <v>2024</v>
      </c>
      <c r="Z880" s="0" t="str">
        <f aca="false">PROPER(TRIM(AU880))</f>
        <v>Paid</v>
      </c>
      <c r="AA880" s="0" t="str">
        <f aca="false">PROPER(TRIM(AV880))</f>
        <v>Completed</v>
      </c>
      <c r="AB880" s="0" t="str">
        <f aca="false">IF(TRIM(AN880)="","Yes","No")</f>
        <v>No</v>
      </c>
      <c r="AC880" s="0" t="str">
        <f aca="false">IF(TRIM(AS880)="","Yes","No")</f>
        <v>No</v>
      </c>
      <c r="AD880" s="0" t="str">
        <f aca="false">IF(AT880="","Yes","No")</f>
        <v>No</v>
      </c>
      <c r="AE880" s="0" t="str">
        <f aca="false">IF(W880&lt;0,"Yes","No")</f>
        <v>No</v>
      </c>
      <c r="AF880" s="0" t="str">
        <f aca="false">IF(P880="","No",IF(OR(P880&lt;0,P880&gt;0.3),"Yes","No"))</f>
        <v>No</v>
      </c>
      <c r="AG880" s="4" t="s">
        <v>50</v>
      </c>
      <c r="AH880" s="0" t="str">
        <f aca="false">IF(AND(AA880="Completed",Z880="Paid"),"Yes","No")</f>
        <v>Yes</v>
      </c>
      <c r="AI880" s="0" t="str">
        <f aca="false">IF(OR(AE880="Yes",AF880="Yes",AG880="Yes"),"Invalid",IF(OR(AB880="Yes",AC880="Yes",AD880="Yes"),"Warning","Clean"))</f>
        <v>Clean</v>
      </c>
      <c r="AJ880" s="4" t="s">
        <v>1676</v>
      </c>
      <c r="AK880" s="4" t="s">
        <v>1676</v>
      </c>
      <c r="AL880" s="4" t="s">
        <v>53</v>
      </c>
      <c r="AM880" s="4" t="s">
        <v>128</v>
      </c>
      <c r="AN880" s="4" t="s">
        <v>69</v>
      </c>
      <c r="AO880" s="4" t="s">
        <v>139</v>
      </c>
      <c r="AP880" s="4" t="s">
        <v>140</v>
      </c>
      <c r="AQ880" s="4" t="s">
        <v>58</v>
      </c>
      <c r="AR880" s="4" t="s">
        <v>59</v>
      </c>
      <c r="AS880" s="4" t="s">
        <v>81</v>
      </c>
      <c r="AT880" s="0" t="n">
        <v>0.05</v>
      </c>
      <c r="AU880" s="4" t="s">
        <v>61</v>
      </c>
      <c r="AV880" s="4" t="s">
        <v>62</v>
      </c>
    </row>
    <row r="881" customFormat="false" ht="15" hidden="false" customHeight="false" outlineLevel="0" collapsed="false">
      <c r="A881" s="0" t="s">
        <v>3193</v>
      </c>
      <c r="B881" s="3" t="n">
        <f aca="false">IF(AJ881="","",IF(ISNUMBER(SEARCH("/",AJ881)),DATE(VALUE(RIGHT(AJ881,4)),VALUE(LEFT(AJ881,2)),VALUE(MID(AJ881,4,2))),IF(ISNUMBER(SEARCH("-",AJ881)),IF(LEN(LEFT(AJ881,FIND("-",AJ881)-1))=4,DATE(VALUE(LEFT(AJ881,4)),VALUE(MID(AJ881,6,2)),VALUE(RIGHT(AJ881,2))),DATE(VALUE(RIGHT(AJ881,4)),VALUE(MID(AJ881,4,2)),VALUE(LEFT(AJ881,2)))),DATE(VALUE(RIGHT(AJ881,4)),MATCH(MID(AJ881,4,3),{"Jan","Feb","Mar","Apr","May","Jun","Jul","Aug","Sep","Oct","Nov","Dec"},0),VALUE(LEFT(AJ881,2))))))</f>
        <v>45896</v>
      </c>
      <c r="C881" s="3" t="n">
        <f aca="false">IF(AK881="","",IF(ISNUMBER(SEARCH("/",AK881)),DATE(VALUE(RIGHT(AK881,4)),VALUE(LEFT(AK881,2)),VALUE(MID(AK881,4,2))),IF(ISNUMBER(SEARCH("-",AK881)),IF(LEN(LEFT(AK881,FIND("-",AK881)-1))=4,DATE(VALUE(LEFT(AK881,4)),VALUE(MID(AK881,6,2)),VALUE(RIGHT(AK881,2))),DATE(VALUE(RIGHT(AK881,4)),VALUE(MID(AK881,4,2)),VALUE(LEFT(AK881,2)))),DATE(VALUE(RIGHT(AK881,4)),MATCH(MID(AK881,4,3),{"Jan","Feb","Mar","Apr","May","Jun","Jul","Aug","Sep","Oct","Nov","Dec"},0),VALUE(LEFT(AK881,2))))))</f>
        <v>45897</v>
      </c>
      <c r="D881" s="4" t="s">
        <v>3194</v>
      </c>
      <c r="E881" s="0" t="str">
        <f aca="false">PROPER(TRIM(AL881))</f>
        <v>Ananya Rao</v>
      </c>
      <c r="F881" s="0" t="str">
        <f aca="false">PROPER(TRIM(AM881))</f>
        <v>Home Office</v>
      </c>
      <c r="G881" s="0" t="str">
        <f aca="false">IF(TRIM(AN881)="","Unknown",PROPER(TRIM(AN881)))</f>
        <v>North</v>
      </c>
      <c r="H881" s="0" t="str">
        <f aca="false">PROPER(TRIM(AO881))</f>
        <v>Uttar Pradesh</v>
      </c>
      <c r="I881" s="0" t="str">
        <f aca="false">PROPER(TRIM(AP881))</f>
        <v>Noida</v>
      </c>
      <c r="J881" s="0" t="str">
        <f aca="false">PROPER(TRIM(AQ881))</f>
        <v>Office Supplies</v>
      </c>
      <c r="K881" s="0" t="str">
        <f aca="false">PROPER(TRIM(AR881))</f>
        <v>Art</v>
      </c>
      <c r="M881" s="0" t="str">
        <f aca="false">IF(TRIM(AS881)="","Unknown",PROPER(TRIM(AS881)))</f>
        <v>Standard Class</v>
      </c>
      <c r="N881" s="0" t="n">
        <v>6</v>
      </c>
      <c r="O881" s="0" t="n">
        <v>1182.03</v>
      </c>
      <c r="P881" s="5" t="n">
        <f aca="false">IF(AT881="","",IF(ISNUMBER(AT881),AT881,VALUE(SUBSTITUTE(AT881,"%",""))/100))</f>
        <v>0.15</v>
      </c>
      <c r="Q881" s="5" t="n">
        <f aca="false">IF(P881="",IF(AND(N881&lt;&gt;"",O881&lt;&gt;"",R881&lt;&gt;"",S881&lt;&gt;""),0,"REVIEW"),IF(OR(P881&lt;0,P881&gt;0.3),0,P881))</f>
        <v>0.15</v>
      </c>
      <c r="R881" s="0" t="n">
        <v>6028.35</v>
      </c>
      <c r="S881" s="0" t="n">
        <v>4433.63</v>
      </c>
      <c r="T881" s="6" t="n">
        <f aca="false">N881*O881*(1-Q881)</f>
        <v>6028.353</v>
      </c>
      <c r="U881" s="6" t="n">
        <f aca="false">T881-S881</f>
        <v>1594.723</v>
      </c>
      <c r="V881" s="7" t="n">
        <f aca="false">IF(T881=0,0,U881/T881)</f>
        <v>0.264537096616605</v>
      </c>
      <c r="W881" s="4" t="n">
        <f aca="false">C881-B881</f>
        <v>1</v>
      </c>
      <c r="X881" s="0" t="str">
        <f aca="false">TEXT(B881,"mmmm")</f>
        <v>August</v>
      </c>
      <c r="Y881" s="4" t="n">
        <f aca="false">YEAR(B881)</f>
        <v>2025</v>
      </c>
      <c r="Z881" s="0" t="str">
        <f aca="false">PROPER(TRIM(AU881))</f>
        <v>Paid</v>
      </c>
      <c r="AA881" s="0" t="str">
        <f aca="false">PROPER(TRIM(AV881))</f>
        <v>Completed</v>
      </c>
      <c r="AB881" s="0" t="str">
        <f aca="false">IF(TRIM(AN881)="","Yes","No")</f>
        <v>No</v>
      </c>
      <c r="AC881" s="0" t="str">
        <f aca="false">IF(TRIM(AS881)="","Yes","No")</f>
        <v>No</v>
      </c>
      <c r="AD881" s="0" t="str">
        <f aca="false">IF(AT881="","Yes","No")</f>
        <v>No</v>
      </c>
      <c r="AE881" s="0" t="str">
        <f aca="false">IF(W881&lt;0,"Yes","No")</f>
        <v>No</v>
      </c>
      <c r="AF881" s="0" t="str">
        <f aca="false">IF(P881="","No",IF(OR(P881&lt;0,P881&gt;0.3),"Yes","No"))</f>
        <v>No</v>
      </c>
      <c r="AG881" s="4" t="s">
        <v>50</v>
      </c>
      <c r="AH881" s="0" t="str">
        <f aca="false">IF(AND(AA881="Completed",Z881="Paid"),"Yes","No")</f>
        <v>Yes</v>
      </c>
      <c r="AI881" s="0" t="str">
        <f aca="false">IF(OR(AE881="Yes",AF881="Yes",AG881="Yes"),"Invalid",IF(OR(AB881="Yes",AC881="Yes",AD881="Yes"),"Warning","Clean"))</f>
        <v>Clean</v>
      </c>
      <c r="AJ881" s="4" t="s">
        <v>3195</v>
      </c>
      <c r="AK881" s="4" t="s">
        <v>403</v>
      </c>
      <c r="AL881" s="4" t="s">
        <v>96</v>
      </c>
      <c r="AM881" s="4" t="s">
        <v>134</v>
      </c>
      <c r="AN881" s="4" t="s">
        <v>168</v>
      </c>
      <c r="AO881" s="4" t="s">
        <v>186</v>
      </c>
      <c r="AP881" s="4" t="s">
        <v>187</v>
      </c>
      <c r="AQ881" s="4" t="s">
        <v>58</v>
      </c>
      <c r="AR881" s="4" t="s">
        <v>80</v>
      </c>
      <c r="AS881" s="4" t="s">
        <v>91</v>
      </c>
      <c r="AT881" s="0" t="n">
        <v>0.15</v>
      </c>
      <c r="AU881" s="4" t="s">
        <v>61</v>
      </c>
      <c r="AV881" s="4" t="s">
        <v>62</v>
      </c>
    </row>
    <row r="882" customFormat="false" ht="15" hidden="false" customHeight="false" outlineLevel="0" collapsed="false">
      <c r="A882" s="0" t="s">
        <v>3196</v>
      </c>
      <c r="B882" s="3" t="n">
        <f aca="false">IF(AJ882="","",IF(ISNUMBER(SEARCH("/",AJ882)),DATE(VALUE(RIGHT(AJ882,4)),VALUE(LEFT(AJ882,2)),VALUE(MID(AJ882,4,2))),IF(ISNUMBER(SEARCH("-",AJ882)),IF(LEN(LEFT(AJ882,FIND("-",AJ882)-1))=4,DATE(VALUE(LEFT(AJ882,4)),VALUE(MID(AJ882,6,2)),VALUE(RIGHT(AJ882,2))),DATE(VALUE(RIGHT(AJ882,4)),VALUE(MID(AJ882,4,2)),VALUE(LEFT(AJ882,2)))),DATE(VALUE(RIGHT(AJ882,4)),MATCH(MID(AJ882,4,3),{"Jan","Feb","Mar","Apr","May","Jun","Jul","Aug","Sep","Oct","Nov","Dec"},0),VALUE(LEFT(AJ882,2))))))</f>
        <v>45359</v>
      </c>
      <c r="C882" s="3" t="n">
        <f aca="false">IF(AK882="","",IF(ISNUMBER(SEARCH("/",AK882)),DATE(VALUE(RIGHT(AK882,4)),VALUE(LEFT(AK882,2)),VALUE(MID(AK882,4,2))),IF(ISNUMBER(SEARCH("-",AK882)),IF(LEN(LEFT(AK882,FIND("-",AK882)-1))=4,DATE(VALUE(LEFT(AK882,4)),VALUE(MID(AK882,6,2)),VALUE(RIGHT(AK882,2))),DATE(VALUE(RIGHT(AK882,4)),VALUE(MID(AK882,4,2)),VALUE(LEFT(AK882,2)))),DATE(VALUE(RIGHT(AK882,4)),MATCH(MID(AK882,4,3),{"Jan","Feb","Mar","Apr","May","Jun","Jul","Aug","Sep","Oct","Nov","Dec"},0),VALUE(LEFT(AK882,2))))))</f>
        <v>45366</v>
      </c>
      <c r="D882" s="4" t="s">
        <v>3197</v>
      </c>
      <c r="E882" s="0" t="str">
        <f aca="false">PROPER(TRIM(AL882))</f>
        <v>Aarav Sharma</v>
      </c>
      <c r="F882" s="0" t="str">
        <f aca="false">PROPER(TRIM(AM882))</f>
        <v>Small Business</v>
      </c>
      <c r="G882" s="0" t="str">
        <f aca="false">IF(TRIM(AN882)="","Unknown",PROPER(TRIM(AN882)))</f>
        <v>Unknown</v>
      </c>
      <c r="H882" s="0" t="str">
        <f aca="false">PROPER(TRIM(AO882))</f>
        <v>Punjab</v>
      </c>
      <c r="I882" s="0" t="str">
        <f aca="false">PROPER(TRIM(AP882))</f>
        <v>Ludhiana</v>
      </c>
      <c r="J882" s="0" t="str">
        <f aca="false">PROPER(TRIM(AQ882))</f>
        <v>Furniture</v>
      </c>
      <c r="K882" s="0" t="str">
        <f aca="false">PROPER(TRIM(AR882))</f>
        <v>Chairs</v>
      </c>
      <c r="M882" s="0" t="str">
        <f aca="false">IF(TRIM(AS882)="","Unknown",PROPER(TRIM(AS882)))</f>
        <v>First Class</v>
      </c>
      <c r="N882" s="0" t="n">
        <v>5</v>
      </c>
      <c r="O882" s="0" t="n">
        <v>3234.77</v>
      </c>
      <c r="P882" s="5" t="n">
        <f aca="false">IF(AT882="","",IF(ISNUMBER(AT882),AT882,VALUE(SUBSTITUTE(AT882,"%",""))/100))</f>
        <v>0</v>
      </c>
      <c r="Q882" s="5" t="n">
        <f aca="false">IF(P882="",IF(AND(N882&lt;&gt;"",O882&lt;&gt;"",R882&lt;&gt;"",S882&lt;&gt;""),0,"REVIEW"),IF(OR(P882&lt;0,P882&gt;0.3),0,P882))</f>
        <v>0</v>
      </c>
      <c r="R882" s="0" t="n">
        <v>16173.85</v>
      </c>
      <c r="S882" s="0" t="n">
        <v>13636.34</v>
      </c>
      <c r="T882" s="6" t="n">
        <f aca="false">N882*O882*(1-Q882)</f>
        <v>16173.85</v>
      </c>
      <c r="U882" s="6" t="n">
        <f aca="false">T882-S882</f>
        <v>2537.51</v>
      </c>
      <c r="V882" s="7" t="n">
        <f aca="false">IF(T882=0,0,U882/T882)</f>
        <v>0.156889670672103</v>
      </c>
      <c r="W882" s="4" t="n">
        <f aca="false">C882-B882</f>
        <v>7</v>
      </c>
      <c r="X882" s="0" t="str">
        <f aca="false">TEXT(B882,"mmmm")</f>
        <v>March</v>
      </c>
      <c r="Y882" s="4" t="n">
        <f aca="false">YEAR(B882)</f>
        <v>2024</v>
      </c>
      <c r="Z882" s="0" t="str">
        <f aca="false">PROPER(TRIM(AU882))</f>
        <v>Paid</v>
      </c>
      <c r="AA882" s="0" t="str">
        <f aca="false">PROPER(TRIM(AV882))</f>
        <v>Completed</v>
      </c>
      <c r="AB882" s="0" t="str">
        <f aca="false">IF(TRIM(AN882)="","Yes","No")</f>
        <v>Yes</v>
      </c>
      <c r="AC882" s="0" t="str">
        <f aca="false">IF(TRIM(AS882)="","Yes","No")</f>
        <v>No</v>
      </c>
      <c r="AD882" s="0" t="str">
        <f aca="false">IF(AT882="","Yes","No")</f>
        <v>No</v>
      </c>
      <c r="AE882" s="0" t="str">
        <f aca="false">IF(W882&lt;0,"Yes","No")</f>
        <v>No</v>
      </c>
      <c r="AF882" s="0" t="str">
        <f aca="false">IF(P882="","No",IF(OR(P882&lt;0,P882&gt;0.3),"Yes","No"))</f>
        <v>No</v>
      </c>
      <c r="AG882" s="4" t="s">
        <v>50</v>
      </c>
      <c r="AH882" s="0" t="str">
        <f aca="false">IF(AND(AA882="Completed",Z882="Paid"),"Yes","No")</f>
        <v>Yes</v>
      </c>
      <c r="AI882" s="0" t="str">
        <f aca="false">IF(OR(AE882="Yes",AF882="Yes",AG882="Yes"),"Invalid",IF(OR(AB882="Yes",AC882="Yes",AD882="Yes"),"Warning","Clean"))</f>
        <v>Warning</v>
      </c>
      <c r="AJ882" s="4" t="s">
        <v>3198</v>
      </c>
      <c r="AK882" s="4" t="s">
        <v>957</v>
      </c>
      <c r="AL882" s="4" t="s">
        <v>176</v>
      </c>
      <c r="AM882" s="4" t="s">
        <v>68</v>
      </c>
      <c r="AO882" s="4" t="s">
        <v>169</v>
      </c>
      <c r="AP882" s="4" t="s">
        <v>170</v>
      </c>
      <c r="AQ882" s="4" t="s">
        <v>72</v>
      </c>
      <c r="AR882" s="4" t="s">
        <v>100</v>
      </c>
      <c r="AS882" s="4" t="s">
        <v>81</v>
      </c>
      <c r="AT882" s="0" t="n">
        <v>0</v>
      </c>
      <c r="AU882" s="4" t="s">
        <v>61</v>
      </c>
      <c r="AV882" s="4" t="s">
        <v>62</v>
      </c>
    </row>
    <row r="883" customFormat="false" ht="15" hidden="false" customHeight="false" outlineLevel="0" collapsed="false">
      <c r="A883" s="0" t="s">
        <v>3199</v>
      </c>
      <c r="B883" s="3" t="n">
        <f aca="false">IF(AJ883="","",IF(ISNUMBER(SEARCH("/",AJ883)),DATE(VALUE(RIGHT(AJ883,4)),VALUE(LEFT(AJ883,2)),VALUE(MID(AJ883,4,2))),IF(ISNUMBER(SEARCH("-",AJ883)),IF(LEN(LEFT(AJ883,FIND("-",AJ883)-1))=4,DATE(VALUE(LEFT(AJ883,4)),VALUE(MID(AJ883,6,2)),VALUE(RIGHT(AJ883,2))),DATE(VALUE(RIGHT(AJ883,4)),VALUE(MID(AJ883,4,2)),VALUE(LEFT(AJ883,2)))),DATE(VALUE(RIGHT(AJ883,4)),MATCH(MID(AJ883,4,3),{"Jan","Feb","Mar","Apr","May","Jun","Jul","Aug","Sep","Oct","Nov","Dec"},0),VALUE(LEFT(AJ883,2))))))</f>
        <v>45627</v>
      </c>
      <c r="C883" s="3" t="n">
        <f aca="false">IF(AK883="","",IF(ISNUMBER(SEARCH("/",AK883)),DATE(VALUE(RIGHT(AK883,4)),VALUE(LEFT(AK883,2)),VALUE(MID(AK883,4,2))),IF(ISNUMBER(SEARCH("-",AK883)),IF(LEN(LEFT(AK883,FIND("-",AK883)-1))=4,DATE(VALUE(LEFT(AK883,4)),VALUE(MID(AK883,6,2)),VALUE(RIGHT(AK883,2))),DATE(VALUE(RIGHT(AK883,4)),VALUE(MID(AK883,4,2)),VALUE(LEFT(AK883,2)))),DATE(VALUE(RIGHT(AK883,4)),MATCH(MID(AK883,4,3),{"Jan","Feb","Mar","Apr","May","Jun","Jul","Aug","Sep","Oct","Nov","Dec"},0),VALUE(LEFT(AK883,2))))))</f>
        <v>45631</v>
      </c>
      <c r="D883" s="4" t="s">
        <v>3200</v>
      </c>
      <c r="E883" s="0" t="str">
        <f aca="false">PROPER(TRIM(AL883))</f>
        <v>Ananya Rao</v>
      </c>
      <c r="F883" s="0" t="str">
        <f aca="false">PROPER(TRIM(AM883))</f>
        <v>Small Business</v>
      </c>
      <c r="G883" s="0" t="str">
        <f aca="false">IF(TRIM(AN883)="","Unknown",PROPER(TRIM(AN883)))</f>
        <v>South</v>
      </c>
      <c r="H883" s="0" t="str">
        <f aca="false">PROPER(TRIM(AO883))</f>
        <v>Andhra Pradesh</v>
      </c>
      <c r="I883" s="0" t="str">
        <f aca="false">PROPER(TRIM(AP883))</f>
        <v>Vijayawada</v>
      </c>
      <c r="J883" s="0" t="str">
        <f aca="false">PROPER(TRIM(AQ883))</f>
        <v>Technology</v>
      </c>
      <c r="K883" s="0" t="str">
        <f aca="false">PROPER(TRIM(AR883))</f>
        <v>Copiers</v>
      </c>
      <c r="M883" s="0" t="str">
        <f aca="false">IF(TRIM(AS883)="","Unknown",PROPER(TRIM(AS883)))</f>
        <v>Second Class</v>
      </c>
      <c r="N883" s="0" t="n">
        <v>9</v>
      </c>
      <c r="O883" s="0" t="n">
        <v>3726.75</v>
      </c>
      <c r="P883" s="5" t="n">
        <f aca="false">IF(AT883="","",IF(ISNUMBER(AT883),AT883,VALUE(SUBSTITUTE(AT883,"%",""))/100))</f>
        <v>0.25</v>
      </c>
      <c r="Q883" s="5" t="n">
        <f aca="false">IF(P883="",IF(AND(N883&lt;&gt;"",O883&lt;&gt;"",R883&lt;&gt;"",S883&lt;&gt;""),0,"REVIEW"),IF(OR(P883&lt;0,P883&gt;0.3),0,P883))</f>
        <v>0.25</v>
      </c>
      <c r="R883" s="0" t="n">
        <v>25155.56</v>
      </c>
      <c r="S883" s="0" t="n">
        <v>17592.69</v>
      </c>
      <c r="T883" s="6" t="n">
        <f aca="false">N883*O883*(1-Q883)</f>
        <v>25155.5625</v>
      </c>
      <c r="U883" s="6" t="n">
        <f aca="false">T883-S883</f>
        <v>7562.8725</v>
      </c>
      <c r="V883" s="7" t="n">
        <f aca="false">IF(T883=0,0,U883/T883)</f>
        <v>0.300644141827479</v>
      </c>
      <c r="W883" s="4" t="n">
        <f aca="false">C883-B883</f>
        <v>4</v>
      </c>
      <c r="X883" s="0" t="str">
        <f aca="false">TEXT(B883,"mmmm")</f>
        <v>December</v>
      </c>
      <c r="Y883" s="4" t="n">
        <f aca="false">YEAR(B883)</f>
        <v>2024</v>
      </c>
      <c r="Z883" s="0" t="str">
        <f aca="false">PROPER(TRIM(AU883))</f>
        <v>Paid</v>
      </c>
      <c r="AA883" s="0" t="str">
        <f aca="false">PROPER(TRIM(AV883))</f>
        <v>Completed</v>
      </c>
      <c r="AB883" s="0" t="str">
        <f aca="false">IF(TRIM(AN883)="","Yes","No")</f>
        <v>No</v>
      </c>
      <c r="AC883" s="0" t="str">
        <f aca="false">IF(TRIM(AS883)="","Yes","No")</f>
        <v>No</v>
      </c>
      <c r="AD883" s="0" t="str">
        <f aca="false">IF(AT883="","Yes","No")</f>
        <v>No</v>
      </c>
      <c r="AE883" s="0" t="str">
        <f aca="false">IF(W883&lt;0,"Yes","No")</f>
        <v>No</v>
      </c>
      <c r="AF883" s="0" t="str">
        <f aca="false">IF(P883="","No",IF(OR(P883&lt;0,P883&gt;0.3),"Yes","No"))</f>
        <v>No</v>
      </c>
      <c r="AG883" s="4" t="s">
        <v>50</v>
      </c>
      <c r="AH883" s="0" t="str">
        <f aca="false">IF(AND(AA883="Completed",Z883="Paid"),"Yes","No")</f>
        <v>Yes</v>
      </c>
      <c r="AI883" s="0" t="str">
        <f aca="false">IF(OR(AE883="Yes",AF883="Yes",AG883="Yes"),"Invalid",IF(OR(AB883="Yes",AC883="Yes",AD883="Yes"),"Warning","Clean"))</f>
        <v>Clean</v>
      </c>
      <c r="AJ883" s="4" t="s">
        <v>2069</v>
      </c>
      <c r="AK883" s="4" t="s">
        <v>3201</v>
      </c>
      <c r="AL883" s="4" t="s">
        <v>96</v>
      </c>
      <c r="AM883" s="4" t="s">
        <v>68</v>
      </c>
      <c r="AN883" s="4" t="s">
        <v>87</v>
      </c>
      <c r="AO883" s="4" t="s">
        <v>121</v>
      </c>
      <c r="AP883" s="4" t="s">
        <v>122</v>
      </c>
      <c r="AQ883" s="4" t="s">
        <v>109</v>
      </c>
      <c r="AR883" s="4" t="s">
        <v>116</v>
      </c>
      <c r="AS883" s="4" t="s">
        <v>60</v>
      </c>
      <c r="AT883" s="0" t="n">
        <v>0.25</v>
      </c>
      <c r="AU883" s="4" t="s">
        <v>61</v>
      </c>
      <c r="AV883" s="4" t="s">
        <v>62</v>
      </c>
    </row>
    <row r="884" customFormat="false" ht="15" hidden="false" customHeight="false" outlineLevel="0" collapsed="false">
      <c r="A884" s="0" t="s">
        <v>3202</v>
      </c>
      <c r="B884" s="3" t="n">
        <f aca="false">IF(AJ884="","",IF(ISNUMBER(SEARCH("/",AJ884)),DATE(VALUE(RIGHT(AJ884,4)),VALUE(LEFT(AJ884,2)),VALUE(MID(AJ884,4,2))),IF(ISNUMBER(SEARCH("-",AJ884)),IF(LEN(LEFT(AJ884,FIND("-",AJ884)-1))=4,DATE(VALUE(LEFT(AJ884,4)),VALUE(MID(AJ884,6,2)),VALUE(RIGHT(AJ884,2))),DATE(VALUE(RIGHT(AJ884,4)),VALUE(MID(AJ884,4,2)),VALUE(LEFT(AJ884,2)))),DATE(VALUE(RIGHT(AJ884,4)),MATCH(MID(AJ884,4,3),{"Jan","Feb","Mar","Apr","May","Jun","Jul","Aug","Sep","Oct","Nov","Dec"},0),VALUE(LEFT(AJ884,2))))))</f>
        <v>45690</v>
      </c>
      <c r="C884" s="3" t="n">
        <f aca="false">IF(AK884="","",IF(ISNUMBER(SEARCH("/",AK884)),DATE(VALUE(RIGHT(AK884,4)),VALUE(LEFT(AK884,2)),VALUE(MID(AK884,4,2))),IF(ISNUMBER(SEARCH("-",AK884)),IF(LEN(LEFT(AK884,FIND("-",AK884)-1))=4,DATE(VALUE(LEFT(AK884,4)),VALUE(MID(AK884,6,2)),VALUE(RIGHT(AK884,2))),DATE(VALUE(RIGHT(AK884,4)),VALUE(MID(AK884,4,2)),VALUE(LEFT(AK884,2)))),DATE(VALUE(RIGHT(AK884,4)),MATCH(MID(AK884,4,3),{"Jan","Feb","Mar","Apr","May","Jun","Jul","Aug","Sep","Oct","Nov","Dec"},0),VALUE(LEFT(AK884,2))))))</f>
        <v>45698</v>
      </c>
      <c r="D884" s="4" t="s">
        <v>3203</v>
      </c>
      <c r="E884" s="0" t="str">
        <f aca="false">PROPER(TRIM(AL884))</f>
        <v>Sneha Kapoor</v>
      </c>
      <c r="F884" s="0" t="str">
        <f aca="false">PROPER(TRIM(AM884))</f>
        <v>Corporate</v>
      </c>
      <c r="G884" s="0" t="str">
        <f aca="false">IF(TRIM(AN884)="","Unknown",PROPER(TRIM(AN884)))</f>
        <v>East</v>
      </c>
      <c r="H884" s="0" t="str">
        <f aca="false">PROPER(TRIM(AO884))</f>
        <v>Bihar</v>
      </c>
      <c r="I884" s="0" t="str">
        <f aca="false">PROPER(TRIM(AP884))</f>
        <v>Patna</v>
      </c>
      <c r="J884" s="0" t="str">
        <f aca="false">PROPER(TRIM(AQ884))</f>
        <v>Technology</v>
      </c>
      <c r="K884" s="0" t="str">
        <f aca="false">PROPER(TRIM(AR884))</f>
        <v>Accessories</v>
      </c>
      <c r="M884" s="0" t="str">
        <f aca="false">IF(TRIM(AS884)="","Unknown",PROPER(TRIM(AS884)))</f>
        <v>Standard Class</v>
      </c>
      <c r="N884" s="0" t="n">
        <v>4</v>
      </c>
      <c r="O884" s="0" t="n">
        <v>1912.45</v>
      </c>
      <c r="P884" s="5" t="n">
        <f aca="false">IF(AT884="","",IF(ISNUMBER(AT884),AT884,VALUE(SUBSTITUTE(AT884,"%",""))/100))</f>
        <v>0</v>
      </c>
      <c r="Q884" s="5" t="n">
        <f aca="false">IF(P884="",IF(AND(N884&lt;&gt;"",O884&lt;&gt;"",R884&lt;&gt;"",S884&lt;&gt;""),0,"REVIEW"),IF(OR(P884&lt;0,P884&gt;0.3),0,P884))</f>
        <v>0</v>
      </c>
      <c r="R884" s="0" t="n">
        <v>7649.8</v>
      </c>
      <c r="S884" s="0" t="n">
        <v>4894.53</v>
      </c>
      <c r="T884" s="6" t="n">
        <f aca="false">N884*O884*(1-Q884)</f>
        <v>7649.8</v>
      </c>
      <c r="U884" s="6" t="n">
        <f aca="false">T884-S884</f>
        <v>2755.27</v>
      </c>
      <c r="V884" s="7" t="n">
        <f aca="false">IF(T884=0,0,U884/T884)</f>
        <v>0.360175429422992</v>
      </c>
      <c r="W884" s="4" t="n">
        <f aca="false">C884-B884</f>
        <v>8</v>
      </c>
      <c r="X884" s="0" t="str">
        <f aca="false">TEXT(B884,"mmmm")</f>
        <v>February</v>
      </c>
      <c r="Y884" s="4" t="n">
        <f aca="false">YEAR(B884)</f>
        <v>2025</v>
      </c>
      <c r="Z884" s="0" t="str">
        <f aca="false">PROPER(TRIM(AU884))</f>
        <v>Pending</v>
      </c>
      <c r="AA884" s="0" t="str">
        <f aca="false">PROPER(TRIM(AV884))</f>
        <v>Returned</v>
      </c>
      <c r="AB884" s="0" t="str">
        <f aca="false">IF(TRIM(AN884)="","Yes","No")</f>
        <v>No</v>
      </c>
      <c r="AC884" s="0" t="str">
        <f aca="false">IF(TRIM(AS884)="","Yes","No")</f>
        <v>No</v>
      </c>
      <c r="AD884" s="0" t="str">
        <f aca="false">IF(AT884="","Yes","No")</f>
        <v>No</v>
      </c>
      <c r="AE884" s="0" t="str">
        <f aca="false">IF(W884&lt;0,"Yes","No")</f>
        <v>No</v>
      </c>
      <c r="AF884" s="0" t="str">
        <f aca="false">IF(P884="","No",IF(OR(P884&lt;0,P884&gt;0.3),"Yes","No"))</f>
        <v>No</v>
      </c>
      <c r="AG884" s="4" t="s">
        <v>50</v>
      </c>
      <c r="AH884" s="0" t="str">
        <f aca="false">IF(AND(AA884="Completed",Z884="Paid"),"Yes","No")</f>
        <v>No</v>
      </c>
      <c r="AI884" s="0" t="str">
        <f aca="false">IF(OR(AE884="Yes",AF884="Yes",AG884="Yes"),"Invalid",IF(OR(AB884="Yes",AC884="Yes",AD884="Yes"),"Warning","Clean"))</f>
        <v>Clean</v>
      </c>
      <c r="AJ884" s="4" t="s">
        <v>3204</v>
      </c>
      <c r="AK884" s="4" t="s">
        <v>1126</v>
      </c>
      <c r="AL884" s="4" t="s">
        <v>181</v>
      </c>
      <c r="AM884" s="4" t="s">
        <v>128</v>
      </c>
      <c r="AN884" s="4" t="s">
        <v>69</v>
      </c>
      <c r="AO884" s="4" t="s">
        <v>196</v>
      </c>
      <c r="AP884" s="4" t="s">
        <v>197</v>
      </c>
      <c r="AQ884" s="4" t="s">
        <v>109</v>
      </c>
      <c r="AR884" s="4" t="s">
        <v>110</v>
      </c>
      <c r="AS884" s="4" t="s">
        <v>91</v>
      </c>
      <c r="AT884" s="0" t="n">
        <v>0</v>
      </c>
      <c r="AU884" s="4" t="s">
        <v>153</v>
      </c>
      <c r="AV884" s="4" t="s">
        <v>142</v>
      </c>
    </row>
    <row r="885" customFormat="false" ht="15" hidden="false" customHeight="false" outlineLevel="0" collapsed="false">
      <c r="A885" s="0" t="s">
        <v>3205</v>
      </c>
      <c r="B885" s="3" t="n">
        <f aca="false">IF(AJ885="","",IF(ISNUMBER(SEARCH("/",AJ885)),DATE(VALUE(RIGHT(AJ885,4)),VALUE(LEFT(AJ885,2)),VALUE(MID(AJ885,4,2))),IF(ISNUMBER(SEARCH("-",AJ885)),IF(LEN(LEFT(AJ885,FIND("-",AJ885)-1))=4,DATE(VALUE(LEFT(AJ885,4)),VALUE(MID(AJ885,6,2)),VALUE(RIGHT(AJ885,2))),DATE(VALUE(RIGHT(AJ885,4)),VALUE(MID(AJ885,4,2)),VALUE(LEFT(AJ885,2)))),DATE(VALUE(RIGHT(AJ885,4)),MATCH(MID(AJ885,4,3),{"Jan","Feb","Mar","Apr","May","Jun","Jul","Aug","Sep","Oct","Nov","Dec"},0),VALUE(LEFT(AJ885,2))))))</f>
        <v>45775</v>
      </c>
      <c r="C885" s="3" t="n">
        <f aca="false">IF(AK885="","",IF(ISNUMBER(SEARCH("/",AK885)),DATE(VALUE(RIGHT(AK885,4)),VALUE(LEFT(AK885,2)),VALUE(MID(AK885,4,2))),IF(ISNUMBER(SEARCH("-",AK885)),IF(LEN(LEFT(AK885,FIND("-",AK885)-1))=4,DATE(VALUE(LEFT(AK885,4)),VALUE(MID(AK885,6,2)),VALUE(RIGHT(AK885,2))),DATE(VALUE(RIGHT(AK885,4)),VALUE(MID(AK885,4,2)),VALUE(LEFT(AK885,2)))),DATE(VALUE(RIGHT(AK885,4)),MATCH(MID(AK885,4,3),{"Jan","Feb","Mar","Apr","May","Jun","Jul","Aug","Sep","Oct","Nov","Dec"},0),VALUE(LEFT(AK885,2))))))</f>
        <v>45778</v>
      </c>
      <c r="D885" s="4" t="s">
        <v>3206</v>
      </c>
      <c r="E885" s="0" t="str">
        <f aca="false">PROPER(TRIM(AL885))</f>
        <v>Aarav Sharma</v>
      </c>
      <c r="F885" s="0" t="str">
        <f aca="false">PROPER(TRIM(AM885))</f>
        <v>Small Business</v>
      </c>
      <c r="G885" s="0" t="str">
        <f aca="false">IF(TRIM(AN885)="","Unknown",PROPER(TRIM(AN885)))</f>
        <v>West</v>
      </c>
      <c r="H885" s="0" t="str">
        <f aca="false">PROPER(TRIM(AO885))</f>
        <v>Goa</v>
      </c>
      <c r="I885" s="0" t="str">
        <f aca="false">PROPER(TRIM(AP885))</f>
        <v>Panaji</v>
      </c>
      <c r="J885" s="0" t="str">
        <f aca="false">PROPER(TRIM(AQ885))</f>
        <v>Office Supplies</v>
      </c>
      <c r="K885" s="0" t="str">
        <f aca="false">PROPER(TRIM(AR885))</f>
        <v>Storage</v>
      </c>
      <c r="M885" s="0" t="str">
        <f aca="false">IF(TRIM(AS885)="","Unknown",PROPER(TRIM(AS885)))</f>
        <v>Same Day</v>
      </c>
      <c r="N885" s="0" t="n">
        <v>1</v>
      </c>
      <c r="O885" s="0" t="n">
        <v>1620.87</v>
      </c>
      <c r="P885" s="5" t="n">
        <f aca="false">IF(AT885="","",IF(ISNUMBER(AT885),AT885,VALUE(SUBSTITUTE(AT885,"%",""))/100))</f>
        <v>0</v>
      </c>
      <c r="Q885" s="5" t="n">
        <f aca="false">IF(P885="",IF(AND(N885&lt;&gt;"",O885&lt;&gt;"",R885&lt;&gt;"",S885&lt;&gt;""),0,"REVIEW"),IF(OR(P885&lt;0,P885&gt;0.3),0,P885))</f>
        <v>0</v>
      </c>
      <c r="R885" s="0" t="n">
        <v>1620.87</v>
      </c>
      <c r="S885" s="0" t="n">
        <v>1103.61</v>
      </c>
      <c r="T885" s="6" t="n">
        <f aca="false">N885*O885*(1-Q885)</f>
        <v>1620.87</v>
      </c>
      <c r="U885" s="6" t="n">
        <f aca="false">T885-S885</f>
        <v>517.26</v>
      </c>
      <c r="V885" s="7" t="n">
        <f aca="false">IF(T885=0,0,U885/T885)</f>
        <v>0.319124914397823</v>
      </c>
      <c r="W885" s="4" t="n">
        <f aca="false">C885-B885</f>
        <v>3</v>
      </c>
      <c r="X885" s="0" t="str">
        <f aca="false">TEXT(B885,"mmmm")</f>
        <v>April</v>
      </c>
      <c r="Y885" s="4" t="n">
        <f aca="false">YEAR(B885)</f>
        <v>2025</v>
      </c>
      <c r="Z885" s="0" t="str">
        <f aca="false">PROPER(TRIM(AU885))</f>
        <v>Paid</v>
      </c>
      <c r="AA885" s="0" t="str">
        <f aca="false">PROPER(TRIM(AV885))</f>
        <v>Completed</v>
      </c>
      <c r="AB885" s="0" t="str">
        <f aca="false">IF(TRIM(AN885)="","Yes","No")</f>
        <v>No</v>
      </c>
      <c r="AC885" s="0" t="str">
        <f aca="false">IF(TRIM(AS885)="","Yes","No")</f>
        <v>No</v>
      </c>
      <c r="AD885" s="0" t="str">
        <f aca="false">IF(AT885="","Yes","No")</f>
        <v>No</v>
      </c>
      <c r="AE885" s="0" t="str">
        <f aca="false">IF(W885&lt;0,"Yes","No")</f>
        <v>No</v>
      </c>
      <c r="AF885" s="0" t="str">
        <f aca="false">IF(P885="","No",IF(OR(P885&lt;0,P885&gt;0.3),"Yes","No"))</f>
        <v>No</v>
      </c>
      <c r="AG885" s="4" t="s">
        <v>50</v>
      </c>
      <c r="AH885" s="0" t="str">
        <f aca="false">IF(AND(AA885="Completed",Z885="Paid"),"Yes","No")</f>
        <v>Yes</v>
      </c>
      <c r="AI885" s="0" t="str">
        <f aca="false">IF(OR(AE885="Yes",AF885="Yes",AG885="Yes"),"Invalid",IF(OR(AB885="Yes",AC885="Yes",AD885="Yes"),"Warning","Clean"))</f>
        <v>Clean</v>
      </c>
      <c r="AJ885" s="4" t="s">
        <v>3207</v>
      </c>
      <c r="AK885" s="4" t="s">
        <v>3208</v>
      </c>
      <c r="AL885" s="4" t="s">
        <v>176</v>
      </c>
      <c r="AM885" s="4" t="s">
        <v>68</v>
      </c>
      <c r="AN885" s="4" t="s">
        <v>97</v>
      </c>
      <c r="AO885" s="4" t="s">
        <v>250</v>
      </c>
      <c r="AP885" s="4" t="s">
        <v>251</v>
      </c>
      <c r="AQ885" s="4" t="s">
        <v>58</v>
      </c>
      <c r="AR885" s="4" t="s">
        <v>171</v>
      </c>
      <c r="AS885" s="4" t="s">
        <v>74</v>
      </c>
      <c r="AT885" s="0" t="n">
        <v>0</v>
      </c>
      <c r="AU885" s="4" t="s">
        <v>61</v>
      </c>
      <c r="AV885" s="4" t="s">
        <v>62</v>
      </c>
    </row>
    <row r="886" customFormat="false" ht="15" hidden="false" customHeight="false" outlineLevel="0" collapsed="false">
      <c r="A886" s="0" t="s">
        <v>3209</v>
      </c>
      <c r="B886" s="3" t="n">
        <f aca="false">IF(AJ886="","",IF(ISNUMBER(SEARCH("/",AJ886)),DATE(VALUE(RIGHT(AJ886,4)),VALUE(LEFT(AJ886,2)),VALUE(MID(AJ886,4,2))),IF(ISNUMBER(SEARCH("-",AJ886)),IF(LEN(LEFT(AJ886,FIND("-",AJ886)-1))=4,DATE(VALUE(LEFT(AJ886,4)),VALUE(MID(AJ886,6,2)),VALUE(RIGHT(AJ886,2))),DATE(VALUE(RIGHT(AJ886,4)),VALUE(MID(AJ886,4,2)),VALUE(LEFT(AJ886,2)))),DATE(VALUE(RIGHT(AJ886,4)),MATCH(MID(AJ886,4,3),{"Jan","Feb","Mar","Apr","May","Jun","Jul","Aug","Sep","Oct","Nov","Dec"},0),VALUE(LEFT(AJ886,2))))))</f>
        <v>45675</v>
      </c>
      <c r="C886" s="3" t="n">
        <f aca="false">IF(AK886="","",IF(ISNUMBER(SEARCH("/",AK886)),DATE(VALUE(RIGHT(AK886,4)),VALUE(LEFT(AK886,2)),VALUE(MID(AK886,4,2))),IF(ISNUMBER(SEARCH("-",AK886)),IF(LEN(LEFT(AK886,FIND("-",AK886)-1))=4,DATE(VALUE(LEFT(AK886,4)),VALUE(MID(AK886,6,2)),VALUE(RIGHT(AK886,2))),DATE(VALUE(RIGHT(AK886,4)),VALUE(MID(AK886,4,2)),VALUE(LEFT(AK886,2)))),DATE(VALUE(RIGHT(AK886,4)),MATCH(MID(AK886,4,3),{"Jan","Feb","Mar","Apr","May","Jun","Jul","Aug","Sep","Oct","Nov","Dec"},0),VALUE(LEFT(AK886,2))))))</f>
        <v>45682</v>
      </c>
      <c r="D886" s="4" t="s">
        <v>3210</v>
      </c>
      <c r="E886" s="0" t="str">
        <f aca="false">PROPER(TRIM(AL886))</f>
        <v>Neha Gupta</v>
      </c>
      <c r="F886" s="0" t="str">
        <f aca="false">PROPER(TRIM(AM886))</f>
        <v>Home Office</v>
      </c>
      <c r="G886" s="0" t="str">
        <f aca="false">IF(TRIM(AN886)="","Unknown",PROPER(TRIM(AN886)))</f>
        <v>South</v>
      </c>
      <c r="H886" s="0" t="str">
        <f aca="false">PROPER(TRIM(AO886))</f>
        <v>Karnataka</v>
      </c>
      <c r="I886" s="0" t="str">
        <f aca="false">PROPER(TRIM(AP886))</f>
        <v>Bengaluru</v>
      </c>
      <c r="J886" s="0" t="str">
        <f aca="false">PROPER(TRIM(AQ886))</f>
        <v>Office Supplies</v>
      </c>
      <c r="K886" s="0" t="str">
        <f aca="false">PROPER(TRIM(AR886))</f>
        <v>Storage</v>
      </c>
      <c r="M886" s="0" t="str">
        <f aca="false">IF(TRIM(AS886)="","Unknown",PROPER(TRIM(AS886)))</f>
        <v>Same Day</v>
      </c>
      <c r="N886" s="0" t="n">
        <v>2</v>
      </c>
      <c r="O886" s="0" t="n">
        <v>2098.54</v>
      </c>
      <c r="P886" s="5" t="n">
        <f aca="false">IF(AT886="","",IF(ISNUMBER(AT886),AT886,VALUE(SUBSTITUTE(AT886,"%",""))/100))</f>
        <v>0.15</v>
      </c>
      <c r="Q886" s="5" t="n">
        <f aca="false">IF(P886="",IF(AND(N886&lt;&gt;"",O886&lt;&gt;"",R886&lt;&gt;"",S886&lt;&gt;""),0,"REVIEW"),IF(OR(P886&lt;0,P886&gt;0.3),0,P886))</f>
        <v>0.15</v>
      </c>
      <c r="R886" s="0" t="n">
        <v>3567.52</v>
      </c>
      <c r="S886" s="0" t="n">
        <v>2411.8</v>
      </c>
      <c r="T886" s="6" t="n">
        <f aca="false">N886*O886*(1-Q886)</f>
        <v>3567.518</v>
      </c>
      <c r="U886" s="6" t="n">
        <f aca="false">T886-S886</f>
        <v>1155.718</v>
      </c>
      <c r="V886" s="7" t="n">
        <f aca="false">IF(T886=0,0,U886/T886)</f>
        <v>0.323955758597434</v>
      </c>
      <c r="W886" s="4" t="n">
        <f aca="false">C886-B886</f>
        <v>7</v>
      </c>
      <c r="X886" s="0" t="str">
        <f aca="false">TEXT(B886,"mmmm")</f>
        <v>January</v>
      </c>
      <c r="Y886" s="4" t="n">
        <f aca="false">YEAR(B886)</f>
        <v>2025</v>
      </c>
      <c r="Z886" s="0" t="str">
        <f aca="false">PROPER(TRIM(AU886))</f>
        <v>Paid</v>
      </c>
      <c r="AA886" s="0" t="str">
        <f aca="false">PROPER(TRIM(AV886))</f>
        <v>Completed</v>
      </c>
      <c r="AB886" s="0" t="str">
        <f aca="false">IF(TRIM(AN886)="","Yes","No")</f>
        <v>No</v>
      </c>
      <c r="AC886" s="0" t="str">
        <f aca="false">IF(TRIM(AS886)="","Yes","No")</f>
        <v>No</v>
      </c>
      <c r="AD886" s="0" t="str">
        <f aca="false">IF(AT886="","Yes","No")</f>
        <v>No</v>
      </c>
      <c r="AE886" s="0" t="str">
        <f aca="false">IF(W886&lt;0,"Yes","No")</f>
        <v>No</v>
      </c>
      <c r="AF886" s="0" t="str">
        <f aca="false">IF(P886="","No",IF(OR(P886&lt;0,P886&gt;0.3),"Yes","No"))</f>
        <v>No</v>
      </c>
      <c r="AG886" s="4" t="s">
        <v>50</v>
      </c>
      <c r="AH886" s="0" t="str">
        <f aca="false">IF(AND(AA886="Completed",Z886="Paid"),"Yes","No")</f>
        <v>Yes</v>
      </c>
      <c r="AI886" s="0" t="str">
        <f aca="false">IF(OR(AE886="Yes",AF886="Yes",AG886="Yes"),"Invalid",IF(OR(AB886="Yes",AC886="Yes",AD886="Yes"),"Warning","Clean"))</f>
        <v>Clean</v>
      </c>
      <c r="AJ886" s="4" t="s">
        <v>3211</v>
      </c>
      <c r="AK886" s="4" t="s">
        <v>3212</v>
      </c>
      <c r="AL886" s="4" t="s">
        <v>115</v>
      </c>
      <c r="AM886" s="4" t="s">
        <v>134</v>
      </c>
      <c r="AN886" s="4" t="s">
        <v>87</v>
      </c>
      <c r="AO886" s="4" t="s">
        <v>233</v>
      </c>
      <c r="AP886" s="4" t="s">
        <v>234</v>
      </c>
      <c r="AQ886" s="4" t="s">
        <v>58</v>
      </c>
      <c r="AR886" s="4" t="s">
        <v>171</v>
      </c>
      <c r="AS886" s="4" t="s">
        <v>74</v>
      </c>
      <c r="AT886" s="0" t="n">
        <v>0.15</v>
      </c>
      <c r="AU886" s="4" t="s">
        <v>61</v>
      </c>
      <c r="AV886" s="4" t="s">
        <v>62</v>
      </c>
    </row>
    <row r="887" customFormat="false" ht="15" hidden="false" customHeight="false" outlineLevel="0" collapsed="false">
      <c r="A887" s="0" t="s">
        <v>3213</v>
      </c>
      <c r="B887" s="3" t="n">
        <f aca="false">IF(AJ887="","",IF(ISNUMBER(SEARCH("/",AJ887)),DATE(VALUE(RIGHT(AJ887,4)),VALUE(LEFT(AJ887,2)),VALUE(MID(AJ887,4,2))),IF(ISNUMBER(SEARCH("-",AJ887)),IF(LEN(LEFT(AJ887,FIND("-",AJ887)-1))=4,DATE(VALUE(LEFT(AJ887,4)),VALUE(MID(AJ887,6,2)),VALUE(RIGHT(AJ887,2))),DATE(VALUE(RIGHT(AJ887,4)),VALUE(MID(AJ887,4,2)),VALUE(LEFT(AJ887,2)))),DATE(VALUE(RIGHT(AJ887,4)),MATCH(MID(AJ887,4,3),{"Jan","Feb","Mar","Apr","May","Jun","Jul","Aug","Sep","Oct","Nov","Dec"},0),VALUE(LEFT(AJ887,2))))))</f>
        <v>45296</v>
      </c>
      <c r="C887" s="3" t="n">
        <f aca="false">IF(AK887="","",IF(ISNUMBER(SEARCH("/",AK887)),DATE(VALUE(RIGHT(AK887,4)),VALUE(LEFT(AK887,2)),VALUE(MID(AK887,4,2))),IF(ISNUMBER(SEARCH("-",AK887)),IF(LEN(LEFT(AK887,FIND("-",AK887)-1))=4,DATE(VALUE(LEFT(AK887,4)),VALUE(MID(AK887,6,2)),VALUE(RIGHT(AK887,2))),DATE(VALUE(RIGHT(AK887,4)),VALUE(MID(AK887,4,2)),VALUE(LEFT(AK887,2)))),DATE(VALUE(RIGHT(AK887,4)),MATCH(MID(AK887,4,3),{"Jan","Feb","Mar","Apr","May","Jun","Jul","Aug","Sep","Oct","Nov","Dec"},0),VALUE(LEFT(AK887,2))))))</f>
        <v>45296</v>
      </c>
      <c r="D887" s="4" t="s">
        <v>3214</v>
      </c>
      <c r="E887" s="0" t="str">
        <f aca="false">PROPER(TRIM(AL887))</f>
        <v>Diya Patel</v>
      </c>
      <c r="F887" s="0" t="str">
        <f aca="false">PROPER(TRIM(AM887))</f>
        <v>Consumer</v>
      </c>
      <c r="G887" s="0" t="str">
        <f aca="false">IF(TRIM(AN887)="","Unknown",PROPER(TRIM(AN887)))</f>
        <v>North</v>
      </c>
      <c r="H887" s="0" t="str">
        <f aca="false">PROPER(TRIM(AO887))</f>
        <v>Rajasthan</v>
      </c>
      <c r="I887" s="0" t="str">
        <f aca="false">PROPER(TRIM(AP887))</f>
        <v>Jaipur</v>
      </c>
      <c r="J887" s="0" t="str">
        <f aca="false">PROPER(TRIM(AQ887))</f>
        <v>Furniture</v>
      </c>
      <c r="K887" s="0" t="str">
        <f aca="false">PROPER(TRIM(AR887))</f>
        <v>Tables</v>
      </c>
      <c r="M887" s="0" t="str">
        <f aca="false">IF(TRIM(AS887)="","Unknown",PROPER(TRIM(AS887)))</f>
        <v>Standard Class</v>
      </c>
      <c r="N887" s="0" t="n">
        <v>1</v>
      </c>
      <c r="O887" s="0" t="n">
        <v>2167.08</v>
      </c>
      <c r="P887" s="5" t="n">
        <f aca="false">IF(AT887="","",IF(ISNUMBER(AT887),AT887,VALUE(SUBSTITUTE(AT887,"%",""))/100))</f>
        <v>0.25</v>
      </c>
      <c r="Q887" s="5" t="n">
        <f aca="false">IF(P887="",IF(AND(N887&lt;&gt;"",O887&lt;&gt;"",R887&lt;&gt;"",S887&lt;&gt;""),0,"REVIEW"),IF(OR(P887&lt;0,P887&gt;0.3),0,P887))</f>
        <v>0.25</v>
      </c>
      <c r="R887" s="0" t="n">
        <v>1625.31</v>
      </c>
      <c r="S887" s="0" t="n">
        <v>1157.89</v>
      </c>
      <c r="T887" s="6" t="n">
        <f aca="false">N887*O887*(1-Q887)</f>
        <v>1625.31</v>
      </c>
      <c r="U887" s="6" t="n">
        <f aca="false">T887-S887</f>
        <v>467.42</v>
      </c>
      <c r="V887" s="7" t="n">
        <f aca="false">IF(T887=0,0,U887/T887)</f>
        <v>0.287588213940725</v>
      </c>
      <c r="W887" s="4" t="n">
        <f aca="false">C887-B887</f>
        <v>0</v>
      </c>
      <c r="X887" s="0" t="str">
        <f aca="false">TEXT(B887,"mmmm")</f>
        <v>January</v>
      </c>
      <c r="Y887" s="4" t="n">
        <f aca="false">YEAR(B887)</f>
        <v>2024</v>
      </c>
      <c r="Z887" s="0" t="str">
        <f aca="false">PROPER(TRIM(AU887))</f>
        <v>Paid</v>
      </c>
      <c r="AA887" s="0" t="str">
        <f aca="false">PROPER(TRIM(AV887))</f>
        <v>Completed</v>
      </c>
      <c r="AB887" s="0" t="str">
        <f aca="false">IF(TRIM(AN887)="","Yes","No")</f>
        <v>No</v>
      </c>
      <c r="AC887" s="0" t="str">
        <f aca="false">IF(TRIM(AS887)="","Yes","No")</f>
        <v>No</v>
      </c>
      <c r="AD887" s="0" t="str">
        <f aca="false">IF(AT887="","Yes","No")</f>
        <v>No</v>
      </c>
      <c r="AE887" s="0" t="str">
        <f aca="false">IF(W887&lt;0,"Yes","No")</f>
        <v>No</v>
      </c>
      <c r="AF887" s="0" t="str">
        <f aca="false">IF(P887="","No",IF(OR(P887&lt;0,P887&gt;0.3),"Yes","No"))</f>
        <v>No</v>
      </c>
      <c r="AG887" s="4" t="s">
        <v>50</v>
      </c>
      <c r="AH887" s="0" t="str">
        <f aca="false">IF(AND(AA887="Completed",Z887="Paid"),"Yes","No")</f>
        <v>Yes</v>
      </c>
      <c r="AI887" s="0" t="str">
        <f aca="false">IF(OR(AE887="Yes",AF887="Yes",AG887="Yes"),"Invalid",IF(OR(AB887="Yes",AC887="Yes",AD887="Yes"),"Warning","Clean"))</f>
        <v>Clean</v>
      </c>
      <c r="AJ887" s="4" t="s">
        <v>3215</v>
      </c>
      <c r="AK887" s="4" t="s">
        <v>3215</v>
      </c>
      <c r="AL887" s="4" t="s">
        <v>216</v>
      </c>
      <c r="AM887" s="4" t="s">
        <v>54</v>
      </c>
      <c r="AN887" s="4" t="s">
        <v>168</v>
      </c>
      <c r="AO887" s="4" t="s">
        <v>56</v>
      </c>
      <c r="AP887" s="4" t="s">
        <v>57</v>
      </c>
      <c r="AQ887" s="4" t="s">
        <v>72</v>
      </c>
      <c r="AR887" s="4" t="s">
        <v>73</v>
      </c>
      <c r="AS887" s="4" t="s">
        <v>91</v>
      </c>
      <c r="AT887" s="0" t="n">
        <v>0.25</v>
      </c>
      <c r="AU887" s="4" t="s">
        <v>61</v>
      </c>
      <c r="AV887" s="4" t="s">
        <v>62</v>
      </c>
    </row>
    <row r="888" customFormat="false" ht="15" hidden="false" customHeight="false" outlineLevel="0" collapsed="false">
      <c r="A888" s="0" t="s">
        <v>3216</v>
      </c>
      <c r="B888" s="3" t="n">
        <f aca="false">IF(AJ888="","",IF(ISNUMBER(SEARCH("/",AJ888)),DATE(VALUE(RIGHT(AJ888,4)),VALUE(LEFT(AJ888,2)),VALUE(MID(AJ888,4,2))),IF(ISNUMBER(SEARCH("-",AJ888)),IF(LEN(LEFT(AJ888,FIND("-",AJ888)-1))=4,DATE(VALUE(LEFT(AJ888,4)),VALUE(MID(AJ888,6,2)),VALUE(RIGHT(AJ888,2))),DATE(VALUE(RIGHT(AJ888,4)),VALUE(MID(AJ888,4,2)),VALUE(LEFT(AJ888,2)))),DATE(VALUE(RIGHT(AJ888,4)),MATCH(MID(AJ888,4,3),{"Jan","Feb","Mar","Apr","May","Jun","Jul","Aug","Sep","Oct","Nov","Dec"},0),VALUE(LEFT(AJ888,2))))))</f>
        <v>45773</v>
      </c>
      <c r="C888" s="3" t="n">
        <f aca="false">IF(AK888="","",IF(ISNUMBER(SEARCH("/",AK888)),DATE(VALUE(RIGHT(AK888,4)),VALUE(LEFT(AK888,2)),VALUE(MID(AK888,4,2))),IF(ISNUMBER(SEARCH("-",AK888)),IF(LEN(LEFT(AK888,FIND("-",AK888)-1))=4,DATE(VALUE(LEFT(AK888,4)),VALUE(MID(AK888,6,2)),VALUE(RIGHT(AK888,2))),DATE(VALUE(RIGHT(AK888,4)),VALUE(MID(AK888,4,2)),VALUE(LEFT(AK888,2)))),DATE(VALUE(RIGHT(AK888,4)),MATCH(MID(AK888,4,3),{"Jan","Feb","Mar","Apr","May","Jun","Jul","Aug","Sep","Oct","Nov","Dec"},0),VALUE(LEFT(AK888,2))))))</f>
        <v>45780</v>
      </c>
      <c r="D888" s="4" t="s">
        <v>3217</v>
      </c>
      <c r="E888" s="0" t="str">
        <f aca="false">PROPER(TRIM(AL888))</f>
        <v>Arjun Bose</v>
      </c>
      <c r="F888" s="0" t="str">
        <f aca="false">PROPER(TRIM(AM888))</f>
        <v>Home Office</v>
      </c>
      <c r="G888" s="0" t="str">
        <f aca="false">IF(TRIM(AN888)="","Unknown",PROPER(TRIM(AN888)))</f>
        <v>South</v>
      </c>
      <c r="H888" s="0" t="str">
        <f aca="false">PROPER(TRIM(AO888))</f>
        <v>Tamil Nadu</v>
      </c>
      <c r="I888" s="0" t="str">
        <f aca="false">PROPER(TRIM(AP888))</f>
        <v>Chennai</v>
      </c>
      <c r="J888" s="0" t="str">
        <f aca="false">PROPER(TRIM(AQ888))</f>
        <v>Technology</v>
      </c>
      <c r="K888" s="0" t="str">
        <f aca="false">PROPER(TRIM(AR888))</f>
        <v>Accessories</v>
      </c>
      <c r="M888" s="0" t="str">
        <f aca="false">IF(TRIM(AS888)="","Unknown",PROPER(TRIM(AS888)))</f>
        <v>First Class</v>
      </c>
      <c r="N888" s="0" t="n">
        <v>7</v>
      </c>
      <c r="O888" s="0" t="n">
        <v>3989.9</v>
      </c>
      <c r="P888" s="5" t="n">
        <f aca="false">IF(AT888="","",IF(ISNUMBER(AT888),AT888,VALUE(SUBSTITUTE(AT888,"%",""))/100))</f>
        <v>0.15</v>
      </c>
      <c r="Q888" s="5" t="n">
        <f aca="false">IF(P888="",IF(AND(N888&lt;&gt;"",O888&lt;&gt;"",R888&lt;&gt;"",S888&lt;&gt;""),0,"REVIEW"),IF(OR(P888&lt;0,P888&gt;0.3),0,P888))</f>
        <v>0.15</v>
      </c>
      <c r="R888" s="0" t="n">
        <v>23739.9</v>
      </c>
      <c r="S888" s="0" t="n">
        <v>17716.52</v>
      </c>
      <c r="T888" s="6" t="n">
        <f aca="false">N888*O888*(1-Q888)</f>
        <v>23739.905</v>
      </c>
      <c r="U888" s="6" t="n">
        <f aca="false">T888-S888</f>
        <v>6023.385</v>
      </c>
      <c r="V888" s="7" t="n">
        <f aca="false">IF(T888=0,0,U888/T888)</f>
        <v>0.25372405660427</v>
      </c>
      <c r="W888" s="4" t="n">
        <f aca="false">C888-B888</f>
        <v>7</v>
      </c>
      <c r="X888" s="0" t="str">
        <f aca="false">TEXT(B888,"mmmm")</f>
        <v>April</v>
      </c>
      <c r="Y888" s="4" t="n">
        <f aca="false">YEAR(B888)</f>
        <v>2025</v>
      </c>
      <c r="Z888" s="0" t="str">
        <f aca="false">PROPER(TRIM(AU888))</f>
        <v>Paid</v>
      </c>
      <c r="AA888" s="0" t="str">
        <f aca="false">PROPER(TRIM(AV888))</f>
        <v>Cancelled</v>
      </c>
      <c r="AB888" s="0" t="str">
        <f aca="false">IF(TRIM(AN888)="","Yes","No")</f>
        <v>No</v>
      </c>
      <c r="AC888" s="0" t="str">
        <f aca="false">IF(TRIM(AS888)="","Yes","No")</f>
        <v>No</v>
      </c>
      <c r="AD888" s="0" t="str">
        <f aca="false">IF(AT888="","Yes","No")</f>
        <v>No</v>
      </c>
      <c r="AE888" s="0" t="str">
        <f aca="false">IF(W888&lt;0,"Yes","No")</f>
        <v>No</v>
      </c>
      <c r="AF888" s="0" t="str">
        <f aca="false">IF(P888="","No",IF(OR(P888&lt;0,P888&gt;0.3),"Yes","No"))</f>
        <v>No</v>
      </c>
      <c r="AG888" s="4" t="s">
        <v>50</v>
      </c>
      <c r="AH888" s="0" t="str">
        <f aca="false">IF(AND(AA888="Completed",Z888="Paid"),"Yes","No")</f>
        <v>No</v>
      </c>
      <c r="AI888" s="0" t="str">
        <f aca="false">IF(OR(AE888="Yes",AF888="Yes",AG888="Yes"),"Invalid",IF(OR(AB888="Yes",AC888="Yes",AD888="Yes"),"Warning","Clean"))</f>
        <v>Clean</v>
      </c>
      <c r="AJ888" s="4" t="s">
        <v>3218</v>
      </c>
      <c r="AK888" s="4" t="s">
        <v>3219</v>
      </c>
      <c r="AL888" s="4" t="s">
        <v>86</v>
      </c>
      <c r="AM888" s="4" t="s">
        <v>134</v>
      </c>
      <c r="AN888" s="4" t="s">
        <v>87</v>
      </c>
      <c r="AO888" s="4" t="s">
        <v>323</v>
      </c>
      <c r="AP888" s="4" t="s">
        <v>324</v>
      </c>
      <c r="AQ888" s="4" t="s">
        <v>109</v>
      </c>
      <c r="AR888" s="4" t="s">
        <v>110</v>
      </c>
      <c r="AS888" s="4" t="s">
        <v>81</v>
      </c>
      <c r="AT888" s="0" t="n">
        <v>0.15</v>
      </c>
      <c r="AU888" s="4" t="s">
        <v>61</v>
      </c>
      <c r="AV888" s="4" t="s">
        <v>101</v>
      </c>
    </row>
    <row r="889" customFormat="false" ht="15" hidden="false" customHeight="false" outlineLevel="0" collapsed="false">
      <c r="A889" s="0" t="s">
        <v>3220</v>
      </c>
      <c r="B889" s="3" t="n">
        <f aca="false">IF(AJ889="","",IF(ISNUMBER(SEARCH("/",AJ889)),DATE(VALUE(RIGHT(AJ889,4)),VALUE(LEFT(AJ889,2)),VALUE(MID(AJ889,4,2))),IF(ISNUMBER(SEARCH("-",AJ889)),IF(LEN(LEFT(AJ889,FIND("-",AJ889)-1))=4,DATE(VALUE(LEFT(AJ889,4)),VALUE(MID(AJ889,6,2)),VALUE(RIGHT(AJ889,2))),DATE(VALUE(RIGHT(AJ889,4)),VALUE(MID(AJ889,4,2)),VALUE(LEFT(AJ889,2)))),DATE(VALUE(RIGHT(AJ889,4)),MATCH(MID(AJ889,4,3),{"Jan","Feb","Mar","Apr","May","Jun","Jul","Aug","Sep","Oct","Nov","Dec"},0),VALUE(LEFT(AJ889,2))))))</f>
        <v>45455</v>
      </c>
      <c r="C889" s="3" t="n">
        <f aca="false">IF(AK889="","",IF(ISNUMBER(SEARCH("/",AK889)),DATE(VALUE(RIGHT(AK889,4)),VALUE(LEFT(AK889,2)),VALUE(MID(AK889,4,2))),IF(ISNUMBER(SEARCH("-",AK889)),IF(LEN(LEFT(AK889,FIND("-",AK889)-1))=4,DATE(VALUE(LEFT(AK889,4)),VALUE(MID(AK889,6,2)),VALUE(RIGHT(AK889,2))),DATE(VALUE(RIGHT(AK889,4)),VALUE(MID(AK889,4,2)),VALUE(LEFT(AK889,2)))),DATE(VALUE(RIGHT(AK889,4)),MATCH(MID(AK889,4,3),{"Jan","Feb","Mar","Apr","May","Jun","Jul","Aug","Sep","Oct","Nov","Dec"},0),VALUE(LEFT(AK889,2))))))</f>
        <v>45461</v>
      </c>
      <c r="D889" s="4" t="s">
        <v>3221</v>
      </c>
      <c r="E889" s="0" t="str">
        <f aca="false">PROPER(TRIM(AL889))</f>
        <v>Aarav Sharma</v>
      </c>
      <c r="F889" s="0" t="str">
        <f aca="false">PROPER(TRIM(AM889))</f>
        <v>Small Business</v>
      </c>
      <c r="G889" s="0" t="str">
        <f aca="false">IF(TRIM(AN889)="","Unknown",PROPER(TRIM(AN889)))</f>
        <v>South</v>
      </c>
      <c r="H889" s="0" t="str">
        <f aca="false">PROPER(TRIM(AO889))</f>
        <v>Andhra Pradesh</v>
      </c>
      <c r="I889" s="0" t="str">
        <f aca="false">PROPER(TRIM(AP889))</f>
        <v>Vijayawada</v>
      </c>
      <c r="J889" s="0" t="str">
        <f aca="false">PROPER(TRIM(AQ889))</f>
        <v>Office Supplies</v>
      </c>
      <c r="K889" s="0" t="str">
        <f aca="false">PROPER(TRIM(AR889))</f>
        <v>Art</v>
      </c>
      <c r="M889" s="0" t="str">
        <f aca="false">IF(TRIM(AS889)="","Unknown",PROPER(TRIM(AS889)))</f>
        <v>Standard Class</v>
      </c>
      <c r="N889" s="0" t="n">
        <v>4</v>
      </c>
      <c r="O889" s="0" t="n">
        <v>4176.13</v>
      </c>
      <c r="P889" s="5" t="n">
        <f aca="false">IF(AT889="","",IF(ISNUMBER(AT889),AT889,VALUE(SUBSTITUTE(AT889,"%",""))/100))</f>
        <v>0</v>
      </c>
      <c r="Q889" s="5" t="n">
        <f aca="false">IF(P889="",IF(AND(N889&lt;&gt;"",O889&lt;&gt;"",R889&lt;&gt;"",S889&lt;&gt;""),0,"REVIEW"),IF(OR(P889&lt;0,P889&gt;0.3),0,P889))</f>
        <v>0</v>
      </c>
      <c r="R889" s="0" t="n">
        <v>16704.52</v>
      </c>
      <c r="S889" s="0" t="n">
        <v>10158.28</v>
      </c>
      <c r="T889" s="6" t="n">
        <f aca="false">N889*O889*(1-Q889)</f>
        <v>16704.52</v>
      </c>
      <c r="U889" s="6" t="n">
        <f aca="false">T889-S889</f>
        <v>6546.24</v>
      </c>
      <c r="V889" s="7" t="n">
        <f aca="false">IF(T889=0,0,U889/T889)</f>
        <v>0.391884352259149</v>
      </c>
      <c r="W889" s="4" t="n">
        <f aca="false">C889-B889</f>
        <v>6</v>
      </c>
      <c r="X889" s="0" t="str">
        <f aca="false">TEXT(B889,"mmmm")</f>
        <v>June</v>
      </c>
      <c r="Y889" s="4" t="n">
        <f aca="false">YEAR(B889)</f>
        <v>2024</v>
      </c>
      <c r="Z889" s="0" t="str">
        <f aca="false">PROPER(TRIM(AU889))</f>
        <v>Paid</v>
      </c>
      <c r="AA889" s="0" t="str">
        <f aca="false">PROPER(TRIM(AV889))</f>
        <v>Completed</v>
      </c>
      <c r="AB889" s="0" t="str">
        <f aca="false">IF(TRIM(AN889)="","Yes","No")</f>
        <v>No</v>
      </c>
      <c r="AC889" s="0" t="str">
        <f aca="false">IF(TRIM(AS889)="","Yes","No")</f>
        <v>No</v>
      </c>
      <c r="AD889" s="0" t="str">
        <f aca="false">IF(AT889="","Yes","No")</f>
        <v>No</v>
      </c>
      <c r="AE889" s="0" t="str">
        <f aca="false">IF(W889&lt;0,"Yes","No")</f>
        <v>No</v>
      </c>
      <c r="AF889" s="0" t="str">
        <f aca="false">IF(P889="","No",IF(OR(P889&lt;0,P889&gt;0.3),"Yes","No"))</f>
        <v>No</v>
      </c>
      <c r="AG889" s="4" t="s">
        <v>50</v>
      </c>
      <c r="AH889" s="0" t="str">
        <f aca="false">IF(AND(AA889="Completed",Z889="Paid"),"Yes","No")</f>
        <v>Yes</v>
      </c>
      <c r="AI889" s="0" t="str">
        <f aca="false">IF(OR(AE889="Yes",AF889="Yes",AG889="Yes"),"Invalid",IF(OR(AB889="Yes",AC889="Yes",AD889="Yes"),"Warning","Clean"))</f>
        <v>Clean</v>
      </c>
      <c r="AJ889" s="4" t="s">
        <v>3127</v>
      </c>
      <c r="AK889" s="4" t="s">
        <v>606</v>
      </c>
      <c r="AL889" s="4" t="s">
        <v>176</v>
      </c>
      <c r="AM889" s="4" t="s">
        <v>68</v>
      </c>
      <c r="AN889" s="4" t="s">
        <v>87</v>
      </c>
      <c r="AO889" s="4" t="s">
        <v>121</v>
      </c>
      <c r="AP889" s="4" t="s">
        <v>122</v>
      </c>
      <c r="AQ889" s="4" t="s">
        <v>58</v>
      </c>
      <c r="AR889" s="4" t="s">
        <v>80</v>
      </c>
      <c r="AS889" s="4" t="s">
        <v>91</v>
      </c>
      <c r="AT889" s="0" t="n">
        <v>0</v>
      </c>
      <c r="AU889" s="4" t="s">
        <v>61</v>
      </c>
      <c r="AV889" s="4" t="s">
        <v>62</v>
      </c>
    </row>
    <row r="890" customFormat="false" ht="15" hidden="false" customHeight="false" outlineLevel="0" collapsed="false">
      <c r="A890" s="0" t="s">
        <v>3222</v>
      </c>
      <c r="B890" s="3" t="n">
        <f aca="false">IF(AJ890="","",IF(ISNUMBER(SEARCH("/",AJ890)),DATE(VALUE(RIGHT(AJ890,4)),VALUE(LEFT(AJ890,2)),VALUE(MID(AJ890,4,2))),IF(ISNUMBER(SEARCH("-",AJ890)),IF(LEN(LEFT(AJ890,FIND("-",AJ890)-1))=4,DATE(VALUE(LEFT(AJ890,4)),VALUE(MID(AJ890,6,2)),VALUE(RIGHT(AJ890,2))),DATE(VALUE(RIGHT(AJ890,4)),VALUE(MID(AJ890,4,2)),VALUE(LEFT(AJ890,2)))),DATE(VALUE(RIGHT(AJ890,4)),MATCH(MID(AJ890,4,3),{"Jan","Feb","Mar","Apr","May","Jun","Jul","Aug","Sep","Oct","Nov","Dec"},0),VALUE(LEFT(AJ890,2))))))</f>
        <v>45875</v>
      </c>
      <c r="C890" s="3" t="n">
        <f aca="false">IF(AK890="","",IF(ISNUMBER(SEARCH("/",AK890)),DATE(VALUE(RIGHT(AK890,4)),VALUE(LEFT(AK890,2)),VALUE(MID(AK890,4,2))),IF(ISNUMBER(SEARCH("-",AK890)),IF(LEN(LEFT(AK890,FIND("-",AK890)-1))=4,DATE(VALUE(LEFT(AK890,4)),VALUE(MID(AK890,6,2)),VALUE(RIGHT(AK890,2))),DATE(VALUE(RIGHT(AK890,4)),VALUE(MID(AK890,4,2)),VALUE(LEFT(AK890,2)))),DATE(VALUE(RIGHT(AK890,4)),MATCH(MID(AK890,4,3),{"Jan","Feb","Mar","Apr","May","Jun","Jul","Aug","Sep","Oct","Nov","Dec"},0),VALUE(LEFT(AK890,2))))))</f>
        <v>45876</v>
      </c>
      <c r="D890" s="4" t="s">
        <v>3223</v>
      </c>
      <c r="E890" s="0" t="str">
        <f aca="false">PROPER(TRIM(AL890))</f>
        <v>Rahul Verma</v>
      </c>
      <c r="F890" s="0" t="str">
        <f aca="false">PROPER(TRIM(AM890))</f>
        <v>Small Business</v>
      </c>
      <c r="G890" s="0" t="str">
        <f aca="false">IF(TRIM(AN890)="","Unknown",PROPER(TRIM(AN890)))</f>
        <v>West</v>
      </c>
      <c r="H890" s="0" t="str">
        <f aca="false">PROPER(TRIM(AO890))</f>
        <v>Maharashtra</v>
      </c>
      <c r="I890" s="0" t="str">
        <f aca="false">PROPER(TRIM(AP890))</f>
        <v>Mumbai</v>
      </c>
      <c r="J890" s="0" t="str">
        <f aca="false">PROPER(TRIM(AQ890))</f>
        <v>Office Supplies</v>
      </c>
      <c r="K890" s="0" t="str">
        <f aca="false">PROPER(TRIM(AR890))</f>
        <v>Art</v>
      </c>
      <c r="M890" s="0" t="str">
        <f aca="false">IF(TRIM(AS890)="","Unknown",PROPER(TRIM(AS890)))</f>
        <v>Standard Class</v>
      </c>
      <c r="N890" s="0" t="n">
        <v>4</v>
      </c>
      <c r="O890" s="0" t="n">
        <v>3523.64</v>
      </c>
      <c r="P890" s="5" t="n">
        <f aca="false">IF(AT890="","",IF(ISNUMBER(AT890),AT890,VALUE(SUBSTITUTE(AT890,"%",""))/100))</f>
        <v>0.1</v>
      </c>
      <c r="Q890" s="5" t="n">
        <f aca="false">IF(P890="",IF(AND(N890&lt;&gt;"",O890&lt;&gt;"",R890&lt;&gt;"",S890&lt;&gt;""),0,"REVIEW"),IF(OR(P890&lt;0,P890&gt;0.3),0,P890))</f>
        <v>0.1</v>
      </c>
      <c r="R890" s="0" t="n">
        <v>12685.1</v>
      </c>
      <c r="S890" s="0" t="n">
        <v>10779.56</v>
      </c>
      <c r="T890" s="6" t="n">
        <f aca="false">N890*O890*(1-Q890)</f>
        <v>12685.104</v>
      </c>
      <c r="U890" s="6" t="n">
        <f aca="false">T890-S890</f>
        <v>1905.544</v>
      </c>
      <c r="V890" s="7" t="n">
        <f aca="false">IF(T890=0,0,U890/T890)</f>
        <v>0.150219028555067</v>
      </c>
      <c r="W890" s="4" t="n">
        <f aca="false">C890-B890</f>
        <v>1</v>
      </c>
      <c r="X890" s="0" t="str">
        <f aca="false">TEXT(B890,"mmmm")</f>
        <v>August</v>
      </c>
      <c r="Y890" s="4" t="n">
        <f aca="false">YEAR(B890)</f>
        <v>2025</v>
      </c>
      <c r="Z890" s="0" t="str">
        <f aca="false">PROPER(TRIM(AU890))</f>
        <v>Refunded</v>
      </c>
      <c r="AA890" s="0" t="str">
        <f aca="false">PROPER(TRIM(AV890))</f>
        <v>Cancelled</v>
      </c>
      <c r="AB890" s="0" t="str">
        <f aca="false">IF(TRIM(AN890)="","Yes","No")</f>
        <v>No</v>
      </c>
      <c r="AC890" s="0" t="str">
        <f aca="false">IF(TRIM(AS890)="","Yes","No")</f>
        <v>No</v>
      </c>
      <c r="AD890" s="0" t="str">
        <f aca="false">IF(AT890="","Yes","No")</f>
        <v>No</v>
      </c>
      <c r="AE890" s="0" t="str">
        <f aca="false">IF(W890&lt;0,"Yes","No")</f>
        <v>No</v>
      </c>
      <c r="AF890" s="0" t="str">
        <f aca="false">IF(P890="","No",IF(OR(P890&lt;0,P890&gt;0.3),"Yes","No"))</f>
        <v>No</v>
      </c>
      <c r="AG890" s="4" t="s">
        <v>50</v>
      </c>
      <c r="AH890" s="0" t="str">
        <f aca="false">IF(AND(AA890="Completed",Z890="Paid"),"Yes","No")</f>
        <v>No</v>
      </c>
      <c r="AI890" s="0" t="str">
        <f aca="false">IF(OR(AE890="Yes",AF890="Yes",AG890="Yes"),"Invalid",IF(OR(AB890="Yes",AC890="Yes",AD890="Yes"),"Warning","Clean"))</f>
        <v>Clean</v>
      </c>
      <c r="AJ890" s="4" t="s">
        <v>3224</v>
      </c>
      <c r="AK890" s="4" t="s">
        <v>2868</v>
      </c>
      <c r="AL890" s="4" t="s">
        <v>163</v>
      </c>
      <c r="AM890" s="4" t="s">
        <v>68</v>
      </c>
      <c r="AN890" s="4" t="s">
        <v>97</v>
      </c>
      <c r="AO890" s="4" t="s">
        <v>98</v>
      </c>
      <c r="AP890" s="4" t="s">
        <v>99</v>
      </c>
      <c r="AQ890" s="4" t="s">
        <v>58</v>
      </c>
      <c r="AR890" s="4" t="s">
        <v>80</v>
      </c>
      <c r="AS890" s="4" t="s">
        <v>91</v>
      </c>
      <c r="AT890" s="0" t="n">
        <v>0.1</v>
      </c>
      <c r="AU890" s="4" t="s">
        <v>141</v>
      </c>
      <c r="AV890" s="4" t="s">
        <v>101</v>
      </c>
    </row>
    <row r="891" customFormat="false" ht="15" hidden="false" customHeight="false" outlineLevel="0" collapsed="false">
      <c r="A891" s="0" t="s">
        <v>3225</v>
      </c>
      <c r="B891" s="3" t="n">
        <f aca="false">IF(AJ891="","",IF(ISNUMBER(SEARCH("/",AJ891)),DATE(VALUE(RIGHT(AJ891,4)),VALUE(LEFT(AJ891,2)),VALUE(MID(AJ891,4,2))),IF(ISNUMBER(SEARCH("-",AJ891)),IF(LEN(LEFT(AJ891,FIND("-",AJ891)-1))=4,DATE(VALUE(LEFT(AJ891,4)),VALUE(MID(AJ891,6,2)),VALUE(RIGHT(AJ891,2))),DATE(VALUE(RIGHT(AJ891,4)),VALUE(MID(AJ891,4,2)),VALUE(LEFT(AJ891,2)))),DATE(VALUE(RIGHT(AJ891,4)),MATCH(MID(AJ891,4,3),{"Jan","Feb","Mar","Apr","May","Jun","Jul","Aug","Sep","Oct","Nov","Dec"},0),VALUE(LEFT(AJ891,2))))))</f>
        <v>45726</v>
      </c>
      <c r="C891" s="3" t="n">
        <f aca="false">IF(AK891="","",IF(ISNUMBER(SEARCH("/",AK891)),DATE(VALUE(RIGHT(AK891,4)),VALUE(LEFT(AK891,2)),VALUE(MID(AK891,4,2))),IF(ISNUMBER(SEARCH("-",AK891)),IF(LEN(LEFT(AK891,FIND("-",AK891)-1))=4,DATE(VALUE(LEFT(AK891,4)),VALUE(MID(AK891,6,2)),VALUE(RIGHT(AK891,2))),DATE(VALUE(RIGHT(AK891,4)),VALUE(MID(AK891,4,2)),VALUE(LEFT(AK891,2)))),DATE(VALUE(RIGHT(AK891,4)),MATCH(MID(AK891,4,3),{"Jan","Feb","Mar","Apr","May","Jun","Jul","Aug","Sep","Oct","Nov","Dec"},0),VALUE(LEFT(AK891,2))))))</f>
        <v>45727</v>
      </c>
      <c r="D891" s="4" t="s">
        <v>1135</v>
      </c>
      <c r="E891" s="0" t="str">
        <f aca="false">PROPER(TRIM(AL891))</f>
        <v>Aditi Sen</v>
      </c>
      <c r="F891" s="0" t="str">
        <f aca="false">PROPER(TRIM(AM891))</f>
        <v>Home Office</v>
      </c>
      <c r="G891" s="0" t="str">
        <f aca="false">IF(TRIM(AN891)="","Unknown",PROPER(TRIM(AN891)))</f>
        <v>West</v>
      </c>
      <c r="H891" s="0" t="str">
        <f aca="false">PROPER(TRIM(AO891))</f>
        <v>Madhya Pradesh</v>
      </c>
      <c r="I891" s="0" t="str">
        <f aca="false">PROPER(TRIM(AP891))</f>
        <v>Indore</v>
      </c>
      <c r="J891" s="0" t="str">
        <f aca="false">PROPER(TRIM(AQ891))</f>
        <v>Office Supplies</v>
      </c>
      <c r="K891" s="0" t="str">
        <f aca="false">PROPER(TRIM(AR891))</f>
        <v>Storage</v>
      </c>
      <c r="M891" s="0" t="str">
        <f aca="false">IF(TRIM(AS891)="","Unknown",PROPER(TRIM(AS891)))</f>
        <v>First Class</v>
      </c>
      <c r="N891" s="0" t="n">
        <v>2</v>
      </c>
      <c r="O891" s="0" t="n">
        <v>3922.08</v>
      </c>
      <c r="P891" s="5" t="n">
        <f aca="false">IF(AT891="","",IF(ISNUMBER(AT891),AT891,VALUE(SUBSTITUTE(AT891,"%",""))/100))</f>
        <v>0.25</v>
      </c>
      <c r="Q891" s="5" t="n">
        <f aca="false">IF(P891="",IF(AND(N891&lt;&gt;"",O891&lt;&gt;"",R891&lt;&gt;"",S891&lt;&gt;""),0,"REVIEW"),IF(OR(P891&lt;0,P891&gt;0.3),0,P891))</f>
        <v>0.25</v>
      </c>
      <c r="R891" s="0" t="n">
        <v>5883.12</v>
      </c>
      <c r="S891" s="0" t="n">
        <v>4647.91</v>
      </c>
      <c r="T891" s="6" t="n">
        <f aca="false">N891*O891*(1-Q891)</f>
        <v>5883.12</v>
      </c>
      <c r="U891" s="6" t="n">
        <f aca="false">T891-S891</f>
        <v>1235.21</v>
      </c>
      <c r="V891" s="7" t="n">
        <f aca="false">IF(T891=0,0,U891/T891)</f>
        <v>0.209958321434885</v>
      </c>
      <c r="W891" s="4" t="n">
        <f aca="false">C891-B891</f>
        <v>1</v>
      </c>
      <c r="X891" s="0" t="str">
        <f aca="false">TEXT(B891,"mmmm")</f>
        <v>March</v>
      </c>
      <c r="Y891" s="4" t="n">
        <f aca="false">YEAR(B891)</f>
        <v>2025</v>
      </c>
      <c r="Z891" s="0" t="str">
        <f aca="false">PROPER(TRIM(AU891))</f>
        <v>Paid</v>
      </c>
      <c r="AA891" s="0" t="str">
        <f aca="false">PROPER(TRIM(AV891))</f>
        <v>Returned</v>
      </c>
      <c r="AB891" s="0" t="str">
        <f aca="false">IF(TRIM(AN891)="","Yes","No")</f>
        <v>No</v>
      </c>
      <c r="AC891" s="0" t="str">
        <f aca="false">IF(TRIM(AS891)="","Yes","No")</f>
        <v>No</v>
      </c>
      <c r="AD891" s="0" t="str">
        <f aca="false">IF(AT891="","Yes","No")</f>
        <v>No</v>
      </c>
      <c r="AE891" s="0" t="str">
        <f aca="false">IF(W891&lt;0,"Yes","No")</f>
        <v>No</v>
      </c>
      <c r="AF891" s="0" t="str">
        <f aca="false">IF(P891="","No",IF(OR(P891&lt;0,P891&gt;0.3),"Yes","No"))</f>
        <v>No</v>
      </c>
      <c r="AG891" s="4" t="s">
        <v>50</v>
      </c>
      <c r="AH891" s="0" t="str">
        <f aca="false">IF(AND(AA891="Completed",Z891="Paid"),"Yes","No")</f>
        <v>No</v>
      </c>
      <c r="AI891" s="0" t="str">
        <f aca="false">IF(OR(AE891="Yes",AF891="Yes",AG891="Yes"),"Invalid",IF(OR(AB891="Yes",AC891="Yes",AD891="Yes"),"Warning","Clean"))</f>
        <v>Clean</v>
      </c>
      <c r="AJ891" s="4" t="s">
        <v>3226</v>
      </c>
      <c r="AK891" s="4" t="s">
        <v>3227</v>
      </c>
      <c r="AL891" s="4" t="s">
        <v>127</v>
      </c>
      <c r="AM891" s="4" t="s">
        <v>134</v>
      </c>
      <c r="AN891" s="4" t="s">
        <v>97</v>
      </c>
      <c r="AO891" s="4" t="s">
        <v>107</v>
      </c>
      <c r="AP891" s="4" t="s">
        <v>108</v>
      </c>
      <c r="AQ891" s="4" t="s">
        <v>58</v>
      </c>
      <c r="AR891" s="4" t="s">
        <v>171</v>
      </c>
      <c r="AS891" s="4" t="s">
        <v>81</v>
      </c>
      <c r="AT891" s="0" t="n">
        <v>0.25</v>
      </c>
      <c r="AU891" s="4" t="s">
        <v>61</v>
      </c>
      <c r="AV891" s="4" t="s">
        <v>142</v>
      </c>
    </row>
    <row r="892" customFormat="false" ht="15" hidden="false" customHeight="false" outlineLevel="0" collapsed="false">
      <c r="A892" s="0" t="s">
        <v>3228</v>
      </c>
      <c r="B892" s="3" t="n">
        <f aca="false">IF(AJ892="","",IF(ISNUMBER(SEARCH("/",AJ892)),DATE(VALUE(RIGHT(AJ892,4)),VALUE(LEFT(AJ892,2)),VALUE(MID(AJ892,4,2))),IF(ISNUMBER(SEARCH("-",AJ892)),IF(LEN(LEFT(AJ892,FIND("-",AJ892)-1))=4,DATE(VALUE(LEFT(AJ892,4)),VALUE(MID(AJ892,6,2)),VALUE(RIGHT(AJ892,2))),DATE(VALUE(RIGHT(AJ892,4)),VALUE(MID(AJ892,4,2)),VALUE(LEFT(AJ892,2)))),DATE(VALUE(RIGHT(AJ892,4)),MATCH(MID(AJ892,4,3),{"Jan","Feb","Mar","Apr","May","Jun","Jul","Aug","Sep","Oct","Nov","Dec"},0),VALUE(LEFT(AJ892,2))))))</f>
        <v>45427</v>
      </c>
      <c r="C892" s="3" t="n">
        <f aca="false">IF(AK892="","",IF(ISNUMBER(SEARCH("/",AK892)),DATE(VALUE(RIGHT(AK892,4)),VALUE(LEFT(AK892,2)),VALUE(MID(AK892,4,2))),IF(ISNUMBER(SEARCH("-",AK892)),IF(LEN(LEFT(AK892,FIND("-",AK892)-1))=4,DATE(VALUE(LEFT(AK892,4)),VALUE(MID(AK892,6,2)),VALUE(RIGHT(AK892,2))),DATE(VALUE(RIGHT(AK892,4)),VALUE(MID(AK892,4,2)),VALUE(LEFT(AK892,2)))),DATE(VALUE(RIGHT(AK892,4)),MATCH(MID(AK892,4,3),{"Jan","Feb","Mar","Apr","May","Jun","Jul","Aug","Sep","Oct","Nov","Dec"},0),VALUE(LEFT(AK892,2))))))</f>
        <v>45433</v>
      </c>
      <c r="D892" s="4" t="s">
        <v>3229</v>
      </c>
      <c r="E892" s="0" t="str">
        <f aca="false">PROPER(TRIM(AL892))</f>
        <v>Karan Malhotra</v>
      </c>
      <c r="F892" s="0" t="str">
        <f aca="false">PROPER(TRIM(AM892))</f>
        <v>Consumer</v>
      </c>
      <c r="G892" s="0" t="str">
        <f aca="false">IF(TRIM(AN892)="","Unknown",PROPER(TRIM(AN892)))</f>
        <v>West</v>
      </c>
      <c r="H892" s="0" t="str">
        <f aca="false">PROPER(TRIM(AO892))</f>
        <v>Goa</v>
      </c>
      <c r="I892" s="0" t="str">
        <f aca="false">PROPER(TRIM(AP892))</f>
        <v>Panaji</v>
      </c>
      <c r="J892" s="0" t="str">
        <f aca="false">PROPER(TRIM(AQ892))</f>
        <v>Office Supplies</v>
      </c>
      <c r="K892" s="0" t="str">
        <f aca="false">PROPER(TRIM(AR892))</f>
        <v>Storage</v>
      </c>
      <c r="M892" s="0" t="str">
        <f aca="false">IF(TRIM(AS892)="","Unknown",PROPER(TRIM(AS892)))</f>
        <v>Standard Class</v>
      </c>
      <c r="N892" s="0" t="n">
        <v>6</v>
      </c>
      <c r="O892" s="0" t="n">
        <v>2909.56</v>
      </c>
      <c r="P892" s="5" t="n">
        <f aca="false">IF(AT892="","",IF(ISNUMBER(AT892),AT892,VALUE(SUBSTITUTE(AT892,"%",""))/100))</f>
        <v>0.2</v>
      </c>
      <c r="Q892" s="5" t="n">
        <f aca="false">IF(P892="",IF(AND(N892&lt;&gt;"",O892&lt;&gt;"",R892&lt;&gt;"",S892&lt;&gt;""),0,"REVIEW"),IF(OR(P892&lt;0,P892&gt;0.3),0,P892))</f>
        <v>0.2</v>
      </c>
      <c r="R892" s="0" t="n">
        <v>13965.89</v>
      </c>
      <c r="S892" s="0" t="n">
        <v>11646.12</v>
      </c>
      <c r="T892" s="6" t="n">
        <f aca="false">N892*O892*(1-Q892)</f>
        <v>13965.888</v>
      </c>
      <c r="U892" s="6" t="n">
        <f aca="false">T892-S892</f>
        <v>2319.768</v>
      </c>
      <c r="V892" s="7" t="n">
        <f aca="false">IF(T892=0,0,U892/T892)</f>
        <v>0.166102434732399</v>
      </c>
      <c r="W892" s="4" t="n">
        <f aca="false">C892-B892</f>
        <v>6</v>
      </c>
      <c r="X892" s="0" t="str">
        <f aca="false">TEXT(B892,"mmmm")</f>
        <v>May</v>
      </c>
      <c r="Y892" s="4" t="n">
        <f aca="false">YEAR(B892)</f>
        <v>2024</v>
      </c>
      <c r="Z892" s="0" t="str">
        <f aca="false">PROPER(TRIM(AU892))</f>
        <v>Paid</v>
      </c>
      <c r="AA892" s="0" t="str">
        <f aca="false">PROPER(TRIM(AV892))</f>
        <v>Completed</v>
      </c>
      <c r="AB892" s="0" t="str">
        <f aca="false">IF(TRIM(AN892)="","Yes","No")</f>
        <v>No</v>
      </c>
      <c r="AC892" s="0" t="str">
        <f aca="false">IF(TRIM(AS892)="","Yes","No")</f>
        <v>No</v>
      </c>
      <c r="AD892" s="0" t="str">
        <f aca="false">IF(AT892="","Yes","No")</f>
        <v>No</v>
      </c>
      <c r="AE892" s="0" t="str">
        <f aca="false">IF(W892&lt;0,"Yes","No")</f>
        <v>No</v>
      </c>
      <c r="AF892" s="0" t="str">
        <f aca="false">IF(P892="","No",IF(OR(P892&lt;0,P892&gt;0.3),"Yes","No"))</f>
        <v>No</v>
      </c>
      <c r="AG892" s="4" t="s">
        <v>50</v>
      </c>
      <c r="AH892" s="0" t="str">
        <f aca="false">IF(AND(AA892="Completed",Z892="Paid"),"Yes","No")</f>
        <v>Yes</v>
      </c>
      <c r="AI892" s="0" t="str">
        <f aca="false">IF(OR(AE892="Yes",AF892="Yes",AG892="Yes"),"Invalid",IF(OR(AB892="Yes",AC892="Yes",AD892="Yes"),"Warning","Clean"))</f>
        <v>Clean</v>
      </c>
      <c r="AJ892" s="4" t="s">
        <v>175</v>
      </c>
      <c r="AK892" s="4" t="s">
        <v>971</v>
      </c>
      <c r="AL892" s="4" t="s">
        <v>53</v>
      </c>
      <c r="AM892" s="4" t="s">
        <v>54</v>
      </c>
      <c r="AN892" s="4" t="s">
        <v>97</v>
      </c>
      <c r="AO892" s="4" t="s">
        <v>250</v>
      </c>
      <c r="AP892" s="4" t="s">
        <v>251</v>
      </c>
      <c r="AQ892" s="4" t="s">
        <v>58</v>
      </c>
      <c r="AR892" s="4" t="s">
        <v>171</v>
      </c>
      <c r="AS892" s="4" t="s">
        <v>91</v>
      </c>
      <c r="AT892" s="0" t="n">
        <v>0.2</v>
      </c>
      <c r="AU892" s="4" t="s">
        <v>61</v>
      </c>
      <c r="AV892" s="4" t="s">
        <v>62</v>
      </c>
    </row>
    <row r="893" customFormat="false" ht="15" hidden="false" customHeight="false" outlineLevel="0" collapsed="false">
      <c r="A893" s="0" t="s">
        <v>3230</v>
      </c>
      <c r="B893" s="3" t="n">
        <f aca="false">IF(AJ893="","",IF(ISNUMBER(SEARCH("/",AJ893)),DATE(VALUE(RIGHT(AJ893,4)),VALUE(LEFT(AJ893,2)),VALUE(MID(AJ893,4,2))),IF(ISNUMBER(SEARCH("-",AJ893)),IF(LEN(LEFT(AJ893,FIND("-",AJ893)-1))=4,DATE(VALUE(LEFT(AJ893,4)),VALUE(MID(AJ893,6,2)),VALUE(RIGHT(AJ893,2))),DATE(VALUE(RIGHT(AJ893,4)),VALUE(MID(AJ893,4,2)),VALUE(LEFT(AJ893,2)))),DATE(VALUE(RIGHT(AJ893,4)),MATCH(MID(AJ893,4,3),{"Jan","Feb","Mar","Apr","May","Jun","Jul","Aug","Sep","Oct","Nov","Dec"},0),VALUE(LEFT(AJ893,2))))))</f>
        <v>45573</v>
      </c>
      <c r="C893" s="3" t="n">
        <f aca="false">IF(AK893="","",IF(ISNUMBER(SEARCH("/",AK893)),DATE(VALUE(RIGHT(AK893,4)),VALUE(LEFT(AK893,2)),VALUE(MID(AK893,4,2))),IF(ISNUMBER(SEARCH("-",AK893)),IF(LEN(LEFT(AK893,FIND("-",AK893)-1))=4,DATE(VALUE(LEFT(AK893,4)),VALUE(MID(AK893,6,2)),VALUE(RIGHT(AK893,2))),DATE(VALUE(RIGHT(AK893,4)),VALUE(MID(AK893,4,2)),VALUE(LEFT(AK893,2)))),DATE(VALUE(RIGHT(AK893,4)),MATCH(MID(AK893,4,3),{"Jan","Feb","Mar","Apr","May","Jun","Jul","Aug","Sep","Oct","Nov","Dec"},0),VALUE(LEFT(AK893,2))))))</f>
        <v>45574</v>
      </c>
      <c r="D893" s="4" t="s">
        <v>3231</v>
      </c>
      <c r="E893" s="0" t="str">
        <f aca="false">PROPER(TRIM(AL893))</f>
        <v>Kabir Singh</v>
      </c>
      <c r="F893" s="0" t="str">
        <f aca="false">PROPER(TRIM(AM893))</f>
        <v>Corporate</v>
      </c>
      <c r="G893" s="0" t="str">
        <f aca="false">IF(TRIM(AN893)="","Unknown",PROPER(TRIM(AN893)))</f>
        <v>South</v>
      </c>
      <c r="H893" s="0" t="str">
        <f aca="false">PROPER(TRIM(AO893))</f>
        <v>Tamil Nadu</v>
      </c>
      <c r="I893" s="0" t="str">
        <f aca="false">PROPER(TRIM(AP893))</f>
        <v>Chennai</v>
      </c>
      <c r="J893" s="0" t="str">
        <f aca="false">PROPER(TRIM(AQ893))</f>
        <v>Technology</v>
      </c>
      <c r="K893" s="0" t="str">
        <f aca="false">PROPER(TRIM(AR893))</f>
        <v>Machines</v>
      </c>
      <c r="M893" s="0" t="str">
        <f aca="false">IF(TRIM(AS893)="","Unknown",PROPER(TRIM(AS893)))</f>
        <v>Same Day</v>
      </c>
      <c r="N893" s="0" t="n">
        <v>5</v>
      </c>
      <c r="O893" s="0" t="n">
        <v>2407.97</v>
      </c>
      <c r="P893" s="5" t="n">
        <f aca="false">IF(AT893="","",IF(ISNUMBER(AT893),AT893,VALUE(SUBSTITUTE(AT893,"%",""))/100))</f>
        <v>0.1</v>
      </c>
      <c r="Q893" s="5" t="n">
        <f aca="false">IF(P893="",IF(AND(N893&lt;&gt;"",O893&lt;&gt;"",R893&lt;&gt;"",S893&lt;&gt;""),0,"REVIEW"),IF(OR(P893&lt;0,P893&gt;0.3),0,P893))</f>
        <v>0.1</v>
      </c>
      <c r="R893" s="0" t="n">
        <v>10835.86</v>
      </c>
      <c r="S893" s="0" t="n">
        <v>6419.92</v>
      </c>
      <c r="T893" s="6" t="n">
        <f aca="false">N893*O893*(1-Q893)</f>
        <v>10835.865</v>
      </c>
      <c r="U893" s="6" t="n">
        <f aca="false">T893-S893</f>
        <v>4415.945</v>
      </c>
      <c r="V893" s="7" t="n">
        <f aca="false">IF(T893=0,0,U893/T893)</f>
        <v>0.407530455575074</v>
      </c>
      <c r="W893" s="4" t="n">
        <f aca="false">C893-B893</f>
        <v>1</v>
      </c>
      <c r="X893" s="0" t="str">
        <f aca="false">TEXT(B893,"mmmm")</f>
        <v>October</v>
      </c>
      <c r="Y893" s="4" t="n">
        <f aca="false">YEAR(B893)</f>
        <v>2024</v>
      </c>
      <c r="Z893" s="0" t="str">
        <f aca="false">PROPER(TRIM(AU893))</f>
        <v>Failed</v>
      </c>
      <c r="AA893" s="0" t="str">
        <f aca="false">PROPER(TRIM(AV893))</f>
        <v>Cancelled</v>
      </c>
      <c r="AB893" s="0" t="str">
        <f aca="false">IF(TRIM(AN893)="","Yes","No")</f>
        <v>No</v>
      </c>
      <c r="AC893" s="0" t="str">
        <f aca="false">IF(TRIM(AS893)="","Yes","No")</f>
        <v>No</v>
      </c>
      <c r="AD893" s="0" t="str">
        <f aca="false">IF(AT893="","Yes","No")</f>
        <v>No</v>
      </c>
      <c r="AE893" s="0" t="str">
        <f aca="false">IF(W893&lt;0,"Yes","No")</f>
        <v>No</v>
      </c>
      <c r="AF893" s="0" t="str">
        <f aca="false">IF(P893="","No",IF(OR(P893&lt;0,P893&gt;0.3),"Yes","No"))</f>
        <v>No</v>
      </c>
      <c r="AG893" s="4" t="s">
        <v>50</v>
      </c>
      <c r="AH893" s="0" t="str">
        <f aca="false">IF(AND(AA893="Completed",Z893="Paid"),"Yes","No")</f>
        <v>No</v>
      </c>
      <c r="AI893" s="0" t="str">
        <f aca="false">IF(OR(AE893="Yes",AF893="Yes",AG893="Yes"),"Invalid",IF(OR(AB893="Yes",AC893="Yes",AD893="Yes"),"Warning","Clean"))</f>
        <v>Clean</v>
      </c>
      <c r="AJ893" s="4" t="s">
        <v>3020</v>
      </c>
      <c r="AK893" s="4" t="s">
        <v>2085</v>
      </c>
      <c r="AL893" s="4" t="s">
        <v>347</v>
      </c>
      <c r="AM893" s="4" t="s">
        <v>128</v>
      </c>
      <c r="AN893" s="4" t="s">
        <v>87</v>
      </c>
      <c r="AO893" s="4" t="s">
        <v>323</v>
      </c>
      <c r="AP893" s="4" t="s">
        <v>324</v>
      </c>
      <c r="AQ893" s="4" t="s">
        <v>109</v>
      </c>
      <c r="AR893" s="4" t="s">
        <v>360</v>
      </c>
      <c r="AS893" s="4" t="s">
        <v>74</v>
      </c>
      <c r="AT893" s="0" t="n">
        <v>0.1</v>
      </c>
      <c r="AU893" s="4" t="s">
        <v>207</v>
      </c>
      <c r="AV893" s="4" t="s">
        <v>101</v>
      </c>
    </row>
    <row r="894" customFormat="false" ht="15" hidden="false" customHeight="false" outlineLevel="0" collapsed="false">
      <c r="A894" s="0" t="s">
        <v>3232</v>
      </c>
      <c r="B894" s="3" t="n">
        <f aca="false">IF(AJ894="","",IF(ISNUMBER(SEARCH("/",AJ894)),DATE(VALUE(RIGHT(AJ894,4)),VALUE(LEFT(AJ894,2)),VALUE(MID(AJ894,4,2))),IF(ISNUMBER(SEARCH("-",AJ894)),IF(LEN(LEFT(AJ894,FIND("-",AJ894)-1))=4,DATE(VALUE(LEFT(AJ894,4)),VALUE(MID(AJ894,6,2)),VALUE(RIGHT(AJ894,2))),DATE(VALUE(RIGHT(AJ894,4)),VALUE(MID(AJ894,4,2)),VALUE(LEFT(AJ894,2)))),DATE(VALUE(RIGHT(AJ894,4)),MATCH(MID(AJ894,4,3),{"Jan","Feb","Mar","Apr","May","Jun","Jul","Aug","Sep","Oct","Nov","Dec"},0),VALUE(LEFT(AJ894,2))))))</f>
        <v>45759</v>
      </c>
      <c r="C894" s="3" t="n">
        <f aca="false">IF(AK894="","",IF(ISNUMBER(SEARCH("/",AK894)),DATE(VALUE(RIGHT(AK894,4)),VALUE(LEFT(AK894,2)),VALUE(MID(AK894,4,2))),IF(ISNUMBER(SEARCH("-",AK894)),IF(LEN(LEFT(AK894,FIND("-",AK894)-1))=4,DATE(VALUE(LEFT(AK894,4)),VALUE(MID(AK894,6,2)),VALUE(RIGHT(AK894,2))),DATE(VALUE(RIGHT(AK894,4)),VALUE(MID(AK894,4,2)),VALUE(LEFT(AK894,2)))),DATE(VALUE(RIGHT(AK894,4)),MATCH(MID(AK894,4,3),{"Jan","Feb","Mar","Apr","May","Jun","Jul","Aug","Sep","Oct","Nov","Dec"},0),VALUE(LEFT(AK894,2))))))</f>
        <v>45765</v>
      </c>
      <c r="D894" s="4" t="s">
        <v>3233</v>
      </c>
      <c r="E894" s="0" t="str">
        <f aca="false">PROPER(TRIM(AL894))</f>
        <v>Isha Nair</v>
      </c>
      <c r="F894" s="0" t="str">
        <f aca="false">PROPER(TRIM(AM894))</f>
        <v>Small Business</v>
      </c>
      <c r="G894" s="0" t="str">
        <f aca="false">IF(TRIM(AN894)="","Unknown",PROPER(TRIM(AN894)))</f>
        <v>East</v>
      </c>
      <c r="H894" s="0" t="str">
        <f aca="false">PROPER(TRIM(AO894))</f>
        <v>Jharkhand</v>
      </c>
      <c r="I894" s="0" t="str">
        <f aca="false">PROPER(TRIM(AP894))</f>
        <v>Ranchi</v>
      </c>
      <c r="J894" s="0" t="str">
        <f aca="false">PROPER(TRIM(AQ894))</f>
        <v>Technology</v>
      </c>
      <c r="K894" s="0" t="str">
        <f aca="false">PROPER(TRIM(AR894))</f>
        <v>Copiers</v>
      </c>
      <c r="M894" s="0" t="str">
        <f aca="false">IF(TRIM(AS894)="","Unknown",PROPER(TRIM(AS894)))</f>
        <v>Same Day</v>
      </c>
      <c r="N894" s="0" t="n">
        <v>1</v>
      </c>
      <c r="O894" s="0" t="n">
        <v>726.89</v>
      </c>
      <c r="P894" s="5" t="n">
        <f aca="false">IF(AT894="","",IF(ISNUMBER(AT894),AT894,VALUE(SUBSTITUTE(AT894,"%",""))/100))</f>
        <v>0.2</v>
      </c>
      <c r="Q894" s="5" t="n">
        <f aca="false">IF(P894="",IF(AND(N894&lt;&gt;"",O894&lt;&gt;"",R894&lt;&gt;"",S894&lt;&gt;""),0,"REVIEW"),IF(OR(P894&lt;0,P894&gt;0.3),0,P894))</f>
        <v>0.2</v>
      </c>
      <c r="R894" s="0" t="n">
        <v>581.51</v>
      </c>
      <c r="S894" s="0" t="n">
        <v>423.86</v>
      </c>
      <c r="T894" s="6" t="n">
        <f aca="false">N894*O894*(1-Q894)</f>
        <v>581.512</v>
      </c>
      <c r="U894" s="6" t="n">
        <f aca="false">T894-S894</f>
        <v>157.652</v>
      </c>
      <c r="V894" s="7" t="n">
        <f aca="false">IF(T894=0,0,U894/T894)</f>
        <v>0.271107045082475</v>
      </c>
      <c r="W894" s="4" t="n">
        <f aca="false">C894-B894</f>
        <v>6</v>
      </c>
      <c r="X894" s="0" t="str">
        <f aca="false">TEXT(B894,"mmmm")</f>
        <v>April</v>
      </c>
      <c r="Y894" s="4" t="n">
        <f aca="false">YEAR(B894)</f>
        <v>2025</v>
      </c>
      <c r="Z894" s="0" t="str">
        <f aca="false">PROPER(TRIM(AU894))</f>
        <v>Paid</v>
      </c>
      <c r="AA894" s="0" t="str">
        <f aca="false">PROPER(TRIM(AV894))</f>
        <v>Completed</v>
      </c>
      <c r="AB894" s="0" t="str">
        <f aca="false">IF(TRIM(AN894)="","Yes","No")</f>
        <v>No</v>
      </c>
      <c r="AC894" s="0" t="str">
        <f aca="false">IF(TRIM(AS894)="","Yes","No")</f>
        <v>No</v>
      </c>
      <c r="AD894" s="0" t="str">
        <f aca="false">IF(AT894="","Yes","No")</f>
        <v>No</v>
      </c>
      <c r="AE894" s="0" t="str">
        <f aca="false">IF(W894&lt;0,"Yes","No")</f>
        <v>No</v>
      </c>
      <c r="AF894" s="0" t="str">
        <f aca="false">IF(P894="","No",IF(OR(P894&lt;0,P894&gt;0.3),"Yes","No"))</f>
        <v>No</v>
      </c>
      <c r="AG894" s="4" t="s">
        <v>50</v>
      </c>
      <c r="AH894" s="0" t="str">
        <f aca="false">IF(AND(AA894="Completed",Z894="Paid"),"Yes","No")</f>
        <v>Yes</v>
      </c>
      <c r="AI894" s="0" t="str">
        <f aca="false">IF(OR(AE894="Yes",AF894="Yes",AG894="Yes"),"Invalid",IF(OR(AB894="Yes",AC894="Yes",AD894="Yes"),"Warning","Clean"))</f>
        <v>Clean</v>
      </c>
      <c r="AJ894" s="4" t="s">
        <v>3234</v>
      </c>
      <c r="AK894" s="4" t="s">
        <v>2426</v>
      </c>
      <c r="AL894" s="4" t="s">
        <v>79</v>
      </c>
      <c r="AM894" s="4" t="s">
        <v>68</v>
      </c>
      <c r="AN894" s="4" t="s">
        <v>69</v>
      </c>
      <c r="AO894" s="4" t="s">
        <v>300</v>
      </c>
      <c r="AP894" s="4" t="s">
        <v>301</v>
      </c>
      <c r="AQ894" s="4" t="s">
        <v>109</v>
      </c>
      <c r="AR894" s="4" t="s">
        <v>116</v>
      </c>
      <c r="AS894" s="4" t="s">
        <v>74</v>
      </c>
      <c r="AT894" s="0" t="n">
        <v>0.2</v>
      </c>
      <c r="AU894" s="4" t="s">
        <v>61</v>
      </c>
      <c r="AV894" s="4" t="s">
        <v>62</v>
      </c>
    </row>
    <row r="895" customFormat="false" ht="15" hidden="false" customHeight="false" outlineLevel="0" collapsed="false">
      <c r="A895" s="0" t="s">
        <v>3235</v>
      </c>
      <c r="B895" s="3" t="n">
        <f aca="false">IF(AJ895="","",IF(ISNUMBER(SEARCH("/",AJ895)),DATE(VALUE(RIGHT(AJ895,4)),VALUE(LEFT(AJ895,2)),VALUE(MID(AJ895,4,2))),IF(ISNUMBER(SEARCH("-",AJ895)),IF(LEN(LEFT(AJ895,FIND("-",AJ895)-1))=4,DATE(VALUE(LEFT(AJ895,4)),VALUE(MID(AJ895,6,2)),VALUE(RIGHT(AJ895,2))),DATE(VALUE(RIGHT(AJ895,4)),VALUE(MID(AJ895,4,2)),VALUE(LEFT(AJ895,2)))),DATE(VALUE(RIGHT(AJ895,4)),MATCH(MID(AJ895,4,3),{"Jan","Feb","Mar","Apr","May","Jun","Jul","Aug","Sep","Oct","Nov","Dec"},0),VALUE(LEFT(AJ895,2))))))</f>
        <v>45449</v>
      </c>
      <c r="C895" s="3" t="n">
        <f aca="false">IF(AK895="","",IF(ISNUMBER(SEARCH("/",AK895)),DATE(VALUE(RIGHT(AK895,4)),VALUE(LEFT(AK895,2)),VALUE(MID(AK895,4,2))),IF(ISNUMBER(SEARCH("-",AK895)),IF(LEN(LEFT(AK895,FIND("-",AK895)-1))=4,DATE(VALUE(LEFT(AK895,4)),VALUE(MID(AK895,6,2)),VALUE(RIGHT(AK895,2))),DATE(VALUE(RIGHT(AK895,4)),VALUE(MID(AK895,4,2)),VALUE(LEFT(AK895,2)))),DATE(VALUE(RIGHT(AK895,4)),MATCH(MID(AK895,4,3),{"Jan","Feb","Mar","Apr","May","Jun","Jul","Aug","Sep","Oct","Nov","Dec"},0),VALUE(LEFT(AK895,2))))))</f>
        <v>45451</v>
      </c>
      <c r="D895" s="4" t="s">
        <v>3236</v>
      </c>
      <c r="E895" s="0" t="str">
        <f aca="false">PROPER(TRIM(AL895))</f>
        <v>Aarav Sharma</v>
      </c>
      <c r="F895" s="0" t="str">
        <f aca="false">PROPER(TRIM(AM895))</f>
        <v>Corporate</v>
      </c>
      <c r="G895" s="0" t="str">
        <f aca="false">IF(TRIM(AN895)="","Unknown",PROPER(TRIM(AN895)))</f>
        <v>South</v>
      </c>
      <c r="H895" s="0" t="str">
        <f aca="false">PROPER(TRIM(AO895))</f>
        <v>Karnataka</v>
      </c>
      <c r="I895" s="0" t="str">
        <f aca="false">PROPER(TRIM(AP895))</f>
        <v>Bengaluru</v>
      </c>
      <c r="J895" s="0" t="str">
        <f aca="false">PROPER(TRIM(AQ895))</f>
        <v>Furniture</v>
      </c>
      <c r="K895" s="0" t="str">
        <f aca="false">PROPER(TRIM(AR895))</f>
        <v>Tables</v>
      </c>
      <c r="M895" s="0" t="str">
        <f aca="false">IF(TRIM(AS895)="","Unknown",PROPER(TRIM(AS895)))</f>
        <v>Second Class</v>
      </c>
      <c r="N895" s="0" t="n">
        <v>3</v>
      </c>
      <c r="O895" s="0" t="n">
        <v>395.49</v>
      </c>
      <c r="P895" s="5" t="n">
        <f aca="false">IF(AT895="","",IF(ISNUMBER(AT895),AT895,VALUE(SUBSTITUTE(AT895,"%",""))/100))</f>
        <v>0.05</v>
      </c>
      <c r="Q895" s="5" t="n">
        <f aca="false">IF(P895="",IF(AND(N895&lt;&gt;"",O895&lt;&gt;"",R895&lt;&gt;"",S895&lt;&gt;""),0,"REVIEW"),IF(OR(P895&lt;0,P895&gt;0.3),0,P895))</f>
        <v>0.05</v>
      </c>
      <c r="R895" s="0" t="n">
        <v>1127.15</v>
      </c>
      <c r="S895" s="0" t="n">
        <v>845.62</v>
      </c>
      <c r="T895" s="6" t="n">
        <f aca="false">N895*O895*(1-Q895)</f>
        <v>1127.1465</v>
      </c>
      <c r="U895" s="6" t="n">
        <f aca="false">T895-S895</f>
        <v>281.5265</v>
      </c>
      <c r="V895" s="7" t="n">
        <f aca="false">IF(T895=0,0,U895/T895)</f>
        <v>0.249769218109625</v>
      </c>
      <c r="W895" s="4" t="n">
        <f aca="false">C895-B895</f>
        <v>2</v>
      </c>
      <c r="X895" s="0" t="str">
        <f aca="false">TEXT(B895,"mmmm")</f>
        <v>June</v>
      </c>
      <c r="Y895" s="4" t="n">
        <f aca="false">YEAR(B895)</f>
        <v>2024</v>
      </c>
      <c r="Z895" s="0" t="str">
        <f aca="false">PROPER(TRIM(AU895))</f>
        <v>Paid</v>
      </c>
      <c r="AA895" s="0" t="str">
        <f aca="false">PROPER(TRIM(AV895))</f>
        <v>Returned</v>
      </c>
      <c r="AB895" s="0" t="str">
        <f aca="false">IF(TRIM(AN895)="","Yes","No")</f>
        <v>No</v>
      </c>
      <c r="AC895" s="0" t="str">
        <f aca="false">IF(TRIM(AS895)="","Yes","No")</f>
        <v>No</v>
      </c>
      <c r="AD895" s="0" t="str">
        <f aca="false">IF(AT895="","Yes","No")</f>
        <v>No</v>
      </c>
      <c r="AE895" s="0" t="str">
        <f aca="false">IF(W895&lt;0,"Yes","No")</f>
        <v>No</v>
      </c>
      <c r="AF895" s="0" t="str">
        <f aca="false">IF(P895="","No",IF(OR(P895&lt;0,P895&gt;0.3),"Yes","No"))</f>
        <v>No</v>
      </c>
      <c r="AG895" s="4" t="s">
        <v>50</v>
      </c>
      <c r="AH895" s="0" t="str">
        <f aca="false">IF(AND(AA895="Completed",Z895="Paid"),"Yes","No")</f>
        <v>No</v>
      </c>
      <c r="AI895" s="0" t="str">
        <f aca="false">IF(OR(AE895="Yes",AF895="Yes",AG895="Yes"),"Invalid",IF(OR(AB895="Yes",AC895="Yes",AD895="Yes"),"Warning","Clean"))</f>
        <v>Clean</v>
      </c>
      <c r="AJ895" s="4" t="s">
        <v>3237</v>
      </c>
      <c r="AK895" s="4" t="s">
        <v>3238</v>
      </c>
      <c r="AL895" s="4" t="s">
        <v>176</v>
      </c>
      <c r="AM895" s="4" t="s">
        <v>128</v>
      </c>
      <c r="AN895" s="4" t="s">
        <v>87</v>
      </c>
      <c r="AO895" s="4" t="s">
        <v>233</v>
      </c>
      <c r="AP895" s="4" t="s">
        <v>234</v>
      </c>
      <c r="AQ895" s="4" t="s">
        <v>72</v>
      </c>
      <c r="AR895" s="4" t="s">
        <v>73</v>
      </c>
      <c r="AS895" s="4" t="s">
        <v>60</v>
      </c>
      <c r="AT895" s="0" t="n">
        <v>0.05</v>
      </c>
      <c r="AU895" s="4" t="s">
        <v>61</v>
      </c>
      <c r="AV895" s="4" t="s">
        <v>142</v>
      </c>
    </row>
    <row r="896" customFormat="false" ht="15" hidden="false" customHeight="false" outlineLevel="0" collapsed="false">
      <c r="A896" s="0" t="s">
        <v>3239</v>
      </c>
      <c r="B896" s="3" t="n">
        <f aca="false">IF(AJ896="","",IF(ISNUMBER(SEARCH("/",AJ896)),DATE(VALUE(RIGHT(AJ896,4)),VALUE(LEFT(AJ896,2)),VALUE(MID(AJ896,4,2))),IF(ISNUMBER(SEARCH("-",AJ896)),IF(LEN(LEFT(AJ896,FIND("-",AJ896)-1))=4,DATE(VALUE(LEFT(AJ896,4)),VALUE(MID(AJ896,6,2)),VALUE(RIGHT(AJ896,2))),DATE(VALUE(RIGHT(AJ896,4)),VALUE(MID(AJ896,4,2)),VALUE(LEFT(AJ896,2)))),DATE(VALUE(RIGHT(AJ896,4)),MATCH(MID(AJ896,4,3),{"Jan","Feb","Mar","Apr","May","Jun","Jul","Aug","Sep","Oct","Nov","Dec"},0),VALUE(LEFT(AJ896,2))))))</f>
        <v>45344</v>
      </c>
      <c r="C896" s="3" t="n">
        <f aca="false">IF(AK896="","",IF(ISNUMBER(SEARCH("/",AK896)),DATE(VALUE(RIGHT(AK896,4)),VALUE(LEFT(AK896,2)),VALUE(MID(AK896,4,2))),IF(ISNUMBER(SEARCH("-",AK896)),IF(LEN(LEFT(AK896,FIND("-",AK896)-1))=4,DATE(VALUE(LEFT(AK896,4)),VALUE(MID(AK896,6,2)),VALUE(RIGHT(AK896,2))),DATE(VALUE(RIGHT(AK896,4)),VALUE(MID(AK896,4,2)),VALUE(LEFT(AK896,2)))),DATE(VALUE(RIGHT(AK896,4)),MATCH(MID(AK896,4,3),{"Jan","Feb","Mar","Apr","May","Jun","Jul","Aug","Sep","Oct","Nov","Dec"},0),VALUE(LEFT(AK896,2))))))</f>
        <v>45351</v>
      </c>
      <c r="D896" s="4" t="s">
        <v>3240</v>
      </c>
      <c r="E896" s="0" t="str">
        <f aca="false">PROPER(TRIM(AL896))</f>
        <v>Isha Nair</v>
      </c>
      <c r="F896" s="0" t="str">
        <f aca="false">PROPER(TRIM(AM896))</f>
        <v>Home Office</v>
      </c>
      <c r="G896" s="0" t="str">
        <f aca="false">IF(TRIM(AN896)="","Unknown",PROPER(TRIM(AN896)))</f>
        <v>South</v>
      </c>
      <c r="H896" s="0" t="str">
        <f aca="false">PROPER(TRIM(AO896))</f>
        <v>Telangana</v>
      </c>
      <c r="I896" s="0" t="str">
        <f aca="false">PROPER(TRIM(AP896))</f>
        <v>Hyderabad</v>
      </c>
      <c r="J896" s="0" t="str">
        <f aca="false">PROPER(TRIM(AQ896))</f>
        <v>Furniture</v>
      </c>
      <c r="K896" s="0" t="str">
        <f aca="false">PROPER(TRIM(AR896))</f>
        <v>Tables</v>
      </c>
      <c r="M896" s="0" t="str">
        <f aca="false">IF(TRIM(AS896)="","Unknown",PROPER(TRIM(AS896)))</f>
        <v>First Class</v>
      </c>
      <c r="N896" s="0" t="n">
        <v>6</v>
      </c>
      <c r="O896" s="0" t="n">
        <v>4254.05</v>
      </c>
      <c r="P896" s="5" t="n">
        <f aca="false">IF(AT896="","",IF(ISNUMBER(AT896),AT896,VALUE(SUBSTITUTE(AT896,"%",""))/100))</f>
        <v>0</v>
      </c>
      <c r="Q896" s="5" t="n">
        <f aca="false">IF(P896="",IF(AND(N896&lt;&gt;"",O896&lt;&gt;"",R896&lt;&gt;"",S896&lt;&gt;""),0,"REVIEW"),IF(OR(P896&lt;0,P896&gt;0.3),0,P896))</f>
        <v>0</v>
      </c>
      <c r="R896" s="0" t="n">
        <v>25524.3</v>
      </c>
      <c r="S896" s="0" t="n">
        <v>16711.93</v>
      </c>
      <c r="T896" s="6" t="n">
        <f aca="false">N896*O896*(1-Q896)</f>
        <v>25524.3</v>
      </c>
      <c r="U896" s="6" t="n">
        <f aca="false">T896-S896</f>
        <v>8812.37</v>
      </c>
      <c r="V896" s="7" t="n">
        <f aca="false">IF(T896=0,0,U896/T896)</f>
        <v>0.345254130377719</v>
      </c>
      <c r="W896" s="4" t="n">
        <f aca="false">C896-B896</f>
        <v>7</v>
      </c>
      <c r="X896" s="0" t="str">
        <f aca="false">TEXT(B896,"mmmm")</f>
        <v>February</v>
      </c>
      <c r="Y896" s="4" t="n">
        <f aca="false">YEAR(B896)</f>
        <v>2024</v>
      </c>
      <c r="Z896" s="0" t="str">
        <f aca="false">PROPER(TRIM(AU896))</f>
        <v>Paid</v>
      </c>
      <c r="AA896" s="0" t="str">
        <f aca="false">PROPER(TRIM(AV896))</f>
        <v>Completed</v>
      </c>
      <c r="AB896" s="0" t="str">
        <f aca="false">IF(TRIM(AN896)="","Yes","No")</f>
        <v>No</v>
      </c>
      <c r="AC896" s="0" t="str">
        <f aca="false">IF(TRIM(AS896)="","Yes","No")</f>
        <v>No</v>
      </c>
      <c r="AD896" s="0" t="str">
        <f aca="false">IF(AT896="","Yes","No")</f>
        <v>No</v>
      </c>
      <c r="AE896" s="0" t="str">
        <f aca="false">IF(W896&lt;0,"Yes","No")</f>
        <v>No</v>
      </c>
      <c r="AF896" s="0" t="str">
        <f aca="false">IF(P896="","No",IF(OR(P896&lt;0,P896&gt;0.3),"Yes","No"))</f>
        <v>No</v>
      </c>
      <c r="AG896" s="4" t="s">
        <v>50</v>
      </c>
      <c r="AH896" s="0" t="str">
        <f aca="false">IF(AND(AA896="Completed",Z896="Paid"),"Yes","No")</f>
        <v>Yes</v>
      </c>
      <c r="AI896" s="0" t="str">
        <f aca="false">IF(OR(AE896="Yes",AF896="Yes",AG896="Yes"),"Invalid",IF(OR(AB896="Yes",AC896="Yes",AD896="Yes"),"Warning","Clean"))</f>
        <v>Clean</v>
      </c>
      <c r="AJ896" s="4" t="s">
        <v>1602</v>
      </c>
      <c r="AK896" s="4" t="s">
        <v>3241</v>
      </c>
      <c r="AL896" s="4" t="s">
        <v>79</v>
      </c>
      <c r="AM896" s="4" t="s">
        <v>134</v>
      </c>
      <c r="AN896" s="4" t="s">
        <v>87</v>
      </c>
      <c r="AO896" s="4" t="s">
        <v>88</v>
      </c>
      <c r="AP896" s="4" t="s">
        <v>89</v>
      </c>
      <c r="AQ896" s="4" t="s">
        <v>72</v>
      </c>
      <c r="AR896" s="4" t="s">
        <v>73</v>
      </c>
      <c r="AS896" s="4" t="s">
        <v>81</v>
      </c>
      <c r="AT896" s="0" t="n">
        <v>0</v>
      </c>
      <c r="AU896" s="4" t="s">
        <v>61</v>
      </c>
      <c r="AV896" s="4" t="s">
        <v>62</v>
      </c>
    </row>
    <row r="897" customFormat="false" ht="15" hidden="false" customHeight="false" outlineLevel="0" collapsed="false">
      <c r="A897" s="0" t="s">
        <v>3242</v>
      </c>
      <c r="B897" s="3" t="n">
        <f aca="false">IF(AJ897="","",IF(ISNUMBER(SEARCH("/",AJ897)),DATE(VALUE(RIGHT(AJ897,4)),VALUE(LEFT(AJ897,2)),VALUE(MID(AJ897,4,2))),IF(ISNUMBER(SEARCH("-",AJ897)),IF(LEN(LEFT(AJ897,FIND("-",AJ897)-1))=4,DATE(VALUE(LEFT(AJ897,4)),VALUE(MID(AJ897,6,2)),VALUE(RIGHT(AJ897,2))),DATE(VALUE(RIGHT(AJ897,4)),VALUE(MID(AJ897,4,2)),VALUE(LEFT(AJ897,2)))),DATE(VALUE(RIGHT(AJ897,4)),MATCH(MID(AJ897,4,3),{"Jan","Feb","Mar","Apr","May","Jun","Jul","Aug","Sep","Oct","Nov","Dec"},0),VALUE(LEFT(AJ897,2))))))</f>
        <v>45601</v>
      </c>
      <c r="C897" s="3" t="n">
        <f aca="false">IF(AK897="","",IF(ISNUMBER(SEARCH("/",AK897)),DATE(VALUE(RIGHT(AK897,4)),VALUE(LEFT(AK897,2)),VALUE(MID(AK897,4,2))),IF(ISNUMBER(SEARCH("-",AK897)),IF(LEN(LEFT(AK897,FIND("-",AK897)-1))=4,DATE(VALUE(LEFT(AK897,4)),VALUE(MID(AK897,6,2)),VALUE(RIGHT(AK897,2))),DATE(VALUE(RIGHT(AK897,4)),VALUE(MID(AK897,4,2)),VALUE(LEFT(AK897,2)))),DATE(VALUE(RIGHT(AK897,4)),MATCH(MID(AK897,4,3),{"Jan","Feb","Mar","Apr","May","Jun","Jul","Aug","Sep","Oct","Nov","Dec"},0),VALUE(LEFT(AK897,2))))))</f>
        <v>45606</v>
      </c>
      <c r="D897" s="4" t="s">
        <v>3243</v>
      </c>
      <c r="E897" s="0" t="str">
        <f aca="false">PROPER(TRIM(AL897))</f>
        <v>Arjun Bose</v>
      </c>
      <c r="F897" s="0" t="str">
        <f aca="false">PROPER(TRIM(AM897))</f>
        <v>Consumer</v>
      </c>
      <c r="G897" s="0" t="str">
        <f aca="false">IF(TRIM(AN897)="","Unknown",PROPER(TRIM(AN897)))</f>
        <v>South</v>
      </c>
      <c r="H897" s="0" t="str">
        <f aca="false">PROPER(TRIM(AO897))</f>
        <v>Kerala</v>
      </c>
      <c r="I897" s="0" t="str">
        <f aca="false">PROPER(TRIM(AP897))</f>
        <v>Kochi</v>
      </c>
      <c r="J897" s="0" t="str">
        <f aca="false">PROPER(TRIM(AQ897))</f>
        <v>Furniture</v>
      </c>
      <c r="K897" s="0" t="str">
        <f aca="false">PROPER(TRIM(AR897))</f>
        <v>Chairs</v>
      </c>
      <c r="M897" s="0" t="str">
        <f aca="false">IF(TRIM(AS897)="","Unknown",PROPER(TRIM(AS897)))</f>
        <v>Same Day</v>
      </c>
      <c r="N897" s="0" t="n">
        <v>4</v>
      </c>
      <c r="O897" s="0" t="n">
        <v>711.18</v>
      </c>
      <c r="P897" s="5" t="n">
        <f aca="false">IF(AT897="","",IF(ISNUMBER(AT897),AT897,VALUE(SUBSTITUTE(AT897,"%",""))/100))</f>
        <v>0.15</v>
      </c>
      <c r="Q897" s="5" t="n">
        <f aca="false">IF(P897="",IF(AND(N897&lt;&gt;"",O897&lt;&gt;"",R897&lt;&gt;"",S897&lt;&gt;""),0,"REVIEW"),IF(OR(P897&lt;0,P897&gt;0.3),0,P897))</f>
        <v>0.15</v>
      </c>
      <c r="R897" s="0" t="n">
        <v>2418.01</v>
      </c>
      <c r="S897" s="0" t="n">
        <v>1441.89</v>
      </c>
      <c r="T897" s="6" t="n">
        <f aca="false">N897*O897*(1-Q897)</f>
        <v>2418.012</v>
      </c>
      <c r="U897" s="6" t="n">
        <f aca="false">T897-S897</f>
        <v>976.122</v>
      </c>
      <c r="V897" s="7" t="n">
        <f aca="false">IF(T897=0,0,U897/T897)</f>
        <v>0.403687822889216</v>
      </c>
      <c r="W897" s="4" t="n">
        <f aca="false">C897-B897</f>
        <v>5</v>
      </c>
      <c r="X897" s="0" t="str">
        <f aca="false">TEXT(B897,"mmmm")</f>
        <v>November</v>
      </c>
      <c r="Y897" s="4" t="n">
        <f aca="false">YEAR(B897)</f>
        <v>2024</v>
      </c>
      <c r="Z897" s="0" t="str">
        <f aca="false">PROPER(TRIM(AU897))</f>
        <v>Pending</v>
      </c>
      <c r="AA897" s="0" t="str">
        <f aca="false">PROPER(TRIM(AV897))</f>
        <v>Returned</v>
      </c>
      <c r="AB897" s="0" t="str">
        <f aca="false">IF(TRIM(AN897)="","Yes","No")</f>
        <v>No</v>
      </c>
      <c r="AC897" s="0" t="str">
        <f aca="false">IF(TRIM(AS897)="","Yes","No")</f>
        <v>No</v>
      </c>
      <c r="AD897" s="0" t="str">
        <f aca="false">IF(AT897="","Yes","No")</f>
        <v>No</v>
      </c>
      <c r="AE897" s="0" t="str">
        <f aca="false">IF(W897&lt;0,"Yes","No")</f>
        <v>No</v>
      </c>
      <c r="AF897" s="0" t="str">
        <f aca="false">IF(P897="","No",IF(OR(P897&lt;0,P897&gt;0.3),"Yes","No"))</f>
        <v>No</v>
      </c>
      <c r="AG897" s="4" t="s">
        <v>50</v>
      </c>
      <c r="AH897" s="0" t="str">
        <f aca="false">IF(AND(AA897="Completed",Z897="Paid"),"Yes","No")</f>
        <v>No</v>
      </c>
      <c r="AI897" s="0" t="str">
        <f aca="false">IF(OR(AE897="Yes",AF897="Yes",AG897="Yes"),"Invalid",IF(OR(AB897="Yes",AC897="Yes",AD897="Yes"),"Warning","Clean"))</f>
        <v>Clean</v>
      </c>
      <c r="AJ897" s="4" t="s">
        <v>3244</v>
      </c>
      <c r="AK897" s="4" t="s">
        <v>126</v>
      </c>
      <c r="AL897" s="4" t="s">
        <v>86</v>
      </c>
      <c r="AM897" s="4" t="s">
        <v>54</v>
      </c>
      <c r="AN897" s="4" t="s">
        <v>87</v>
      </c>
      <c r="AO897" s="4" t="s">
        <v>244</v>
      </c>
      <c r="AP897" s="4" t="s">
        <v>245</v>
      </c>
      <c r="AQ897" s="4" t="s">
        <v>72</v>
      </c>
      <c r="AR897" s="4" t="s">
        <v>100</v>
      </c>
      <c r="AS897" s="4" t="s">
        <v>74</v>
      </c>
      <c r="AT897" s="0" t="n">
        <v>0.15</v>
      </c>
      <c r="AU897" s="4" t="s">
        <v>153</v>
      </c>
      <c r="AV897" s="4" t="s">
        <v>142</v>
      </c>
    </row>
    <row r="898" customFormat="false" ht="15" hidden="false" customHeight="false" outlineLevel="0" collapsed="false">
      <c r="A898" s="0" t="s">
        <v>3245</v>
      </c>
      <c r="B898" s="3" t="n">
        <f aca="false">IF(AJ898="","",IF(ISNUMBER(SEARCH("/",AJ898)),DATE(VALUE(RIGHT(AJ898,4)),VALUE(LEFT(AJ898,2)),VALUE(MID(AJ898,4,2))),IF(ISNUMBER(SEARCH("-",AJ898)),IF(LEN(LEFT(AJ898,FIND("-",AJ898)-1))=4,DATE(VALUE(LEFT(AJ898,4)),VALUE(MID(AJ898,6,2)),VALUE(RIGHT(AJ898,2))),DATE(VALUE(RIGHT(AJ898,4)),VALUE(MID(AJ898,4,2)),VALUE(LEFT(AJ898,2)))),DATE(VALUE(RIGHT(AJ898,4)),MATCH(MID(AJ898,4,3),{"Jan","Feb","Mar","Apr","May","Jun","Jul","Aug","Sep","Oct","Nov","Dec"},0),VALUE(LEFT(AJ898,2))))))</f>
        <v>45650</v>
      </c>
      <c r="C898" s="3" t="n">
        <f aca="false">IF(AK898="","",IF(ISNUMBER(SEARCH("/",AK898)),DATE(VALUE(RIGHT(AK898,4)),VALUE(LEFT(AK898,2)),VALUE(MID(AK898,4,2))),IF(ISNUMBER(SEARCH("-",AK898)),IF(LEN(LEFT(AK898,FIND("-",AK898)-1))=4,DATE(VALUE(LEFT(AK898,4)),VALUE(MID(AK898,6,2)),VALUE(RIGHT(AK898,2))),DATE(VALUE(RIGHT(AK898,4)),VALUE(MID(AK898,4,2)),VALUE(LEFT(AK898,2)))),DATE(VALUE(RIGHT(AK898,4)),MATCH(MID(AK898,4,3),{"Jan","Feb","Mar","Apr","May","Jun","Jul","Aug","Sep","Oct","Nov","Dec"},0),VALUE(LEFT(AK898,2))))))</f>
        <v>45651</v>
      </c>
      <c r="D898" s="4" t="s">
        <v>3246</v>
      </c>
      <c r="E898" s="0" t="str">
        <f aca="false">PROPER(TRIM(AL898))</f>
        <v>Ananya Rao</v>
      </c>
      <c r="F898" s="0" t="str">
        <f aca="false">PROPER(TRIM(AM898))</f>
        <v>Small Business</v>
      </c>
      <c r="G898" s="0" t="str">
        <f aca="false">IF(TRIM(AN898)="","Unknown",PROPER(TRIM(AN898)))</f>
        <v>South</v>
      </c>
      <c r="H898" s="0" t="str">
        <f aca="false">PROPER(TRIM(AO898))</f>
        <v>Tamil Nadu</v>
      </c>
      <c r="I898" s="0" t="str">
        <f aca="false">PROPER(TRIM(AP898))</f>
        <v>Chennai</v>
      </c>
      <c r="J898" s="0" t="str">
        <f aca="false">PROPER(TRIM(AQ898))</f>
        <v>Technology</v>
      </c>
      <c r="K898" s="0" t="str">
        <f aca="false">PROPER(TRIM(AR898))</f>
        <v>Copiers</v>
      </c>
      <c r="M898" s="0" t="str">
        <f aca="false">IF(TRIM(AS898)="","Unknown",PROPER(TRIM(AS898)))</f>
        <v>Second Class</v>
      </c>
      <c r="N898" s="0" t="n">
        <v>1</v>
      </c>
      <c r="O898" s="0" t="n">
        <v>3693.03</v>
      </c>
      <c r="P898" s="5" t="n">
        <f aca="false">IF(AT898="","",IF(ISNUMBER(AT898),AT898,VALUE(SUBSTITUTE(AT898,"%",""))/100))</f>
        <v>0.05</v>
      </c>
      <c r="Q898" s="5" t="n">
        <f aca="false">IF(P898="",IF(AND(N898&lt;&gt;"",O898&lt;&gt;"",R898&lt;&gt;"",S898&lt;&gt;""),0,"REVIEW"),IF(OR(P898&lt;0,P898&gt;0.3),0,P898))</f>
        <v>0.05</v>
      </c>
      <c r="R898" s="0" t="n">
        <v>3508.38</v>
      </c>
      <c r="S898" s="0" t="n">
        <v>2828.06</v>
      </c>
      <c r="T898" s="6" t="n">
        <f aca="false">N898*O898*(1-Q898)</f>
        <v>3508.3785</v>
      </c>
      <c r="U898" s="6" t="n">
        <f aca="false">T898-S898</f>
        <v>680.3185</v>
      </c>
      <c r="V898" s="7" t="n">
        <f aca="false">IF(T898=0,0,U898/T898)</f>
        <v>0.193912515425573</v>
      </c>
      <c r="W898" s="4" t="n">
        <f aca="false">C898-B898</f>
        <v>1</v>
      </c>
      <c r="X898" s="0" t="str">
        <f aca="false">TEXT(B898,"mmmm")</f>
        <v>December</v>
      </c>
      <c r="Y898" s="4" t="n">
        <f aca="false">YEAR(B898)</f>
        <v>2024</v>
      </c>
      <c r="Z898" s="0" t="str">
        <f aca="false">PROPER(TRIM(AU898))</f>
        <v>Failed</v>
      </c>
      <c r="AA898" s="0" t="str">
        <f aca="false">PROPER(TRIM(AV898))</f>
        <v>Returned</v>
      </c>
      <c r="AB898" s="0" t="str">
        <f aca="false">IF(TRIM(AN898)="","Yes","No")</f>
        <v>No</v>
      </c>
      <c r="AC898" s="0" t="str">
        <f aca="false">IF(TRIM(AS898)="","Yes","No")</f>
        <v>No</v>
      </c>
      <c r="AD898" s="0" t="str">
        <f aca="false">IF(AT898="","Yes","No")</f>
        <v>No</v>
      </c>
      <c r="AE898" s="0" t="str">
        <f aca="false">IF(W898&lt;0,"Yes","No")</f>
        <v>No</v>
      </c>
      <c r="AF898" s="0" t="str">
        <f aca="false">IF(P898="","No",IF(OR(P898&lt;0,P898&gt;0.3),"Yes","No"))</f>
        <v>No</v>
      </c>
      <c r="AG898" s="4" t="s">
        <v>50</v>
      </c>
      <c r="AH898" s="0" t="str">
        <f aca="false">IF(AND(AA898="Completed",Z898="Paid"),"Yes","No")</f>
        <v>No</v>
      </c>
      <c r="AI898" s="0" t="str">
        <f aca="false">IF(OR(AE898="Yes",AF898="Yes",AG898="Yes"),"Invalid",IF(OR(AB898="Yes",AC898="Yes",AD898="Yes"),"Warning","Clean"))</f>
        <v>Clean</v>
      </c>
      <c r="AJ898" s="4" t="s">
        <v>3247</v>
      </c>
      <c r="AK898" s="4" t="s">
        <v>1927</v>
      </c>
      <c r="AL898" s="4" t="s">
        <v>96</v>
      </c>
      <c r="AM898" s="4" t="s">
        <v>68</v>
      </c>
      <c r="AN898" s="4" t="s">
        <v>87</v>
      </c>
      <c r="AO898" s="4" t="s">
        <v>323</v>
      </c>
      <c r="AP898" s="4" t="s">
        <v>324</v>
      </c>
      <c r="AQ898" s="4" t="s">
        <v>109</v>
      </c>
      <c r="AR898" s="4" t="s">
        <v>116</v>
      </c>
      <c r="AS898" s="4" t="s">
        <v>60</v>
      </c>
      <c r="AT898" s="0" t="n">
        <v>0.05</v>
      </c>
      <c r="AU898" s="4" t="s">
        <v>207</v>
      </c>
      <c r="AV898" s="4" t="s">
        <v>142</v>
      </c>
    </row>
    <row r="899" customFormat="false" ht="15" hidden="false" customHeight="false" outlineLevel="0" collapsed="false">
      <c r="A899" s="0" t="s">
        <v>3248</v>
      </c>
      <c r="B899" s="3" t="n">
        <f aca="false">IF(AJ899="","",IF(ISNUMBER(SEARCH("/",AJ899)),DATE(VALUE(RIGHT(AJ899,4)),VALUE(LEFT(AJ899,2)),VALUE(MID(AJ899,4,2))),IF(ISNUMBER(SEARCH("-",AJ899)),IF(LEN(LEFT(AJ899,FIND("-",AJ899)-1))=4,DATE(VALUE(LEFT(AJ899,4)),VALUE(MID(AJ899,6,2)),VALUE(RIGHT(AJ899,2))),DATE(VALUE(RIGHT(AJ899,4)),VALUE(MID(AJ899,4,2)),VALUE(LEFT(AJ899,2)))),DATE(VALUE(RIGHT(AJ899,4)),MATCH(MID(AJ899,4,3),{"Jan","Feb","Mar","Apr","May","Jun","Jul","Aug","Sep","Oct","Nov","Dec"},0),VALUE(LEFT(AJ899,2))))))</f>
        <v>45776</v>
      </c>
      <c r="C899" s="3" t="n">
        <f aca="false">IF(AK899="","",IF(ISNUMBER(SEARCH("/",AK899)),DATE(VALUE(RIGHT(AK899,4)),VALUE(LEFT(AK899,2)),VALUE(MID(AK899,4,2))),IF(ISNUMBER(SEARCH("-",AK899)),IF(LEN(LEFT(AK899,FIND("-",AK899)-1))=4,DATE(VALUE(LEFT(AK899,4)),VALUE(MID(AK899,6,2)),VALUE(RIGHT(AK899,2))),DATE(VALUE(RIGHT(AK899,4)),VALUE(MID(AK899,4,2)),VALUE(LEFT(AK899,2)))),DATE(VALUE(RIGHT(AK899,4)),MATCH(MID(AK899,4,3),{"Jan","Feb","Mar","Apr","May","Jun","Jul","Aug","Sep","Oct","Nov","Dec"},0),VALUE(LEFT(AK899,2))))))</f>
        <v>45780</v>
      </c>
      <c r="D899" s="4" t="s">
        <v>2579</v>
      </c>
      <c r="E899" s="0" t="str">
        <f aca="false">PROPER(TRIM(AL899))</f>
        <v>Rohan Mehta</v>
      </c>
      <c r="F899" s="0" t="str">
        <f aca="false">PROPER(TRIM(AM899))</f>
        <v>Corporate</v>
      </c>
      <c r="G899" s="0" t="str">
        <f aca="false">IF(TRIM(AN899)="","Unknown",PROPER(TRIM(AN899)))</f>
        <v>North</v>
      </c>
      <c r="H899" s="0" t="str">
        <f aca="false">PROPER(TRIM(AO899))</f>
        <v>Haryana</v>
      </c>
      <c r="I899" s="0" t="str">
        <f aca="false">PROPER(TRIM(AP899))</f>
        <v>Gurugram</v>
      </c>
      <c r="J899" s="0" t="str">
        <f aca="false">PROPER(TRIM(AQ899))</f>
        <v>Office Supplies</v>
      </c>
      <c r="K899" s="0" t="str">
        <f aca="false">PROPER(TRIM(AR899))</f>
        <v>Paper</v>
      </c>
      <c r="M899" s="0" t="str">
        <f aca="false">IF(TRIM(AS899)="","Unknown",PROPER(TRIM(AS899)))</f>
        <v>First Class</v>
      </c>
      <c r="N899" s="0" t="n">
        <v>4</v>
      </c>
      <c r="O899" s="0" t="n">
        <v>1786.65</v>
      </c>
      <c r="P899" s="5" t="n">
        <f aca="false">IF(AT899="","",IF(ISNUMBER(AT899),AT899,VALUE(SUBSTITUTE(AT899,"%",""))/100))</f>
        <v>0.05</v>
      </c>
      <c r="Q899" s="5" t="n">
        <f aca="false">IF(P899="",IF(AND(N899&lt;&gt;"",O899&lt;&gt;"",R899&lt;&gt;"",S899&lt;&gt;""),0,"REVIEW"),IF(OR(P899&lt;0,P899&gt;0.3),0,P899))</f>
        <v>0.05</v>
      </c>
      <c r="R899" s="0" t="n">
        <v>6789.27</v>
      </c>
      <c r="S899" s="0" t="n">
        <v>5626.43</v>
      </c>
      <c r="T899" s="6" t="n">
        <f aca="false">N899*O899*(1-Q899)</f>
        <v>6789.27</v>
      </c>
      <c r="U899" s="6" t="n">
        <f aca="false">T899-S899</f>
        <v>1162.84</v>
      </c>
      <c r="V899" s="7" t="n">
        <f aca="false">IF(T899=0,0,U899/T899)</f>
        <v>0.171276146036319</v>
      </c>
      <c r="W899" s="4" t="n">
        <f aca="false">C899-B899</f>
        <v>4</v>
      </c>
      <c r="X899" s="0" t="str">
        <f aca="false">TEXT(B899,"mmmm")</f>
        <v>April</v>
      </c>
      <c r="Y899" s="4" t="n">
        <f aca="false">YEAR(B899)</f>
        <v>2025</v>
      </c>
      <c r="Z899" s="0" t="str">
        <f aca="false">PROPER(TRIM(AU899))</f>
        <v>Paid</v>
      </c>
      <c r="AA899" s="0" t="str">
        <f aca="false">PROPER(TRIM(AV899))</f>
        <v>Completed</v>
      </c>
      <c r="AB899" s="0" t="str">
        <f aca="false">IF(TRIM(AN899)="","Yes","No")</f>
        <v>No</v>
      </c>
      <c r="AC899" s="0" t="str">
        <f aca="false">IF(TRIM(AS899)="","Yes","No")</f>
        <v>No</v>
      </c>
      <c r="AD899" s="0" t="str">
        <f aca="false">IF(AT899="","Yes","No")</f>
        <v>No</v>
      </c>
      <c r="AE899" s="0" t="str">
        <f aca="false">IF(W899&lt;0,"Yes","No")</f>
        <v>No</v>
      </c>
      <c r="AF899" s="0" t="str">
        <f aca="false">IF(P899="","No",IF(OR(P899&lt;0,P899&gt;0.3),"Yes","No"))</f>
        <v>No</v>
      </c>
      <c r="AG899" s="4" t="s">
        <v>50</v>
      </c>
      <c r="AH899" s="0" t="str">
        <f aca="false">IF(AND(AA899="Completed",Z899="Paid"),"Yes","No")</f>
        <v>Yes</v>
      </c>
      <c r="AI899" s="0" t="str">
        <f aca="false">IF(OR(AE899="Yes",AF899="Yes",AG899="Yes"),"Invalid",IF(OR(AB899="Yes",AC899="Yes",AD899="Yes"),"Warning","Clean"))</f>
        <v>Clean</v>
      </c>
      <c r="AJ899" s="4" t="s">
        <v>1005</v>
      </c>
      <c r="AK899" s="4" t="s">
        <v>3249</v>
      </c>
      <c r="AL899" s="4" t="s">
        <v>191</v>
      </c>
      <c r="AM899" s="4" t="s">
        <v>128</v>
      </c>
      <c r="AN899" s="4" t="s">
        <v>168</v>
      </c>
      <c r="AO899" s="4" t="s">
        <v>310</v>
      </c>
      <c r="AP899" s="4" t="s">
        <v>311</v>
      </c>
      <c r="AQ899" s="4" t="s">
        <v>58</v>
      </c>
      <c r="AR899" s="4" t="s">
        <v>59</v>
      </c>
      <c r="AS899" s="4" t="s">
        <v>81</v>
      </c>
      <c r="AT899" s="0" t="n">
        <v>0.05</v>
      </c>
      <c r="AU899" s="4" t="s">
        <v>61</v>
      </c>
      <c r="AV899" s="4" t="s">
        <v>62</v>
      </c>
    </row>
    <row r="900" customFormat="false" ht="15" hidden="false" customHeight="false" outlineLevel="0" collapsed="false">
      <c r="A900" s="0" t="s">
        <v>3250</v>
      </c>
      <c r="B900" s="3" t="n">
        <f aca="false">IF(AJ900="","",IF(ISNUMBER(SEARCH("/",AJ900)),DATE(VALUE(RIGHT(AJ900,4)),VALUE(LEFT(AJ900,2)),VALUE(MID(AJ900,4,2))),IF(ISNUMBER(SEARCH("-",AJ900)),IF(LEN(LEFT(AJ900,FIND("-",AJ900)-1))=4,DATE(VALUE(LEFT(AJ900,4)),VALUE(MID(AJ900,6,2)),VALUE(RIGHT(AJ900,2))),DATE(VALUE(RIGHT(AJ900,4)),VALUE(MID(AJ900,4,2)),VALUE(LEFT(AJ900,2)))),DATE(VALUE(RIGHT(AJ900,4)),MATCH(MID(AJ900,4,3),{"Jan","Feb","Mar","Apr","May","Jun","Jul","Aug","Sep","Oct","Nov","Dec"},0),VALUE(LEFT(AJ900,2))))))</f>
        <v>45445</v>
      </c>
      <c r="C900" s="3" t="n">
        <f aca="false">IF(AK900="","",IF(ISNUMBER(SEARCH("/",AK900)),DATE(VALUE(RIGHT(AK900,4)),VALUE(LEFT(AK900,2)),VALUE(MID(AK900,4,2))),IF(ISNUMBER(SEARCH("-",AK900)),IF(LEN(LEFT(AK900,FIND("-",AK900)-1))=4,DATE(VALUE(LEFT(AK900,4)),VALUE(MID(AK900,6,2)),VALUE(RIGHT(AK900,2))),DATE(VALUE(RIGHT(AK900,4)),VALUE(MID(AK900,4,2)),VALUE(LEFT(AK900,2)))),DATE(VALUE(RIGHT(AK900,4)),MATCH(MID(AK900,4,3),{"Jan","Feb","Mar","Apr","May","Jun","Jul","Aug","Sep","Oct","Nov","Dec"},0),VALUE(LEFT(AK900,2))))))</f>
        <v>45451</v>
      </c>
      <c r="D900" s="4" t="s">
        <v>3251</v>
      </c>
      <c r="E900" s="0" t="str">
        <f aca="false">PROPER(TRIM(AL900))</f>
        <v>Vikram Iyer</v>
      </c>
      <c r="F900" s="0" t="str">
        <f aca="false">PROPER(TRIM(AM900))</f>
        <v>Consumer</v>
      </c>
      <c r="G900" s="0" t="str">
        <f aca="false">IF(TRIM(AN900)="","Unknown",PROPER(TRIM(AN900)))</f>
        <v>North</v>
      </c>
      <c r="H900" s="0" t="str">
        <f aca="false">PROPER(TRIM(AO900))</f>
        <v>Delhi</v>
      </c>
      <c r="I900" s="0" t="str">
        <f aca="false">PROPER(TRIM(AP900))</f>
        <v>New Delhi</v>
      </c>
      <c r="J900" s="0" t="str">
        <f aca="false">PROPER(TRIM(AQ900))</f>
        <v>Furniture</v>
      </c>
      <c r="K900" s="0" t="str">
        <f aca="false">PROPER(TRIM(AR900))</f>
        <v>Tables</v>
      </c>
      <c r="M900" s="0" t="str">
        <f aca="false">IF(TRIM(AS900)="","Unknown",PROPER(TRIM(AS900)))</f>
        <v>First Class</v>
      </c>
      <c r="N900" s="0" t="n">
        <v>4</v>
      </c>
      <c r="O900" s="0" t="n">
        <v>1536.7</v>
      </c>
      <c r="P900" s="5" t="n">
        <f aca="false">IF(AT900="","",IF(ISNUMBER(AT900),AT900,VALUE(SUBSTITUTE(AT900,"%",""))/100))</f>
        <v>0.2</v>
      </c>
      <c r="Q900" s="5" t="n">
        <f aca="false">IF(P900="",IF(AND(N900&lt;&gt;"",O900&lt;&gt;"",R900&lt;&gt;"",S900&lt;&gt;""),0,"REVIEW"),IF(OR(P900&lt;0,P900&gt;0.3),0,P900))</f>
        <v>0.2</v>
      </c>
      <c r="R900" s="0" t="n">
        <v>4917.44</v>
      </c>
      <c r="S900" s="0" t="n">
        <v>3846.77</v>
      </c>
      <c r="T900" s="6" t="n">
        <f aca="false">N900*O900*(1-Q900)</f>
        <v>4917.44</v>
      </c>
      <c r="U900" s="6" t="n">
        <f aca="false">T900-S900</f>
        <v>1070.67</v>
      </c>
      <c r="V900" s="7" t="n">
        <f aca="false">IF(T900=0,0,U900/T900)</f>
        <v>0.217729143619444</v>
      </c>
      <c r="W900" s="4" t="n">
        <f aca="false">C900-B900</f>
        <v>6</v>
      </c>
      <c r="X900" s="0" t="str">
        <f aca="false">TEXT(B900,"mmmm")</f>
        <v>June</v>
      </c>
      <c r="Y900" s="4" t="n">
        <f aca="false">YEAR(B900)</f>
        <v>2024</v>
      </c>
      <c r="Z900" s="0" t="str">
        <f aca="false">PROPER(TRIM(AU900))</f>
        <v>Paid</v>
      </c>
      <c r="AA900" s="0" t="str">
        <f aca="false">PROPER(TRIM(AV900))</f>
        <v>Completed</v>
      </c>
      <c r="AB900" s="0" t="str">
        <f aca="false">IF(TRIM(AN900)="","Yes","No")</f>
        <v>No</v>
      </c>
      <c r="AC900" s="0" t="str">
        <f aca="false">IF(TRIM(AS900)="","Yes","No")</f>
        <v>No</v>
      </c>
      <c r="AD900" s="0" t="str">
        <f aca="false">IF(AT900="","Yes","No")</f>
        <v>No</v>
      </c>
      <c r="AE900" s="0" t="str">
        <f aca="false">IF(W900&lt;0,"Yes","No")</f>
        <v>No</v>
      </c>
      <c r="AF900" s="0" t="str">
        <f aca="false">IF(P900="","No",IF(OR(P900&lt;0,P900&gt;0.3),"Yes","No"))</f>
        <v>No</v>
      </c>
      <c r="AG900" s="4" t="s">
        <v>50</v>
      </c>
      <c r="AH900" s="0" t="str">
        <f aca="false">IF(AND(AA900="Completed",Z900="Paid"),"Yes","No")</f>
        <v>Yes</v>
      </c>
      <c r="AI900" s="0" t="str">
        <f aca="false">IF(OR(AE900="Yes",AF900="Yes",AG900="Yes"),"Invalid",IF(OR(AB900="Yes",AC900="Yes",AD900="Yes"),"Warning","Clean"))</f>
        <v>Clean</v>
      </c>
      <c r="AJ900" s="4" t="s">
        <v>2918</v>
      </c>
      <c r="AK900" s="4" t="s">
        <v>77</v>
      </c>
      <c r="AL900" s="4" t="s">
        <v>106</v>
      </c>
      <c r="AM900" s="4" t="s">
        <v>54</v>
      </c>
      <c r="AN900" s="4" t="s">
        <v>168</v>
      </c>
      <c r="AO900" s="4" t="s">
        <v>461</v>
      </c>
      <c r="AP900" s="4" t="s">
        <v>462</v>
      </c>
      <c r="AQ900" s="4" t="s">
        <v>72</v>
      </c>
      <c r="AR900" s="4" t="s">
        <v>73</v>
      </c>
      <c r="AS900" s="4" t="s">
        <v>81</v>
      </c>
      <c r="AT900" s="0" t="n">
        <v>0.2</v>
      </c>
      <c r="AU900" s="4" t="s">
        <v>61</v>
      </c>
      <c r="AV900" s="4" t="s">
        <v>62</v>
      </c>
    </row>
    <row r="901" customFormat="false" ht="15" hidden="false" customHeight="false" outlineLevel="0" collapsed="false">
      <c r="A901" s="0" t="s">
        <v>3252</v>
      </c>
      <c r="B901" s="3" t="n">
        <f aca="false">IF(AJ901="","",IF(ISNUMBER(SEARCH("/",AJ901)),DATE(VALUE(RIGHT(AJ901,4)),VALUE(LEFT(AJ901,2)),VALUE(MID(AJ901,4,2))),IF(ISNUMBER(SEARCH("-",AJ901)),IF(LEN(LEFT(AJ901,FIND("-",AJ901)-1))=4,DATE(VALUE(LEFT(AJ901,4)),VALUE(MID(AJ901,6,2)),VALUE(RIGHT(AJ901,2))),DATE(VALUE(RIGHT(AJ901,4)),VALUE(MID(AJ901,4,2)),VALUE(LEFT(AJ901,2)))),DATE(VALUE(RIGHT(AJ901,4)),MATCH(MID(AJ901,4,3),{"Jan","Feb","Mar","Apr","May","Jun","Jul","Aug","Sep","Oct","Nov","Dec"},0),VALUE(LEFT(AJ901,2))))))</f>
        <v>45804</v>
      </c>
      <c r="C901" s="3" t="n">
        <f aca="false">IF(AK901="","",IF(ISNUMBER(SEARCH("/",AK901)),DATE(VALUE(RIGHT(AK901,4)),VALUE(LEFT(AK901,2)),VALUE(MID(AK901,4,2))),IF(ISNUMBER(SEARCH("-",AK901)),IF(LEN(LEFT(AK901,FIND("-",AK901)-1))=4,DATE(VALUE(LEFT(AK901,4)),VALUE(MID(AK901,6,2)),VALUE(RIGHT(AK901,2))),DATE(VALUE(RIGHT(AK901,4)),VALUE(MID(AK901,4,2)),VALUE(LEFT(AK901,2)))),DATE(VALUE(RIGHT(AK901,4)),MATCH(MID(AK901,4,3),{"Jan","Feb","Mar","Apr","May","Jun","Jul","Aug","Sep","Oct","Nov","Dec"},0),VALUE(LEFT(AK901,2))))))</f>
        <v>45811</v>
      </c>
      <c r="D901" s="4" t="s">
        <v>3253</v>
      </c>
      <c r="E901" s="0" t="str">
        <f aca="false">PROPER(TRIM(AL901))</f>
        <v>Karan Malhotra</v>
      </c>
      <c r="F901" s="0" t="str">
        <f aca="false">PROPER(TRIM(AM901))</f>
        <v>Consumer</v>
      </c>
      <c r="G901" s="0" t="str">
        <f aca="false">IF(TRIM(AN901)="","Unknown",PROPER(TRIM(AN901)))</f>
        <v>North</v>
      </c>
      <c r="H901" s="0" t="str">
        <f aca="false">PROPER(TRIM(AO901))</f>
        <v>Punjab</v>
      </c>
      <c r="I901" s="0" t="str">
        <f aca="false">PROPER(TRIM(AP901))</f>
        <v>Ludhiana</v>
      </c>
      <c r="J901" s="0" t="str">
        <f aca="false">PROPER(TRIM(AQ901))</f>
        <v>Furniture</v>
      </c>
      <c r="K901" s="0" t="str">
        <f aca="false">PROPER(TRIM(AR901))</f>
        <v>Chairs</v>
      </c>
      <c r="M901" s="0" t="str">
        <f aca="false">IF(TRIM(AS901)="","Unknown",PROPER(TRIM(AS901)))</f>
        <v>First Class</v>
      </c>
      <c r="N901" s="0" t="n">
        <v>5</v>
      </c>
      <c r="O901" s="0" t="n">
        <v>881.08</v>
      </c>
      <c r="P901" s="5" t="n">
        <f aca="false">IF(AT901="","",IF(ISNUMBER(AT901),AT901,VALUE(SUBSTITUTE(AT901,"%",""))/100))</f>
        <v>0.25</v>
      </c>
      <c r="Q901" s="5" t="n">
        <f aca="false">IF(P901="",IF(AND(N901&lt;&gt;"",O901&lt;&gt;"",R901&lt;&gt;"",S901&lt;&gt;""),0,"REVIEW"),IF(OR(P901&lt;0,P901&gt;0.3),0,P901))</f>
        <v>0.25</v>
      </c>
      <c r="R901" s="0" t="n">
        <v>3304.05</v>
      </c>
      <c r="S901" s="0" t="n">
        <v>2279.41</v>
      </c>
      <c r="T901" s="6" t="n">
        <f aca="false">N901*O901*(1-Q901)</f>
        <v>3304.05</v>
      </c>
      <c r="U901" s="6" t="n">
        <f aca="false">T901-S901</f>
        <v>1024.64</v>
      </c>
      <c r="V901" s="7" t="n">
        <f aca="false">IF(T901=0,0,U901/T901)</f>
        <v>0.310116372330927</v>
      </c>
      <c r="W901" s="4" t="n">
        <f aca="false">C901-B901</f>
        <v>7</v>
      </c>
      <c r="X901" s="0" t="str">
        <f aca="false">TEXT(B901,"mmmm")</f>
        <v>May</v>
      </c>
      <c r="Y901" s="4" t="n">
        <f aca="false">YEAR(B901)</f>
        <v>2025</v>
      </c>
      <c r="Z901" s="0" t="str">
        <f aca="false">PROPER(TRIM(AU901))</f>
        <v>Failed</v>
      </c>
      <c r="AA901" s="0" t="str">
        <f aca="false">PROPER(TRIM(AV901))</f>
        <v>Cancelled</v>
      </c>
      <c r="AB901" s="0" t="str">
        <f aca="false">IF(TRIM(AN901)="","Yes","No")</f>
        <v>No</v>
      </c>
      <c r="AC901" s="0" t="str">
        <f aca="false">IF(TRIM(AS901)="","Yes","No")</f>
        <v>No</v>
      </c>
      <c r="AD901" s="0" t="str">
        <f aca="false">IF(AT901="","Yes","No")</f>
        <v>No</v>
      </c>
      <c r="AE901" s="0" t="str">
        <f aca="false">IF(W901&lt;0,"Yes","No")</f>
        <v>No</v>
      </c>
      <c r="AF901" s="0" t="str">
        <f aca="false">IF(P901="","No",IF(OR(P901&lt;0,P901&gt;0.3),"Yes","No"))</f>
        <v>No</v>
      </c>
      <c r="AG901" s="4" t="s">
        <v>50</v>
      </c>
      <c r="AH901" s="0" t="str">
        <f aca="false">IF(AND(AA901="Completed",Z901="Paid"),"Yes","No")</f>
        <v>No</v>
      </c>
      <c r="AI901" s="0" t="str">
        <f aca="false">IF(OR(AE901="Yes",AF901="Yes",AG901="Yes"),"Invalid",IF(OR(AB901="Yes",AC901="Yes",AD901="Yes"),"Warning","Clean"))</f>
        <v>Clean</v>
      </c>
      <c r="AJ901" s="4" t="s">
        <v>1399</v>
      </c>
      <c r="AK901" s="4" t="s">
        <v>3254</v>
      </c>
      <c r="AL901" s="4" t="s">
        <v>53</v>
      </c>
      <c r="AM901" s="4" t="s">
        <v>54</v>
      </c>
      <c r="AN901" s="4" t="s">
        <v>168</v>
      </c>
      <c r="AO901" s="4" t="s">
        <v>169</v>
      </c>
      <c r="AP901" s="4" t="s">
        <v>170</v>
      </c>
      <c r="AQ901" s="4" t="s">
        <v>72</v>
      </c>
      <c r="AR901" s="4" t="s">
        <v>100</v>
      </c>
      <c r="AS901" s="4" t="s">
        <v>81</v>
      </c>
      <c r="AT901" s="0" t="n">
        <v>0.25</v>
      </c>
      <c r="AU901" s="4" t="s">
        <v>207</v>
      </c>
      <c r="AV901" s="4" t="s">
        <v>101</v>
      </c>
    </row>
    <row r="902" customFormat="false" ht="15" hidden="false" customHeight="false" outlineLevel="0" collapsed="false">
      <c r="A902" s="0" t="s">
        <v>1394</v>
      </c>
      <c r="B902" s="3" t="n">
        <f aca="false">IF(AJ902="","",IF(ISNUMBER(SEARCH("/",AJ902)),DATE(VALUE(RIGHT(AJ902,4)),VALUE(LEFT(AJ902,2)),VALUE(MID(AJ902,4,2))),IF(ISNUMBER(SEARCH("-",AJ902)),IF(LEN(LEFT(AJ902,FIND("-",AJ902)-1))=4,DATE(VALUE(LEFT(AJ902,4)),VALUE(MID(AJ902,6,2)),VALUE(RIGHT(AJ902,2))),DATE(VALUE(RIGHT(AJ902,4)),VALUE(MID(AJ902,4,2)),VALUE(LEFT(AJ902,2)))),DATE(VALUE(RIGHT(AJ902,4)),MATCH(MID(AJ902,4,3),{"Jan","Feb","Mar","Apr","May","Jun","Jul","Aug","Sep","Oct","Nov","Dec"},0),VALUE(LEFT(AJ902,2))))))</f>
        <v>45630</v>
      </c>
      <c r="C902" s="3" t="n">
        <f aca="false">IF(AK902="","",IF(ISNUMBER(SEARCH("/",AK902)),DATE(VALUE(RIGHT(AK902,4)),VALUE(LEFT(AK902,2)),VALUE(MID(AK902,4,2))),IF(ISNUMBER(SEARCH("-",AK902)),IF(LEN(LEFT(AK902,FIND("-",AK902)-1))=4,DATE(VALUE(LEFT(AK902,4)),VALUE(MID(AK902,6,2)),VALUE(RIGHT(AK902,2))),DATE(VALUE(RIGHT(AK902,4)),VALUE(MID(AK902,4,2)),VALUE(LEFT(AK902,2)))),DATE(VALUE(RIGHT(AK902,4)),MATCH(MID(AK902,4,3),{"Jan","Feb","Mar","Apr","May","Jun","Jul","Aug","Sep","Oct","Nov","Dec"},0),VALUE(LEFT(AK902,2))))))</f>
        <v>45632</v>
      </c>
      <c r="D902" s="4" t="s">
        <v>1395</v>
      </c>
      <c r="E902" s="0" t="str">
        <f aca="false">PROPER(TRIM(AL902))</f>
        <v>Sneha Kapoor</v>
      </c>
      <c r="F902" s="0" t="str">
        <f aca="false">PROPER(TRIM(AM902))</f>
        <v>Home Office</v>
      </c>
      <c r="G902" s="0" t="str">
        <f aca="false">IF(TRIM(AN902)="","Unknown",PROPER(TRIM(AN902)))</f>
        <v>East</v>
      </c>
      <c r="H902" s="0" t="str">
        <f aca="false">PROPER(TRIM(AO902))</f>
        <v>Odisha</v>
      </c>
      <c r="I902" s="0" t="str">
        <f aca="false">PROPER(TRIM(AP902))</f>
        <v>Bhubaneswar</v>
      </c>
      <c r="J902" s="0" t="str">
        <f aca="false">PROPER(TRIM(AQ902))</f>
        <v>Office Supplies</v>
      </c>
      <c r="K902" s="0" t="str">
        <f aca="false">PROPER(TRIM(AR902))</f>
        <v>Binders</v>
      </c>
      <c r="M902" s="0" t="str">
        <f aca="false">IF(TRIM(AS902)="","Unknown",PROPER(TRIM(AS902)))</f>
        <v>Second Class</v>
      </c>
      <c r="N902" s="0" t="n">
        <v>4</v>
      </c>
      <c r="O902" s="0" t="n">
        <v>2685.66</v>
      </c>
      <c r="P902" s="5" t="n">
        <f aca="false">IF(AT902="","",IF(ISNUMBER(AT902),AT902,VALUE(SUBSTITUTE(AT902,"%",""))/100))</f>
        <v>0</v>
      </c>
      <c r="Q902" s="5" t="n">
        <f aca="false">IF(P902="",IF(AND(N902&lt;&gt;"",O902&lt;&gt;"",R902&lt;&gt;"",S902&lt;&gt;""),0,"REVIEW"),IF(OR(P902&lt;0,P902&gt;0.3),0,P902))</f>
        <v>0</v>
      </c>
      <c r="R902" s="0" t="n">
        <v>10989.89</v>
      </c>
      <c r="S902" s="0" t="n">
        <v>6477.37</v>
      </c>
      <c r="T902" s="6" t="n">
        <f aca="false">N902*O902*(1-Q902)</f>
        <v>10742.64</v>
      </c>
      <c r="U902" s="6" t="n">
        <f aca="false">T902-S902</f>
        <v>4265.27</v>
      </c>
      <c r="V902" s="7" t="n">
        <f aca="false">IF(T902=0,0,U902/T902)</f>
        <v>0.397041137001705</v>
      </c>
      <c r="W902" s="4" t="n">
        <f aca="false">C902-B902</f>
        <v>2</v>
      </c>
      <c r="X902" s="0" t="str">
        <f aca="false">TEXT(B902,"mmmm")</f>
        <v>December</v>
      </c>
      <c r="Y902" s="4" t="n">
        <f aca="false">YEAR(B902)</f>
        <v>2024</v>
      </c>
      <c r="Z902" s="0" t="str">
        <f aca="false">PROPER(TRIM(AU902))</f>
        <v>Paid</v>
      </c>
      <c r="AA902" s="0" t="str">
        <f aca="false">PROPER(TRIM(AV902))</f>
        <v>Completed</v>
      </c>
      <c r="AB902" s="0" t="str">
        <f aca="false">IF(TRIM(AN902)="","Yes","No")</f>
        <v>No</v>
      </c>
      <c r="AC902" s="0" t="str">
        <f aca="false">IF(TRIM(AS902)="","Yes","No")</f>
        <v>No</v>
      </c>
      <c r="AD902" s="0" t="str">
        <f aca="false">IF(AT902="","Yes","No")</f>
        <v>No</v>
      </c>
      <c r="AE902" s="0" t="str">
        <f aca="false">IF(W902&lt;0,"Yes","No")</f>
        <v>No</v>
      </c>
      <c r="AF902" s="0" t="str">
        <f aca="false">IF(P902="","No",IF(OR(P902&lt;0,P902&gt;0.3),"Yes","No"))</f>
        <v>No</v>
      </c>
      <c r="AG902" s="4" t="s">
        <v>497</v>
      </c>
      <c r="AH902" s="0" t="str">
        <f aca="false">IF(AND(AA902="Completed",Z902="Paid"),"Yes","No")</f>
        <v>Yes</v>
      </c>
      <c r="AI902" s="0" t="str">
        <f aca="false">IF(OR(AE902="Yes",AF902="Yes",AG902="Yes"),"Invalid",IF(OR(AB902="Yes",AC902="Yes",AD902="Yes"),"Warning","Clean"))</f>
        <v>Invalid</v>
      </c>
      <c r="AJ902" s="4" t="s">
        <v>624</v>
      </c>
      <c r="AK902" s="4" t="s">
        <v>1396</v>
      </c>
      <c r="AL902" s="4" t="s">
        <v>181</v>
      </c>
      <c r="AM902" s="4" t="s">
        <v>134</v>
      </c>
      <c r="AN902" s="4" t="s">
        <v>69</v>
      </c>
      <c r="AO902" s="4" t="s">
        <v>70</v>
      </c>
      <c r="AP902" s="4" t="s">
        <v>71</v>
      </c>
      <c r="AQ902" s="4" t="s">
        <v>58</v>
      </c>
      <c r="AR902" s="4" t="s">
        <v>206</v>
      </c>
      <c r="AS902" s="4" t="s">
        <v>60</v>
      </c>
      <c r="AT902" s="0" t="n">
        <v>0</v>
      </c>
      <c r="AU902" s="4" t="s">
        <v>61</v>
      </c>
      <c r="AV902" s="4" t="s">
        <v>62</v>
      </c>
    </row>
    <row r="903" customFormat="false" ht="15" hidden="false" customHeight="false" outlineLevel="0" collapsed="false">
      <c r="A903" s="0" t="s">
        <v>495</v>
      </c>
      <c r="B903" s="3" t="n">
        <f aca="false">IF(AJ903="","",IF(ISNUMBER(SEARCH("/",AJ903)),DATE(VALUE(RIGHT(AJ903,4)),VALUE(LEFT(AJ903,2)),VALUE(MID(AJ903,4,2))),IF(ISNUMBER(SEARCH("-",AJ903)),IF(LEN(LEFT(AJ903,FIND("-",AJ903)-1))=4,DATE(VALUE(LEFT(AJ903,4)),VALUE(MID(AJ903,6,2)),VALUE(RIGHT(AJ903,2))),DATE(VALUE(RIGHT(AJ903,4)),VALUE(MID(AJ903,4,2)),VALUE(LEFT(AJ903,2)))),DATE(VALUE(RIGHT(AJ903,4)),MATCH(MID(AJ903,4,3),{"Jan","Feb","Mar","Apr","May","Jun","Jul","Aug","Sep","Oct","Nov","Dec"},0),VALUE(LEFT(AJ903,2))))))</f>
        <v>45893</v>
      </c>
      <c r="C903" s="3" t="n">
        <f aca="false">IF(AK903="","",IF(ISNUMBER(SEARCH("/",AK903)),DATE(VALUE(RIGHT(AK903,4)),VALUE(LEFT(AK903,2)),VALUE(MID(AK903,4,2))),IF(ISNUMBER(SEARCH("-",AK903)),IF(LEN(LEFT(AK903,FIND("-",AK903)-1))=4,DATE(VALUE(LEFT(AK903,4)),VALUE(MID(AK903,6,2)),VALUE(RIGHT(AK903,2))),DATE(VALUE(RIGHT(AK903,4)),VALUE(MID(AK903,4,2)),VALUE(LEFT(AK903,2)))),DATE(VALUE(RIGHT(AK903,4)),MATCH(MID(AK903,4,3),{"Jan","Feb","Mar","Apr","May","Jun","Jul","Aug","Sep","Oct","Nov","Dec"},0),VALUE(LEFT(AK903,2))))))</f>
        <v>45898</v>
      </c>
      <c r="D903" s="4" t="s">
        <v>496</v>
      </c>
      <c r="E903" s="0" t="str">
        <f aca="false">PROPER(TRIM(AL903))</f>
        <v>Aarav Sharma</v>
      </c>
      <c r="F903" s="0" t="str">
        <f aca="false">PROPER(TRIM(AM903))</f>
        <v>Small Business</v>
      </c>
      <c r="G903" s="0" t="str">
        <f aca="false">IF(TRIM(AN903)="","Unknown",PROPER(TRIM(AN903)))</f>
        <v>East</v>
      </c>
      <c r="H903" s="0" t="str">
        <f aca="false">PROPER(TRIM(AO903))</f>
        <v>Bihar</v>
      </c>
      <c r="I903" s="0" t="str">
        <f aca="false">PROPER(TRIM(AP903))</f>
        <v>Patna</v>
      </c>
      <c r="J903" s="0" t="str">
        <f aca="false">PROPER(TRIM(AQ903))</f>
        <v>Technology</v>
      </c>
      <c r="K903" s="0" t="str">
        <f aca="false">PROPER(TRIM(AR903))</f>
        <v>Copiers</v>
      </c>
      <c r="M903" s="0" t="str">
        <f aca="false">IF(TRIM(AS903)="","Unknown",PROPER(TRIM(AS903)))</f>
        <v>First Class</v>
      </c>
      <c r="N903" s="0" t="n">
        <v>3</v>
      </c>
      <c r="O903" s="0" t="n">
        <v>3703.96</v>
      </c>
      <c r="P903" s="5" t="n">
        <f aca="false">IF(AT903="","",IF(ISNUMBER(AT903),AT903,VALUE(SUBSTITUTE(AT903,"%",""))/100))</f>
        <v>0.15</v>
      </c>
      <c r="Q903" s="5" t="n">
        <f aca="false">IF(P903="",IF(AND(N903&lt;&gt;"",O903&lt;&gt;"",R903&lt;&gt;"",S903&lt;&gt;""),0,"REVIEW"),IF(OR(P903&lt;0,P903&gt;0.3),0,P903))</f>
        <v>0.15</v>
      </c>
      <c r="R903" s="0" t="n">
        <v>9549.44</v>
      </c>
      <c r="S903" s="0" t="n">
        <v>5586.28</v>
      </c>
      <c r="T903" s="6" t="n">
        <f aca="false">N903*O903*(1-Q903)</f>
        <v>9445.098</v>
      </c>
      <c r="U903" s="6" t="n">
        <f aca="false">T903-S903</f>
        <v>3858.818</v>
      </c>
      <c r="V903" s="7" t="n">
        <f aca="false">IF(T903=0,0,U903/T903)</f>
        <v>0.4085524575817</v>
      </c>
      <c r="W903" s="4" t="n">
        <f aca="false">C903-B903</f>
        <v>5</v>
      </c>
      <c r="X903" s="0" t="str">
        <f aca="false">TEXT(B903,"mmmm")</f>
        <v>August</v>
      </c>
      <c r="Y903" s="4" t="n">
        <f aca="false">YEAR(B903)</f>
        <v>2025</v>
      </c>
      <c r="Z903" s="0" t="str">
        <f aca="false">PROPER(TRIM(AU903))</f>
        <v>Paid</v>
      </c>
      <c r="AA903" s="0" t="str">
        <f aca="false">PROPER(TRIM(AV903))</f>
        <v>Returned</v>
      </c>
      <c r="AB903" s="0" t="str">
        <f aca="false">IF(TRIM(AN903)="","Yes","No")</f>
        <v>No</v>
      </c>
      <c r="AC903" s="0" t="str">
        <f aca="false">IF(TRIM(AS903)="","Yes","No")</f>
        <v>No</v>
      </c>
      <c r="AD903" s="0" t="str">
        <f aca="false">IF(AT903="","Yes","No")</f>
        <v>No</v>
      </c>
      <c r="AE903" s="0" t="str">
        <f aca="false">IF(W903&lt;0,"Yes","No")</f>
        <v>No</v>
      </c>
      <c r="AF903" s="0" t="str">
        <f aca="false">IF(P903="","No",IF(OR(P903&lt;0,P903&gt;0.3),"Yes","No"))</f>
        <v>No</v>
      </c>
      <c r="AG903" s="4" t="s">
        <v>497</v>
      </c>
      <c r="AH903" s="0" t="str">
        <f aca="false">IF(AND(AA903="Completed",Z903="Paid"),"Yes","No")</f>
        <v>No</v>
      </c>
      <c r="AI903" s="0" t="str">
        <f aca="false">IF(OR(AE903="Yes",AF903="Yes",AG903="Yes"),"Invalid",IF(OR(AB903="Yes",AC903="Yes",AD903="Yes"),"Warning","Clean"))</f>
        <v>Invalid</v>
      </c>
      <c r="AJ903" s="4" t="s">
        <v>498</v>
      </c>
      <c r="AK903" s="4" t="s">
        <v>94</v>
      </c>
      <c r="AL903" s="4" t="s">
        <v>176</v>
      </c>
      <c r="AM903" s="4" t="s">
        <v>68</v>
      </c>
      <c r="AN903" s="4" t="s">
        <v>69</v>
      </c>
      <c r="AO903" s="4" t="s">
        <v>196</v>
      </c>
      <c r="AP903" s="4" t="s">
        <v>197</v>
      </c>
      <c r="AQ903" s="4" t="s">
        <v>109</v>
      </c>
      <c r="AR903" s="4" t="s">
        <v>116</v>
      </c>
      <c r="AS903" s="4" t="s">
        <v>81</v>
      </c>
      <c r="AT903" s="0" t="n">
        <v>0.15</v>
      </c>
      <c r="AU903" s="4" t="s">
        <v>61</v>
      </c>
      <c r="AV903" s="4" t="s">
        <v>142</v>
      </c>
    </row>
    <row r="904" customFormat="false" ht="15" hidden="false" customHeight="false" outlineLevel="0" collapsed="false">
      <c r="A904" s="0" t="s">
        <v>1536</v>
      </c>
      <c r="B904" s="3" t="n">
        <f aca="false">IF(AJ904="","",IF(ISNUMBER(SEARCH("/",AJ904)),DATE(VALUE(RIGHT(AJ904,4)),VALUE(LEFT(AJ904,2)),VALUE(MID(AJ904,4,2))),IF(ISNUMBER(SEARCH("-",AJ904)),IF(LEN(LEFT(AJ904,FIND("-",AJ904)-1))=4,DATE(VALUE(LEFT(AJ904,4)),VALUE(MID(AJ904,6,2)),VALUE(RIGHT(AJ904,2))),DATE(VALUE(RIGHT(AJ904,4)),VALUE(MID(AJ904,4,2)),VALUE(LEFT(AJ904,2)))),DATE(VALUE(RIGHT(AJ904,4)),MATCH(MID(AJ904,4,3),{"Jan","Feb","Mar","Apr","May","Jun","Jul","Aug","Sep","Oct","Nov","Dec"},0),VALUE(LEFT(AJ904,2))))))</f>
        <v>45760</v>
      </c>
      <c r="C904" s="3" t="n">
        <f aca="false">IF(AK904="","",IF(ISNUMBER(SEARCH("/",AK904)),DATE(VALUE(RIGHT(AK904,4)),VALUE(LEFT(AK904,2)),VALUE(MID(AK904,4,2))),IF(ISNUMBER(SEARCH("-",AK904)),IF(LEN(LEFT(AK904,FIND("-",AK904)-1))=4,DATE(VALUE(LEFT(AK904,4)),VALUE(MID(AK904,6,2)),VALUE(RIGHT(AK904,2))),DATE(VALUE(RIGHT(AK904,4)),VALUE(MID(AK904,4,2)),VALUE(LEFT(AK904,2)))),DATE(VALUE(RIGHT(AK904,4)),MATCH(MID(AK904,4,3),{"Jan","Feb","Mar","Apr","May","Jun","Jul","Aug","Sep","Oct","Nov","Dec"},0),VALUE(LEFT(AK904,2))))))</f>
        <v>45760</v>
      </c>
      <c r="D904" s="4" t="s">
        <v>1537</v>
      </c>
      <c r="E904" s="0" t="str">
        <f aca="false">PROPER(TRIM(AL904))</f>
        <v>Sneha Kapoor</v>
      </c>
      <c r="F904" s="0" t="str">
        <f aca="false">PROPER(TRIM(AM904))</f>
        <v>Small Business</v>
      </c>
      <c r="G904" s="0" t="str">
        <f aca="false">IF(TRIM(AN904)="","Unknown",PROPER(TRIM(AN904)))</f>
        <v>North</v>
      </c>
      <c r="H904" s="0" t="str">
        <f aca="false">PROPER(TRIM(AO904))</f>
        <v>Uttar Pradesh</v>
      </c>
      <c r="I904" s="0" t="str">
        <f aca="false">PROPER(TRIM(AP904))</f>
        <v>Noida</v>
      </c>
      <c r="J904" s="0" t="str">
        <f aca="false">PROPER(TRIM(AQ904))</f>
        <v>Office Supplies</v>
      </c>
      <c r="K904" s="0" t="str">
        <f aca="false">PROPER(TRIM(AR904))</f>
        <v>Storage</v>
      </c>
      <c r="M904" s="0" t="str">
        <f aca="false">IF(TRIM(AS904)="","Unknown",PROPER(TRIM(AS904)))</f>
        <v>Second Class</v>
      </c>
      <c r="N904" s="0" t="n">
        <v>9</v>
      </c>
      <c r="O904" s="0" t="n">
        <v>1118.68</v>
      </c>
      <c r="P904" s="5" t="n">
        <f aca="false">IF(AT904="","",IF(ISNUMBER(AT904),AT904,VALUE(SUBSTITUTE(AT904,"%",""))/100))</f>
        <v>0</v>
      </c>
      <c r="Q904" s="5" t="n">
        <f aca="false">IF(P904="",IF(AND(N904&lt;&gt;"",O904&lt;&gt;"",R904&lt;&gt;"",S904&lt;&gt;""),0,"REVIEW"),IF(OR(P904&lt;0,P904&gt;0.3),0,P904))</f>
        <v>0</v>
      </c>
      <c r="R904" s="0" t="n">
        <v>10348.43</v>
      </c>
      <c r="S904" s="0" t="n">
        <v>8595.37</v>
      </c>
      <c r="T904" s="6" t="n">
        <f aca="false">N904*O904*(1-Q904)</f>
        <v>10068.12</v>
      </c>
      <c r="U904" s="6" t="n">
        <f aca="false">T904-S904</f>
        <v>1472.75</v>
      </c>
      <c r="V904" s="7" t="n">
        <f aca="false">IF(T904=0,0,U904/T904)</f>
        <v>0.146278550513899</v>
      </c>
      <c r="W904" s="4" t="n">
        <f aca="false">C904-B904</f>
        <v>0</v>
      </c>
      <c r="X904" s="0" t="str">
        <f aca="false">TEXT(B904,"mmmm")</f>
        <v>April</v>
      </c>
      <c r="Y904" s="4" t="n">
        <f aca="false">YEAR(B904)</f>
        <v>2025</v>
      </c>
      <c r="Z904" s="0" t="str">
        <f aca="false">PROPER(TRIM(AU904))</f>
        <v>Paid</v>
      </c>
      <c r="AA904" s="0" t="str">
        <f aca="false">PROPER(TRIM(AV904))</f>
        <v>Returned</v>
      </c>
      <c r="AB904" s="0" t="str">
        <f aca="false">IF(TRIM(AN904)="","Yes","No")</f>
        <v>No</v>
      </c>
      <c r="AC904" s="0" t="str">
        <f aca="false">IF(TRIM(AS904)="","Yes","No")</f>
        <v>No</v>
      </c>
      <c r="AD904" s="0" t="str">
        <f aca="false">IF(AT904="","Yes","No")</f>
        <v>No</v>
      </c>
      <c r="AE904" s="0" t="str">
        <f aca="false">IF(W904&lt;0,"Yes","No")</f>
        <v>No</v>
      </c>
      <c r="AF904" s="0" t="str">
        <f aca="false">IF(P904="","No",IF(OR(P904&lt;0,P904&gt;0.3),"Yes","No"))</f>
        <v>No</v>
      </c>
      <c r="AG904" s="4" t="s">
        <v>497</v>
      </c>
      <c r="AH904" s="0" t="str">
        <f aca="false">IF(AND(AA904="Completed",Z904="Paid"),"Yes","No")</f>
        <v>No</v>
      </c>
      <c r="AI904" s="0" t="str">
        <f aca="false">IF(OR(AE904="Yes",AF904="Yes",AG904="Yes"),"Invalid",IF(OR(AB904="Yes",AC904="Yes",AD904="Yes"),"Warning","Clean"))</f>
        <v>Invalid</v>
      </c>
      <c r="AJ904" s="4" t="s">
        <v>1538</v>
      </c>
      <c r="AK904" s="4" t="s">
        <v>1538</v>
      </c>
      <c r="AL904" s="4" t="s">
        <v>181</v>
      </c>
      <c r="AM904" s="4" t="s">
        <v>68</v>
      </c>
      <c r="AN904" s="4" t="s">
        <v>168</v>
      </c>
      <c r="AO904" s="4" t="s">
        <v>186</v>
      </c>
      <c r="AP904" s="4" t="s">
        <v>187</v>
      </c>
      <c r="AQ904" s="4" t="s">
        <v>58</v>
      </c>
      <c r="AR904" s="4" t="s">
        <v>171</v>
      </c>
      <c r="AS904" s="4" t="s">
        <v>60</v>
      </c>
      <c r="AT904" s="0" t="n">
        <v>0</v>
      </c>
      <c r="AU904" s="4" t="s">
        <v>61</v>
      </c>
      <c r="AV904" s="4" t="s">
        <v>142</v>
      </c>
    </row>
    <row r="905" customFormat="false" ht="15" hidden="false" customHeight="false" outlineLevel="0" collapsed="false">
      <c r="A905" s="0" t="s">
        <v>1010</v>
      </c>
      <c r="B905" s="3" t="n">
        <f aca="false">IF(AJ905="","",IF(ISNUMBER(SEARCH("/",AJ905)),DATE(VALUE(RIGHT(AJ905,4)),VALUE(LEFT(AJ905,2)),VALUE(MID(AJ905,4,2))),IF(ISNUMBER(SEARCH("-",AJ905)),IF(LEN(LEFT(AJ905,FIND("-",AJ905)-1))=4,DATE(VALUE(LEFT(AJ905,4)),VALUE(MID(AJ905,6,2)),VALUE(RIGHT(AJ905,2))),DATE(VALUE(RIGHT(AJ905,4)),VALUE(MID(AJ905,4,2)),VALUE(LEFT(AJ905,2)))),DATE(VALUE(RIGHT(AJ905,4)),MATCH(MID(AJ905,4,3),{"Jan","Feb","Mar","Apr","May","Jun","Jul","Aug","Sep","Oct","Nov","Dec"},0),VALUE(LEFT(AJ905,2))))))</f>
        <v>45932</v>
      </c>
      <c r="C905" s="3" t="n">
        <f aca="false">IF(AK905="","",IF(ISNUMBER(SEARCH("/",AK905)),DATE(VALUE(RIGHT(AK905,4)),VALUE(LEFT(AK905,2)),VALUE(MID(AK905,4,2))),IF(ISNUMBER(SEARCH("-",AK905)),IF(LEN(LEFT(AK905,FIND("-",AK905)-1))=4,DATE(VALUE(LEFT(AK905,4)),VALUE(MID(AK905,6,2)),VALUE(RIGHT(AK905,2))),DATE(VALUE(RIGHT(AK905,4)),VALUE(MID(AK905,4,2)),VALUE(LEFT(AK905,2)))),DATE(VALUE(RIGHT(AK905,4)),MATCH(MID(AK905,4,3),{"Jan","Feb","Mar","Apr","May","Jun","Jul","Aug","Sep","Oct","Nov","Dec"},0),VALUE(LEFT(AK905,2))))))</f>
        <v>45938</v>
      </c>
      <c r="D905" s="4" t="s">
        <v>1011</v>
      </c>
      <c r="E905" s="0" t="str">
        <f aca="false">PROPER(TRIM(AL905))</f>
        <v>Isha Nair</v>
      </c>
      <c r="F905" s="0" t="str">
        <f aca="false">PROPER(TRIM(AM905))</f>
        <v>Small Business</v>
      </c>
      <c r="G905" s="0" t="str">
        <f aca="false">IF(TRIM(AN905)="","Unknown",PROPER(TRIM(AN905)))</f>
        <v>North</v>
      </c>
      <c r="H905" s="0" t="str">
        <f aca="false">PROPER(TRIM(AO905))</f>
        <v>Punjab</v>
      </c>
      <c r="I905" s="0" t="str">
        <f aca="false">PROPER(TRIM(AP905))</f>
        <v>Ludhiana</v>
      </c>
      <c r="J905" s="0" t="str">
        <f aca="false">PROPER(TRIM(AQ905))</f>
        <v>Furniture</v>
      </c>
      <c r="K905" s="0" t="str">
        <f aca="false">PROPER(TRIM(AR905))</f>
        <v>Furnishings</v>
      </c>
      <c r="M905" s="0" t="str">
        <f aca="false">IF(TRIM(AS905)="","Unknown",PROPER(TRIM(AS905)))</f>
        <v>Standard Class</v>
      </c>
      <c r="N905" s="0" t="n">
        <v>4</v>
      </c>
      <c r="O905" s="0" t="n">
        <v>3944.64</v>
      </c>
      <c r="P905" s="5" t="n">
        <f aca="false">IF(AT905="","",IF(ISNUMBER(AT905),AT905,VALUE(SUBSTITUTE(AT905,"%",""))/100))</f>
        <v>0.25</v>
      </c>
      <c r="Q905" s="5" t="n">
        <f aca="false">IF(P905="",IF(AND(N905&lt;&gt;"",O905&lt;&gt;"",R905&lt;&gt;"",S905&lt;&gt;""),0,"REVIEW"),IF(OR(P905&lt;0,P905&gt;0.3),0,P905))</f>
        <v>0.25</v>
      </c>
      <c r="R905" s="0" t="n">
        <v>12116.89</v>
      </c>
      <c r="S905" s="0" t="n">
        <v>6682.92</v>
      </c>
      <c r="T905" s="6" t="n">
        <f aca="false">N905*O905*(1-Q905)</f>
        <v>11833.92</v>
      </c>
      <c r="U905" s="6" t="n">
        <f aca="false">T905-S905</f>
        <v>5151</v>
      </c>
      <c r="V905" s="7" t="n">
        <f aca="false">IF(T905=0,0,U905/T905)</f>
        <v>0.435274194856818</v>
      </c>
      <c r="W905" s="4" t="n">
        <f aca="false">C905-B905</f>
        <v>6</v>
      </c>
      <c r="X905" s="0" t="str">
        <f aca="false">TEXT(B905,"mmmm")</f>
        <v>October</v>
      </c>
      <c r="Y905" s="4" t="n">
        <f aca="false">YEAR(B905)</f>
        <v>2025</v>
      </c>
      <c r="Z905" s="0" t="str">
        <f aca="false">PROPER(TRIM(AU905))</f>
        <v>Paid</v>
      </c>
      <c r="AA905" s="0" t="str">
        <f aca="false">PROPER(TRIM(AV905))</f>
        <v>Returned</v>
      </c>
      <c r="AB905" s="0" t="str">
        <f aca="false">IF(TRIM(AN905)="","Yes","No")</f>
        <v>No</v>
      </c>
      <c r="AC905" s="0" t="str">
        <f aca="false">IF(TRIM(AS905)="","Yes","No")</f>
        <v>No</v>
      </c>
      <c r="AD905" s="0" t="str">
        <f aca="false">IF(AT905="","Yes","No")</f>
        <v>No</v>
      </c>
      <c r="AE905" s="0" t="str">
        <f aca="false">IF(W905&lt;0,"Yes","No")</f>
        <v>No</v>
      </c>
      <c r="AF905" s="0" t="str">
        <f aca="false">IF(P905="","No",IF(OR(P905&lt;0,P905&gt;0.3),"Yes","No"))</f>
        <v>No</v>
      </c>
      <c r="AG905" s="4" t="s">
        <v>497</v>
      </c>
      <c r="AH905" s="0" t="str">
        <f aca="false">IF(AND(AA905="Completed",Z905="Paid"),"Yes","No")</f>
        <v>No</v>
      </c>
      <c r="AI905" s="0" t="str">
        <f aca="false">IF(OR(AE905="Yes",AF905="Yes",AG905="Yes"),"Invalid",IF(OR(AB905="Yes",AC905="Yes",AD905="Yes"),"Warning","Clean"))</f>
        <v>Invalid</v>
      </c>
      <c r="AJ905" s="4" t="s">
        <v>1012</v>
      </c>
      <c r="AK905" s="4" t="s">
        <v>1013</v>
      </c>
      <c r="AL905" s="4" t="s">
        <v>79</v>
      </c>
      <c r="AM905" s="4" t="s">
        <v>68</v>
      </c>
      <c r="AN905" s="4" t="s">
        <v>168</v>
      </c>
      <c r="AO905" s="4" t="s">
        <v>169</v>
      </c>
      <c r="AP905" s="4" t="s">
        <v>170</v>
      </c>
      <c r="AQ905" s="4" t="s">
        <v>72</v>
      </c>
      <c r="AR905" s="4" t="s">
        <v>90</v>
      </c>
      <c r="AS905" s="4" t="s">
        <v>91</v>
      </c>
      <c r="AT905" s="0" t="n">
        <v>0.25</v>
      </c>
      <c r="AU905" s="4" t="s">
        <v>61</v>
      </c>
      <c r="AV905" s="4" t="s">
        <v>142</v>
      </c>
    </row>
    <row r="906" customFormat="false" ht="15" hidden="false" customHeight="false" outlineLevel="0" collapsed="false">
      <c r="A906" s="0" t="s">
        <v>1335</v>
      </c>
      <c r="B906" s="3" t="n">
        <f aca="false">IF(AJ906="","",IF(ISNUMBER(SEARCH("/",AJ906)),DATE(VALUE(RIGHT(AJ906,4)),VALUE(LEFT(AJ906,2)),VALUE(MID(AJ906,4,2))),IF(ISNUMBER(SEARCH("-",AJ906)),IF(LEN(LEFT(AJ906,FIND("-",AJ906)-1))=4,DATE(VALUE(LEFT(AJ906,4)),VALUE(MID(AJ906,6,2)),VALUE(RIGHT(AJ906,2))),DATE(VALUE(RIGHT(AJ906,4)),VALUE(MID(AJ906,4,2)),VALUE(LEFT(AJ906,2)))),DATE(VALUE(RIGHT(AJ906,4)),MATCH(MID(AJ906,4,3),{"Jan","Feb","Mar","Apr","May","Jun","Jul","Aug","Sep","Oct","Nov","Dec"},0),VALUE(LEFT(AJ906,2))))))</f>
        <v>45795</v>
      </c>
      <c r="C906" s="3" t="n">
        <f aca="false">IF(AK906="","",IF(ISNUMBER(SEARCH("/",AK906)),DATE(VALUE(RIGHT(AK906,4)),VALUE(LEFT(AK906,2)),VALUE(MID(AK906,4,2))),IF(ISNUMBER(SEARCH("-",AK906)),IF(LEN(LEFT(AK906,FIND("-",AK906)-1))=4,DATE(VALUE(LEFT(AK906,4)),VALUE(MID(AK906,6,2)),VALUE(RIGHT(AK906,2))),DATE(VALUE(RIGHT(AK906,4)),VALUE(MID(AK906,4,2)),VALUE(LEFT(AK906,2)))),DATE(VALUE(RIGHT(AK906,4)),MATCH(MID(AK906,4,3),{"Jan","Feb","Mar","Apr","May","Jun","Jul","Aug","Sep","Oct","Nov","Dec"},0),VALUE(LEFT(AK906,2))))))</f>
        <v>45797</v>
      </c>
      <c r="D906" s="4" t="s">
        <v>1336</v>
      </c>
      <c r="E906" s="0" t="str">
        <f aca="false">PROPER(TRIM(AL906))</f>
        <v>Isha Nair</v>
      </c>
      <c r="F906" s="0" t="str">
        <f aca="false">PROPER(TRIM(AM906))</f>
        <v>Corporate</v>
      </c>
      <c r="G906" s="0" t="str">
        <f aca="false">IF(TRIM(AN906)="","Unknown",PROPER(TRIM(AN906)))</f>
        <v>West</v>
      </c>
      <c r="H906" s="0" t="str">
        <f aca="false">PROPER(TRIM(AO906))</f>
        <v>Madhya Pradesh</v>
      </c>
      <c r="I906" s="0" t="str">
        <f aca="false">PROPER(TRIM(AP906))</f>
        <v>Indore</v>
      </c>
      <c r="J906" s="0" t="str">
        <f aca="false">PROPER(TRIM(AQ906))</f>
        <v>Office Supplies</v>
      </c>
      <c r="K906" s="0" t="str">
        <f aca="false">PROPER(TRIM(AR906))</f>
        <v>Labels</v>
      </c>
      <c r="M906" s="0" t="str">
        <f aca="false">IF(TRIM(AS906)="","Unknown",PROPER(TRIM(AS906)))</f>
        <v>Standard Class</v>
      </c>
      <c r="N906" s="0" t="n">
        <v>9</v>
      </c>
      <c r="O906" s="0" t="n">
        <v>847.76</v>
      </c>
      <c r="P906" s="5" t="n">
        <f aca="false">IF(AT906="","",IF(ISNUMBER(AT906),AT906,VALUE(SUBSTITUTE(AT906,"%",""))/100))</f>
        <v>0.15</v>
      </c>
      <c r="Q906" s="5" t="n">
        <f aca="false">IF(P906="",IF(AND(N906&lt;&gt;"",O906&lt;&gt;"",R906&lt;&gt;"",S906&lt;&gt;""),0,"REVIEW"),IF(OR(P906&lt;0,P906&gt;0.3),0,P906))</f>
        <v>0.15</v>
      </c>
      <c r="R906" s="0" t="n">
        <v>6589.37</v>
      </c>
      <c r="S906" s="0" t="n">
        <v>5376.17</v>
      </c>
      <c r="T906" s="6" t="n">
        <f aca="false">N906*O906*(1-Q906)</f>
        <v>6485.364</v>
      </c>
      <c r="U906" s="6" t="n">
        <f aca="false">T906-S906</f>
        <v>1109.194</v>
      </c>
      <c r="V906" s="7" t="n">
        <f aca="false">IF(T906=0,0,U906/T906)</f>
        <v>0.171030338466738</v>
      </c>
      <c r="W906" s="4" t="n">
        <f aca="false">C906-B906</f>
        <v>2</v>
      </c>
      <c r="X906" s="0" t="str">
        <f aca="false">TEXT(B906,"mmmm")</f>
        <v>May</v>
      </c>
      <c r="Y906" s="4" t="n">
        <f aca="false">YEAR(B906)</f>
        <v>2025</v>
      </c>
      <c r="Z906" s="0" t="str">
        <f aca="false">PROPER(TRIM(AU906))</f>
        <v>Failed</v>
      </c>
      <c r="AA906" s="0" t="str">
        <f aca="false">PROPER(TRIM(AV906))</f>
        <v>Completed</v>
      </c>
      <c r="AB906" s="0" t="str">
        <f aca="false">IF(TRIM(AN906)="","Yes","No")</f>
        <v>No</v>
      </c>
      <c r="AC906" s="0" t="str">
        <f aca="false">IF(TRIM(AS906)="","Yes","No")</f>
        <v>No</v>
      </c>
      <c r="AD906" s="0" t="str">
        <f aca="false">IF(AT906="","Yes","No")</f>
        <v>No</v>
      </c>
      <c r="AE906" s="0" t="str">
        <f aca="false">IF(W906&lt;0,"Yes","No")</f>
        <v>No</v>
      </c>
      <c r="AF906" s="0" t="str">
        <f aca="false">IF(P906="","No",IF(OR(P906&lt;0,P906&gt;0.3),"Yes","No"))</f>
        <v>No</v>
      </c>
      <c r="AG906" s="4" t="s">
        <v>497</v>
      </c>
      <c r="AH906" s="0" t="str">
        <f aca="false">IF(AND(AA906="Completed",Z906="Paid"),"Yes","No")</f>
        <v>No</v>
      </c>
      <c r="AI906" s="0" t="str">
        <f aca="false">IF(OR(AE906="Yes",AF906="Yes",AG906="Yes"),"Invalid",IF(OR(AB906="Yes",AC906="Yes",AD906="Yes"),"Warning","Clean"))</f>
        <v>Invalid</v>
      </c>
      <c r="AJ906" s="4" t="s">
        <v>942</v>
      </c>
      <c r="AK906" s="4" t="s">
        <v>137</v>
      </c>
      <c r="AL906" s="4" t="s">
        <v>79</v>
      </c>
      <c r="AM906" s="4" t="s">
        <v>128</v>
      </c>
      <c r="AN906" s="4" t="s">
        <v>97</v>
      </c>
      <c r="AO906" s="4" t="s">
        <v>107</v>
      </c>
      <c r="AP906" s="4" t="s">
        <v>108</v>
      </c>
      <c r="AQ906" s="4" t="s">
        <v>58</v>
      </c>
      <c r="AR906" s="4" t="s">
        <v>129</v>
      </c>
      <c r="AS906" s="4" t="s">
        <v>91</v>
      </c>
      <c r="AT906" s="0" t="n">
        <v>0.15</v>
      </c>
      <c r="AU906" s="4" t="s">
        <v>207</v>
      </c>
      <c r="AV906" s="4" t="s">
        <v>62</v>
      </c>
    </row>
    <row r="907" customFormat="false" ht="15" hidden="false" customHeight="false" outlineLevel="0" collapsed="false">
      <c r="A907" s="0" t="s">
        <v>806</v>
      </c>
      <c r="B907" s="3" t="n">
        <f aca="false">IF(AJ907="","",IF(ISNUMBER(SEARCH("/",AJ907)),DATE(VALUE(RIGHT(AJ907,4)),VALUE(LEFT(AJ907,2)),VALUE(MID(AJ907,4,2))),IF(ISNUMBER(SEARCH("-",AJ907)),IF(LEN(LEFT(AJ907,FIND("-",AJ907)-1))=4,DATE(VALUE(LEFT(AJ907,4)),VALUE(MID(AJ907,6,2)),VALUE(RIGHT(AJ907,2))),DATE(VALUE(RIGHT(AJ907,4)),VALUE(MID(AJ907,4,2)),VALUE(LEFT(AJ907,2)))),DATE(VALUE(RIGHT(AJ907,4)),MATCH(MID(AJ907,4,3),{"Jan","Feb","Mar","Apr","May","Jun","Jul","Aug","Sep","Oct","Nov","Dec"},0),VALUE(LEFT(AJ907,2))))))</f>
        <v>45907</v>
      </c>
      <c r="C907" s="3" t="n">
        <f aca="false">IF(AK907="","",IF(ISNUMBER(SEARCH("/",AK907)),DATE(VALUE(RIGHT(AK907,4)),VALUE(LEFT(AK907,2)),VALUE(MID(AK907,4,2))),IF(ISNUMBER(SEARCH("-",AK907)),IF(LEN(LEFT(AK907,FIND("-",AK907)-1))=4,DATE(VALUE(LEFT(AK907,4)),VALUE(MID(AK907,6,2)),VALUE(RIGHT(AK907,2))),DATE(VALUE(RIGHT(AK907,4)),VALUE(MID(AK907,4,2)),VALUE(LEFT(AK907,2)))),DATE(VALUE(RIGHT(AK907,4)),MATCH(MID(AK907,4,3),{"Jan","Feb","Mar","Apr","May","Jun","Jul","Aug","Sep","Oct","Nov","Dec"},0),VALUE(LEFT(AK907,2))))))</f>
        <v>45915</v>
      </c>
      <c r="D907" s="4" t="s">
        <v>807</v>
      </c>
      <c r="E907" s="0" t="str">
        <f aca="false">PROPER(TRIM(AL907))</f>
        <v>Rohan Mehta</v>
      </c>
      <c r="F907" s="0" t="str">
        <f aca="false">PROPER(TRIM(AM907))</f>
        <v>Corporate</v>
      </c>
      <c r="G907" s="0" t="str">
        <f aca="false">IF(TRIM(AN907)="","Unknown",PROPER(TRIM(AN907)))</f>
        <v>East</v>
      </c>
      <c r="H907" s="0" t="str">
        <f aca="false">PROPER(TRIM(AO907))</f>
        <v>Bihar</v>
      </c>
      <c r="I907" s="0" t="str">
        <f aca="false">PROPER(TRIM(AP907))</f>
        <v>Patna</v>
      </c>
      <c r="J907" s="0" t="str">
        <f aca="false">PROPER(TRIM(AQ907))</f>
        <v>Technology</v>
      </c>
      <c r="K907" s="0" t="str">
        <f aca="false">PROPER(TRIM(AR907))</f>
        <v>Copiers</v>
      </c>
      <c r="M907" s="0" t="str">
        <f aca="false">IF(TRIM(AS907)="","Unknown",PROPER(TRIM(AS907)))</f>
        <v>Standard Class</v>
      </c>
      <c r="N907" s="0" t="n">
        <v>3</v>
      </c>
      <c r="O907" s="0" t="n">
        <v>1711.32</v>
      </c>
      <c r="P907" s="5" t="n">
        <f aca="false">IF(AT907="","",IF(ISNUMBER(AT907),AT907,VALUE(SUBSTITUTE(AT907,"%",""))/100))</f>
        <v>0</v>
      </c>
      <c r="Q907" s="5" t="n">
        <f aca="false">IF(P907="",IF(AND(N907&lt;&gt;"",O907&lt;&gt;"",R907&lt;&gt;"",S907&lt;&gt;""),0,"REVIEW"),IF(OR(P907&lt;0,P907&gt;0.3),0,P907))</f>
        <v>0</v>
      </c>
      <c r="R907" s="0" t="n">
        <v>5206.53</v>
      </c>
      <c r="S907" s="0" t="n">
        <v>3930</v>
      </c>
      <c r="T907" s="6" t="n">
        <f aca="false">N907*O907*(1-Q907)</f>
        <v>5133.96</v>
      </c>
      <c r="U907" s="6" t="n">
        <f aca="false">T907-S907</f>
        <v>1203.96</v>
      </c>
      <c r="V907" s="7" t="n">
        <f aca="false">IF(T907=0,0,U907/T907)</f>
        <v>0.234509033962088</v>
      </c>
      <c r="W907" s="4" t="n">
        <f aca="false">C907-B907</f>
        <v>8</v>
      </c>
      <c r="X907" s="0" t="str">
        <f aca="false">TEXT(B907,"mmmm")</f>
        <v>September</v>
      </c>
      <c r="Y907" s="4" t="n">
        <f aca="false">YEAR(B907)</f>
        <v>2025</v>
      </c>
      <c r="Z907" s="0" t="str">
        <f aca="false">PROPER(TRIM(AU907))</f>
        <v>Paid</v>
      </c>
      <c r="AA907" s="0" t="str">
        <f aca="false">PROPER(TRIM(AV907))</f>
        <v>Returned</v>
      </c>
      <c r="AB907" s="0" t="str">
        <f aca="false">IF(TRIM(AN907)="","Yes","No")</f>
        <v>No</v>
      </c>
      <c r="AC907" s="0" t="str">
        <f aca="false">IF(TRIM(AS907)="","Yes","No")</f>
        <v>No</v>
      </c>
      <c r="AD907" s="0" t="str">
        <f aca="false">IF(AT907="","Yes","No")</f>
        <v>No</v>
      </c>
      <c r="AE907" s="0" t="str">
        <f aca="false">IF(W907&lt;0,"Yes","No")</f>
        <v>No</v>
      </c>
      <c r="AF907" s="0" t="str">
        <f aca="false">IF(P907="","No",IF(OR(P907&lt;0,P907&gt;0.3),"Yes","No"))</f>
        <v>No</v>
      </c>
      <c r="AG907" s="4" t="s">
        <v>497</v>
      </c>
      <c r="AH907" s="0" t="str">
        <f aca="false">IF(AND(AA907="Completed",Z907="Paid"),"Yes","No")</f>
        <v>No</v>
      </c>
      <c r="AI907" s="0" t="str">
        <f aca="false">IF(OR(AE907="Yes",AF907="Yes",AG907="Yes"),"Invalid",IF(OR(AB907="Yes",AC907="Yes",AD907="Yes"),"Warning","Clean"))</f>
        <v>Invalid</v>
      </c>
      <c r="AJ907" s="4" t="s">
        <v>132</v>
      </c>
      <c r="AK907" s="4" t="s">
        <v>808</v>
      </c>
      <c r="AL907" s="4" t="s">
        <v>191</v>
      </c>
      <c r="AM907" s="4" t="s">
        <v>128</v>
      </c>
      <c r="AN907" s="4" t="s">
        <v>69</v>
      </c>
      <c r="AO907" s="4" t="s">
        <v>196</v>
      </c>
      <c r="AP907" s="4" t="s">
        <v>197</v>
      </c>
      <c r="AQ907" s="4" t="s">
        <v>109</v>
      </c>
      <c r="AR907" s="4" t="s">
        <v>116</v>
      </c>
      <c r="AS907" s="4" t="s">
        <v>91</v>
      </c>
      <c r="AT907" s="0" t="n">
        <v>0</v>
      </c>
      <c r="AU907" s="4" t="s">
        <v>61</v>
      </c>
      <c r="AV907" s="4" t="s">
        <v>142</v>
      </c>
    </row>
    <row r="908" customFormat="false" ht="15" hidden="false" customHeight="false" outlineLevel="0" collapsed="false">
      <c r="A908" s="0" t="s">
        <v>1713</v>
      </c>
      <c r="B908" s="3" t="n">
        <f aca="false">IF(AJ908="","",IF(ISNUMBER(SEARCH("/",AJ908)),DATE(VALUE(RIGHT(AJ908,4)),VALUE(LEFT(AJ908,2)),VALUE(MID(AJ908,4,2))),IF(ISNUMBER(SEARCH("-",AJ908)),IF(LEN(LEFT(AJ908,FIND("-",AJ908)-1))=4,DATE(VALUE(LEFT(AJ908,4)),VALUE(MID(AJ908,6,2)),VALUE(RIGHT(AJ908,2))),DATE(VALUE(RIGHT(AJ908,4)),VALUE(MID(AJ908,4,2)),VALUE(LEFT(AJ908,2)))),DATE(VALUE(RIGHT(AJ908,4)),MATCH(MID(AJ908,4,3),{"Jan","Feb","Mar","Apr","May","Jun","Jul","Aug","Sep","Oct","Nov","Dec"},0),VALUE(LEFT(AJ908,2))))))</f>
        <v>45342</v>
      </c>
      <c r="C908" s="3" t="n">
        <f aca="false">IF(AK908="","",IF(ISNUMBER(SEARCH("/",AK908)),DATE(VALUE(RIGHT(AK908,4)),VALUE(LEFT(AK908,2)),VALUE(MID(AK908,4,2))),IF(ISNUMBER(SEARCH("-",AK908)),IF(LEN(LEFT(AK908,FIND("-",AK908)-1))=4,DATE(VALUE(LEFT(AK908,4)),VALUE(MID(AK908,6,2)),VALUE(RIGHT(AK908,2))),DATE(VALUE(RIGHT(AK908,4)),VALUE(MID(AK908,4,2)),VALUE(LEFT(AK908,2)))),DATE(VALUE(RIGHT(AK908,4)),MATCH(MID(AK908,4,3),{"Jan","Feb","Mar","Apr","May","Jun","Jul","Aug","Sep","Oct","Nov","Dec"},0),VALUE(LEFT(AK908,2))))))</f>
        <v>45349</v>
      </c>
      <c r="D908" s="4" t="s">
        <v>1714</v>
      </c>
      <c r="E908" s="0" t="str">
        <f aca="false">PROPER(TRIM(AL908))</f>
        <v>Diya Patel</v>
      </c>
      <c r="F908" s="0" t="str">
        <f aca="false">PROPER(TRIM(AM908))</f>
        <v>Consumer</v>
      </c>
      <c r="G908" s="0" t="str">
        <f aca="false">IF(TRIM(AN908)="","Unknown",PROPER(TRIM(AN908)))</f>
        <v>South</v>
      </c>
      <c r="H908" s="0" t="str">
        <f aca="false">PROPER(TRIM(AO908))</f>
        <v>Kerala</v>
      </c>
      <c r="I908" s="0" t="str">
        <f aca="false">PROPER(TRIM(AP908))</f>
        <v>Kochi</v>
      </c>
      <c r="J908" s="0" t="str">
        <f aca="false">PROPER(TRIM(AQ908))</f>
        <v>Technology</v>
      </c>
      <c r="K908" s="0" t="str">
        <f aca="false">PROPER(TRIM(AR908))</f>
        <v>Accessories</v>
      </c>
      <c r="M908" s="0" t="str">
        <f aca="false">IF(TRIM(AS908)="","Unknown",PROPER(TRIM(AS908)))</f>
        <v>First Class</v>
      </c>
      <c r="N908" s="0" t="n">
        <v>9</v>
      </c>
      <c r="O908" s="0" t="n">
        <v>3779.31</v>
      </c>
      <c r="P908" s="5" t="n">
        <f aca="false">IF(AT908="","",IF(ISNUMBER(AT908),AT908,VALUE(SUBSTITUTE(AT908,"%",""))/100))</f>
        <v>0.2</v>
      </c>
      <c r="Q908" s="5" t="n">
        <f aca="false">IF(P908="",IF(AND(N908&lt;&gt;"",O908&lt;&gt;"",R908&lt;&gt;"",S908&lt;&gt;""),0,"REVIEW"),IF(OR(P908&lt;0,P908&gt;0.3),0,P908))</f>
        <v>0.2</v>
      </c>
      <c r="R908" s="0" t="n">
        <v>27322.9</v>
      </c>
      <c r="S908" s="0" t="n">
        <v>17940.43</v>
      </c>
      <c r="T908" s="6" t="n">
        <f aca="false">N908*O908*(1-Q908)</f>
        <v>27211.032</v>
      </c>
      <c r="U908" s="6" t="n">
        <f aca="false">T908-S908</f>
        <v>9270.602</v>
      </c>
      <c r="V908" s="7" t="n">
        <f aca="false">IF(T908=0,0,U908/T908)</f>
        <v>0.340692774901003</v>
      </c>
      <c r="W908" s="4" t="n">
        <f aca="false">C908-B908</f>
        <v>7</v>
      </c>
      <c r="X908" s="0" t="str">
        <f aca="false">TEXT(B908,"mmmm")</f>
        <v>February</v>
      </c>
      <c r="Y908" s="4" t="n">
        <f aca="false">YEAR(B908)</f>
        <v>2024</v>
      </c>
      <c r="Z908" s="0" t="str">
        <f aca="false">PROPER(TRIM(AU908))</f>
        <v>Paid</v>
      </c>
      <c r="AA908" s="0" t="str">
        <f aca="false">PROPER(TRIM(AV908))</f>
        <v>Returned</v>
      </c>
      <c r="AB908" s="0" t="str">
        <f aca="false">IF(TRIM(AN908)="","Yes","No")</f>
        <v>No</v>
      </c>
      <c r="AC908" s="0" t="str">
        <f aca="false">IF(TRIM(AS908)="","Yes","No")</f>
        <v>No</v>
      </c>
      <c r="AD908" s="0" t="str">
        <f aca="false">IF(AT908="","Yes","No")</f>
        <v>No</v>
      </c>
      <c r="AE908" s="0" t="str">
        <f aca="false">IF(W908&lt;0,"Yes","No")</f>
        <v>No</v>
      </c>
      <c r="AF908" s="0" t="str">
        <f aca="false">IF(P908="","No",IF(OR(P908&lt;0,P908&gt;0.3),"Yes","No"))</f>
        <v>No</v>
      </c>
      <c r="AG908" s="4" t="s">
        <v>497</v>
      </c>
      <c r="AH908" s="0" t="str">
        <f aca="false">IF(AND(AA908="Completed",Z908="Paid"),"Yes","No")</f>
        <v>No</v>
      </c>
      <c r="AI908" s="0" t="str">
        <f aca="false">IF(OR(AE908="Yes",AF908="Yes",AG908="Yes"),"Invalid",IF(OR(AB908="Yes",AC908="Yes",AD908="Yes"),"Warning","Clean"))</f>
        <v>Invalid</v>
      </c>
      <c r="AJ908" s="4" t="s">
        <v>1715</v>
      </c>
      <c r="AK908" s="4" t="s">
        <v>1716</v>
      </c>
      <c r="AL908" s="4" t="s">
        <v>216</v>
      </c>
      <c r="AM908" s="4" t="s">
        <v>54</v>
      </c>
      <c r="AN908" s="4" t="s">
        <v>87</v>
      </c>
      <c r="AO908" s="4" t="s">
        <v>244</v>
      </c>
      <c r="AP908" s="4" t="s">
        <v>245</v>
      </c>
      <c r="AQ908" s="4" t="s">
        <v>109</v>
      </c>
      <c r="AR908" s="4" t="s">
        <v>110</v>
      </c>
      <c r="AS908" s="4" t="s">
        <v>1717</v>
      </c>
      <c r="AT908" s="0" t="n">
        <v>0.2</v>
      </c>
      <c r="AU908" s="4" t="s">
        <v>61</v>
      </c>
      <c r="AV908" s="4" t="s">
        <v>142</v>
      </c>
    </row>
    <row r="909" customFormat="false" ht="15" hidden="false" customHeight="false" outlineLevel="0" collapsed="false">
      <c r="A909" s="0" t="s">
        <v>2223</v>
      </c>
      <c r="B909" s="3" t="n">
        <f aca="false">IF(AJ909="","",IF(ISNUMBER(SEARCH("/",AJ909)),DATE(VALUE(RIGHT(AJ909,4)),VALUE(LEFT(AJ909,2)),VALUE(MID(AJ909,4,2))),IF(ISNUMBER(SEARCH("-",AJ909)),IF(LEN(LEFT(AJ909,FIND("-",AJ909)-1))=4,DATE(VALUE(LEFT(AJ909,4)),VALUE(MID(AJ909,6,2)),VALUE(RIGHT(AJ909,2))),DATE(VALUE(RIGHT(AJ909,4)),VALUE(MID(AJ909,4,2)),VALUE(LEFT(AJ909,2)))),DATE(VALUE(RIGHT(AJ909,4)),MATCH(MID(AJ909,4,3),{"Jan","Feb","Mar","Apr","May","Jun","Jul","Aug","Sep","Oct","Nov","Dec"},0),VALUE(LEFT(AJ909,2))))))</f>
        <v>45698</v>
      </c>
      <c r="C909" s="3" t="n">
        <f aca="false">IF(AK909="","",IF(ISNUMBER(SEARCH("/",AK909)),DATE(VALUE(RIGHT(AK909,4)),VALUE(LEFT(AK909,2)),VALUE(MID(AK909,4,2))),IF(ISNUMBER(SEARCH("-",AK909)),IF(LEN(LEFT(AK909,FIND("-",AK909)-1))=4,DATE(VALUE(LEFT(AK909,4)),VALUE(MID(AK909,6,2)),VALUE(RIGHT(AK909,2))),DATE(VALUE(RIGHT(AK909,4)),VALUE(MID(AK909,4,2)),VALUE(LEFT(AK909,2)))),DATE(VALUE(RIGHT(AK909,4)),MATCH(MID(AK909,4,3),{"Jan","Feb","Mar","Apr","May","Jun","Jul","Aug","Sep","Oct","Nov","Dec"},0),VALUE(LEFT(AK909,2))))))</f>
        <v>45702</v>
      </c>
      <c r="D909" s="4" t="s">
        <v>2224</v>
      </c>
      <c r="E909" s="0" t="str">
        <f aca="false">PROPER(TRIM(AL909))</f>
        <v>Priya Menon</v>
      </c>
      <c r="F909" s="0" t="str">
        <f aca="false">PROPER(TRIM(AM909))</f>
        <v>Small Business</v>
      </c>
      <c r="G909" s="0" t="str">
        <f aca="false">IF(TRIM(AN909)="","Unknown",PROPER(TRIM(AN909)))</f>
        <v>North</v>
      </c>
      <c r="H909" s="0" t="str">
        <f aca="false">PROPER(TRIM(AO909))</f>
        <v>Uttar Pradesh</v>
      </c>
      <c r="I909" s="0" t="str">
        <f aca="false">PROPER(TRIM(AP909))</f>
        <v>Noida</v>
      </c>
      <c r="J909" s="0" t="str">
        <f aca="false">PROPER(TRIM(AQ909))</f>
        <v>Technology</v>
      </c>
      <c r="K909" s="0" t="str">
        <f aca="false">PROPER(TRIM(AR909))</f>
        <v>Phones</v>
      </c>
      <c r="M909" s="0" t="str">
        <f aca="false">IF(TRIM(AS909)="","Unknown",PROPER(TRIM(AS909)))</f>
        <v>Unknown</v>
      </c>
      <c r="N909" s="0" t="n">
        <v>5</v>
      </c>
      <c r="O909" s="0" t="n">
        <v>4276.29</v>
      </c>
      <c r="P909" s="5" t="n">
        <f aca="false">IF(AT909="","",IF(ISNUMBER(AT909),AT909,VALUE(SUBSTITUTE(AT909,"%",""))/100))</f>
        <v>0</v>
      </c>
      <c r="Q909" s="5" t="n">
        <f aca="false">IF(P909="",IF(AND(N909&lt;&gt;"",O909&lt;&gt;"",R909&lt;&gt;"",S909&lt;&gt;""),0,"REVIEW"),IF(OR(P909&lt;0,P909&gt;0.3),0,P909))</f>
        <v>0</v>
      </c>
      <c r="R909" s="0" t="n">
        <v>21443.63</v>
      </c>
      <c r="S909" s="0" t="n">
        <v>13240.21</v>
      </c>
      <c r="T909" s="6" t="n">
        <f aca="false">N909*O909*(1-Q909)</f>
        <v>21381.45</v>
      </c>
      <c r="U909" s="6" t="n">
        <f aca="false">T909-S909</f>
        <v>8141.24</v>
      </c>
      <c r="V909" s="7" t="n">
        <f aca="false">IF(T909=0,0,U909/T909)</f>
        <v>0.380761828594413</v>
      </c>
      <c r="W909" s="4" t="n">
        <f aca="false">C909-B909</f>
        <v>4</v>
      </c>
      <c r="X909" s="0" t="str">
        <f aca="false">TEXT(B909,"mmmm")</f>
        <v>February</v>
      </c>
      <c r="Y909" s="4" t="n">
        <f aca="false">YEAR(B909)</f>
        <v>2025</v>
      </c>
      <c r="Z909" s="0" t="str">
        <f aca="false">PROPER(TRIM(AU909))</f>
        <v>Failed</v>
      </c>
      <c r="AA909" s="0" t="str">
        <f aca="false">PROPER(TRIM(AV909))</f>
        <v>Completed</v>
      </c>
      <c r="AB909" s="0" t="str">
        <f aca="false">IF(TRIM(AN909)="","Yes","No")</f>
        <v>No</v>
      </c>
      <c r="AC909" s="0" t="str">
        <f aca="false">IF(TRIM(AS909)="","Yes","No")</f>
        <v>Yes</v>
      </c>
      <c r="AD909" s="0" t="str">
        <f aca="false">IF(AT909="","Yes","No")</f>
        <v>No</v>
      </c>
      <c r="AE909" s="0" t="str">
        <f aca="false">IF(W909&lt;0,"Yes","No")</f>
        <v>No</v>
      </c>
      <c r="AF909" s="0" t="str">
        <f aca="false">IF(P909="","No",IF(OR(P909&lt;0,P909&gt;0.3),"Yes","No"))</f>
        <v>No</v>
      </c>
      <c r="AG909" s="4" t="s">
        <v>497</v>
      </c>
      <c r="AH909" s="0" t="str">
        <f aca="false">IF(AND(AA909="Completed",Z909="Paid"),"Yes","No")</f>
        <v>No</v>
      </c>
      <c r="AI909" s="0" t="str">
        <f aca="false">IF(OR(AE909="Yes",AF909="Yes",AG909="Yes"),"Invalid",IF(OR(AB909="Yes",AC909="Yes",AD909="Yes"),"Warning","Clean"))</f>
        <v>Invalid</v>
      </c>
      <c r="AJ909" s="4" t="s">
        <v>2175</v>
      </c>
      <c r="AK909" s="4" t="s">
        <v>2225</v>
      </c>
      <c r="AL909" s="4" t="s">
        <v>158</v>
      </c>
      <c r="AM909" s="4" t="s">
        <v>68</v>
      </c>
      <c r="AN909" s="4" t="s">
        <v>168</v>
      </c>
      <c r="AO909" s="4" t="s">
        <v>186</v>
      </c>
      <c r="AP909" s="4" t="s">
        <v>187</v>
      </c>
      <c r="AQ909" s="4" t="s">
        <v>109</v>
      </c>
      <c r="AR909" s="4" t="s">
        <v>227</v>
      </c>
      <c r="AT909" s="0" t="n">
        <v>0</v>
      </c>
      <c r="AU909" s="4" t="s">
        <v>207</v>
      </c>
      <c r="AV909" s="4" t="s">
        <v>62</v>
      </c>
    </row>
    <row r="910" customFormat="false" ht="15" hidden="false" customHeight="false" outlineLevel="0" collapsed="false">
      <c r="A910" s="0" t="s">
        <v>700</v>
      </c>
      <c r="B910" s="3" t="n">
        <f aca="false">IF(AJ910="","",IF(ISNUMBER(SEARCH("/",AJ910)),DATE(VALUE(RIGHT(AJ910,4)),VALUE(LEFT(AJ910,2)),VALUE(MID(AJ910,4,2))),IF(ISNUMBER(SEARCH("-",AJ910)),IF(LEN(LEFT(AJ910,FIND("-",AJ910)-1))=4,DATE(VALUE(LEFT(AJ910,4)),VALUE(MID(AJ910,6,2)),VALUE(RIGHT(AJ910,2))),DATE(VALUE(RIGHT(AJ910,4)),VALUE(MID(AJ910,4,2)),VALUE(LEFT(AJ910,2)))),DATE(VALUE(RIGHT(AJ910,4)),MATCH(MID(AJ910,4,3),{"Jan","Feb","Mar","Apr","May","Jun","Jul","Aug","Sep","Oct","Nov","Dec"},0),VALUE(LEFT(AJ910,2))))))</f>
        <v>45381</v>
      </c>
      <c r="C910" s="3" t="n">
        <f aca="false">IF(AK910="","",IF(ISNUMBER(SEARCH("/",AK910)),DATE(VALUE(RIGHT(AK910,4)),VALUE(LEFT(AK910,2)),VALUE(MID(AK910,4,2))),IF(ISNUMBER(SEARCH("-",AK910)),IF(LEN(LEFT(AK910,FIND("-",AK910)-1))=4,DATE(VALUE(LEFT(AK910,4)),VALUE(MID(AK910,6,2)),VALUE(RIGHT(AK910,2))),DATE(VALUE(RIGHT(AK910,4)),VALUE(MID(AK910,4,2)),VALUE(LEFT(AK910,2)))),DATE(VALUE(RIGHT(AK910,4)),MATCH(MID(AK910,4,3),{"Jan","Feb","Mar","Apr","May","Jun","Jul","Aug","Sep","Oct","Nov","Dec"},0),VALUE(LEFT(AK910,2))))))</f>
        <v>45377</v>
      </c>
      <c r="D910" s="4" t="s">
        <v>701</v>
      </c>
      <c r="E910" s="0" t="str">
        <f aca="false">PROPER(TRIM(AL910))</f>
        <v>Aditi Sen</v>
      </c>
      <c r="F910" s="0" t="str">
        <f aca="false">PROPER(TRIM(AM910))</f>
        <v>Home Office</v>
      </c>
      <c r="G910" s="0" t="str">
        <f aca="false">IF(TRIM(AN910)="","Unknown",PROPER(TRIM(AN910)))</f>
        <v>North</v>
      </c>
      <c r="H910" s="0" t="str">
        <f aca="false">PROPER(TRIM(AO910))</f>
        <v>Rajasthan</v>
      </c>
      <c r="I910" s="0" t="str">
        <f aca="false">PROPER(TRIM(AP910))</f>
        <v>Jaipur</v>
      </c>
      <c r="J910" s="0" t="str">
        <f aca="false">PROPER(TRIM(AQ910))</f>
        <v>Technology</v>
      </c>
      <c r="K910" s="0" t="str">
        <f aca="false">PROPER(TRIM(AR910))</f>
        <v>Phones</v>
      </c>
      <c r="M910" s="0" t="str">
        <f aca="false">IF(TRIM(AS910)="","Unknown",PROPER(TRIM(AS910)))</f>
        <v>Second Class</v>
      </c>
      <c r="N910" s="0" t="n">
        <v>5</v>
      </c>
      <c r="O910" s="0" t="n">
        <v>907.54</v>
      </c>
      <c r="P910" s="5" t="n">
        <f aca="false">IF(AT910="","",IF(ISNUMBER(AT910),AT910,VALUE(SUBSTITUTE(AT910,"%",""))/100))</f>
        <v>0.15</v>
      </c>
      <c r="Q910" s="5" t="n">
        <f aca="false">IF(P910="",IF(AND(N910&lt;&gt;"",O910&lt;&gt;"",R910&lt;&gt;"",S910&lt;&gt;""),0,"REVIEW"),IF(OR(P910&lt;0,P910&gt;0.3),0,P910))</f>
        <v>0.15</v>
      </c>
      <c r="R910" s="0" t="n">
        <v>4099.69</v>
      </c>
      <c r="S910" s="0" t="n">
        <v>2769.26</v>
      </c>
      <c r="T910" s="6" t="n">
        <f aca="false">N910*O910*(1-Q910)</f>
        <v>3857.045</v>
      </c>
      <c r="U910" s="6" t="n">
        <f aca="false">T910-S910</f>
        <v>1087.785</v>
      </c>
      <c r="V910" s="7" t="n">
        <f aca="false">IF(T910=0,0,U910/T910)</f>
        <v>0.282025488424428</v>
      </c>
      <c r="W910" s="4" t="n">
        <f aca="false">C910-B910</f>
        <v>-4</v>
      </c>
      <c r="X910" s="0" t="str">
        <f aca="false">TEXT(B910,"mmmm")</f>
        <v>March</v>
      </c>
      <c r="Y910" s="4" t="n">
        <f aca="false">YEAR(B910)</f>
        <v>2024</v>
      </c>
      <c r="Z910" s="0" t="str">
        <f aca="false">PROPER(TRIM(AU910))</f>
        <v>Paid</v>
      </c>
      <c r="AA910" s="0" t="str">
        <f aca="false">PROPER(TRIM(AV910))</f>
        <v>Returned</v>
      </c>
      <c r="AB910" s="0" t="str">
        <f aca="false">IF(TRIM(AN910)="","Yes","No")</f>
        <v>No</v>
      </c>
      <c r="AC910" s="0" t="str">
        <f aca="false">IF(TRIM(AS910)="","Yes","No")</f>
        <v>No</v>
      </c>
      <c r="AD910" s="0" t="str">
        <f aca="false">IF(AT910="","Yes","No")</f>
        <v>No</v>
      </c>
      <c r="AE910" s="0" t="str">
        <f aca="false">IF(W910&lt;0,"Yes","No")</f>
        <v>Yes</v>
      </c>
      <c r="AF910" s="0" t="str">
        <f aca="false">IF(P910="","No",IF(OR(P910&lt;0,P910&gt;0.3),"Yes","No"))</f>
        <v>No</v>
      </c>
      <c r="AG910" s="4" t="s">
        <v>497</v>
      </c>
      <c r="AH910" s="0" t="str">
        <f aca="false">IF(AND(AA910="Completed",Z910="Paid"),"Yes","No")</f>
        <v>No</v>
      </c>
      <c r="AI910" s="0" t="str">
        <f aca="false">IF(OR(AE910="Yes",AF910="Yes",AG910="Yes"),"Invalid",IF(OR(AB910="Yes",AC910="Yes",AD910="Yes"),"Warning","Clean"))</f>
        <v>Invalid</v>
      </c>
      <c r="AJ910" s="4" t="s">
        <v>702</v>
      </c>
      <c r="AK910" s="4" t="s">
        <v>703</v>
      </c>
      <c r="AL910" s="4" t="s">
        <v>127</v>
      </c>
      <c r="AM910" s="4" t="s">
        <v>134</v>
      </c>
      <c r="AN910" s="4" t="s">
        <v>168</v>
      </c>
      <c r="AO910" s="4" t="s">
        <v>56</v>
      </c>
      <c r="AP910" s="4" t="s">
        <v>57</v>
      </c>
      <c r="AQ910" s="4" t="s">
        <v>109</v>
      </c>
      <c r="AR910" s="4" t="s">
        <v>227</v>
      </c>
      <c r="AS910" s="4" t="s">
        <v>60</v>
      </c>
      <c r="AT910" s="0" t="n">
        <v>0.15</v>
      </c>
      <c r="AU910" s="4" t="s">
        <v>61</v>
      </c>
      <c r="AV910" s="4" t="s">
        <v>142</v>
      </c>
    </row>
    <row r="911" customFormat="false" ht="15" hidden="false" customHeight="false" outlineLevel="0" collapsed="false">
      <c r="A911" s="0" t="s">
        <v>1182</v>
      </c>
      <c r="B911" s="3" t="n">
        <f aca="false">IF(AJ911="","",IF(ISNUMBER(SEARCH("/",AJ911)),DATE(VALUE(RIGHT(AJ911,4)),VALUE(LEFT(AJ911,2)),VALUE(MID(AJ911,4,2))),IF(ISNUMBER(SEARCH("-",AJ911)),IF(LEN(LEFT(AJ911,FIND("-",AJ911)-1))=4,DATE(VALUE(LEFT(AJ911,4)),VALUE(MID(AJ911,6,2)),VALUE(RIGHT(AJ911,2))),DATE(VALUE(RIGHT(AJ911,4)),VALUE(MID(AJ911,4,2)),VALUE(LEFT(AJ911,2)))),DATE(VALUE(RIGHT(AJ911,4)),MATCH(MID(AJ911,4,3),{"Jan","Feb","Mar","Apr","May","Jun","Jul","Aug","Sep","Oct","Nov","Dec"},0),VALUE(LEFT(AJ911,2))))))</f>
        <v>45522</v>
      </c>
      <c r="C911" s="3" t="n">
        <f aca="false">IF(AK911="","",IF(ISNUMBER(SEARCH("/",AK911)),DATE(VALUE(RIGHT(AK911,4)),VALUE(LEFT(AK911,2)),VALUE(MID(AK911,4,2))),IF(ISNUMBER(SEARCH("-",AK911)),IF(LEN(LEFT(AK911,FIND("-",AK911)-1))=4,DATE(VALUE(LEFT(AK911,4)),VALUE(MID(AK911,6,2)),VALUE(RIGHT(AK911,2))),DATE(VALUE(RIGHT(AK911,4)),VALUE(MID(AK911,4,2)),VALUE(LEFT(AK911,2)))),DATE(VALUE(RIGHT(AK911,4)),MATCH(MID(AK911,4,3),{"Jan","Feb","Mar","Apr","May","Jun","Jul","Aug","Sep","Oct","Nov","Dec"},0),VALUE(LEFT(AK911,2))))))</f>
        <v>45528</v>
      </c>
      <c r="D911" s="4" t="s">
        <v>1183</v>
      </c>
      <c r="E911" s="0" t="str">
        <f aca="false">PROPER(TRIM(AL911))</f>
        <v>Arjun Bose</v>
      </c>
      <c r="F911" s="0" t="str">
        <f aca="false">PROPER(TRIM(AM911))</f>
        <v>Consumer</v>
      </c>
      <c r="G911" s="0" t="str">
        <f aca="false">IF(TRIM(AN911)="","Unknown",PROPER(TRIM(AN911)))</f>
        <v>South</v>
      </c>
      <c r="H911" s="0" t="str">
        <f aca="false">PROPER(TRIM(AO911))</f>
        <v>Andhra Pradesh</v>
      </c>
      <c r="I911" s="0" t="str">
        <f aca="false">PROPER(TRIM(AP911))</f>
        <v>Vijayawada</v>
      </c>
      <c r="J911" s="0" t="str">
        <f aca="false">PROPER(TRIM(AQ911))</f>
        <v>Furniture</v>
      </c>
      <c r="K911" s="0" t="str">
        <f aca="false">PROPER(TRIM(AR911))</f>
        <v>Chairs</v>
      </c>
      <c r="M911" s="0" t="str">
        <f aca="false">IF(TRIM(AS911)="","Unknown",PROPER(TRIM(AS911)))</f>
        <v>First Class</v>
      </c>
      <c r="N911" s="0" t="n">
        <v>7</v>
      </c>
      <c r="O911" s="0" t="n">
        <v>557.21</v>
      </c>
      <c r="P911" s="5" t="n">
        <f aca="false">IF(AT911="","",IF(ISNUMBER(AT911),AT911,VALUE(SUBSTITUTE(AT911,"%",""))/100))</f>
        <v>0.1</v>
      </c>
      <c r="Q911" s="5" t="n">
        <f aca="false">IF(P911="",IF(AND(N911&lt;&gt;"",O911&lt;&gt;"",R911&lt;&gt;"",S911&lt;&gt;""),0,"REVIEW"),IF(OR(P911&lt;0,P911&gt;0.3),0,P911))</f>
        <v>0.1</v>
      </c>
      <c r="R911" s="0" t="n">
        <v>3797.79</v>
      </c>
      <c r="S911" s="0" t="n">
        <v>2191.5</v>
      </c>
      <c r="T911" s="6" t="n">
        <f aca="false">N911*O911*(1-Q911)</f>
        <v>3510.423</v>
      </c>
      <c r="U911" s="6" t="n">
        <f aca="false">T911-S911</f>
        <v>1318.923</v>
      </c>
      <c r="V911" s="7" t="n">
        <f aca="false">IF(T911=0,0,U911/T911)</f>
        <v>0.375716259835353</v>
      </c>
      <c r="W911" s="4" t="n">
        <f aca="false">C911-B911</f>
        <v>6</v>
      </c>
      <c r="X911" s="0" t="str">
        <f aca="false">TEXT(B911,"mmmm")</f>
        <v>August</v>
      </c>
      <c r="Y911" s="4" t="n">
        <f aca="false">YEAR(B911)</f>
        <v>2024</v>
      </c>
      <c r="Z911" s="0" t="str">
        <f aca="false">PROPER(TRIM(AU911))</f>
        <v>Paid</v>
      </c>
      <c r="AA911" s="0" t="str">
        <f aca="false">PROPER(TRIM(AV911))</f>
        <v>Returned</v>
      </c>
      <c r="AB911" s="0" t="str">
        <f aca="false">IF(TRIM(AN911)="","Yes","No")</f>
        <v>No</v>
      </c>
      <c r="AC911" s="0" t="str">
        <f aca="false">IF(TRIM(AS911)="","Yes","No")</f>
        <v>No</v>
      </c>
      <c r="AD911" s="0" t="str">
        <f aca="false">IF(AT911="","Yes","No")</f>
        <v>No</v>
      </c>
      <c r="AE911" s="0" t="str">
        <f aca="false">IF(W911&lt;0,"Yes","No")</f>
        <v>No</v>
      </c>
      <c r="AF911" s="0" t="str">
        <f aca="false">IF(P911="","No",IF(OR(P911&lt;0,P911&gt;0.3),"Yes","No"))</f>
        <v>No</v>
      </c>
      <c r="AG911" s="4" t="s">
        <v>497</v>
      </c>
      <c r="AH911" s="0" t="str">
        <f aca="false">IF(AND(AA911="Completed",Z911="Paid"),"Yes","No")</f>
        <v>No</v>
      </c>
      <c r="AI911" s="0" t="str">
        <f aca="false">IF(OR(AE911="Yes",AF911="Yes",AG911="Yes"),"Invalid",IF(OR(AB911="Yes",AC911="Yes",AD911="Yes"),"Warning","Clean"))</f>
        <v>Invalid</v>
      </c>
      <c r="AJ911" s="4" t="s">
        <v>1184</v>
      </c>
      <c r="AK911" s="4" t="s">
        <v>1185</v>
      </c>
      <c r="AL911" s="4" t="s">
        <v>86</v>
      </c>
      <c r="AM911" s="4" t="s">
        <v>54</v>
      </c>
      <c r="AN911" s="4" t="s">
        <v>87</v>
      </c>
      <c r="AO911" s="4" t="s">
        <v>121</v>
      </c>
      <c r="AP911" s="4" t="s">
        <v>122</v>
      </c>
      <c r="AQ911" s="4" t="s">
        <v>72</v>
      </c>
      <c r="AR911" s="4" t="s">
        <v>100</v>
      </c>
      <c r="AS911" s="4" t="s">
        <v>81</v>
      </c>
      <c r="AT911" s="0" t="n">
        <v>0.1</v>
      </c>
      <c r="AU911" s="4" t="s">
        <v>61</v>
      </c>
      <c r="AV911" s="4" t="s">
        <v>142</v>
      </c>
    </row>
    <row r="912" customFormat="false" ht="15" hidden="false" customHeight="false" outlineLevel="0" collapsed="false">
      <c r="A912" s="0" t="s">
        <v>625</v>
      </c>
      <c r="B912" s="3" t="n">
        <f aca="false">IF(AJ912="","",IF(ISNUMBER(SEARCH("/",AJ912)),DATE(VALUE(RIGHT(AJ912,4)),VALUE(LEFT(AJ912,2)),VALUE(MID(AJ912,4,2))),IF(ISNUMBER(SEARCH("-",AJ912)),IF(LEN(LEFT(AJ912,FIND("-",AJ912)-1))=4,DATE(VALUE(LEFT(AJ912,4)),VALUE(MID(AJ912,6,2)),VALUE(RIGHT(AJ912,2))),DATE(VALUE(RIGHT(AJ912,4)),VALUE(MID(AJ912,4,2)),VALUE(LEFT(AJ912,2)))),DATE(VALUE(RIGHT(AJ912,4)),MATCH(MID(AJ912,4,3),{"Jan","Feb","Mar","Apr","May","Jun","Jul","Aug","Sep","Oct","Nov","Dec"},0),VALUE(LEFT(AJ912,2))))))</f>
        <v>45436</v>
      </c>
      <c r="C912" s="3" t="n">
        <f aca="false">IF(AK912="","",IF(ISNUMBER(SEARCH("/",AK912)),DATE(VALUE(RIGHT(AK912,4)),VALUE(LEFT(AK912,2)),VALUE(MID(AK912,4,2))),IF(ISNUMBER(SEARCH("-",AK912)),IF(LEN(LEFT(AK912,FIND("-",AK912)-1))=4,DATE(VALUE(LEFT(AK912,4)),VALUE(MID(AK912,6,2)),VALUE(RIGHT(AK912,2))),DATE(VALUE(RIGHT(AK912,4)),VALUE(MID(AK912,4,2)),VALUE(LEFT(AK912,2)))),DATE(VALUE(RIGHT(AK912,4)),MATCH(MID(AK912,4,3),{"Jan","Feb","Mar","Apr","May","Jun","Jul","Aug","Sep","Oct","Nov","Dec"},0),VALUE(LEFT(AK912,2))))))</f>
        <v>45437</v>
      </c>
      <c r="D912" s="4" t="s">
        <v>626</v>
      </c>
      <c r="E912" s="0" t="str">
        <f aca="false">PROPER(TRIM(AL912))</f>
        <v>Sneha Kapoor</v>
      </c>
      <c r="F912" s="0" t="str">
        <f aca="false">PROPER(TRIM(AM912))</f>
        <v>Small Business</v>
      </c>
      <c r="G912" s="0" t="str">
        <f aca="false">IF(TRIM(AN912)="","Unknown",PROPER(TRIM(AN912)))</f>
        <v>North</v>
      </c>
      <c r="H912" s="0" t="str">
        <f aca="false">PROPER(TRIM(AO912))</f>
        <v>Punjab</v>
      </c>
      <c r="I912" s="0" t="str">
        <f aca="false">PROPER(TRIM(AP912))</f>
        <v>Ludhiana</v>
      </c>
      <c r="J912" s="0" t="str">
        <f aca="false">PROPER(TRIM(AQ912))</f>
        <v>Technology</v>
      </c>
      <c r="K912" s="0" t="str">
        <f aca="false">PROPER(TRIM(AR912))</f>
        <v>Copiers</v>
      </c>
      <c r="M912" s="0" t="str">
        <f aca="false">IF(TRIM(AS912)="","Unknown",PROPER(TRIM(AS912)))</f>
        <v>Same Day</v>
      </c>
      <c r="N912" s="0" t="n">
        <v>1</v>
      </c>
      <c r="O912" s="0" t="n">
        <v>634.13</v>
      </c>
      <c r="P912" s="5" t="n">
        <f aca="false">IF(AT912="","",IF(ISNUMBER(AT912),AT912,VALUE(SUBSTITUTE(AT912,"%",""))/100))</f>
        <v>0</v>
      </c>
      <c r="Q912" s="5" t="n">
        <f aca="false">IF(P912="",IF(AND(N912&lt;&gt;"",O912&lt;&gt;"",R912&lt;&gt;"",S912&lt;&gt;""),0,"REVIEW"),IF(OR(P912&lt;0,P912&gt;0.3),0,P912))</f>
        <v>0</v>
      </c>
      <c r="R912" s="0" t="n">
        <v>808.67</v>
      </c>
      <c r="S912" s="0" t="n">
        <v>453.35</v>
      </c>
      <c r="T912" s="6" t="n">
        <f aca="false">N912*O912*(1-Q912)</f>
        <v>634.13</v>
      </c>
      <c r="U912" s="6" t="n">
        <f aca="false">T912-S912</f>
        <v>180.78</v>
      </c>
      <c r="V912" s="7" t="n">
        <f aca="false">IF(T912=0,0,U912/T912)</f>
        <v>0.28508350022866</v>
      </c>
      <c r="W912" s="4" t="n">
        <f aca="false">C912-B912</f>
        <v>1</v>
      </c>
      <c r="X912" s="0" t="str">
        <f aca="false">TEXT(B912,"mmmm")</f>
        <v>May</v>
      </c>
      <c r="Y912" s="4" t="n">
        <f aca="false">YEAR(B912)</f>
        <v>2024</v>
      </c>
      <c r="Z912" s="0" t="str">
        <f aca="false">PROPER(TRIM(AU912))</f>
        <v>Refunded</v>
      </c>
      <c r="AA912" s="0" t="str">
        <f aca="false">PROPER(TRIM(AV912))</f>
        <v>Returned</v>
      </c>
      <c r="AB912" s="0" t="str">
        <f aca="false">IF(TRIM(AN912)="","Yes","No")</f>
        <v>No</v>
      </c>
      <c r="AC912" s="0" t="str">
        <f aca="false">IF(TRIM(AS912)="","Yes","No")</f>
        <v>No</v>
      </c>
      <c r="AD912" s="0" t="str">
        <f aca="false">IF(AT912="","Yes","No")</f>
        <v>No</v>
      </c>
      <c r="AE912" s="0" t="str">
        <f aca="false">IF(W912&lt;0,"Yes","No")</f>
        <v>No</v>
      </c>
      <c r="AF912" s="0" t="str">
        <f aca="false">IF(P912="","No",IF(OR(P912&lt;0,P912&gt;0.3),"Yes","No"))</f>
        <v>No</v>
      </c>
      <c r="AG912" s="4" t="s">
        <v>497</v>
      </c>
      <c r="AH912" s="0" t="str">
        <f aca="false">IF(AND(AA912="Completed",Z912="Paid"),"Yes","No")</f>
        <v>No</v>
      </c>
      <c r="AI912" s="0" t="str">
        <f aca="false">IF(OR(AE912="Yes",AF912="Yes",AG912="Yes"),"Invalid",IF(OR(AB912="Yes",AC912="Yes",AD912="Yes"),"Warning","Clean"))</f>
        <v>Invalid</v>
      </c>
      <c r="AJ912" s="4" t="s">
        <v>627</v>
      </c>
      <c r="AK912" s="4" t="s">
        <v>628</v>
      </c>
      <c r="AL912" s="4" t="s">
        <v>181</v>
      </c>
      <c r="AM912" s="4" t="s">
        <v>68</v>
      </c>
      <c r="AN912" s="4" t="s">
        <v>629</v>
      </c>
      <c r="AO912" s="4" t="s">
        <v>169</v>
      </c>
      <c r="AP912" s="4" t="s">
        <v>170</v>
      </c>
      <c r="AQ912" s="4" t="s">
        <v>109</v>
      </c>
      <c r="AR912" s="4" t="s">
        <v>116</v>
      </c>
      <c r="AS912" s="4" t="s">
        <v>74</v>
      </c>
      <c r="AT912" s="0" t="n">
        <v>0</v>
      </c>
      <c r="AU912" s="4" t="s">
        <v>141</v>
      </c>
      <c r="AV912" s="4" t="s">
        <v>142</v>
      </c>
    </row>
    <row r="913" customFormat="false" ht="15" hidden="false" customHeight="false" outlineLevel="0" collapsed="false">
      <c r="A913" s="0" t="s">
        <v>1410</v>
      </c>
      <c r="B913" s="3" t="n">
        <f aca="false">IF(AJ913="","",IF(ISNUMBER(SEARCH("/",AJ913)),DATE(VALUE(RIGHT(AJ913,4)),VALUE(LEFT(AJ913,2)),VALUE(MID(AJ913,4,2))),IF(ISNUMBER(SEARCH("-",AJ913)),IF(LEN(LEFT(AJ913,FIND("-",AJ913)-1))=4,DATE(VALUE(LEFT(AJ913,4)),VALUE(MID(AJ913,6,2)),VALUE(RIGHT(AJ913,2))),DATE(VALUE(RIGHT(AJ913,4)),VALUE(MID(AJ913,4,2)),VALUE(LEFT(AJ913,2)))),DATE(VALUE(RIGHT(AJ913,4)),MATCH(MID(AJ913,4,3),{"Jan","Feb","Mar","Apr","May","Jun","Jul","Aug","Sep","Oct","Nov","Dec"},0),VALUE(LEFT(AJ913,2))))))</f>
        <v>45824</v>
      </c>
      <c r="C913" s="3" t="n">
        <f aca="false">IF(AK913="","",IF(ISNUMBER(SEARCH("/",AK913)),DATE(VALUE(RIGHT(AK913,4)),VALUE(LEFT(AK913,2)),VALUE(MID(AK913,4,2))),IF(ISNUMBER(SEARCH("-",AK913)),IF(LEN(LEFT(AK913,FIND("-",AK913)-1))=4,DATE(VALUE(LEFT(AK913,4)),VALUE(MID(AK913,6,2)),VALUE(RIGHT(AK913,2))),DATE(VALUE(RIGHT(AK913,4)),VALUE(MID(AK913,4,2)),VALUE(LEFT(AK913,2)))),DATE(VALUE(RIGHT(AK913,4)),MATCH(MID(AK913,4,3),{"Jan","Feb","Mar","Apr","May","Jun","Jul","Aug","Sep","Oct","Nov","Dec"},0),VALUE(LEFT(AK913,2))))))</f>
        <v>45826</v>
      </c>
      <c r="D913" s="4" t="s">
        <v>1411</v>
      </c>
      <c r="E913" s="0" t="str">
        <f aca="false">PROPER(TRIM(AL913))</f>
        <v>Rahul Verma</v>
      </c>
      <c r="F913" s="0" t="str">
        <f aca="false">PROPER(TRIM(AM913))</f>
        <v>Home Office</v>
      </c>
      <c r="G913" s="0" t="str">
        <f aca="false">IF(TRIM(AN913)="","Unknown",PROPER(TRIM(AN913)))</f>
        <v>West</v>
      </c>
      <c r="H913" s="0" t="str">
        <f aca="false">PROPER(TRIM(AO913))</f>
        <v>Madhya Pradesh</v>
      </c>
      <c r="I913" s="0" t="str">
        <f aca="false">PROPER(TRIM(AP913))</f>
        <v>Indore</v>
      </c>
      <c r="J913" s="0" t="str">
        <f aca="false">PROPER(TRIM(AQ913))</f>
        <v>Office Supplies</v>
      </c>
      <c r="K913" s="0" t="str">
        <f aca="false">PROPER(TRIM(AR913))</f>
        <v>Paper</v>
      </c>
      <c r="M913" s="0" t="str">
        <f aca="false">IF(TRIM(AS913)="","Unknown",PROPER(TRIM(AS913)))</f>
        <v>First Class</v>
      </c>
      <c r="N913" s="0" t="n">
        <v>3</v>
      </c>
      <c r="O913" s="0" t="n">
        <v>4289.37</v>
      </c>
      <c r="P913" s="5" t="n">
        <f aca="false">IF(AT913="","",IF(ISNUMBER(AT913),AT913,VALUE(SUBSTITUTE(AT913,"%",""))/100))</f>
        <v>0.1</v>
      </c>
      <c r="Q913" s="5" t="n">
        <f aca="false">IF(P913="",IF(AND(N913&lt;&gt;"",O913&lt;&gt;"",R913&lt;&gt;"",S913&lt;&gt;""),0,"REVIEW"),IF(OR(P913&lt;0,P913&gt;0.3),0,P913))</f>
        <v>0.1</v>
      </c>
      <c r="R913" s="0" t="n">
        <v>11778.71</v>
      </c>
      <c r="S913" s="0" t="n">
        <v>6829.43</v>
      </c>
      <c r="T913" s="6" t="n">
        <f aca="false">N913*O913*(1-Q913)</f>
        <v>11581.299</v>
      </c>
      <c r="U913" s="6" t="n">
        <f aca="false">T913-S913</f>
        <v>4751.869</v>
      </c>
      <c r="V913" s="7" t="n">
        <f aca="false">IF(T913=0,0,U913/T913)</f>
        <v>0.410305355211017</v>
      </c>
      <c r="W913" s="4" t="n">
        <f aca="false">C913-B913</f>
        <v>2</v>
      </c>
      <c r="X913" s="0" t="str">
        <f aca="false">TEXT(B913,"mmmm")</f>
        <v>June</v>
      </c>
      <c r="Y913" s="4" t="n">
        <f aca="false">YEAR(B913)</f>
        <v>2025</v>
      </c>
      <c r="Z913" s="0" t="str">
        <f aca="false">PROPER(TRIM(AU913))</f>
        <v>Paid</v>
      </c>
      <c r="AA913" s="0" t="str">
        <f aca="false">PROPER(TRIM(AV913))</f>
        <v>Returned</v>
      </c>
      <c r="AB913" s="0" t="str">
        <f aca="false">IF(TRIM(AN913)="","Yes","No")</f>
        <v>No</v>
      </c>
      <c r="AC913" s="0" t="str">
        <f aca="false">IF(TRIM(AS913)="","Yes","No")</f>
        <v>No</v>
      </c>
      <c r="AD913" s="0" t="str">
        <f aca="false">IF(AT913="","Yes","No")</f>
        <v>No</v>
      </c>
      <c r="AE913" s="0" t="str">
        <f aca="false">IF(W913&lt;0,"Yes","No")</f>
        <v>No</v>
      </c>
      <c r="AF913" s="0" t="str">
        <f aca="false">IF(P913="","No",IF(OR(P913&lt;0,P913&gt;0.3),"Yes","No"))</f>
        <v>No</v>
      </c>
      <c r="AG913" s="4" t="s">
        <v>497</v>
      </c>
      <c r="AH913" s="0" t="str">
        <f aca="false">IF(AND(AA913="Completed",Z913="Paid"),"Yes","No")</f>
        <v>No</v>
      </c>
      <c r="AI913" s="0" t="str">
        <f aca="false">IF(OR(AE913="Yes",AF913="Yes",AG913="Yes"),"Invalid",IF(OR(AB913="Yes",AC913="Yes",AD913="Yes"),"Warning","Clean"))</f>
        <v>Invalid</v>
      </c>
      <c r="AJ913" s="4" t="s">
        <v>1412</v>
      </c>
      <c r="AK913" s="4" t="s">
        <v>1413</v>
      </c>
      <c r="AL913" s="4" t="s">
        <v>163</v>
      </c>
      <c r="AM913" s="4" t="s">
        <v>134</v>
      </c>
      <c r="AN913" s="4" t="s">
        <v>97</v>
      </c>
      <c r="AO913" s="4" t="s">
        <v>107</v>
      </c>
      <c r="AP913" s="4" t="s">
        <v>108</v>
      </c>
      <c r="AQ913" s="4" t="s">
        <v>58</v>
      </c>
      <c r="AR913" s="4" t="s">
        <v>59</v>
      </c>
      <c r="AS913" s="4" t="s">
        <v>81</v>
      </c>
      <c r="AT913" s="0" t="n">
        <v>0.1</v>
      </c>
      <c r="AU913" s="4" t="s">
        <v>61</v>
      </c>
      <c r="AV913" s="4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2026-06-28T08:24:51Z</dcterms:created>
  <dc:creator>openpyxl</dc:creator>
  <dc:description/>
  <dc:language>en-US</dc:language>
  <cp:lastModifiedBy/>
  <dcterms:modified xsi:type="dcterms:W3CDTF">2026-06-28T08:24:52Z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